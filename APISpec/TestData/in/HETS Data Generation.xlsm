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hets\APISpec\TestData\in\"/>
    </mc:Choice>
  </mc:AlternateContent>
  <bookViews>
    <workbookView xWindow="0" yWindow="456" windowWidth="27792" windowHeight="10284" tabRatio="765" activeTab="3" xr2:uid="{00000000-000D-0000-FFFF-FFFF00000000}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9"/>
  <definedNames>
    <definedName name="_xlnm._FilterDatabase" localSheetId="1" hidden="1">Equipment.csv!$A$1:$AS$205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R3" i="43" l="1"/>
  <c r="R4" i="43"/>
  <c r="R5" i="43"/>
  <c r="R6" i="43"/>
  <c r="R7" i="43"/>
  <c r="R8" i="43"/>
  <c r="R9" i="43"/>
  <c r="R10" i="43"/>
  <c r="R11" i="43"/>
  <c r="R12" i="43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R49" i="43"/>
  <c r="R50" i="43"/>
  <c r="R51" i="43"/>
  <c r="R52" i="43"/>
  <c r="R53" i="43"/>
  <c r="R54" i="43"/>
  <c r="R55" i="43"/>
  <c r="R56" i="43"/>
  <c r="R57" i="43"/>
  <c r="R58" i="43"/>
  <c r="R59" i="43"/>
  <c r="R60" i="43"/>
  <c r="R61" i="43"/>
  <c r="R62" i="43"/>
  <c r="R63" i="43"/>
  <c r="R64" i="43"/>
  <c r="R65" i="43"/>
  <c r="R66" i="43"/>
  <c r="R67" i="43"/>
  <c r="R68" i="43"/>
  <c r="R69" i="43"/>
  <c r="R70" i="43"/>
  <c r="R71" i="43"/>
  <c r="R72" i="43"/>
  <c r="R73" i="43"/>
  <c r="R74" i="43"/>
  <c r="R75" i="43"/>
  <c r="R76" i="43"/>
  <c r="R77" i="43"/>
  <c r="R78" i="43"/>
  <c r="R79" i="43"/>
  <c r="R80" i="43"/>
  <c r="R81" i="43"/>
  <c r="R83" i="43"/>
  <c r="R84" i="43"/>
  <c r="R85" i="43"/>
  <c r="R86" i="43"/>
  <c r="R87" i="43"/>
  <c r="R88" i="43"/>
  <c r="R89" i="43"/>
  <c r="R90" i="43"/>
  <c r="R91" i="43"/>
  <c r="R92" i="43"/>
  <c r="R93" i="43"/>
  <c r="R95" i="43"/>
  <c r="R96" i="43"/>
  <c r="R97" i="43"/>
  <c r="R98" i="43"/>
  <c r="R99" i="43"/>
  <c r="R100" i="43"/>
  <c r="R101" i="43"/>
  <c r="R102" i="43"/>
  <c r="R103" i="43"/>
  <c r="R104" i="43"/>
  <c r="R105" i="43"/>
  <c r="R106" i="43"/>
  <c r="R107" i="43"/>
  <c r="R108" i="43"/>
  <c r="R109" i="43"/>
  <c r="R110" i="43"/>
  <c r="R111" i="43"/>
  <c r="R112" i="43"/>
  <c r="R113" i="43"/>
  <c r="R114" i="43"/>
  <c r="R115" i="43"/>
  <c r="R116" i="43"/>
  <c r="R117" i="43"/>
  <c r="R118" i="43"/>
  <c r="R119" i="43"/>
  <c r="R120" i="43"/>
  <c r="R121" i="43"/>
  <c r="R122" i="43"/>
  <c r="R123" i="43"/>
  <c r="R124" i="43"/>
  <c r="R125" i="43"/>
  <c r="R126" i="43"/>
  <c r="R127" i="43"/>
  <c r="R128" i="43"/>
  <c r="R129" i="43"/>
  <c r="R130" i="43"/>
  <c r="R131" i="43"/>
  <c r="R132" i="43"/>
  <c r="R133" i="43"/>
  <c r="R134" i="43"/>
  <c r="R135" i="43"/>
  <c r="R136" i="43"/>
  <c r="R137" i="43"/>
  <c r="R138" i="43"/>
  <c r="R139" i="43"/>
  <c r="R140" i="43"/>
  <c r="R141" i="43"/>
  <c r="R142" i="43"/>
  <c r="R143" i="43"/>
  <c r="R144" i="43"/>
  <c r="R145" i="43"/>
  <c r="R146" i="43"/>
  <c r="R147" i="43"/>
  <c r="R148" i="43"/>
  <c r="R149" i="43"/>
  <c r="R150" i="43"/>
  <c r="R151" i="43"/>
  <c r="R152" i="43"/>
  <c r="R153" i="43"/>
  <c r="R154" i="43"/>
  <c r="R155" i="43"/>
  <c r="R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2" i="43"/>
  <c r="H4" i="43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2" i="2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2" i="40"/>
  <c r="L11" i="40"/>
  <c r="L10" i="40"/>
  <c r="L9" i="40"/>
  <c r="L8" i="40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J3" i="25" l="1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2" i="25"/>
  <c r="D40" i="45"/>
  <c r="D78" i="45"/>
  <c r="D116" i="45"/>
  <c r="D2" i="45"/>
  <c r="J3" i="40"/>
  <c r="J4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38" i="40"/>
  <c r="J39" i="40"/>
  <c r="J40" i="40"/>
  <c r="J41" i="40"/>
  <c r="J42" i="40"/>
  <c r="J43" i="40"/>
  <c r="J44" i="40"/>
  <c r="J45" i="40"/>
  <c r="J46" i="40"/>
  <c r="J47" i="40"/>
  <c r="J48" i="40"/>
  <c r="J49" i="40"/>
  <c r="J50" i="40"/>
  <c r="J51" i="40"/>
  <c r="J52" i="40"/>
  <c r="J53" i="40"/>
  <c r="J54" i="40"/>
  <c r="J55" i="40"/>
  <c r="J56" i="40"/>
  <c r="J57" i="40"/>
  <c r="J58" i="40"/>
  <c r="J59" i="40"/>
  <c r="J60" i="40"/>
  <c r="J61" i="40"/>
  <c r="J62" i="40"/>
  <c r="J63" i="40"/>
  <c r="J64" i="40"/>
  <c r="J65" i="40"/>
  <c r="J66" i="40"/>
  <c r="J67" i="40"/>
  <c r="J68" i="40"/>
  <c r="J69" i="40"/>
  <c r="J70" i="40"/>
  <c r="J71" i="40"/>
  <c r="J72" i="40"/>
  <c r="J73" i="40"/>
  <c r="J74" i="40"/>
  <c r="J75" i="40"/>
  <c r="J76" i="40"/>
  <c r="J77" i="40"/>
  <c r="J78" i="40"/>
  <c r="J79" i="40"/>
  <c r="J80" i="40"/>
  <c r="J81" i="40"/>
  <c r="J82" i="40"/>
  <c r="J83" i="40"/>
  <c r="J84" i="40"/>
  <c r="J85" i="40"/>
  <c r="J86" i="40"/>
  <c r="J87" i="40"/>
  <c r="J88" i="40"/>
  <c r="J2" i="40"/>
  <c r="H3" i="45"/>
  <c r="H4" i="45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H103" i="45"/>
  <c r="H104" i="45"/>
  <c r="H105" i="45"/>
  <c r="H106" i="45"/>
  <c r="H107" i="45"/>
  <c r="H108" i="45"/>
  <c r="H109" i="45"/>
  <c r="H110" i="45"/>
  <c r="H111" i="45"/>
  <c r="H112" i="45"/>
  <c r="H113" i="45"/>
  <c r="H114" i="45"/>
  <c r="H115" i="45"/>
  <c r="H116" i="45"/>
  <c r="H117" i="45"/>
  <c r="H118" i="45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2" i="45"/>
  <c r="D3" i="48"/>
  <c r="D4" i="48" s="1"/>
  <c r="D5" i="48" s="1"/>
  <c r="D6" i="48" s="1"/>
  <c r="D7" i="48" s="1"/>
  <c r="D8" i="48" s="1"/>
  <c r="D9" i="48" s="1"/>
  <c r="D10" i="48" s="1"/>
  <c r="D11" i="48" s="1"/>
  <c r="D12" i="48" s="1"/>
  <c r="D13" i="48" s="1"/>
  <c r="D14" i="48" s="1"/>
  <c r="D15" i="48" s="1"/>
  <c r="D16" i="48" s="1"/>
  <c r="D17" i="48" s="1"/>
  <c r="D18" i="48" s="1"/>
  <c r="D19" i="48" s="1"/>
  <c r="D20" i="48" s="1"/>
  <c r="D21" i="48" s="1"/>
  <c r="D22" i="48" s="1"/>
  <c r="D23" i="48" s="1"/>
  <c r="D24" i="48" s="1"/>
  <c r="D25" i="48" s="1"/>
  <c r="D26" i="48" s="1"/>
  <c r="D27" i="48" s="1"/>
  <c r="D28" i="48" s="1"/>
  <c r="D29" i="48" s="1"/>
  <c r="D30" i="48" s="1"/>
  <c r="D31" i="48" s="1"/>
  <c r="D32" i="48" s="1"/>
  <c r="D33" i="48" s="1"/>
  <c r="D34" i="48" s="1"/>
  <c r="D35" i="48" s="1"/>
  <c r="D36" i="48" s="1"/>
  <c r="D37" i="48" s="1"/>
  <c r="D38" i="48" s="1"/>
  <c r="D39" i="48" s="1"/>
  <c r="D40" i="48" s="1"/>
  <c r="D41" i="48" s="1"/>
  <c r="D42" i="48" s="1"/>
  <c r="D43" i="48" s="1"/>
  <c r="D44" i="48" s="1"/>
  <c r="D45" i="48" s="1"/>
  <c r="D46" i="48" s="1"/>
  <c r="D47" i="48" s="1"/>
  <c r="D48" i="48" s="1"/>
  <c r="D49" i="48" s="1"/>
  <c r="D50" i="48" s="1"/>
  <c r="D51" i="48" s="1"/>
  <c r="D52" i="48" s="1"/>
  <c r="D53" i="48" s="1"/>
  <c r="D54" i="48" s="1"/>
  <c r="D55" i="48" s="1"/>
  <c r="D56" i="48" s="1"/>
  <c r="D57" i="48" s="1"/>
  <c r="D58" i="48" s="1"/>
  <c r="D59" i="48" s="1"/>
  <c r="D60" i="48" s="1"/>
  <c r="D61" i="48" s="1"/>
  <c r="D62" i="48" s="1"/>
  <c r="D63" i="48" s="1"/>
  <c r="D64" i="48" s="1"/>
  <c r="D65" i="48" s="1"/>
  <c r="D66" i="48" s="1"/>
  <c r="D67" i="48" s="1"/>
  <c r="D68" i="48" s="1"/>
  <c r="D69" i="48" s="1"/>
  <c r="D70" i="48" s="1"/>
  <c r="D71" i="48" s="1"/>
  <c r="D72" i="48" s="1"/>
  <c r="D73" i="48" s="1"/>
  <c r="D74" i="48" s="1"/>
  <c r="D75" i="48" s="1"/>
  <c r="D76" i="48" s="1"/>
  <c r="D77" i="48" s="1"/>
  <c r="D78" i="48" s="1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16" i="45"/>
  <c r="F17" i="45"/>
  <c r="F18" i="45"/>
  <c r="F19" i="45"/>
  <c r="F20" i="45"/>
  <c r="F21" i="45"/>
  <c r="F22" i="45"/>
  <c r="F23" i="45"/>
  <c r="F24" i="45"/>
  <c r="F25" i="45"/>
  <c r="F26" i="45"/>
  <c r="F27" i="45"/>
  <c r="F28" i="45"/>
  <c r="F29" i="45"/>
  <c r="F30" i="45"/>
  <c r="F31" i="45"/>
  <c r="F32" i="45"/>
  <c r="F33" i="45"/>
  <c r="F34" i="45"/>
  <c r="F35" i="45"/>
  <c r="F36" i="45"/>
  <c r="F37" i="45"/>
  <c r="F38" i="45"/>
  <c r="F39" i="45"/>
  <c r="F40" i="45"/>
  <c r="F41" i="45"/>
  <c r="F42" i="45"/>
  <c r="F43" i="45"/>
  <c r="F44" i="45"/>
  <c r="F45" i="45"/>
  <c r="F46" i="45"/>
  <c r="F47" i="45"/>
  <c r="F48" i="45"/>
  <c r="F49" i="45"/>
  <c r="F50" i="45"/>
  <c r="F51" i="45"/>
  <c r="F52" i="45"/>
  <c r="F53" i="45"/>
  <c r="F54" i="45"/>
  <c r="F55" i="45"/>
  <c r="F56" i="45"/>
  <c r="F57" i="45"/>
  <c r="F58" i="45"/>
  <c r="F59" i="45"/>
  <c r="F60" i="45"/>
  <c r="F61" i="45"/>
  <c r="F62" i="45"/>
  <c r="F63" i="45"/>
  <c r="F64" i="45"/>
  <c r="F65" i="45"/>
  <c r="F66" i="45"/>
  <c r="F67" i="45"/>
  <c r="F68" i="45"/>
  <c r="F69" i="45"/>
  <c r="F70" i="45"/>
  <c r="F71" i="45"/>
  <c r="F72" i="45"/>
  <c r="F73" i="45"/>
  <c r="F74" i="45"/>
  <c r="F75" i="45"/>
  <c r="F76" i="45"/>
  <c r="F77" i="45"/>
  <c r="F78" i="45"/>
  <c r="F79" i="45"/>
  <c r="F80" i="45"/>
  <c r="F81" i="45"/>
  <c r="F82" i="45"/>
  <c r="F83" i="45"/>
  <c r="F84" i="45"/>
  <c r="F85" i="45"/>
  <c r="F86" i="45"/>
  <c r="F87" i="45"/>
  <c r="F88" i="45"/>
  <c r="F89" i="45"/>
  <c r="F90" i="45"/>
  <c r="F91" i="45"/>
  <c r="F92" i="45"/>
  <c r="F93" i="45"/>
  <c r="F94" i="45"/>
  <c r="F95" i="45"/>
  <c r="F96" i="45"/>
  <c r="F97" i="45"/>
  <c r="F98" i="45"/>
  <c r="F99" i="45"/>
  <c r="F100" i="45"/>
  <c r="F101" i="45"/>
  <c r="F102" i="45"/>
  <c r="F103" i="45"/>
  <c r="F104" i="45"/>
  <c r="F105" i="45"/>
  <c r="F106" i="45"/>
  <c r="F107" i="45"/>
  <c r="F108" i="45"/>
  <c r="F109" i="45"/>
  <c r="F110" i="45"/>
  <c r="F111" i="45"/>
  <c r="F112" i="45"/>
  <c r="F113" i="45"/>
  <c r="F114" i="45"/>
  <c r="F115" i="45"/>
  <c r="F116" i="45"/>
  <c r="F117" i="45"/>
  <c r="F118" i="45"/>
  <c r="F119" i="45"/>
  <c r="F120" i="45"/>
  <c r="F121" i="45"/>
  <c r="F122" i="45"/>
  <c r="F123" i="45"/>
  <c r="F124" i="45"/>
  <c r="F125" i="45"/>
  <c r="F126" i="45"/>
  <c r="F127" i="45"/>
  <c r="F128" i="45"/>
  <c r="F129" i="45"/>
  <c r="F130" i="45"/>
  <c r="F131" i="45"/>
  <c r="F132" i="45"/>
  <c r="F133" i="45"/>
  <c r="F134" i="45"/>
  <c r="F135" i="45"/>
  <c r="F136" i="45"/>
  <c r="F137" i="45"/>
  <c r="F138" i="45"/>
  <c r="F139" i="45"/>
  <c r="F140" i="45"/>
  <c r="F141" i="45"/>
  <c r="F142" i="45"/>
  <c r="F143" i="45"/>
  <c r="F144" i="45"/>
  <c r="F145" i="45"/>
  <c r="F146" i="45"/>
  <c r="F147" i="45"/>
  <c r="F148" i="45"/>
  <c r="F149" i="45"/>
  <c r="F150" i="45"/>
  <c r="F151" i="45"/>
  <c r="F152" i="45"/>
  <c r="F153" i="45"/>
  <c r="F154" i="45"/>
  <c r="F155" i="45"/>
  <c r="F2" i="45"/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3" i="43" l="1"/>
  <c r="D3" i="45" l="1"/>
  <c r="D79" i="45"/>
  <c r="D41" i="45"/>
  <c r="D117" i="45"/>
  <c r="G4" i="43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G5" i="43" l="1"/>
  <c r="D4" i="45"/>
  <c r="D80" i="45"/>
  <c r="D42" i="45"/>
  <c r="D118" i="45"/>
  <c r="C3" i="48"/>
  <c r="C4" i="48"/>
  <c r="C5" i="48"/>
  <c r="C6" i="48"/>
  <c r="C7" i="48"/>
  <c r="C8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9" i="48"/>
  <c r="C10" i="48"/>
  <c r="C11" i="48"/>
  <c r="C12" i="48"/>
  <c r="C13" i="48"/>
  <c r="C14" i="48"/>
  <c r="C15" i="48"/>
  <c r="C2" i="48"/>
  <c r="L77" i="40"/>
  <c r="L78" i="40"/>
  <c r="L58" i="40"/>
  <c r="L59" i="40"/>
  <c r="L7" i="40"/>
  <c r="L32" i="40"/>
  <c r="L33" i="40"/>
  <c r="L34" i="40"/>
  <c r="L35" i="40"/>
  <c r="L36" i="40"/>
  <c r="L37" i="40"/>
  <c r="L38" i="40"/>
  <c r="L39" i="40"/>
  <c r="L40" i="40"/>
  <c r="L61" i="40"/>
  <c r="L20" i="40"/>
  <c r="L21" i="40"/>
  <c r="L22" i="40"/>
  <c r="L28" i="40"/>
  <c r="L29" i="40"/>
  <c r="L30" i="40"/>
  <c r="L31" i="40"/>
  <c r="L74" i="40"/>
  <c r="L75" i="40"/>
  <c r="L17" i="40"/>
  <c r="L18" i="40"/>
  <c r="L19" i="40"/>
  <c r="L72" i="40"/>
  <c r="L73" i="40"/>
  <c r="L50" i="40"/>
  <c r="L60" i="40"/>
  <c r="L81" i="40"/>
  <c r="L82" i="40"/>
  <c r="L12" i="40"/>
  <c r="L13" i="40"/>
  <c r="L14" i="40"/>
  <c r="L15" i="40"/>
  <c r="L68" i="40"/>
  <c r="L69" i="40"/>
  <c r="L70" i="40"/>
  <c r="L71" i="40"/>
  <c r="L43" i="40"/>
  <c r="L44" i="40"/>
  <c r="L45" i="40"/>
  <c r="L46" i="40"/>
  <c r="L47" i="40"/>
  <c r="L48" i="40"/>
  <c r="L49" i="40"/>
  <c r="L62" i="40"/>
  <c r="L63" i="40"/>
  <c r="L64" i="40"/>
  <c r="L41" i="40"/>
  <c r="L42" i="40"/>
  <c r="L79" i="40"/>
  <c r="L80" i="40"/>
  <c r="L54" i="40"/>
  <c r="L55" i="40"/>
  <c r="L56" i="40"/>
  <c r="L57" i="40"/>
  <c r="L2" i="40"/>
  <c r="L3" i="40"/>
  <c r="L4" i="40"/>
  <c r="L5" i="40"/>
  <c r="L6" i="40"/>
  <c r="L23" i="40"/>
  <c r="L24" i="40"/>
  <c r="L25" i="40"/>
  <c r="L26" i="40"/>
  <c r="L27" i="40"/>
  <c r="L65" i="40"/>
  <c r="L66" i="40"/>
  <c r="L67" i="40"/>
  <c r="L83" i="40"/>
  <c r="L84" i="40"/>
  <c r="L85" i="40"/>
  <c r="L86" i="40"/>
  <c r="L16" i="40"/>
  <c r="L51" i="40"/>
  <c r="L52" i="40"/>
  <c r="L53" i="40"/>
  <c r="L87" i="40"/>
  <c r="L88" i="40"/>
  <c r="L76" i="40"/>
  <c r="I3" i="48"/>
  <c r="I4" i="48"/>
  <c r="I5" i="48"/>
  <c r="I6" i="48"/>
  <c r="I7" i="48"/>
  <c r="I8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9" i="48"/>
  <c r="I10" i="48"/>
  <c r="I11" i="48"/>
  <c r="I12" i="48"/>
  <c r="I13" i="48"/>
  <c r="I14" i="48"/>
  <c r="I15" i="48"/>
  <c r="I2" i="48"/>
  <c r="J3" i="48"/>
  <c r="J4" i="48"/>
  <c r="J5" i="48"/>
  <c r="J6" i="48"/>
  <c r="J7" i="48"/>
  <c r="J8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9" i="48"/>
  <c r="J10" i="48"/>
  <c r="J11" i="48"/>
  <c r="J12" i="48"/>
  <c r="J13" i="48"/>
  <c r="J14" i="48"/>
  <c r="J15" i="48"/>
  <c r="J2" i="48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G6" i="43" l="1"/>
  <c r="D43" i="45"/>
  <c r="D119" i="45"/>
  <c r="D5" i="45"/>
  <c r="D81" i="45"/>
  <c r="B2" i="53"/>
  <c r="G7" i="43" l="1"/>
  <c r="D6" i="45"/>
  <c r="D44" i="45"/>
  <c r="D120" i="45"/>
  <c r="D82" i="45"/>
  <c r="B3" i="53"/>
  <c r="K3" i="53" s="1"/>
  <c r="K2" i="53"/>
  <c r="D37" i="27"/>
  <c r="D45" i="27"/>
  <c r="D53" i="27"/>
  <c r="D61" i="27"/>
  <c r="D69" i="27"/>
  <c r="D77" i="27"/>
  <c r="D85" i="27"/>
  <c r="D93" i="27"/>
  <c r="D100" i="27"/>
  <c r="D107" i="27"/>
  <c r="D111" i="27"/>
  <c r="D115" i="27"/>
  <c r="D119" i="27"/>
  <c r="D123" i="27"/>
  <c r="D127" i="27"/>
  <c r="D38" i="27"/>
  <c r="D46" i="27"/>
  <c r="D54" i="27"/>
  <c r="D62" i="27"/>
  <c r="D70" i="27"/>
  <c r="G8" i="43" l="1"/>
  <c r="D7" i="45"/>
  <c r="D83" i="45"/>
  <c r="D45" i="45"/>
  <c r="D121" i="45"/>
  <c r="B4" i="53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9" i="27"/>
  <c r="AH47" i="27"/>
  <c r="AH55" i="27"/>
  <c r="AI55" i="27" s="1"/>
  <c r="AH63" i="27"/>
  <c r="AH71" i="27"/>
  <c r="AH79" i="27"/>
  <c r="AH87" i="27"/>
  <c r="AI87" i="27" s="1"/>
  <c r="AH95" i="27"/>
  <c r="AH102" i="27"/>
  <c r="AH32" i="27"/>
  <c r="AH40" i="27"/>
  <c r="AI40" i="27" s="1"/>
  <c r="AH48" i="27"/>
  <c r="AH56" i="27"/>
  <c r="AH64" i="27"/>
  <c r="AH72" i="27"/>
  <c r="AI72" i="27" s="1"/>
  <c r="AH80" i="27"/>
  <c r="AH88" i="27"/>
  <c r="AH96" i="27"/>
  <c r="AH103" i="27"/>
  <c r="AI103" i="27" s="1"/>
  <c r="AH33" i="27"/>
  <c r="AH41" i="27"/>
  <c r="AH49" i="27"/>
  <c r="AH57" i="27"/>
  <c r="AI57" i="27" s="1"/>
  <c r="AH65" i="27"/>
  <c r="AH73" i="27"/>
  <c r="AH81" i="27"/>
  <c r="AH89" i="27"/>
  <c r="AI89" i="27" s="1"/>
  <c r="AH97" i="27"/>
  <c r="AH104" i="27"/>
  <c r="AH34" i="27"/>
  <c r="AH42" i="27"/>
  <c r="AI42" i="27" s="1"/>
  <c r="AH50" i="27"/>
  <c r="AH58" i="27"/>
  <c r="AH66" i="27"/>
  <c r="AH74" i="27"/>
  <c r="AI74" i="27" s="1"/>
  <c r="AH82" i="27"/>
  <c r="AH90" i="27"/>
  <c r="AH35" i="27"/>
  <c r="AH43" i="27"/>
  <c r="AI43" i="27" s="1"/>
  <c r="AH51" i="27"/>
  <c r="AH59" i="27"/>
  <c r="AH67" i="27"/>
  <c r="AH75" i="27"/>
  <c r="AI75" i="27" s="1"/>
  <c r="AH83" i="27"/>
  <c r="AH91" i="27"/>
  <c r="AH98" i="27"/>
  <c r="AH105" i="27"/>
  <c r="AI105" i="27" s="1"/>
  <c r="AH109" i="27"/>
  <c r="AH113" i="27"/>
  <c r="AH117" i="27"/>
  <c r="AH121" i="27"/>
  <c r="AI121" i="27" s="1"/>
  <c r="AH125" i="27"/>
  <c r="AH129" i="27"/>
  <c r="AH131" i="27"/>
  <c r="AH133" i="27"/>
  <c r="AI133" i="27" s="1"/>
  <c r="AH135" i="27"/>
  <c r="AH137" i="27"/>
  <c r="AH36" i="27"/>
  <c r="AH44" i="27"/>
  <c r="AI44" i="27" s="1"/>
  <c r="AH52" i="27"/>
  <c r="AH60" i="27"/>
  <c r="AH68" i="27"/>
  <c r="AH76" i="27"/>
  <c r="AI76" i="27" s="1"/>
  <c r="AH84" i="27"/>
  <c r="AH92" i="27"/>
  <c r="AH99" i="27"/>
  <c r="AH106" i="27"/>
  <c r="AI106" i="27" s="1"/>
  <c r="AH110" i="27"/>
  <c r="AH114" i="27"/>
  <c r="AH118" i="27"/>
  <c r="AH122" i="27"/>
  <c r="AI122" i="27" s="1"/>
  <c r="AH126" i="27"/>
  <c r="AH130" i="27"/>
  <c r="AH132" i="27"/>
  <c r="AH134" i="27"/>
  <c r="AI134" i="27" s="1"/>
  <c r="AH136" i="27"/>
  <c r="AH138" i="27"/>
  <c r="AH37" i="27"/>
  <c r="AH45" i="27"/>
  <c r="AI45" i="27" s="1"/>
  <c r="AH53" i="27"/>
  <c r="AH61" i="27"/>
  <c r="AH69" i="27"/>
  <c r="AH77" i="27"/>
  <c r="AI77" i="27" s="1"/>
  <c r="AH85" i="27"/>
  <c r="AH93" i="27"/>
  <c r="AH100" i="27"/>
  <c r="AH107" i="27"/>
  <c r="AI107" i="27" s="1"/>
  <c r="AH111" i="27"/>
  <c r="AH115" i="27"/>
  <c r="AH119" i="27"/>
  <c r="AH123" i="27"/>
  <c r="AI123" i="27" s="1"/>
  <c r="AH127" i="27"/>
  <c r="AH38" i="27"/>
  <c r="AH46" i="27"/>
  <c r="AH54" i="27"/>
  <c r="AI54" i="27" s="1"/>
  <c r="AH62" i="27"/>
  <c r="AH70" i="27"/>
  <c r="AH78" i="27"/>
  <c r="AH86" i="27"/>
  <c r="AI86" i="27" s="1"/>
  <c r="AH94" i="27"/>
  <c r="AH101" i="27"/>
  <c r="AH108" i="27"/>
  <c r="AH112" i="27"/>
  <c r="AI112" i="27" s="1"/>
  <c r="AH116" i="27"/>
  <c r="AH120" i="27"/>
  <c r="AH124" i="27"/>
  <c r="AH128" i="27"/>
  <c r="AI128" i="27" s="1"/>
  <c r="AH139" i="27"/>
  <c r="AH143" i="27"/>
  <c r="AH147" i="27"/>
  <c r="AK147" i="27" s="1"/>
  <c r="AH151" i="27"/>
  <c r="AK151" i="27" s="1"/>
  <c r="AH155" i="27"/>
  <c r="AK155" i="27" s="1"/>
  <c r="AH159" i="27"/>
  <c r="AK159" i="27" s="1"/>
  <c r="AH163" i="27"/>
  <c r="AK163" i="27" s="1"/>
  <c r="AH166" i="27"/>
  <c r="AK166" i="27" s="1"/>
  <c r="AH169" i="27"/>
  <c r="AK169" i="27" s="1"/>
  <c r="AH172" i="27"/>
  <c r="AK172" i="27" s="1"/>
  <c r="AH175" i="27"/>
  <c r="AK175" i="27" s="1"/>
  <c r="AH178" i="27"/>
  <c r="AK178" i="27" s="1"/>
  <c r="AH181" i="27"/>
  <c r="AK181" i="27" s="1"/>
  <c r="AH184" i="27"/>
  <c r="AK184" i="27" s="1"/>
  <c r="AH187" i="27"/>
  <c r="AK187" i="27" s="1"/>
  <c r="AH190" i="27"/>
  <c r="AK190" i="27" s="1"/>
  <c r="AH193" i="27"/>
  <c r="AK193" i="27" s="1"/>
  <c r="AH196" i="27"/>
  <c r="AK196" i="27" s="1"/>
  <c r="AH199" i="27"/>
  <c r="AK199" i="27" s="1"/>
  <c r="AH202" i="27"/>
  <c r="AK202" i="27" s="1"/>
  <c r="AH140" i="27"/>
  <c r="AK140" i="27" s="1"/>
  <c r="AH144" i="27"/>
  <c r="AK144" i="27" s="1"/>
  <c r="AH148" i="27"/>
  <c r="AK148" i="27" s="1"/>
  <c r="AH152" i="27"/>
  <c r="AK152" i="27" s="1"/>
  <c r="AH156" i="27"/>
  <c r="AK156" i="27" s="1"/>
  <c r="AH160" i="27"/>
  <c r="AK160" i="27" s="1"/>
  <c r="AH141" i="27"/>
  <c r="AK141" i="27" s="1"/>
  <c r="AH145" i="27"/>
  <c r="AK145" i="27" s="1"/>
  <c r="AH149" i="27"/>
  <c r="AK149" i="27" s="1"/>
  <c r="AH153" i="27"/>
  <c r="AK153" i="27" s="1"/>
  <c r="AH157" i="27"/>
  <c r="AK157" i="27" s="1"/>
  <c r="AH161" i="27"/>
  <c r="AK161" i="27" s="1"/>
  <c r="AH164" i="27"/>
  <c r="AK164" i="27" s="1"/>
  <c r="AH167" i="27"/>
  <c r="AK167" i="27" s="1"/>
  <c r="AH170" i="27"/>
  <c r="AK170" i="27" s="1"/>
  <c r="AH173" i="27"/>
  <c r="AK173" i="27" s="1"/>
  <c r="AH176" i="27"/>
  <c r="AK176" i="27" s="1"/>
  <c r="AH179" i="27"/>
  <c r="AK179" i="27" s="1"/>
  <c r="AH182" i="27"/>
  <c r="AK182" i="27" s="1"/>
  <c r="AH185" i="27"/>
  <c r="AK185" i="27" s="1"/>
  <c r="AH188" i="27"/>
  <c r="AK188" i="27" s="1"/>
  <c r="AH191" i="27"/>
  <c r="AK191" i="27" s="1"/>
  <c r="AH194" i="27"/>
  <c r="AK194" i="27" s="1"/>
  <c r="AH197" i="27"/>
  <c r="AK197" i="27" s="1"/>
  <c r="AH200" i="27"/>
  <c r="AK200" i="27" s="1"/>
  <c r="AH203" i="27"/>
  <c r="AK203" i="27" s="1"/>
  <c r="AH142" i="27"/>
  <c r="AK142" i="27" s="1"/>
  <c r="AH146" i="27"/>
  <c r="AK146" i="27" s="1"/>
  <c r="AH150" i="27"/>
  <c r="AK150" i="27" s="1"/>
  <c r="AH154" i="27"/>
  <c r="AK154" i="27" s="1"/>
  <c r="AH158" i="27"/>
  <c r="AK158" i="27" s="1"/>
  <c r="AH162" i="27"/>
  <c r="AK162" i="27" s="1"/>
  <c r="AH165" i="27"/>
  <c r="AK165" i="27" s="1"/>
  <c r="AH168" i="27"/>
  <c r="AK168" i="27" s="1"/>
  <c r="AH171" i="27"/>
  <c r="AK171" i="27" s="1"/>
  <c r="AH174" i="27"/>
  <c r="AK174" i="27" s="1"/>
  <c r="AH177" i="27"/>
  <c r="AK177" i="27" s="1"/>
  <c r="AH180" i="27"/>
  <c r="AK180" i="27" s="1"/>
  <c r="AH183" i="27"/>
  <c r="AK183" i="27" s="1"/>
  <c r="AH186" i="27"/>
  <c r="AK186" i="27" s="1"/>
  <c r="AH189" i="27"/>
  <c r="AK189" i="27" s="1"/>
  <c r="AH192" i="27"/>
  <c r="AK192" i="27" s="1"/>
  <c r="AH195" i="27"/>
  <c r="AK195" i="27" s="1"/>
  <c r="AH198" i="27"/>
  <c r="AK198" i="27" s="1"/>
  <c r="AH201" i="27"/>
  <c r="AK201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9" i="27"/>
  <c r="V39" i="27" s="1"/>
  <c r="U47" i="27"/>
  <c r="V47" i="27" s="1"/>
  <c r="U55" i="27"/>
  <c r="V55" i="27" s="1"/>
  <c r="U63" i="27"/>
  <c r="V63" i="27" s="1"/>
  <c r="U71" i="27"/>
  <c r="V71" i="27" s="1"/>
  <c r="U79" i="27"/>
  <c r="V79" i="27" s="1"/>
  <c r="U87" i="27"/>
  <c r="V87" i="27" s="1"/>
  <c r="U95" i="27"/>
  <c r="V95" i="27" s="1"/>
  <c r="U102" i="27"/>
  <c r="V102" i="27" s="1"/>
  <c r="U32" i="27"/>
  <c r="V32" i="27" s="1"/>
  <c r="U40" i="27"/>
  <c r="V40" i="27" s="1"/>
  <c r="U48" i="27"/>
  <c r="V48" i="27" s="1"/>
  <c r="U56" i="27"/>
  <c r="V56" i="27" s="1"/>
  <c r="U64" i="27"/>
  <c r="V64" i="27" s="1"/>
  <c r="U72" i="27"/>
  <c r="V72" i="27" s="1"/>
  <c r="U80" i="27"/>
  <c r="V80" i="27" s="1"/>
  <c r="U88" i="27"/>
  <c r="V88" i="27" s="1"/>
  <c r="U96" i="27"/>
  <c r="V96" i="27" s="1"/>
  <c r="U103" i="27"/>
  <c r="V103" i="27" s="1"/>
  <c r="U33" i="27"/>
  <c r="V33" i="27" s="1"/>
  <c r="U41" i="27"/>
  <c r="V41" i="27" s="1"/>
  <c r="U49" i="27"/>
  <c r="V49" i="27" s="1"/>
  <c r="U57" i="27"/>
  <c r="V57" i="27" s="1"/>
  <c r="U65" i="27"/>
  <c r="V65" i="27" s="1"/>
  <c r="U73" i="27"/>
  <c r="V73" i="27" s="1"/>
  <c r="U81" i="27"/>
  <c r="V81" i="27" s="1"/>
  <c r="U89" i="27"/>
  <c r="V89" i="27" s="1"/>
  <c r="U97" i="27"/>
  <c r="V97" i="27" s="1"/>
  <c r="U104" i="27"/>
  <c r="V104" i="27" s="1"/>
  <c r="U34" i="27"/>
  <c r="V34" i="27" s="1"/>
  <c r="U42" i="27"/>
  <c r="V42" i="27" s="1"/>
  <c r="U50" i="27"/>
  <c r="V50" i="27" s="1"/>
  <c r="U58" i="27"/>
  <c r="V58" i="27" s="1"/>
  <c r="U66" i="27"/>
  <c r="V66" i="27" s="1"/>
  <c r="U74" i="27"/>
  <c r="V74" i="27" s="1"/>
  <c r="U82" i="27"/>
  <c r="V82" i="27" s="1"/>
  <c r="U90" i="27"/>
  <c r="V90" i="27" s="1"/>
  <c r="U35" i="27"/>
  <c r="V35" i="27" s="1"/>
  <c r="U43" i="27"/>
  <c r="V43" i="27" s="1"/>
  <c r="U51" i="27"/>
  <c r="V51" i="27" s="1"/>
  <c r="U59" i="27"/>
  <c r="V59" i="27" s="1"/>
  <c r="U67" i="27"/>
  <c r="V67" i="27" s="1"/>
  <c r="U75" i="27"/>
  <c r="V75" i="27" s="1"/>
  <c r="U83" i="27"/>
  <c r="V83" i="27" s="1"/>
  <c r="U91" i="27"/>
  <c r="V91" i="27" s="1"/>
  <c r="U98" i="27"/>
  <c r="V98" i="27" s="1"/>
  <c r="U105" i="27"/>
  <c r="V105" i="27" s="1"/>
  <c r="U109" i="27"/>
  <c r="V109" i="27" s="1"/>
  <c r="U113" i="27"/>
  <c r="V113" i="27" s="1"/>
  <c r="U117" i="27"/>
  <c r="V117" i="27" s="1"/>
  <c r="U121" i="27"/>
  <c r="V121" i="27" s="1"/>
  <c r="U125" i="27"/>
  <c r="V125" i="27" s="1"/>
  <c r="U129" i="27"/>
  <c r="V129" i="27" s="1"/>
  <c r="U131" i="27"/>
  <c r="V131" i="27" s="1"/>
  <c r="U133" i="27"/>
  <c r="V133" i="27" s="1"/>
  <c r="U135" i="27"/>
  <c r="V135" i="27" s="1"/>
  <c r="U137" i="27"/>
  <c r="V137" i="27" s="1"/>
  <c r="U36" i="27"/>
  <c r="V36" i="27" s="1"/>
  <c r="U44" i="27"/>
  <c r="V44" i="27" s="1"/>
  <c r="U52" i="27"/>
  <c r="V52" i="27" s="1"/>
  <c r="U60" i="27"/>
  <c r="V60" i="27" s="1"/>
  <c r="U68" i="27"/>
  <c r="V68" i="27" s="1"/>
  <c r="U76" i="27"/>
  <c r="V76" i="27" s="1"/>
  <c r="U84" i="27"/>
  <c r="V84" i="27" s="1"/>
  <c r="U92" i="27"/>
  <c r="V92" i="27" s="1"/>
  <c r="U99" i="27"/>
  <c r="V99" i="27" s="1"/>
  <c r="U106" i="27"/>
  <c r="V106" i="27" s="1"/>
  <c r="U110" i="27"/>
  <c r="V110" i="27" s="1"/>
  <c r="U114" i="27"/>
  <c r="V114" i="27" s="1"/>
  <c r="U118" i="27"/>
  <c r="V118" i="27" s="1"/>
  <c r="U122" i="27"/>
  <c r="V122" i="27" s="1"/>
  <c r="U126" i="27"/>
  <c r="V126" i="27" s="1"/>
  <c r="U130" i="27"/>
  <c r="V130" i="27" s="1"/>
  <c r="U132" i="27"/>
  <c r="V132" i="27" s="1"/>
  <c r="U134" i="27"/>
  <c r="V134" i="27" s="1"/>
  <c r="U136" i="27"/>
  <c r="V136" i="27" s="1"/>
  <c r="U138" i="27"/>
  <c r="V138" i="27" s="1"/>
  <c r="U37" i="27"/>
  <c r="V37" i="27" s="1"/>
  <c r="U45" i="27"/>
  <c r="V45" i="27" s="1"/>
  <c r="U53" i="27"/>
  <c r="V53" i="27" s="1"/>
  <c r="U61" i="27"/>
  <c r="V61" i="27" s="1"/>
  <c r="U69" i="27"/>
  <c r="V69" i="27" s="1"/>
  <c r="U77" i="27"/>
  <c r="V77" i="27" s="1"/>
  <c r="U85" i="27"/>
  <c r="V85" i="27" s="1"/>
  <c r="U93" i="27"/>
  <c r="V93" i="27" s="1"/>
  <c r="U100" i="27"/>
  <c r="V100" i="27" s="1"/>
  <c r="U107" i="27"/>
  <c r="V107" i="27" s="1"/>
  <c r="U111" i="27"/>
  <c r="V111" i="27" s="1"/>
  <c r="U115" i="27"/>
  <c r="V115" i="27" s="1"/>
  <c r="U119" i="27"/>
  <c r="V119" i="27" s="1"/>
  <c r="U123" i="27"/>
  <c r="V123" i="27" s="1"/>
  <c r="U127" i="27"/>
  <c r="V127" i="27" s="1"/>
  <c r="U38" i="27"/>
  <c r="V38" i="27" s="1"/>
  <c r="U46" i="27"/>
  <c r="V46" i="27" s="1"/>
  <c r="U54" i="27"/>
  <c r="V54" i="27" s="1"/>
  <c r="U62" i="27"/>
  <c r="V62" i="27" s="1"/>
  <c r="U70" i="27"/>
  <c r="V70" i="27" s="1"/>
  <c r="U78" i="27"/>
  <c r="V78" i="27" s="1"/>
  <c r="U86" i="27"/>
  <c r="V86" i="27" s="1"/>
  <c r="U94" i="27"/>
  <c r="V94" i="27" s="1"/>
  <c r="U101" i="27"/>
  <c r="V101" i="27" s="1"/>
  <c r="U108" i="27"/>
  <c r="V108" i="27" s="1"/>
  <c r="U112" i="27"/>
  <c r="V112" i="27" s="1"/>
  <c r="U116" i="27"/>
  <c r="V116" i="27" s="1"/>
  <c r="U120" i="27"/>
  <c r="V120" i="27" s="1"/>
  <c r="U124" i="27"/>
  <c r="V124" i="27" s="1"/>
  <c r="U128" i="27"/>
  <c r="V128" i="27" s="1"/>
  <c r="U139" i="27"/>
  <c r="V139" i="27" s="1"/>
  <c r="U143" i="27"/>
  <c r="V143" i="27" s="1"/>
  <c r="U147" i="27"/>
  <c r="V147" i="27" s="1"/>
  <c r="U151" i="27"/>
  <c r="V151" i="27" s="1"/>
  <c r="U155" i="27"/>
  <c r="V155" i="27" s="1"/>
  <c r="U159" i="27"/>
  <c r="V159" i="27" s="1"/>
  <c r="U163" i="27"/>
  <c r="V163" i="27" s="1"/>
  <c r="U166" i="27"/>
  <c r="V166" i="27" s="1"/>
  <c r="U169" i="27"/>
  <c r="V169" i="27" s="1"/>
  <c r="U172" i="27"/>
  <c r="V172" i="27" s="1"/>
  <c r="U175" i="27"/>
  <c r="V175" i="27" s="1"/>
  <c r="U178" i="27"/>
  <c r="V178" i="27" s="1"/>
  <c r="U181" i="27"/>
  <c r="V181" i="27" s="1"/>
  <c r="U184" i="27"/>
  <c r="V184" i="27" s="1"/>
  <c r="U187" i="27"/>
  <c r="V187" i="27" s="1"/>
  <c r="U190" i="27"/>
  <c r="V190" i="27" s="1"/>
  <c r="U193" i="27"/>
  <c r="V193" i="27" s="1"/>
  <c r="U196" i="27"/>
  <c r="V196" i="27" s="1"/>
  <c r="U199" i="27"/>
  <c r="V199" i="27" s="1"/>
  <c r="U202" i="27"/>
  <c r="V202" i="27" s="1"/>
  <c r="U140" i="27"/>
  <c r="V140" i="27" s="1"/>
  <c r="U144" i="27"/>
  <c r="V144" i="27" s="1"/>
  <c r="U148" i="27"/>
  <c r="V148" i="27" s="1"/>
  <c r="U152" i="27"/>
  <c r="V152" i="27" s="1"/>
  <c r="U156" i="27"/>
  <c r="V156" i="27" s="1"/>
  <c r="U160" i="27"/>
  <c r="V160" i="27" s="1"/>
  <c r="U141" i="27"/>
  <c r="V141" i="27" s="1"/>
  <c r="U145" i="27"/>
  <c r="V145" i="27" s="1"/>
  <c r="U149" i="27"/>
  <c r="V149" i="27" s="1"/>
  <c r="U153" i="27"/>
  <c r="V153" i="27" s="1"/>
  <c r="U157" i="27"/>
  <c r="V157" i="27" s="1"/>
  <c r="U161" i="27"/>
  <c r="V161" i="27" s="1"/>
  <c r="U164" i="27"/>
  <c r="V164" i="27" s="1"/>
  <c r="U167" i="27"/>
  <c r="V167" i="27" s="1"/>
  <c r="U170" i="27"/>
  <c r="V170" i="27" s="1"/>
  <c r="U173" i="27"/>
  <c r="V173" i="27" s="1"/>
  <c r="U176" i="27"/>
  <c r="V176" i="27" s="1"/>
  <c r="U179" i="27"/>
  <c r="V179" i="27" s="1"/>
  <c r="U182" i="27"/>
  <c r="V182" i="27" s="1"/>
  <c r="U185" i="27"/>
  <c r="V185" i="27" s="1"/>
  <c r="U188" i="27"/>
  <c r="V188" i="27" s="1"/>
  <c r="U191" i="27"/>
  <c r="V191" i="27" s="1"/>
  <c r="U194" i="27"/>
  <c r="V194" i="27" s="1"/>
  <c r="U197" i="27"/>
  <c r="V197" i="27" s="1"/>
  <c r="U200" i="27"/>
  <c r="V200" i="27" s="1"/>
  <c r="U203" i="27"/>
  <c r="V203" i="27" s="1"/>
  <c r="U142" i="27"/>
  <c r="V142" i="27" s="1"/>
  <c r="U146" i="27"/>
  <c r="V146" i="27" s="1"/>
  <c r="U150" i="27"/>
  <c r="V150" i="27" s="1"/>
  <c r="U154" i="27"/>
  <c r="V154" i="27" s="1"/>
  <c r="U158" i="27"/>
  <c r="V158" i="27" s="1"/>
  <c r="U162" i="27"/>
  <c r="V162" i="27" s="1"/>
  <c r="U165" i="27"/>
  <c r="V165" i="27" s="1"/>
  <c r="U168" i="27"/>
  <c r="V168" i="27" s="1"/>
  <c r="U171" i="27"/>
  <c r="V171" i="27" s="1"/>
  <c r="U174" i="27"/>
  <c r="V174" i="27" s="1"/>
  <c r="U177" i="27"/>
  <c r="V177" i="27" s="1"/>
  <c r="U180" i="27"/>
  <c r="V180" i="27" s="1"/>
  <c r="U183" i="27"/>
  <c r="V183" i="27" s="1"/>
  <c r="U186" i="27"/>
  <c r="V186" i="27" s="1"/>
  <c r="U189" i="27"/>
  <c r="V189" i="27" s="1"/>
  <c r="U192" i="27"/>
  <c r="V192" i="27" s="1"/>
  <c r="U195" i="27"/>
  <c r="V195" i="27" s="1"/>
  <c r="U198" i="27"/>
  <c r="V198" i="27" s="1"/>
  <c r="U201" i="27"/>
  <c r="V201" i="27" s="1"/>
  <c r="U204" i="27"/>
  <c r="V204" i="27" s="1"/>
  <c r="U2" i="27"/>
  <c r="V2" i="27" s="1"/>
  <c r="L8" i="27"/>
  <c r="M8" i="27" s="1"/>
  <c r="L14" i="27"/>
  <c r="L20" i="27"/>
  <c r="M20" i="27" s="1"/>
  <c r="L27" i="27"/>
  <c r="M27" i="27" s="1"/>
  <c r="L39" i="27"/>
  <c r="M39" i="27" s="1"/>
  <c r="L55" i="27"/>
  <c r="L71" i="27"/>
  <c r="M71" i="27" s="1"/>
  <c r="L79" i="27"/>
  <c r="M79" i="27" s="1"/>
  <c r="L87" i="27"/>
  <c r="M87" i="27" s="1"/>
  <c r="L95" i="27"/>
  <c r="L102" i="27"/>
  <c r="M102" i="27" s="1"/>
  <c r="L109" i="27"/>
  <c r="M109" i="27" s="1"/>
  <c r="L117" i="27"/>
  <c r="M117" i="27" s="1"/>
  <c r="L121" i="27"/>
  <c r="L131" i="27"/>
  <c r="M131" i="27" s="1"/>
  <c r="L133" i="27"/>
  <c r="M133" i="27" s="1"/>
  <c r="L135" i="27"/>
  <c r="M135" i="27" s="1"/>
  <c r="L137" i="27"/>
  <c r="M137" i="27" s="1"/>
  <c r="L110" i="27"/>
  <c r="M110" i="27" s="1"/>
  <c r="L118" i="27"/>
  <c r="M118" i="27" s="1"/>
  <c r="L132" i="27"/>
  <c r="M132" i="27" s="1"/>
  <c r="L134" i="27"/>
  <c r="M134" i="27" s="1"/>
  <c r="L139" i="27"/>
  <c r="M139" i="27" s="1"/>
  <c r="L143" i="27"/>
  <c r="M143" i="27" s="1"/>
  <c r="L159" i="27"/>
  <c r="M159" i="27" s="1"/>
  <c r="L163" i="27"/>
  <c r="M163" i="27" s="1"/>
  <c r="L166" i="27"/>
  <c r="M166" i="27" s="1"/>
  <c r="L169" i="27"/>
  <c r="M169" i="27" s="1"/>
  <c r="L172" i="27"/>
  <c r="L175" i="27"/>
  <c r="M175" i="27" s="1"/>
  <c r="L178" i="27"/>
  <c r="M178" i="27" s="1"/>
  <c r="L181" i="27"/>
  <c r="M181" i="27" s="1"/>
  <c r="L184" i="27"/>
  <c r="M184" i="27" s="1"/>
  <c r="L187" i="27"/>
  <c r="M187" i="27" s="1"/>
  <c r="L190" i="27"/>
  <c r="M190" i="27" s="1"/>
  <c r="L193" i="27"/>
  <c r="M193" i="27" s="1"/>
  <c r="L196" i="27"/>
  <c r="M196" i="27" s="1"/>
  <c r="L199" i="27"/>
  <c r="L202" i="27"/>
  <c r="M202" i="27" s="1"/>
  <c r="L140" i="27"/>
  <c r="M140" i="27" s="1"/>
  <c r="L164" i="27"/>
  <c r="M164" i="27" s="1"/>
  <c r="L167" i="27"/>
  <c r="M167" i="27" s="1"/>
  <c r="L191" i="27"/>
  <c r="M191" i="27" s="1"/>
  <c r="L194" i="27"/>
  <c r="M194" i="27" s="1"/>
  <c r="L203" i="27"/>
  <c r="M203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9" i="27"/>
  <c r="D47" i="27"/>
  <c r="D55" i="27"/>
  <c r="D63" i="27"/>
  <c r="D71" i="27"/>
  <c r="D79" i="27"/>
  <c r="D87" i="27"/>
  <c r="D95" i="27"/>
  <c r="D102" i="27"/>
  <c r="D32" i="27"/>
  <c r="D40" i="27"/>
  <c r="D48" i="27"/>
  <c r="D56" i="27"/>
  <c r="D64" i="27"/>
  <c r="D72" i="27"/>
  <c r="D80" i="27"/>
  <c r="D88" i="27"/>
  <c r="D96" i="27"/>
  <c r="D103" i="27"/>
  <c r="D33" i="27"/>
  <c r="D41" i="27"/>
  <c r="D49" i="27"/>
  <c r="D57" i="27"/>
  <c r="D65" i="27"/>
  <c r="D73" i="27"/>
  <c r="D81" i="27"/>
  <c r="D89" i="27"/>
  <c r="D97" i="27"/>
  <c r="D104" i="27"/>
  <c r="D34" i="27"/>
  <c r="D42" i="27"/>
  <c r="D50" i="27"/>
  <c r="D58" i="27"/>
  <c r="D66" i="27"/>
  <c r="D74" i="27"/>
  <c r="D82" i="27"/>
  <c r="D90" i="27"/>
  <c r="D35" i="27"/>
  <c r="D43" i="27"/>
  <c r="D51" i="27"/>
  <c r="D59" i="27"/>
  <c r="D67" i="27"/>
  <c r="D75" i="27"/>
  <c r="D83" i="27"/>
  <c r="D91" i="27"/>
  <c r="D98" i="27"/>
  <c r="D105" i="27"/>
  <c r="D109" i="27"/>
  <c r="D113" i="27"/>
  <c r="D117" i="27"/>
  <c r="D121" i="27"/>
  <c r="D125" i="27"/>
  <c r="D129" i="27"/>
  <c r="D131" i="27"/>
  <c r="D133" i="27"/>
  <c r="D135" i="27"/>
  <c r="D137" i="27"/>
  <c r="D36" i="27"/>
  <c r="D44" i="27"/>
  <c r="D52" i="27"/>
  <c r="D60" i="27"/>
  <c r="D68" i="27"/>
  <c r="D76" i="27"/>
  <c r="D84" i="27"/>
  <c r="D92" i="27"/>
  <c r="D99" i="27"/>
  <c r="D106" i="27"/>
  <c r="D110" i="27"/>
  <c r="D114" i="27"/>
  <c r="D118" i="27"/>
  <c r="D122" i="27"/>
  <c r="D126" i="27"/>
  <c r="D130" i="27"/>
  <c r="D132" i="27"/>
  <c r="D134" i="27"/>
  <c r="D136" i="27"/>
  <c r="D138" i="27"/>
  <c r="D78" i="27"/>
  <c r="D86" i="27"/>
  <c r="D94" i="27"/>
  <c r="D101" i="27"/>
  <c r="D108" i="27"/>
  <c r="D112" i="27"/>
  <c r="D116" i="27"/>
  <c r="D120" i="27"/>
  <c r="D124" i="27"/>
  <c r="D128" i="27"/>
  <c r="D139" i="27"/>
  <c r="D143" i="27"/>
  <c r="D147" i="27"/>
  <c r="D151" i="27"/>
  <c r="D155" i="27"/>
  <c r="D159" i="27"/>
  <c r="D163" i="27"/>
  <c r="D166" i="27"/>
  <c r="D169" i="27"/>
  <c r="D172" i="27"/>
  <c r="D175" i="27"/>
  <c r="D178" i="27"/>
  <c r="D181" i="27"/>
  <c r="D184" i="27"/>
  <c r="D187" i="27"/>
  <c r="D190" i="27"/>
  <c r="D193" i="27"/>
  <c r="D196" i="27"/>
  <c r="D199" i="27"/>
  <c r="D202" i="27"/>
  <c r="D140" i="27"/>
  <c r="D144" i="27"/>
  <c r="D148" i="27"/>
  <c r="D152" i="27"/>
  <c r="D156" i="27"/>
  <c r="D160" i="27"/>
  <c r="D141" i="27"/>
  <c r="D145" i="27"/>
  <c r="D149" i="27"/>
  <c r="D153" i="27"/>
  <c r="D157" i="27"/>
  <c r="D161" i="27"/>
  <c r="D164" i="27"/>
  <c r="D167" i="27"/>
  <c r="D170" i="27"/>
  <c r="D173" i="27"/>
  <c r="D176" i="27"/>
  <c r="D179" i="27"/>
  <c r="D182" i="27"/>
  <c r="D185" i="27"/>
  <c r="D188" i="27"/>
  <c r="D191" i="27"/>
  <c r="D194" i="27"/>
  <c r="D197" i="27"/>
  <c r="D200" i="27"/>
  <c r="D203" i="27"/>
  <c r="D142" i="27"/>
  <c r="D146" i="27"/>
  <c r="D150" i="27"/>
  <c r="D154" i="27"/>
  <c r="D158" i="27"/>
  <c r="D162" i="27"/>
  <c r="D165" i="27"/>
  <c r="D168" i="27"/>
  <c r="D171" i="27"/>
  <c r="D174" i="27"/>
  <c r="D177" i="27"/>
  <c r="D180" i="27"/>
  <c r="D183" i="27"/>
  <c r="D186" i="27"/>
  <c r="D189" i="27"/>
  <c r="D192" i="27"/>
  <c r="D195" i="27"/>
  <c r="D198" i="27"/>
  <c r="D201" i="27"/>
  <c r="D204" i="27"/>
  <c r="D2" i="27"/>
  <c r="E194" i="27"/>
  <c r="F194" i="27" s="1"/>
  <c r="E197" i="27"/>
  <c r="E200" i="27"/>
  <c r="E203" i="27"/>
  <c r="F203" i="27" s="1"/>
  <c r="E142" i="27"/>
  <c r="E146" i="27"/>
  <c r="E150" i="27"/>
  <c r="E154" i="27"/>
  <c r="F154" i="27" s="1"/>
  <c r="E158" i="27"/>
  <c r="F158" i="27" s="1"/>
  <c r="E162" i="27"/>
  <c r="E165" i="27"/>
  <c r="E168" i="27"/>
  <c r="F168" i="27" s="1"/>
  <c r="E171" i="27"/>
  <c r="F171" i="27" s="1"/>
  <c r="E174" i="27"/>
  <c r="E177" i="27"/>
  <c r="E180" i="27"/>
  <c r="F180" i="27" s="1"/>
  <c r="E183" i="27"/>
  <c r="F183" i="27" s="1"/>
  <c r="E186" i="27"/>
  <c r="E189" i="27"/>
  <c r="E2" i="27"/>
  <c r="F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91" i="27"/>
  <c r="F191" i="27" s="1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G9" i="43" l="1"/>
  <c r="D8" i="45"/>
  <c r="D84" i="45"/>
  <c r="D46" i="45"/>
  <c r="D122" i="45"/>
  <c r="L192" i="27"/>
  <c r="M192" i="27" s="1"/>
  <c r="L185" i="27"/>
  <c r="M185" i="27" s="1"/>
  <c r="L160" i="27"/>
  <c r="L200" i="27"/>
  <c r="M200" i="27" s="1"/>
  <c r="M199" i="27"/>
  <c r="L138" i="27"/>
  <c r="M138" i="27" s="1"/>
  <c r="L170" i="27"/>
  <c r="M170" i="27" s="1"/>
  <c r="L144" i="27"/>
  <c r="M144" i="27" s="1"/>
  <c r="L173" i="27"/>
  <c r="M173" i="27" s="1"/>
  <c r="M172" i="27"/>
  <c r="L125" i="27"/>
  <c r="M121" i="27"/>
  <c r="L96" i="27"/>
  <c r="M96" i="27" s="1"/>
  <c r="M95" i="27"/>
  <c r="L63" i="27"/>
  <c r="M55" i="27"/>
  <c r="L15" i="27"/>
  <c r="M14" i="27"/>
  <c r="L195" i="27"/>
  <c r="M195" i="27" s="1"/>
  <c r="L122" i="27"/>
  <c r="M122" i="27" s="1"/>
  <c r="L176" i="27"/>
  <c r="L136" i="27"/>
  <c r="M136" i="27" s="1"/>
  <c r="L56" i="27"/>
  <c r="L204" i="27"/>
  <c r="M204" i="27" s="1"/>
  <c r="L201" i="27"/>
  <c r="M201" i="27" s="1"/>
  <c r="L188" i="27"/>
  <c r="M188" i="27" s="1"/>
  <c r="L103" i="27"/>
  <c r="M103" i="27" s="1"/>
  <c r="G174" i="27"/>
  <c r="F174" i="27"/>
  <c r="G162" i="27"/>
  <c r="F162" i="27"/>
  <c r="G146" i="27"/>
  <c r="F146" i="27"/>
  <c r="G197" i="27"/>
  <c r="F197" i="27"/>
  <c r="G186" i="27"/>
  <c r="F186" i="27"/>
  <c r="G142" i="27"/>
  <c r="F142" i="27"/>
  <c r="G189" i="27"/>
  <c r="F189" i="27"/>
  <c r="G177" i="27"/>
  <c r="F177" i="27"/>
  <c r="G165" i="27"/>
  <c r="F165" i="27"/>
  <c r="G150" i="27"/>
  <c r="F150" i="27"/>
  <c r="G200" i="27"/>
  <c r="F200" i="27"/>
  <c r="B6" i="53"/>
  <c r="K6" i="53" s="1"/>
  <c r="AJ124" i="27"/>
  <c r="AK124" i="27"/>
  <c r="AJ108" i="27"/>
  <c r="AK108" i="27"/>
  <c r="AJ78" i="27"/>
  <c r="AK78" i="27"/>
  <c r="AJ46" i="27"/>
  <c r="AK46" i="27"/>
  <c r="AJ119" i="27"/>
  <c r="AK119" i="27"/>
  <c r="AJ100" i="27"/>
  <c r="AK100" i="27"/>
  <c r="AJ69" i="27"/>
  <c r="AK69" i="27"/>
  <c r="AJ37" i="27"/>
  <c r="AK37" i="27"/>
  <c r="AJ132" i="27"/>
  <c r="AK132" i="27"/>
  <c r="AJ118" i="27"/>
  <c r="AK118" i="27"/>
  <c r="AJ99" i="27"/>
  <c r="AK99" i="27"/>
  <c r="AJ68" i="27"/>
  <c r="AK68" i="27"/>
  <c r="AJ36" i="27"/>
  <c r="AK36" i="27"/>
  <c r="AJ131" i="27"/>
  <c r="AK131" i="27"/>
  <c r="AJ117" i="27"/>
  <c r="AK117" i="27"/>
  <c r="AJ98" i="27"/>
  <c r="AK98" i="27"/>
  <c r="AJ67" i="27"/>
  <c r="AK67" i="27"/>
  <c r="AJ35" i="27"/>
  <c r="AK35" i="27"/>
  <c r="AJ66" i="27"/>
  <c r="AK66" i="27"/>
  <c r="AJ34" i="27"/>
  <c r="AK34" i="27"/>
  <c r="AJ81" i="27"/>
  <c r="AK81" i="27"/>
  <c r="AJ49" i="27"/>
  <c r="AK49" i="27"/>
  <c r="AJ96" i="27"/>
  <c r="AK96" i="27"/>
  <c r="AJ64" i="27"/>
  <c r="AK64" i="27"/>
  <c r="AJ32" i="27"/>
  <c r="AK32" i="27"/>
  <c r="AJ79" i="27"/>
  <c r="AK79" i="27"/>
  <c r="AJ47" i="27"/>
  <c r="AK47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198" i="27"/>
  <c r="AI186" i="27"/>
  <c r="AI174" i="27"/>
  <c r="AI162" i="27"/>
  <c r="AI146" i="27"/>
  <c r="AI197" i="27"/>
  <c r="AI185" i="27"/>
  <c r="AI173" i="27"/>
  <c r="AI161" i="27"/>
  <c r="AI145" i="27"/>
  <c r="AI152" i="27"/>
  <c r="AI202" i="27"/>
  <c r="AI190" i="27"/>
  <c r="AI178" i="27"/>
  <c r="AI166" i="27"/>
  <c r="AI151" i="27"/>
  <c r="AJ204" i="27"/>
  <c r="AJ192" i="27"/>
  <c r="AJ180" i="27"/>
  <c r="AJ168" i="27"/>
  <c r="AJ154" i="27"/>
  <c r="AJ203" i="27"/>
  <c r="AJ191" i="27"/>
  <c r="AJ179" i="27"/>
  <c r="AJ167" i="27"/>
  <c r="AJ153" i="27"/>
  <c r="AJ160" i="27"/>
  <c r="AJ144" i="27"/>
  <c r="AJ196" i="27"/>
  <c r="AJ184" i="27"/>
  <c r="AJ172" i="27"/>
  <c r="AJ159" i="27"/>
  <c r="AK143" i="27"/>
  <c r="AJ143" i="27"/>
  <c r="AK120" i="27"/>
  <c r="AJ120" i="27"/>
  <c r="AK101" i="27"/>
  <c r="AJ101" i="27"/>
  <c r="AK70" i="27"/>
  <c r="AJ70" i="27"/>
  <c r="AK38" i="27"/>
  <c r="AJ38" i="27"/>
  <c r="AK115" i="27"/>
  <c r="AJ115" i="27"/>
  <c r="AK93" i="27"/>
  <c r="AJ93" i="27"/>
  <c r="AK61" i="27"/>
  <c r="AJ61" i="27"/>
  <c r="AK138" i="27"/>
  <c r="AJ138" i="27"/>
  <c r="AK130" i="27"/>
  <c r="AJ130" i="27"/>
  <c r="AK114" i="27"/>
  <c r="AJ114" i="27"/>
  <c r="AK92" i="27"/>
  <c r="AJ92" i="27"/>
  <c r="AK60" i="27"/>
  <c r="AJ60" i="27"/>
  <c r="AK137" i="27"/>
  <c r="AJ137" i="27"/>
  <c r="AK129" i="27"/>
  <c r="AJ129" i="27"/>
  <c r="AK113" i="27"/>
  <c r="AJ113" i="27"/>
  <c r="AK91" i="27"/>
  <c r="AJ91" i="27"/>
  <c r="AK59" i="27"/>
  <c r="AJ59" i="27"/>
  <c r="AK90" i="27"/>
  <c r="AJ90" i="27"/>
  <c r="AK58" i="27"/>
  <c r="AJ58" i="27"/>
  <c r="AK104" i="27"/>
  <c r="AJ104" i="27"/>
  <c r="AK73" i="27"/>
  <c r="AJ73" i="27"/>
  <c r="AK41" i="27"/>
  <c r="AJ41" i="27"/>
  <c r="AK88" i="27"/>
  <c r="AJ88" i="27"/>
  <c r="AK56" i="27"/>
  <c r="AJ56" i="27"/>
  <c r="AK102" i="27"/>
  <c r="AJ102" i="27"/>
  <c r="AK71" i="27"/>
  <c r="AJ71" i="27"/>
  <c r="AK39" i="27"/>
  <c r="AJ39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195" i="27"/>
  <c r="AI183" i="27"/>
  <c r="AI171" i="27"/>
  <c r="AI158" i="27"/>
  <c r="AI142" i="27"/>
  <c r="AI194" i="27"/>
  <c r="AI182" i="27"/>
  <c r="AI170" i="27"/>
  <c r="AI157" i="27"/>
  <c r="AI141" i="27"/>
  <c r="AI148" i="27"/>
  <c r="AI199" i="27"/>
  <c r="AI187" i="27"/>
  <c r="AI175" i="27"/>
  <c r="AI163" i="27"/>
  <c r="AI147" i="27"/>
  <c r="AI124" i="27"/>
  <c r="AI108" i="27"/>
  <c r="AI78" i="27"/>
  <c r="AI46" i="27"/>
  <c r="AI119" i="27"/>
  <c r="AI100" i="27"/>
  <c r="AI69" i="27"/>
  <c r="AI37" i="27"/>
  <c r="AI132" i="27"/>
  <c r="AI118" i="27"/>
  <c r="AI99" i="27"/>
  <c r="AI68" i="27"/>
  <c r="AI36" i="27"/>
  <c r="AI131" i="27"/>
  <c r="AI117" i="27"/>
  <c r="AI98" i="27"/>
  <c r="AI67" i="27"/>
  <c r="AI35" i="27"/>
  <c r="AI66" i="27"/>
  <c r="AI34" i="27"/>
  <c r="AI81" i="27"/>
  <c r="AI49" i="27"/>
  <c r="AI96" i="27"/>
  <c r="AI64" i="27"/>
  <c r="AI32" i="27"/>
  <c r="AI79" i="27"/>
  <c r="AI47" i="27"/>
  <c r="AI29" i="27"/>
  <c r="AI25" i="27"/>
  <c r="AI21" i="27"/>
  <c r="AI17" i="27"/>
  <c r="AI13" i="27"/>
  <c r="AI9" i="27"/>
  <c r="AI5" i="27"/>
  <c r="AJ201" i="27"/>
  <c r="AJ189" i="27"/>
  <c r="AJ177" i="27"/>
  <c r="AJ165" i="27"/>
  <c r="AJ150" i="27"/>
  <c r="AJ200" i="27"/>
  <c r="AJ188" i="27"/>
  <c r="AJ176" i="27"/>
  <c r="AJ164" i="27"/>
  <c r="AJ149" i="27"/>
  <c r="AJ156" i="27"/>
  <c r="AJ140" i="27"/>
  <c r="AJ193" i="27"/>
  <c r="AJ181" i="27"/>
  <c r="AJ169" i="27"/>
  <c r="AJ155" i="27"/>
  <c r="AK139" i="27"/>
  <c r="AJ139" i="27"/>
  <c r="AK116" i="27"/>
  <c r="AJ116" i="27"/>
  <c r="AK94" i="27"/>
  <c r="AJ94" i="27"/>
  <c r="AK62" i="27"/>
  <c r="AJ62" i="27"/>
  <c r="AK127" i="27"/>
  <c r="AJ127" i="27"/>
  <c r="AK111" i="27"/>
  <c r="AJ111" i="27"/>
  <c r="AK85" i="27"/>
  <c r="AJ85" i="27"/>
  <c r="AK53" i="27"/>
  <c r="AJ53" i="27"/>
  <c r="AK136" i="27"/>
  <c r="AJ136" i="27"/>
  <c r="AK126" i="27"/>
  <c r="AJ126" i="27"/>
  <c r="AK110" i="27"/>
  <c r="AJ110" i="27"/>
  <c r="AK84" i="27"/>
  <c r="AJ84" i="27"/>
  <c r="AK52" i="27"/>
  <c r="AJ52" i="27"/>
  <c r="AK135" i="27"/>
  <c r="AJ135" i="27"/>
  <c r="AK125" i="27"/>
  <c r="AJ125" i="27"/>
  <c r="AK109" i="27"/>
  <c r="AJ109" i="27"/>
  <c r="AK83" i="27"/>
  <c r="AJ83" i="27"/>
  <c r="AK51" i="27"/>
  <c r="AJ51" i="27"/>
  <c r="AK82" i="27"/>
  <c r="AJ82" i="27"/>
  <c r="AK50" i="27"/>
  <c r="AJ50" i="27"/>
  <c r="AK97" i="27"/>
  <c r="AJ97" i="27"/>
  <c r="AK65" i="27"/>
  <c r="AJ65" i="27"/>
  <c r="AK33" i="27"/>
  <c r="AJ33" i="27"/>
  <c r="AK80" i="27"/>
  <c r="AJ80" i="27"/>
  <c r="AK48" i="27"/>
  <c r="AJ48" i="27"/>
  <c r="AK95" i="27"/>
  <c r="AJ95" i="27"/>
  <c r="AK63" i="27"/>
  <c r="AJ63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I192" i="27"/>
  <c r="AI180" i="27"/>
  <c r="AI168" i="27"/>
  <c r="AI154" i="27"/>
  <c r="AI203" i="27"/>
  <c r="AI191" i="27"/>
  <c r="AI179" i="27"/>
  <c r="AI167" i="27"/>
  <c r="AI153" i="27"/>
  <c r="AI160" i="27"/>
  <c r="AI144" i="27"/>
  <c r="AI196" i="27"/>
  <c r="AI184" i="27"/>
  <c r="AI172" i="27"/>
  <c r="AI159" i="27"/>
  <c r="AI143" i="27"/>
  <c r="AI120" i="27"/>
  <c r="AI101" i="27"/>
  <c r="AI70" i="27"/>
  <c r="AI38" i="27"/>
  <c r="AI115" i="27"/>
  <c r="AI93" i="27"/>
  <c r="AI61" i="27"/>
  <c r="AI138" i="27"/>
  <c r="AI130" i="27"/>
  <c r="AI114" i="27"/>
  <c r="AI92" i="27"/>
  <c r="AI60" i="27"/>
  <c r="AI137" i="27"/>
  <c r="AI129" i="27"/>
  <c r="AI113" i="27"/>
  <c r="AI91" i="27"/>
  <c r="AI59" i="27"/>
  <c r="AI90" i="27"/>
  <c r="AI58" i="27"/>
  <c r="AI104" i="27"/>
  <c r="AI73" i="27"/>
  <c r="AI41" i="27"/>
  <c r="AI88" i="27"/>
  <c r="AI56" i="27"/>
  <c r="AI102" i="27"/>
  <c r="AI71" i="27"/>
  <c r="AI39" i="27"/>
  <c r="AI28" i="27"/>
  <c r="AI24" i="27"/>
  <c r="AI20" i="27"/>
  <c r="AI16" i="27"/>
  <c r="AI12" i="27"/>
  <c r="AI8" i="27"/>
  <c r="AI4" i="27"/>
  <c r="AJ198" i="27"/>
  <c r="AJ186" i="27"/>
  <c r="AJ174" i="27"/>
  <c r="AJ162" i="27"/>
  <c r="AJ146" i="27"/>
  <c r="AJ197" i="27"/>
  <c r="AJ185" i="27"/>
  <c r="AJ173" i="27"/>
  <c r="AJ161" i="27"/>
  <c r="AJ145" i="27"/>
  <c r="AJ152" i="27"/>
  <c r="AJ202" i="27"/>
  <c r="AJ190" i="27"/>
  <c r="AJ178" i="27"/>
  <c r="AJ166" i="27"/>
  <c r="AJ151" i="27"/>
  <c r="AJ128" i="27"/>
  <c r="AK128" i="27"/>
  <c r="AJ112" i="27"/>
  <c r="AK112" i="27"/>
  <c r="AJ86" i="27"/>
  <c r="AK86" i="27"/>
  <c r="AJ54" i="27"/>
  <c r="AK54" i="27"/>
  <c r="AJ123" i="27"/>
  <c r="AK123" i="27"/>
  <c r="AJ107" i="27"/>
  <c r="AK107" i="27"/>
  <c r="AJ77" i="27"/>
  <c r="AK77" i="27"/>
  <c r="AJ45" i="27"/>
  <c r="AK45" i="27"/>
  <c r="AJ134" i="27"/>
  <c r="AK134" i="27"/>
  <c r="AJ122" i="27"/>
  <c r="AK122" i="27"/>
  <c r="AJ106" i="27"/>
  <c r="AK106" i="27"/>
  <c r="AJ76" i="27"/>
  <c r="AK76" i="27"/>
  <c r="AJ44" i="27"/>
  <c r="AK44" i="27"/>
  <c r="AJ133" i="27"/>
  <c r="AK133" i="27"/>
  <c r="AJ121" i="27"/>
  <c r="AK121" i="27"/>
  <c r="AJ105" i="27"/>
  <c r="AK105" i="27"/>
  <c r="AJ75" i="27"/>
  <c r="AK75" i="27"/>
  <c r="AJ43" i="27"/>
  <c r="AK43" i="27"/>
  <c r="AJ74" i="27"/>
  <c r="AK74" i="27"/>
  <c r="AJ42" i="27"/>
  <c r="AK42" i="27"/>
  <c r="AJ89" i="27"/>
  <c r="AK89" i="27"/>
  <c r="AJ57" i="27"/>
  <c r="AK57" i="27"/>
  <c r="AJ103" i="27"/>
  <c r="AK103" i="27"/>
  <c r="AJ72" i="27"/>
  <c r="AK72" i="27"/>
  <c r="AJ40" i="27"/>
  <c r="AK40" i="27"/>
  <c r="AJ87" i="27"/>
  <c r="AK87" i="27"/>
  <c r="AJ55" i="27"/>
  <c r="AK55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1" i="27"/>
  <c r="AI189" i="27"/>
  <c r="AI177" i="27"/>
  <c r="AI165" i="27"/>
  <c r="AI150" i="27"/>
  <c r="AI200" i="27"/>
  <c r="AI188" i="27"/>
  <c r="AI176" i="27"/>
  <c r="AI164" i="27"/>
  <c r="AI149" i="27"/>
  <c r="AI156" i="27"/>
  <c r="AI140" i="27"/>
  <c r="AI193" i="27"/>
  <c r="AI181" i="27"/>
  <c r="AI169" i="27"/>
  <c r="AI155" i="27"/>
  <c r="AI139" i="27"/>
  <c r="AI116" i="27"/>
  <c r="AI94" i="27"/>
  <c r="AI62" i="27"/>
  <c r="AI127" i="27"/>
  <c r="AI111" i="27"/>
  <c r="AI85" i="27"/>
  <c r="AI53" i="27"/>
  <c r="AI136" i="27"/>
  <c r="AI126" i="27"/>
  <c r="AI110" i="27"/>
  <c r="AI84" i="27"/>
  <c r="AI52" i="27"/>
  <c r="AI135" i="27"/>
  <c r="AI125" i="27"/>
  <c r="AI109" i="27"/>
  <c r="AI83" i="27"/>
  <c r="AI51" i="27"/>
  <c r="AI82" i="27"/>
  <c r="AI50" i="27"/>
  <c r="AI97" i="27"/>
  <c r="AI65" i="27"/>
  <c r="AI33" i="27"/>
  <c r="AI80" i="27"/>
  <c r="AI48" i="27"/>
  <c r="AI95" i="27"/>
  <c r="AI63" i="27"/>
  <c r="AI31" i="27"/>
  <c r="AI27" i="27"/>
  <c r="AI23" i="27"/>
  <c r="AI19" i="27"/>
  <c r="AI15" i="27"/>
  <c r="AI11" i="27"/>
  <c r="AI7" i="27"/>
  <c r="AI3" i="27"/>
  <c r="AJ195" i="27"/>
  <c r="AJ183" i="27"/>
  <c r="AJ171" i="27"/>
  <c r="AJ158" i="27"/>
  <c r="AJ142" i="27"/>
  <c r="AJ194" i="27"/>
  <c r="AJ182" i="27"/>
  <c r="AJ170" i="27"/>
  <c r="AJ157" i="27"/>
  <c r="AJ141" i="27"/>
  <c r="AJ148" i="27"/>
  <c r="AJ199" i="27"/>
  <c r="AJ187" i="27"/>
  <c r="AJ175" i="27"/>
  <c r="AJ163" i="27"/>
  <c r="AJ147" i="27"/>
  <c r="L21" i="27"/>
  <c r="M21" i="27" s="1"/>
  <c r="L9" i="27"/>
  <c r="L3" i="27"/>
  <c r="M3" i="27" s="1"/>
  <c r="L197" i="27"/>
  <c r="M197" i="27" s="1"/>
  <c r="L147" i="27"/>
  <c r="M147" i="27" s="1"/>
  <c r="L119" i="27"/>
  <c r="M119" i="27" s="1"/>
  <c r="L113" i="27"/>
  <c r="M113" i="27" s="1"/>
  <c r="L145" i="27"/>
  <c r="M145" i="27" s="1"/>
  <c r="L151" i="27"/>
  <c r="M151" i="27" s="1"/>
  <c r="E198" i="27"/>
  <c r="E185" i="27"/>
  <c r="F185" i="27" s="1"/>
  <c r="E173" i="27"/>
  <c r="E161" i="27"/>
  <c r="E145" i="27"/>
  <c r="E152" i="27"/>
  <c r="F152" i="27" s="1"/>
  <c r="E202" i="27"/>
  <c r="E190" i="27"/>
  <c r="E178" i="27"/>
  <c r="E166" i="27"/>
  <c r="F166" i="27" s="1"/>
  <c r="E151" i="27"/>
  <c r="E128" i="27"/>
  <c r="F128" i="27" s="1"/>
  <c r="E112" i="27"/>
  <c r="E86" i="27"/>
  <c r="F86" i="27" s="1"/>
  <c r="E54" i="27"/>
  <c r="F54" i="27" s="1"/>
  <c r="E123" i="27"/>
  <c r="F123" i="27" s="1"/>
  <c r="E107" i="27"/>
  <c r="E77" i="27"/>
  <c r="E45" i="27"/>
  <c r="F45" i="27" s="1"/>
  <c r="E134" i="27"/>
  <c r="F134" i="27" s="1"/>
  <c r="E122" i="27"/>
  <c r="E106" i="27"/>
  <c r="E76" i="27"/>
  <c r="F76" i="27" s="1"/>
  <c r="E44" i="27"/>
  <c r="F44" i="27" s="1"/>
  <c r="E133" i="27"/>
  <c r="F133" i="27" s="1"/>
  <c r="E121" i="27"/>
  <c r="F121" i="27" s="1"/>
  <c r="E105" i="27"/>
  <c r="F105" i="27" s="1"/>
  <c r="E75" i="27"/>
  <c r="F75" i="27" s="1"/>
  <c r="E43" i="27"/>
  <c r="E74" i="27"/>
  <c r="F74" i="27" s="1"/>
  <c r="E42" i="27"/>
  <c r="E89" i="27"/>
  <c r="E57" i="27"/>
  <c r="F57" i="27" s="1"/>
  <c r="E103" i="27"/>
  <c r="F103" i="27" s="1"/>
  <c r="E72" i="27"/>
  <c r="F72" i="27" s="1"/>
  <c r="E40" i="27"/>
  <c r="F40" i="27" s="1"/>
  <c r="E87" i="27"/>
  <c r="E55" i="27"/>
  <c r="F55" i="27" s="1"/>
  <c r="E30" i="27"/>
  <c r="F30" i="27" s="1"/>
  <c r="E26" i="27"/>
  <c r="F26" i="27" s="1"/>
  <c r="E22" i="27"/>
  <c r="E18" i="27"/>
  <c r="E14" i="27"/>
  <c r="F14" i="27" s="1"/>
  <c r="E10" i="27"/>
  <c r="F10" i="27" s="1"/>
  <c r="E6" i="27"/>
  <c r="E195" i="27"/>
  <c r="F195" i="27" s="1"/>
  <c r="G183" i="27"/>
  <c r="G171" i="27"/>
  <c r="G158" i="27"/>
  <c r="G194" i="27"/>
  <c r="E182" i="27"/>
  <c r="F182" i="27" s="1"/>
  <c r="E170" i="27"/>
  <c r="F170" i="27" s="1"/>
  <c r="E157" i="27"/>
  <c r="F157" i="27" s="1"/>
  <c r="E141" i="27"/>
  <c r="F141" i="27" s="1"/>
  <c r="E148" i="27"/>
  <c r="F148" i="27" s="1"/>
  <c r="E199" i="27"/>
  <c r="F199" i="27" s="1"/>
  <c r="E187" i="27"/>
  <c r="F187" i="27" s="1"/>
  <c r="E175" i="27"/>
  <c r="F175" i="27" s="1"/>
  <c r="E163" i="27"/>
  <c r="F163" i="27" s="1"/>
  <c r="E147" i="27"/>
  <c r="F147" i="27" s="1"/>
  <c r="E124" i="27"/>
  <c r="F124" i="27" s="1"/>
  <c r="E108" i="27"/>
  <c r="F108" i="27" s="1"/>
  <c r="E78" i="27"/>
  <c r="F78" i="27" s="1"/>
  <c r="E46" i="27"/>
  <c r="F46" i="27" s="1"/>
  <c r="E119" i="27"/>
  <c r="F119" i="27" s="1"/>
  <c r="E100" i="27"/>
  <c r="F100" i="27" s="1"/>
  <c r="E69" i="27"/>
  <c r="F69" i="27" s="1"/>
  <c r="E37" i="27"/>
  <c r="F37" i="27" s="1"/>
  <c r="E132" i="27"/>
  <c r="F132" i="27" s="1"/>
  <c r="E118" i="27"/>
  <c r="F118" i="27" s="1"/>
  <c r="E99" i="27"/>
  <c r="F99" i="27" s="1"/>
  <c r="E68" i="27"/>
  <c r="F68" i="27" s="1"/>
  <c r="E36" i="27"/>
  <c r="F36" i="27" s="1"/>
  <c r="E131" i="27"/>
  <c r="F131" i="27" s="1"/>
  <c r="E117" i="27"/>
  <c r="F117" i="27" s="1"/>
  <c r="E98" i="27"/>
  <c r="F98" i="27" s="1"/>
  <c r="E67" i="27"/>
  <c r="F67" i="27" s="1"/>
  <c r="E35" i="27"/>
  <c r="F35" i="27" s="1"/>
  <c r="E66" i="27"/>
  <c r="F66" i="27" s="1"/>
  <c r="E34" i="27"/>
  <c r="F34" i="27" s="1"/>
  <c r="E81" i="27"/>
  <c r="F81" i="27" s="1"/>
  <c r="E49" i="27"/>
  <c r="F49" i="27" s="1"/>
  <c r="E96" i="27"/>
  <c r="F96" i="27" s="1"/>
  <c r="E64" i="27"/>
  <c r="F64" i="27" s="1"/>
  <c r="E32" i="27"/>
  <c r="F32" i="27" s="1"/>
  <c r="E79" i="27"/>
  <c r="F79" i="27" s="1"/>
  <c r="E47" i="27"/>
  <c r="F47" i="27" s="1"/>
  <c r="E29" i="27"/>
  <c r="F29" i="27" s="1"/>
  <c r="E25" i="27"/>
  <c r="F25" i="27" s="1"/>
  <c r="E21" i="27"/>
  <c r="F21" i="27" s="1"/>
  <c r="E17" i="27"/>
  <c r="F17" i="27" s="1"/>
  <c r="E13" i="27"/>
  <c r="F13" i="27" s="1"/>
  <c r="E9" i="27"/>
  <c r="F9" i="27" s="1"/>
  <c r="E5" i="27"/>
  <c r="F5" i="27" s="1"/>
  <c r="E204" i="27"/>
  <c r="F204" i="27" s="1"/>
  <c r="E192" i="27"/>
  <c r="G180" i="27"/>
  <c r="G168" i="27"/>
  <c r="G154" i="27"/>
  <c r="G203" i="27"/>
  <c r="E179" i="27"/>
  <c r="F179" i="27" s="1"/>
  <c r="E167" i="27"/>
  <c r="F167" i="27" s="1"/>
  <c r="E153" i="27"/>
  <c r="F153" i="27" s="1"/>
  <c r="E160" i="27"/>
  <c r="F160" i="27" s="1"/>
  <c r="E144" i="27"/>
  <c r="F144" i="27" s="1"/>
  <c r="E196" i="27"/>
  <c r="F196" i="27" s="1"/>
  <c r="E184" i="27"/>
  <c r="F184" i="27" s="1"/>
  <c r="E172" i="27"/>
  <c r="F172" i="27" s="1"/>
  <c r="E159" i="27"/>
  <c r="F159" i="27" s="1"/>
  <c r="E143" i="27"/>
  <c r="F143" i="27" s="1"/>
  <c r="E120" i="27"/>
  <c r="F120" i="27" s="1"/>
  <c r="E101" i="27"/>
  <c r="F101" i="27" s="1"/>
  <c r="E70" i="27"/>
  <c r="F70" i="27" s="1"/>
  <c r="E38" i="27"/>
  <c r="F38" i="27" s="1"/>
  <c r="E115" i="27"/>
  <c r="F115" i="27" s="1"/>
  <c r="E93" i="27"/>
  <c r="F93" i="27" s="1"/>
  <c r="E61" i="27"/>
  <c r="F61" i="27" s="1"/>
  <c r="E138" i="27"/>
  <c r="F138" i="27" s="1"/>
  <c r="E130" i="27"/>
  <c r="F130" i="27" s="1"/>
  <c r="E114" i="27"/>
  <c r="F114" i="27" s="1"/>
  <c r="E92" i="27"/>
  <c r="F92" i="27" s="1"/>
  <c r="E60" i="27"/>
  <c r="F60" i="27" s="1"/>
  <c r="E137" i="27"/>
  <c r="F137" i="27" s="1"/>
  <c r="E129" i="27"/>
  <c r="F129" i="27" s="1"/>
  <c r="E113" i="27"/>
  <c r="F113" i="27" s="1"/>
  <c r="E91" i="27"/>
  <c r="E59" i="27"/>
  <c r="F59" i="27" s="1"/>
  <c r="E90" i="27"/>
  <c r="F90" i="27" s="1"/>
  <c r="E58" i="27"/>
  <c r="F58" i="27" s="1"/>
  <c r="E104" i="27"/>
  <c r="E73" i="27"/>
  <c r="F73" i="27" s="1"/>
  <c r="E41" i="27"/>
  <c r="F41" i="27" s="1"/>
  <c r="E88" i="27"/>
  <c r="F88" i="27" s="1"/>
  <c r="E56" i="27"/>
  <c r="F56" i="27" s="1"/>
  <c r="E102" i="27"/>
  <c r="F102" i="27" s="1"/>
  <c r="E71" i="27"/>
  <c r="F71" i="27" s="1"/>
  <c r="E39" i="27"/>
  <c r="F39" i="27" s="1"/>
  <c r="E28" i="27"/>
  <c r="E24" i="27"/>
  <c r="E20" i="27"/>
  <c r="F20" i="27" s="1"/>
  <c r="E16" i="27"/>
  <c r="F16" i="27" s="1"/>
  <c r="E12" i="27"/>
  <c r="F12" i="27" s="1"/>
  <c r="E8" i="27"/>
  <c r="E4" i="27"/>
  <c r="F4" i="27" s="1"/>
  <c r="E201" i="27"/>
  <c r="E188" i="27"/>
  <c r="E176" i="27"/>
  <c r="F176" i="27" s="1"/>
  <c r="E164" i="27"/>
  <c r="F164" i="27" s="1"/>
  <c r="E149" i="27"/>
  <c r="E156" i="27"/>
  <c r="E140" i="27"/>
  <c r="E193" i="27"/>
  <c r="F193" i="27" s="1"/>
  <c r="E181" i="27"/>
  <c r="E169" i="27"/>
  <c r="E155" i="27"/>
  <c r="F155" i="27" s="1"/>
  <c r="E139" i="27"/>
  <c r="F139" i="27" s="1"/>
  <c r="E116" i="27"/>
  <c r="E94" i="27"/>
  <c r="F94" i="27" s="1"/>
  <c r="E62" i="27"/>
  <c r="E127" i="27"/>
  <c r="F127" i="27" s="1"/>
  <c r="E111" i="27"/>
  <c r="E85" i="27"/>
  <c r="F85" i="27" s="1"/>
  <c r="E53" i="27"/>
  <c r="E136" i="27"/>
  <c r="F136" i="27" s="1"/>
  <c r="E126" i="27"/>
  <c r="E110" i="27"/>
  <c r="F110" i="27" s="1"/>
  <c r="E84" i="27"/>
  <c r="E52" i="27"/>
  <c r="F52" i="27" s="1"/>
  <c r="E135" i="27"/>
  <c r="E125" i="27"/>
  <c r="F125" i="27" s="1"/>
  <c r="E109" i="27"/>
  <c r="F109" i="27" s="1"/>
  <c r="E83" i="27"/>
  <c r="F83" i="27" s="1"/>
  <c r="E51" i="27"/>
  <c r="E82" i="27"/>
  <c r="F82" i="27" s="1"/>
  <c r="E50" i="27"/>
  <c r="E97" i="27"/>
  <c r="F97" i="27" s="1"/>
  <c r="E65" i="27"/>
  <c r="E33" i="27"/>
  <c r="F33" i="27" s="1"/>
  <c r="E80" i="27"/>
  <c r="F80" i="27" s="1"/>
  <c r="E48" i="27"/>
  <c r="F48" i="27" s="1"/>
  <c r="E95" i="27"/>
  <c r="E63" i="27"/>
  <c r="E31" i="27"/>
  <c r="E27" i="27"/>
  <c r="F27" i="27" s="1"/>
  <c r="E23" i="27"/>
  <c r="E19" i="27"/>
  <c r="F19" i="27" s="1"/>
  <c r="E15" i="27"/>
  <c r="F15" i="27" s="1"/>
  <c r="E11" i="27"/>
  <c r="F11" i="27" s="1"/>
  <c r="E7" i="27"/>
  <c r="E3" i="27"/>
  <c r="F3" i="27" s="1"/>
  <c r="L72" i="27"/>
  <c r="L40" i="27"/>
  <c r="M40" i="27" s="1"/>
  <c r="L28" i="27"/>
  <c r="M28" i="27" s="1"/>
  <c r="L126" i="27"/>
  <c r="L47" i="27"/>
  <c r="M47" i="27" s="1"/>
  <c r="G2" i="27"/>
  <c r="G191" i="27"/>
  <c r="G133" i="27"/>
  <c r="G92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9" i="27"/>
  <c r="AE39" i="27" s="1"/>
  <c r="AD47" i="27"/>
  <c r="AE47" i="27" s="1"/>
  <c r="AD55" i="27"/>
  <c r="AE55" i="27" s="1"/>
  <c r="AD63" i="27"/>
  <c r="AE63" i="27" s="1"/>
  <c r="AD71" i="27"/>
  <c r="AE71" i="27" s="1"/>
  <c r="AD79" i="27"/>
  <c r="AE79" i="27" s="1"/>
  <c r="AD87" i="27"/>
  <c r="AE87" i="27" s="1"/>
  <c r="AD95" i="27"/>
  <c r="AE95" i="27" s="1"/>
  <c r="AD102" i="27"/>
  <c r="AE102" i="27" s="1"/>
  <c r="AD32" i="27"/>
  <c r="AE32" i="27" s="1"/>
  <c r="AD40" i="27"/>
  <c r="AE40" i="27" s="1"/>
  <c r="AD48" i="27"/>
  <c r="AE48" i="27" s="1"/>
  <c r="AD56" i="27"/>
  <c r="AE56" i="27" s="1"/>
  <c r="AD64" i="27"/>
  <c r="AE64" i="27" s="1"/>
  <c r="AD72" i="27"/>
  <c r="AE72" i="27" s="1"/>
  <c r="AD80" i="27"/>
  <c r="AE80" i="27" s="1"/>
  <c r="AD88" i="27"/>
  <c r="AE88" i="27" s="1"/>
  <c r="AD96" i="27"/>
  <c r="AE96" i="27" s="1"/>
  <c r="AD103" i="27"/>
  <c r="AE103" i="27" s="1"/>
  <c r="AD33" i="27"/>
  <c r="AE33" i="27" s="1"/>
  <c r="AD41" i="27"/>
  <c r="AE41" i="27" s="1"/>
  <c r="AD49" i="27"/>
  <c r="AE49" i="27" s="1"/>
  <c r="AD57" i="27"/>
  <c r="AE57" i="27" s="1"/>
  <c r="AD65" i="27"/>
  <c r="AE65" i="27" s="1"/>
  <c r="AD73" i="27"/>
  <c r="AE73" i="27" s="1"/>
  <c r="AD81" i="27"/>
  <c r="AE81" i="27" s="1"/>
  <c r="AD89" i="27"/>
  <c r="AE89" i="27" s="1"/>
  <c r="AD97" i="27"/>
  <c r="AE97" i="27" s="1"/>
  <c r="AD104" i="27"/>
  <c r="AE104" i="27" s="1"/>
  <c r="AD34" i="27"/>
  <c r="AE34" i="27" s="1"/>
  <c r="AD42" i="27"/>
  <c r="AE42" i="27" s="1"/>
  <c r="AD50" i="27"/>
  <c r="AE50" i="27" s="1"/>
  <c r="AD58" i="27"/>
  <c r="AE58" i="27" s="1"/>
  <c r="AD66" i="27"/>
  <c r="AE66" i="27" s="1"/>
  <c r="AD74" i="27"/>
  <c r="AE74" i="27" s="1"/>
  <c r="AD82" i="27"/>
  <c r="AE82" i="27" s="1"/>
  <c r="AD90" i="27"/>
  <c r="AE90" i="27" s="1"/>
  <c r="AD35" i="27"/>
  <c r="AE35" i="27" s="1"/>
  <c r="AD43" i="27"/>
  <c r="AE43" i="27" s="1"/>
  <c r="AD51" i="27"/>
  <c r="AE51" i="27" s="1"/>
  <c r="AD59" i="27"/>
  <c r="AE59" i="27" s="1"/>
  <c r="AD67" i="27"/>
  <c r="AE67" i="27" s="1"/>
  <c r="AD75" i="27"/>
  <c r="AE75" i="27" s="1"/>
  <c r="AD83" i="27"/>
  <c r="AE83" i="27" s="1"/>
  <c r="AD91" i="27"/>
  <c r="AE91" i="27" s="1"/>
  <c r="AD98" i="27"/>
  <c r="AE98" i="27" s="1"/>
  <c r="AD105" i="27"/>
  <c r="AE105" i="27" s="1"/>
  <c r="AD109" i="27"/>
  <c r="AE109" i="27" s="1"/>
  <c r="AD113" i="27"/>
  <c r="AE113" i="27" s="1"/>
  <c r="AD117" i="27"/>
  <c r="AE117" i="27" s="1"/>
  <c r="AD121" i="27"/>
  <c r="AE121" i="27" s="1"/>
  <c r="AD125" i="27"/>
  <c r="AE125" i="27" s="1"/>
  <c r="AD129" i="27"/>
  <c r="AE129" i="27" s="1"/>
  <c r="AD131" i="27"/>
  <c r="AE131" i="27" s="1"/>
  <c r="AD133" i="27"/>
  <c r="AE133" i="27" s="1"/>
  <c r="AD135" i="27"/>
  <c r="AE135" i="27" s="1"/>
  <c r="AD137" i="27"/>
  <c r="AE137" i="27" s="1"/>
  <c r="AD36" i="27"/>
  <c r="AE36" i="27" s="1"/>
  <c r="AD44" i="27"/>
  <c r="AE44" i="27" s="1"/>
  <c r="AD52" i="27"/>
  <c r="AE52" i="27" s="1"/>
  <c r="AD60" i="27"/>
  <c r="AE60" i="27" s="1"/>
  <c r="AD68" i="27"/>
  <c r="AE68" i="27" s="1"/>
  <c r="AD76" i="27"/>
  <c r="AE76" i="27" s="1"/>
  <c r="AD84" i="27"/>
  <c r="AE84" i="27" s="1"/>
  <c r="AD92" i="27"/>
  <c r="AE92" i="27" s="1"/>
  <c r="AD99" i="27"/>
  <c r="AE99" i="27" s="1"/>
  <c r="AD106" i="27"/>
  <c r="AE106" i="27" s="1"/>
  <c r="AD110" i="27"/>
  <c r="AE110" i="27" s="1"/>
  <c r="AD114" i="27"/>
  <c r="AE114" i="27" s="1"/>
  <c r="AD118" i="27"/>
  <c r="AE118" i="27" s="1"/>
  <c r="AD122" i="27"/>
  <c r="AE122" i="27" s="1"/>
  <c r="AD126" i="27"/>
  <c r="AE126" i="27" s="1"/>
  <c r="AD130" i="27"/>
  <c r="AE130" i="27" s="1"/>
  <c r="AD132" i="27"/>
  <c r="AE132" i="27" s="1"/>
  <c r="AD134" i="27"/>
  <c r="AE134" i="27" s="1"/>
  <c r="AD136" i="27"/>
  <c r="AE136" i="27" s="1"/>
  <c r="AD138" i="27"/>
  <c r="AE138" i="27" s="1"/>
  <c r="AD37" i="27"/>
  <c r="AE37" i="27" s="1"/>
  <c r="AD45" i="27"/>
  <c r="AE45" i="27" s="1"/>
  <c r="AD53" i="27"/>
  <c r="AE53" i="27" s="1"/>
  <c r="AD61" i="27"/>
  <c r="AE61" i="27" s="1"/>
  <c r="AD69" i="27"/>
  <c r="AE69" i="27" s="1"/>
  <c r="AD77" i="27"/>
  <c r="AE77" i="27" s="1"/>
  <c r="AD85" i="27"/>
  <c r="AE85" i="27" s="1"/>
  <c r="AD93" i="27"/>
  <c r="AE93" i="27" s="1"/>
  <c r="AD100" i="27"/>
  <c r="AE100" i="27" s="1"/>
  <c r="AD107" i="27"/>
  <c r="AE107" i="27" s="1"/>
  <c r="AD111" i="27"/>
  <c r="AE111" i="27" s="1"/>
  <c r="AD115" i="27"/>
  <c r="AE115" i="27" s="1"/>
  <c r="AD119" i="27"/>
  <c r="AE119" i="27" s="1"/>
  <c r="AD123" i="27"/>
  <c r="AE123" i="27" s="1"/>
  <c r="AD127" i="27"/>
  <c r="AE127" i="27" s="1"/>
  <c r="AD38" i="27"/>
  <c r="AE38" i="27" s="1"/>
  <c r="AD46" i="27"/>
  <c r="AE46" i="27" s="1"/>
  <c r="AD54" i="27"/>
  <c r="AE54" i="27" s="1"/>
  <c r="AD62" i="27"/>
  <c r="AE62" i="27" s="1"/>
  <c r="AD70" i="27"/>
  <c r="AE70" i="27" s="1"/>
  <c r="AD78" i="27"/>
  <c r="AE78" i="27" s="1"/>
  <c r="AD86" i="27"/>
  <c r="AE86" i="27" s="1"/>
  <c r="AD94" i="27"/>
  <c r="AE94" i="27" s="1"/>
  <c r="AD101" i="27"/>
  <c r="AE101" i="27" s="1"/>
  <c r="AD108" i="27"/>
  <c r="AE108" i="27" s="1"/>
  <c r="AD112" i="27"/>
  <c r="AE112" i="27" s="1"/>
  <c r="AD116" i="27"/>
  <c r="AE116" i="27" s="1"/>
  <c r="AD120" i="27"/>
  <c r="AE120" i="27" s="1"/>
  <c r="AD124" i="27"/>
  <c r="AE124" i="27" s="1"/>
  <c r="AD128" i="27"/>
  <c r="AE128" i="27" s="1"/>
  <c r="AD139" i="27"/>
  <c r="AE139" i="27" s="1"/>
  <c r="AD143" i="27"/>
  <c r="AE143" i="27" s="1"/>
  <c r="AD147" i="27"/>
  <c r="AE147" i="27" s="1"/>
  <c r="AD151" i="27"/>
  <c r="AE151" i="27" s="1"/>
  <c r="AD155" i="27"/>
  <c r="AE155" i="27" s="1"/>
  <c r="AD159" i="27"/>
  <c r="AE159" i="27" s="1"/>
  <c r="AD163" i="27"/>
  <c r="AE163" i="27" s="1"/>
  <c r="AD166" i="27"/>
  <c r="AE166" i="27" s="1"/>
  <c r="AD169" i="27"/>
  <c r="AE169" i="27" s="1"/>
  <c r="AD172" i="27"/>
  <c r="AE172" i="27" s="1"/>
  <c r="AD175" i="27"/>
  <c r="AE175" i="27" s="1"/>
  <c r="AD178" i="27"/>
  <c r="AE178" i="27" s="1"/>
  <c r="AD181" i="27"/>
  <c r="AE181" i="27" s="1"/>
  <c r="AD184" i="27"/>
  <c r="AE184" i="27" s="1"/>
  <c r="AD187" i="27"/>
  <c r="AE187" i="27" s="1"/>
  <c r="AD190" i="27"/>
  <c r="AE190" i="27" s="1"/>
  <c r="AD193" i="27"/>
  <c r="AE193" i="27" s="1"/>
  <c r="AD196" i="27"/>
  <c r="AE196" i="27" s="1"/>
  <c r="AD199" i="27"/>
  <c r="AE199" i="27" s="1"/>
  <c r="AD202" i="27"/>
  <c r="AE202" i="27" s="1"/>
  <c r="AD140" i="27"/>
  <c r="AE140" i="27" s="1"/>
  <c r="AD144" i="27"/>
  <c r="AE144" i="27" s="1"/>
  <c r="AD148" i="27"/>
  <c r="AE148" i="27" s="1"/>
  <c r="AD152" i="27"/>
  <c r="AE152" i="27" s="1"/>
  <c r="AD156" i="27"/>
  <c r="AE156" i="27" s="1"/>
  <c r="AD160" i="27"/>
  <c r="AE160" i="27" s="1"/>
  <c r="AD141" i="27"/>
  <c r="AE141" i="27" s="1"/>
  <c r="AD145" i="27"/>
  <c r="AE145" i="27" s="1"/>
  <c r="AD149" i="27"/>
  <c r="AE149" i="27" s="1"/>
  <c r="AD153" i="27"/>
  <c r="AE153" i="27" s="1"/>
  <c r="AD157" i="27"/>
  <c r="AE157" i="27" s="1"/>
  <c r="AD161" i="27"/>
  <c r="AE161" i="27" s="1"/>
  <c r="AD164" i="27"/>
  <c r="AE164" i="27" s="1"/>
  <c r="AD167" i="27"/>
  <c r="AE167" i="27" s="1"/>
  <c r="AD170" i="27"/>
  <c r="AE170" i="27" s="1"/>
  <c r="AD173" i="27"/>
  <c r="AE173" i="27" s="1"/>
  <c r="AD176" i="27"/>
  <c r="AE176" i="27" s="1"/>
  <c r="AD179" i="27"/>
  <c r="AE179" i="27" s="1"/>
  <c r="AD182" i="27"/>
  <c r="AE182" i="27" s="1"/>
  <c r="AD185" i="27"/>
  <c r="AE185" i="27" s="1"/>
  <c r="AD188" i="27"/>
  <c r="AE188" i="27" s="1"/>
  <c r="AD191" i="27"/>
  <c r="AE191" i="27" s="1"/>
  <c r="AD194" i="27"/>
  <c r="AE194" i="27" s="1"/>
  <c r="AD197" i="27"/>
  <c r="AE197" i="27" s="1"/>
  <c r="AD200" i="27"/>
  <c r="AE200" i="27" s="1"/>
  <c r="AD203" i="27"/>
  <c r="AE203" i="27" s="1"/>
  <c r="AD142" i="27"/>
  <c r="AE142" i="27" s="1"/>
  <c r="AD146" i="27"/>
  <c r="AE146" i="27" s="1"/>
  <c r="AD150" i="27"/>
  <c r="AE150" i="27" s="1"/>
  <c r="AD154" i="27"/>
  <c r="AE154" i="27" s="1"/>
  <c r="AD158" i="27"/>
  <c r="AE158" i="27" s="1"/>
  <c r="AD162" i="27"/>
  <c r="AE162" i="27" s="1"/>
  <c r="AD165" i="27"/>
  <c r="AE165" i="27" s="1"/>
  <c r="AD168" i="27"/>
  <c r="AE168" i="27" s="1"/>
  <c r="AD171" i="27"/>
  <c r="AE171" i="27" s="1"/>
  <c r="AD174" i="27"/>
  <c r="AE174" i="27" s="1"/>
  <c r="AD177" i="27"/>
  <c r="AE177" i="27" s="1"/>
  <c r="AD180" i="27"/>
  <c r="AE180" i="27" s="1"/>
  <c r="AD183" i="27"/>
  <c r="AE183" i="27" s="1"/>
  <c r="AD186" i="27"/>
  <c r="AE186" i="27" s="1"/>
  <c r="AD189" i="27"/>
  <c r="AE189" i="27" s="1"/>
  <c r="AD192" i="27"/>
  <c r="AE192" i="27" s="1"/>
  <c r="AD195" i="27"/>
  <c r="AE195" i="27" s="1"/>
  <c r="AD198" i="27"/>
  <c r="AD201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10" i="43" l="1"/>
  <c r="D47" i="45"/>
  <c r="D123" i="45"/>
  <c r="D9" i="45"/>
  <c r="D85" i="45"/>
  <c r="G45" i="27"/>
  <c r="G49" i="27"/>
  <c r="G99" i="27"/>
  <c r="G30" i="27"/>
  <c r="G14" i="27"/>
  <c r="G72" i="27"/>
  <c r="G105" i="27"/>
  <c r="G54" i="27"/>
  <c r="G76" i="27"/>
  <c r="G102" i="27"/>
  <c r="G115" i="27"/>
  <c r="G137" i="27"/>
  <c r="G57" i="27"/>
  <c r="G13" i="27"/>
  <c r="G52" i="27"/>
  <c r="G179" i="27"/>
  <c r="G68" i="27"/>
  <c r="G144" i="27"/>
  <c r="G113" i="27"/>
  <c r="G127" i="27"/>
  <c r="G29" i="27"/>
  <c r="G37" i="27"/>
  <c r="G34" i="27"/>
  <c r="G147" i="27"/>
  <c r="G170" i="27"/>
  <c r="G98" i="27"/>
  <c r="G199" i="27"/>
  <c r="AG184" i="27"/>
  <c r="AG153" i="27"/>
  <c r="AG203" i="27"/>
  <c r="AG192" i="27"/>
  <c r="G94" i="27"/>
  <c r="G16" i="27"/>
  <c r="G159" i="27"/>
  <c r="G85" i="27"/>
  <c r="G58" i="27"/>
  <c r="G61" i="27"/>
  <c r="G48" i="27"/>
  <c r="AG172" i="27"/>
  <c r="AG160" i="27"/>
  <c r="AG191" i="27"/>
  <c r="AG180" i="27"/>
  <c r="AG144" i="27"/>
  <c r="AG179" i="27"/>
  <c r="AG168" i="27"/>
  <c r="AG196" i="27"/>
  <c r="AG167" i="27"/>
  <c r="AG154" i="27"/>
  <c r="AG204" i="27"/>
  <c r="G125" i="27"/>
  <c r="L10" i="27"/>
  <c r="M10" i="27" s="1"/>
  <c r="M9" i="27"/>
  <c r="L97" i="27"/>
  <c r="M97" i="27" s="1"/>
  <c r="L57" i="27"/>
  <c r="M56" i="27"/>
  <c r="L64" i="27"/>
  <c r="M63" i="27"/>
  <c r="L129" i="27"/>
  <c r="M129" i="27" s="1"/>
  <c r="M125" i="27"/>
  <c r="L141" i="27"/>
  <c r="M160" i="27"/>
  <c r="G19" i="27"/>
  <c r="G110" i="27"/>
  <c r="G39" i="27"/>
  <c r="L73" i="27"/>
  <c r="M73" i="27" s="1"/>
  <c r="M72" i="27"/>
  <c r="L161" i="27"/>
  <c r="M161" i="27" s="1"/>
  <c r="L179" i="27"/>
  <c r="M176" i="27"/>
  <c r="L127" i="27"/>
  <c r="M127" i="27" s="1"/>
  <c r="M126" i="27"/>
  <c r="L16" i="27"/>
  <c r="M15" i="27"/>
  <c r="L120" i="27"/>
  <c r="M120" i="27" s="1"/>
  <c r="L146" i="27"/>
  <c r="M146" i="27" s="1"/>
  <c r="L48" i="27"/>
  <c r="M48" i="27" s="1"/>
  <c r="L98" i="27"/>
  <c r="M98" i="27" s="1"/>
  <c r="G9" i="27"/>
  <c r="L104" i="27"/>
  <c r="M104" i="27" s="1"/>
  <c r="L155" i="27"/>
  <c r="M155" i="27" s="1"/>
  <c r="L152" i="27"/>
  <c r="M152" i="27" s="1"/>
  <c r="L148" i="27"/>
  <c r="M148" i="27" s="1"/>
  <c r="L128" i="27"/>
  <c r="M128" i="27" s="1"/>
  <c r="L198" i="27"/>
  <c r="M198" i="27" s="1"/>
  <c r="L41" i="27"/>
  <c r="M41" i="27" s="1"/>
  <c r="L74" i="27"/>
  <c r="M74" i="27" s="1"/>
  <c r="L114" i="27"/>
  <c r="M114" i="27" s="1"/>
  <c r="AG159" i="27"/>
  <c r="G100" i="27"/>
  <c r="G83" i="27"/>
  <c r="G136" i="27"/>
  <c r="G139" i="27"/>
  <c r="G59" i="27"/>
  <c r="G130" i="27"/>
  <c r="G152" i="27"/>
  <c r="G95" i="27"/>
  <c r="F95" i="27"/>
  <c r="G51" i="27"/>
  <c r="F51" i="27"/>
  <c r="G111" i="27"/>
  <c r="F111" i="27"/>
  <c r="G201" i="27"/>
  <c r="F201" i="27"/>
  <c r="G192" i="27"/>
  <c r="F192" i="27"/>
  <c r="G18" i="27"/>
  <c r="F18" i="27"/>
  <c r="G106" i="27"/>
  <c r="F106" i="27"/>
  <c r="G77" i="27"/>
  <c r="F77" i="27"/>
  <c r="G185" i="27"/>
  <c r="G8" i="27"/>
  <c r="F8" i="27"/>
  <c r="G24" i="27"/>
  <c r="F24" i="27"/>
  <c r="G6" i="27"/>
  <c r="F6" i="27"/>
  <c r="G22" i="27"/>
  <c r="F22" i="27"/>
  <c r="G87" i="27"/>
  <c r="F87" i="27"/>
  <c r="G43" i="27"/>
  <c r="F43" i="27"/>
  <c r="G122" i="27"/>
  <c r="F122" i="27"/>
  <c r="G107" i="27"/>
  <c r="F107" i="27"/>
  <c r="G112" i="27"/>
  <c r="F112" i="27"/>
  <c r="G178" i="27"/>
  <c r="F178" i="27"/>
  <c r="G145" i="27"/>
  <c r="F145" i="27"/>
  <c r="G198" i="27"/>
  <c r="F198" i="27"/>
  <c r="G7" i="27"/>
  <c r="F7" i="27"/>
  <c r="G23" i="27"/>
  <c r="F23" i="27"/>
  <c r="G135" i="27"/>
  <c r="F135" i="27"/>
  <c r="G116" i="27"/>
  <c r="F116" i="27"/>
  <c r="G149" i="27"/>
  <c r="F149" i="27"/>
  <c r="G50" i="27"/>
  <c r="F50" i="27"/>
  <c r="G84" i="27"/>
  <c r="F84" i="27"/>
  <c r="G140" i="27"/>
  <c r="F140" i="27"/>
  <c r="G28" i="27"/>
  <c r="F28" i="27"/>
  <c r="G104" i="27"/>
  <c r="F104" i="27"/>
  <c r="G91" i="27"/>
  <c r="F91" i="27"/>
  <c r="G89" i="27"/>
  <c r="F89" i="27"/>
  <c r="G65" i="27"/>
  <c r="F65" i="27"/>
  <c r="G126" i="27"/>
  <c r="F126" i="27"/>
  <c r="G181" i="27"/>
  <c r="F181" i="27"/>
  <c r="L4" i="27"/>
  <c r="M4" i="27" s="1"/>
  <c r="G31" i="27"/>
  <c r="F31" i="27"/>
  <c r="G53" i="27"/>
  <c r="F53" i="27"/>
  <c r="G62" i="27"/>
  <c r="F62" i="27"/>
  <c r="G190" i="27"/>
  <c r="F190" i="27"/>
  <c r="G161" i="27"/>
  <c r="F161" i="27"/>
  <c r="G187" i="27"/>
  <c r="G166" i="27"/>
  <c r="G96" i="27"/>
  <c r="G63" i="27"/>
  <c r="F63" i="27"/>
  <c r="G169" i="27"/>
  <c r="F169" i="27"/>
  <c r="G156" i="27"/>
  <c r="F156" i="27"/>
  <c r="G188" i="27"/>
  <c r="F188" i="27"/>
  <c r="G42" i="27"/>
  <c r="F42" i="27"/>
  <c r="G151" i="27"/>
  <c r="F151" i="27"/>
  <c r="G202" i="27"/>
  <c r="F202" i="27"/>
  <c r="G173" i="27"/>
  <c r="F173" i="27"/>
  <c r="AG13" i="27"/>
  <c r="AG29" i="27"/>
  <c r="AG64" i="27"/>
  <c r="AG34" i="27"/>
  <c r="AG98" i="27"/>
  <c r="AG68" i="27"/>
  <c r="AG37" i="27"/>
  <c r="AG46" i="27"/>
  <c r="B7" i="53"/>
  <c r="K7" i="53" s="1"/>
  <c r="AG14" i="27"/>
  <c r="AG105" i="27"/>
  <c r="AG12" i="27"/>
  <c r="AG28" i="27"/>
  <c r="AG56" i="27"/>
  <c r="AG104" i="27"/>
  <c r="AG91" i="27"/>
  <c r="AG60" i="27"/>
  <c r="AG138" i="27"/>
  <c r="AG38" i="27"/>
  <c r="AG143" i="27"/>
  <c r="AG7" i="27"/>
  <c r="AG23" i="27"/>
  <c r="AG95" i="27"/>
  <c r="AG65" i="27"/>
  <c r="AG51" i="27"/>
  <c r="AG135" i="27"/>
  <c r="AG126" i="27"/>
  <c r="AG111" i="27"/>
  <c r="AG116" i="27"/>
  <c r="AG193" i="27"/>
  <c r="AG164" i="27"/>
  <c r="AG150" i="27"/>
  <c r="AG201" i="27"/>
  <c r="AG198" i="27"/>
  <c r="AG195" i="27"/>
  <c r="AG30" i="27"/>
  <c r="AG72" i="27"/>
  <c r="AG42" i="27"/>
  <c r="AG76" i="27"/>
  <c r="AG45" i="27"/>
  <c r="AG54" i="27"/>
  <c r="AG10" i="27"/>
  <c r="AG6" i="27"/>
  <c r="AG22" i="27"/>
  <c r="AG87" i="27"/>
  <c r="AG57" i="27"/>
  <c r="AG43" i="27"/>
  <c r="AG133" i="27"/>
  <c r="AG122" i="27"/>
  <c r="AG107" i="27"/>
  <c r="AG112" i="27"/>
  <c r="AG130" i="27"/>
  <c r="AG115" i="27"/>
  <c r="AG120" i="27"/>
  <c r="AG181" i="27"/>
  <c r="AG149" i="27"/>
  <c r="AG200" i="27"/>
  <c r="AG189" i="27"/>
  <c r="AG5" i="27"/>
  <c r="AG21" i="27"/>
  <c r="AG79" i="27"/>
  <c r="AG49" i="27"/>
  <c r="AG35" i="27"/>
  <c r="AG131" i="27"/>
  <c r="AG118" i="27"/>
  <c r="AG100" i="27"/>
  <c r="AG108" i="27"/>
  <c r="AG175" i="27"/>
  <c r="AG141" i="27"/>
  <c r="AG194" i="27"/>
  <c r="AG183" i="27"/>
  <c r="AG190" i="27"/>
  <c r="AG161" i="27"/>
  <c r="AG146" i="27"/>
  <c r="AG11" i="27"/>
  <c r="AG27" i="27"/>
  <c r="AG48" i="27"/>
  <c r="AG97" i="27"/>
  <c r="AG83" i="27"/>
  <c r="AG52" i="27"/>
  <c r="AG136" i="27"/>
  <c r="AG127" i="27"/>
  <c r="AG139" i="27"/>
  <c r="AG18" i="27"/>
  <c r="AG26" i="27"/>
  <c r="AG55" i="27"/>
  <c r="AG40" i="27"/>
  <c r="AG103" i="27"/>
  <c r="AG89" i="27"/>
  <c r="AG74" i="27"/>
  <c r="AG75" i="27"/>
  <c r="AG121" i="27"/>
  <c r="AG44" i="27"/>
  <c r="AG106" i="27"/>
  <c r="AG134" i="27"/>
  <c r="AG77" i="27"/>
  <c r="AG123" i="27"/>
  <c r="AG86" i="27"/>
  <c r="AG128" i="27"/>
  <c r="AG16" i="27"/>
  <c r="AG39" i="27"/>
  <c r="AG88" i="27"/>
  <c r="AG58" i="27"/>
  <c r="AG113" i="27"/>
  <c r="AG92" i="27"/>
  <c r="AG61" i="27"/>
  <c r="AG70" i="27"/>
  <c r="AG9" i="27"/>
  <c r="AG25" i="27"/>
  <c r="AG32" i="27"/>
  <c r="AG81" i="27"/>
  <c r="AG67" i="27"/>
  <c r="AG36" i="27"/>
  <c r="AG132" i="27"/>
  <c r="AG119" i="27"/>
  <c r="AG124" i="27"/>
  <c r="AG187" i="27"/>
  <c r="AG157" i="27"/>
  <c r="AG142" i="27"/>
  <c r="AG151" i="27"/>
  <c r="AG202" i="27"/>
  <c r="AG173" i="27"/>
  <c r="AG162" i="27"/>
  <c r="AG2" i="27"/>
  <c r="AG15" i="27"/>
  <c r="AG31" i="27"/>
  <c r="AG80" i="27"/>
  <c r="AG50" i="27"/>
  <c r="AG109" i="27"/>
  <c r="AG84" i="27"/>
  <c r="AG53" i="27"/>
  <c r="AG62" i="27"/>
  <c r="AG155" i="27"/>
  <c r="AG140" i="27"/>
  <c r="AG176" i="27"/>
  <c r="AG165" i="27"/>
  <c r="AG4" i="27"/>
  <c r="AG20" i="27"/>
  <c r="AG71" i="27"/>
  <c r="AG41" i="27"/>
  <c r="AG90" i="27"/>
  <c r="AG129" i="27"/>
  <c r="AG114" i="27"/>
  <c r="AG93" i="27"/>
  <c r="AG101" i="27"/>
  <c r="AG147" i="27"/>
  <c r="AG199" i="27"/>
  <c r="AG170" i="27"/>
  <c r="AG158" i="27"/>
  <c r="AG166" i="27"/>
  <c r="AG152" i="27"/>
  <c r="AG185" i="27"/>
  <c r="AG174" i="27"/>
  <c r="AG3" i="27"/>
  <c r="AG19" i="27"/>
  <c r="AG63" i="27"/>
  <c r="AG33" i="27"/>
  <c r="AG82" i="27"/>
  <c r="AG125" i="27"/>
  <c r="AG110" i="27"/>
  <c r="AG85" i="27"/>
  <c r="AG94" i="27"/>
  <c r="AG169" i="27"/>
  <c r="AG156" i="27"/>
  <c r="AG188" i="27"/>
  <c r="AG177" i="27"/>
  <c r="AG8" i="27"/>
  <c r="AG24" i="27"/>
  <c r="AG102" i="27"/>
  <c r="AG73" i="27"/>
  <c r="AG59" i="27"/>
  <c r="AG137" i="27"/>
  <c r="AG17" i="27"/>
  <c r="AG47" i="27"/>
  <c r="AG96" i="27"/>
  <c r="AG66" i="27"/>
  <c r="AG117" i="27"/>
  <c r="AG99" i="27"/>
  <c r="AG69" i="27"/>
  <c r="AG78" i="27"/>
  <c r="AG163" i="27"/>
  <c r="AG148" i="27"/>
  <c r="AG182" i="27"/>
  <c r="AG171" i="27"/>
  <c r="AG178" i="27"/>
  <c r="AG145" i="27"/>
  <c r="AG197" i="27"/>
  <c r="AG186" i="27"/>
  <c r="G35" i="27"/>
  <c r="G108" i="27"/>
  <c r="G11" i="27"/>
  <c r="G27" i="27"/>
  <c r="G164" i="27"/>
  <c r="G153" i="27"/>
  <c r="G21" i="27"/>
  <c r="G131" i="27"/>
  <c r="G175" i="27"/>
  <c r="G97" i="27"/>
  <c r="G193" i="27"/>
  <c r="G73" i="27"/>
  <c r="G120" i="27"/>
  <c r="G184" i="27"/>
  <c r="G79" i="27"/>
  <c r="G118" i="27"/>
  <c r="G141" i="27"/>
  <c r="G5" i="27"/>
  <c r="G25" i="27"/>
  <c r="G12" i="27"/>
  <c r="G10" i="27"/>
  <c r="G26" i="27"/>
  <c r="G75" i="27"/>
  <c r="G67" i="27"/>
  <c r="G196" i="27"/>
  <c r="G132" i="27"/>
  <c r="G138" i="27"/>
  <c r="G157" i="27"/>
  <c r="G176" i="27"/>
  <c r="G167" i="27"/>
  <c r="G155" i="27"/>
  <c r="G124" i="27"/>
  <c r="G143" i="27"/>
  <c r="G128" i="27"/>
  <c r="G38" i="27"/>
  <c r="G119" i="27"/>
  <c r="G70" i="27"/>
  <c r="G123" i="27"/>
  <c r="G46" i="27"/>
  <c r="G134" i="27"/>
  <c r="G60" i="27"/>
  <c r="G44" i="27"/>
  <c r="G36" i="27"/>
  <c r="G82" i="27"/>
  <c r="G81" i="27"/>
  <c r="G33" i="27"/>
  <c r="G32" i="27"/>
  <c r="G56" i="27"/>
  <c r="G40" i="27"/>
  <c r="L29" i="27"/>
  <c r="M29" i="27" s="1"/>
  <c r="L22" i="27"/>
  <c r="M22" i="27" s="1"/>
  <c r="L11" i="27"/>
  <c r="M11" i="27" s="1"/>
  <c r="G3" i="27"/>
  <c r="L123" i="27"/>
  <c r="M123" i="27" s="1"/>
  <c r="G88" i="27"/>
  <c r="G64" i="27"/>
  <c r="G55" i="27"/>
  <c r="G121" i="27"/>
  <c r="G86" i="27"/>
  <c r="G20" i="27"/>
  <c r="G71" i="27"/>
  <c r="G41" i="27"/>
  <c r="G90" i="27"/>
  <c r="G129" i="27"/>
  <c r="G114" i="27"/>
  <c r="G93" i="27"/>
  <c r="G101" i="27"/>
  <c r="G172" i="27"/>
  <c r="G160" i="27"/>
  <c r="G74" i="27"/>
  <c r="G103" i="27"/>
  <c r="G66" i="27"/>
  <c r="G148" i="27"/>
  <c r="G4" i="27"/>
  <c r="G78" i="27"/>
  <c r="G69" i="27"/>
  <c r="G163" i="27"/>
  <c r="G17" i="27"/>
  <c r="G182" i="27"/>
  <c r="G47" i="27"/>
  <c r="G117" i="27"/>
  <c r="G204" i="27"/>
  <c r="G195" i="27"/>
  <c r="G15" i="27"/>
  <c r="G80" i="27"/>
  <c r="G109" i="27"/>
  <c r="L130" i="27"/>
  <c r="M130" i="27" s="1"/>
  <c r="L80" i="27"/>
  <c r="L111" i="27"/>
  <c r="M111" i="27" s="1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G11" i="43" l="1"/>
  <c r="D48" i="45"/>
  <c r="D124" i="45"/>
  <c r="D10" i="45"/>
  <c r="D86" i="45"/>
  <c r="L81" i="27"/>
  <c r="M81" i="27" s="1"/>
  <c r="M80" i="27"/>
  <c r="L17" i="27"/>
  <c r="M16" i="27"/>
  <c r="L182" i="27"/>
  <c r="M182" i="27" s="1"/>
  <c r="M179" i="27"/>
  <c r="M141" i="27"/>
  <c r="L142" i="27"/>
  <c r="M142" i="27" s="1"/>
  <c r="M64" i="27"/>
  <c r="L65" i="27"/>
  <c r="M57" i="27"/>
  <c r="L58" i="27"/>
  <c r="L42" i="27"/>
  <c r="M42" i="27" s="1"/>
  <c r="L149" i="27"/>
  <c r="M149" i="27" s="1"/>
  <c r="L82" i="27"/>
  <c r="M82" i="27" s="1"/>
  <c r="L75" i="27"/>
  <c r="M75" i="27" s="1"/>
  <c r="L115" i="27"/>
  <c r="M115" i="27" s="1"/>
  <c r="L43" i="27"/>
  <c r="M43" i="27" s="1"/>
  <c r="L105" i="27"/>
  <c r="M105" i="27" s="1"/>
  <c r="L112" i="27"/>
  <c r="M112" i="27" s="1"/>
  <c r="L153" i="27"/>
  <c r="M153" i="27" s="1"/>
  <c r="L49" i="27"/>
  <c r="M49" i="27" s="1"/>
  <c r="L124" i="27"/>
  <c r="M124" i="27" s="1"/>
  <c r="L156" i="27"/>
  <c r="M156" i="27" s="1"/>
  <c r="L99" i="27"/>
  <c r="M99" i="27" s="1"/>
  <c r="L5" i="27"/>
  <c r="M5" i="27" s="1"/>
  <c r="B8" i="53"/>
  <c r="K8" i="53" s="1"/>
  <c r="L30" i="27"/>
  <c r="M30" i="27" s="1"/>
  <c r="L23" i="27"/>
  <c r="M23" i="27" s="1"/>
  <c r="L12" i="27"/>
  <c r="M12" i="27" s="1"/>
  <c r="L154" i="27"/>
  <c r="M154" i="27" s="1"/>
  <c r="L6" i="27"/>
  <c r="M6" i="27" s="1"/>
  <c r="L88" i="27"/>
  <c r="M88" i="27" s="1"/>
  <c r="Q152" i="43"/>
  <c r="Q140" i="43"/>
  <c r="Q128" i="43"/>
  <c r="Q116" i="43"/>
  <c r="Q104" i="43"/>
  <c r="Q92" i="43"/>
  <c r="Q80" i="43"/>
  <c r="Q68" i="43"/>
  <c r="Q52" i="43"/>
  <c r="Q48" i="43"/>
  <c r="Q32" i="43"/>
  <c r="Q24" i="43"/>
  <c r="Q12" i="43"/>
  <c r="Q8" i="43"/>
  <c r="Q155" i="43"/>
  <c r="Q151" i="43"/>
  <c r="Q147" i="43"/>
  <c r="Q143" i="43"/>
  <c r="Q139" i="43"/>
  <c r="Q135" i="43"/>
  <c r="Q131" i="43"/>
  <c r="Q127" i="43"/>
  <c r="Q123" i="43"/>
  <c r="Q119" i="43"/>
  <c r="Q115" i="43"/>
  <c r="Q111" i="43"/>
  <c r="Q107" i="43"/>
  <c r="Q103" i="43"/>
  <c r="Q99" i="43"/>
  <c r="Q95" i="43"/>
  <c r="Q91" i="43"/>
  <c r="Q87" i="43"/>
  <c r="Q83" i="43"/>
  <c r="Q79" i="43"/>
  <c r="Q75" i="43"/>
  <c r="Q71" i="43"/>
  <c r="Q67" i="43"/>
  <c r="Q63" i="43"/>
  <c r="Q59" i="43"/>
  <c r="Q55" i="43"/>
  <c r="Q51" i="43"/>
  <c r="Q47" i="43"/>
  <c r="Q43" i="43"/>
  <c r="Q39" i="43"/>
  <c r="Q35" i="43"/>
  <c r="Q31" i="43"/>
  <c r="Q27" i="43"/>
  <c r="Q23" i="43"/>
  <c r="Q19" i="43"/>
  <c r="Q15" i="43"/>
  <c r="Q11" i="43"/>
  <c r="Q7" i="43"/>
  <c r="Q3" i="43"/>
  <c r="Q144" i="43"/>
  <c r="Q132" i="43"/>
  <c r="Q120" i="43"/>
  <c r="Q108" i="43"/>
  <c r="Q96" i="43"/>
  <c r="Q84" i="43"/>
  <c r="Q72" i="43"/>
  <c r="Q60" i="43"/>
  <c r="Q40" i="43"/>
  <c r="Q20" i="43"/>
  <c r="Q154" i="43"/>
  <c r="Q150" i="43"/>
  <c r="Q146" i="43"/>
  <c r="Q142" i="43"/>
  <c r="Q138" i="43"/>
  <c r="Q134" i="43"/>
  <c r="Q130" i="43"/>
  <c r="Q126" i="43"/>
  <c r="Q122" i="43"/>
  <c r="Q118" i="43"/>
  <c r="Q114" i="43"/>
  <c r="Q110" i="43"/>
  <c r="Q106" i="43"/>
  <c r="Q102" i="43"/>
  <c r="Q98" i="43"/>
  <c r="Q94" i="43"/>
  <c r="Q90" i="43"/>
  <c r="Q86" i="43"/>
  <c r="Q82" i="43"/>
  <c r="Q78" i="43"/>
  <c r="Q74" i="43"/>
  <c r="Q70" i="43"/>
  <c r="Q66" i="43"/>
  <c r="Q62" i="43"/>
  <c r="Q58" i="43"/>
  <c r="Q54" i="43"/>
  <c r="Q50" i="43"/>
  <c r="Q46" i="43"/>
  <c r="Q42" i="43"/>
  <c r="Q38" i="43"/>
  <c r="Q34" i="43"/>
  <c r="Q30" i="43"/>
  <c r="Q26" i="43"/>
  <c r="Q22" i="43"/>
  <c r="Q18" i="43"/>
  <c r="Q14" i="43"/>
  <c r="Q10" i="43"/>
  <c r="Q6" i="43"/>
  <c r="Q148" i="43"/>
  <c r="Q136" i="43"/>
  <c r="Q124" i="43"/>
  <c r="Q112" i="43"/>
  <c r="Q100" i="43"/>
  <c r="Q88" i="43"/>
  <c r="Q76" i="43"/>
  <c r="Q64" i="43"/>
  <c r="Q56" i="43"/>
  <c r="Q44" i="43"/>
  <c r="Q36" i="43"/>
  <c r="Q28" i="43"/>
  <c r="Q16" i="43"/>
  <c r="Q4" i="43"/>
  <c r="Q153" i="43"/>
  <c r="Q149" i="43"/>
  <c r="Q145" i="43"/>
  <c r="Q141" i="43"/>
  <c r="Q137" i="43"/>
  <c r="Q133" i="43"/>
  <c r="Q129" i="43"/>
  <c r="Q125" i="43"/>
  <c r="Q121" i="43"/>
  <c r="Q117" i="43"/>
  <c r="Q113" i="43"/>
  <c r="Q109" i="43"/>
  <c r="Q105" i="43"/>
  <c r="Q101" i="43"/>
  <c r="Q97" i="43"/>
  <c r="Q93" i="43"/>
  <c r="Q89" i="43"/>
  <c r="Q85" i="43"/>
  <c r="Q81" i="43"/>
  <c r="Q77" i="43"/>
  <c r="Q73" i="43"/>
  <c r="Q69" i="43"/>
  <c r="Q65" i="43"/>
  <c r="Q61" i="43"/>
  <c r="Q57" i="43"/>
  <c r="Q53" i="43"/>
  <c r="Q49" i="43"/>
  <c r="Q45" i="43"/>
  <c r="Q41" i="43"/>
  <c r="Q37" i="43"/>
  <c r="Q33" i="43"/>
  <c r="Q29" i="43"/>
  <c r="Q25" i="43"/>
  <c r="Q21" i="43"/>
  <c r="Q17" i="43"/>
  <c r="Q13" i="43"/>
  <c r="Q9" i="43"/>
  <c r="Q5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G12" i="43" l="1"/>
  <c r="D11" i="45"/>
  <c r="D87" i="45"/>
  <c r="D125" i="45"/>
  <c r="D49" i="45"/>
  <c r="M58" i="27"/>
  <c r="L59" i="27"/>
  <c r="M17" i="27"/>
  <c r="L18" i="27"/>
  <c r="M65" i="27"/>
  <c r="L66" i="27"/>
  <c r="L89" i="27"/>
  <c r="M89" i="27" s="1"/>
  <c r="L100" i="27"/>
  <c r="M100" i="27" s="1"/>
  <c r="L50" i="27"/>
  <c r="M50" i="27" s="1"/>
  <c r="L90" i="27"/>
  <c r="M90" i="27" s="1"/>
  <c r="L83" i="27"/>
  <c r="M83" i="27" s="1"/>
  <c r="L116" i="27"/>
  <c r="M116" i="27" s="1"/>
  <c r="L157" i="27"/>
  <c r="M157" i="27" s="1"/>
  <c r="L150" i="27"/>
  <c r="M150" i="27" s="1"/>
  <c r="L106" i="27"/>
  <c r="M106" i="27" s="1"/>
  <c r="L44" i="27"/>
  <c r="M44" i="27" s="1"/>
  <c r="L76" i="27"/>
  <c r="M76" i="27" s="1"/>
  <c r="L31" i="27"/>
  <c r="M31" i="27" s="1"/>
  <c r="L24" i="27"/>
  <c r="M24" i="27" s="1"/>
  <c r="L13" i="27"/>
  <c r="M13" i="27" s="1"/>
  <c r="L7" i="27"/>
  <c r="M7" i="27" s="1"/>
  <c r="L158" i="27"/>
  <c r="M158" i="27" s="1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G13" i="43" l="1"/>
  <c r="D50" i="45"/>
  <c r="D12" i="45"/>
  <c r="D88" i="45"/>
  <c r="D126" i="45"/>
  <c r="M18" i="27"/>
  <c r="L19" i="27"/>
  <c r="M19" i="27" s="1"/>
  <c r="M66" i="27"/>
  <c r="L67" i="27"/>
  <c r="M59" i="27"/>
  <c r="L60" i="27"/>
  <c r="L107" i="27"/>
  <c r="M107" i="27" s="1"/>
  <c r="L91" i="27"/>
  <c r="M91" i="27" s="1"/>
  <c r="L101" i="27"/>
  <c r="M101" i="27" s="1"/>
  <c r="L32" i="27"/>
  <c r="M32" i="27" s="1"/>
  <c r="L45" i="27"/>
  <c r="M45" i="27" s="1"/>
  <c r="L84" i="27"/>
  <c r="M84" i="27" s="1"/>
  <c r="L77" i="27"/>
  <c r="M77" i="27" s="1"/>
  <c r="L51" i="27"/>
  <c r="M51" i="27" s="1"/>
  <c r="L25" i="27"/>
  <c r="M25" i="27" s="1"/>
  <c r="L162" i="27"/>
  <c r="M162" i="27" s="1"/>
  <c r="D111" i="51"/>
  <c r="L2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G14" i="43" l="1"/>
  <c r="D51" i="45"/>
  <c r="D127" i="45"/>
  <c r="D13" i="45"/>
  <c r="D89" i="45"/>
  <c r="M67" i="27"/>
  <c r="L68" i="27"/>
  <c r="M60" i="27"/>
  <c r="L61" i="27"/>
  <c r="L33" i="27"/>
  <c r="M33" i="27" s="1"/>
  <c r="L52" i="27"/>
  <c r="M52" i="27" s="1"/>
  <c r="L108" i="27"/>
  <c r="M108" i="27" s="1"/>
  <c r="L78" i="27"/>
  <c r="M78" i="27" s="1"/>
  <c r="L92" i="27"/>
  <c r="M92" i="27" s="1"/>
  <c r="L85" i="27"/>
  <c r="M85" i="27" s="1"/>
  <c r="L46" i="27"/>
  <c r="M46" i="27" s="1"/>
  <c r="L26" i="27"/>
  <c r="M26" i="27" s="1"/>
  <c r="L165" i="27"/>
  <c r="M165" i="27" s="1"/>
  <c r="D112" i="51"/>
  <c r="L3" i="45"/>
  <c r="L4" i="45"/>
  <c r="L5" i="45"/>
  <c r="L6" i="45"/>
  <c r="L7" i="45"/>
  <c r="L8" i="45"/>
  <c r="L9" i="45"/>
  <c r="L10" i="45"/>
  <c r="L11" i="45"/>
  <c r="L12" i="45"/>
  <c r="L13" i="45"/>
  <c r="L14" i="45"/>
  <c r="L15" i="45"/>
  <c r="L16" i="45"/>
  <c r="L17" i="45"/>
  <c r="L18" i="45"/>
  <c r="L19" i="45"/>
  <c r="L20" i="45"/>
  <c r="L21" i="45"/>
  <c r="L22" i="45"/>
  <c r="L23" i="45"/>
  <c r="L24" i="45"/>
  <c r="L25" i="45"/>
  <c r="L26" i="45"/>
  <c r="L27" i="45"/>
  <c r="L28" i="45"/>
  <c r="L29" i="45"/>
  <c r="L30" i="45"/>
  <c r="L31" i="45"/>
  <c r="L32" i="45"/>
  <c r="L33" i="45"/>
  <c r="L34" i="45"/>
  <c r="L35" i="45"/>
  <c r="L36" i="45"/>
  <c r="L37" i="45"/>
  <c r="L38" i="45"/>
  <c r="L39" i="45"/>
  <c r="L40" i="45"/>
  <c r="L41" i="45"/>
  <c r="L42" i="45"/>
  <c r="L43" i="45"/>
  <c r="L44" i="45"/>
  <c r="L45" i="45"/>
  <c r="L46" i="45"/>
  <c r="L47" i="45"/>
  <c r="L48" i="45"/>
  <c r="L49" i="45"/>
  <c r="L50" i="45"/>
  <c r="L51" i="45"/>
  <c r="L52" i="45"/>
  <c r="L53" i="45"/>
  <c r="L54" i="45"/>
  <c r="L55" i="45"/>
  <c r="L56" i="45"/>
  <c r="L57" i="45"/>
  <c r="L58" i="45"/>
  <c r="L59" i="45"/>
  <c r="L60" i="45"/>
  <c r="L61" i="45"/>
  <c r="L62" i="45"/>
  <c r="L63" i="45"/>
  <c r="L64" i="45"/>
  <c r="L65" i="45"/>
  <c r="L66" i="45"/>
  <c r="L67" i="45"/>
  <c r="L68" i="45"/>
  <c r="L69" i="45"/>
  <c r="L70" i="45"/>
  <c r="L71" i="45"/>
  <c r="L72" i="45"/>
  <c r="L73" i="45"/>
  <c r="L74" i="45"/>
  <c r="L75" i="45"/>
  <c r="L76" i="45"/>
  <c r="L77" i="45"/>
  <c r="L78" i="45"/>
  <c r="L79" i="45"/>
  <c r="L80" i="45"/>
  <c r="L81" i="45"/>
  <c r="L82" i="45"/>
  <c r="L83" i="45"/>
  <c r="L84" i="45"/>
  <c r="L85" i="45"/>
  <c r="L86" i="45"/>
  <c r="L87" i="45"/>
  <c r="L88" i="45"/>
  <c r="L89" i="45"/>
  <c r="L90" i="45"/>
  <c r="L91" i="45"/>
  <c r="L92" i="45"/>
  <c r="L93" i="45"/>
  <c r="L94" i="45"/>
  <c r="L95" i="45"/>
  <c r="L96" i="45"/>
  <c r="L97" i="45"/>
  <c r="L98" i="45"/>
  <c r="L99" i="45"/>
  <c r="L100" i="45"/>
  <c r="L101" i="45"/>
  <c r="L102" i="45"/>
  <c r="L103" i="45"/>
  <c r="L104" i="45"/>
  <c r="L105" i="45"/>
  <c r="L106" i="45"/>
  <c r="L107" i="45"/>
  <c r="L108" i="45"/>
  <c r="L109" i="45"/>
  <c r="L110" i="45"/>
  <c r="L111" i="45"/>
  <c r="L112" i="45"/>
  <c r="L113" i="45"/>
  <c r="L114" i="45"/>
  <c r="L115" i="45"/>
  <c r="L116" i="45"/>
  <c r="L117" i="45"/>
  <c r="L118" i="45"/>
  <c r="L119" i="45"/>
  <c r="L120" i="45"/>
  <c r="L121" i="45"/>
  <c r="L122" i="45"/>
  <c r="L123" i="45"/>
  <c r="L124" i="45"/>
  <c r="L125" i="45"/>
  <c r="L126" i="45"/>
  <c r="L127" i="45"/>
  <c r="L128" i="45"/>
  <c r="L129" i="45"/>
  <c r="L130" i="45"/>
  <c r="L131" i="45"/>
  <c r="L132" i="45"/>
  <c r="L133" i="45"/>
  <c r="L134" i="45"/>
  <c r="L135" i="45"/>
  <c r="L136" i="45"/>
  <c r="L137" i="45"/>
  <c r="L138" i="45"/>
  <c r="L139" i="45"/>
  <c r="L140" i="45"/>
  <c r="L141" i="45"/>
  <c r="L142" i="45"/>
  <c r="L143" i="45"/>
  <c r="L144" i="45"/>
  <c r="L145" i="45"/>
  <c r="L146" i="45"/>
  <c r="L147" i="45"/>
  <c r="L148" i="45"/>
  <c r="L149" i="45"/>
  <c r="L150" i="45"/>
  <c r="L151" i="45"/>
  <c r="L152" i="45"/>
  <c r="L153" i="45"/>
  <c r="L154" i="45"/>
  <c r="L155" i="45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2" i="45"/>
  <c r="B3" i="45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G15" i="43" l="1"/>
  <c r="D14" i="45"/>
  <c r="D90" i="45"/>
  <c r="D52" i="45"/>
  <c r="D128" i="45"/>
  <c r="L34" i="27"/>
  <c r="M34" i="27" s="1"/>
  <c r="M61" i="27"/>
  <c r="L62" i="27"/>
  <c r="M62" i="27" s="1"/>
  <c r="M68" i="27"/>
  <c r="L69" i="27"/>
  <c r="L93" i="27"/>
  <c r="M93" i="27" s="1"/>
  <c r="L53" i="27"/>
  <c r="M53" i="27" s="1"/>
  <c r="L86" i="27"/>
  <c r="M86" i="27" s="1"/>
  <c r="L35" i="27"/>
  <c r="M35" i="27" s="1"/>
  <c r="L168" i="27"/>
  <c r="M168" i="27" s="1"/>
  <c r="D113" i="51"/>
  <c r="M154" i="45"/>
  <c r="M150" i="45"/>
  <c r="M146" i="45"/>
  <c r="M142" i="45"/>
  <c r="M138" i="45"/>
  <c r="M134" i="45"/>
  <c r="M130" i="45"/>
  <c r="M126" i="45"/>
  <c r="M122" i="45"/>
  <c r="M118" i="45"/>
  <c r="M114" i="45"/>
  <c r="M110" i="45"/>
  <c r="M106" i="45"/>
  <c r="M102" i="45"/>
  <c r="M98" i="45"/>
  <c r="M94" i="45"/>
  <c r="M90" i="45"/>
  <c r="M86" i="45"/>
  <c r="M82" i="45"/>
  <c r="M78" i="45"/>
  <c r="M74" i="45"/>
  <c r="M70" i="45"/>
  <c r="M66" i="45"/>
  <c r="M62" i="45"/>
  <c r="M58" i="45"/>
  <c r="M54" i="45"/>
  <c r="M50" i="45"/>
  <c r="M46" i="45"/>
  <c r="M42" i="45"/>
  <c r="M38" i="45"/>
  <c r="M34" i="45"/>
  <c r="M30" i="45"/>
  <c r="M26" i="45"/>
  <c r="M22" i="45"/>
  <c r="M18" i="45"/>
  <c r="M14" i="45"/>
  <c r="M10" i="45"/>
  <c r="M6" i="45"/>
  <c r="M73" i="45"/>
  <c r="M153" i="45"/>
  <c r="M149" i="45"/>
  <c r="M145" i="45"/>
  <c r="M141" i="45"/>
  <c r="M137" i="45"/>
  <c r="M133" i="45"/>
  <c r="M129" i="45"/>
  <c r="M125" i="45"/>
  <c r="M121" i="45"/>
  <c r="M117" i="45"/>
  <c r="M113" i="45"/>
  <c r="M109" i="45"/>
  <c r="M105" i="45"/>
  <c r="M101" i="45"/>
  <c r="M97" i="45"/>
  <c r="M93" i="45"/>
  <c r="M89" i="45"/>
  <c r="M85" i="45"/>
  <c r="M81" i="45"/>
  <c r="M77" i="45"/>
  <c r="M69" i="45"/>
  <c r="M65" i="45"/>
  <c r="M61" i="45"/>
  <c r="M57" i="45"/>
  <c r="M53" i="45"/>
  <c r="M49" i="45"/>
  <c r="M45" i="45"/>
  <c r="M41" i="45"/>
  <c r="M37" i="45"/>
  <c r="M33" i="45"/>
  <c r="M29" i="45"/>
  <c r="M25" i="45"/>
  <c r="M21" i="45"/>
  <c r="M17" i="45"/>
  <c r="M13" i="45"/>
  <c r="M9" i="45"/>
  <c r="M5" i="45"/>
  <c r="M152" i="45"/>
  <c r="M148" i="45"/>
  <c r="M144" i="45"/>
  <c r="M140" i="45"/>
  <c r="M136" i="45"/>
  <c r="M132" i="45"/>
  <c r="M128" i="45"/>
  <c r="M124" i="45"/>
  <c r="M120" i="45"/>
  <c r="M116" i="45"/>
  <c r="M112" i="45"/>
  <c r="M108" i="45"/>
  <c r="M104" i="45"/>
  <c r="M100" i="45"/>
  <c r="M96" i="45"/>
  <c r="M92" i="45"/>
  <c r="M88" i="45"/>
  <c r="M84" i="45"/>
  <c r="M80" i="45"/>
  <c r="M76" i="45"/>
  <c r="M72" i="45"/>
  <c r="M68" i="45"/>
  <c r="M64" i="45"/>
  <c r="M60" i="45"/>
  <c r="M56" i="45"/>
  <c r="M52" i="45"/>
  <c r="M48" i="45"/>
  <c r="M44" i="45"/>
  <c r="M40" i="45"/>
  <c r="M36" i="45"/>
  <c r="M32" i="45"/>
  <c r="M28" i="45"/>
  <c r="M24" i="45"/>
  <c r="M20" i="45"/>
  <c r="M16" i="45"/>
  <c r="M12" i="45"/>
  <c r="M8" i="45"/>
  <c r="M4" i="45"/>
  <c r="M155" i="45"/>
  <c r="M151" i="45"/>
  <c r="M147" i="45"/>
  <c r="M143" i="45"/>
  <c r="M139" i="45"/>
  <c r="M135" i="45"/>
  <c r="M131" i="45"/>
  <c r="M127" i="45"/>
  <c r="M123" i="45"/>
  <c r="M119" i="45"/>
  <c r="M115" i="45"/>
  <c r="M111" i="45"/>
  <c r="M107" i="45"/>
  <c r="M103" i="45"/>
  <c r="M99" i="45"/>
  <c r="M95" i="45"/>
  <c r="M91" i="45"/>
  <c r="M87" i="45"/>
  <c r="M83" i="45"/>
  <c r="M79" i="45"/>
  <c r="M75" i="45"/>
  <c r="M71" i="45"/>
  <c r="M67" i="45"/>
  <c r="M63" i="45"/>
  <c r="M59" i="45"/>
  <c r="M55" i="45"/>
  <c r="M51" i="45"/>
  <c r="M47" i="45"/>
  <c r="M43" i="45"/>
  <c r="M39" i="45"/>
  <c r="M35" i="45"/>
  <c r="M31" i="45"/>
  <c r="M27" i="45"/>
  <c r="M23" i="45"/>
  <c r="M19" i="45"/>
  <c r="M15" i="45"/>
  <c r="M11" i="45"/>
  <c r="M7" i="45"/>
  <c r="M3" i="45"/>
  <c r="M2" i="45"/>
  <c r="G16" i="43" l="1"/>
  <c r="D15" i="45"/>
  <c r="D91" i="45"/>
  <c r="D53" i="45"/>
  <c r="D129" i="45"/>
  <c r="M69" i="27"/>
  <c r="L70" i="27"/>
  <c r="M70" i="27" s="1"/>
  <c r="L36" i="27"/>
  <c r="M36" i="27" s="1"/>
  <c r="L54" i="27"/>
  <c r="M54" i="27" s="1"/>
  <c r="L94" i="27"/>
  <c r="M94" i="27" s="1"/>
  <c r="L171" i="27"/>
  <c r="M171" i="27" s="1"/>
  <c r="D114" i="51"/>
  <c r="Q2" i="2"/>
  <c r="G17" i="43" l="1"/>
  <c r="D16" i="45"/>
  <c r="D92" i="45"/>
  <c r="D54" i="45"/>
  <c r="D130" i="45"/>
  <c r="L37" i="27"/>
  <c r="M37" i="27" s="1"/>
  <c r="L174" i="27"/>
  <c r="M174" i="27" s="1"/>
  <c r="D115" i="51"/>
  <c r="G18" i="43" l="1"/>
  <c r="D55" i="45"/>
  <c r="D131" i="45"/>
  <c r="D17" i="45"/>
  <c r="D93" i="45"/>
  <c r="L38" i="27"/>
  <c r="M38" i="27" s="1"/>
  <c r="L177" i="27"/>
  <c r="M177" i="27" s="1"/>
  <c r="D116" i="51"/>
  <c r="G19" i="43" l="1"/>
  <c r="D56" i="45"/>
  <c r="D132" i="45"/>
  <c r="D18" i="45"/>
  <c r="D94" i="45"/>
  <c r="L180" i="27"/>
  <c r="M180" i="27" s="1"/>
  <c r="D117" i="51"/>
  <c r="G20" i="43" l="1"/>
  <c r="D19" i="45"/>
  <c r="D95" i="45"/>
  <c r="D133" i="45"/>
  <c r="D57" i="45"/>
  <c r="L183" i="27"/>
  <c r="M183" i="27" s="1"/>
  <c r="D118" i="51"/>
  <c r="G21" i="43" l="1"/>
  <c r="D58" i="45"/>
  <c r="D134" i="45"/>
  <c r="D20" i="45"/>
  <c r="D96" i="45"/>
  <c r="L186" i="27"/>
  <c r="M186" i="27" s="1"/>
  <c r="D119" i="51"/>
  <c r="H2" i="43"/>
  <c r="H3" i="43" s="1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G22" i="43" l="1"/>
  <c r="D59" i="45"/>
  <c r="D135" i="45"/>
  <c r="D21" i="45"/>
  <c r="D97" i="45"/>
  <c r="L189" i="27"/>
  <c r="M189" i="27" s="1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G23" i="43" l="1"/>
  <c r="D22" i="45"/>
  <c r="D98" i="45"/>
  <c r="D60" i="45"/>
  <c r="D136" i="45"/>
  <c r="D121" i="5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G24" i="43" l="1"/>
  <c r="D23" i="45"/>
  <c r="D99" i="45"/>
  <c r="D61" i="45"/>
  <c r="D137" i="45"/>
  <c r="D122" i="51"/>
  <c r="G25" i="43" l="1"/>
  <c r="D24" i="45"/>
  <c r="D100" i="45"/>
  <c r="D62" i="45"/>
  <c r="D138" i="45"/>
  <c r="D123" i="51"/>
  <c r="D2" i="48"/>
  <c r="K2" i="48" s="1"/>
  <c r="G26" i="43" l="1"/>
  <c r="D63" i="45"/>
  <c r="D139" i="45"/>
  <c r="D25" i="45"/>
  <c r="D101" i="45"/>
  <c r="J183" i="27"/>
  <c r="J180" i="27"/>
  <c r="J171" i="27"/>
  <c r="J168" i="27"/>
  <c r="J158" i="27"/>
  <c r="J154" i="27"/>
  <c r="J2" i="27"/>
  <c r="J20" i="27"/>
  <c r="J165" i="27"/>
  <c r="J174" i="27"/>
  <c r="J195" i="27"/>
  <c r="J150" i="27"/>
  <c r="J94" i="27"/>
  <c r="J54" i="27"/>
  <c r="J101" i="27"/>
  <c r="J189" i="27"/>
  <c r="J120" i="27"/>
  <c r="J38" i="27"/>
  <c r="J177" i="27"/>
  <c r="J70" i="27"/>
  <c r="J78" i="27"/>
  <c r="J186" i="27"/>
  <c r="J204" i="27"/>
  <c r="J124" i="27"/>
  <c r="J142" i="27"/>
  <c r="J46" i="27"/>
  <c r="J86" i="27"/>
  <c r="J146" i="27"/>
  <c r="J108" i="27"/>
  <c r="J128" i="27"/>
  <c r="J162" i="27"/>
  <c r="J14" i="27"/>
  <c r="J62" i="27"/>
  <c r="J198" i="27"/>
  <c r="J192" i="27"/>
  <c r="J201" i="27"/>
  <c r="J116" i="27"/>
  <c r="J112" i="27"/>
  <c r="J23" i="27"/>
  <c r="J8" i="27"/>
  <c r="K3" i="48"/>
  <c r="D124" i="51"/>
  <c r="L11" i="46"/>
  <c r="L10" i="46"/>
  <c r="L9" i="46"/>
  <c r="L8" i="46"/>
  <c r="L7" i="46"/>
  <c r="L6" i="46"/>
  <c r="L5" i="46"/>
  <c r="L4" i="46"/>
  <c r="L3" i="46"/>
  <c r="L2" i="46"/>
  <c r="E2" i="42"/>
  <c r="E3" i="42"/>
  <c r="E4" i="42"/>
  <c r="E1" i="42"/>
  <c r="E5" i="42"/>
  <c r="G27" i="43" l="1"/>
  <c r="D64" i="45"/>
  <c r="D140" i="45"/>
  <c r="D26" i="45"/>
  <c r="D102" i="45"/>
  <c r="K4" i="48"/>
  <c r="J191" i="27"/>
  <c r="J194" i="27"/>
  <c r="J203" i="27"/>
  <c r="J164" i="27"/>
  <c r="J153" i="27"/>
  <c r="J100" i="27"/>
  <c r="J167" i="27"/>
  <c r="J197" i="27"/>
  <c r="J3" i="27"/>
  <c r="J179" i="27"/>
  <c r="J69" i="27"/>
  <c r="J157" i="27"/>
  <c r="J185" i="27"/>
  <c r="J127" i="27"/>
  <c r="J119" i="27"/>
  <c r="J61" i="27"/>
  <c r="J93" i="27"/>
  <c r="J182" i="27"/>
  <c r="J200" i="27"/>
  <c r="J115" i="27"/>
  <c r="J21" i="27"/>
  <c r="J141" i="27"/>
  <c r="J176" i="27"/>
  <c r="J85" i="27"/>
  <c r="J170" i="27"/>
  <c r="J37" i="27"/>
  <c r="J123" i="27"/>
  <c r="J15" i="27"/>
  <c r="J45" i="27"/>
  <c r="J111" i="27"/>
  <c r="J149" i="27"/>
  <c r="J161" i="27"/>
  <c r="J173" i="27"/>
  <c r="J77" i="27"/>
  <c r="J53" i="27"/>
  <c r="J24" i="27"/>
  <c r="J145" i="27"/>
  <c r="J188" i="27"/>
  <c r="J107" i="27"/>
  <c r="K5" i="48"/>
  <c r="D125" i="51"/>
  <c r="G3" i="48"/>
  <c r="G28" i="43" l="1"/>
  <c r="D27" i="45"/>
  <c r="D103" i="45"/>
  <c r="D141" i="45"/>
  <c r="D65" i="45"/>
  <c r="J17" i="27"/>
  <c r="J5" i="27"/>
  <c r="J30" i="27"/>
  <c r="J11" i="27"/>
  <c r="J26" i="27"/>
  <c r="J4" i="27"/>
  <c r="J66" i="27"/>
  <c r="J49" i="27"/>
  <c r="J81" i="27"/>
  <c r="J34" i="27"/>
  <c r="J82" i="27"/>
  <c r="J74" i="27"/>
  <c r="J97" i="27"/>
  <c r="J41" i="27"/>
  <c r="J73" i="27"/>
  <c r="J10" i="27"/>
  <c r="J33" i="27"/>
  <c r="J58" i="27"/>
  <c r="J29" i="27"/>
  <c r="J16" i="27"/>
  <c r="J25" i="27"/>
  <c r="J90" i="27"/>
  <c r="J57" i="27"/>
  <c r="J42" i="27"/>
  <c r="J50" i="27"/>
  <c r="J22" i="27"/>
  <c r="J89" i="27"/>
  <c r="J65" i="27"/>
  <c r="J104" i="27"/>
  <c r="K6" i="48"/>
  <c r="D126" i="51"/>
  <c r="G2" i="48"/>
  <c r="G4" i="48"/>
  <c r="G29" i="43" l="1"/>
  <c r="D66" i="45"/>
  <c r="D28" i="45"/>
  <c r="D104" i="45"/>
  <c r="D142" i="45"/>
  <c r="J103" i="27"/>
  <c r="J48" i="27"/>
  <c r="J39" i="27"/>
  <c r="J72" i="27"/>
  <c r="J64" i="27"/>
  <c r="J56" i="27"/>
  <c r="J71" i="27"/>
  <c r="J102" i="27"/>
  <c r="J80" i="27"/>
  <c r="J88" i="27"/>
  <c r="J27" i="27"/>
  <c r="J79" i="27"/>
  <c r="J40" i="27"/>
  <c r="J47" i="27"/>
  <c r="J32" i="27"/>
  <c r="J12" i="27"/>
  <c r="J96" i="27"/>
  <c r="J55" i="27"/>
  <c r="J6" i="27"/>
  <c r="J95" i="27"/>
  <c r="J31" i="27"/>
  <c r="J87" i="27"/>
  <c r="J18" i="27"/>
  <c r="J63" i="27"/>
  <c r="G7" i="48"/>
  <c r="G5" i="48"/>
  <c r="G6" i="48"/>
  <c r="K7" i="48"/>
  <c r="D127" i="51"/>
  <c r="G30" i="43" l="1"/>
  <c r="D67" i="45"/>
  <c r="D143" i="45"/>
  <c r="D105" i="45"/>
  <c r="D29" i="45"/>
  <c r="J19" i="27"/>
  <c r="J13" i="27"/>
  <c r="J7" i="27"/>
  <c r="J28" i="27"/>
  <c r="K8" i="48"/>
  <c r="D128" i="51"/>
  <c r="G31" i="43" l="1"/>
  <c r="D30" i="45"/>
  <c r="D106" i="45"/>
  <c r="D68" i="45"/>
  <c r="D144" i="45"/>
  <c r="J155" i="27"/>
  <c r="J132" i="27"/>
  <c r="J129" i="27"/>
  <c r="J160" i="27"/>
  <c r="J163" i="27"/>
  <c r="J152" i="27"/>
  <c r="J60" i="27"/>
  <c r="J187" i="27"/>
  <c r="J136" i="27"/>
  <c r="J137" i="27"/>
  <c r="J133" i="27"/>
  <c r="J125" i="27"/>
  <c r="J92" i="27"/>
  <c r="J147" i="27"/>
  <c r="J138" i="27"/>
  <c r="J114" i="27"/>
  <c r="J117" i="27"/>
  <c r="J148" i="27"/>
  <c r="J196" i="27"/>
  <c r="J75" i="27"/>
  <c r="J130" i="27"/>
  <c r="J35" i="27"/>
  <c r="J175" i="27"/>
  <c r="J109" i="27"/>
  <c r="J67" i="27"/>
  <c r="J110" i="27"/>
  <c r="J98" i="27"/>
  <c r="J199" i="27"/>
  <c r="J105" i="27"/>
  <c r="J172" i="27"/>
  <c r="J193" i="27"/>
  <c r="J134" i="27"/>
  <c r="J113" i="27"/>
  <c r="J143" i="27"/>
  <c r="J99" i="27"/>
  <c r="J121" i="27"/>
  <c r="J83" i="27"/>
  <c r="J139" i="27"/>
  <c r="J131" i="27"/>
  <c r="J159" i="27"/>
  <c r="J68" i="27"/>
  <c r="J76" i="27"/>
  <c r="J52" i="27"/>
  <c r="J184" i="27"/>
  <c r="J118" i="27"/>
  <c r="J9" i="27"/>
  <c r="J166" i="27"/>
  <c r="J36" i="27"/>
  <c r="J59" i="27"/>
  <c r="J44" i="27"/>
  <c r="J144" i="27"/>
  <c r="J202" i="27"/>
  <c r="J91" i="27"/>
  <c r="J181" i="27"/>
  <c r="J126" i="27"/>
  <c r="J169" i="27"/>
  <c r="J135" i="27"/>
  <c r="J84" i="27"/>
  <c r="J156" i="27"/>
  <c r="J151" i="27"/>
  <c r="J178" i="27"/>
  <c r="J140" i="27"/>
  <c r="J122" i="27"/>
  <c r="J106" i="27"/>
  <c r="J190" i="27"/>
  <c r="J51" i="27"/>
  <c r="J43" i="27"/>
  <c r="K16" i="48"/>
  <c r="G8" i="48"/>
  <c r="D129" i="51"/>
  <c r="J16" i="2"/>
  <c r="J15" i="2"/>
  <c r="J12" i="2"/>
  <c r="J11" i="2"/>
  <c r="J8" i="2"/>
  <c r="J7" i="2"/>
  <c r="J4" i="2"/>
  <c r="J3" i="2"/>
  <c r="C3" i="2"/>
  <c r="G32" i="43" l="1"/>
  <c r="D31" i="45"/>
  <c r="D107" i="45"/>
  <c r="D69" i="45"/>
  <c r="D145" i="45"/>
  <c r="K17" i="48"/>
  <c r="G16" i="48"/>
  <c r="D130" i="51"/>
  <c r="C4" i="2"/>
  <c r="J5" i="2"/>
  <c r="J9" i="2"/>
  <c r="J13" i="2"/>
  <c r="J6" i="2"/>
  <c r="J10" i="2"/>
  <c r="J14" i="2"/>
  <c r="G33" i="43" l="1"/>
  <c r="D146" i="45"/>
  <c r="D32" i="45"/>
  <c r="D108" i="45"/>
  <c r="D70" i="45"/>
  <c r="K18" i="48"/>
  <c r="G17" i="48"/>
  <c r="D131" i="51"/>
  <c r="C5" i="2"/>
  <c r="G34" i="43" l="1"/>
  <c r="D71" i="45"/>
  <c r="D147" i="45"/>
  <c r="D33" i="45"/>
  <c r="D109" i="45"/>
  <c r="K19" i="48"/>
  <c r="G18" i="48"/>
  <c r="D132" i="51"/>
  <c r="C6" i="2"/>
  <c r="G35" i="43" l="1"/>
  <c r="D72" i="45"/>
  <c r="D148" i="45"/>
  <c r="D34" i="45"/>
  <c r="D110" i="45"/>
  <c r="K20" i="48"/>
  <c r="G19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36" i="43" l="1"/>
  <c r="D35" i="45"/>
  <c r="D111" i="45"/>
  <c r="D149" i="45"/>
  <c r="D73" i="45"/>
  <c r="G20" i="48"/>
  <c r="K21" i="48"/>
  <c r="D134" i="51"/>
  <c r="C8" i="2"/>
  <c r="A3" i="9"/>
  <c r="G37" i="43" l="1"/>
  <c r="D74" i="45"/>
  <c r="D36" i="45"/>
  <c r="D112" i="45"/>
  <c r="D150" i="45"/>
  <c r="K22" i="48"/>
  <c r="G21" i="48"/>
  <c r="D135" i="51"/>
  <c r="C9" i="2"/>
  <c r="A4" i="9"/>
  <c r="A5" i="9" s="1"/>
  <c r="G38" i="43" l="1"/>
  <c r="D75" i="45"/>
  <c r="D151" i="45"/>
  <c r="D113" i="45"/>
  <c r="D37" i="45"/>
  <c r="G22" i="48"/>
  <c r="K23" i="48"/>
  <c r="D136" i="51"/>
  <c r="C10" i="2"/>
  <c r="A6" i="9"/>
  <c r="G39" i="43" l="1"/>
  <c r="D38" i="45"/>
  <c r="D114" i="45"/>
  <c r="D76" i="45"/>
  <c r="D152" i="45"/>
  <c r="K24" i="48"/>
  <c r="G23" i="48"/>
  <c r="D137" i="51"/>
  <c r="C11" i="2"/>
  <c r="A7" i="9"/>
  <c r="G40" i="43" l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D39" i="45"/>
  <c r="D115" i="45"/>
  <c r="D77" i="45"/>
  <c r="D153" i="45"/>
  <c r="K25" i="48"/>
  <c r="G24" i="48"/>
  <c r="D138" i="51"/>
  <c r="C12" i="2"/>
  <c r="A8" i="9"/>
  <c r="G78" i="43" l="1"/>
  <c r="D154" i="45"/>
  <c r="K26" i="48"/>
  <c r="G25" i="48"/>
  <c r="D139" i="51"/>
  <c r="C13" i="2"/>
  <c r="A9" i="9"/>
  <c r="G79" i="43" l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D155" i="45"/>
  <c r="G26" i="48"/>
  <c r="K27" i="48"/>
  <c r="C14" i="2"/>
  <c r="A10" i="9"/>
  <c r="G27" i="48" l="1"/>
  <c r="K28" i="48"/>
  <c r="C15" i="2"/>
  <c r="A11" i="9"/>
  <c r="K29" i="48" l="1"/>
  <c r="G28" i="48"/>
  <c r="C16" i="2"/>
  <c r="A12" i="9"/>
  <c r="G29" i="48" l="1"/>
  <c r="K30" i="48"/>
  <c r="C17" i="2"/>
  <c r="A13" i="9"/>
  <c r="H11" i="9"/>
  <c r="H10" i="9"/>
  <c r="H9" i="9"/>
  <c r="H8" i="9"/>
  <c r="H7" i="9"/>
  <c r="H6" i="9"/>
  <c r="H5" i="9"/>
  <c r="H4" i="9"/>
  <c r="H3" i="9"/>
  <c r="H2" i="9"/>
  <c r="G30" i="48" l="1"/>
  <c r="K31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K32" i="48" l="1"/>
  <c r="G31" i="48"/>
  <c r="C19" i="2"/>
  <c r="G32" i="48" l="1"/>
  <c r="K33" i="48"/>
  <c r="C20" i="2"/>
  <c r="K34" i="48" l="1"/>
  <c r="G33" i="48"/>
  <c r="C21" i="2"/>
  <c r="G34" i="48" l="1"/>
  <c r="K35" i="48"/>
  <c r="C22" i="2"/>
  <c r="K36" i="48" l="1"/>
  <c r="G35" i="48"/>
  <c r="C23" i="2"/>
  <c r="G36" i="48" l="1"/>
  <c r="K37" i="48"/>
  <c r="C24" i="2"/>
  <c r="G37" i="48" l="1"/>
  <c r="K38" i="48"/>
  <c r="C25" i="2"/>
  <c r="G38" i="48" l="1"/>
  <c r="K39" i="48"/>
  <c r="C26" i="2"/>
  <c r="K40" i="48" l="1"/>
  <c r="G39" i="48"/>
  <c r="C27" i="2"/>
  <c r="K41" i="48" l="1"/>
  <c r="G40" i="48"/>
  <c r="C28" i="2"/>
  <c r="G41" i="48" l="1"/>
  <c r="K42" i="48"/>
  <c r="C29" i="2"/>
  <c r="K43" i="48" l="1"/>
  <c r="G42" i="48"/>
  <c r="C30" i="2"/>
  <c r="K44" i="48" l="1"/>
  <c r="G43" i="48"/>
  <c r="C31" i="2"/>
  <c r="G44" i="48" l="1"/>
  <c r="K45" i="48"/>
  <c r="C32" i="2"/>
  <c r="G45" i="48" l="1"/>
  <c r="K46" i="48"/>
  <c r="C33" i="2"/>
  <c r="G46" i="48" l="1"/>
  <c r="K47" i="48"/>
  <c r="C34" i="2"/>
  <c r="G47" i="48" l="1"/>
  <c r="K48" i="48"/>
  <c r="C35" i="2"/>
  <c r="K49" i="48" l="1"/>
  <c r="G48" i="48"/>
  <c r="C36" i="2"/>
  <c r="K50" i="48" l="1"/>
  <c r="G49" i="48"/>
  <c r="C37" i="2"/>
  <c r="G50" i="48" l="1"/>
  <c r="K51" i="48"/>
  <c r="C38" i="2"/>
  <c r="G51" i="48" l="1"/>
  <c r="K52" i="48"/>
  <c r="C39" i="2"/>
  <c r="K53" i="48" l="1"/>
  <c r="G52" i="48"/>
  <c r="C40" i="2"/>
  <c r="K54" i="48" l="1"/>
  <c r="G53" i="48"/>
  <c r="C41" i="2"/>
  <c r="G54" i="48" l="1"/>
  <c r="K55" i="48"/>
  <c r="C42" i="2"/>
  <c r="K56" i="48" l="1"/>
  <c r="G55" i="48"/>
  <c r="C43" i="2"/>
  <c r="G56" i="48" l="1"/>
  <c r="K57" i="48"/>
  <c r="C44" i="2"/>
  <c r="K58" i="48" l="1"/>
  <c r="G57" i="48"/>
  <c r="C45" i="2"/>
  <c r="G58" i="48" l="1"/>
  <c r="K59" i="48"/>
  <c r="C46" i="2"/>
  <c r="G59" i="48" l="1"/>
  <c r="K60" i="48"/>
  <c r="C47" i="2"/>
  <c r="G60" i="48" l="1"/>
  <c r="K61" i="48"/>
  <c r="C48" i="2"/>
  <c r="K62" i="48" l="1"/>
  <c r="G61" i="48"/>
  <c r="C49" i="2"/>
  <c r="K63" i="48" l="1"/>
  <c r="G62" i="48"/>
  <c r="C50" i="2"/>
  <c r="G63" i="48" l="1"/>
  <c r="K64" i="48"/>
  <c r="C51" i="2"/>
  <c r="G64" i="48" l="1"/>
  <c r="K65" i="48"/>
  <c r="C52" i="2"/>
  <c r="K66" i="48" l="1"/>
  <c r="G65" i="48"/>
  <c r="C53" i="2"/>
  <c r="K67" i="48" l="1"/>
  <c r="G66" i="48"/>
  <c r="C54" i="2"/>
  <c r="G67" i="48" l="1"/>
  <c r="K68" i="48"/>
  <c r="C55" i="2"/>
  <c r="K69" i="48" l="1"/>
  <c r="G68" i="48"/>
  <c r="C56" i="2"/>
  <c r="K70" i="48" l="1"/>
  <c r="G69" i="48"/>
  <c r="C57" i="2"/>
  <c r="K71" i="48" l="1"/>
  <c r="G70" i="48"/>
  <c r="C58" i="2"/>
  <c r="G71" i="48" l="1"/>
  <c r="K72" i="48"/>
  <c r="C59" i="2"/>
  <c r="G72" i="48" l="1"/>
  <c r="K73" i="48"/>
  <c r="C60" i="2"/>
  <c r="G73" i="48" l="1"/>
  <c r="K74" i="48"/>
  <c r="C61" i="2"/>
  <c r="K75" i="48" l="1"/>
  <c r="G74" i="48"/>
  <c r="C62" i="2"/>
  <c r="G75" i="48" l="1"/>
  <c r="K76" i="48"/>
  <c r="C63" i="2"/>
  <c r="K77" i="48" l="1"/>
  <c r="G76" i="48"/>
  <c r="C64" i="2"/>
  <c r="G77" i="48" l="1"/>
  <c r="K78" i="48"/>
  <c r="C65" i="2"/>
  <c r="K9" i="48" l="1"/>
  <c r="G78" i="48"/>
  <c r="C66" i="2"/>
  <c r="G9" i="48" l="1"/>
  <c r="K10" i="48"/>
  <c r="C67" i="2"/>
  <c r="G10" i="48" l="1"/>
  <c r="K11" i="48"/>
  <c r="C68" i="2"/>
  <c r="K12" i="48" l="1"/>
  <c r="G11" i="48"/>
  <c r="C69" i="2"/>
  <c r="K13" i="48" l="1"/>
  <c r="G12" i="48"/>
  <c r="C70" i="2"/>
  <c r="G13" i="48" l="1"/>
  <c r="K14" i="48"/>
  <c r="C71" i="2"/>
  <c r="K15" i="48" l="1"/>
  <c r="G14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08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45" i="27"/>
  <c r="K9" i="27"/>
  <c r="K124" i="27"/>
  <c r="K70" i="27"/>
  <c r="K101" i="27"/>
  <c r="K86" i="27"/>
  <c r="K46" i="27"/>
  <c r="K85" i="27"/>
  <c r="K112" i="27"/>
  <c r="K116" i="27"/>
  <c r="K78" i="27"/>
  <c r="K94" i="27"/>
  <c r="K120" i="27"/>
  <c r="K62" i="27"/>
  <c r="K38" i="27"/>
  <c r="K54" i="27"/>
  <c r="K128" i="27"/>
  <c r="K42" i="27"/>
  <c r="K119" i="27"/>
  <c r="K123" i="27"/>
  <c r="K93" i="27"/>
  <c r="K77" i="27"/>
  <c r="K53" i="27"/>
  <c r="K37" i="27"/>
  <c r="K69" i="27"/>
  <c r="K100" i="27"/>
  <c r="K127" i="27"/>
  <c r="K115" i="27"/>
  <c r="K61" i="27"/>
  <c r="K111" i="27"/>
  <c r="K89" i="27"/>
  <c r="K107" i="27"/>
  <c r="K65" i="27"/>
  <c r="K50" i="27"/>
  <c r="K104" i="27"/>
  <c r="K33" i="27"/>
  <c r="K113" i="27"/>
  <c r="K158" i="27"/>
  <c r="K174" i="27"/>
  <c r="K199" i="27"/>
  <c r="K83" i="27"/>
  <c r="K90" i="27"/>
  <c r="K160" i="27"/>
  <c r="K131" i="27"/>
  <c r="K172" i="27"/>
  <c r="K137" i="27"/>
  <c r="K182" i="27"/>
  <c r="K166" i="27"/>
  <c r="K97" i="27"/>
  <c r="K139" i="27"/>
  <c r="K55" i="27"/>
  <c r="K118" i="27"/>
  <c r="K58" i="27"/>
  <c r="K187" i="27"/>
  <c r="K64" i="27"/>
  <c r="K130" i="27"/>
  <c r="K41" i="27"/>
  <c r="K73" i="27"/>
  <c r="K48" i="27"/>
  <c r="K103" i="27"/>
  <c r="K185" i="27"/>
  <c r="K191" i="27"/>
  <c r="K148" i="27"/>
  <c r="K163" i="27"/>
  <c r="K143" i="27"/>
  <c r="K138" i="27"/>
  <c r="K52" i="27"/>
  <c r="K99" i="27"/>
  <c r="K141" i="27"/>
  <c r="K56" i="27"/>
  <c r="K152" i="27"/>
  <c r="K72" i="27"/>
  <c r="K98" i="27"/>
  <c r="K155" i="27"/>
  <c r="K79" i="27"/>
  <c r="K167" i="27"/>
  <c r="K102" i="27"/>
  <c r="K193" i="27"/>
  <c r="K96" i="27"/>
  <c r="K184" i="27"/>
  <c r="K121" i="27"/>
  <c r="K157" i="27"/>
  <c r="K134" i="27"/>
  <c r="K82" i="27"/>
  <c r="K196" i="27"/>
  <c r="K32" i="27"/>
  <c r="K40" i="27"/>
  <c r="K170" i="27"/>
  <c r="K59" i="27"/>
  <c r="K153" i="27"/>
  <c r="K136" i="27"/>
  <c r="K47" i="27"/>
  <c r="K75" i="27"/>
  <c r="K36" i="27"/>
  <c r="K67" i="27"/>
  <c r="K57" i="27"/>
  <c r="K175" i="27"/>
  <c r="K74" i="27"/>
  <c r="K44" i="27"/>
  <c r="K34" i="27"/>
  <c r="K49" i="27"/>
  <c r="K129" i="27"/>
  <c r="K147" i="27"/>
  <c r="K71" i="27"/>
  <c r="K35" i="27"/>
  <c r="K81" i="27"/>
  <c r="K60" i="27"/>
  <c r="K133" i="27"/>
  <c r="K66" i="27"/>
  <c r="K176" i="27"/>
  <c r="K68" i="27"/>
  <c r="K179" i="27"/>
  <c r="K88" i="27"/>
  <c r="K114" i="27"/>
  <c r="K132" i="27"/>
  <c r="K164" i="27"/>
  <c r="K106" i="27"/>
  <c r="K159" i="27"/>
  <c r="K192" i="27"/>
  <c r="K190" i="27"/>
  <c r="K150" i="27"/>
  <c r="K156" i="27"/>
  <c r="K197" i="27"/>
  <c r="K180" i="27"/>
  <c r="K110" i="27"/>
  <c r="K80" i="27"/>
  <c r="K76" i="27"/>
  <c r="K31" i="27"/>
  <c r="K105" i="27"/>
  <c r="K162" i="27"/>
  <c r="K171" i="27"/>
  <c r="K165" i="27"/>
  <c r="K142" i="27"/>
  <c r="K87" i="27"/>
  <c r="K161" i="27"/>
  <c r="K92" i="27"/>
  <c r="K181" i="27"/>
  <c r="K126" i="27"/>
  <c r="K84" i="27"/>
  <c r="K140" i="27"/>
  <c r="K198" i="27"/>
  <c r="K168" i="27"/>
  <c r="K186" i="27"/>
  <c r="K200" i="27"/>
  <c r="K177" i="27"/>
  <c r="K204" i="27"/>
  <c r="K154" i="27"/>
  <c r="K95" i="27"/>
  <c r="K151" i="27"/>
  <c r="K203" i="27"/>
  <c r="K109" i="27"/>
  <c r="K122" i="27"/>
  <c r="K146" i="27"/>
  <c r="K135" i="27"/>
  <c r="K117" i="27"/>
  <c r="K202" i="27"/>
  <c r="K178" i="27"/>
  <c r="K91" i="27"/>
  <c r="K149" i="27"/>
  <c r="K145" i="27"/>
  <c r="K39" i="27"/>
  <c r="K173" i="27"/>
  <c r="K144" i="27"/>
  <c r="K125" i="27"/>
  <c r="K189" i="27"/>
  <c r="K201" i="27"/>
  <c r="K63" i="27"/>
  <c r="K51" i="27"/>
  <c r="K169" i="27"/>
  <c r="K183" i="27"/>
  <c r="K188" i="27"/>
  <c r="K43" i="27"/>
  <c r="K194" i="27"/>
  <c r="K195" i="27"/>
  <c r="I118" i="45"/>
  <c r="I125" i="45"/>
  <c r="I143" i="45"/>
  <c r="I84" i="45"/>
  <c r="I94" i="45"/>
  <c r="I151" i="45"/>
  <c r="I48" i="45"/>
  <c r="I150" i="45"/>
  <c r="I101" i="45"/>
  <c r="I36" i="45"/>
  <c r="I65" i="45"/>
  <c r="I41" i="45"/>
  <c r="I120" i="45"/>
  <c r="I149" i="45"/>
  <c r="I23" i="45"/>
  <c r="I60" i="45"/>
  <c r="I63" i="45"/>
  <c r="I50" i="45"/>
  <c r="I86" i="45"/>
  <c r="I91" i="45"/>
  <c r="I74" i="45"/>
  <c r="I16" i="45"/>
  <c r="I111" i="45"/>
  <c r="I96" i="45"/>
  <c r="I82" i="45"/>
  <c r="I11" i="45"/>
  <c r="I112" i="45"/>
  <c r="I7" i="45"/>
  <c r="I97" i="45"/>
  <c r="I126" i="45"/>
  <c r="I59" i="45"/>
  <c r="I102" i="45"/>
  <c r="I98" i="45"/>
  <c r="I133" i="45"/>
  <c r="I62" i="45"/>
  <c r="I19" i="45"/>
  <c r="I137" i="45"/>
  <c r="I46" i="45"/>
  <c r="I70" i="45"/>
  <c r="I85" i="45"/>
  <c r="I27" i="45"/>
  <c r="I77" i="45"/>
  <c r="I67" i="45"/>
  <c r="I103" i="45"/>
  <c r="I153" i="45"/>
  <c r="I114" i="45"/>
  <c r="I13" i="45"/>
  <c r="I42" i="45"/>
  <c r="I138" i="45"/>
  <c r="I6" i="45"/>
  <c r="I4" i="45"/>
  <c r="I52" i="45"/>
  <c r="I115" i="45"/>
  <c r="I154" i="45"/>
  <c r="I3" i="45"/>
  <c r="I106" i="45"/>
  <c r="I141" i="45"/>
  <c r="I18" i="45"/>
  <c r="I139" i="45"/>
  <c r="I147" i="45"/>
  <c r="I78" i="45"/>
  <c r="I55" i="45"/>
  <c r="I17" i="45"/>
  <c r="I88" i="45"/>
  <c r="I113" i="45"/>
  <c r="I116" i="45"/>
  <c r="I30" i="45"/>
  <c r="I56" i="45"/>
  <c r="I10" i="45"/>
  <c r="I121" i="45"/>
  <c r="I100" i="45"/>
  <c r="I130" i="45"/>
  <c r="I2" i="45"/>
  <c r="I128" i="45"/>
  <c r="I12" i="45"/>
  <c r="I32" i="45"/>
  <c r="I140" i="45"/>
  <c r="I14" i="45"/>
  <c r="I123" i="45"/>
  <c r="I136" i="45"/>
  <c r="I15" i="45"/>
  <c r="I58" i="45"/>
  <c r="I134" i="45"/>
  <c r="I28" i="45"/>
  <c r="I35" i="45"/>
  <c r="I69" i="45"/>
  <c r="I25" i="45"/>
  <c r="I45" i="45"/>
  <c r="I155" i="45"/>
  <c r="I75" i="45"/>
  <c r="I22" i="45"/>
  <c r="I26" i="45"/>
  <c r="I95" i="45"/>
  <c r="I20" i="45"/>
  <c r="I144" i="45"/>
  <c r="I142" i="45"/>
  <c r="I135" i="45"/>
  <c r="I57" i="45"/>
  <c r="I71" i="45"/>
  <c r="I8" i="45"/>
  <c r="I31" i="45"/>
  <c r="I79" i="45"/>
  <c r="I53" i="45"/>
  <c r="I117" i="45"/>
  <c r="I131" i="45"/>
  <c r="I24" i="45"/>
  <c r="I104" i="45"/>
  <c r="I89" i="45"/>
  <c r="I105" i="45"/>
  <c r="I99" i="45"/>
  <c r="I33" i="45"/>
  <c r="I90" i="45"/>
  <c r="I129" i="45"/>
  <c r="I29" i="45"/>
  <c r="I66" i="45"/>
  <c r="I132" i="45"/>
  <c r="I49" i="45"/>
  <c r="I54" i="45"/>
  <c r="I64" i="45"/>
  <c r="I61" i="45"/>
  <c r="I51" i="45"/>
  <c r="I37" i="45"/>
  <c r="I108" i="45"/>
  <c r="I122" i="45"/>
  <c r="I87" i="45"/>
  <c r="I83" i="45"/>
  <c r="I76" i="45"/>
  <c r="I43" i="45"/>
  <c r="I81" i="45"/>
  <c r="I5" i="45"/>
  <c r="I72" i="45"/>
  <c r="I152" i="45"/>
  <c r="I21" i="45"/>
  <c r="I145" i="45"/>
  <c r="I68" i="45"/>
  <c r="I148" i="45"/>
  <c r="I80" i="45"/>
  <c r="I110" i="45"/>
  <c r="I107" i="45"/>
  <c r="I124" i="45"/>
  <c r="I39" i="45"/>
  <c r="I127" i="45"/>
  <c r="I38" i="45"/>
  <c r="I92" i="45"/>
  <c r="I40" i="45"/>
  <c r="I73" i="45"/>
  <c r="I47" i="45"/>
  <c r="I9" i="45"/>
  <c r="I109" i="45"/>
  <c r="I146" i="45"/>
  <c r="I119" i="45"/>
  <c r="I93" i="45"/>
  <c r="I44" i="45"/>
  <c r="I34" i="45"/>
  <c r="G15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B2" i="27" l="1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H60" i="2" l="1"/>
  <c r="J60" i="2" s="1"/>
  <c r="H61" i="2"/>
  <c r="J61" i="2" s="1"/>
  <c r="H62" i="2"/>
  <c r="J6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Jay, Cara TRAN:EX</author>
  </authors>
  <commentList>
    <comment ref="K1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Jay, Cara TRAN:EX</author>
  </authors>
  <commentList>
    <comment ref="X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Jay, Cara TRAN:EX</author>
  </authors>
  <commentList>
    <comment ref="H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<sst xmlns="http://schemas.openxmlformats.org/spreadsheetml/2006/main" count="21118" uniqueCount="7960">
  <si>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</si>
  <si>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</si>
  <si>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</si>
  <si>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</si>
  <si>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</si>
  <si>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</si>
  <si>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</si>
  <si>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</si>
  <si>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</si>
  <si>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</si>
  <si>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</si>
  <si>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</si>
  <si>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</si>
  <si>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</si>
  <si>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</si>
  <si>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</si>
  <si>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</si>
  <si>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</si>
  <si>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</si>
  <si>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</si>
  <si>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</si>
  <si>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</si>
  <si>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</si>
  <si>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</si>
  <si>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</si>
  <si>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</si>
  <si>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</si>
  <si>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</si>
  <si>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</si>
  <si>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</si>
  <si>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</si>
  <si>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</si>
  <si>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</si>
  <si>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</si>
  <si>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</si>
  <si>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</si>
  <si>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</si>
  <si>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</si>
  <si>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</si>
  <si>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</si>
  <si>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</si>
  <si>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</si>
  <si>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</si>
  <si>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</si>
  <si>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</si>
  <si>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</si>
  <si>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</si>
  <si>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</si>
  <si>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</si>
  <si>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</si>
  <si>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</si>
  <si>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</si>
  <si>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</si>
  <si>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</si>
  <si>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</si>
  <si>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</si>
  <si>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</si>
  <si>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</si>
  <si>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</si>
  <si>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</si>
  <si>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</si>
  <si>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</si>
  <si>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</si>
  <si>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</si>
  <si>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</si>
  <si>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</si>
  <si>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</si>
  <si>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</si>
  <si>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</si>
  <si>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</si>
  <si>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</si>
  <si>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</si>
  <si>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</si>
  <si>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</si>
  <si>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</si>
  <si>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</si>
  <si>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</si>
  <si>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</si>
  <si>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</si>
  <si>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</si>
  <si>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</si>
  <si>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</si>
  <si>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</si>
  <si>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</si>
  <si>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</si>
  <si>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</si>
  <si>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</si>
  <si>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</si>
  <si>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</si>
  <si>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</si>
  <si>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</si>
  <si>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</si>
  <si>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</si>
  <si>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</si>
  <si>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</si>
  <si>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</si>
  <si>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</si>
  <si>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</si>
  <si>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</si>
  <si>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</si>
  <si>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</si>
  <si>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</si>
  <si>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</si>
  <si>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</si>
  <si>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</si>
  <si>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</si>
  <si>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</si>
  <si>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</si>
  <si>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</si>
  <si>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</si>
  <si>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</si>
  <si>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</si>
  <si>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</si>
  <si>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</si>
  <si>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</si>
  <si>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</si>
  <si>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</si>
  <si>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</si>
  <si>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</si>
  <si>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</si>
  <si>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</si>
  <si>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</si>
  <si>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</si>
  <si>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</si>
  <si>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</si>
  <si>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</si>
  <si>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</si>
  <si>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</si>
  <si>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</si>
  <si>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</si>
  <si>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</si>
  <si>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</si>
  <si>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</si>
  <si>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</si>
  <si>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</si>
  <si>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</si>
  <si>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</si>
  <si>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</si>
  <si>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</si>
  <si>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</si>
  <si>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</si>
  <si>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</si>
  <si>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</si>
  <si>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</si>
  <si>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</si>
  <si>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</si>
  <si>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</si>
  <si>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</si>
  <si>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</si>
  <si>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</si>
  <si>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</si>
  <si>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</si>
  <si>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</si>
  <si>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</si>
  <si>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</si>
  <si>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</si>
  <si>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</si>
  <si>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</si>
  <si>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</si>
  <si>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</si>
  <si>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</si>
  <si>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</si>
  <si>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</si>
  <si>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</si>
  <si>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</si>
  <si>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</si>
  <si>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</si>
  <si>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</si>
  <si>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</si>
  <si>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</si>
  <si>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</si>
  <si>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</si>
  <si>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</si>
  <si>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</si>
  <si>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</si>
  <si>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</si>
  <si>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</si>
  <si>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</si>
  <si>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</si>
  <si>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</si>
  <si>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</si>
  <si>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</si>
  <si>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</si>
  <si>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</si>
  <si>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</si>
  <si>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</si>
  <si>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</si>
  <si>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</si>
  <si>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</si>
  <si>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</si>
  <si>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</si>
  <si>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</si>
  <si>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</si>
  <si>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</si>
  <si>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</si>
  <si>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</si>
  <si>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</si>
  <si>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</si>
  <si>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</si>
  <si>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</si>
  <si>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</si>
  <si>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</si>
  <si>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</si>
  <si>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</si>
  <si>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</si>
  <si>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</si>
  <si>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</si>
  <si>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</si>
  <si>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</si>
  <si>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</si>
  <si>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</si>
  <si>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</si>
  <si>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</si>
  <si>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</si>
  <si>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</si>
  <si>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</si>
  <si>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</si>
  <si>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</si>
  <si>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</si>
  <si>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</si>
  <si>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</si>
  <si>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</si>
  <si>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</si>
  <si>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</si>
  <si>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</si>
  <si>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</si>
  <si>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</si>
  <si>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</si>
  <si>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</si>
  <si>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</si>
  <si>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</si>
  <si>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</si>
  <si>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</si>
  <si>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</si>
  <si>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</si>
  <si>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</si>
  <si>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</si>
  <si>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</si>
  <si>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</si>
  <si>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</si>
  <si>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</si>
  <si>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</si>
  <si>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</si>
  <si>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</si>
  <si>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</si>
  <si>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</si>
  <si>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</si>
  <si>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</si>
  <si>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</si>
  <si>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</si>
  <si>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</si>
  <si>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</si>
  <si>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</si>
  <si>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</si>
  <si>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</si>
  <si>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</si>
  <si>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</si>
  <si>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</si>
  <si>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</si>
  <si>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</si>
  <si>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</si>
  <si>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</si>
  <si>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</si>
  <si>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</si>
  <si>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</si>
  <si>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</si>
  <si>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</si>
  <si>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</si>
  <si>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</si>
  <si>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</si>
  <si>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</si>
  <si>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</si>
  <si>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</si>
  <si>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</si>
  <si>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</si>
  <si>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</si>
  <si>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</si>
  <si>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</si>
  <si>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</si>
  <si>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</si>
  <si>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</si>
  <si>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</si>
  <si>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</si>
  <si>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</si>
  <si>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</si>
  <si>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</si>
  <si>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</si>
  <si>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</si>
  <si>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</si>
  <si>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</si>
  <si>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</si>
  <si>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</si>
  <si>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</si>
  <si>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</si>
  <si>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</si>
  <si>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</si>
  <si>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</si>
  <si>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</si>
  <si>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</si>
  <si>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</si>
  <si>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</si>
  <si>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</si>
  <si>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</si>
  <si>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</si>
  <si>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</si>
  <si>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</si>
  <si>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</si>
  <si>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</si>
  <si>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</si>
  <si>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</si>
  <si>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</si>
  <si>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</si>
  <si>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</si>
  <si>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</si>
  <si>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</si>
  <si>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</si>
  <si>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</si>
  <si>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</si>
  <si>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</si>
  <si>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</si>
  <si>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</si>
  <si>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</si>
  <si>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</si>
  <si>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</si>
  <si>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</si>
  <si>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</si>
  <si>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</si>
  <si>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</si>
  <si>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</si>
  <si>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</si>
  <si>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</si>
  <si>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</si>
  <si>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</si>
  <si>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</si>
  <si>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</si>
  <si>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</si>
  <si>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</si>
  <si>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</si>
  <si>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</si>
  <si>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</si>
  <si>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</si>
  <si>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</si>
  <si>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</si>
  <si>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</si>
  <si>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</si>
  <si>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</si>
  <si>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</si>
  <si>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</si>
  <si>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</si>
  <si>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</si>
  <si>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</si>
  <si>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</si>
  <si>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</si>
  <si>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</si>
  <si>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</si>
  <si>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</si>
  <si>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</si>
  <si>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</si>
  <si>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</si>
  <si>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</si>
  <si>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</si>
  <si>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</si>
  <si>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</si>
  <si>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</si>
  <si>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</si>
  <si>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</si>
  <si>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</si>
  <si>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</si>
  <si>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</si>
  <si>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</si>
  <si>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</si>
  <si>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</si>
  <si>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</si>
  <si>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</si>
  <si>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</si>
  <si>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</si>
  <si>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</si>
  <si>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</si>
  <si>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</si>
  <si>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</si>
  <si>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</si>
  <si>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</si>
  <si>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</si>
  <si>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</si>
  <si>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</si>
  <si>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</si>
  <si>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</si>
  <si>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</si>
  <si>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</si>
  <si>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</si>
  <si>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</si>
  <si>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</si>
  <si>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</si>
  <si>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</si>
  <si>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</si>
  <si>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</si>
  <si>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</si>
  <si>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</si>
  <si>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</si>
  <si>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</si>
  <si>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</si>
  <si>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</si>
  <si>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</si>
  <si>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</si>
  <si>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</si>
  <si>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</si>
  <si>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</si>
  <si>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</si>
  <si>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</si>
  <si>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</si>
  <si>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</si>
  <si>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</si>
  <si>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</si>
  <si>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</si>
  <si>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</si>
  <si>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</si>
  <si>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</si>
  <si>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</si>
  <si>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</si>
  <si>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</si>
  <si>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</si>
  <si>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</si>
  <si>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</si>
  <si>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</si>
  <si>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</si>
  <si>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</si>
  <si>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</si>
  <si>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</si>
  <si>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</si>
  <si>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</si>
  <si>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</si>
  <si>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</si>
  <si>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</si>
  <si>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</si>
  <si>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</si>
  <si>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</si>
  <si>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</si>
  <si>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</si>
  <si>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</si>
  <si>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</si>
  <si>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</si>
  <si>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</si>
  <si>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</si>
  <si>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</si>
  <si>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</si>
  <si>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</si>
  <si>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</si>
  <si>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</si>
  <si>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</si>
  <si>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</si>
  <si>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</si>
  <si>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</si>
  <si>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</si>
  <si>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</si>
  <si>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</si>
  <si>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</si>
  <si>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</si>
  <si>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</si>
  <si>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</si>
  <si>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</si>
  <si>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</si>
  <si>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</si>
  <si>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</si>
  <si>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</si>
  <si>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</si>
  <si>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</si>
  <si>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</si>
  <si>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</si>
  <si>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</si>
  <si>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</si>
  <si>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</si>
  <si>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</si>
  <si>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</si>
  <si>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</si>
  <si>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</si>
  <si>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</si>
  <si>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</si>
  <si>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</si>
  <si>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</si>
  <si>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</si>
  <si>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</si>
  <si>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</si>
  <si>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</si>
  <si>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</si>
  <si>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</si>
  <si>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</si>
  <si>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</si>
  <si>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</si>
  <si>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</si>
  <si>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</si>
  <si>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</si>
  <si>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</si>
  <si>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</si>
  <si>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</si>
  <si>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</si>
  <si>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</si>
  <si>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</si>
  <si>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</si>
  <si>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</si>
  <si>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</si>
  <si>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</si>
  <si>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</si>
  <si>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</si>
  <si>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</si>
  <si>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</si>
  <si>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</si>
  <si>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</si>
  <si>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</si>
  <si>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</si>
  <si>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</si>
  <si>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</si>
  <si>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</si>
  <si>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</si>
  <si>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</si>
  <si>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</si>
  <si>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</si>
  <si>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</si>
  <si>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</si>
  <si>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</si>
  <si>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</si>
  <si>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</si>
  <si>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</si>
  <si>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</si>
  <si>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</si>
  <si>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</si>
  <si>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</si>
  <si>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</si>
  <si>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</si>
  <si>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</si>
  <si>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</si>
  <si>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</si>
  <si>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</si>
  <si>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</si>
  <si>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</si>
  <si>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</si>
  <si>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</si>
  <si>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</si>
  <si>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</si>
  <si>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</si>
  <si>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</si>
  <si>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</si>
  <si>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</si>
  <si>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</si>
  <si>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</si>
  <si>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</si>
  <si>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</si>
  <si>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</si>
  <si>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</si>
  <si>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</si>
  <si>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</si>
  <si>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</si>
  <si>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</si>
  <si>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</si>
  <si>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</si>
  <si>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</si>
  <si>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</si>
  <si>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</si>
  <si>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</si>
  <si>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</si>
  <si>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</si>
  <si>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</si>
  <si>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</si>
  <si>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</si>
  <si>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</si>
  <si>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</si>
  <si>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</si>
  <si>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</si>
  <si>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</si>
  <si>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</si>
  <si>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</si>
  <si>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</si>
  <si>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</si>
  <si>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</si>
  <si>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</si>
  <si>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</si>
  <si>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</si>
  <si>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</si>
  <si>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</si>
  <si>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</si>
  <si>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</si>
  <si>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</si>
  <si>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</si>
  <si>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</si>
  <si>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</si>
  <si>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</si>
  <si>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</si>
  <si>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</si>
  <si>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</si>
  <si>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</si>
  <si>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</si>
  <si>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</si>
  <si>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</si>
  <si>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</si>
  <si>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</si>
  <si>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</si>
  <si>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</si>
  <si>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</si>
  <si>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</si>
  <si>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</si>
  <si>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</si>
  <si>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</si>
  <si>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</si>
  <si>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</si>
  <si>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</si>
  <si>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</si>
  <si>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</si>
  <si>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</si>
  <si>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</si>
  <si>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</si>
  <si>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</si>
  <si>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</si>
  <si>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</si>
  <si>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</si>
  <si>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</si>
  <si>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</si>
  <si>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</si>
  <si>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</si>
  <si>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</si>
  <si>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</si>
  <si>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</si>
  <si>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</si>
  <si>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</si>
  <si>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</si>
  <si>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</si>
  <si>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</si>
  <si>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</si>
  <si>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</si>
  <si>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</si>
  <si>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</si>
  <si>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</si>
  <si>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</si>
  <si>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</si>
  <si>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</si>
  <si>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</si>
  <si>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</si>
  <si>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</si>
  <si>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</si>
  <si>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</si>
  <si>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</si>
  <si>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</si>
  <si>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</si>
  <si>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</si>
  <si>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</si>
  <si>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</si>
  <si>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</si>
  <si>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</si>
  <si>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</si>
  <si>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</si>
  <si>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</si>
  <si>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</si>
  <si>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</si>
  <si>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</si>
  <si>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</si>
  <si>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</si>
  <si>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</si>
  <si>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</si>
  <si>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</si>
  <si>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</si>
  <si>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</si>
  <si>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</si>
  <si>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</si>
  <si>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</si>
  <si>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</si>
  <si>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</si>
  <si>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</si>
  <si>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</si>
  <si>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</si>
  <si>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</si>
  <si>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</si>
  <si>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</si>
  <si>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</si>
  <si>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</si>
  <si>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</si>
  <si>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</si>
  <si>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</si>
  <si>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</si>
  <si>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</si>
  <si>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</si>
  <si>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</si>
  <si>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</si>
  <si>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</si>
  <si>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</si>
  <si>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</si>
  <si>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</si>
  <si>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</si>
  <si>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</si>
  <si>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</si>
  <si>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</si>
  <si>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</si>
  <si>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</si>
  <si>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</si>
  <si>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</si>
  <si>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</si>
  <si>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</si>
  <si>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</si>
  <si>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</si>
  <si>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</si>
  <si>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</si>
  <si>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</si>
  <si>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</si>
  <si>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</si>
  <si>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</si>
  <si>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</si>
  <si>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</si>
  <si>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</si>
  <si>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</si>
  <si>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</si>
  <si>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</si>
  <si>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</si>
  <si>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</si>
  <si>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</si>
  <si>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</si>
  <si>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</si>
  <si>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</si>
  <si>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</si>
  <si>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</si>
  <si>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</si>
  <si>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</si>
  <si>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</si>
  <si>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</si>
  <si>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</si>
  <si>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</si>
  <si>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</si>
  <si>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</si>
  <si>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</si>
  <si>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</si>
  <si>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</si>
  <si>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</si>
  <si>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</si>
  <si>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</si>
  <si>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</si>
  <si>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</si>
  <si>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</si>
  <si>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</si>
  <si>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</si>
  <si>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</si>
  <si>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</si>
  <si>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</si>
  <si>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</si>
  <si>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</si>
  <si>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</si>
  <si>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</si>
  <si>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</si>
  <si>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</si>
  <si>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</si>
  <si>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</si>
  <si>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</si>
  <si>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</si>
  <si>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</si>
  <si>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</si>
  <si>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</si>
  <si>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</si>
  <si>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</si>
  <si>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</si>
  <si>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</si>
  <si>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</si>
  <si>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</si>
  <si>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</si>
  <si>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</si>
  <si>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</si>
  <si>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</si>
  <si>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</si>
  <si>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</si>
  <si>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</si>
  <si>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</si>
  <si>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</si>
  <si>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</si>
  <si>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</si>
  <si>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</si>
  <si>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</si>
  <si>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</si>
  <si>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</si>
  <si>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</si>
  <si>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</si>
  <si>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</si>
  <si>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</si>
  <si>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</si>
  <si>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</si>
  <si>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</si>
  <si>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</si>
  <si>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</si>
  <si>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</si>
  <si>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</si>
  <si>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</si>
  <si>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</si>
  <si>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</si>
  <si>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</si>
  <si>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</si>
  <si>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</si>
  <si>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</si>
  <si>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</si>
  <si>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</si>
  <si>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</si>
  <si>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</si>
  <si>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</si>
  <si>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</si>
  <si>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</si>
  <si>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</si>
  <si>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</si>
  <si>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</si>
  <si>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</si>
  <si>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</si>
  <si>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</si>
  <si>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</si>
  <si>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</si>
  <si>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</si>
  <si>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</si>
  <si>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</si>
  <si>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</si>
  <si>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</si>
  <si>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</si>
  <si>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</si>
  <si>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</si>
  <si>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</si>
  <si>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</si>
  <si>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</si>
  <si>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</si>
  <si>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</si>
  <si>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</si>
  <si>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</si>
  <si>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</si>
  <si>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</si>
  <si>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</si>
  <si>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</si>
  <si>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</si>
  <si>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</si>
  <si>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</si>
  <si>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</si>
  <si>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</si>
  <si>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</si>
  <si>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</si>
  <si>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</si>
  <si>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</si>
  <si>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</si>
  <si>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</si>
  <si>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</si>
  <si>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</si>
  <si>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</si>
  <si>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</si>
  <si>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</si>
  <si>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</si>
  <si>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</si>
  <si>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</si>
  <si>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</si>
  <si>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</si>
  <si>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</si>
  <si>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</si>
  <si>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</si>
  <si>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</si>
  <si>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</si>
  <si>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</si>
  <si>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</si>
  <si>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</si>
  <si>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</si>
  <si>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</si>
  <si>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</si>
  <si>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</si>
  <si>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</si>
  <si>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</si>
  <si>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</si>
  <si>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</si>
  <si>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</si>
  <si>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</si>
  <si>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</si>
  <si>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</si>
  <si>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</si>
  <si>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</si>
  <si>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</si>
  <si>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</si>
  <si>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</si>
  <si>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</si>
  <si>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</si>
  <si>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</si>
  <si>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</si>
  <si>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</si>
  <si>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</si>
  <si>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</si>
  <si>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</si>
  <si>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</si>
  <si>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</si>
  <si>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</si>
  <si>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</si>
  <si>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</si>
  <si>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</si>
  <si>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</si>
  <si>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</si>
  <si>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</si>
  <si>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</si>
  <si>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</si>
  <si>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</si>
  <si>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</si>
  <si>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</si>
  <si>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</si>
  <si>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</si>
  <si>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</si>
  <si>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</si>
  <si>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</si>
  <si>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</si>
  <si>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</si>
  <si>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</si>
  <si>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</si>
  <si>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</si>
  <si>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</si>
  <si>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</si>
  <si>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</si>
  <si>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</si>
  <si>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</si>
  <si>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</si>
  <si>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</si>
  <si>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</si>
  <si>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</si>
  <si>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</si>
  <si>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</si>
  <si>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</si>
  <si>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</si>
  <si>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</si>
  <si>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</si>
  <si>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</si>
  <si>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</si>
  <si>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</si>
  <si>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</si>
  <si>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</si>
  <si>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</si>
  <si>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</si>
  <si>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</si>
  <si>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</si>
  <si>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</si>
  <si>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</si>
  <si>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</si>
  <si>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</si>
  <si>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</si>
  <si>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</si>
  <si>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</si>
  <si>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</si>
  <si>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</si>
  <si>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</si>
  <si>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</si>
  <si>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</si>
  <si>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</si>
  <si>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</si>
  <si>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</si>
  <si>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</si>
  <si>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</si>
  <si>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</si>
  <si>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</si>
  <si>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</si>
  <si>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</si>
  <si>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</si>
  <si>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</si>
  <si>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</si>
  <si>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</si>
  <si>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</si>
  <si>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</si>
  <si>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</si>
  <si>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</si>
  <si>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</si>
  <si>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</si>
  <si>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</si>
  <si>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</si>
  <si>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</si>
  <si>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</si>
  <si>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</si>
  <si>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</si>
  <si>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</si>
  <si>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</si>
  <si>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</si>
  <si>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</si>
  <si>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</si>
  <si>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</si>
  <si>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</si>
  <si>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</si>
  <si>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</si>
  <si>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</si>
  <si>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</si>
  <si>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</si>
  <si>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</si>
  <si>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</si>
  <si>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</si>
  <si>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</si>
  <si>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</si>
  <si>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</si>
  <si>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</si>
  <si>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</si>
  <si>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</si>
  <si>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</si>
  <si>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</si>
  <si>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</si>
  <si>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</si>
  <si>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</si>
  <si>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</si>
  <si>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</si>
  <si>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</si>
  <si>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</si>
  <si>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</si>
  <si>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</si>
  <si>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</si>
  <si>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</si>
  <si>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</si>
  <si>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</si>
  <si>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</si>
  <si>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</si>
  <si>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</si>
  <si>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</si>
  <si>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</si>
  <si>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</si>
  <si>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</si>
  <si>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</si>
  <si>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</si>
  <si>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</si>
  <si>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</si>
  <si>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</si>
  <si>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</si>
  <si>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</si>
  <si>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</si>
  <si>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</si>
  <si>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</si>
  <si>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</si>
  <si>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</si>
  <si>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</si>
  <si>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</si>
  <si>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</si>
  <si>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</si>
  <si>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</si>
  <si>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</si>
  <si>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</si>
  <si>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</si>
  <si>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</si>
  <si>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</si>
  <si>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</si>
  <si>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</si>
  <si>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</si>
  <si>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</si>
  <si>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</si>
  <si>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</si>
  <si>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</si>
  <si>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</si>
  <si>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</si>
  <si>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</si>
  <si>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</si>
  <si>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</si>
  <si>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</si>
  <si>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</si>
  <si>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</si>
  <si>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</si>
  <si>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</si>
  <si>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</si>
  <si>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</si>
  <si>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</si>
  <si>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</si>
  <si>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</si>
  <si>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</si>
  <si>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</si>
  <si>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</si>
  <si>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</si>
  <si>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</si>
  <si>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</si>
  <si>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</si>
  <si>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</si>
  <si>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</si>
  <si>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</si>
  <si>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</si>
  <si>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</si>
  <si>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</si>
  <si>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</si>
  <si>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</si>
  <si>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</si>
  <si>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</si>
  <si>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</si>
  <si>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</si>
  <si>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</si>
  <si>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</si>
  <si>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</si>
  <si>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</si>
  <si>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</si>
  <si>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</si>
  <si>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</si>
  <si>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</si>
  <si>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</si>
  <si>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</si>
  <si>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</si>
  <si>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</si>
  <si>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</si>
  <si>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</si>
  <si>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</si>
  <si>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</si>
  <si>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</si>
  <si>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</si>
  <si>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</si>
  <si>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</si>
  <si>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</si>
  <si>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</si>
  <si>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</si>
  <si>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</si>
  <si>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</si>
  <si>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</si>
  <si>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</si>
  <si>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</si>
  <si>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</si>
  <si>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</si>
  <si>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</si>
  <si>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</si>
  <si>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</si>
  <si>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</si>
  <si>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</si>
  <si>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</si>
  <si>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</si>
  <si>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</si>
  <si>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</si>
  <si>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</si>
  <si>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</si>
  <si>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</si>
  <si>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</si>
  <si>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</si>
  <si>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</si>
  <si>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</si>
  <si>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</si>
  <si>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</si>
  <si>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</si>
  <si>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</si>
  <si>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</si>
  <si>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</si>
  <si>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</si>
  <si>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</si>
  <si>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</si>
  <si>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</si>
  <si>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</si>
  <si>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</si>
  <si>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</si>
  <si>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</si>
  <si>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</si>
  <si>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</si>
  <si>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</si>
  <si>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</si>
  <si>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</si>
  <si>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</si>
  <si>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</si>
  <si>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</si>
  <si>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</si>
  <si>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</si>
  <si>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</si>
  <si>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</si>
  <si>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</si>
  <si>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</si>
  <si>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</si>
  <si>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</si>
  <si>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</si>
  <si>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</si>
  <si>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</si>
  <si>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</si>
  <si>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</si>
  <si>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</si>
  <si>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</si>
  <si>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</si>
  <si>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</si>
  <si>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</si>
  <si>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</si>
  <si>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</si>
  <si>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</si>
  <si>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</si>
  <si>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</si>
  <si>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</si>
  <si>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</si>
  <si>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</si>
  <si>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</si>
  <si>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</si>
  <si>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</si>
  <si>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</si>
  <si>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</si>
  <si>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</si>
  <si>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</si>
  <si>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</si>
  <si>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</si>
  <si>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</si>
  <si>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</si>
  <si>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</si>
  <si>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</si>
  <si>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</si>
  <si>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</si>
  <si>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</si>
  <si>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</si>
  <si>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</si>
  <si>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</si>
  <si>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</si>
  <si>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</si>
  <si>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</si>
  <si>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</si>
  <si>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</si>
  <si>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</si>
  <si>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</si>
  <si>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</si>
  <si>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</si>
  <si>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</si>
  <si>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</si>
  <si>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</si>
  <si>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</si>
  <si>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</si>
  <si>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</si>
  <si>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</si>
  <si>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</si>
  <si>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</si>
  <si>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</si>
  <si>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</si>
  <si>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</si>
  <si>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</si>
  <si>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</si>
  <si>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</si>
  <si>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</si>
  <si>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</si>
  <si>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</si>
  <si>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</si>
  <si>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</si>
  <si>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</si>
  <si>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</si>
  <si>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</si>
  <si>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</si>
  <si>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</si>
  <si>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</si>
  <si>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</si>
  <si>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</si>
  <si>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</si>
  <si>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</si>
  <si>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</si>
  <si>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</si>
  <si>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</si>
  <si>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</si>
  <si>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</si>
  <si>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</si>
  <si>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</si>
  <si>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</si>
  <si>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</si>
  <si>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</si>
  <si>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</si>
  <si>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</si>
  <si>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</si>
  <si>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</si>
  <si>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</si>
  <si>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</si>
  <si>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</si>
  <si>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</si>
  <si>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</si>
  <si>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</si>
  <si>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</si>
  <si>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</si>
  <si>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</si>
  <si>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</si>
  <si>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</si>
  <si>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</si>
  <si>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</si>
  <si>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</si>
  <si>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</si>
  <si>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</si>
  <si>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</si>
  <si>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</si>
  <si>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</si>
  <si>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</si>
  <si>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</si>
  <si>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</si>
  <si>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</si>
  <si>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</si>
  <si>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</si>
  <si>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</si>
  <si>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</si>
  <si>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</si>
  <si>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</si>
  <si>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</si>
  <si>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</si>
  <si>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</si>
  <si>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</si>
  <si>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</si>
  <si>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</si>
  <si>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</si>
  <si>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</si>
  <si>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</si>
  <si>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</si>
  <si>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</si>
  <si>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</si>
  <si>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</si>
  <si>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</si>
  <si>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</si>
  <si>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</si>
  <si>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</si>
  <si>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</si>
  <si>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</si>
  <si>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</si>
  <si>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</si>
  <si>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</si>
  <si>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</si>
  <si>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</si>
  <si>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</si>
  <si>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</si>
  <si>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</si>
  <si>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</si>
  <si>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</si>
  <si>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</si>
  <si>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</si>
  <si>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</si>
  <si>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</si>
  <si>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</si>
  <si>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</si>
  <si>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</si>
  <si>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</si>
  <si>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</si>
  <si>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</si>
  <si>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</si>
  <si>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</si>
  <si>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</si>
  <si>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</si>
  <si>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</si>
  <si>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</si>
  <si>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</si>
  <si>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</si>
  <si>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</si>
  <si>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</si>
  <si>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</si>
  <si>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</si>
  <si>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</si>
  <si>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</si>
  <si>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</si>
  <si>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</si>
  <si>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</si>
  <si>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</si>
  <si>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</si>
  <si>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</si>
  <si>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</si>
  <si>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</si>
  <si>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</si>
  <si>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</si>
  <si>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</si>
  <si>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</si>
  <si>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</si>
  <si>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</si>
  <si>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</si>
  <si>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</si>
  <si>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</si>
  <si>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</si>
  <si>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</si>
  <si>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</si>
  <si>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</si>
  <si>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</si>
  <si>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</si>
  <si>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</si>
  <si>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</si>
  <si>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</si>
  <si>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</si>
  <si>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</si>
  <si>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</si>
  <si>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</si>
  <si>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</si>
  <si>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</si>
  <si>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</si>
  <si>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</si>
  <si>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</si>
  <si>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</si>
  <si>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</si>
  <si>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</si>
  <si>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</si>
  <si>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</si>
  <si>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</si>
  <si>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</si>
  <si>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</si>
  <si>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</si>
  <si>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</si>
  <si>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</si>
  <si>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</si>
  <si>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</si>
  <si>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</si>
  <si>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</si>
  <si>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</si>
  <si>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</si>
  <si>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</si>
  <si>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</si>
  <si>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</si>
  <si>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</si>
  <si>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</si>
  <si>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</si>
  <si>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</si>
  <si>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</si>
  <si>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</si>
  <si>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</si>
  <si>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</si>
  <si>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</si>
  <si>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</si>
  <si>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</si>
  <si>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</si>
  <si>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</si>
  <si>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</si>
  <si>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</si>
  <si>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</si>
  <si>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</si>
  <si>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</si>
  <si>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</si>
  <si>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</si>
  <si>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</si>
  <si>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</si>
  <si>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</si>
  <si>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</si>
  <si>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</si>
  <si>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</si>
  <si>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</si>
  <si>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</si>
  <si>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</si>
  <si>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</si>
  <si>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</si>
  <si>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</si>
  <si>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</si>
  <si>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</si>
  <si>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</si>
  <si>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</si>
  <si>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</si>
  <si>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</si>
  <si>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</si>
  <si>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</si>
  <si>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</si>
  <si>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</si>
  <si>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</si>
  <si>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</si>
  <si>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</si>
  <si>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</si>
  <si>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</si>
  <si>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</si>
  <si>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</si>
  <si>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</si>
  <si>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</si>
  <si>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</si>
  <si>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</si>
  <si>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</si>
  <si>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</si>
  <si>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</si>
  <si>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</si>
  <si>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</si>
  <si>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</si>
  <si>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</si>
  <si>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</si>
  <si>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</si>
  <si>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</si>
  <si>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</si>
  <si>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</si>
  <si>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</si>
  <si>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</si>
  <si>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</si>
  <si>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</si>
  <si>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</si>
  <si>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</si>
  <si>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</si>
  <si>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</si>
  <si>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</si>
  <si>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</si>
  <si>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</si>
  <si>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</si>
  <si>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</si>
  <si>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</si>
  <si>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</si>
  <si>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</si>
  <si>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</si>
  <si>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</si>
  <si>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</si>
  <si>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</si>
  <si>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</si>
  <si>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</si>
  <si>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</si>
  <si>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</si>
  <si>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</si>
  <si>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</si>
  <si>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</si>
  <si>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</si>
  <si>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</si>
  <si>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</si>
  <si>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</si>
  <si>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</si>
  <si>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</si>
  <si>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</si>
  <si>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</si>
  <si>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</si>
  <si>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</si>
  <si>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</si>
  <si>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</si>
  <si>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</si>
  <si>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</si>
  <si>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</si>
  <si>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</si>
  <si>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</si>
  <si>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</si>
  <si>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</si>
  <si>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</si>
  <si>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</si>
  <si>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</si>
  <si>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</si>
  <si>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</si>
  <si>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</si>
  <si>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</si>
  <si>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</si>
  <si>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</si>
  <si>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</si>
  <si>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</si>
  <si>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</si>
  <si>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</si>
  <si>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</si>
  <si>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</si>
  <si>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</si>
  <si>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</si>
  <si>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</si>
  <si>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</si>
  <si>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</si>
  <si>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</si>
  <si>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</si>
  <si>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</si>
  <si>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</si>
  <si>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</si>
  <si>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</si>
  <si>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</si>
  <si>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</si>
  <si>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</si>
  <si>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</si>
  <si>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</si>
  <si>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</si>
  <si>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</si>
  <si>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</si>
  <si>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</si>
  <si>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</si>
  <si>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</si>
  <si>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</si>
  <si>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</si>
  <si>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</si>
  <si>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</si>
  <si>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</si>
  <si>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</si>
  <si>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</si>
  <si>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</si>
  <si>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</si>
  <si>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</si>
  <si>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</si>
  <si>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</si>
  <si>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</si>
  <si>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</si>
  <si>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</si>
  <si>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</si>
  <si>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</si>
  <si>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</si>
  <si>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</si>
  <si>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</si>
  <si>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</si>
  <si>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</si>
  <si>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</si>
  <si>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</si>
  <si>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</si>
  <si>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</si>
  <si>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</si>
  <si>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</si>
  <si>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</si>
  <si>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</si>
  <si>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</si>
  <si>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</si>
  <si>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</si>
  <si>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</si>
  <si>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</si>
  <si>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</si>
  <si>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</si>
  <si>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</si>
  <si>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</si>
  <si>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</si>
  <si>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</si>
  <si>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</si>
  <si>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</si>
  <si>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</si>
  <si>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</si>
  <si>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</si>
  <si>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</si>
  <si>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</si>
  <si>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</si>
  <si>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</si>
  <si>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</si>
  <si>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</si>
  <si>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</si>
  <si>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</si>
  <si>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</si>
  <si>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</si>
  <si>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</si>
  <si>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</si>
  <si>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</si>
  <si>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</si>
  <si>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</si>
  <si>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</si>
  <si>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</si>
  <si>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</si>
  <si>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</si>
  <si>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</si>
  <si>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</si>
  <si>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</si>
  <si>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</si>
  <si>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</si>
  <si>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</si>
  <si>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</si>
  <si>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</si>
  <si>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</si>
  <si>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</si>
  <si>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</si>
  <si>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</si>
  <si>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</si>
  <si>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</si>
  <si>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</si>
  <si>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</si>
  <si>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</si>
  <si>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</si>
  <si>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</si>
  <si>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</si>
  <si>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</si>
  <si>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</si>
  <si>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</si>
  <si>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</si>
  <si>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</si>
  <si>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</si>
  <si>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</si>
  <si>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</si>
  <si>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</si>
  <si>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</si>
  <si>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</si>
  <si>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</si>
  <si>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</si>
  <si>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</si>
  <si>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</si>
  <si>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</si>
  <si>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</si>
  <si>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</si>
  <si>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</si>
  <si>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</si>
  <si>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</si>
  <si>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</si>
  <si>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</si>
  <si>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</si>
  <si>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</si>
  <si>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</si>
  <si>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</si>
  <si>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</si>
  <si>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</si>
  <si>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</si>
  <si>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</si>
  <si>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</si>
  <si>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</si>
  <si>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</si>
  <si>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</si>
  <si>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</si>
  <si>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</si>
  <si>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</si>
  <si>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</si>
  <si>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</si>
  <si>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</si>
  <si>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</si>
  <si>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</si>
  <si>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</si>
  <si>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</si>
  <si>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</si>
  <si>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</si>
  <si>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</si>
  <si>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</si>
  <si>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</si>
  <si>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</si>
  <si>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</si>
  <si>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</si>
  <si>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</si>
  <si>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</si>
  <si>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</si>
  <si>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</si>
  <si>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</si>
  <si>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</si>
  <si>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</si>
  <si>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</si>
  <si>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</si>
  <si>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</si>
  <si>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</si>
  <si>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</si>
  <si>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</si>
  <si>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</si>
  <si>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</si>
  <si>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</si>
  <si>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</si>
  <si>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</si>
  <si>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</si>
  <si>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</si>
  <si>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</si>
  <si>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</si>
  <si>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</si>
  <si>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</si>
  <si>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</si>
  <si>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</si>
  <si>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</si>
  <si>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</si>
  <si>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</si>
  <si>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</si>
  <si>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</si>
  <si>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</si>
  <si>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</si>
  <si>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</si>
  <si>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</si>
  <si>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</si>
  <si>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</si>
  <si>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</si>
  <si>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</si>
  <si>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</si>
  <si>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</si>
  <si>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</si>
  <si>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</si>
  <si>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</si>
  <si>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</si>
  <si>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</si>
  <si>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</si>
  <si>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</si>
  <si>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</si>
  <si>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</si>
  <si>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</si>
  <si>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</si>
  <si>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</si>
  <si>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</si>
  <si>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</si>
  <si>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</si>
  <si>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</si>
  <si>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</si>
  <si>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</si>
  <si>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</si>
  <si>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</si>
  <si>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</si>
  <si>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</si>
  <si>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</si>
  <si>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</si>
  <si>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</si>
  <si>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</si>
  <si>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</si>
  <si>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</si>
  <si>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</si>
  <si>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</si>
  <si>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</si>
  <si>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</si>
  <si>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</si>
  <si>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</si>
  <si>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</si>
  <si>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</si>
  <si>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</si>
  <si>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</si>
  <si>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</si>
  <si>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</si>
  <si>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</si>
  <si>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</si>
  <si>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</si>
  <si>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</si>
  <si>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</si>
  <si>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</si>
  <si>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</si>
  <si>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</si>
  <si>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</si>
  <si>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</si>
  <si>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</si>
  <si>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</si>
  <si>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</si>
  <si>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</si>
  <si>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</si>
  <si>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</si>
  <si>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</si>
  <si>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</si>
  <si>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</si>
  <si>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</si>
  <si>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</si>
  <si>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</si>
  <si>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</si>
  <si>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</si>
  <si>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</si>
  <si>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</si>
  <si>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</si>
  <si>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</si>
  <si>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</si>
  <si>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</si>
  <si>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</si>
  <si>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</si>
  <si>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</si>
  <si>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</si>
  <si>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</si>
  <si>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</si>
  <si>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</si>
  <si>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</si>
  <si>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</si>
  <si>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</si>
  <si>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</si>
  <si>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</si>
  <si>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</si>
  <si>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</si>
  <si>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</si>
  <si>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</si>
  <si>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</si>
  <si>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</si>
  <si>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</si>
  <si>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</si>
  <si>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</si>
  <si>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</si>
  <si>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</si>
  <si>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</si>
  <si>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</si>
  <si>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</si>
  <si>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</si>
  <si>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</si>
  <si>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</si>
  <si>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</si>
  <si>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</si>
  <si>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</si>
  <si>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</si>
  <si>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</si>
  <si>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</si>
  <si>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</si>
  <si>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</si>
  <si>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</si>
  <si>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</si>
  <si>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</si>
  <si>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</si>
  <si>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</si>
  <si>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</si>
  <si>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</si>
  <si>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</si>
  <si>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</si>
  <si>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</si>
  <si>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</si>
  <si>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</si>
  <si>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</si>
  <si>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</si>
  <si>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</si>
  <si>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</si>
  <si>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</si>
  <si>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</si>
  <si>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</si>
  <si>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</si>
  <si>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</si>
  <si>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</si>
  <si>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</si>
  <si>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</si>
  <si>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</si>
  <si>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</si>
  <si>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</si>
  <si>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</si>
  <si>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</si>
  <si>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</si>
  <si>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</si>
  <si>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</si>
  <si>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</si>
  <si>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</si>
  <si>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</si>
  <si>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</si>
  <si>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</si>
  <si>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</si>
  <si>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</si>
  <si>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</si>
  <si>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</si>
  <si>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</si>
  <si>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</si>
  <si>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</si>
  <si>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</si>
  <si>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</si>
  <si>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</si>
  <si>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</si>
  <si>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</si>
  <si>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</si>
  <si>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</si>
  <si>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</si>
  <si>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</si>
  <si>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</si>
  <si>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</si>
  <si>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</si>
  <si>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</si>
  <si>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</si>
  <si>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</si>
  <si>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</si>
  <si>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</si>
  <si>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</si>
  <si>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</si>
  <si>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</si>
  <si>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</si>
  <si>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</si>
  <si>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</si>
  <si>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</si>
  <si>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</si>
  <si>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</si>
  <si>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</si>
  <si>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</si>
  <si>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</si>
  <si>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</si>
  <si>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</si>
  <si>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</si>
  <si>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</si>
  <si>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</si>
  <si>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</si>
  <si>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</si>
  <si>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</si>
  <si>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</si>
  <si>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</si>
  <si>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</si>
  <si>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</si>
  <si>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</si>
  <si>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</si>
  <si>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</si>
  <si>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</si>
  <si>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</si>
  <si>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</si>
  <si>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</si>
  <si>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</si>
  <si>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</si>
  <si>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</si>
  <si>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</si>
  <si>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</si>
  <si>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</si>
  <si>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</si>
  <si>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</si>
  <si>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</si>
  <si>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</si>
  <si>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</si>
  <si>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</si>
  <si>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</si>
  <si>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</si>
  <si>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</si>
  <si>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</si>
  <si>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</si>
  <si>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</si>
  <si>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</si>
  <si>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</si>
  <si>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</si>
  <si>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</si>
  <si>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</si>
  <si>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</si>
  <si>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</si>
  <si>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</si>
  <si>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</si>
  <si>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</si>
  <si>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</si>
  <si>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</si>
  <si>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</si>
  <si>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</si>
  <si>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</si>
  <si>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</si>
  <si>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</si>
  <si>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</si>
  <si>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</si>
  <si>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</si>
  <si>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</si>
  <si>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</si>
  <si>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</si>
  <si>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</si>
  <si>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</si>
  <si>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</si>
  <si>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</si>
  <si>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</si>
  <si>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</si>
  <si>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</si>
  <si>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</si>
  <si>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</si>
  <si>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</si>
  <si>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</si>
  <si>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</si>
  <si>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</si>
  <si>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</si>
  <si>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</si>
  <si>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</si>
  <si>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</si>
  <si>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</si>
  <si>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</si>
  <si>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</si>
  <si>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</si>
  <si>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</si>
  <si>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</si>
  <si>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</si>
  <si>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</si>
  <si>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</si>
  <si>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</si>
  <si>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</si>
  <si>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</si>
  <si>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</si>
  <si>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</si>
  <si>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</si>
  <si>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</si>
  <si>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</si>
  <si>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</si>
  <si>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</si>
  <si>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</si>
  <si>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</si>
  <si>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</si>
  <si>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</si>
  <si>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</si>
  <si>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</si>
  <si>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</si>
  <si>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</si>
  <si>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</si>
  <si>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</si>
  <si>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</si>
  <si>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</si>
  <si>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</si>
  <si>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</si>
  <si>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</si>
  <si>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</si>
  <si>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</si>
  <si>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</si>
  <si>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</si>
  <si>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</si>
  <si>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</si>
  <si>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</si>
  <si>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</si>
  <si>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</si>
  <si>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</si>
  <si>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</si>
  <si>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</si>
  <si>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</si>
  <si>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</si>
  <si>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</si>
  <si>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</si>
  <si>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</si>
  <si>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</si>
  <si>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</si>
  <si>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</si>
  <si>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</si>
  <si>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</si>
  <si>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</si>
  <si>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</si>
  <si>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</si>
  <si>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</si>
  <si>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</si>
  <si>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</si>
  <si>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</si>
  <si>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</si>
  <si>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</si>
  <si>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</si>
  <si>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</si>
  <si>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</si>
  <si>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</si>
  <si>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</si>
  <si>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</si>
  <si>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</si>
  <si>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</si>
  <si>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</si>
  <si>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</si>
  <si>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</si>
  <si>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</si>
  <si>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</si>
  <si>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</si>
  <si>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</si>
  <si>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</si>
  <si>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</si>
  <si>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</si>
  <si>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</si>
  <si>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</si>
  <si>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</si>
  <si>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</si>
  <si>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</si>
  <si>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</si>
  <si>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</si>
  <si>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</si>
  <si>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</si>
  <si>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</si>
  <si>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</si>
  <si>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</si>
  <si>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</si>
  <si>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</si>
  <si>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</si>
  <si>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</si>
  <si>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</si>
  <si>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</si>
  <si>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</si>
  <si>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</si>
  <si>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</si>
  <si>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</si>
  <si>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</si>
  <si>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</si>
  <si>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</si>
  <si>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</si>
  <si>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</si>
  <si>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</si>
  <si>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</si>
  <si>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</si>
  <si>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</si>
  <si>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</si>
  <si>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</si>
  <si>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</si>
  <si>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</si>
  <si>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</si>
  <si>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</si>
  <si>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</si>
  <si>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</si>
  <si>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</si>
  <si>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</si>
  <si>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</si>
  <si>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</si>
  <si>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</si>
  <si>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</si>
  <si>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</si>
  <si>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</si>
  <si>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</si>
  <si>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</si>
  <si>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</si>
  <si>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</si>
  <si>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</si>
  <si>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</si>
  <si>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</si>
  <si>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</si>
  <si>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</si>
  <si>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</si>
  <si>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</si>
  <si>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</si>
  <si>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</si>
  <si>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</si>
  <si>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</si>
  <si>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</si>
  <si>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</si>
  <si>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</si>
  <si>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</si>
  <si>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</si>
  <si>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</si>
  <si>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</si>
  <si>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</si>
  <si>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</si>
  <si>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</si>
  <si>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</si>
  <si>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</si>
  <si>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</si>
  <si>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</si>
  <si>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</si>
  <si>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</si>
  <si>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</si>
  <si>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</si>
  <si>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</si>
  <si>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</si>
  <si>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</si>
  <si>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</si>
  <si>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</si>
  <si>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</si>
  <si>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</si>
  <si>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</si>
  <si>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</si>
  <si>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</si>
  <si>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</si>
  <si>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</si>
  <si>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</si>
  <si>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</si>
  <si>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</si>
  <si>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</si>
  <si>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</si>
  <si>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</si>
  <si>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</si>
  <si>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</si>
  <si>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</si>
  <si>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</si>
  <si>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</si>
  <si>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</si>
  <si>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</si>
  <si>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</si>
  <si>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</si>
  <si>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</si>
  <si>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</si>
  <si>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</si>
  <si>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</si>
  <si>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</si>
  <si>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</si>
  <si>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</si>
  <si>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</si>
  <si>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</si>
  <si>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</si>
  <si>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</si>
  <si>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</si>
  <si>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</si>
  <si>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</si>
  <si>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</si>
  <si>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</si>
  <si>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</si>
  <si>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</si>
  <si>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</si>
  <si>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</si>
  <si>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</si>
  <si>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</si>
  <si>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</si>
  <si>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</si>
  <si>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</si>
  <si>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</si>
  <si>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</si>
  <si>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</si>
  <si>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</si>
  <si>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</si>
  <si>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</si>
  <si>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</si>
  <si>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</si>
  <si>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</si>
  <si>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</si>
  <si>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</si>
  <si>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</si>
  <si>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</si>
  <si>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</si>
  <si>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</si>
  <si>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</si>
  <si>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</si>
  <si>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</si>
  <si>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</si>
  <si>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</si>
  <si>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</si>
  <si>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</si>
  <si>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</si>
  <si>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</si>
  <si>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</si>
  <si>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</si>
  <si>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</si>
  <si>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</si>
  <si>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</si>
  <si>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</si>
  <si>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</si>
  <si>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</si>
  <si>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</si>
  <si>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</si>
  <si>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</si>
  <si>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</si>
  <si>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</si>
  <si>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</si>
  <si>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</si>
  <si>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</si>
  <si>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</si>
  <si>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</si>
  <si>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</si>
  <si>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</si>
  <si>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</si>
  <si>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</si>
  <si>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</si>
  <si>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</si>
  <si>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</si>
  <si>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</si>
  <si>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</si>
  <si>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</si>
  <si>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</si>
  <si>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</si>
  <si>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</si>
  <si>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</si>
  <si>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</si>
  <si>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</si>
  <si>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</si>
  <si>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</si>
  <si>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</si>
  <si>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</si>
  <si>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</si>
  <si>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</si>
  <si>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</si>
  <si>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</si>
  <si>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</si>
  <si>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</si>
  <si>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</si>
  <si>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</si>
  <si>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</si>
  <si>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</si>
  <si>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</si>
  <si>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</si>
  <si>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</si>
  <si>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</si>
  <si>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</si>
  <si>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</si>
  <si>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</si>
  <si>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</si>
  <si>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</si>
  <si>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</si>
  <si>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</si>
  <si>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</si>
  <si>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</si>
  <si>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</si>
  <si>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</si>
  <si>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</si>
  <si>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</si>
  <si>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</si>
  <si>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</si>
  <si>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</si>
  <si>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</si>
  <si>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</si>
  <si>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</si>
  <si>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</si>
  <si>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</si>
  <si>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</si>
  <si>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</si>
  <si>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</si>
  <si>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</si>
  <si>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</si>
  <si>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</si>
  <si>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</si>
  <si>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</si>
  <si>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</si>
  <si>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</si>
  <si>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</si>
  <si>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</si>
  <si>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</si>
  <si>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</si>
  <si>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</si>
  <si>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</si>
  <si>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</si>
  <si>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</si>
  <si>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</si>
  <si>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</si>
  <si>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</si>
  <si>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</si>
  <si>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</si>
  <si>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</si>
  <si>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</si>
  <si>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</si>
  <si>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</si>
  <si>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</si>
  <si>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</si>
  <si>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</si>
  <si>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</si>
  <si>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</si>
  <si>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</si>
  <si>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</si>
  <si>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</si>
  <si>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</si>
  <si>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</si>
  <si>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</si>
  <si>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</si>
  <si>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</si>
  <si>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</si>
  <si>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</si>
  <si>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</si>
  <si>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</si>
  <si>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</si>
  <si>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</si>
  <si>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</si>
  <si>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</si>
  <si>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</si>
  <si>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</si>
  <si>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</si>
  <si>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</si>
  <si>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</si>
  <si>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</si>
  <si>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</si>
  <si>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</si>
  <si>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</si>
  <si>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</si>
  <si>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</si>
  <si>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</si>
  <si>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</si>
  <si>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</si>
  <si>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</si>
  <si>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</si>
  <si>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</si>
  <si>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</si>
  <si>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</si>
  <si>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</si>
  <si>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</si>
  <si>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</si>
  <si>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</si>
  <si>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</si>
  <si>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</si>
  <si>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</si>
  <si>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</si>
  <si>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</si>
  <si>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</si>
  <si>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</si>
  <si>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</si>
  <si>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</si>
  <si>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</si>
  <si>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</si>
  <si>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</si>
  <si>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</si>
  <si>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</si>
  <si>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</si>
  <si>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</si>
  <si>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</si>
  <si>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</si>
  <si>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</si>
  <si>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</si>
  <si>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</si>
  <si>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</si>
  <si>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</si>
  <si>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</si>
  <si>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</si>
  <si>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</si>
  <si>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</si>
  <si>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</si>
  <si>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</si>
  <si>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</si>
  <si>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</si>
  <si>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</si>
  <si>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</si>
  <si>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</si>
  <si>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</si>
  <si>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</si>
  <si>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</si>
  <si>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</si>
  <si>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</si>
  <si>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</si>
  <si>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</si>
  <si>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</si>
  <si>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</si>
  <si>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</si>
  <si>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</si>
  <si>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</si>
  <si>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</si>
  <si>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</si>
  <si>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</si>
  <si>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</si>
  <si>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</si>
  <si>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</si>
  <si>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</si>
  <si>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</si>
  <si>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</si>
  <si>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</si>
  <si>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</si>
  <si>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</si>
  <si>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</si>
  <si>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</si>
  <si>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</si>
  <si>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</si>
  <si>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</si>
  <si>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</si>
  <si>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</si>
  <si>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</si>
  <si>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</si>
  <si>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</si>
  <si>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</si>
  <si>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</si>
  <si>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</si>
  <si>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</si>
  <si>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</si>
  <si>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</si>
  <si>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</si>
  <si>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</si>
  <si>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</si>
  <si>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</si>
  <si>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</si>
  <si>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</si>
  <si>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</si>
  <si>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</si>
  <si>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</si>
  <si>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</si>
  <si>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</si>
  <si>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</si>
  <si>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</si>
  <si>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</si>
  <si>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</si>
  <si>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</si>
  <si>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</si>
  <si>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</si>
  <si>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</si>
  <si>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</si>
  <si>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</si>
  <si>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</si>
  <si>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</si>
  <si>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</si>
  <si>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</si>
  <si>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</si>
  <si>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</si>
  <si>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</si>
  <si>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</si>
  <si>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</si>
  <si>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</si>
  <si>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</si>
  <si>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</si>
  <si>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</si>
  <si>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</si>
  <si>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</si>
  <si>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</si>
  <si>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</si>
  <si>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</si>
  <si>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</si>
  <si>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</si>
  <si>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</si>
  <si>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</si>
  <si>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</si>
  <si>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</si>
  <si>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</si>
  <si>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</si>
  <si>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</si>
  <si>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</si>
  <si>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</si>
  <si>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</si>
  <si>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</si>
  <si>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</si>
  <si>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</si>
  <si>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</si>
  <si>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</si>
  <si>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</si>
  <si>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</si>
  <si>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</si>
  <si>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</si>
  <si>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</si>
  <si>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</si>
  <si>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</si>
  <si>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</si>
  <si>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</si>
  <si>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</si>
  <si>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</si>
  <si>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</si>
  <si>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</si>
  <si>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</si>
  <si>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</si>
  <si>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</si>
  <si>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</si>
  <si>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</si>
  <si>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</si>
  <si>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</si>
  <si>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</si>
  <si>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</si>
  <si>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</si>
  <si>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</si>
  <si>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</si>
  <si>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</si>
  <si>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</si>
  <si>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</si>
  <si>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</si>
  <si>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</si>
  <si>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</si>
  <si>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</si>
  <si>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</si>
  <si>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</si>
  <si>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</si>
  <si>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</si>
  <si>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</si>
  <si>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</si>
  <si>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</si>
  <si>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</si>
  <si>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</si>
  <si>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</si>
  <si>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</si>
  <si>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</si>
  <si>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</si>
  <si>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</si>
  <si>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</si>
  <si>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</si>
  <si>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</si>
  <si>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</si>
  <si>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</si>
  <si>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</si>
  <si>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</si>
  <si>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</si>
  <si>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</si>
  <si>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</si>
  <si>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</si>
  <si>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</si>
  <si>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</si>
  <si>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</si>
  <si>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</si>
  <si>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</si>
  <si>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</si>
  <si>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</si>
  <si>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</si>
  <si>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</si>
  <si>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</si>
  <si>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</si>
  <si>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</si>
  <si>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</si>
  <si>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</si>
  <si>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</si>
  <si>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</si>
  <si>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</si>
  <si>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</si>
  <si>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</si>
  <si>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</si>
  <si>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</si>
  <si>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</si>
  <si>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</si>
  <si>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</si>
  <si>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</si>
  <si>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</si>
  <si>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</si>
  <si>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</si>
  <si>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</si>
  <si>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</si>
  <si>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</si>
  <si>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</si>
  <si>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</si>
  <si>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</si>
  <si>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</si>
  <si>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</si>
  <si>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</si>
  <si>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</si>
  <si>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</si>
  <si>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</si>
  <si>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</si>
  <si>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</si>
  <si>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</si>
  <si>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</si>
  <si>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</si>
  <si>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</si>
  <si>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</si>
  <si>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</si>
  <si>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</si>
  <si>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</si>
  <si>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</si>
  <si>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</si>
  <si>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</si>
  <si>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</si>
  <si>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</si>
  <si>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</si>
  <si>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</si>
  <si>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</si>
  <si>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</si>
  <si>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</si>
  <si>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</si>
  <si>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</si>
  <si>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</si>
  <si>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</si>
  <si>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</si>
  <si>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</si>
  <si>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</si>
  <si>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</si>
  <si>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</si>
  <si>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</si>
  <si>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</si>
  <si>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</si>
  <si>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</si>
  <si>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</si>
  <si>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</si>
  <si>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</si>
  <si>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</si>
  <si>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</si>
  <si>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</si>
  <si>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</si>
  <si>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</si>
  <si>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</si>
  <si>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</si>
  <si>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</si>
  <si>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</si>
  <si>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</si>
  <si>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</si>
  <si>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</si>
  <si>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</si>
  <si>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</si>
  <si>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</si>
  <si>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</si>
  <si>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</si>
  <si>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</si>
  <si>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</si>
  <si>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</si>
  <si>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</si>
  <si>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</si>
  <si>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</si>
  <si>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</si>
  <si>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</si>
  <si>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</si>
  <si>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</si>
  <si>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</si>
  <si>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</si>
  <si>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</si>
  <si>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</si>
  <si>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</si>
  <si>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</si>
  <si>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</si>
  <si>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</si>
  <si>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</si>
  <si>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</si>
  <si>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</si>
  <si>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</si>
  <si>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</si>
  <si>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</si>
  <si>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</si>
  <si>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</si>
  <si>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</si>
  <si>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</si>
  <si>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</si>
  <si>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</si>
  <si>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</si>
  <si>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</si>
  <si>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</si>
  <si>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</si>
  <si>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</si>
  <si>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</si>
  <si>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</si>
  <si>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</si>
  <si>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</si>
  <si>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</si>
  <si>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</si>
  <si>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</si>
  <si>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</si>
  <si>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</si>
  <si>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</si>
  <si>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</si>
  <si>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</si>
  <si>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</si>
  <si>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</si>
  <si>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</si>
  <si>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</si>
  <si>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</si>
  <si>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</si>
  <si>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</si>
  <si>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</si>
  <si>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</si>
  <si>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</si>
  <si>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</si>
  <si>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</si>
  <si>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</si>
  <si>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</si>
  <si>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</si>
  <si>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</si>
  <si>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</si>
  <si>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</si>
  <si>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</si>
  <si>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</si>
  <si>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</si>
  <si>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</si>
  <si>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</si>
  <si>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</si>
  <si>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</si>
  <si>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</si>
  <si>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</si>
  <si>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</si>
  <si>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</si>
  <si>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</si>
  <si>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</si>
  <si>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</si>
  <si>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</si>
  <si>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</si>
  <si>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</si>
  <si>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</si>
  <si>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</si>
  <si>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</si>
  <si>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</si>
  <si>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</si>
  <si>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</si>
  <si>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</si>
  <si>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</si>
  <si>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</si>
  <si>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</si>
  <si>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</si>
  <si>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</si>
  <si>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</si>
  <si>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</si>
  <si>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</si>
  <si>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</si>
  <si>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</si>
  <si>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</si>
  <si>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</si>
  <si>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</si>
  <si>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</si>
  <si>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</si>
  <si>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</si>
  <si>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</si>
  <si>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</si>
  <si>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</si>
  <si>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</si>
  <si>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</si>
  <si>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</si>
  <si>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</si>
  <si>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</si>
  <si>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</si>
  <si>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</si>
  <si>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</si>
  <si>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</si>
  <si>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</si>
  <si>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</si>
  <si>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</si>
  <si>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</si>
  <si>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</si>
  <si>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</si>
  <si>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</si>
  <si>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</si>
  <si>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</si>
  <si>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</si>
  <si>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</si>
  <si>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</si>
  <si>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</si>
  <si>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</si>
  <si>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</si>
  <si>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</si>
  <si>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</si>
  <si>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</si>
  <si>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</si>
  <si>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</si>
  <si>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</si>
  <si>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</si>
  <si>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</si>
  <si>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</si>
  <si>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</si>
  <si>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</si>
  <si>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</si>
  <si>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</si>
  <si>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</si>
  <si>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</si>
  <si>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</si>
  <si>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</si>
  <si>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</si>
  <si>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</si>
  <si>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</si>
  <si>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</si>
  <si>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</si>
  <si>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</si>
  <si>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</si>
  <si>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</si>
  <si>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</si>
  <si>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</si>
  <si>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</si>
  <si>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</si>
  <si>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</si>
  <si>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</si>
  <si>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</si>
  <si>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</si>
  <si>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</si>
  <si>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</si>
  <si>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</si>
  <si>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</si>
  <si>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</si>
  <si>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</si>
  <si>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</si>
  <si>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</si>
  <si>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</si>
  <si>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</si>
  <si>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</si>
  <si>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</si>
  <si>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</si>
  <si>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</si>
  <si>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</si>
  <si>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</si>
  <si>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</si>
  <si>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</si>
  <si>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</si>
  <si>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</si>
  <si>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</si>
  <si>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</si>
  <si>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</si>
  <si>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</si>
  <si>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</si>
  <si>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</si>
  <si>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</si>
  <si>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</si>
  <si>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</si>
  <si>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</si>
  <si>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</si>
  <si>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</si>
  <si>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</si>
  <si>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</si>
  <si>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</si>
  <si>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</si>
  <si>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</si>
  <si>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</si>
  <si>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</si>
  <si>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</si>
  <si>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</si>
  <si>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</si>
  <si>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</si>
  <si>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</si>
  <si>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</si>
  <si>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</si>
  <si>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</si>
  <si>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</si>
  <si>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</si>
  <si>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</si>
  <si>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</si>
  <si>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</si>
  <si>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</si>
  <si>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</si>
  <si>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</si>
  <si>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</si>
  <si>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</si>
  <si>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</si>
  <si>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</si>
  <si>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</si>
  <si>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</si>
  <si>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</si>
  <si>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</si>
  <si>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</si>
  <si>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</si>
  <si>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</si>
  <si>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</si>
  <si>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</si>
  <si>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</si>
  <si>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</si>
  <si>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</si>
  <si>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</si>
  <si>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</si>
  <si>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</si>
  <si>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</si>
  <si>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</si>
  <si>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</si>
  <si>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</si>
  <si>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</si>
  <si>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</si>
  <si>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</si>
  <si>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</si>
  <si>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</si>
  <si>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</si>
  <si>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</si>
  <si>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</si>
  <si>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</si>
  <si>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</si>
  <si>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</si>
  <si>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</si>
  <si>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</si>
  <si>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</si>
  <si>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</si>
  <si>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</si>
  <si>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</si>
  <si>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</si>
  <si>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</si>
  <si>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</si>
  <si>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</si>
  <si>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</si>
  <si>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</si>
  <si>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</si>
  <si>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</si>
  <si>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</si>
  <si>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</si>
  <si>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</si>
  <si>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</si>
  <si>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</si>
  <si>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</si>
  <si>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</si>
  <si>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</si>
  <si>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</si>
  <si>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</si>
  <si>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</si>
  <si>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</si>
  <si>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</si>
  <si>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</si>
  <si>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</si>
  <si>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</si>
  <si>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</si>
  <si>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</si>
  <si>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</si>
  <si>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</si>
  <si>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</si>
  <si>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</si>
  <si>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</si>
  <si>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</si>
  <si>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</si>
  <si>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</si>
  <si>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</si>
  <si>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</si>
  <si>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</si>
  <si>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</si>
  <si>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</si>
  <si>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</si>
  <si>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</si>
  <si>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</si>
  <si>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</si>
  <si>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</si>
  <si>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</si>
  <si>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</si>
  <si>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</si>
  <si>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</si>
  <si>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</si>
  <si>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</si>
  <si>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</si>
  <si>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</si>
  <si>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</si>
  <si>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</si>
  <si>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</si>
  <si>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</si>
  <si>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</si>
  <si>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</si>
  <si>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</si>
  <si>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</si>
  <si>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</si>
  <si>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</si>
  <si>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</si>
  <si>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</si>
  <si>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</si>
  <si>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</si>
  <si>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</si>
  <si>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</si>
  <si>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</si>
  <si>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</si>
  <si>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</si>
  <si>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</si>
  <si>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</si>
  <si>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</si>
  <si>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</si>
  <si>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</si>
  <si>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</si>
  <si>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</si>
  <si>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</si>
  <si>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</si>
  <si>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</si>
  <si>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</si>
  <si>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</si>
  <si>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</si>
  <si>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</si>
  <si>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</si>
  <si>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</si>
  <si>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</si>
  <si>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</si>
  <si>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</si>
  <si>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</si>
  <si>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</si>
  <si>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</si>
  <si>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</si>
  <si>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</si>
  <si>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</si>
  <si>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</si>
  <si>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</si>
  <si>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</si>
  <si>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</si>
  <si>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</si>
  <si>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</si>
  <si>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</si>
  <si>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</si>
  <si>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</si>
  <si>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</si>
  <si>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</si>
  <si>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</si>
  <si>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</si>
  <si>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</si>
  <si>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</si>
  <si>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</si>
  <si>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</si>
  <si>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</si>
  <si>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</si>
  <si>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</si>
  <si>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</si>
  <si>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</si>
  <si>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</si>
  <si>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</si>
  <si>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</si>
  <si>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</si>
  <si>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</si>
  <si>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</si>
  <si>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</si>
  <si>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</si>
  <si>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</si>
  <si>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</si>
  <si>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</si>
  <si>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</si>
  <si>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</si>
  <si>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</si>
  <si>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</si>
  <si>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</si>
  <si>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</si>
  <si>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</si>
  <si>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</si>
  <si>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</si>
  <si>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</si>
  <si>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</si>
  <si>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</si>
  <si>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</si>
  <si>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</si>
  <si>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</si>
  <si>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</si>
  <si>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</si>
  <si>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</si>
  <si>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</si>
  <si>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</si>
  <si>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</si>
  <si>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</si>
  <si>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</si>
  <si>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</si>
  <si>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</si>
  <si>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</si>
  <si>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</si>
  <si>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</si>
  <si>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</si>
  <si>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</si>
  <si>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</si>
  <si>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</si>
  <si>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</si>
  <si>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</si>
  <si>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</si>
  <si>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</si>
  <si>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</si>
  <si>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</si>
  <si>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</si>
  <si>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</si>
  <si>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</si>
  <si>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</si>
  <si>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</si>
  <si>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</si>
  <si>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</si>
  <si>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</si>
  <si>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</si>
  <si>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</si>
  <si>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</si>
  <si>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</si>
  <si>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</si>
  <si>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</si>
  <si>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</si>
  <si>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</si>
  <si>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</si>
  <si>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</si>
  <si>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</si>
  <si>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</si>
  <si>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</si>
  <si>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</si>
  <si>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</si>
  <si>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</si>
  <si>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</si>
  <si>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</si>
  <si>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</si>
  <si>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</si>
  <si>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</si>
  <si>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</si>
  <si>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</si>
  <si>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</si>
  <si>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</si>
  <si>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</si>
  <si>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</si>
  <si>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</si>
  <si>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</si>
  <si>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</si>
  <si>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</si>
  <si>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</si>
  <si>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</si>
  <si>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</si>
  <si>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</si>
  <si>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</si>
  <si>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</si>
  <si>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</si>
  <si>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</si>
  <si>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</si>
  <si>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</si>
  <si>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</si>
  <si>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</si>
  <si>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</si>
  <si>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</si>
  <si>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</si>
  <si>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</si>
  <si>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</si>
  <si>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</si>
  <si>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</si>
  <si>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</si>
  <si>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</si>
  <si>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</si>
  <si>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</si>
  <si>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</si>
  <si>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</si>
  <si>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</si>
  <si>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</si>
  <si>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</si>
  <si>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</si>
  <si>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</si>
  <si>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</si>
  <si>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</si>
  <si>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</si>
  <si>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</si>
  <si>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</si>
  <si>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</si>
  <si>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</si>
  <si>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</si>
  <si>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</si>
  <si>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</si>
  <si>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</si>
  <si>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</si>
  <si>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</si>
  <si>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</si>
  <si>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</si>
  <si>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</si>
  <si>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</si>
  <si>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</si>
  <si>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</si>
  <si>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</si>
  <si>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</si>
  <si>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</si>
  <si>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</si>
  <si>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</si>
  <si>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</si>
  <si>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</si>
  <si>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</si>
  <si>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</si>
  <si>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</si>
  <si>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</si>
  <si>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</si>
  <si>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</si>
  <si>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</si>
  <si>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</si>
  <si>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</si>
  <si>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</si>
  <si>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</si>
  <si>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</si>
  <si>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</si>
  <si>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</si>
  <si>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</si>
  <si>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</si>
  <si>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</si>
  <si>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</si>
  <si>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</si>
  <si>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</si>
  <si>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</si>
  <si>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</si>
  <si>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</si>
  <si>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</si>
  <si>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</si>
  <si>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</si>
  <si>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</si>
  <si>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</si>
  <si>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</si>
  <si>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</si>
  <si>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</si>
  <si>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</si>
  <si>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</si>
  <si>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</si>
  <si>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</si>
  <si>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</si>
  <si>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</si>
  <si>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</si>
  <si>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</si>
  <si>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</si>
  <si>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</si>
  <si>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</si>
  <si>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</si>
  <si>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</si>
  <si>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</si>
  <si>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</si>
  <si>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</si>
  <si>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</si>
  <si>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</si>
  <si>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</si>
  <si>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</si>
  <si>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</si>
  <si>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</si>
  <si>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</si>
  <si>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</si>
  <si>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</si>
  <si>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</si>
  <si>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</si>
  <si>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</si>
  <si>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</si>
  <si>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</si>
  <si>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</si>
  <si>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</si>
  <si>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</si>
  <si>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</si>
  <si>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</si>
  <si>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</si>
  <si>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</si>
  <si>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</si>
  <si>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</si>
  <si>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</si>
  <si>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</si>
  <si>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</si>
  <si>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</si>
  <si>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</si>
  <si>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</si>
  <si>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</si>
  <si>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</si>
  <si>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</si>
  <si>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</si>
  <si>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</si>
  <si>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</si>
  <si>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</si>
  <si>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</si>
  <si>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</si>
  <si>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</si>
  <si>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</si>
  <si>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</si>
  <si>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</si>
  <si>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</si>
  <si>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</si>
  <si>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</si>
  <si>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</si>
  <si>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</si>
  <si>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</si>
  <si>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</si>
  <si>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</si>
  <si>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</si>
  <si>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</si>
  <si>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</si>
  <si>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</si>
  <si>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</si>
  <si>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</si>
  <si>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</si>
  <si>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</si>
  <si>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</si>
  <si>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</si>
  <si>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</si>
  <si>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</si>
  <si>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</si>
  <si>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</si>
  <si>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</si>
  <si>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</si>
  <si>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</si>
  <si>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</si>
  <si>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</si>
  <si>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</si>
  <si>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</si>
  <si>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</si>
  <si>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</si>
  <si>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</si>
  <si>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</si>
  <si>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</si>
  <si>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</si>
  <si>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</si>
  <si>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</si>
  <si>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</si>
  <si>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</si>
  <si>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</si>
  <si>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</si>
  <si>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</si>
  <si>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</si>
  <si>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</si>
  <si>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</si>
  <si>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</si>
  <si>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</si>
  <si>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</si>
  <si>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</si>
  <si>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</si>
  <si>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</si>
  <si>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</si>
  <si>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</si>
  <si>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</si>
  <si>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</si>
  <si>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</si>
  <si>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</si>
  <si>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</si>
  <si>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</si>
  <si>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</si>
  <si>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</si>
  <si>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</si>
  <si>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</si>
  <si>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</si>
  <si>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</si>
  <si>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</si>
  <si>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</si>
  <si>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</si>
  <si>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</si>
  <si>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</si>
  <si>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</si>
  <si>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</si>
  <si>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</si>
  <si>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</si>
  <si>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</si>
  <si>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</si>
  <si>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</si>
  <si>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</si>
  <si>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</si>
  <si>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</si>
  <si>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</si>
  <si>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</si>
  <si>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</si>
  <si>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</si>
  <si>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</si>
  <si>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</si>
  <si>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</si>
  <si>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</si>
  <si>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</si>
  <si>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</si>
  <si>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</si>
  <si>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</si>
  <si>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</si>
  <si>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</si>
  <si>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</si>
  <si>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</si>
  <si>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</si>
  <si>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</si>
  <si>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</si>
  <si>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</si>
  <si>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</si>
  <si>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</si>
  <si>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</si>
  <si>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</si>
  <si>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</si>
  <si>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</si>
  <si>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</si>
  <si>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</si>
  <si>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</si>
  <si>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</si>
  <si>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</si>
  <si>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</si>
  <si>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</si>
  <si>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</si>
  <si>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</si>
  <si>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</si>
  <si>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</si>
  <si>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</si>
  <si>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</si>
  <si>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</si>
  <si>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</si>
  <si>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</si>
  <si>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</si>
  <si>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</si>
  <si>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</si>
  <si>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</si>
  <si>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</si>
  <si>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</si>
  <si>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</si>
  <si>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</si>
  <si>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</si>
  <si>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</si>
  <si>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</si>
  <si>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</si>
  <si>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</si>
  <si>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</si>
  <si>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</si>
  <si>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</si>
  <si>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</si>
  <si>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</si>
  <si>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</si>
  <si>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</si>
  <si>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</si>
  <si>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</si>
  <si>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</si>
  <si>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</si>
  <si>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</si>
  <si>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</si>
  <si>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</si>
  <si>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</si>
  <si>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</si>
  <si>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</si>
  <si>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</si>
  <si>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</si>
  <si>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</si>
  <si>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</si>
  <si>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</si>
  <si>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</si>
  <si>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</si>
  <si>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</si>
  <si>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</si>
  <si>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</si>
  <si>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</si>
  <si>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</si>
  <si>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</si>
  <si>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</si>
  <si>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</si>
  <si>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</si>
  <si>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</si>
  <si>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</si>
  <si>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</si>
  <si>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</si>
  <si>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</si>
  <si>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</si>
  <si>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</si>
  <si>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</si>
  <si>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</si>
  <si>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</si>
  <si>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</si>
  <si>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</si>
  <si>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</si>
  <si>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</si>
  <si>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</si>
  <si>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</si>
  <si>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</si>
  <si>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</si>
  <si>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</si>
  <si>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</si>
  <si>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</si>
  <si>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</si>
  <si>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</si>
  <si>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</si>
  <si>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</si>
  <si>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</si>
  <si>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</si>
  <si>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</si>
  <si>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</si>
  <si>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</si>
  <si>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</si>
  <si>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</si>
  <si>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</si>
  <si>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</si>
  <si>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</si>
  <si>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</si>
  <si>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</si>
  <si>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</si>
  <si>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</si>
  <si>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</si>
  <si>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</si>
  <si>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</si>
  <si>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</si>
  <si>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</si>
  <si>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</si>
  <si>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</si>
  <si>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</si>
  <si>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</si>
  <si>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</si>
  <si>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</si>
  <si>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</si>
  <si>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</si>
  <si>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</si>
  <si>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</si>
  <si>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</si>
  <si>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</si>
  <si>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</si>
  <si>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</si>
  <si>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</si>
  <si>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</si>
  <si>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</si>
  <si>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</si>
  <si>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</si>
  <si>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</si>
  <si>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</si>
  <si>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</si>
  <si>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</si>
  <si>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</si>
  <si>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</si>
  <si>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</si>
  <si>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</si>
  <si>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</si>
  <si>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</si>
  <si>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</si>
  <si>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</si>
  <si>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</si>
  <si>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</si>
  <si>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</si>
  <si>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</si>
  <si>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</si>
  <si>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</si>
  <si>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</si>
  <si>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</si>
  <si>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</si>
  <si>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</si>
  <si>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</si>
  <si>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</si>
  <si>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</si>
  <si>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</si>
  <si>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</si>
  <si>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</si>
  <si>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</si>
  <si>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</si>
  <si>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</si>
  <si>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</si>
  <si>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</si>
  <si>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</si>
  <si>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</si>
  <si>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</si>
  <si>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</si>
  <si>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</si>
  <si>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</si>
  <si>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</si>
  <si>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</si>
  <si>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</si>
  <si>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</si>
  <si>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</si>
  <si>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</si>
  <si>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</si>
  <si>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</si>
  <si>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</si>
  <si>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</si>
  <si>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</si>
  <si>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</si>
  <si>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</si>
  <si>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</si>
  <si>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</si>
  <si>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</si>
  <si>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</si>
  <si>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</si>
  <si>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</si>
  <si>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</si>
  <si>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</si>
  <si>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</si>
  <si>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</si>
  <si>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</si>
  <si>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</si>
  <si>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</si>
  <si>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</si>
  <si>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</si>
  <si>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</si>
  <si>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</si>
  <si>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</si>
  <si>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</si>
  <si>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</si>
  <si>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</si>
  <si>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</si>
  <si>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</si>
  <si>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</si>
  <si>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</si>
  <si>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</si>
  <si>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</si>
  <si>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</si>
  <si>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</si>
  <si>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</si>
  <si>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</si>
  <si>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</si>
  <si>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</si>
  <si>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</si>
  <si>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</si>
  <si>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</si>
  <si>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</si>
  <si>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</si>
  <si>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</si>
  <si>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</si>
  <si>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</si>
  <si>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</si>
  <si>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</si>
  <si>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</si>
  <si>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</si>
  <si>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</si>
  <si>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</si>
  <si>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</si>
  <si>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</si>
  <si>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</si>
  <si>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</si>
  <si>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</si>
  <si>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</si>
  <si>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</si>
  <si>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</si>
  <si>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</si>
  <si>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</si>
  <si>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</si>
  <si>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</si>
  <si>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</si>
  <si>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</si>
  <si>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</si>
  <si>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</si>
  <si>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</si>
  <si>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</si>
  <si>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</si>
  <si>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</si>
  <si>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</si>
  <si>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</si>
  <si>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</si>
  <si>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</si>
  <si>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</si>
  <si>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</si>
  <si>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</si>
  <si>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</si>
  <si>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</si>
  <si>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</si>
  <si>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</si>
  <si>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</si>
  <si>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</si>
  <si>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</si>
  <si>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</si>
  <si>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</si>
  <si>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</si>
  <si>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</si>
  <si>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</si>
  <si>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</si>
  <si>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</si>
  <si>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</si>
  <si>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</si>
  <si>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</si>
  <si>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</si>
  <si>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</si>
  <si>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</si>
  <si>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</si>
  <si>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</si>
  <si>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</si>
  <si>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</si>
  <si>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</si>
  <si>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</si>
  <si>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</si>
  <si>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</si>
  <si>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</si>
  <si>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</si>
  <si>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</si>
  <si>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</si>
  <si>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</si>
  <si>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</si>
  <si>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</si>
  <si>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</si>
  <si>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</si>
  <si>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</si>
  <si>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</si>
  <si>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</si>
  <si>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</si>
  <si>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</si>
  <si>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</si>
  <si>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</si>
  <si>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</si>
  <si>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</si>
  <si>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</si>
  <si>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</si>
  <si>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</si>
  <si>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</si>
  <si>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</si>
  <si>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</si>
  <si>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</si>
  <si>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</si>
  <si>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</si>
  <si>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</si>
  <si>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</si>
  <si>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</si>
  <si>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</si>
  <si>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</si>
  <si>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</si>
  <si>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</si>
  <si>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</si>
  <si>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</si>
  <si>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</si>
  <si>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</si>
  <si>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</si>
  <si>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</si>
  <si>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</si>
  <si>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</si>
  <si>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</si>
  <si>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</si>
  <si>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</si>
  <si>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</si>
  <si>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</si>
  <si>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</si>
  <si>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</si>
  <si>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</si>
  <si>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</si>
  <si>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</si>
  <si>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</si>
  <si>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</si>
  <si>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</si>
  <si>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</si>
  <si>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</si>
  <si>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</si>
  <si>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</si>
  <si>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</si>
  <si>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</si>
  <si>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</si>
  <si>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</si>
  <si>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</si>
  <si>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</si>
  <si>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</si>
  <si>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</si>
  <si>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</si>
  <si>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</si>
  <si>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</si>
  <si>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</si>
  <si>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</si>
  <si>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</si>
  <si>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</si>
  <si>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</si>
  <si>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</si>
  <si>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</si>
  <si>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</si>
  <si>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</si>
  <si>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</si>
  <si>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</si>
  <si>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</si>
  <si>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</si>
  <si>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</si>
  <si>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</si>
  <si>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</si>
  <si>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</si>
  <si>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</si>
  <si>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</si>
  <si>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</si>
  <si>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</si>
  <si>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</si>
  <si>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</si>
  <si>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</si>
  <si>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</si>
  <si>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</si>
  <si>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</si>
  <si>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</si>
  <si>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</si>
  <si>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</si>
  <si>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</si>
  <si>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</si>
  <si>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</si>
  <si>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</si>
  <si>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</si>
  <si>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</si>
  <si>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</si>
  <si>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</si>
  <si>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</si>
  <si>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</si>
  <si>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</si>
  <si>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</si>
  <si>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</si>
  <si>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</si>
  <si>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</si>
  <si>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</si>
  <si>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</si>
  <si>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</si>
  <si>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</si>
  <si>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</si>
  <si>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</si>
  <si>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</si>
  <si>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</si>
  <si>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</si>
  <si>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</si>
  <si>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</si>
  <si>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</si>
  <si>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</si>
  <si>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</si>
  <si>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</si>
  <si>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</si>
  <si>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</si>
  <si>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</si>
  <si>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</si>
  <si>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</si>
  <si>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</si>
  <si>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</si>
  <si>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</si>
  <si>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</si>
  <si>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</si>
  <si>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</si>
  <si>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</si>
  <si>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</si>
  <si>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</si>
  <si>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</si>
  <si>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</si>
  <si>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</si>
  <si>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</si>
  <si>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</si>
  <si>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</si>
  <si>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</si>
  <si>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</si>
  <si>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</si>
  <si>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</si>
  <si>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</si>
  <si>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</si>
  <si>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</si>
  <si>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</si>
  <si>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</si>
  <si>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</si>
  <si>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</si>
  <si>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</si>
  <si>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</si>
  <si>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</si>
  <si>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</si>
  <si>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</si>
  <si>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</si>
  <si>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</si>
  <si>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</si>
  <si>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</si>
  <si>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</si>
  <si>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</si>
  <si>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</si>
  <si>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</si>
  <si>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</si>
  <si>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</si>
  <si>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</si>
  <si>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</si>
  <si>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</si>
  <si>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</si>
  <si>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</si>
  <si>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</si>
  <si>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</si>
  <si>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</si>
  <si>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</si>
  <si>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</si>
  <si>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</si>
  <si>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</si>
  <si>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</si>
  <si>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</si>
  <si>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</si>
  <si>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</si>
  <si>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</si>
  <si>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</si>
  <si>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</si>
  <si>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</si>
  <si>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</si>
  <si>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</si>
  <si>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</si>
  <si>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</si>
  <si>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</si>
  <si>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</si>
  <si>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</si>
  <si>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</si>
  <si>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</si>
  <si>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</si>
  <si>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</si>
  <si>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</si>
  <si>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</si>
  <si>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</si>
  <si>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</si>
  <si>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</si>
  <si>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</si>
  <si>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</si>
  <si>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</si>
  <si>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</si>
  <si>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</si>
  <si>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</si>
  <si>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</si>
  <si>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</si>
  <si>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</si>
  <si>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</si>
  <si>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</si>
  <si>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</si>
  <si>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</si>
  <si>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</si>
  <si>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</si>
  <si>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</si>
  <si>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</si>
  <si>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</si>
  <si>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</si>
  <si>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</si>
  <si>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</si>
  <si>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</si>
  <si>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</si>
  <si>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</si>
  <si>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</si>
  <si>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</si>
  <si>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</si>
  <si>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</si>
  <si>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</si>
  <si>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</si>
  <si>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</si>
  <si>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</si>
  <si>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</si>
  <si>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</si>
  <si>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</si>
  <si>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</si>
  <si>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</si>
  <si>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</si>
  <si>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</si>
  <si>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</si>
  <si>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</si>
  <si>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</si>
  <si>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</si>
  <si>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</si>
  <si>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</si>
  <si>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</si>
  <si>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</si>
  <si>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</si>
  <si>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</si>
  <si>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</si>
  <si>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</si>
  <si>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</si>
  <si>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</si>
  <si>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</si>
  <si>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</si>
  <si>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</si>
  <si>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</si>
  <si>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</si>
  <si>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</si>
  <si>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</si>
  <si>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</si>
  <si>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</si>
  <si>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</si>
  <si>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</si>
  <si>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</si>
  <si>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</si>
  <si>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</si>
  <si>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</si>
  <si>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</si>
  <si>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</si>
  <si>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</si>
  <si>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</si>
  <si>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</si>
  <si>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</si>
  <si>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</si>
  <si>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</si>
  <si>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</si>
  <si>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</si>
  <si>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</si>
  <si>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</si>
  <si>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</si>
  <si>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</si>
  <si>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</si>
  <si>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</si>
  <si>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</si>
  <si>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</si>
  <si>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</si>
  <si>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</si>
  <si>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</si>
  <si>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</si>
  <si>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</si>
  <si>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</si>
  <si>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</si>
  <si>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</si>
  <si>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</si>
  <si>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</si>
  <si>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</si>
  <si>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</si>
  <si>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</si>
  <si>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</si>
  <si>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</si>
  <si>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</si>
  <si>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</si>
  <si>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</si>
  <si>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</si>
  <si>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</si>
  <si>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</si>
  <si>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</si>
  <si>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</si>
  <si>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</si>
  <si>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</si>
  <si>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</si>
  <si>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</si>
  <si>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</si>
  <si>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</si>
  <si>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</si>
  <si>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</si>
  <si>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</si>
  <si>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</si>
  <si>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</si>
  <si>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</si>
  <si>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</si>
  <si>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</si>
  <si>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</si>
  <si>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</si>
  <si>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</si>
  <si>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</si>
  <si>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</si>
  <si>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</si>
  <si>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</si>
  <si>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</si>
  <si>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</si>
  <si>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</si>
  <si>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</si>
  <si>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</si>
  <si>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</si>
  <si>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</si>
  <si>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</si>
  <si>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</si>
  <si>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</si>
  <si>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</si>
  <si>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</si>
  <si>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</si>
  <si>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</si>
  <si>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</si>
  <si>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</si>
  <si>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</si>
  <si>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</si>
  <si>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</si>
  <si>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</si>
  <si>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</si>
  <si>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</si>
  <si>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</si>
  <si>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</si>
  <si>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</si>
  <si>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</si>
  <si>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</si>
  <si>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</si>
  <si>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</si>
  <si>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</si>
  <si>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</si>
  <si>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</si>
  <si>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</si>
  <si>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</si>
  <si>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</si>
  <si>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</si>
  <si>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</si>
  <si>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</si>
  <si>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</si>
  <si>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</si>
  <si>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</si>
  <si>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</si>
  <si>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</si>
  <si>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</si>
  <si>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</si>
  <si>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</si>
  <si>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</si>
  <si>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</si>
  <si>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</si>
  <si>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</si>
  <si>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</si>
  <si>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</si>
  <si>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</si>
  <si>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</si>
  <si>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</si>
  <si>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</si>
  <si>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</si>
  <si>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</si>
  <si>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</si>
  <si>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</si>
  <si>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</si>
  <si>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</si>
  <si>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</si>
  <si>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</si>
  <si>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</si>
  <si>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</si>
  <si>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</si>
  <si>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</si>
  <si>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</si>
  <si>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</si>
  <si>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</si>
  <si>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</si>
  <si>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</si>
  <si>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</si>
  <si>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</si>
  <si>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</si>
  <si>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</si>
  <si>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</si>
  <si>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</si>
  <si>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</si>
  <si>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</si>
  <si>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</si>
  <si>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</si>
  <si>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</si>
  <si>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</si>
  <si>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</si>
  <si>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</si>
  <si>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</si>
  <si>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</si>
  <si>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</si>
  <si>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</si>
  <si>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</si>
  <si>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</si>
  <si>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</si>
  <si>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</si>
  <si>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</si>
  <si>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</si>
  <si>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</si>
  <si>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</si>
  <si>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</si>
  <si>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</si>
  <si>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</si>
  <si>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</si>
  <si>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</si>
  <si>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</si>
  <si>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</si>
  <si>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</si>
  <si>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</si>
  <si>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</si>
  <si>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</si>
  <si>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</si>
  <si>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</si>
  <si>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</si>
  <si>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</si>
  <si>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</si>
  <si>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</si>
  <si>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</si>
  <si>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</si>
  <si>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</si>
  <si>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</si>
  <si>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</si>
  <si>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</si>
  <si>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</si>
  <si>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</si>
  <si>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</si>
  <si>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</si>
  <si>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</si>
  <si>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</si>
  <si>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</si>
  <si>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</si>
  <si>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</si>
  <si>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</si>
  <si>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</si>
  <si>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</si>
  <si>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</si>
  <si>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</si>
  <si>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</si>
  <si>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</si>
  <si>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</si>
  <si>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</si>
  <si>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</si>
  <si>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</si>
  <si>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</si>
  <si>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</si>
  <si>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</si>
  <si>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</si>
  <si>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</si>
  <si>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</si>
  <si>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</si>
  <si>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</si>
  <si>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</si>
  <si>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</si>
  <si>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</si>
  <si>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</si>
  <si>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</si>
  <si>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</si>
  <si>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</si>
  <si>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</si>
  <si>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</si>
  <si>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</si>
  <si>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</si>
  <si>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</si>
  <si>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</si>
  <si>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</si>
  <si>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</si>
  <si>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</si>
  <si>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</si>
  <si>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</si>
  <si>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</si>
  <si>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</si>
  <si>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</si>
  <si>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</si>
  <si>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</si>
  <si>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</si>
  <si>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</si>
  <si>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</si>
  <si>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</si>
  <si>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</si>
  <si>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</si>
  <si>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</si>
  <si>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</si>
  <si>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</si>
  <si>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</si>
  <si>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</si>
  <si>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</si>
  <si>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</si>
  <si>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</si>
  <si>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</si>
  <si>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</si>
  <si>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</si>
  <si>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</si>
  <si>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</si>
  <si>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</si>
  <si>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</si>
  <si>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</si>
  <si>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</si>
  <si>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</si>
  <si>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</si>
  <si>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</si>
  <si>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</si>
  <si>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</si>
  <si>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</si>
  <si>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</si>
  <si>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</si>
  <si>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</si>
  <si>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</si>
  <si>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</si>
  <si>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</si>
  <si>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</si>
  <si>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</si>
  <si>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</si>
  <si>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</si>
  <si>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</si>
  <si>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</si>
  <si>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</si>
  <si>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</si>
  <si>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</si>
  <si>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</si>
  <si>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</si>
  <si>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</si>
  <si>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</si>
  <si>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</si>
  <si>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</si>
  <si>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</si>
  <si>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</si>
  <si>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</si>
  <si>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</si>
  <si>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</si>
  <si>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</si>
  <si>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</si>
  <si>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</si>
  <si>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</si>
  <si>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</si>
  <si>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</si>
  <si>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</si>
  <si>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</si>
  <si>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</si>
  <si>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</si>
  <si>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</si>
  <si>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</si>
  <si>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</si>
  <si>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</si>
  <si>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</si>
  <si>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</si>
  <si>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</si>
  <si>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</si>
  <si>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</si>
  <si>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</si>
  <si>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</si>
  <si>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</si>
  <si>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</si>
  <si>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</si>
  <si>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</si>
  <si>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</si>
  <si>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</si>
  <si>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</si>
  <si>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</si>
  <si>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</si>
  <si>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</si>
  <si>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</si>
  <si>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</si>
  <si>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</si>
  <si>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</si>
  <si>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</si>
  <si>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</si>
  <si>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</si>
  <si>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</si>
  <si>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</si>
  <si>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</si>
  <si>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</si>
  <si>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</si>
  <si>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</si>
  <si>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</si>
  <si>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</si>
  <si>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</si>
  <si>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</si>
  <si>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</si>
  <si>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</si>
  <si>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</si>
  <si>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</si>
  <si>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</si>
  <si>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</si>
  <si>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</si>
  <si>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</si>
  <si>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</si>
  <si>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</si>
  <si>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</si>
  <si>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</si>
  <si>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</si>
  <si>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</si>
  <si>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</si>
  <si>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</si>
  <si>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</si>
  <si>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</si>
  <si>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</si>
  <si>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</si>
  <si>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</si>
  <si>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</si>
  <si>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</si>
  <si>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</si>
  <si>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</si>
  <si>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</si>
  <si>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</si>
  <si>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</si>
  <si>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</si>
  <si>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</si>
  <si>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</si>
  <si>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</si>
  <si>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</si>
  <si>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</si>
  <si>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</si>
  <si>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</si>
  <si>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</si>
  <si>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</si>
  <si>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</si>
  <si>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</si>
  <si>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</si>
  <si>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</si>
  <si>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</si>
  <si>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</si>
  <si>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</si>
  <si>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</si>
  <si>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</si>
  <si>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</si>
  <si>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</si>
  <si>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</si>
  <si>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</si>
  <si>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</si>
  <si>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</si>
  <si>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</si>
  <si>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</si>
  <si>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</si>
  <si>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</si>
  <si>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</si>
  <si>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</si>
  <si>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</si>
  <si>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</si>
  <si>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</si>
  <si>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</si>
  <si>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</si>
  <si>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</si>
  <si>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</si>
  <si>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</si>
  <si>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</si>
  <si>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</si>
  <si>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</si>
  <si>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</si>
  <si>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</si>
  <si>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</si>
  <si>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</si>
  <si>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</si>
  <si>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</si>
  <si>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</si>
  <si>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</si>
  <si>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</si>
  <si>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</si>
  <si>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</si>
  <si>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</si>
  <si>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</si>
  <si>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</si>
  <si>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</si>
  <si>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</si>
  <si>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</si>
  <si>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</si>
  <si>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</si>
  <si>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</si>
  <si>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</si>
  <si>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</si>
  <si>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</si>
  <si>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</si>
  <si>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</si>
  <si>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</si>
  <si>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</si>
  <si>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</si>
  <si>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</si>
  <si>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</si>
  <si>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</si>
  <si>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</si>
  <si>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</si>
  <si>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</si>
  <si>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</si>
  <si>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</si>
  <si>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</si>
  <si>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</si>
  <si>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</si>
  <si>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</si>
  <si>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</si>
  <si>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</si>
  <si>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</si>
  <si>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</si>
  <si>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</si>
  <si>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</si>
  <si>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</si>
  <si>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</si>
  <si>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</si>
  <si>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</si>
  <si>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</si>
  <si>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</si>
  <si>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</si>
  <si>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</si>
  <si>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</si>
  <si>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</si>
  <si>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</si>
  <si>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</si>
  <si>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</si>
  <si>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</si>
  <si>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</si>
  <si>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</si>
  <si>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</si>
  <si>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</si>
  <si>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</si>
  <si>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</si>
  <si>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</si>
  <si>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</si>
  <si>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</si>
  <si>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</si>
  <si>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</si>
  <si>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</si>
  <si>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</si>
  <si>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</si>
  <si>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</si>
  <si>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</si>
  <si>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</si>
  <si>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</si>
  <si>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</si>
  <si>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</si>
  <si>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</si>
  <si>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</si>
  <si>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</si>
  <si>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</si>
  <si>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</si>
  <si>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</si>
  <si>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</si>
  <si>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</si>
  <si>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</si>
  <si>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</si>
  <si>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</si>
  <si>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</si>
  <si>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</si>
  <si>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</si>
  <si>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</si>
  <si>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</si>
  <si>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</si>
  <si>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</si>
  <si>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</si>
  <si>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</si>
  <si>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</si>
  <si>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</si>
  <si>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</si>
  <si>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</si>
  <si>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</si>
  <si>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</si>
  <si>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</si>
  <si>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</si>
  <si>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</si>
  <si>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</si>
  <si>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</si>
  <si>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</si>
  <si>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</si>
  <si>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</si>
  <si>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</si>
  <si>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</si>
  <si>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</si>
  <si>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</si>
  <si>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</si>
  <si>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</si>
  <si>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</si>
  <si>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</si>
  <si>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</si>
  <si>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</si>
  <si>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</si>
  <si>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</si>
  <si>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</si>
  <si>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</si>
  <si>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</si>
  <si>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</si>
  <si>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</si>
  <si>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</si>
  <si>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</si>
  <si>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</si>
  <si>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</si>
  <si>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</si>
  <si>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</si>
  <si>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</si>
  <si>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</si>
  <si>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</si>
  <si>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</si>
  <si>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</si>
  <si>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</si>
  <si>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</si>
  <si>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</si>
  <si>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</si>
  <si>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</si>
  <si>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</si>
  <si>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</si>
  <si>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</si>
  <si>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</si>
  <si>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</si>
  <si>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</si>
  <si>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</si>
  <si>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</si>
  <si>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</si>
  <si>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</si>
  <si>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</si>
  <si>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</si>
  <si>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</si>
  <si>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</si>
  <si>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</si>
  <si>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</si>
  <si>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</si>
  <si>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</si>
  <si>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</si>
  <si>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</si>
  <si>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</si>
  <si>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</si>
  <si>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</si>
  <si>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</si>
  <si>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</si>
  <si>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</si>
  <si>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</si>
  <si>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</si>
  <si>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</si>
  <si>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</si>
  <si>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</si>
  <si>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</si>
  <si>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</si>
  <si>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</si>
  <si>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</si>
  <si>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</si>
  <si>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</si>
  <si>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</si>
  <si>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</si>
  <si>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</si>
  <si>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</si>
  <si>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</si>
  <si>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</si>
  <si>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</si>
  <si>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</si>
  <si>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</si>
  <si>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</si>
  <si>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</si>
  <si>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</si>
  <si>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</si>
  <si>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</si>
  <si>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</si>
  <si>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</si>
  <si>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</si>
  <si>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</si>
  <si>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</si>
  <si>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</si>
  <si>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</si>
  <si>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</si>
  <si>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</si>
  <si>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</si>
  <si>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</si>
  <si>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</si>
  <si>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</si>
  <si>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</si>
  <si>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</si>
  <si>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</si>
  <si>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</si>
  <si>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</si>
  <si>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</si>
  <si>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</si>
  <si>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</si>
  <si>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</si>
  <si>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</si>
  <si>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</si>
  <si>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</si>
  <si>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</si>
  <si>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</si>
  <si>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</si>
  <si>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</si>
  <si>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</si>
  <si>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</si>
  <si>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</si>
  <si>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</si>
  <si>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</si>
  <si>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</si>
  <si>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</si>
  <si>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</si>
  <si>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</si>
  <si>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</si>
  <si>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</si>
  <si>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</si>
  <si>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</si>
  <si>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</si>
  <si>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</si>
  <si>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</si>
  <si>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</si>
  <si>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</si>
  <si>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</si>
  <si>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</si>
  <si>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</si>
  <si>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</si>
  <si>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</si>
  <si>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</si>
  <si>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</si>
  <si>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</si>
  <si>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</si>
  <si>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</si>
  <si>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</si>
  <si>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</si>
  <si>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</si>
  <si>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</si>
  <si>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</si>
  <si>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</si>
  <si>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</si>
  <si>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</si>
  <si>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</si>
  <si>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</si>
  <si>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</si>
  <si>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</si>
  <si>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</si>
  <si>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</si>
  <si>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</si>
  <si>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</si>
  <si>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</si>
  <si>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</si>
  <si>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</si>
  <si>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</si>
  <si>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</si>
  <si>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</si>
  <si>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</si>
  <si>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</si>
  <si>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</si>
  <si>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</si>
  <si>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</si>
  <si>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</si>
  <si>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</si>
  <si>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</si>
  <si>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</si>
  <si>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</si>
  <si>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</si>
  <si>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</si>
  <si>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</si>
  <si>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</si>
  <si>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</si>
  <si>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</si>
  <si>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</si>
  <si>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</si>
  <si>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</si>
  <si>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</si>
  <si>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</si>
  <si>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</si>
  <si>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</si>
  <si>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</si>
  <si>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</si>
  <si>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</si>
  <si>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</si>
  <si>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</si>
  <si>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</si>
  <si>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</si>
  <si>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</si>
  <si>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</si>
  <si>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</si>
  <si>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</si>
  <si>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</si>
  <si>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</si>
  <si>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</si>
  <si>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</si>
  <si>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</si>
  <si>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</si>
  <si>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</si>
  <si>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</si>
  <si>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</si>
  <si>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</si>
  <si>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</si>
  <si>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</si>
  <si>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</si>
  <si>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</si>
  <si>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</si>
  <si>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</si>
  <si>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</si>
  <si>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</si>
  <si>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</si>
  <si>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</si>
  <si>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</si>
  <si>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</si>
  <si>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</si>
  <si>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</si>
  <si>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</si>
  <si>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</si>
  <si>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</si>
  <si>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</si>
  <si>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</si>
  <si>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</si>
  <si>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</si>
  <si>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</si>
  <si>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</si>
  <si>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</si>
  <si>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</si>
  <si>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</si>
  <si>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</si>
  <si>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</si>
  <si>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</si>
  <si>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</si>
  <si>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</si>
  <si>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</si>
  <si>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</si>
  <si>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</si>
  <si>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</si>
  <si>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</si>
  <si>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</si>
  <si>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</si>
  <si>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</si>
  <si>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</si>
  <si>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</si>
  <si>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</si>
  <si>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</si>
  <si>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</si>
  <si>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</si>
  <si>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</si>
  <si>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</si>
  <si>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</si>
  <si>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</si>
  <si>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</si>
  <si>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</si>
  <si>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</si>
  <si>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</si>
  <si>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</si>
  <si>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</si>
  <si>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</si>
  <si>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</si>
  <si>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</si>
  <si>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</si>
  <si>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</si>
  <si>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</si>
  <si>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</si>
  <si>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</si>
  <si>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</si>
  <si>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</si>
  <si>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</si>
  <si>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</si>
  <si>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</si>
  <si>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</si>
  <si>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</si>
  <si>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</si>
  <si>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</si>
  <si>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</si>
  <si>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</si>
  <si>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</si>
  <si>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</si>
  <si>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</si>
  <si>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</si>
  <si>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</si>
  <si>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</si>
  <si>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</si>
  <si>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</si>
  <si>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</si>
  <si>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</si>
  <si>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</si>
  <si>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</si>
  <si>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</si>
  <si>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</si>
  <si>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</si>
  <si>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</si>
  <si>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</si>
  <si>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</si>
  <si>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</si>
  <si>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</si>
  <si>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</si>
  <si>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</si>
  <si>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</si>
  <si>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</si>
  <si>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</si>
  <si>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</si>
  <si>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</si>
  <si>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</si>
  <si>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</si>
  <si>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</si>
  <si>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</si>
  <si>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</si>
  <si>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</si>
  <si>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</si>
  <si>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</si>
  <si>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</si>
  <si>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</si>
  <si>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</si>
  <si>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</si>
  <si>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</si>
  <si>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</si>
  <si>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</si>
  <si>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</si>
  <si>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</si>
  <si>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</si>
  <si>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</si>
  <si>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</si>
  <si>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</si>
  <si>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</si>
  <si>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</si>
  <si>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</si>
  <si>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</si>
  <si>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</si>
  <si>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</si>
  <si>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</si>
  <si>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</si>
  <si>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</si>
  <si>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</si>
  <si>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</si>
  <si>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</si>
  <si>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</si>
  <si>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</si>
  <si>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</si>
  <si>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</si>
  <si>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</si>
  <si>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</si>
  <si>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</si>
  <si>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</si>
  <si>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</si>
  <si>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</si>
  <si>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</si>
  <si>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</si>
  <si>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</si>
  <si>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</si>
  <si>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</si>
  <si>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</si>
  <si>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</si>
  <si>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</si>
  <si>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</si>
  <si>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</si>
  <si>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</si>
  <si>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</si>
  <si>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</si>
  <si>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</si>
  <si>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</si>
  <si>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</si>
  <si>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</si>
  <si>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</si>
  <si>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</si>
  <si>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</si>
  <si>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</si>
  <si>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</si>
  <si>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</si>
  <si>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</si>
  <si>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</si>
  <si>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</si>
  <si>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</si>
  <si>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</si>
  <si>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</si>
  <si>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</si>
  <si>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</si>
  <si>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</si>
  <si>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</si>
  <si>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</si>
  <si>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</si>
  <si>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</si>
  <si>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</si>
  <si>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</si>
  <si>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</si>
  <si>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</si>
  <si>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</si>
  <si>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</si>
  <si>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</si>
  <si>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</si>
  <si>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</si>
  <si>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</si>
  <si>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</si>
  <si>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</si>
  <si>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</si>
  <si>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</si>
  <si>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</si>
  <si>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</si>
  <si>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</si>
  <si>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</si>
  <si>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</si>
  <si>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</si>
  <si>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</si>
  <si>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</si>
  <si>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</si>
  <si>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</si>
  <si>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</si>
  <si>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</si>
  <si>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</si>
  <si>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</si>
  <si>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</si>
  <si>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</si>
  <si>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</si>
  <si>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</si>
  <si>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</si>
  <si>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</si>
  <si>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</si>
  <si>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</si>
  <si>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</si>
  <si>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</si>
  <si>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</si>
  <si>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</si>
  <si>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</si>
  <si>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</si>
  <si>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</si>
  <si>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</si>
  <si>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</si>
  <si>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</si>
  <si>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</si>
  <si>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</si>
  <si>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</si>
  <si>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</si>
  <si>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</si>
  <si>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</si>
  <si>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</si>
  <si>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</si>
  <si>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</si>
  <si>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</si>
  <si>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</si>
  <si>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</si>
  <si>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</si>
  <si>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</si>
  <si>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</si>
  <si>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</si>
  <si>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</si>
  <si>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</si>
  <si>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</si>
  <si>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</si>
  <si>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</si>
  <si>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</si>
  <si>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</si>
  <si>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</si>
  <si>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</si>
  <si>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</si>
  <si>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</si>
  <si>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</si>
  <si>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</si>
  <si>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</si>
  <si>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</si>
  <si>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</si>
  <si>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</si>
  <si>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</si>
  <si>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</si>
  <si>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</si>
  <si>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</si>
  <si>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</si>
  <si>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</si>
  <si>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</si>
  <si>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</si>
  <si>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</si>
  <si>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</si>
  <si>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</si>
  <si>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</si>
  <si>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</si>
  <si>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</si>
  <si>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</si>
  <si>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</si>
  <si>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</si>
  <si>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</si>
  <si>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</si>
  <si>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</si>
  <si>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</si>
  <si>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</si>
  <si>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</si>
  <si>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</si>
  <si>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</si>
  <si>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</si>
  <si>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</si>
  <si>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</si>
  <si>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</si>
  <si>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</si>
  <si>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</si>
  <si>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</si>
  <si>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</si>
  <si>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</si>
  <si>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</si>
  <si>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</si>
  <si>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</si>
  <si>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</si>
  <si>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</si>
  <si>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</si>
  <si>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</si>
  <si>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</si>
  <si>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</si>
  <si>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</si>
  <si>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</si>
  <si>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</si>
  <si>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</si>
  <si>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</si>
  <si>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</si>
  <si>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</si>
  <si>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</si>
  <si>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</si>
  <si>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</si>
  <si>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</si>
  <si>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</si>
  <si>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</si>
  <si>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</si>
  <si>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</si>
  <si>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</si>
  <si>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</si>
  <si>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</si>
  <si>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</si>
  <si>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</si>
  <si>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</si>
  <si>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</si>
  <si>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</si>
  <si>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</si>
  <si>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</si>
  <si>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</si>
  <si>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</si>
  <si>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</si>
  <si>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</si>
  <si>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</si>
  <si>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</si>
  <si>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</si>
  <si>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</si>
  <si>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</si>
  <si>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</si>
  <si>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</si>
  <si>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</si>
  <si>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</si>
  <si>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</si>
  <si>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</si>
  <si>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</si>
  <si>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</si>
  <si>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</si>
  <si>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</si>
  <si>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</si>
  <si>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</si>
  <si>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</si>
  <si>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</si>
  <si>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</si>
  <si>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</si>
  <si>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</si>
  <si>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</si>
  <si>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</si>
  <si>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</si>
  <si>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</si>
  <si>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</si>
  <si>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</si>
  <si>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</si>
  <si>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</si>
  <si>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</si>
  <si>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</si>
  <si>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</si>
  <si>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</si>
  <si>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</si>
  <si>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</si>
  <si>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</si>
  <si>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</si>
  <si>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</si>
  <si>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</si>
  <si>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</si>
  <si>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</si>
  <si>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</si>
  <si>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</si>
  <si>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</si>
  <si>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</si>
  <si>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</si>
  <si>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</si>
  <si>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</si>
  <si>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</si>
  <si>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</si>
  <si>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</si>
  <si>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</si>
  <si>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</si>
  <si>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</si>
  <si>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</si>
  <si>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</si>
  <si>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</si>
  <si>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</si>
  <si>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</si>
  <si>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</si>
  <si>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</si>
  <si>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</si>
  <si>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</si>
  <si>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</si>
  <si>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</si>
  <si>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</si>
  <si>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</si>
  <si>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</si>
  <si>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</si>
  <si>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</si>
  <si>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</si>
  <si>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</si>
  <si>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</si>
  <si>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</si>
  <si>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</si>
  <si>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</si>
  <si>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</si>
  <si>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</si>
  <si>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</si>
  <si>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</si>
  <si>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</si>
  <si>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</si>
  <si>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</si>
  <si>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</si>
  <si>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</si>
  <si>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</si>
  <si>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</si>
  <si>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</si>
  <si>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</si>
  <si>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</si>
  <si>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</si>
  <si>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</si>
  <si>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</si>
  <si>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</si>
  <si>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</si>
  <si>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</si>
  <si>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</si>
  <si>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</si>
  <si>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</si>
  <si>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</si>
  <si>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</si>
  <si>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</si>
  <si>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</si>
  <si>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</si>
  <si>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</si>
  <si>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</si>
  <si>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</si>
  <si>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</si>
  <si>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</si>
  <si>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</si>
  <si>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</si>
  <si>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</si>
  <si>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</si>
  <si>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</si>
  <si>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</si>
  <si>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</si>
  <si>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</si>
  <si>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</si>
  <si>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</si>
  <si>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</si>
  <si>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</si>
  <si>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</si>
  <si>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</si>
  <si>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</si>
  <si>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</si>
  <si>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</si>
  <si>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</si>
  <si>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</si>
  <si>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</si>
  <si>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</si>
  <si>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</si>
  <si>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</si>
  <si>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</si>
  <si>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</si>
  <si>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</si>
  <si>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</si>
  <si>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</si>
  <si>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</si>
  <si>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</si>
  <si>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</si>
  <si>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</si>
  <si>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</si>
  <si>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</si>
  <si>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</si>
  <si>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</si>
  <si>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</si>
  <si>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</si>
  <si>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</si>
  <si>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</si>
  <si>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</si>
  <si>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</si>
  <si>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</si>
  <si>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</si>
  <si>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</si>
  <si>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</si>
  <si>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</si>
  <si>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</si>
  <si>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</si>
  <si>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</si>
  <si>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</si>
  <si>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</si>
  <si>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</si>
  <si>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</si>
  <si>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</si>
  <si>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</si>
  <si>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</si>
  <si>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</si>
  <si>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</si>
  <si>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</si>
  <si>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</si>
  <si>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</si>
  <si>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</si>
  <si>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</si>
  <si>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</si>
  <si>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</si>
  <si>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</si>
  <si>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</si>
  <si>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</si>
  <si>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</si>
  <si>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</si>
  <si>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</si>
  <si>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</si>
  <si>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</si>
  <si>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</si>
  <si>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</si>
  <si>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</si>
  <si>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</si>
  <si>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</si>
  <si>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</si>
  <si>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</si>
  <si>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</si>
  <si>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</si>
  <si>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</si>
  <si>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</si>
  <si>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</si>
  <si>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</si>
  <si>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</si>
  <si>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</si>
  <si>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</si>
  <si>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</si>
  <si>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</si>
  <si>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</si>
  <si>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</si>
  <si>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</si>
  <si>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</si>
  <si>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</si>
  <si>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</si>
  <si>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</si>
  <si>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</si>
  <si>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</si>
  <si>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</si>
  <si>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</si>
  <si>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</si>
  <si>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</si>
  <si>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</si>
  <si>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</si>
  <si>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</si>
  <si>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</si>
  <si>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</si>
  <si>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</si>
  <si>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</si>
  <si>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</si>
  <si>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</si>
  <si>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</si>
  <si>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</si>
  <si>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</si>
  <si>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</si>
  <si>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</si>
  <si>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</si>
  <si>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</si>
  <si>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</si>
  <si>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</si>
  <si>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</si>
  <si>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</si>
  <si>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</si>
  <si>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</si>
  <si>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</si>
  <si>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</si>
  <si>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</si>
  <si>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</si>
  <si>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</si>
  <si>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</si>
  <si>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</si>
  <si>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</si>
  <si>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</si>
  <si>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</si>
  <si>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</si>
  <si>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</si>
  <si>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</si>
  <si>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</si>
  <si>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</si>
  <si>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</si>
  <si>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</si>
  <si>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</si>
  <si>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</si>
  <si>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</si>
  <si>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</si>
  <si>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</si>
  <si>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</si>
  <si>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</si>
  <si>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</si>
  <si>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</si>
  <si>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</si>
  <si>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</si>
  <si>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</si>
  <si>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</si>
  <si>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</si>
  <si>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</si>
  <si>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</si>
  <si>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</si>
  <si>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</si>
  <si>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</si>
  <si>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</si>
  <si>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</si>
  <si>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</si>
  <si>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</si>
  <si>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</si>
  <si>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</si>
  <si>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</si>
  <si>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</si>
  <si>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</si>
  <si>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</si>
  <si>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</si>
  <si>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</si>
  <si>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</si>
  <si>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</si>
  <si>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</si>
  <si>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</si>
  <si>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</si>
  <si>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</si>
  <si>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</si>
  <si>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</si>
  <si>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</si>
  <si>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</si>
  <si>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</si>
  <si>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</si>
  <si>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</si>
  <si>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</si>
  <si>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</si>
  <si>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</si>
  <si>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</si>
  <si>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</si>
  <si>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</si>
  <si>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</si>
  <si>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</si>
  <si>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</si>
  <si>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</si>
  <si>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</si>
  <si>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</si>
  <si>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</si>
  <si>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</si>
  <si>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</si>
  <si>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</si>
  <si>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</si>
  <si>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</si>
  <si>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</si>
  <si>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</si>
  <si>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</si>
  <si>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</si>
  <si>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</si>
  <si>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</si>
  <si>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</si>
  <si>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</si>
  <si>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</si>
  <si>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</si>
  <si>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</si>
  <si>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</si>
  <si>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</si>
  <si>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</si>
  <si>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</si>
  <si>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</si>
  <si>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</si>
  <si>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</si>
  <si>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</si>
  <si>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</si>
  <si>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</si>
  <si>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</si>
  <si>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</si>
  <si>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</si>
  <si>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</si>
  <si>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</si>
  <si>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</si>
  <si>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</si>
  <si>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</si>
  <si>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</si>
  <si>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</si>
  <si>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</si>
  <si>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</si>
  <si>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</si>
  <si>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</si>
  <si>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</si>
  <si>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</si>
  <si>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</si>
  <si>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</si>
  <si>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</si>
  <si>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</si>
  <si>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</si>
  <si>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</si>
  <si>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</si>
  <si>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</si>
  <si>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</si>
  <si>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</si>
  <si>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</si>
  <si>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</si>
  <si>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</si>
  <si>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</si>
  <si>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</si>
  <si>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</si>
  <si>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</si>
  <si>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</si>
  <si>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</si>
  <si>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</si>
  <si>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</si>
  <si>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</si>
  <si>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</si>
  <si>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</si>
  <si>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</si>
  <si>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</si>
  <si>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</si>
  <si>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</si>
  <si>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</si>
  <si>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</si>
  <si>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</si>
  <si>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</si>
  <si>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</si>
  <si>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</si>
  <si>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</si>
  <si>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</si>
  <si>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</si>
  <si>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</si>
  <si>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</si>
  <si>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</si>
  <si>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</si>
  <si>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</si>
  <si>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</si>
  <si>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</si>
  <si>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</si>
  <si>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</si>
  <si>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</si>
  <si>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</si>
  <si>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</si>
  <si>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</si>
  <si>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</si>
  <si>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</si>
  <si>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</si>
  <si>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</si>
  <si>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</si>
  <si>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</si>
  <si>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</si>
  <si>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</si>
  <si>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</si>
  <si>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</si>
  <si>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</si>
  <si>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</si>
  <si>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</si>
  <si>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</si>
  <si>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</si>
  <si>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</si>
  <si>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</si>
  <si>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</si>
  <si>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</si>
  <si>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</si>
  <si>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</si>
  <si>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</si>
  <si>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</si>
  <si>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</si>
  <si>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</si>
  <si>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</si>
  <si>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</si>
  <si>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</si>
  <si>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</si>
  <si>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</si>
  <si>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</si>
  <si>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</si>
  <si>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</si>
  <si>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</si>
  <si>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</si>
  <si>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</si>
  <si>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</si>
  <si>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</si>
  <si>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</si>
  <si>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</si>
  <si>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</si>
  <si>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</si>
  <si>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</si>
  <si>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</si>
  <si>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</si>
  <si>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</si>
  <si>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</si>
  <si>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</si>
  <si>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</si>
  <si>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</si>
  <si>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</si>
  <si>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</si>
  <si>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</si>
  <si>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</si>
  <si>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</si>
  <si>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</si>
  <si>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</si>
  <si>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</si>
  <si>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</si>
  <si>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</si>
  <si>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</si>
  <si>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</si>
  <si>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</si>
  <si>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</si>
  <si>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</si>
  <si>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</si>
  <si>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</si>
  <si>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</si>
  <si>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</si>
  <si>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</si>
  <si>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</si>
  <si>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</si>
  <si>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</si>
  <si>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</si>
  <si>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</si>
  <si>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</si>
  <si>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</si>
  <si>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</si>
  <si>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</si>
  <si>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</si>
  <si>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</si>
  <si>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</si>
  <si>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</si>
  <si>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</si>
  <si>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</si>
  <si>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</si>
  <si>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</si>
  <si>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</si>
  <si>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</si>
  <si>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</si>
  <si>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</si>
  <si>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</si>
  <si>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</si>
  <si>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</si>
  <si>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</si>
  <si>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</si>
  <si>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</si>
  <si>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</si>
  <si>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</si>
  <si>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</si>
  <si>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</si>
  <si>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</si>
  <si>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</si>
  <si>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</si>
  <si>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</si>
  <si>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</si>
  <si>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</si>
  <si>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</si>
  <si>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</si>
  <si>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</si>
  <si>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</si>
  <si>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</si>
  <si>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</si>
  <si>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</si>
  <si>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</si>
  <si>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</si>
  <si>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</si>
  <si>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</si>
  <si>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</si>
  <si>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</si>
  <si>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</si>
  <si>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</si>
  <si>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</si>
  <si>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</si>
  <si>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</si>
  <si>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</si>
  <si>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</si>
  <si>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</si>
  <si>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</si>
  <si>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</si>
  <si>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</si>
  <si>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</si>
  <si>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</si>
  <si>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</si>
  <si>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</si>
  <si>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</si>
  <si>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</si>
  <si>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</si>
  <si>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</si>
  <si>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</si>
  <si>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</si>
  <si>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</si>
  <si>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</si>
  <si>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</si>
  <si>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</si>
  <si>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</si>
  <si>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</si>
  <si>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</si>
  <si>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</si>
  <si>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</si>
  <si>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</si>
  <si>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</si>
  <si>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</si>
  <si>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</si>
  <si>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</si>
  <si>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</si>
  <si>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</si>
  <si>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</si>
  <si>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</si>
  <si>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</si>
  <si>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</si>
  <si>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</si>
  <si>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</si>
  <si>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</si>
  <si>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</si>
  <si>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</si>
  <si>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</si>
  <si>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</si>
  <si>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</si>
  <si>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</si>
  <si>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</si>
  <si>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</si>
  <si>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</si>
  <si>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</si>
  <si>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</si>
  <si>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</si>
  <si>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</si>
  <si>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</si>
  <si>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</si>
  <si>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</si>
  <si>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</si>
  <si>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</si>
  <si>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</si>
  <si>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</si>
  <si>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</si>
  <si>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</si>
  <si>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</si>
  <si>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</si>
  <si>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</si>
  <si>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</si>
  <si>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</si>
  <si>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</si>
  <si>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</si>
  <si>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</si>
  <si>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</si>
  <si>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</si>
  <si>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</si>
  <si>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</si>
  <si>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</si>
  <si>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</si>
  <si>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</si>
  <si>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</si>
  <si>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</si>
  <si>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</si>
  <si>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</si>
  <si>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</si>
  <si>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</si>
  <si>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</si>
  <si>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</si>
  <si>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</si>
  <si>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</si>
  <si>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</si>
  <si>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</si>
  <si>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</si>
  <si>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</si>
  <si>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</si>
  <si>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</si>
  <si>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</si>
  <si>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</si>
  <si>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</si>
  <si>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</si>
  <si>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</si>
  <si>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</si>
  <si>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</si>
  <si>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</si>
  <si>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</si>
  <si>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</si>
  <si>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</si>
  <si>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</si>
  <si>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</si>
  <si>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</si>
  <si>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</si>
  <si>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</si>
  <si>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</si>
  <si>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</si>
  <si>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</si>
  <si>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</si>
  <si>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</si>
  <si>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</si>
  <si>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</si>
  <si>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</si>
  <si>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</si>
  <si>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</si>
  <si>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</si>
  <si>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</si>
  <si>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</si>
  <si>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</si>
  <si>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</si>
  <si>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</si>
  <si>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</si>
  <si>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</si>
  <si>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</si>
  <si>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</si>
  <si>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</si>
  <si>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</si>
  <si>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</si>
  <si>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</si>
  <si>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</si>
  <si>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</si>
  <si>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</si>
  <si>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</si>
  <si>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</si>
  <si>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</si>
  <si>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</si>
  <si>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</si>
  <si>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</si>
  <si>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</si>
  <si>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</si>
  <si>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</si>
  <si>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</si>
  <si>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</si>
  <si>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</si>
  <si>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</si>
  <si>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</si>
  <si>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</si>
  <si>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</si>
  <si>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</si>
  <si>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</si>
  <si>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</si>
  <si>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</si>
  <si>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</si>
  <si>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</si>
  <si>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</si>
  <si>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</si>
  <si>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</si>
  <si>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</si>
  <si>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</si>
  <si>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</si>
  <si>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</si>
  <si>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</si>
  <si>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</si>
  <si>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</si>
  <si>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</si>
  <si>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</si>
  <si>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</si>
  <si>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</si>
  <si>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</si>
  <si>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</si>
  <si>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</si>
  <si>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</si>
  <si>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</si>
  <si>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</si>
  <si>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</si>
  <si>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</si>
  <si>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</si>
  <si>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</si>
  <si>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</si>
  <si>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</si>
  <si>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</si>
  <si>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</si>
  <si>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</si>
  <si>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</si>
  <si>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</si>
  <si>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</si>
  <si>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</si>
  <si>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</si>
  <si>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</si>
  <si>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</si>
  <si>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</si>
  <si>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</si>
  <si>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</si>
  <si>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</si>
  <si>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</si>
  <si>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</si>
  <si>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</si>
  <si>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</si>
  <si>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</si>
  <si>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</si>
  <si>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</si>
  <si>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</si>
  <si>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</si>
  <si>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</si>
  <si>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</si>
  <si>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</si>
  <si>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</si>
  <si>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</si>
  <si>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</si>
  <si>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</si>
  <si>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</si>
  <si>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</si>
  <si>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</si>
  <si>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</si>
  <si>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</si>
  <si>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</si>
  <si>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</si>
  <si>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</si>
  <si>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</si>
  <si>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</si>
  <si>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</si>
  <si>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</si>
  <si>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</si>
  <si>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</si>
  <si>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</si>
  <si>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</si>
  <si>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</si>
  <si>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</si>
  <si>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</si>
  <si>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</si>
  <si>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</si>
  <si>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</si>
  <si>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</si>
  <si>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</si>
  <si>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</si>
  <si>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</si>
  <si>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</si>
  <si>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</si>
  <si>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</si>
  <si>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</si>
  <si>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</si>
  <si>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</si>
  <si>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</si>
  <si>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</si>
  <si>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</si>
  <si>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</si>
  <si>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</si>
  <si>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</si>
  <si>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</si>
  <si>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</si>
  <si>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</si>
  <si>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</si>
  <si>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</si>
  <si>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</si>
  <si>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</si>
  <si>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</si>
  <si>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</si>
  <si>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</si>
  <si>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</si>
  <si>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</si>
  <si>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</si>
  <si>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</si>
  <si>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</si>
  <si>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</si>
  <si>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</si>
  <si>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</si>
  <si>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</si>
  <si>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</si>
  <si>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</si>
  <si>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</si>
  <si>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</si>
  <si>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</si>
  <si>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</si>
  <si>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</si>
  <si>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</si>
  <si>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</si>
  <si>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</si>
  <si>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</si>
  <si>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</si>
  <si>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</si>
  <si>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</si>
  <si>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</si>
  <si>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</si>
  <si>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</si>
  <si>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</si>
  <si>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</si>
  <si>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</si>
  <si>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</si>
  <si>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</si>
  <si>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</si>
  <si>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</si>
  <si>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</si>
  <si>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</si>
  <si>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</si>
  <si>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</si>
  <si>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</si>
  <si>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</si>
  <si>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</si>
  <si>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</si>
  <si>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</si>
  <si>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</si>
  <si>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</si>
  <si>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</si>
  <si>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</si>
  <si>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</si>
  <si>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</si>
  <si>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</si>
  <si>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</si>
  <si>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</si>
  <si>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</si>
  <si>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</si>
  <si>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</si>
  <si>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</si>
  <si>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</si>
  <si>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</si>
  <si>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</si>
  <si>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</si>
  <si>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</si>
  <si>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</si>
  <si>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</si>
  <si>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</si>
  <si>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</si>
  <si>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</si>
  <si>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</si>
  <si>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</si>
  <si>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</si>
  <si>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</si>
  <si>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</si>
  <si>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</si>
  <si>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</si>
  <si>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</si>
  <si>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</si>
  <si>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</si>
  <si>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</si>
  <si>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</si>
  <si>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</si>
  <si>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</si>
  <si>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</si>
  <si>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</si>
  <si>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</si>
  <si>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</si>
  <si>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</si>
  <si>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</si>
  <si>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</si>
  <si>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</si>
  <si>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</si>
  <si>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</si>
  <si>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</si>
  <si>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</si>
  <si>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</si>
  <si>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</si>
  <si>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</si>
  <si>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</si>
  <si>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</si>
  <si>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</si>
  <si>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</si>
  <si>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</si>
  <si>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</si>
  <si>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</si>
  <si>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</si>
  <si>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</si>
  <si>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</si>
  <si>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</si>
  <si>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</si>
  <si>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</si>
  <si>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</si>
  <si>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</si>
  <si>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</si>
  <si>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</si>
  <si>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</si>
  <si>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</si>
  <si>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</si>
  <si>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</si>
  <si>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</si>
  <si>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</si>
  <si>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</si>
  <si>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</si>
  <si>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</si>
  <si>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</si>
  <si>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</si>
  <si>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</si>
  <si>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</si>
  <si>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</si>
  <si>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</si>
  <si>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</si>
  <si>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</si>
  <si>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</si>
  <si>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</si>
  <si>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</si>
  <si>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</si>
  <si>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</si>
  <si>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</si>
  <si>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</si>
  <si>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</si>
  <si>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</si>
  <si>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</si>
  <si>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</si>
  <si>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</si>
  <si>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</si>
  <si>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</si>
  <si>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</si>
  <si>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</si>
  <si>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</si>
  <si>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</si>
  <si>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</si>
  <si>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</si>
  <si>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</si>
  <si>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</si>
  <si>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</si>
  <si>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</si>
  <si>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</si>
  <si>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</si>
  <si>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</si>
  <si>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</si>
  <si>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</si>
  <si>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</si>
  <si>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</si>
  <si>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</si>
  <si>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</si>
  <si>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</si>
  <si>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</si>
  <si>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</si>
  <si>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</si>
  <si>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</si>
  <si>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</si>
  <si>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</si>
  <si>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</si>
  <si>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</si>
  <si>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</si>
  <si>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</si>
  <si>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</si>
  <si>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</si>
  <si>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</si>
  <si>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</si>
  <si>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</si>
  <si>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</si>
  <si>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</si>
  <si>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</si>
  <si>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</si>
  <si>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</si>
  <si>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</si>
  <si>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</si>
  <si>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</si>
  <si>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</si>
  <si>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</si>
  <si>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</si>
  <si>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</si>
  <si>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</si>
  <si>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</si>
  <si>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</si>
  <si>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</si>
  <si>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</si>
  <si>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</si>
  <si>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</si>
  <si>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</si>
  <si>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</si>
  <si>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</si>
  <si>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</si>
  <si>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</si>
  <si>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</si>
  <si>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</si>
  <si>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</si>
  <si>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</si>
  <si>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</si>
  <si>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</si>
  <si>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</si>
  <si>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</si>
  <si>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</si>
  <si>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</si>
  <si>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</si>
  <si>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</si>
  <si>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</si>
  <si>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</si>
  <si>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</si>
  <si>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</si>
  <si>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</si>
  <si>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</si>
  <si>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</si>
  <si>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</si>
  <si>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</si>
  <si>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</si>
  <si>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</si>
  <si>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</si>
  <si>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</si>
  <si>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</si>
  <si>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</si>
  <si>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</si>
  <si>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</si>
  <si>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</si>
  <si>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</si>
  <si>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</si>
  <si>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</si>
  <si>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</si>
  <si>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</si>
  <si>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</si>
  <si>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</si>
  <si>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</si>
  <si>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</si>
  <si>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</si>
  <si>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</si>
  <si>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</si>
  <si>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</si>
  <si>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</si>
  <si>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</si>
  <si>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</si>
  <si>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</si>
  <si>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</si>
  <si>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</si>
  <si>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</si>
  <si>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</si>
  <si>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</si>
  <si>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</si>
  <si>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</si>
  <si>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</si>
  <si>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</si>
  <si>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</si>
  <si>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</si>
  <si>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</si>
  <si>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</si>
  <si>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</si>
  <si>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</si>
  <si>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</si>
  <si>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</si>
  <si>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</si>
  <si>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</si>
  <si>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</si>
  <si>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</si>
  <si>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</si>
  <si>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</si>
  <si>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</si>
  <si>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</si>
  <si>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</si>
  <si>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</si>
  <si>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</si>
  <si>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</si>
  <si>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</si>
  <si>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</si>
  <si>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</si>
  <si>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</si>
  <si>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</si>
  <si>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</si>
  <si>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</si>
  <si>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</si>
  <si>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</si>
  <si>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</si>
  <si>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</si>
  <si>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</si>
  <si>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</si>
  <si>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</si>
  <si>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</si>
  <si>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</si>
  <si>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</si>
  <si>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</si>
  <si>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</si>
  <si>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</si>
  <si>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</si>
  <si>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</si>
  <si>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</si>
  <si>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</si>
  <si>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</si>
  <si>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</si>
  <si>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</si>
  <si>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</si>
  <si>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</si>
  <si>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</si>
  <si>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</si>
  <si>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</si>
  <si>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</si>
  <si>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</si>
  <si>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</si>
  <si>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</si>
  <si>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</si>
  <si>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</si>
  <si>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</si>
  <si>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</si>
  <si>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</si>
  <si>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</si>
  <si>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</si>
  <si>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</si>
  <si>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</si>
  <si>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</si>
  <si>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</si>
  <si>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</si>
  <si>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</si>
  <si>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</si>
  <si>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</si>
  <si>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</si>
  <si>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</si>
  <si>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</si>
  <si>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</si>
  <si>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</si>
  <si>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</si>
  <si>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</si>
  <si>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</si>
  <si>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</si>
  <si>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</si>
  <si>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</si>
  <si>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</si>
  <si>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</si>
  <si>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</si>
  <si>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</si>
  <si>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</si>
  <si>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</si>
  <si>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</si>
  <si>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</si>
  <si>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</si>
  <si>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</si>
  <si>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</si>
  <si>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</si>
  <si>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</si>
  <si>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</si>
  <si>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</si>
  <si>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</si>
  <si>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</si>
  <si>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</si>
  <si>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</si>
  <si>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</si>
  <si>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</si>
  <si>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</si>
  <si>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</si>
  <si>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</si>
  <si>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</si>
  <si>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</si>
  <si>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</si>
  <si>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</si>
  <si>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</si>
  <si>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</si>
  <si>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</si>
  <si>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</si>
  <si>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</si>
  <si>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</si>
  <si>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</si>
  <si>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</si>
  <si>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</si>
  <si>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</si>
  <si>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</si>
  <si>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</si>
  <si>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</si>
  <si>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</si>
  <si>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</si>
  <si>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</si>
  <si>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</si>
  <si>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</si>
  <si>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</si>
  <si>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</si>
  <si>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</si>
  <si>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</si>
  <si>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</si>
  <si>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</si>
  <si>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</si>
  <si>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</si>
  <si>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</si>
  <si>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</si>
  <si>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</si>
  <si>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</si>
  <si>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</si>
  <si>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</si>
  <si>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</si>
  <si>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</si>
  <si>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</si>
  <si>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</si>
  <si>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</si>
  <si>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</si>
  <si>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</si>
  <si>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</si>
  <si>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</si>
  <si>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</si>
  <si>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</si>
  <si>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</si>
  <si>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</si>
  <si>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</si>
  <si>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</si>
  <si>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</si>
  <si>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</si>
  <si>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</si>
  <si>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</si>
  <si>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</si>
  <si>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</si>
  <si>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</si>
  <si>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</si>
  <si>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</si>
  <si>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</si>
  <si>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</si>
  <si>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</si>
  <si>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</si>
  <si>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</si>
  <si>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</si>
  <si>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</si>
  <si>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</si>
  <si>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</si>
  <si>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</si>
  <si>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</si>
  <si>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</si>
  <si>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</si>
  <si>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</si>
  <si>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</si>
  <si>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</si>
  <si>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</si>
  <si>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</si>
  <si>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</si>
  <si>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</si>
  <si>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</si>
  <si>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</si>
  <si>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</si>
  <si>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</si>
  <si>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</si>
  <si>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</si>
  <si>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</si>
  <si>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</si>
  <si>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</si>
  <si>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</si>
  <si>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</si>
  <si>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</si>
  <si>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</si>
  <si>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</si>
  <si>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</si>
  <si>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</si>
  <si>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</si>
  <si>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</si>
  <si>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</si>
  <si>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</si>
  <si>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</si>
  <si>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</si>
  <si>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</si>
  <si>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</si>
  <si>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</si>
  <si>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</si>
  <si>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</si>
  <si>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</si>
  <si>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</si>
  <si>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</si>
  <si>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</si>
  <si>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</si>
  <si>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</si>
  <si>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</si>
  <si>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</si>
  <si>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</si>
  <si>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</si>
  <si>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</si>
  <si>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</si>
  <si>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</si>
  <si>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</si>
  <si>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</si>
  <si>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</si>
  <si>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</si>
  <si>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</si>
  <si>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</si>
  <si>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</si>
  <si>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</si>
  <si>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</si>
  <si>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</si>
  <si>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</si>
  <si>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</si>
  <si>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</si>
  <si>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</si>
  <si>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</si>
  <si>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</si>
  <si>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</si>
  <si>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</si>
  <si>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</si>
  <si>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</si>
  <si>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</si>
  <si>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</si>
  <si>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</si>
  <si>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</si>
  <si>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</si>
  <si>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</si>
  <si>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</si>
  <si>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</si>
  <si>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</si>
  <si>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</si>
  <si>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</si>
  <si>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</si>
  <si>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</si>
  <si>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</si>
  <si>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</si>
  <si>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</si>
  <si>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</si>
  <si>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</si>
  <si>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</si>
  <si>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</si>
  <si>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</si>
  <si>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</si>
  <si>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</si>
  <si>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</si>
  <si>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</si>
  <si>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</si>
  <si>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</si>
  <si>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</si>
  <si>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</si>
  <si>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</si>
  <si>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</si>
  <si>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</si>
  <si>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</si>
  <si>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</si>
  <si>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</si>
  <si>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</si>
  <si>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</si>
  <si>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</si>
  <si>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</si>
  <si>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</si>
  <si>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</si>
  <si>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</si>
  <si>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</si>
  <si>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</si>
  <si>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</si>
  <si>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</si>
  <si>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</si>
  <si>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</si>
  <si>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</si>
  <si>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</si>
  <si>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</si>
  <si>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</si>
  <si>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</si>
  <si>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</si>
  <si>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</si>
  <si>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</si>
  <si>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</si>
  <si>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</si>
  <si>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</si>
  <si>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</si>
  <si>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</si>
  <si>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</si>
  <si>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</si>
  <si>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</si>
  <si>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</si>
  <si>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</si>
  <si>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</si>
  <si>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</si>
  <si>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</si>
  <si>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</si>
  <si>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</si>
  <si>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</si>
  <si>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</si>
  <si>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</si>
  <si>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</si>
  <si>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</si>
  <si>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</si>
  <si>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</si>
  <si>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</si>
  <si>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</si>
  <si>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</si>
  <si>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</si>
  <si>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</si>
  <si>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</si>
  <si>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</si>
  <si>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</si>
  <si>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</si>
  <si>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</si>
  <si>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</si>
  <si>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</si>
  <si>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</si>
  <si>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</si>
  <si>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</si>
  <si>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</si>
  <si>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</si>
  <si>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</si>
  <si>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</si>
  <si>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</si>
  <si>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</si>
  <si>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</si>
  <si>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</si>
  <si>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</si>
  <si>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</si>
  <si>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</si>
  <si>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</si>
  <si>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</si>
  <si>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</si>
  <si>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</si>
  <si>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</si>
  <si>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</si>
  <si>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</si>
  <si>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</si>
  <si>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</si>
  <si>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</si>
  <si>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</si>
  <si>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</si>
  <si>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</si>
  <si>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</si>
  <si>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</si>
  <si>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</si>
  <si>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</si>
  <si>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</si>
  <si>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</si>
  <si>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</si>
  <si>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</si>
  <si>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</si>
  <si>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</si>
  <si>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</si>
  <si>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</si>
  <si>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</si>
  <si>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</si>
  <si>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</si>
  <si>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</si>
  <si>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</si>
  <si>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</si>
  <si>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</si>
  <si>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</si>
  <si>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</si>
  <si>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</si>
  <si>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</si>
  <si>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</si>
  <si>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</si>
  <si>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</si>
  <si>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</si>
  <si>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</si>
  <si>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</si>
  <si>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</si>
  <si>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</si>
  <si>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</si>
  <si>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</si>
  <si>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</si>
  <si>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</si>
  <si>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</si>
  <si>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</si>
  <si>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</si>
  <si>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</si>
  <si>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</si>
  <si>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</si>
  <si>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</si>
  <si>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</si>
  <si>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</si>
  <si>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</si>
  <si>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</si>
  <si>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</si>
  <si>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</si>
  <si>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</si>
  <si>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</si>
  <si>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</si>
  <si>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</si>
  <si>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</si>
  <si>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</si>
  <si>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</si>
  <si>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</si>
  <si>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</si>
  <si>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</si>
  <si>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</si>
  <si>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</si>
  <si>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</si>
  <si>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</si>
  <si>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</si>
  <si>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</si>
  <si>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</si>
  <si>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</si>
  <si>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</si>
  <si>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</si>
  <si>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</si>
  <si>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</si>
  <si>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</si>
  <si>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</si>
  <si>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</si>
  <si>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</si>
  <si>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</si>
  <si>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</si>
  <si>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</si>
  <si>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</si>
  <si>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</si>
  <si>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</si>
  <si>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</si>
  <si>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</si>
  <si>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</si>
  <si>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</si>
  <si>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</si>
  <si>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</si>
  <si>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</si>
  <si>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</si>
  <si>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</si>
  <si>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</si>
  <si>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</si>
  <si>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</si>
  <si>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</si>
  <si>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</si>
  <si>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</si>
  <si>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</si>
  <si>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</si>
  <si>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</si>
  <si>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</si>
  <si>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</si>
  <si>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</si>
  <si>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</si>
  <si>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</si>
  <si>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</si>
  <si>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</si>
  <si>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</si>
  <si>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</si>
  <si>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</si>
  <si>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</si>
  <si>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</si>
  <si>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</si>
  <si>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</si>
  <si>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</si>
  <si>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</si>
  <si>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</si>
  <si>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</si>
  <si>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</si>
  <si>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</si>
  <si>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</si>
  <si>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</si>
  <si>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</si>
  <si>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</si>
  <si>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</si>
  <si>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</si>
  <si>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</si>
  <si>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</si>
  <si>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</si>
  <si>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</si>
  <si>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</si>
  <si>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</si>
  <si>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</si>
  <si>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</si>
  <si>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</si>
  <si>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</si>
  <si>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</si>
  <si>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</si>
  <si>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</si>
  <si>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</si>
  <si>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</si>
  <si>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</si>
  <si>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</si>
  <si>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</si>
  <si>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</si>
  <si>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</si>
  <si>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</si>
  <si>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</si>
  <si>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</si>
  <si>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</si>
  <si>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</si>
  <si>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</si>
  <si>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</si>
  <si>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</si>
  <si>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</si>
  <si>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</si>
  <si>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</si>
  <si>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</si>
  <si>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</si>
  <si>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</si>
  <si>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</si>
  <si>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</si>
  <si>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</si>
  <si>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</si>
  <si>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</si>
  <si>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</si>
  <si>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</si>
  <si>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</si>
  <si>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</si>
  <si>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</si>
  <si>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</si>
  <si>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</si>
  <si>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</si>
  <si>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</si>
  <si>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</si>
  <si>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</si>
  <si>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</si>
  <si>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</si>
  <si>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</si>
  <si>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</si>
  <si>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</si>
  <si>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</si>
  <si>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</si>
  <si>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</si>
  <si>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</si>
  <si>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</si>
  <si>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</si>
  <si>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</si>
  <si>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</si>
  <si>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</si>
  <si>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</si>
  <si>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</si>
  <si>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</si>
  <si>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</si>
  <si>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</si>
  <si>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</si>
  <si>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</si>
  <si>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</si>
  <si>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</si>
  <si>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</si>
  <si>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</si>
  <si>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</si>
  <si>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</si>
  <si>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</si>
  <si>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</si>
  <si>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</si>
  <si>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</si>
  <si>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</si>
  <si>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</si>
  <si>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</si>
  <si>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</si>
  <si>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</si>
  <si>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</si>
  <si>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</si>
  <si>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</si>
  <si>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</si>
  <si>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</si>
  <si>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</si>
  <si>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</si>
  <si>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</si>
  <si>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</si>
  <si>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</si>
  <si>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</si>
  <si>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</si>
  <si>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</si>
  <si>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</si>
  <si>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</si>
  <si>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</si>
  <si>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</si>
  <si>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</si>
  <si>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</si>
  <si>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</si>
  <si>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</si>
  <si>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</si>
  <si>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</si>
  <si>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</si>
  <si>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</si>
  <si>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</si>
  <si>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</si>
  <si>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</si>
  <si>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</si>
  <si>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</si>
  <si>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</si>
  <si>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</si>
  <si>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</si>
  <si>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</si>
  <si>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</si>
  <si>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</si>
  <si>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</si>
  <si>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</si>
  <si>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</si>
  <si>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</si>
  <si>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</si>
  <si>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</si>
  <si>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</si>
  <si>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</si>
  <si>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</si>
  <si>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</si>
  <si>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</si>
  <si>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</si>
  <si>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</si>
  <si>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</si>
  <si>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</si>
  <si>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</si>
  <si>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</si>
  <si>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</si>
  <si>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</si>
  <si>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</si>
  <si>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</si>
  <si>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</si>
  <si>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</si>
  <si>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</si>
  <si>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</si>
  <si>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</si>
  <si>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</si>
  <si>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</si>
  <si>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</si>
  <si>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</si>
  <si>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</si>
  <si>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</si>
  <si>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</si>
  <si>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</si>
  <si>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</si>
  <si>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</si>
  <si>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</si>
  <si>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</si>
  <si>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</si>
  <si>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</si>
  <si>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</si>
  <si>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</si>
  <si>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</si>
  <si>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</si>
  <si>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</si>
  <si>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</si>
  <si>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</si>
  <si>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</si>
  <si>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</si>
  <si>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</si>
  <si>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</si>
  <si>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</si>
  <si>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</si>
  <si>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</si>
  <si>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</si>
  <si>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</si>
  <si>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</si>
  <si>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</si>
  <si>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</si>
  <si>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</si>
  <si>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</si>
  <si>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</si>
  <si>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</si>
  <si>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</si>
  <si>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</si>
  <si>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</si>
  <si>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</si>
  <si>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</si>
  <si>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</si>
  <si>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</si>
  <si>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</si>
  <si>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</si>
  <si>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</si>
  <si>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</si>
  <si>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</si>
  <si>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</si>
  <si>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</si>
  <si>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</si>
  <si>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</si>
  <si>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</si>
  <si>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</si>
  <si>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</si>
  <si>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</si>
  <si>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</si>
  <si>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</si>
  <si>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</si>
  <si>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</si>
  <si>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</si>
  <si>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</si>
  <si>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</si>
  <si>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</si>
  <si>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</si>
  <si>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</si>
  <si>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</si>
  <si>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</si>
  <si>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</si>
  <si>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</si>
  <si>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</si>
  <si>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</si>
  <si>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</si>
  <si>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</si>
  <si>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</si>
  <si>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</si>
  <si>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</si>
  <si>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</si>
  <si>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</si>
  <si>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</si>
  <si>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</si>
  <si>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</si>
  <si>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</si>
  <si>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</si>
  <si>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</si>
  <si>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</si>
  <si>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</si>
  <si>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</si>
  <si>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</si>
  <si>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</si>
  <si>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</si>
  <si>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</si>
  <si>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</si>
  <si>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</si>
  <si>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</si>
  <si>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</si>
  <si>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</si>
  <si>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</si>
  <si>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</si>
  <si>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</si>
  <si>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</si>
  <si>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</si>
  <si>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</si>
  <si>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</si>
  <si>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</si>
  <si>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</si>
  <si>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</si>
  <si>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</si>
  <si>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</si>
  <si>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</si>
  <si>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</si>
  <si>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</si>
  <si>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</si>
  <si>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</si>
  <si>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</si>
  <si>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</si>
  <si>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</si>
  <si>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</si>
  <si>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</si>
  <si>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</si>
  <si>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</si>
  <si>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</si>
  <si>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</si>
  <si>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</si>
  <si>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</si>
  <si>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</si>
  <si>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</si>
  <si>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</si>
  <si>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</si>
  <si>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</si>
  <si>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</si>
  <si>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</si>
  <si>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</si>
  <si>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</si>
  <si>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</si>
  <si>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</si>
  <si>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</si>
  <si>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</si>
  <si>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</si>
  <si>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</si>
  <si>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</si>
  <si>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</si>
  <si>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</si>
  <si>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</si>
  <si>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</si>
  <si>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</si>
  <si>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</si>
  <si>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</si>
  <si>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</si>
  <si>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</si>
  <si>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</si>
  <si>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</si>
  <si>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</si>
  <si>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</si>
  <si>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</si>
  <si>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</si>
  <si>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</si>
  <si>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</si>
  <si>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</si>
  <si>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</si>
  <si>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</si>
  <si>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</si>
  <si>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</si>
  <si>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</si>
  <si>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</si>
  <si>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</si>
  <si>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</si>
  <si>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</si>
  <si>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</si>
  <si>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</si>
  <si>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</si>
  <si>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</si>
  <si>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</si>
  <si>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</si>
  <si>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</si>
  <si>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</si>
  <si>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</si>
  <si>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</si>
  <si>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</si>
  <si>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</si>
  <si>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</si>
  <si>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</si>
  <si>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</si>
  <si>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</si>
  <si>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</si>
  <si>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</si>
  <si>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</si>
  <si>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</si>
  <si>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</si>
  <si>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</si>
  <si>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</si>
  <si>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</si>
  <si>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</si>
  <si>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</si>
  <si>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</si>
  <si>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</si>
  <si>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</si>
  <si>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</si>
  <si>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</si>
  <si>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</si>
  <si>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</si>
  <si>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</si>
  <si>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</si>
  <si>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</si>
  <si>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</si>
  <si>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</si>
  <si>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</si>
  <si>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</si>
  <si>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</si>
  <si>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</si>
  <si>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</si>
  <si>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</si>
  <si>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</si>
  <si>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</si>
  <si>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</si>
  <si>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</si>
  <si>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</si>
  <si>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</si>
  <si>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</si>
  <si>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</si>
  <si>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</si>
  <si>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</si>
  <si>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</si>
  <si>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</si>
  <si>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</si>
  <si>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</si>
  <si>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</si>
  <si>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</si>
  <si>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</si>
  <si>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</si>
  <si>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</si>
  <si>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</si>
  <si>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</si>
  <si>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</si>
  <si>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</si>
  <si>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</si>
  <si>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</si>
  <si>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</si>
  <si>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</si>
  <si>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</si>
  <si>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</si>
  <si>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</si>
  <si>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</si>
  <si>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</si>
  <si>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</si>
  <si>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</si>
  <si>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</si>
  <si>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</si>
  <si>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</si>
  <si>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</si>
  <si>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</si>
  <si>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</si>
  <si>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</si>
  <si>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</si>
  <si>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</si>
  <si>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</si>
  <si>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</si>
  <si>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</si>
  <si>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</si>
  <si>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</si>
  <si>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</si>
  <si>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</si>
  <si>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</si>
  <si>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</si>
  <si>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</si>
  <si>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</si>
  <si>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</si>
  <si>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</si>
  <si>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</si>
  <si>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</si>
  <si>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</si>
  <si>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</si>
  <si>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</si>
  <si>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</si>
  <si>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</si>
  <si>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</si>
  <si>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</si>
  <si>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</si>
  <si>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</si>
  <si>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</si>
  <si>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</si>
  <si>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</si>
  <si>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</si>
  <si>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</si>
  <si>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</si>
  <si>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</si>
  <si>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</si>
  <si>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</si>
  <si>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</si>
  <si>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</si>
  <si>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</si>
  <si>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</si>
  <si>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</si>
  <si>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</si>
  <si>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</si>
  <si>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</si>
  <si>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</si>
  <si>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</si>
  <si>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</si>
  <si>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</si>
  <si>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</si>
  <si>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</si>
  <si>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</si>
  <si>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</si>
  <si>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</si>
  <si>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</si>
  <si>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</si>
  <si>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</si>
  <si>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</si>
  <si>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</si>
  <si>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</si>
  <si>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</si>
  <si>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</si>
  <si>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</si>
  <si>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</si>
  <si>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</si>
  <si>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</si>
  <si>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</si>
  <si>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</si>
  <si>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</si>
  <si>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</si>
  <si>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</si>
  <si>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</si>
  <si>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</si>
  <si>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</si>
  <si>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</si>
  <si>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</si>
  <si>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</si>
  <si>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</si>
  <si>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</si>
  <si>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</si>
  <si>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</si>
  <si>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</si>
  <si>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</si>
  <si>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</si>
  <si>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</si>
  <si>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</si>
  <si>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</si>
  <si>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</si>
  <si>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</si>
  <si>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</si>
  <si>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</si>
  <si>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</si>
  <si>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</si>
  <si>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</si>
  <si>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</si>
  <si>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</si>
  <si>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</si>
  <si>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</si>
  <si>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</si>
  <si>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</si>
  <si>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</si>
  <si>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</si>
  <si>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</si>
  <si>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</si>
  <si>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</si>
  <si>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</si>
  <si>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</si>
  <si>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</si>
  <si>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</si>
  <si>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</si>
  <si>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</si>
  <si>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</si>
  <si>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</si>
  <si>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</si>
  <si>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</si>
  <si>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</si>
  <si>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</si>
  <si>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</si>
  <si>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</si>
  <si>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</si>
  <si>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</si>
  <si>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</si>
  <si>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</si>
  <si>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</si>
  <si>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</si>
  <si>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</si>
  <si>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</si>
  <si>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</si>
  <si>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</si>
  <si>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</si>
  <si>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</si>
  <si>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</si>
  <si>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</si>
  <si>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</si>
  <si>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</si>
  <si>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</si>
  <si>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</si>
  <si>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</si>
  <si>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</si>
  <si>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</si>
  <si>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</si>
  <si>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</si>
  <si>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</si>
  <si>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</si>
  <si>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</si>
  <si>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</si>
  <si>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</si>
  <si>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</si>
  <si>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</si>
  <si>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</si>
  <si>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</si>
  <si>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</si>
  <si>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</si>
  <si>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</si>
  <si>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</si>
  <si>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</si>
  <si>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</si>
  <si>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</si>
  <si>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</si>
  <si>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</si>
  <si>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</si>
  <si>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</si>
  <si>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</si>
  <si>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</si>
  <si>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</si>
  <si>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</si>
  <si>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</si>
  <si>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</si>
  <si>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</si>
  <si>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</si>
  <si>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</si>
  <si>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</si>
  <si>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</si>
  <si>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</si>
  <si>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</si>
  <si>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</si>
  <si>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</si>
  <si>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</si>
  <si>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</si>
  <si>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</si>
  <si>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</si>
  <si>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</si>
  <si>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</si>
  <si>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</si>
  <si>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</si>
  <si>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</si>
  <si>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</si>
  <si>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</si>
  <si>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</si>
  <si>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</si>
  <si>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</si>
  <si>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</si>
  <si>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</si>
  <si>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</si>
  <si>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</si>
  <si>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</si>
  <si>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</si>
  <si>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</si>
  <si>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</si>
  <si>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</si>
  <si>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</si>
  <si>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</si>
  <si>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</si>
  <si>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</si>
  <si>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</si>
  <si>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</si>
  <si>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</si>
  <si>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</si>
  <si>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</si>
  <si>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</si>
  <si>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</si>
  <si>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</si>
  <si>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</si>
  <si>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</si>
  <si>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</si>
  <si>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</si>
  <si>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</si>
  <si>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</si>
  <si>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</si>
  <si>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</si>
  <si>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</si>
  <si>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</si>
  <si>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</si>
  <si>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</si>
  <si>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</si>
  <si>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</si>
  <si>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</si>
  <si>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</si>
  <si>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</si>
  <si>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</si>
  <si>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</si>
  <si>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</si>
  <si>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</si>
  <si>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</si>
  <si>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</si>
  <si>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</si>
  <si>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</si>
  <si>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</si>
  <si>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</si>
  <si>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</si>
  <si>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</si>
  <si>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</si>
  <si>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</si>
  <si>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</si>
  <si>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</si>
  <si>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</si>
  <si>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</si>
  <si>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</si>
  <si>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</si>
  <si>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</si>
  <si>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</si>
  <si>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</si>
  <si>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</si>
  <si>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</si>
  <si>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</si>
  <si>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</si>
  <si>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</si>
  <si>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</si>
  <si>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</si>
  <si>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</si>
  <si>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</si>
  <si>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</si>
  <si>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</si>
  <si>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</si>
  <si>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</si>
  <si>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</si>
  <si>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</si>
  <si>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</si>
  <si>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</si>
  <si>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</si>
  <si>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</si>
  <si>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</si>
  <si>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</si>
  <si>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</si>
  <si>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</si>
  <si>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</si>
  <si>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</si>
  <si>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</si>
  <si>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</si>
  <si>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</si>
  <si>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</si>
  <si>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</si>
  <si>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</si>
  <si>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</si>
  <si>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</si>
  <si>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</si>
  <si>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</si>
  <si>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</si>
  <si>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</si>
  <si>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</si>
  <si>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</si>
  <si>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</si>
  <si>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</si>
  <si>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</si>
  <si>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</si>
  <si>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</si>
  <si>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</si>
  <si>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</si>
  <si>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</si>
  <si>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</si>
  <si>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</si>
  <si>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</si>
  <si>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</si>
  <si>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</si>
  <si>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</si>
  <si>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</si>
  <si>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</si>
  <si>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</si>
  <si>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</si>
  <si>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</si>
  <si>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</si>
  <si>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</si>
  <si>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</si>
  <si>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</si>
  <si>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</si>
  <si>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</si>
  <si>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</si>
  <si>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</si>
  <si>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</si>
  <si>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</si>
  <si>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</si>
  <si>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</si>
  <si>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</si>
  <si>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</si>
  <si>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</si>
  <si>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</si>
  <si>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</si>
  <si>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</si>
  <si>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</si>
  <si>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</si>
  <si>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</si>
  <si>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</si>
  <si>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</si>
  <si>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</si>
  <si>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</si>
  <si>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</si>
  <si>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</si>
  <si>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</si>
  <si>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</si>
  <si>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</si>
  <si>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</si>
  <si>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</si>
  <si>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</si>
  <si>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</si>
  <si>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</si>
  <si>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</si>
  <si>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</si>
  <si>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</si>
  <si>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</si>
  <si>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</si>
  <si>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</si>
  <si>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</si>
  <si>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</si>
  <si>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</si>
  <si>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</si>
  <si>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</si>
  <si>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</si>
  <si>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</si>
  <si>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</si>
  <si>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</si>
  <si>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</si>
  <si>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</si>
  <si>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</si>
  <si>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</si>
  <si>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</si>
  <si>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</si>
  <si>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</si>
  <si>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</si>
  <si>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</si>
  <si>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</si>
  <si>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</si>
  <si>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</si>
  <si>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</si>
  <si>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</si>
  <si>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</si>
  <si>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</si>
  <si>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</si>
  <si>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</si>
  <si>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</si>
  <si>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</si>
  <si>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</si>
  <si>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</si>
  <si>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</si>
  <si>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</si>
  <si>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</si>
  <si>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</si>
  <si>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</si>
  <si>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</si>
  <si>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</si>
  <si>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</si>
  <si>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</si>
  <si>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</si>
  <si>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</si>
  <si>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</si>
  <si>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</si>
  <si>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</si>
  <si>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</si>
  <si>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</si>
  <si>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</si>
  <si>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</si>
  <si>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</si>
  <si>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</si>
  <si>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</si>
  <si>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</si>
  <si>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</si>
  <si>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</si>
  <si>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</si>
  <si>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</si>
  <si>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</si>
  <si>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</si>
  <si>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</si>
  <si>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</si>
  <si>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</si>
  <si>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</si>
  <si>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</si>
  <si>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</si>
  <si>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</si>
  <si>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</si>
  <si>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</si>
  <si>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</si>
  <si>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</si>
  <si>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</si>
  <si>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</si>
  <si>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</si>
  <si>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</si>
  <si>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</si>
  <si>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</si>
  <si>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</si>
  <si>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</si>
  <si>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</si>
  <si>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</si>
  <si>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</si>
  <si>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</si>
  <si>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</si>
  <si>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</si>
  <si>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</si>
  <si>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</si>
  <si>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</si>
  <si>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</si>
  <si>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</si>
  <si>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</si>
  <si>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</si>
  <si>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</si>
  <si>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</si>
  <si>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</si>
  <si>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</si>
  <si>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</si>
  <si>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</si>
  <si>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</si>
  <si>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</si>
  <si>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</si>
  <si>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</si>
  <si>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</si>
  <si>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</si>
  <si>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</si>
  <si>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</si>
  <si>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</si>
  <si>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</si>
  <si>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</si>
  <si>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</si>
  <si>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</si>
  <si>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</si>
  <si>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</si>
  <si>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</si>
  <si>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</si>
  <si>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</si>
  <si>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</si>
  <si>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</si>
  <si>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</si>
  <si>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</si>
  <si>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</si>
  <si>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</si>
  <si>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</si>
  <si>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</si>
  <si>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</si>
  <si>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</si>
  <si>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</si>
  <si>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</si>
  <si>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</si>
  <si>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</si>
  <si>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</si>
  <si>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</si>
  <si>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</si>
  <si>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</si>
  <si>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</si>
  <si>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</si>
  <si>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</si>
  <si>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</si>
  <si>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</si>
  <si>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</si>
  <si>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</si>
  <si>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</si>
  <si>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</si>
  <si>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</si>
  <si>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</si>
  <si>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</si>
  <si>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</si>
  <si>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</si>
  <si>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</si>
  <si>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</si>
  <si>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</si>
  <si>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</si>
  <si>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</si>
  <si>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</si>
  <si>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</si>
  <si>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</si>
  <si>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</si>
  <si>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</si>
  <si>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</si>
  <si>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</si>
  <si>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</si>
  <si>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</si>
  <si>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</si>
  <si>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</si>
  <si>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</si>
  <si>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</si>
  <si>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</si>
  <si>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</si>
  <si>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</si>
  <si>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</si>
  <si>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</si>
  <si>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</si>
  <si>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</si>
  <si>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</si>
  <si>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</si>
  <si>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</si>
  <si>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</si>
  <si>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</si>
  <si>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</si>
  <si>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</si>
  <si>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</si>
  <si>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</si>
  <si>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</si>
  <si>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</si>
  <si>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</si>
  <si>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</si>
  <si>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</si>
  <si>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</si>
  <si>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</si>
  <si>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</si>
  <si>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</si>
  <si>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</si>
  <si>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</si>
  <si>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</si>
  <si>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</si>
  <si>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</si>
  <si>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</si>
  <si>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</si>
  <si>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</si>
  <si>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</si>
  <si>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</si>
  <si>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</si>
  <si>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</si>
  <si>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</si>
  <si>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</si>
  <si>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</si>
  <si>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</si>
  <si>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</si>
  <si>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</si>
  <si>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</si>
  <si>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</si>
  <si>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</si>
  <si>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</si>
  <si>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</si>
  <si>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</si>
  <si>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</si>
  <si>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</si>
  <si>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</si>
  <si>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</si>
  <si>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</si>
  <si>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</si>
  <si>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</si>
  <si>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</si>
  <si>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</si>
  <si>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</si>
  <si>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</si>
  <si>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</si>
  <si>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</si>
  <si>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</si>
  <si>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</si>
  <si>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</si>
  <si>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</si>
  <si>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</si>
  <si>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</si>
  <si>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</si>
  <si>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</si>
  <si>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</si>
  <si>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</si>
  <si>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</si>
  <si>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</si>
  <si>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</si>
  <si>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</si>
  <si>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</si>
  <si>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</si>
  <si>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</si>
  <si>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</si>
  <si>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</si>
  <si>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</si>
  <si>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</si>
  <si>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</si>
  <si>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</si>
  <si>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</si>
  <si>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</si>
  <si>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</si>
  <si>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</si>
  <si>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</si>
  <si>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</si>
  <si>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</si>
  <si>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</si>
  <si>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</si>
  <si>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</si>
  <si>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</si>
  <si>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</si>
  <si>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</si>
  <si>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</si>
  <si>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</si>
  <si>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</si>
  <si>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</si>
  <si>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</si>
  <si>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</si>
  <si>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</si>
  <si>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</si>
  <si>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</si>
  <si>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</si>
  <si>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</si>
  <si>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</si>
  <si>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</si>
  <si>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</si>
  <si>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</si>
  <si>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</si>
  <si>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</si>
  <si>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</si>
  <si>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</si>
  <si>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</si>
  <si>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</si>
  <si>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</si>
  <si>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</si>
  <si>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</si>
  <si>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</si>
  <si>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</si>
  <si>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</si>
  <si>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</si>
  <si>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</si>
  <si>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</si>
  <si>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</si>
  <si>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</si>
  <si>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</si>
  <si>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</si>
  <si>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</si>
  <si>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</si>
  <si>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</si>
  <si>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</si>
  <si>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</si>
  <si>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</si>
  <si>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</si>
  <si>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</si>
  <si>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</si>
  <si>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</si>
  <si>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</si>
  <si>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</si>
  <si>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</si>
  <si>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</si>
  <si>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</si>
  <si>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</si>
  <si>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</si>
  <si>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</si>
  <si>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</si>
  <si>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</si>
  <si>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</si>
  <si>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</si>
  <si>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</si>
  <si>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</si>
  <si>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</si>
  <si>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</si>
  <si>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</si>
  <si>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</si>
  <si>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</si>
  <si>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</si>
  <si>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</si>
  <si>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</si>
  <si>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</si>
  <si>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</si>
  <si>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</si>
  <si>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</si>
  <si>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</si>
  <si>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</si>
  <si>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</si>
  <si>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</si>
  <si>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</si>
  <si>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</si>
  <si>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</si>
  <si>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</si>
  <si>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</si>
  <si>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</si>
  <si>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</si>
  <si>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</si>
  <si>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</si>
  <si>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</si>
  <si>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</si>
  <si>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</si>
  <si>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</si>
  <si>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</si>
  <si>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</si>
  <si>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</si>
  <si>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</si>
  <si>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</si>
  <si>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</si>
  <si>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</si>
  <si>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</si>
  <si>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</si>
  <si>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</si>
  <si>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</si>
  <si>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</si>
  <si>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</si>
  <si>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</si>
  <si>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</si>
  <si>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</si>
  <si>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</si>
  <si>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</si>
  <si>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</si>
  <si>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</si>
  <si>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</si>
  <si>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</si>
  <si>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</si>
  <si>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</si>
  <si>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</si>
  <si>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</si>
  <si>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</si>
  <si>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</si>
  <si>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</si>
  <si>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</si>
  <si>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</si>
  <si>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</si>
  <si>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</si>
  <si>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</si>
  <si>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</si>
  <si>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</si>
  <si>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</si>
  <si>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</si>
  <si>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</si>
  <si>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</si>
  <si>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</si>
  <si>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</si>
  <si>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</si>
  <si>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</si>
  <si>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</si>
  <si>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</si>
  <si>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</si>
  <si>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</si>
  <si>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</si>
  <si>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</si>
  <si>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</si>
  <si>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</si>
  <si>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</si>
  <si>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</si>
  <si>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</si>
  <si>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</si>
  <si>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</si>
  <si>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</si>
  <si>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</si>
  <si>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</si>
  <si>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</si>
  <si>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</si>
  <si>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</si>
  <si>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</si>
  <si>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</si>
  <si>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</si>
  <si>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</si>
  <si>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</si>
  <si>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</si>
  <si>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</si>
  <si>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</si>
  <si>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</si>
  <si>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</si>
  <si>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</si>
  <si>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</si>
  <si>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</si>
  <si>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</si>
  <si>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</si>
  <si>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</si>
  <si>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</si>
  <si>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</si>
  <si>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</si>
  <si>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</si>
  <si>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</si>
  <si>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</si>
  <si>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</si>
  <si>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</si>
  <si>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</si>
  <si>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</si>
  <si>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</si>
  <si>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</si>
  <si>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</si>
  <si>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</si>
  <si>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</si>
  <si>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</si>
  <si>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</si>
  <si>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</si>
  <si>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</si>
  <si>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</si>
  <si>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</si>
  <si>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</si>
  <si>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</si>
  <si>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</si>
  <si>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</si>
  <si>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</si>
  <si>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</si>
  <si>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</si>
  <si>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</si>
  <si>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</si>
  <si>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</si>
  <si>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</si>
  <si>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</si>
  <si>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</si>
  <si>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</si>
  <si>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</si>
  <si>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</si>
  <si>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</si>
  <si>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</si>
  <si>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</si>
  <si>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</si>
  <si>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</si>
  <si>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</si>
  <si>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</si>
  <si>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</si>
  <si>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</si>
  <si>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</si>
  <si>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</si>
  <si>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</si>
  <si>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</si>
  <si>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</si>
  <si>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</si>
  <si>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</si>
  <si>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</si>
  <si>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</si>
  <si>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</si>
  <si>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</si>
  <si>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</si>
  <si>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</si>
  <si>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</si>
  <si>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</si>
  <si>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</si>
  <si>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</si>
  <si>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</si>
  <si>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</si>
  <si>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</si>
  <si>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</si>
  <si>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</si>
  <si>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</si>
  <si>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</si>
  <si>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</si>
  <si>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</si>
  <si>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</si>
  <si>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</si>
  <si>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</si>
  <si>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</si>
  <si>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</si>
  <si>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</si>
  <si>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</si>
  <si>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</si>
  <si>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</si>
  <si>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</si>
  <si>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</si>
  <si>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</si>
  <si>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</si>
  <si>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</si>
  <si>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</si>
  <si>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</si>
  <si>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</si>
  <si>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</si>
  <si>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</si>
  <si>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</si>
  <si>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</si>
  <si>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</si>
  <si>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</si>
  <si>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</si>
  <si>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</si>
  <si>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</si>
  <si>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</si>
  <si>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</si>
  <si>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</si>
  <si>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</si>
  <si>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</si>
  <si>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</si>
  <si>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</si>
  <si>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</si>
  <si>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</si>
  <si>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</si>
  <si>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</si>
  <si>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</si>
  <si>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</si>
  <si>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</si>
  <si>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</si>
  <si>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</si>
  <si>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</si>
  <si>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</si>
  <si>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</si>
  <si>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</si>
  <si>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</si>
  <si>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</si>
  <si>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</si>
  <si>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</si>
  <si>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</si>
  <si>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</si>
  <si>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</si>
  <si>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</si>
  <si>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</si>
  <si>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</si>
  <si>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</si>
  <si>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</si>
  <si>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</si>
  <si>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</si>
  <si>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</si>
  <si>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</si>
  <si>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</si>
  <si>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</si>
  <si>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</si>
  <si>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</si>
  <si>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</si>
  <si>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</si>
  <si>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</si>
  <si>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</si>
  <si>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</si>
  <si>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</si>
  <si>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</si>
  <si>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</si>
  <si>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</si>
  <si>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</si>
  <si>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</si>
  <si>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</si>
  <si>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</si>
  <si>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</si>
  <si>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</si>
  <si>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</si>
  <si>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</si>
  <si>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</si>
  <si>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</si>
  <si>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</si>
  <si>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</si>
  <si>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</si>
  <si>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</si>
  <si>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</si>
  <si>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</si>
  <si>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</si>
  <si>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</si>
  <si>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</si>
  <si>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</si>
  <si>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</si>
  <si>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</si>
  <si>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</si>
  <si>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</si>
  <si>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</si>
  <si>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</si>
  <si>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</si>
  <si>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</si>
  <si>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</si>
  <si>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</si>
  <si>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</si>
  <si>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</si>
  <si>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</si>
  <si>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</si>
  <si>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</si>
  <si>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</si>
  <si>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</si>
  <si>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</si>
  <si>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</si>
  <si>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</si>
  <si>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</si>
  <si>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</si>
  <si>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</si>
  <si>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</si>
  <si>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</si>
  <si>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</si>
  <si>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</si>
  <si>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</si>
  <si>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</si>
  <si>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</si>
  <si>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</si>
  <si>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</si>
  <si>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</si>
  <si>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</si>
  <si>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</si>
  <si>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</si>
  <si>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</si>
  <si>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</si>
  <si>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</si>
  <si>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</si>
  <si>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</si>
  <si>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!districtAgain</t>
  </si>
  <si>
    <t>!serviceAreaID</t>
  </si>
  <si>
    <t>localAreaNumber</t>
  </si>
  <si>
    <t>!project</t>
  </si>
  <si>
    <t>!distictID</t>
  </si>
  <si>
    <t>!DistrictID</t>
  </si>
  <si>
    <t>Central Island</t>
  </si>
  <si>
    <t>North Island</t>
  </si>
  <si>
    <t>Brew Creek Rd Upgrade</t>
  </si>
  <si>
    <t>Noble Rd Express Lane</t>
  </si>
  <si>
    <t>Essendene Avenue Express Lane</t>
  </si>
  <si>
    <t>Wellington Ave Cloverleaf</t>
  </si>
  <si>
    <t>Old Spallumcheen Rd Overpass</t>
  </si>
  <si>
    <t>Jade St Bypass</t>
  </si>
  <si>
    <t>Wallace Street Extension</t>
  </si>
  <si>
    <t>James Street Bridge</t>
  </si>
  <si>
    <t>Holdom Avenue Bypass</t>
  </si>
  <si>
    <t>Roger Street Bridge Replacement</t>
  </si>
  <si>
    <t>Scotts Lane Bridge</t>
  </si>
  <si>
    <t>Findlay Creek Road Expressway</t>
  </si>
  <si>
    <t>Sixth Street Expressway</t>
  </si>
  <si>
    <t>Blanshard Building</t>
  </si>
  <si>
    <t>Yoho Valley Road Express Lane</t>
  </si>
  <si>
    <t>Burdett Avenue Bridge</t>
  </si>
  <si>
    <t>Cordova Street Bridge</t>
  </si>
  <si>
    <t>Scotts Lane Expressway</t>
  </si>
  <si>
    <t>Nootka Street Building</t>
  </si>
  <si>
    <t>Nootka Street Express Lane</t>
  </si>
  <si>
    <t>Queens Bay HOV Lane</t>
  </si>
  <si>
    <t>Blanshard Extension</t>
  </si>
  <si>
    <t>Cardero St Extension</t>
  </si>
  <si>
    <t>Coldstream Avenue Overpass</t>
  </si>
  <si>
    <t>Hardy Street Express Lane</t>
  </si>
  <si>
    <t>Alaska Hwy Overpass</t>
  </si>
  <si>
    <t>James Street Bridge Replacement</t>
  </si>
  <si>
    <t>Tolmie St HOV Lane</t>
  </si>
  <si>
    <t>Stum Lake Road Express Lane</t>
  </si>
  <si>
    <t>Essendene Avenue Cloverleaf</t>
  </si>
  <si>
    <t>Wallace Street Overpass</t>
  </si>
  <si>
    <t>Tchesinkut Lake Rd Express Lane</t>
  </si>
  <si>
    <t>Blind Bay Road HOV Lane</t>
  </si>
  <si>
    <t>Wellington Ave Bridge</t>
  </si>
  <si>
    <t>Tchesinkut Lake Rd Bypass</t>
  </si>
  <si>
    <t>Yoho Valley Road Expressway</t>
  </si>
  <si>
    <t>Robson St Upgrade</t>
  </si>
  <si>
    <t>Carlson Road Upgrade</t>
  </si>
  <si>
    <t>McGill Road HOV Lane</t>
  </si>
  <si>
    <t>Russell Avenue Express Lane</t>
  </si>
  <si>
    <t>Stum Lake Road Overpass</t>
  </si>
  <si>
    <t>Mesa Vista Drive Bridge</t>
  </si>
  <si>
    <t>Yoho Valley Road Bridge</t>
  </si>
  <si>
    <t>Glover Road Overpass</t>
  </si>
  <si>
    <t>Holdom Avenue Bridge Replacement</t>
  </si>
  <si>
    <t>Scotts Lane Express Lane</t>
  </si>
  <si>
    <t>Findlay Creek Road Cloverleaf</t>
  </si>
  <si>
    <t>King George Hwy Extension</t>
  </si>
  <si>
    <t>Nootka Street Bypass</t>
  </si>
  <si>
    <t>102nd Avenue Cloverleaf</t>
  </si>
  <si>
    <t>Cardero St Bypass</t>
  </si>
  <si>
    <t>Blind Bay Road Extension</t>
  </si>
  <si>
    <t>Keith Road Express Lane</t>
  </si>
  <si>
    <t>Hardy Street Bypass</t>
  </si>
  <si>
    <t>Burdett Avenue Overpass</t>
  </si>
  <si>
    <t>Quayside Dr Express Lane</t>
  </si>
  <si>
    <t>Sixth Street Cloverleaf</t>
  </si>
  <si>
    <t>Lake City Way HOV Lane</t>
  </si>
  <si>
    <t>Roger Street HOV Lane</t>
  </si>
  <si>
    <t>Blanshard Cloverleaf</t>
  </si>
  <si>
    <t>Quayside Dr Cloverleaf</t>
  </si>
  <si>
    <t>Jade St Bridge Replacement</t>
  </si>
  <si>
    <t>Carlson Road Overpass</t>
  </si>
  <si>
    <t>McGill Road Overpass</t>
  </si>
  <si>
    <t>Russell Avenue Building</t>
  </si>
  <si>
    <t>Roger Street Express Lane</t>
  </si>
  <si>
    <t>Haaglund Rd Extension</t>
  </si>
  <si>
    <t>Shaughnessy St HOV Lane</t>
  </si>
  <si>
    <t>Mesa Vista Drive Cloverleaf</t>
  </si>
  <si>
    <t>Cordova Street Bypass</t>
  </si>
  <si>
    <t>Kinchant St Building</t>
  </si>
  <si>
    <t>Alaska Hwy Extension</t>
  </si>
  <si>
    <t>Stum Lake Road Bridge</t>
  </si>
  <si>
    <t>Hastings Street HOV Lane</t>
  </si>
  <si>
    <t>Old Spallumcheen Rd Upgrade</t>
  </si>
  <si>
    <t>Coldstream Avenue Express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</si>
</sst>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"/>
  <sheetViews>
    <sheetView workbookViewId="0">
      <pane ySplit="1" topLeftCell="A2" activePane="bottomLeft" state="frozen"/>
      <selection pane="bottomLeft" activeCell="B22" sqref="B2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6496</v>
      </c>
      <c r="C1" t="s">
        <v>5323</v>
      </c>
      <c r="D1" t="s">
        <v>2922</v>
      </c>
      <c r="E1" t="s">
        <v>7756</v>
      </c>
      <c r="F1" t="s">
        <v>5370</v>
      </c>
      <c r="G1" s="4" t="s">
        <v>5371</v>
      </c>
      <c r="H1" t="s">
        <v>6492</v>
      </c>
      <c r="I1" t="s">
        <v>6494</v>
      </c>
      <c r="J1" t="s">
        <v>6493</v>
      </c>
      <c r="K1" t="s">
        <v>6495</v>
      </c>
      <c r="L1" t="s">
        <v>6497</v>
      </c>
      <c r="M1" t="s">
        <v>6498</v>
      </c>
      <c r="N1" t="s">
        <v>6499</v>
      </c>
      <c r="O1" t="s">
        <v>6500</v>
      </c>
      <c r="P1" t="s">
        <v>6501</v>
      </c>
      <c r="Q1" t="s">
        <v>6502</v>
      </c>
      <c r="R1" t="s">
        <v>6503</v>
      </c>
      <c r="S1" t="s">
        <v>333</v>
      </c>
      <c r="T1" t="s">
        <v>6504</v>
      </c>
      <c r="U1" t="s">
        <v>6505</v>
      </c>
      <c r="V1" t="s">
        <v>6506</v>
      </c>
      <c r="W1" t="s">
        <v>5325</v>
      </c>
      <c r="X1" t="s">
        <v>5372</v>
      </c>
      <c r="Y1" t="s">
        <v>5373</v>
      </c>
      <c r="Z1" t="s">
        <v>6507</v>
      </c>
    </row>
    <row r="2" spans="1:26" x14ac:dyDescent="0.3">
      <c r="A2" t="s">
        <v>7</v>
      </c>
      <c r="B2" t="s">
        <v>4835</v>
      </c>
      <c r="C2">
        <f>IF(ISNUMBER(C1),C1+1,200000)</f>
        <v>200000</v>
      </c>
      <c r="D2" t="str">
        <f t="shared" ref="D2:D65" ca="1" si="0">TEXT(TODAY()-RANDBETWEEN(200,5000),"YYYY-MM-DD")</f>
        <v>2012-03-05</v>
      </c>
      <c r="E2">
        <f>IFERROR(VLOOKUP(B2,'Contacts.csv'!C:D,2,FALSE),"")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VLOOKUP(I2,LocalAreas.csv!F:J,5,FALSE)</f>
        <v>200075</v>
      </c>
      <c r="I2" s="1" t="s">
        <v>6452</v>
      </c>
      <c r="J2" t="str">
        <f t="shared" ref="J2:J33" si="1" xml:space="preserve"> "rg:{'id':'" &amp; H2 &amp; "'}"</f>
        <v>rg:{'id':'200075'}</v>
      </c>
      <c r="K2" t="str">
        <f t="shared" ref="K2:K18" si="2">UPPER(LEFT(SUBSTITUTE(SUBSTITUTE(SUBSTITUTE(B2,"The","")," ",""),".",""),4))</f>
        <v>ACCO</v>
      </c>
      <c r="M2">
        <f ca="1">RANDBETWEEN(10000,20000)</f>
        <v>10620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732057</v>
      </c>
      <c r="Q2" t="str">
        <f ca="1">TEXT(TODAY()+RANDBETWEEN(-10,350),"YYYY-MM-DD")</f>
        <v>2018-07-08</v>
      </c>
      <c r="R2" t="str">
        <f ca="1">TEXT(TODAY()+RANDBETWEEN(-10,350),"YYYY-MM-DD")</f>
        <v>2018-09-11</v>
      </c>
      <c r="S2" t="s">
        <v>6662</v>
      </c>
      <c r="T2" t="s">
        <v>76</v>
      </c>
      <c r="U2" t="s">
        <v>76</v>
      </c>
      <c r="V2" t="s">
        <v>76</v>
      </c>
      <c r="W2" t="s">
        <v>6508</v>
      </c>
      <c r="X2" t="s">
        <v>6508</v>
      </c>
      <c r="Y2" t="s">
        <v>6508</v>
      </c>
      <c r="Z2" t="s">
        <v>6508</v>
      </c>
    </row>
    <row r="3" spans="1:26" x14ac:dyDescent="0.3">
      <c r="A3" t="s">
        <v>7</v>
      </c>
      <c r="B3" t="s">
        <v>4807</v>
      </c>
      <c r="C3">
        <f t="shared" ref="C3:C66" si="3">IF(ISNUMBER(C2),C2+1,101)</f>
        <v>200001</v>
      </c>
      <c r="D3" t="str">
        <f t="shared" ca="1" si="0"/>
        <v>2006-10-04</v>
      </c>
      <c r="E3">
        <f>IFERROR(VLOOKUP(B3,'Contacts.csv'!C:D,2,FALSE),"")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>VLOOKUP(I3,LocalAreas.csv!F:J,5,FALSE)</f>
        <v>200075</v>
      </c>
      <c r="I3" s="1" t="s">
        <v>6452</v>
      </c>
      <c r="J3" t="str">
        <f t="shared" si="1"/>
        <v>rg:{'id':'200075'}</v>
      </c>
      <c r="K3" t="str">
        <f t="shared" si="2"/>
        <v>ALER</v>
      </c>
      <c r="M3">
        <f t="shared" ref="M3:M66" ca="1" si="6">RANDBETWEEN(10000,20000)</f>
        <v>16425</v>
      </c>
      <c r="N3" t="str">
        <f t="shared" ref="N3:N66" ca="1" si="7">IF(RANDBETWEEN(1,20)&gt;1,"rg:True","rg:True")</f>
        <v>rg:True</v>
      </c>
      <c r="O3" t="str">
        <f t="shared" ref="O3:O66" ca="1" si="8">IF(RANDBETWEEN(1,20)&gt;1,"rg:False","rg:True")</f>
        <v>rg:False</v>
      </c>
      <c r="P3">
        <f t="shared" ref="P3:P66" ca="1" si="9">RANDBETWEEN(732000,732200)</f>
        <v>732099</v>
      </c>
      <c r="Q3" t="str">
        <f t="shared" ref="Q3:R66" ca="1" si="10">TEXT(TODAY()+RANDBETWEEN(-10,350),"YYYY-MM-DD")</f>
        <v>2018-07-22</v>
      </c>
      <c r="R3" t="str">
        <f t="shared" ca="1" si="10"/>
        <v>2018-04-20</v>
      </c>
      <c r="S3" t="s">
        <v>6660</v>
      </c>
      <c r="T3" t="s">
        <v>76</v>
      </c>
      <c r="U3" t="s">
        <v>76</v>
      </c>
      <c r="V3" t="s">
        <v>76</v>
      </c>
      <c r="W3" t="s">
        <v>6508</v>
      </c>
      <c r="X3" t="s">
        <v>6508</v>
      </c>
      <c r="Y3" t="s">
        <v>6508</v>
      </c>
      <c r="Z3" t="s">
        <v>6508</v>
      </c>
    </row>
    <row r="4" spans="1:26" x14ac:dyDescent="0.3">
      <c r="A4" t="s">
        <v>7</v>
      </c>
      <c r="B4" t="s">
        <v>4243</v>
      </c>
      <c r="C4">
        <f t="shared" si="3"/>
        <v>200002</v>
      </c>
      <c r="D4" t="str">
        <f t="shared" ca="1" si="0"/>
        <v>2010-04-16</v>
      </c>
      <c r="E4">
        <f>IFERROR(VLOOKUP(B4,'Contacts.csv'!C:D,2,FALSE),"")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>VLOOKUP(I4,LocalAreas.csv!F:J,5,FALSE)</f>
        <v>200075</v>
      </c>
      <c r="I4" s="1" t="s">
        <v>6452</v>
      </c>
      <c r="J4" t="str">
        <f t="shared" si="1"/>
        <v>rg:{'id':'200075'}</v>
      </c>
      <c r="K4" t="str">
        <f t="shared" si="2"/>
        <v>ALLI</v>
      </c>
      <c r="M4">
        <f t="shared" ca="1" si="6"/>
        <v>12340</v>
      </c>
      <c r="N4" t="str">
        <f t="shared" ca="1" si="7"/>
        <v>rg:True</v>
      </c>
      <c r="O4" t="str">
        <f t="shared" ca="1" si="8"/>
        <v>rg:False</v>
      </c>
      <c r="P4">
        <f t="shared" ca="1" si="9"/>
        <v>732057</v>
      </c>
      <c r="Q4" t="str">
        <f t="shared" ca="1" si="10"/>
        <v>2018-09-07</v>
      </c>
      <c r="R4" t="str">
        <f t="shared" ca="1" si="10"/>
        <v>2018-10-25</v>
      </c>
      <c r="S4" t="s">
        <v>6660</v>
      </c>
      <c r="T4" t="s">
        <v>76</v>
      </c>
      <c r="U4" t="s">
        <v>76</v>
      </c>
      <c r="V4" t="s">
        <v>76</v>
      </c>
      <c r="W4" t="s">
        <v>6508</v>
      </c>
      <c r="X4" t="s">
        <v>6508</v>
      </c>
      <c r="Y4" t="s">
        <v>6508</v>
      </c>
      <c r="Z4" t="s">
        <v>6508</v>
      </c>
    </row>
    <row r="5" spans="1:26" x14ac:dyDescent="0.3">
      <c r="A5" t="s">
        <v>7</v>
      </c>
      <c r="B5" t="s">
        <v>4508</v>
      </c>
      <c r="C5">
        <f t="shared" si="3"/>
        <v>200003</v>
      </c>
      <c r="D5" t="str">
        <f t="shared" ca="1" si="0"/>
        <v>2015-03-13</v>
      </c>
      <c r="E5">
        <f>IFERROR(VLOOKUP(B5,'Contacts.csv'!C:D,2,FALSE),"")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>VLOOKUP(I5,LocalAreas.csv!F:J,5,FALSE)</f>
        <v>200075</v>
      </c>
      <c r="I5" s="1" t="s">
        <v>6452</v>
      </c>
      <c r="J5" t="str">
        <f t="shared" si="1"/>
        <v>rg:{'id':'200075'}</v>
      </c>
      <c r="K5" t="str">
        <f t="shared" si="2"/>
        <v>AMER</v>
      </c>
      <c r="L5" t="s">
        <v>6658</v>
      </c>
      <c r="M5">
        <f t="shared" ca="1" si="6"/>
        <v>18814</v>
      </c>
      <c r="N5" t="str">
        <f t="shared" ca="1" si="7"/>
        <v>rg:True</v>
      </c>
      <c r="O5" t="str">
        <f t="shared" ca="1" si="8"/>
        <v>rg:False</v>
      </c>
      <c r="P5">
        <f t="shared" ca="1" si="9"/>
        <v>732097</v>
      </c>
      <c r="Q5" t="str">
        <f t="shared" ca="1" si="10"/>
        <v>2018-02-01</v>
      </c>
      <c r="R5" t="str">
        <f t="shared" ca="1" si="10"/>
        <v>2018-11-29</v>
      </c>
      <c r="S5" t="s">
        <v>6660</v>
      </c>
      <c r="T5" t="s">
        <v>76</v>
      </c>
      <c r="U5" t="s">
        <v>76</v>
      </c>
      <c r="V5" t="s">
        <v>76</v>
      </c>
      <c r="W5" t="s">
        <v>6508</v>
      </c>
      <c r="X5" t="s">
        <v>6508</v>
      </c>
      <c r="Y5" t="s">
        <v>6508</v>
      </c>
      <c r="Z5" t="s">
        <v>6508</v>
      </c>
    </row>
    <row r="6" spans="1:26" x14ac:dyDescent="0.3">
      <c r="A6" t="s">
        <v>7</v>
      </c>
      <c r="B6" t="s">
        <v>3035</v>
      </c>
      <c r="C6">
        <f t="shared" si="3"/>
        <v>200004</v>
      </c>
      <c r="D6" t="str">
        <f t="shared" ca="1" si="0"/>
        <v>2007-03-11</v>
      </c>
      <c r="E6">
        <f>IFERROR(VLOOKUP(B6,'Contacts.csv'!C:D,2,FALSE),"")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>VLOOKUP(I6,LocalAreas.csv!F:J,5,FALSE)</f>
        <v>200075</v>
      </c>
      <c r="I6" s="1" t="s">
        <v>6452</v>
      </c>
      <c r="J6" t="str">
        <f t="shared" si="1"/>
        <v>rg:{'id':'200075'}</v>
      </c>
      <c r="K6" t="str">
        <f t="shared" si="2"/>
        <v>ASIA</v>
      </c>
      <c r="L6" t="s">
        <v>6659</v>
      </c>
      <c r="M6">
        <f t="shared" ca="1" si="6"/>
        <v>16788</v>
      </c>
      <c r="N6" t="str">
        <f t="shared" ca="1" si="7"/>
        <v>rg:True</v>
      </c>
      <c r="O6" t="str">
        <f t="shared" ca="1" si="8"/>
        <v>rg:False</v>
      </c>
      <c r="P6">
        <f t="shared" ca="1" si="9"/>
        <v>732153</v>
      </c>
      <c r="Q6" t="str">
        <f t="shared" ca="1" si="10"/>
        <v>2018-02-09</v>
      </c>
      <c r="R6" t="str">
        <f t="shared" ca="1" si="10"/>
        <v>2018-08-18</v>
      </c>
      <c r="S6" t="s">
        <v>6660</v>
      </c>
      <c r="T6" t="s">
        <v>76</v>
      </c>
      <c r="U6" t="s">
        <v>76</v>
      </c>
      <c r="V6" t="s">
        <v>76</v>
      </c>
      <c r="W6" t="s">
        <v>6508</v>
      </c>
      <c r="X6" t="s">
        <v>6508</v>
      </c>
      <c r="Y6" t="s">
        <v>6508</v>
      </c>
      <c r="Z6" t="s">
        <v>6508</v>
      </c>
    </row>
    <row r="7" spans="1:26" x14ac:dyDescent="0.3">
      <c r="A7" t="s">
        <v>7</v>
      </c>
      <c r="B7" t="s">
        <v>4037</v>
      </c>
      <c r="C7">
        <f t="shared" si="3"/>
        <v>200005</v>
      </c>
      <c r="D7" t="str">
        <f t="shared" ca="1" si="0"/>
        <v>2012-08-22</v>
      </c>
      <c r="E7">
        <f>IFERROR(VLOOKUP(B7,'Contacts.csv'!C:D,2,FALSE),"")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>VLOOKUP(I7,LocalAreas.csv!F:J,5,FALSE)</f>
        <v>200075</v>
      </c>
      <c r="I7" s="1" t="s">
        <v>6452</v>
      </c>
      <c r="J7" t="str">
        <f t="shared" si="1"/>
        <v>rg:{'id':'200075'}</v>
      </c>
      <c r="K7" t="str">
        <f t="shared" si="2"/>
        <v>AUTO</v>
      </c>
      <c r="M7">
        <f t="shared" ca="1" si="6"/>
        <v>19851</v>
      </c>
      <c r="N7" t="str">
        <f t="shared" ca="1" si="7"/>
        <v>rg:True</v>
      </c>
      <c r="O7" t="str">
        <f t="shared" ca="1" si="8"/>
        <v>rg:False</v>
      </c>
      <c r="P7">
        <f t="shared" ca="1" si="9"/>
        <v>732043</v>
      </c>
      <c r="Q7" t="str">
        <f t="shared" ca="1" si="10"/>
        <v>2018-01-31</v>
      </c>
      <c r="R7" t="str">
        <f t="shared" ca="1" si="10"/>
        <v>2018-10-28</v>
      </c>
      <c r="S7" t="s">
        <v>6660</v>
      </c>
      <c r="T7" t="s">
        <v>76</v>
      </c>
      <c r="U7" t="s">
        <v>76</v>
      </c>
      <c r="V7" t="s">
        <v>76</v>
      </c>
      <c r="W7" t="s">
        <v>6508</v>
      </c>
      <c r="X7" t="s">
        <v>6508</v>
      </c>
      <c r="Y7" t="s">
        <v>6508</v>
      </c>
      <c r="Z7" t="s">
        <v>6508</v>
      </c>
    </row>
    <row r="8" spans="1:26" x14ac:dyDescent="0.3">
      <c r="A8" t="s">
        <v>7</v>
      </c>
      <c r="B8" t="s">
        <v>3697</v>
      </c>
      <c r="C8">
        <f t="shared" si="3"/>
        <v>200006</v>
      </c>
      <c r="D8" t="str">
        <f t="shared" ca="1" si="0"/>
        <v>2014-05-02</v>
      </c>
      <c r="E8">
        <f>IFERROR(VLOOKUP(B8,'Contacts.csv'!C:D,2,FALSE),"")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>VLOOKUP(I8,LocalAreas.csv!F:J,5,FALSE)</f>
        <v>200075</v>
      </c>
      <c r="I8" s="1" t="s">
        <v>6452</v>
      </c>
      <c r="J8" t="str">
        <f t="shared" si="1"/>
        <v>rg:{'id':'200075'}</v>
      </c>
      <c r="K8" t="str">
        <f t="shared" si="2"/>
        <v>BEST</v>
      </c>
      <c r="M8">
        <f t="shared" ca="1" si="6"/>
        <v>11291</v>
      </c>
      <c r="N8" t="str">
        <f t="shared" ca="1" si="7"/>
        <v>rg:True</v>
      </c>
      <c r="O8" t="str">
        <f t="shared" ca="1" si="8"/>
        <v>rg:False</v>
      </c>
      <c r="P8">
        <f t="shared" ca="1" si="9"/>
        <v>732112</v>
      </c>
      <c r="Q8" t="str">
        <f t="shared" ca="1" si="10"/>
        <v>2018-10-07</v>
      </c>
      <c r="R8" t="str">
        <f t="shared" ca="1" si="10"/>
        <v>2018-07-25</v>
      </c>
      <c r="S8" t="s">
        <v>6660</v>
      </c>
      <c r="T8" t="s">
        <v>76</v>
      </c>
      <c r="U8" t="s">
        <v>76</v>
      </c>
      <c r="V8" t="s">
        <v>76</v>
      </c>
      <c r="W8" t="s">
        <v>6508</v>
      </c>
      <c r="X8" t="s">
        <v>6508</v>
      </c>
      <c r="Y8" t="s">
        <v>6508</v>
      </c>
      <c r="Z8" t="s">
        <v>6508</v>
      </c>
    </row>
    <row r="9" spans="1:26" x14ac:dyDescent="0.3">
      <c r="A9" t="s">
        <v>7</v>
      </c>
      <c r="B9" t="s">
        <v>3074</v>
      </c>
      <c r="C9">
        <f t="shared" si="3"/>
        <v>200007</v>
      </c>
      <c r="D9" t="str">
        <f t="shared" ca="1" si="0"/>
        <v>2014-02-12</v>
      </c>
      <c r="E9">
        <f>IFERROR(VLOOKUP(B9,'Contacts.csv'!C:D,2,FALSE),"")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>VLOOKUP(I9,LocalAreas.csv!F:J,5,FALSE)</f>
        <v>200075</v>
      </c>
      <c r="I9" s="1" t="s">
        <v>6452</v>
      </c>
      <c r="J9" t="str">
        <f t="shared" si="1"/>
        <v>rg:{'id':'200075'}</v>
      </c>
      <c r="K9" t="str">
        <f t="shared" si="2"/>
        <v>BEST</v>
      </c>
      <c r="M9">
        <f t="shared" ca="1" si="6"/>
        <v>14425</v>
      </c>
      <c r="N9" t="str">
        <f t="shared" ca="1" si="7"/>
        <v>rg:True</v>
      </c>
      <c r="O9" t="str">
        <f t="shared" ca="1" si="8"/>
        <v>rg:False</v>
      </c>
      <c r="P9">
        <f t="shared" ca="1" si="9"/>
        <v>732053</v>
      </c>
      <c r="Q9" t="str">
        <f t="shared" ca="1" si="10"/>
        <v>2018-10-07</v>
      </c>
      <c r="R9" t="str">
        <f t="shared" ca="1" si="10"/>
        <v>2018-01-31</v>
      </c>
      <c r="S9" t="s">
        <v>6662</v>
      </c>
      <c r="T9" t="s">
        <v>76</v>
      </c>
      <c r="U9" t="s">
        <v>76</v>
      </c>
      <c r="V9" t="s">
        <v>76</v>
      </c>
      <c r="W9" t="s">
        <v>6508</v>
      </c>
      <c r="X9" t="s">
        <v>6508</v>
      </c>
      <c r="Y9" t="s">
        <v>6508</v>
      </c>
      <c r="Z9" t="s">
        <v>6508</v>
      </c>
    </row>
    <row r="10" spans="1:26" x14ac:dyDescent="0.3">
      <c r="A10" t="s">
        <v>7</v>
      </c>
      <c r="B10" t="s">
        <v>3184</v>
      </c>
      <c r="C10">
        <f t="shared" si="3"/>
        <v>200008</v>
      </c>
      <c r="D10" t="str">
        <f t="shared" ca="1" si="0"/>
        <v>2014-09-18</v>
      </c>
      <c r="E10">
        <f>IFERROR(VLOOKUP(B10,'Contacts.csv'!C:D,2,FALSE),"")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>VLOOKUP(I10,LocalAreas.csv!F:J,5,FALSE)</f>
        <v>200075</v>
      </c>
      <c r="I10" s="1" t="s">
        <v>6452</v>
      </c>
      <c r="J10" t="str">
        <f t="shared" si="1"/>
        <v>rg:{'id':'200075'}</v>
      </c>
      <c r="K10" t="str">
        <f t="shared" si="2"/>
        <v>BODY</v>
      </c>
      <c r="M10">
        <f t="shared" ca="1" si="6"/>
        <v>12277</v>
      </c>
      <c r="N10" t="str">
        <f t="shared" ca="1" si="7"/>
        <v>rg:True</v>
      </c>
      <c r="O10" t="str">
        <f t="shared" ca="1" si="8"/>
        <v>rg:False</v>
      </c>
      <c r="P10">
        <f t="shared" ca="1" si="9"/>
        <v>732140</v>
      </c>
      <c r="Q10" t="str">
        <f t="shared" ca="1" si="10"/>
        <v>2017-12-26</v>
      </c>
      <c r="R10" t="str">
        <f t="shared" ca="1" si="10"/>
        <v>2018-04-11</v>
      </c>
      <c r="S10" t="s">
        <v>6660</v>
      </c>
      <c r="T10" t="s">
        <v>76</v>
      </c>
      <c r="U10" t="s">
        <v>76</v>
      </c>
      <c r="V10" t="s">
        <v>76</v>
      </c>
      <c r="W10" t="s">
        <v>6508</v>
      </c>
      <c r="X10" t="s">
        <v>6508</v>
      </c>
      <c r="Y10" t="s">
        <v>6508</v>
      </c>
      <c r="Z10" t="s">
        <v>6508</v>
      </c>
    </row>
    <row r="11" spans="1:26" x14ac:dyDescent="0.3">
      <c r="A11" t="s">
        <v>7</v>
      </c>
      <c r="B11" t="s">
        <v>3221</v>
      </c>
      <c r="C11">
        <f t="shared" si="3"/>
        <v>200009</v>
      </c>
      <c r="D11" t="str">
        <f t="shared" ca="1" si="0"/>
        <v>2007-09-17</v>
      </c>
      <c r="E11">
        <f>IFERROR(VLOOKUP(B11,'Contacts.csv'!C:D,2,FALSE),"")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>VLOOKUP(I11,LocalAreas.csv!F:J,5,FALSE)</f>
        <v>200075</v>
      </c>
      <c r="I11" s="1" t="s">
        <v>6452</v>
      </c>
      <c r="J11" t="str">
        <f t="shared" si="1"/>
        <v>rg:{'id':'200075'}</v>
      </c>
      <c r="K11" t="str">
        <f t="shared" si="2"/>
        <v>BREN</v>
      </c>
      <c r="M11">
        <f t="shared" ca="1" si="6"/>
        <v>18626</v>
      </c>
      <c r="N11" t="str">
        <f t="shared" ca="1" si="7"/>
        <v>rg:True</v>
      </c>
      <c r="O11" t="str">
        <f t="shared" ca="1" si="8"/>
        <v>rg:False</v>
      </c>
      <c r="P11">
        <f t="shared" ca="1" si="9"/>
        <v>732066</v>
      </c>
      <c r="Q11" t="str">
        <f t="shared" ca="1" si="10"/>
        <v>2018-04-10</v>
      </c>
      <c r="R11" t="str">
        <f t="shared" ca="1" si="10"/>
        <v>2018-02-11</v>
      </c>
      <c r="S11" t="s">
        <v>6660</v>
      </c>
      <c r="T11" t="s">
        <v>76</v>
      </c>
      <c r="U11" t="s">
        <v>76</v>
      </c>
      <c r="V11" t="s">
        <v>76</v>
      </c>
      <c r="W11" t="s">
        <v>6508</v>
      </c>
      <c r="X11" t="s">
        <v>6508</v>
      </c>
      <c r="Y11" t="s">
        <v>6508</v>
      </c>
      <c r="Z11" t="s">
        <v>6508</v>
      </c>
    </row>
    <row r="12" spans="1:26" x14ac:dyDescent="0.3">
      <c r="A12" t="s">
        <v>7</v>
      </c>
      <c r="B12" t="s">
        <v>3237</v>
      </c>
      <c r="C12">
        <f t="shared" si="3"/>
        <v>200010</v>
      </c>
      <c r="D12" t="str">
        <f t="shared" ca="1" si="0"/>
        <v>2014-08-19</v>
      </c>
      <c r="E12">
        <f>IFERROR(VLOOKUP(B12,'Contacts.csv'!C:D,2,FALSE),"")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>VLOOKUP(I12,LocalAreas.csv!F:J,5,FALSE)</f>
        <v>200075</v>
      </c>
      <c r="I12" s="1" t="s">
        <v>6452</v>
      </c>
      <c r="J12" t="str">
        <f t="shared" si="1"/>
        <v>rg:{'id':'200075'}</v>
      </c>
      <c r="K12" t="str">
        <f t="shared" si="2"/>
        <v>BRIT</v>
      </c>
      <c r="M12">
        <f t="shared" ca="1" si="6"/>
        <v>12436</v>
      </c>
      <c r="N12" t="str">
        <f t="shared" ca="1" si="7"/>
        <v>rg:True</v>
      </c>
      <c r="O12" t="str">
        <f t="shared" ca="1" si="8"/>
        <v>rg:False</v>
      </c>
      <c r="P12">
        <f t="shared" ca="1" si="9"/>
        <v>732041</v>
      </c>
      <c r="Q12" t="str">
        <f t="shared" ca="1" si="10"/>
        <v>2018-04-12</v>
      </c>
      <c r="R12" t="str">
        <f t="shared" ca="1" si="10"/>
        <v>2018-02-27</v>
      </c>
      <c r="S12" t="s">
        <v>6660</v>
      </c>
      <c r="T12" t="s">
        <v>76</v>
      </c>
      <c r="U12" t="s">
        <v>76</v>
      </c>
      <c r="V12" t="s">
        <v>76</v>
      </c>
      <c r="W12" t="s">
        <v>6508</v>
      </c>
      <c r="X12" t="s">
        <v>6508</v>
      </c>
      <c r="Y12" t="s">
        <v>6508</v>
      </c>
      <c r="Z12" t="s">
        <v>6508</v>
      </c>
    </row>
    <row r="13" spans="1:26" x14ac:dyDescent="0.3">
      <c r="A13" t="s">
        <v>7</v>
      </c>
      <c r="B13" t="s">
        <v>4052</v>
      </c>
      <c r="C13">
        <f t="shared" si="3"/>
        <v>200011</v>
      </c>
      <c r="D13" t="str">
        <f t="shared" ca="1" si="0"/>
        <v>2012-10-05</v>
      </c>
      <c r="E13">
        <f>IFERROR(VLOOKUP(B13,'Contacts.csv'!C:D,2,FALSE),"")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>VLOOKUP(I13,LocalAreas.csv!F:J,5,FALSE)</f>
        <v>200075</v>
      </c>
      <c r="I13" s="1" t="s">
        <v>6452</v>
      </c>
      <c r="J13" t="str">
        <f t="shared" si="1"/>
        <v>rg:{'id':'200075'}</v>
      </c>
      <c r="K13" t="str">
        <f t="shared" si="2"/>
        <v>BUIL</v>
      </c>
      <c r="M13">
        <f t="shared" ca="1" si="6"/>
        <v>13692</v>
      </c>
      <c r="N13" t="str">
        <f t="shared" ca="1" si="7"/>
        <v>rg:True</v>
      </c>
      <c r="O13" t="str">
        <f t="shared" ca="1" si="8"/>
        <v>rg:False</v>
      </c>
      <c r="P13">
        <f t="shared" ca="1" si="9"/>
        <v>732004</v>
      </c>
      <c r="Q13" t="str">
        <f t="shared" ca="1" si="10"/>
        <v>2018-05-31</v>
      </c>
      <c r="R13" t="str">
        <f ca="1">TEXT(TODAY()+RANDBETWEEN(-10,350),"YYYY-MM-DD")</f>
        <v>2018-04-07</v>
      </c>
      <c r="S13" t="s">
        <v>6661</v>
      </c>
      <c r="T13" t="s">
        <v>5387</v>
      </c>
      <c r="U13" t="s">
        <v>6663</v>
      </c>
      <c r="V13" t="str">
        <f ca="1">TEXT(TODAY()-RANDBETWEEN(10,350),"YYYY-MM-DD")</f>
        <v>2017-07-17</v>
      </c>
      <c r="W13" t="s">
        <v>6508</v>
      </c>
      <c r="X13" t="s">
        <v>6508</v>
      </c>
      <c r="Y13" t="s">
        <v>6508</v>
      </c>
      <c r="Z13" t="s">
        <v>6508</v>
      </c>
    </row>
    <row r="14" spans="1:26" x14ac:dyDescent="0.3">
      <c r="A14" t="s">
        <v>7</v>
      </c>
      <c r="B14" t="s">
        <v>3869</v>
      </c>
      <c r="C14">
        <f t="shared" si="3"/>
        <v>200012</v>
      </c>
      <c r="D14" t="str">
        <f t="shared" ca="1" si="0"/>
        <v>2009-12-06</v>
      </c>
      <c r="E14">
        <f>IFERROR(VLOOKUP(B14,'Contacts.csv'!C:D,2,FALSE),"")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>VLOOKUP(I14,LocalAreas.csv!F:J,5,FALSE)</f>
        <v>200075</v>
      </c>
      <c r="I14" s="1" t="s">
        <v>6452</v>
      </c>
      <c r="J14" t="str">
        <f t="shared" si="1"/>
        <v>rg:{'id':'200075'}</v>
      </c>
      <c r="K14" t="str">
        <f t="shared" si="2"/>
        <v>CARD</v>
      </c>
      <c r="M14">
        <f t="shared" ca="1" si="6"/>
        <v>12279</v>
      </c>
      <c r="N14" t="str">
        <f t="shared" ca="1" si="7"/>
        <v>rg:True</v>
      </c>
      <c r="O14" t="str">
        <f t="shared" ca="1" si="8"/>
        <v>rg:False</v>
      </c>
      <c r="P14">
        <f t="shared" ca="1" si="9"/>
        <v>732020</v>
      </c>
      <c r="Q14" t="str">
        <f t="shared" ca="1" si="10"/>
        <v>2018-06-06</v>
      </c>
      <c r="R14" t="str">
        <f t="shared" ca="1" si="10"/>
        <v>2018-04-12</v>
      </c>
      <c r="S14" t="s">
        <v>6660</v>
      </c>
      <c r="T14" t="s">
        <v>76</v>
      </c>
      <c r="U14" t="s">
        <v>76</v>
      </c>
      <c r="V14" t="s">
        <v>76</v>
      </c>
      <c r="W14" t="s">
        <v>6508</v>
      </c>
      <c r="X14" t="s">
        <v>6508</v>
      </c>
      <c r="Y14" t="s">
        <v>6508</v>
      </c>
      <c r="Z14" t="s">
        <v>6508</v>
      </c>
    </row>
    <row r="15" spans="1:26" x14ac:dyDescent="0.3">
      <c r="A15" t="s">
        <v>7</v>
      </c>
      <c r="B15" t="s">
        <v>4430</v>
      </c>
      <c r="C15">
        <f t="shared" si="3"/>
        <v>200013</v>
      </c>
      <c r="D15" t="str">
        <f t="shared" ca="1" si="0"/>
        <v>2008-02-09</v>
      </c>
      <c r="E15">
        <f>IFERROR(VLOOKUP(B15,'Contacts.csv'!C:D,2,FALSE),"")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>VLOOKUP(I15,LocalAreas.csv!F:J,5,FALSE)</f>
        <v>200075</v>
      </c>
      <c r="I15" s="1" t="s">
        <v>6452</v>
      </c>
      <c r="J15" t="str">
        <f t="shared" si="1"/>
        <v>rg:{'id':'200075'}</v>
      </c>
      <c r="K15" t="str">
        <f t="shared" si="2"/>
        <v>CAST</v>
      </c>
      <c r="M15">
        <f t="shared" ca="1" si="6"/>
        <v>15458</v>
      </c>
      <c r="N15" t="str">
        <f t="shared" ca="1" si="7"/>
        <v>rg:True</v>
      </c>
      <c r="O15" t="str">
        <f t="shared" ca="1" si="8"/>
        <v>rg:False</v>
      </c>
      <c r="P15">
        <f t="shared" ca="1" si="9"/>
        <v>732099</v>
      </c>
      <c r="Q15" t="str">
        <f t="shared" ca="1" si="10"/>
        <v>2018-10-11</v>
      </c>
      <c r="R15" t="str">
        <f t="shared" ca="1" si="10"/>
        <v>2018-07-22</v>
      </c>
      <c r="S15" t="s">
        <v>6660</v>
      </c>
      <c r="T15" t="s">
        <v>76</v>
      </c>
      <c r="U15" t="s">
        <v>76</v>
      </c>
      <c r="V15" t="s">
        <v>76</v>
      </c>
      <c r="W15" t="s">
        <v>6508</v>
      </c>
      <c r="X15" t="s">
        <v>6508</v>
      </c>
      <c r="Y15" t="s">
        <v>6508</v>
      </c>
      <c r="Z15" t="s">
        <v>6508</v>
      </c>
    </row>
    <row r="16" spans="1:26" x14ac:dyDescent="0.3">
      <c r="A16" t="s">
        <v>7</v>
      </c>
      <c r="B16" t="s">
        <v>3665</v>
      </c>
      <c r="C16">
        <f t="shared" si="3"/>
        <v>200014</v>
      </c>
      <c r="D16" t="str">
        <f t="shared" ca="1" si="0"/>
        <v>2012-08-17</v>
      </c>
      <c r="E16">
        <f>IFERROR(VLOOKUP(B16,'Contacts.csv'!C:D,2,FALSE),"")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>VLOOKUP(I16,LocalAreas.csv!F:J,5,FALSE)</f>
        <v>200075</v>
      </c>
      <c r="I16" s="1" t="s">
        <v>6452</v>
      </c>
      <c r="J16" t="str">
        <f t="shared" si="1"/>
        <v>rg:{'id':'200075'}</v>
      </c>
      <c r="K16" t="str">
        <f t="shared" si="2"/>
        <v>CASU</v>
      </c>
      <c r="M16">
        <f t="shared" ca="1" si="6"/>
        <v>16053</v>
      </c>
      <c r="N16" t="str">
        <f t="shared" ca="1" si="7"/>
        <v>rg:True</v>
      </c>
      <c r="O16" t="str">
        <f t="shared" ca="1" si="8"/>
        <v>rg:False</v>
      </c>
      <c r="P16">
        <f t="shared" ca="1" si="9"/>
        <v>732084</v>
      </c>
      <c r="Q16" t="str">
        <f t="shared" ca="1" si="10"/>
        <v>2018-11-10</v>
      </c>
      <c r="R16" t="str">
        <f t="shared" ca="1" si="10"/>
        <v>2018-08-07</v>
      </c>
      <c r="S16" t="s">
        <v>6660</v>
      </c>
      <c r="T16" t="s">
        <v>76</v>
      </c>
      <c r="U16" t="s">
        <v>76</v>
      </c>
      <c r="V16" t="s">
        <v>76</v>
      </c>
      <c r="W16" t="s">
        <v>6508</v>
      </c>
      <c r="X16" t="s">
        <v>6508</v>
      </c>
      <c r="Y16" t="s">
        <v>6508</v>
      </c>
      <c r="Z16" t="s">
        <v>6508</v>
      </c>
    </row>
    <row r="17" spans="1:26" x14ac:dyDescent="0.3">
      <c r="A17" t="s">
        <v>7</v>
      </c>
      <c r="B17" t="s">
        <v>4156</v>
      </c>
      <c r="C17">
        <f t="shared" si="3"/>
        <v>200015</v>
      </c>
      <c r="D17" t="str">
        <f t="shared" ca="1" si="0"/>
        <v>2011-05-24</v>
      </c>
      <c r="E17">
        <f>IFERROR(VLOOKUP(B17,'Contacts.csv'!C:D,2,FALSE),"")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>VLOOKUP(I17,LocalAreas.csv!F:J,5,FALSE)</f>
        <v>200075</v>
      </c>
      <c r="I17" s="1" t="s">
        <v>6452</v>
      </c>
      <c r="J17" t="str">
        <f t="shared" si="1"/>
        <v>rg:{'id':'200075'}</v>
      </c>
      <c r="K17" t="str">
        <f t="shared" si="2"/>
        <v>CHAS</v>
      </c>
      <c r="L17" t="s">
        <v>6659</v>
      </c>
      <c r="M17">
        <f t="shared" ca="1" si="6"/>
        <v>15722</v>
      </c>
      <c r="N17" t="str">
        <f t="shared" ca="1" si="7"/>
        <v>rg:True</v>
      </c>
      <c r="O17" t="str">
        <f t="shared" ca="1" si="8"/>
        <v>rg:False</v>
      </c>
      <c r="P17">
        <f t="shared" ca="1" si="9"/>
        <v>732143</v>
      </c>
      <c r="Q17" t="str">
        <f t="shared" ca="1" si="10"/>
        <v>2017-12-27</v>
      </c>
      <c r="R17" t="str">
        <f t="shared" ca="1" si="10"/>
        <v>2018-01-04</v>
      </c>
      <c r="S17" t="s">
        <v>6660</v>
      </c>
      <c r="T17" t="s">
        <v>76</v>
      </c>
      <c r="U17" t="s">
        <v>76</v>
      </c>
      <c r="V17" t="s">
        <v>76</v>
      </c>
      <c r="W17" t="s">
        <v>6508</v>
      </c>
      <c r="X17" t="s">
        <v>6508</v>
      </c>
      <c r="Y17" t="s">
        <v>6508</v>
      </c>
      <c r="Z17" t="s">
        <v>6508</v>
      </c>
    </row>
    <row r="18" spans="1:26" x14ac:dyDescent="0.3">
      <c r="A18" t="s">
        <v>7</v>
      </c>
      <c r="B18" t="s">
        <v>4878</v>
      </c>
      <c r="C18">
        <f t="shared" si="3"/>
        <v>200016</v>
      </c>
      <c r="D18" t="str">
        <f t="shared" ca="1" si="0"/>
        <v>2005-11-24</v>
      </c>
      <c r="E18">
        <f>IFERROR(VLOOKUP(B18,'Contacts.csv'!C:D,2,FALSE),"")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>VLOOKUP(I18,LocalAreas.csv!F:J,5,FALSE)</f>
        <v>200076</v>
      </c>
      <c r="I18" s="1" t="s">
        <v>6453</v>
      </c>
      <c r="J18" t="str">
        <f t="shared" si="1"/>
        <v>rg:{'id':'200076'}</v>
      </c>
      <c r="K18" t="str">
        <f t="shared" si="2"/>
        <v>CHIL</v>
      </c>
      <c r="L18" t="s">
        <v>6658</v>
      </c>
      <c r="M18">
        <f t="shared" ca="1" si="6"/>
        <v>13291</v>
      </c>
      <c r="N18" t="str">
        <f t="shared" ca="1" si="7"/>
        <v>rg:True</v>
      </c>
      <c r="O18" t="str">
        <f t="shared" ca="1" si="8"/>
        <v>rg:False</v>
      </c>
      <c r="P18">
        <f t="shared" ca="1" si="9"/>
        <v>732018</v>
      </c>
      <c r="Q18" t="str">
        <f t="shared" ca="1" si="10"/>
        <v>2018-06-19</v>
      </c>
      <c r="R18" t="str">
        <f t="shared" ca="1" si="10"/>
        <v>2018-06-08</v>
      </c>
      <c r="S18" t="s">
        <v>6662</v>
      </c>
      <c r="T18" t="s">
        <v>76</v>
      </c>
      <c r="U18" t="s">
        <v>76</v>
      </c>
      <c r="V18" t="s">
        <v>76</v>
      </c>
      <c r="W18" t="s">
        <v>6508</v>
      </c>
      <c r="X18" t="s">
        <v>6508</v>
      </c>
      <c r="Y18" t="s">
        <v>6508</v>
      </c>
      <c r="Z18" t="s">
        <v>6508</v>
      </c>
    </row>
    <row r="19" spans="1:26" x14ac:dyDescent="0.3">
      <c r="A19" t="s">
        <v>7</v>
      </c>
      <c r="B19" t="s">
        <v>4732</v>
      </c>
      <c r="C19">
        <f t="shared" si="3"/>
        <v>200017</v>
      </c>
      <c r="D19" t="str">
        <f t="shared" ca="1" si="0"/>
        <v>2007-07-28</v>
      </c>
      <c r="E19">
        <f>IFERROR(VLOOKUP(B19,'Contacts.csv'!C:D,2,FALSE),"")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>VLOOKUP(I19,LocalAreas.csv!F:J,5,FALSE)</f>
        <v>200076</v>
      </c>
      <c r="I19" s="1" t="s">
        <v>6453</v>
      </c>
      <c r="J19" t="str">
        <f t="shared" si="1"/>
        <v>rg:{'id':'200076'}</v>
      </c>
      <c r="K19" t="s">
        <v>7604</v>
      </c>
      <c r="M19">
        <f t="shared" ca="1" si="6"/>
        <v>14355</v>
      </c>
      <c r="N19" t="str">
        <f t="shared" ca="1" si="7"/>
        <v>rg:True</v>
      </c>
      <c r="O19" t="str">
        <f t="shared" ca="1" si="8"/>
        <v>rg:False</v>
      </c>
      <c r="P19">
        <f t="shared" ca="1" si="9"/>
        <v>732189</v>
      </c>
      <c r="Q19" t="str">
        <f t="shared" ca="1" si="10"/>
        <v>2018-07-06</v>
      </c>
      <c r="R19" t="str">
        <f t="shared" ca="1" si="10"/>
        <v>2017-12-18</v>
      </c>
      <c r="S19" t="s">
        <v>6660</v>
      </c>
      <c r="T19" t="s">
        <v>76</v>
      </c>
      <c r="U19" t="s">
        <v>76</v>
      </c>
      <c r="V19" t="s">
        <v>76</v>
      </c>
      <c r="W19" t="s">
        <v>6508</v>
      </c>
      <c r="X19" t="s">
        <v>6508</v>
      </c>
      <c r="Y19" t="s">
        <v>6508</v>
      </c>
      <c r="Z19" t="s">
        <v>6508</v>
      </c>
    </row>
    <row r="20" spans="1:26" x14ac:dyDescent="0.3">
      <c r="A20" t="s">
        <v>7</v>
      </c>
      <c r="B20" t="s">
        <v>3977</v>
      </c>
      <c r="C20">
        <f t="shared" si="3"/>
        <v>200018</v>
      </c>
      <c r="D20" t="str">
        <f t="shared" ca="1" si="0"/>
        <v>2004-09-06</v>
      </c>
      <c r="E20">
        <f>IFERROR(VLOOKUP(B20,'Contacts.csv'!C:D,2,FALSE),"")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>VLOOKUP(I20,LocalAreas.csv!F:J,5,FALSE)</f>
        <v>200076</v>
      </c>
      <c r="I20" s="1" t="s">
        <v>6453</v>
      </c>
      <c r="J20" t="str">
        <f t="shared" si="1"/>
        <v>rg:{'id':'200076'}</v>
      </c>
      <c r="K20" t="str">
        <f t="shared" ref="K20:K66" si="11">UPPER(LEFT(SUBSTITUTE(SUBSTITUTE(SUBSTITUTE(B20,"The","")," ",""),".",""),4))</f>
        <v>CIRC</v>
      </c>
      <c r="M20">
        <f t="shared" ca="1" si="6"/>
        <v>13706</v>
      </c>
      <c r="N20" t="str">
        <f t="shared" ca="1" si="7"/>
        <v>rg:True</v>
      </c>
      <c r="O20" t="str">
        <f t="shared" ca="1" si="8"/>
        <v>rg:False</v>
      </c>
      <c r="P20">
        <f t="shared" ca="1" si="9"/>
        <v>732186</v>
      </c>
      <c r="Q20" t="str">
        <f t="shared" ca="1" si="10"/>
        <v>2018-11-22</v>
      </c>
      <c r="R20" t="str">
        <f t="shared" ca="1" si="10"/>
        <v>2018-01-16</v>
      </c>
      <c r="S20" t="s">
        <v>6660</v>
      </c>
      <c r="T20" t="s">
        <v>76</v>
      </c>
      <c r="U20" t="s">
        <v>76</v>
      </c>
      <c r="V20" t="s">
        <v>76</v>
      </c>
      <c r="W20" t="s">
        <v>6508</v>
      </c>
      <c r="X20" t="s">
        <v>6508</v>
      </c>
      <c r="Y20" t="s">
        <v>6508</v>
      </c>
      <c r="Z20" t="s">
        <v>6508</v>
      </c>
    </row>
    <row r="21" spans="1:26" x14ac:dyDescent="0.3">
      <c r="A21" t="s">
        <v>7</v>
      </c>
      <c r="B21" t="s">
        <v>3882</v>
      </c>
      <c r="C21">
        <f t="shared" si="3"/>
        <v>200019</v>
      </c>
      <c r="D21" t="str">
        <f t="shared" ca="1" si="0"/>
        <v>2014-09-15</v>
      </c>
      <c r="E21">
        <f>IFERROR(VLOOKUP(B21,'Contacts.csv'!C:D,2,FALSE),"")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>VLOOKUP(I21,LocalAreas.csv!F:J,5,FALSE)</f>
        <v>200076</v>
      </c>
      <c r="I21" s="1" t="s">
        <v>6453</v>
      </c>
      <c r="J21" t="str">
        <f t="shared" si="1"/>
        <v>rg:{'id':'200076'}</v>
      </c>
      <c r="K21" t="str">
        <f t="shared" si="11"/>
        <v>COCO</v>
      </c>
      <c r="M21">
        <f t="shared" ca="1" si="6"/>
        <v>15807</v>
      </c>
      <c r="N21" t="str">
        <f t="shared" ca="1" si="7"/>
        <v>rg:True</v>
      </c>
      <c r="O21" t="str">
        <f t="shared" ca="1" si="8"/>
        <v>rg:False</v>
      </c>
      <c r="P21">
        <f t="shared" ca="1" si="9"/>
        <v>732114</v>
      </c>
      <c r="Q21" t="str">
        <f t="shared" ca="1" si="10"/>
        <v>2018-06-08</v>
      </c>
      <c r="R21" t="str">
        <f t="shared" ca="1" si="10"/>
        <v>2018-04-26</v>
      </c>
      <c r="S21" t="s">
        <v>6660</v>
      </c>
      <c r="T21" t="s">
        <v>76</v>
      </c>
      <c r="U21" t="s">
        <v>76</v>
      </c>
      <c r="V21" t="s">
        <v>76</v>
      </c>
      <c r="W21" t="s">
        <v>6508</v>
      </c>
      <c r="X21" t="s">
        <v>6508</v>
      </c>
      <c r="Y21" t="s">
        <v>6508</v>
      </c>
      <c r="Z21" t="s">
        <v>6508</v>
      </c>
    </row>
    <row r="22" spans="1:26" x14ac:dyDescent="0.3">
      <c r="A22" t="s">
        <v>7</v>
      </c>
      <c r="B22" t="s">
        <v>4536</v>
      </c>
      <c r="C22">
        <f t="shared" si="3"/>
        <v>200020</v>
      </c>
      <c r="D22" t="str">
        <f t="shared" ca="1" si="0"/>
        <v>2013-06-29</v>
      </c>
      <c r="E22">
        <f>IFERROR(VLOOKUP(B22,'Contacts.csv'!C:D,2,FALSE),"")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>VLOOKUP(I22,LocalAreas.csv!F:J,5,FALSE)</f>
        <v>200076</v>
      </c>
      <c r="I22" s="1" t="s">
        <v>6453</v>
      </c>
      <c r="J22" t="str">
        <f t="shared" si="1"/>
        <v>rg:{'id':'200076'}</v>
      </c>
      <c r="K22" t="str">
        <f t="shared" si="11"/>
        <v>DAVE</v>
      </c>
      <c r="M22">
        <f t="shared" ca="1" si="6"/>
        <v>11188</v>
      </c>
      <c r="N22" t="str">
        <f t="shared" ca="1" si="7"/>
        <v>rg:True</v>
      </c>
      <c r="O22" t="str">
        <f t="shared" ca="1" si="8"/>
        <v>rg:False</v>
      </c>
      <c r="P22">
        <f t="shared" ca="1" si="9"/>
        <v>732131</v>
      </c>
      <c r="Q22" t="str">
        <f t="shared" ca="1" si="10"/>
        <v>2018-09-17</v>
      </c>
      <c r="R22" t="str">
        <f t="shared" ca="1" si="10"/>
        <v>2018-07-20</v>
      </c>
      <c r="S22" t="s">
        <v>6660</v>
      </c>
      <c r="T22" t="s">
        <v>76</v>
      </c>
      <c r="U22" t="s">
        <v>76</v>
      </c>
      <c r="V22" t="s">
        <v>76</v>
      </c>
      <c r="W22" t="s">
        <v>6508</v>
      </c>
      <c r="X22" t="s">
        <v>6508</v>
      </c>
      <c r="Y22" t="s">
        <v>6508</v>
      </c>
      <c r="Z22" t="s">
        <v>6508</v>
      </c>
    </row>
    <row r="23" spans="1:26" x14ac:dyDescent="0.3">
      <c r="A23" t="s">
        <v>7</v>
      </c>
      <c r="B23" t="s">
        <v>4399</v>
      </c>
      <c r="C23">
        <f t="shared" si="3"/>
        <v>200021</v>
      </c>
      <c r="D23" t="str">
        <f t="shared" ca="1" si="0"/>
        <v>2015-04-05</v>
      </c>
      <c r="E23">
        <f>IFERROR(VLOOKUP(B23,'Contacts.csv'!C:D,2,FALSE),"")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>VLOOKUP(I23,LocalAreas.csv!F:J,5,FALSE)</f>
        <v>200076</v>
      </c>
      <c r="I23" s="1" t="s">
        <v>6453</v>
      </c>
      <c r="J23" t="str">
        <f t="shared" si="1"/>
        <v>rg:{'id':'200076'}</v>
      </c>
      <c r="K23" t="str">
        <f t="shared" si="11"/>
        <v>DESM</v>
      </c>
      <c r="M23">
        <f t="shared" ca="1" si="6"/>
        <v>18065</v>
      </c>
      <c r="N23" t="str">
        <f t="shared" ca="1" si="7"/>
        <v>rg:True</v>
      </c>
      <c r="O23" t="str">
        <f t="shared" ca="1" si="8"/>
        <v>rg:False</v>
      </c>
      <c r="P23">
        <f t="shared" ca="1" si="9"/>
        <v>732098</v>
      </c>
      <c r="Q23" t="str">
        <f t="shared" ca="1" si="10"/>
        <v>2018-12-02</v>
      </c>
      <c r="R23" t="str">
        <f t="shared" ca="1" si="10"/>
        <v>2018-11-29</v>
      </c>
      <c r="S23" t="s">
        <v>6660</v>
      </c>
      <c r="T23" t="s">
        <v>76</v>
      </c>
      <c r="U23" t="s">
        <v>76</v>
      </c>
      <c r="V23" t="s">
        <v>76</v>
      </c>
      <c r="W23" t="s">
        <v>6508</v>
      </c>
      <c r="X23" t="s">
        <v>6508</v>
      </c>
      <c r="Y23" t="s">
        <v>6508</v>
      </c>
      <c r="Z23" t="s">
        <v>6508</v>
      </c>
    </row>
    <row r="24" spans="1:26" x14ac:dyDescent="0.3">
      <c r="A24" t="s">
        <v>7</v>
      </c>
      <c r="B24" t="s">
        <v>3648</v>
      </c>
      <c r="C24">
        <f t="shared" si="3"/>
        <v>200022</v>
      </c>
      <c r="D24" t="str">
        <f t="shared" ca="1" si="0"/>
        <v>2016-03-09</v>
      </c>
      <c r="E24">
        <f>IFERROR(VLOOKUP(B24,'Contacts.csv'!C:D,2,FALSE),"")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>VLOOKUP(I24,LocalAreas.csv!F:J,5,FALSE)</f>
        <v>200076</v>
      </c>
      <c r="I24" s="1" t="s">
        <v>6453</v>
      </c>
      <c r="J24" t="str">
        <f t="shared" si="1"/>
        <v>rg:{'id':'200076'}</v>
      </c>
      <c r="K24" t="str">
        <f t="shared" si="11"/>
        <v>DEST</v>
      </c>
      <c r="M24">
        <f t="shared" ca="1" si="6"/>
        <v>15052</v>
      </c>
      <c r="N24" t="str">
        <f t="shared" ca="1" si="7"/>
        <v>rg:True</v>
      </c>
      <c r="O24" t="str">
        <f t="shared" ca="1" si="8"/>
        <v>rg:False</v>
      </c>
      <c r="P24">
        <f t="shared" ca="1" si="9"/>
        <v>732169</v>
      </c>
      <c r="Q24" t="str">
        <f t="shared" ca="1" si="10"/>
        <v>2018-09-20</v>
      </c>
      <c r="R24" t="str">
        <f t="shared" ca="1" si="10"/>
        <v>2018-11-29</v>
      </c>
      <c r="S24" t="s">
        <v>6660</v>
      </c>
      <c r="T24" t="s">
        <v>76</v>
      </c>
      <c r="U24" t="s">
        <v>76</v>
      </c>
      <c r="V24" t="s">
        <v>76</v>
      </c>
      <c r="W24" t="s">
        <v>6508</v>
      </c>
      <c r="X24" t="s">
        <v>6508</v>
      </c>
      <c r="Y24" t="s">
        <v>6508</v>
      </c>
      <c r="Z24" t="s">
        <v>6508</v>
      </c>
    </row>
    <row r="25" spans="1:26" x14ac:dyDescent="0.3">
      <c r="A25" t="s">
        <v>7</v>
      </c>
      <c r="B25" t="s">
        <v>3407</v>
      </c>
      <c r="C25">
        <f t="shared" si="3"/>
        <v>200023</v>
      </c>
      <c r="D25" t="str">
        <f t="shared" ca="1" si="0"/>
        <v>2017-06-04</v>
      </c>
      <c r="E25">
        <f>IFERROR(VLOOKUP(B25,'Contacts.csv'!C:D,2,FALSE),"")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>VLOOKUP(I25,LocalAreas.csv!F:J,5,FALSE)</f>
        <v>200076</v>
      </c>
      <c r="I25" s="1" t="s">
        <v>6453</v>
      </c>
      <c r="J25" t="str">
        <f t="shared" si="1"/>
        <v>rg:{'id':'200076'}</v>
      </c>
      <c r="K25" t="str">
        <f t="shared" si="11"/>
        <v>EART</v>
      </c>
      <c r="M25">
        <f t="shared" ca="1" si="6"/>
        <v>14668</v>
      </c>
      <c r="N25" t="str">
        <f t="shared" ca="1" si="7"/>
        <v>rg:True</v>
      </c>
      <c r="O25" t="str">
        <f t="shared" ca="1" si="8"/>
        <v>rg:False</v>
      </c>
      <c r="P25">
        <f t="shared" ca="1" si="9"/>
        <v>732175</v>
      </c>
      <c r="Q25" t="str">
        <f t="shared" ca="1" si="10"/>
        <v>2018-03-26</v>
      </c>
      <c r="R25" t="str">
        <f t="shared" ca="1" si="10"/>
        <v>2018-10-19</v>
      </c>
      <c r="S25" t="s">
        <v>6662</v>
      </c>
      <c r="T25" t="s">
        <v>76</v>
      </c>
      <c r="U25" t="s">
        <v>76</v>
      </c>
      <c r="V25" t="s">
        <v>76</v>
      </c>
      <c r="W25" t="s">
        <v>6508</v>
      </c>
      <c r="X25" t="s">
        <v>6508</v>
      </c>
      <c r="Y25" t="s">
        <v>6508</v>
      </c>
      <c r="Z25" t="s">
        <v>6508</v>
      </c>
    </row>
    <row r="26" spans="1:26" x14ac:dyDescent="0.3">
      <c r="A26" t="s">
        <v>7</v>
      </c>
      <c r="B26" t="s">
        <v>3305</v>
      </c>
      <c r="C26">
        <f t="shared" si="3"/>
        <v>200024</v>
      </c>
      <c r="D26" t="str">
        <f t="shared" ca="1" si="0"/>
        <v>2014-06-10</v>
      </c>
      <c r="E26">
        <f>IFERROR(VLOOKUP(B26,'Contacts.csv'!C:D,2,FALSE),"")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>VLOOKUP(I26,LocalAreas.csv!F:J,5,FALSE)</f>
        <v>200076</v>
      </c>
      <c r="I26" s="1" t="s">
        <v>6453</v>
      </c>
      <c r="J26" t="str">
        <f t="shared" si="1"/>
        <v>rg:{'id':'200076'}</v>
      </c>
      <c r="K26" t="str">
        <f t="shared" si="11"/>
        <v>EDWA</v>
      </c>
      <c r="L26" t="s">
        <v>6658</v>
      </c>
      <c r="M26">
        <f t="shared" ca="1" si="6"/>
        <v>19504</v>
      </c>
      <c r="N26" t="str">
        <f t="shared" ca="1" si="7"/>
        <v>rg:True</v>
      </c>
      <c r="O26" t="str">
        <f t="shared" ca="1" si="8"/>
        <v>rg:False</v>
      </c>
      <c r="P26">
        <f t="shared" ca="1" si="9"/>
        <v>732140</v>
      </c>
      <c r="Q26" t="str">
        <f t="shared" ca="1" si="10"/>
        <v>2018-01-06</v>
      </c>
      <c r="R26" t="str">
        <f t="shared" ca="1" si="10"/>
        <v>2018-08-27</v>
      </c>
      <c r="S26" t="s">
        <v>6660</v>
      </c>
      <c r="T26" t="s">
        <v>76</v>
      </c>
      <c r="U26" t="s">
        <v>76</v>
      </c>
      <c r="V26" t="s">
        <v>76</v>
      </c>
      <c r="W26" t="s">
        <v>6508</v>
      </c>
      <c r="X26" t="s">
        <v>6508</v>
      </c>
      <c r="Y26" t="s">
        <v>6508</v>
      </c>
      <c r="Z26" t="s">
        <v>6508</v>
      </c>
    </row>
    <row r="27" spans="1:26" x14ac:dyDescent="0.3">
      <c r="A27" t="s">
        <v>7</v>
      </c>
      <c r="B27" t="s">
        <v>4700</v>
      </c>
      <c r="C27">
        <f t="shared" si="3"/>
        <v>200025</v>
      </c>
      <c r="D27" t="str">
        <f t="shared" ca="1" si="0"/>
        <v>2006-09-10</v>
      </c>
      <c r="E27">
        <f>IFERROR(VLOOKUP(B27,'Contacts.csv'!C:D,2,FALSE),"")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>VLOOKUP(I27,LocalAreas.csv!F:J,5,FALSE)</f>
        <v>200076</v>
      </c>
      <c r="I27" s="1" t="s">
        <v>6453</v>
      </c>
      <c r="J27" t="str">
        <f t="shared" si="1"/>
        <v>rg:{'id':'200076'}</v>
      </c>
      <c r="K27" t="str">
        <f t="shared" si="11"/>
        <v>ENVI</v>
      </c>
      <c r="L27" t="s">
        <v>6659</v>
      </c>
      <c r="M27">
        <f t="shared" ca="1" si="6"/>
        <v>15099</v>
      </c>
      <c r="N27" t="str">
        <f t="shared" ca="1" si="7"/>
        <v>rg:True</v>
      </c>
      <c r="O27" t="str">
        <f t="shared" ca="1" si="8"/>
        <v>rg:False</v>
      </c>
      <c r="P27">
        <f t="shared" ca="1" si="9"/>
        <v>732147</v>
      </c>
      <c r="Q27" t="str">
        <f t="shared" ca="1" si="10"/>
        <v>2018-10-01</v>
      </c>
      <c r="R27" t="str">
        <f t="shared" ca="1" si="10"/>
        <v>2018-02-15</v>
      </c>
      <c r="S27" t="s">
        <v>6660</v>
      </c>
      <c r="T27" t="s">
        <v>76</v>
      </c>
      <c r="U27" t="s">
        <v>76</v>
      </c>
      <c r="V27" t="s">
        <v>76</v>
      </c>
      <c r="W27" t="s">
        <v>6508</v>
      </c>
      <c r="X27" t="s">
        <v>6508</v>
      </c>
      <c r="Y27" t="s">
        <v>6508</v>
      </c>
      <c r="Z27" t="s">
        <v>6508</v>
      </c>
    </row>
    <row r="28" spans="1:26" x14ac:dyDescent="0.3">
      <c r="A28" t="s">
        <v>7</v>
      </c>
      <c r="B28" t="s">
        <v>3915</v>
      </c>
      <c r="C28">
        <f t="shared" si="3"/>
        <v>200026</v>
      </c>
      <c r="D28" t="str">
        <f t="shared" ca="1" si="0"/>
        <v>2012-12-10</v>
      </c>
      <c r="E28">
        <f>IFERROR(VLOOKUP(B28,'Contacts.csv'!C:D,2,FALSE),"")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>VLOOKUP(I28,LocalAreas.csv!F:J,5,FALSE)</f>
        <v>200076</v>
      </c>
      <c r="I28" s="1" t="s">
        <v>6453</v>
      </c>
      <c r="J28" t="str">
        <f t="shared" si="1"/>
        <v>rg:{'id':'200076'}</v>
      </c>
      <c r="K28" t="str">
        <f t="shared" si="11"/>
        <v>FAMI</v>
      </c>
      <c r="M28">
        <f t="shared" ca="1" si="6"/>
        <v>17700</v>
      </c>
      <c r="N28" t="str">
        <f t="shared" ca="1" si="7"/>
        <v>rg:True</v>
      </c>
      <c r="O28" t="str">
        <f t="shared" ca="1" si="8"/>
        <v>rg:False</v>
      </c>
      <c r="P28">
        <f t="shared" ca="1" si="9"/>
        <v>732127</v>
      </c>
      <c r="Q28" t="str">
        <f t="shared" ca="1" si="10"/>
        <v>2018-11-08</v>
      </c>
      <c r="R28" t="str">
        <f t="shared" ca="1" si="10"/>
        <v>2018-11-21</v>
      </c>
      <c r="S28" t="s">
        <v>6660</v>
      </c>
      <c r="T28" t="s">
        <v>76</v>
      </c>
      <c r="U28" t="s">
        <v>76</v>
      </c>
      <c r="V28" t="s">
        <v>76</v>
      </c>
      <c r="W28" t="s">
        <v>6508</v>
      </c>
      <c r="X28" t="s">
        <v>6508</v>
      </c>
      <c r="Y28" t="s">
        <v>6508</v>
      </c>
      <c r="Z28" t="s">
        <v>6508</v>
      </c>
    </row>
    <row r="29" spans="1:26" x14ac:dyDescent="0.3">
      <c r="A29" t="s">
        <v>7</v>
      </c>
      <c r="B29" t="s">
        <v>4340</v>
      </c>
      <c r="C29">
        <f t="shared" si="3"/>
        <v>200027</v>
      </c>
      <c r="D29" t="str">
        <f t="shared" ca="1" si="0"/>
        <v>2006-07-30</v>
      </c>
      <c r="E29">
        <f>IFERROR(VLOOKUP(B29,'Contacts.csv'!C:D,2,FALSE),"")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>VLOOKUP(I29,LocalAreas.csv!F:J,5,FALSE)</f>
        <v>200076</v>
      </c>
      <c r="I29" s="1" t="s">
        <v>6453</v>
      </c>
      <c r="J29" t="str">
        <f t="shared" si="1"/>
        <v>rg:{'id':'200076'}</v>
      </c>
      <c r="K29" t="str">
        <f t="shared" si="11"/>
        <v>FIRS</v>
      </c>
      <c r="M29">
        <f t="shared" ca="1" si="6"/>
        <v>12514</v>
      </c>
      <c r="N29" t="str">
        <f t="shared" ca="1" si="7"/>
        <v>rg:True</v>
      </c>
      <c r="O29" t="str">
        <f t="shared" ca="1" si="8"/>
        <v>rg:False</v>
      </c>
      <c r="P29">
        <f t="shared" ca="1" si="9"/>
        <v>732074</v>
      </c>
      <c r="Q29" t="str">
        <f t="shared" ca="1" si="10"/>
        <v>2018-09-29</v>
      </c>
      <c r="R29" t="str">
        <f t="shared" ca="1" si="10"/>
        <v>2018-07-04</v>
      </c>
      <c r="S29" t="s">
        <v>6660</v>
      </c>
      <c r="T29" t="s">
        <v>76</v>
      </c>
      <c r="U29" t="s">
        <v>76</v>
      </c>
      <c r="V29" t="s">
        <v>76</v>
      </c>
      <c r="W29" t="s">
        <v>6508</v>
      </c>
      <c r="X29" t="s">
        <v>6508</v>
      </c>
      <c r="Y29" t="s">
        <v>6508</v>
      </c>
      <c r="Z29" t="s">
        <v>6508</v>
      </c>
    </row>
    <row r="30" spans="1:26" x14ac:dyDescent="0.3">
      <c r="A30" t="s">
        <v>7</v>
      </c>
      <c r="B30" t="s">
        <v>4478</v>
      </c>
      <c r="C30">
        <f t="shared" si="3"/>
        <v>200028</v>
      </c>
      <c r="D30" t="str">
        <f t="shared" ca="1" si="0"/>
        <v>2014-10-30</v>
      </c>
      <c r="E30">
        <f>IFERROR(VLOOKUP(B30,'Contacts.csv'!C:D,2,FALSE),"")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>VLOOKUP(I30,LocalAreas.csv!F:J,5,FALSE)</f>
        <v>200076</v>
      </c>
      <c r="I30" s="1" t="s">
        <v>6453</v>
      </c>
      <c r="J30" t="str">
        <f t="shared" si="1"/>
        <v>rg:{'id':'200076'}</v>
      </c>
      <c r="K30" t="str">
        <f t="shared" si="11"/>
        <v>FISH</v>
      </c>
      <c r="M30">
        <f t="shared" ca="1" si="6"/>
        <v>10235</v>
      </c>
      <c r="N30" t="str">
        <f t="shared" ca="1" si="7"/>
        <v>rg:True</v>
      </c>
      <c r="O30" t="str">
        <f t="shared" ca="1" si="8"/>
        <v>rg:False</v>
      </c>
      <c r="P30">
        <f t="shared" ca="1" si="9"/>
        <v>732017</v>
      </c>
      <c r="Q30" t="str">
        <f t="shared" ca="1" si="10"/>
        <v>2018-06-06</v>
      </c>
      <c r="R30" t="str">
        <f t="shared" ca="1" si="10"/>
        <v>2018-01-18</v>
      </c>
      <c r="S30" t="s">
        <v>6660</v>
      </c>
      <c r="T30" t="s">
        <v>76</v>
      </c>
      <c r="U30" t="s">
        <v>76</v>
      </c>
      <c r="V30" t="s">
        <v>76</v>
      </c>
      <c r="W30" t="s">
        <v>6508</v>
      </c>
      <c r="X30" t="s">
        <v>6508</v>
      </c>
      <c r="Y30" t="s">
        <v>6508</v>
      </c>
      <c r="Z30" t="s">
        <v>6508</v>
      </c>
    </row>
    <row r="31" spans="1:26" x14ac:dyDescent="0.3">
      <c r="A31" t="s">
        <v>7</v>
      </c>
      <c r="B31" t="s">
        <v>3852</v>
      </c>
      <c r="C31">
        <f t="shared" si="3"/>
        <v>200029</v>
      </c>
      <c r="D31" t="str">
        <f t="shared" ca="1" si="0"/>
        <v>2005-06-08</v>
      </c>
      <c r="E31">
        <f>IFERROR(VLOOKUP(B31,'Contacts.csv'!C:D,2,FALSE),"")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>VLOOKUP(I31,LocalAreas.csv!F:J,5,FALSE)</f>
        <v>200076</v>
      </c>
      <c r="I31" s="1" t="s">
        <v>6453</v>
      </c>
      <c r="J31" t="str">
        <f t="shared" si="1"/>
        <v>rg:{'id':'200076'}</v>
      </c>
      <c r="K31" t="str">
        <f t="shared" si="11"/>
        <v>FOOT</v>
      </c>
      <c r="M31">
        <f t="shared" ca="1" si="6"/>
        <v>19017</v>
      </c>
      <c r="N31" t="str">
        <f t="shared" ca="1" si="7"/>
        <v>rg:True</v>
      </c>
      <c r="O31" t="str">
        <f t="shared" ca="1" si="8"/>
        <v>rg:False</v>
      </c>
      <c r="P31">
        <f t="shared" ca="1" si="9"/>
        <v>732191</v>
      </c>
      <c r="Q31" t="str">
        <f t="shared" ca="1" si="10"/>
        <v>2018-05-23</v>
      </c>
      <c r="R31" t="str">
        <f t="shared" ca="1" si="10"/>
        <v>2018-11-12</v>
      </c>
      <c r="S31" t="s">
        <v>6660</v>
      </c>
      <c r="T31" t="s">
        <v>76</v>
      </c>
      <c r="U31" t="s">
        <v>76</v>
      </c>
      <c r="V31" t="s">
        <v>76</v>
      </c>
      <c r="W31" t="s">
        <v>6508</v>
      </c>
      <c r="X31" t="s">
        <v>6508</v>
      </c>
      <c r="Y31" t="s">
        <v>6508</v>
      </c>
      <c r="Z31" t="s">
        <v>6508</v>
      </c>
    </row>
    <row r="32" spans="1:26" x14ac:dyDescent="0.3">
      <c r="A32" t="s">
        <v>7</v>
      </c>
      <c r="B32" t="s">
        <v>3422</v>
      </c>
      <c r="C32">
        <f t="shared" si="3"/>
        <v>200030</v>
      </c>
      <c r="D32" t="str">
        <f t="shared" ca="1" si="0"/>
        <v>2005-04-22</v>
      </c>
      <c r="E32">
        <f>IFERROR(VLOOKUP(B32,'Contacts.csv'!C:D,2,FALSE),"")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>VLOOKUP(I32,LocalAreas.csv!F:J,5,FALSE)</f>
        <v>200076</v>
      </c>
      <c r="I32" s="1" t="s">
        <v>6453</v>
      </c>
      <c r="J32" t="str">
        <f t="shared" si="1"/>
        <v>rg:{'id':'200076'}</v>
      </c>
      <c r="K32" t="str">
        <f t="shared" si="11"/>
        <v>GAMM</v>
      </c>
      <c r="M32">
        <f t="shared" ca="1" si="6"/>
        <v>11964</v>
      </c>
      <c r="N32" t="str">
        <f t="shared" ca="1" si="7"/>
        <v>rg:True</v>
      </c>
      <c r="O32" t="str">
        <f t="shared" ca="1" si="8"/>
        <v>rg:False</v>
      </c>
      <c r="P32">
        <f t="shared" ca="1" si="9"/>
        <v>732097</v>
      </c>
      <c r="Q32" t="str">
        <f t="shared" ca="1" si="10"/>
        <v>2018-02-04</v>
      </c>
      <c r="R32" t="str">
        <f t="shared" ca="1" si="10"/>
        <v>2018-01-16</v>
      </c>
      <c r="S32" t="s">
        <v>6660</v>
      </c>
      <c r="T32" t="s">
        <v>76</v>
      </c>
      <c r="U32" t="s">
        <v>76</v>
      </c>
      <c r="V32" t="s">
        <v>76</v>
      </c>
      <c r="W32" t="s">
        <v>6508</v>
      </c>
      <c r="X32" t="s">
        <v>6508</v>
      </c>
      <c r="Y32" t="s">
        <v>6508</v>
      </c>
      <c r="Z32" t="s">
        <v>6508</v>
      </c>
    </row>
    <row r="33" spans="1:26" x14ac:dyDescent="0.3">
      <c r="A33" t="s">
        <v>7</v>
      </c>
      <c r="B33" t="s">
        <v>4290</v>
      </c>
      <c r="C33">
        <f t="shared" si="3"/>
        <v>200031</v>
      </c>
      <c r="D33" t="str">
        <f t="shared" ca="1" si="0"/>
        <v>2013-07-23</v>
      </c>
      <c r="E33">
        <f>IFERROR(VLOOKUP(B33,'Contacts.csv'!C:D,2,FALSE),"")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>VLOOKUP(I33,LocalAreas.csv!F:J,5,FALSE)</f>
        <v>200076</v>
      </c>
      <c r="I33" s="1" t="s">
        <v>6453</v>
      </c>
      <c r="J33" t="str">
        <f t="shared" si="1"/>
        <v>rg:{'id':'200076'}</v>
      </c>
      <c r="K33" t="str">
        <f t="shared" si="11"/>
        <v>GARD</v>
      </c>
      <c r="M33">
        <f t="shared" ca="1" si="6"/>
        <v>10935</v>
      </c>
      <c r="N33" t="str">
        <f t="shared" ca="1" si="7"/>
        <v>rg:True</v>
      </c>
      <c r="O33" t="str">
        <f t="shared" ca="1" si="8"/>
        <v>rg:False</v>
      </c>
      <c r="P33">
        <f t="shared" ca="1" si="9"/>
        <v>732187</v>
      </c>
      <c r="Q33" t="str">
        <f t="shared" ca="1" si="10"/>
        <v>2018-11-17</v>
      </c>
      <c r="R33" t="str">
        <f t="shared" ca="1" si="10"/>
        <v>2018-08-19</v>
      </c>
      <c r="S33" t="s">
        <v>6660</v>
      </c>
      <c r="T33" t="s">
        <v>76</v>
      </c>
      <c r="U33" t="s">
        <v>76</v>
      </c>
      <c r="V33" t="s">
        <v>76</v>
      </c>
      <c r="W33" t="s">
        <v>6508</v>
      </c>
      <c r="X33" t="s">
        <v>6508</v>
      </c>
      <c r="Y33" t="s">
        <v>6508</v>
      </c>
      <c r="Z33" t="s">
        <v>6508</v>
      </c>
    </row>
    <row r="34" spans="1:26" x14ac:dyDescent="0.3">
      <c r="A34" t="s">
        <v>7</v>
      </c>
      <c r="B34" t="s">
        <v>3454</v>
      </c>
      <c r="C34">
        <f t="shared" si="3"/>
        <v>200032</v>
      </c>
      <c r="D34" t="str">
        <f t="shared" ca="1" si="0"/>
        <v>2012-07-31</v>
      </c>
      <c r="E34">
        <f>IFERROR(VLOOKUP(B34,'Contacts.csv'!C:D,2,FALSE),"")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>VLOOKUP(I34,LocalAreas.csv!F:J,5,FALSE)</f>
        <v>200077</v>
      </c>
      <c r="I34" s="1" t="s">
        <v>6454</v>
      </c>
      <c r="J34" t="str">
        <f t="shared" ref="J34:J65" si="12" xml:space="preserve"> "rg:{'id':'" &amp; H34 &amp; "'}"</f>
        <v>rg:{'id':'200077'}</v>
      </c>
      <c r="K34" t="str">
        <f t="shared" si="11"/>
        <v>GASD</v>
      </c>
      <c r="M34">
        <f t="shared" ca="1" si="6"/>
        <v>15983</v>
      </c>
      <c r="N34" t="str">
        <f t="shared" ca="1" si="7"/>
        <v>rg:True</v>
      </c>
      <c r="O34" t="str">
        <f t="shared" ca="1" si="8"/>
        <v>rg:False</v>
      </c>
      <c r="P34">
        <f t="shared" ca="1" si="9"/>
        <v>732108</v>
      </c>
      <c r="Q34" t="str">
        <f t="shared" ca="1" si="10"/>
        <v>2018-01-15</v>
      </c>
      <c r="R34" t="str">
        <f t="shared" ca="1" si="10"/>
        <v>2018-06-09</v>
      </c>
      <c r="S34" t="s">
        <v>6660</v>
      </c>
      <c r="T34" t="s">
        <v>76</v>
      </c>
      <c r="U34" t="s">
        <v>76</v>
      </c>
      <c r="V34" t="s">
        <v>76</v>
      </c>
      <c r="W34" t="s">
        <v>6508</v>
      </c>
      <c r="X34" t="s">
        <v>6508</v>
      </c>
      <c r="Y34" t="s">
        <v>6508</v>
      </c>
      <c r="Z34" t="s">
        <v>6508</v>
      </c>
    </row>
    <row r="35" spans="1:26" x14ac:dyDescent="0.3">
      <c r="A35" t="s">
        <v>7</v>
      </c>
      <c r="B35" t="s">
        <v>4007</v>
      </c>
      <c r="C35">
        <f t="shared" si="3"/>
        <v>200033</v>
      </c>
      <c r="D35" t="str">
        <f t="shared" ca="1" si="0"/>
        <v>2009-10-06</v>
      </c>
      <c r="E35">
        <f>IFERROR(VLOOKUP(B35,'Contacts.csv'!C:D,2,FALSE),"")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>VLOOKUP(I35,LocalAreas.csv!F:J,5,FALSE)</f>
        <v>200077</v>
      </c>
      <c r="I35" s="1" t="s">
        <v>6454</v>
      </c>
      <c r="J35" t="str">
        <f t="shared" si="12"/>
        <v>rg:{'id':'200077'}</v>
      </c>
      <c r="K35" t="str">
        <f t="shared" si="11"/>
        <v>GERI</v>
      </c>
      <c r="M35">
        <f t="shared" ca="1" si="6"/>
        <v>15270</v>
      </c>
      <c r="N35" t="str">
        <f t="shared" ca="1" si="7"/>
        <v>rg:True</v>
      </c>
      <c r="O35" t="str">
        <f t="shared" ca="1" si="8"/>
        <v>rg:False</v>
      </c>
      <c r="P35">
        <f t="shared" ca="1" si="9"/>
        <v>732130</v>
      </c>
      <c r="Q35" t="str">
        <f t="shared" ca="1" si="10"/>
        <v>2018-07-30</v>
      </c>
      <c r="R35" t="str">
        <f t="shared" ca="1" si="10"/>
        <v>2018-09-28</v>
      </c>
      <c r="S35" t="s">
        <v>6660</v>
      </c>
      <c r="T35" t="s">
        <v>76</v>
      </c>
      <c r="U35" t="s">
        <v>76</v>
      </c>
      <c r="V35" t="s">
        <v>76</v>
      </c>
      <c r="W35" t="s">
        <v>6508</v>
      </c>
      <c r="X35" t="s">
        <v>6508</v>
      </c>
      <c r="Y35" t="s">
        <v>6508</v>
      </c>
      <c r="Z35" t="s">
        <v>6508</v>
      </c>
    </row>
    <row r="36" spans="1:26" x14ac:dyDescent="0.3">
      <c r="A36" t="s">
        <v>7</v>
      </c>
      <c r="B36" t="s">
        <v>3323</v>
      </c>
      <c r="C36">
        <f t="shared" si="3"/>
        <v>200034</v>
      </c>
      <c r="D36" t="str">
        <f t="shared" ca="1" si="0"/>
        <v>2010-08-12</v>
      </c>
      <c r="E36">
        <f>IFERROR(VLOOKUP(B36,'Contacts.csv'!C:D,2,FALSE),"")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>VLOOKUP(I36,LocalAreas.csv!F:J,5,FALSE)</f>
        <v>200077</v>
      </c>
      <c r="I36" s="1" t="s">
        <v>6454</v>
      </c>
      <c r="J36" t="str">
        <f t="shared" si="12"/>
        <v>rg:{'id':'200077'}</v>
      </c>
      <c r="K36" t="str">
        <f t="shared" si="11"/>
        <v>GRAS</v>
      </c>
      <c r="M36">
        <f t="shared" ca="1" si="6"/>
        <v>12679</v>
      </c>
      <c r="N36" t="str">
        <f t="shared" ca="1" si="7"/>
        <v>rg:True</v>
      </c>
      <c r="O36" t="str">
        <f t="shared" ca="1" si="8"/>
        <v>rg:False</v>
      </c>
      <c r="P36">
        <f t="shared" ca="1" si="9"/>
        <v>732176</v>
      </c>
      <c r="Q36" t="str">
        <f t="shared" ca="1" si="10"/>
        <v>2018-03-19</v>
      </c>
      <c r="R36" t="str">
        <f t="shared" ca="1" si="10"/>
        <v>2018-10-04</v>
      </c>
      <c r="S36" t="s">
        <v>6660</v>
      </c>
      <c r="T36" t="s">
        <v>76</v>
      </c>
      <c r="U36" t="s">
        <v>76</v>
      </c>
      <c r="V36" t="s">
        <v>76</v>
      </c>
      <c r="W36" t="s">
        <v>6508</v>
      </c>
      <c r="X36" t="s">
        <v>6508</v>
      </c>
      <c r="Y36" t="s">
        <v>6508</v>
      </c>
      <c r="Z36" t="s">
        <v>6508</v>
      </c>
    </row>
    <row r="37" spans="1:26" x14ac:dyDescent="0.3">
      <c r="A37" t="s">
        <v>7</v>
      </c>
      <c r="B37" t="s">
        <v>4067</v>
      </c>
      <c r="C37">
        <f t="shared" si="3"/>
        <v>200035</v>
      </c>
      <c r="D37" t="str">
        <f t="shared" ca="1" si="0"/>
        <v>2008-12-26</v>
      </c>
      <c r="E37">
        <f>IFERROR(VLOOKUP(B37,'Contacts.csv'!C:D,2,FALSE),"")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>VLOOKUP(I37,LocalAreas.csv!F:J,5,FALSE)</f>
        <v>200077</v>
      </c>
      <c r="I37" s="1" t="s">
        <v>6454</v>
      </c>
      <c r="J37" t="str">
        <f t="shared" si="12"/>
        <v>rg:{'id':'200077'}</v>
      </c>
      <c r="K37" t="str">
        <f t="shared" si="11"/>
        <v>GREA</v>
      </c>
      <c r="M37">
        <f t="shared" ca="1" si="6"/>
        <v>11832</v>
      </c>
      <c r="N37" t="str">
        <f t="shared" ca="1" si="7"/>
        <v>rg:True</v>
      </c>
      <c r="O37" t="str">
        <f t="shared" ca="1" si="8"/>
        <v>rg:False</v>
      </c>
      <c r="P37">
        <f t="shared" ca="1" si="9"/>
        <v>732151</v>
      </c>
      <c r="Q37" t="str">
        <f t="shared" ca="1" si="10"/>
        <v>2018-07-01</v>
      </c>
      <c r="R37" t="str">
        <f t="shared" ca="1" si="10"/>
        <v>2018-07-16</v>
      </c>
      <c r="S37" t="s">
        <v>6660</v>
      </c>
      <c r="T37" t="s">
        <v>76</v>
      </c>
      <c r="U37" t="s">
        <v>76</v>
      </c>
      <c r="V37" t="s">
        <v>76</v>
      </c>
      <c r="W37" t="s">
        <v>6508</v>
      </c>
      <c r="X37" t="s">
        <v>6508</v>
      </c>
      <c r="Y37" t="s">
        <v>6508</v>
      </c>
      <c r="Z37" t="s">
        <v>6508</v>
      </c>
    </row>
    <row r="38" spans="1:26" x14ac:dyDescent="0.3">
      <c r="A38" t="s">
        <v>7</v>
      </c>
      <c r="B38" t="s">
        <v>3552</v>
      </c>
      <c r="C38">
        <f t="shared" si="3"/>
        <v>200036</v>
      </c>
      <c r="D38" t="str">
        <f t="shared" ca="1" si="0"/>
        <v>2014-09-21</v>
      </c>
      <c r="E38">
        <f>IFERROR(VLOOKUP(B38,'Contacts.csv'!C:D,2,FALSE),"")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>VLOOKUP(I38,LocalAreas.csv!F:J,5,FALSE)</f>
        <v>200077</v>
      </c>
      <c r="I38" s="1" t="s">
        <v>6454</v>
      </c>
      <c r="J38" t="str">
        <f t="shared" si="12"/>
        <v>rg:{'id':'200077'}</v>
      </c>
      <c r="K38" t="str">
        <f t="shared" si="11"/>
        <v>HAPP</v>
      </c>
      <c r="M38">
        <f t="shared" ca="1" si="6"/>
        <v>18849</v>
      </c>
      <c r="N38" t="str">
        <f t="shared" ca="1" si="7"/>
        <v>rg:True</v>
      </c>
      <c r="O38" t="str">
        <f t="shared" ca="1" si="8"/>
        <v>rg:False</v>
      </c>
      <c r="P38">
        <f t="shared" ca="1" si="9"/>
        <v>732026</v>
      </c>
      <c r="Q38" t="str">
        <f t="shared" ca="1" si="10"/>
        <v>2018-11-12</v>
      </c>
      <c r="R38" t="str">
        <f t="shared" ca="1" si="10"/>
        <v>2018-08-28</v>
      </c>
      <c r="S38" t="s">
        <v>6660</v>
      </c>
      <c r="T38" t="s">
        <v>76</v>
      </c>
      <c r="U38" t="s">
        <v>76</v>
      </c>
      <c r="V38" t="s">
        <v>76</v>
      </c>
      <c r="W38" t="s">
        <v>6508</v>
      </c>
      <c r="X38" t="s">
        <v>6508</v>
      </c>
      <c r="Y38" t="s">
        <v>6508</v>
      </c>
      <c r="Z38" t="s">
        <v>6508</v>
      </c>
    </row>
    <row r="39" spans="1:26" x14ac:dyDescent="0.3">
      <c r="A39" t="s">
        <v>7</v>
      </c>
      <c r="B39" t="s">
        <v>3253</v>
      </c>
      <c r="C39">
        <f t="shared" si="3"/>
        <v>200037</v>
      </c>
      <c r="D39" t="str">
        <f t="shared" ca="1" si="0"/>
        <v>2016-11-28</v>
      </c>
      <c r="E39">
        <f>IFERROR(VLOOKUP(B39,'Contacts.csv'!C:D,2,FALSE),"")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>VLOOKUP(I39,LocalAreas.csv!F:J,5,FALSE)</f>
        <v>200077</v>
      </c>
      <c r="I39" s="1" t="s">
        <v>6454</v>
      </c>
      <c r="J39" t="str">
        <f t="shared" si="12"/>
        <v>rg:{'id':'200077'}</v>
      </c>
      <c r="K39" t="str">
        <f t="shared" si="11"/>
        <v>HARO</v>
      </c>
      <c r="M39">
        <f t="shared" ca="1" si="6"/>
        <v>11895</v>
      </c>
      <c r="N39" t="str">
        <f t="shared" ca="1" si="7"/>
        <v>rg:True</v>
      </c>
      <c r="O39" t="str">
        <f t="shared" ca="1" si="8"/>
        <v>rg:True</v>
      </c>
      <c r="P39">
        <f t="shared" ca="1" si="9"/>
        <v>732165</v>
      </c>
      <c r="Q39" t="str">
        <f t="shared" ca="1" si="10"/>
        <v>2017-12-22</v>
      </c>
      <c r="R39" t="str">
        <f t="shared" ca="1" si="10"/>
        <v>2018-11-03</v>
      </c>
      <c r="S39" t="s">
        <v>6660</v>
      </c>
      <c r="T39" t="s">
        <v>76</v>
      </c>
      <c r="U39" t="s">
        <v>76</v>
      </c>
      <c r="V39" t="s">
        <v>76</v>
      </c>
      <c r="W39" t="s">
        <v>6508</v>
      </c>
      <c r="X39" t="s">
        <v>6508</v>
      </c>
      <c r="Y39" t="s">
        <v>6508</v>
      </c>
      <c r="Z39" t="s">
        <v>6508</v>
      </c>
    </row>
    <row r="40" spans="1:26" x14ac:dyDescent="0.3">
      <c r="A40" t="s">
        <v>7</v>
      </c>
      <c r="B40" t="s">
        <v>3166</v>
      </c>
      <c r="C40">
        <f t="shared" si="3"/>
        <v>200038</v>
      </c>
      <c r="D40" t="str">
        <f t="shared" ca="1" si="0"/>
        <v>2016-05-15</v>
      </c>
      <c r="E40">
        <f>IFERROR(VLOOKUP(B40,'Contacts.csv'!C:D,2,FALSE),"")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>VLOOKUP(I40,LocalAreas.csv!F:J,5,FALSE)</f>
        <v>200077</v>
      </c>
      <c r="I40" s="1" t="s">
        <v>6454</v>
      </c>
      <c r="J40" t="str">
        <f t="shared" si="12"/>
        <v>rg:{'id':'200077'}</v>
      </c>
      <c r="K40" t="str">
        <f t="shared" si="11"/>
        <v>HENR</v>
      </c>
      <c r="M40">
        <f t="shared" ca="1" si="6"/>
        <v>11837</v>
      </c>
      <c r="N40" t="str">
        <f t="shared" ca="1" si="7"/>
        <v>rg:True</v>
      </c>
      <c r="O40" t="str">
        <f t="shared" ca="1" si="8"/>
        <v>rg:False</v>
      </c>
      <c r="P40">
        <f t="shared" ca="1" si="9"/>
        <v>732085</v>
      </c>
      <c r="Q40" t="str">
        <f t="shared" ca="1" si="10"/>
        <v>2018-04-30</v>
      </c>
      <c r="R40" t="str">
        <f t="shared" ca="1" si="10"/>
        <v>2018-09-13</v>
      </c>
      <c r="S40" t="s">
        <v>6660</v>
      </c>
      <c r="T40" t="s">
        <v>76</v>
      </c>
      <c r="U40" t="s">
        <v>76</v>
      </c>
      <c r="V40" t="s">
        <v>76</v>
      </c>
      <c r="W40" t="s">
        <v>6508</v>
      </c>
      <c r="X40" t="s">
        <v>6508</v>
      </c>
      <c r="Y40" t="s">
        <v>6508</v>
      </c>
      <c r="Z40" t="s">
        <v>6508</v>
      </c>
    </row>
    <row r="41" spans="1:26" x14ac:dyDescent="0.3">
      <c r="A41" t="s">
        <v>7</v>
      </c>
      <c r="B41" t="s">
        <v>4550</v>
      </c>
      <c r="C41">
        <f t="shared" si="3"/>
        <v>200039</v>
      </c>
      <c r="D41" t="str">
        <f t="shared" ca="1" si="0"/>
        <v>2009-10-01</v>
      </c>
      <c r="E41">
        <f>IFERROR(VLOOKUP(B41,'Contacts.csv'!C:D,2,FALSE),"")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>VLOOKUP(I41,LocalAreas.csv!F:J,5,FALSE)</f>
        <v>200077</v>
      </c>
      <c r="I41" s="1" t="s">
        <v>6454</v>
      </c>
      <c r="J41" t="str">
        <f t="shared" si="12"/>
        <v>rg:{'id':'200077'}</v>
      </c>
      <c r="K41" t="str">
        <f t="shared" si="11"/>
        <v>HIGH</v>
      </c>
      <c r="M41">
        <f t="shared" ca="1" si="6"/>
        <v>14964</v>
      </c>
      <c r="N41" t="str">
        <f t="shared" ca="1" si="7"/>
        <v>rg:True</v>
      </c>
      <c r="O41" t="str">
        <f t="shared" ca="1" si="8"/>
        <v>rg:False</v>
      </c>
      <c r="P41">
        <f t="shared" ca="1" si="9"/>
        <v>732167</v>
      </c>
      <c r="Q41" t="str">
        <f t="shared" ca="1" si="10"/>
        <v>2018-09-01</v>
      </c>
      <c r="R41" t="str">
        <f t="shared" ca="1" si="10"/>
        <v>2018-05-11</v>
      </c>
      <c r="S41" t="s">
        <v>6660</v>
      </c>
      <c r="T41" t="s">
        <v>76</v>
      </c>
      <c r="U41" t="s">
        <v>76</v>
      </c>
      <c r="V41" t="s">
        <v>76</v>
      </c>
      <c r="W41" t="s">
        <v>6508</v>
      </c>
      <c r="X41" t="s">
        <v>6508</v>
      </c>
      <c r="Y41" t="s">
        <v>6508</v>
      </c>
      <c r="Z41" t="s">
        <v>6508</v>
      </c>
    </row>
    <row r="42" spans="1:26" x14ac:dyDescent="0.3">
      <c r="A42" t="s">
        <v>7</v>
      </c>
      <c r="B42" t="s">
        <v>4211</v>
      </c>
      <c r="C42">
        <f t="shared" si="3"/>
        <v>200040</v>
      </c>
      <c r="D42" t="str">
        <f t="shared" ca="1" si="0"/>
        <v>2006-07-24</v>
      </c>
      <c r="E42">
        <f>IFERROR(VLOOKUP(B42,'Contacts.csv'!C:D,2,FALSE),"")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>VLOOKUP(I42,LocalAreas.csv!F:J,5,FALSE)</f>
        <v>200077</v>
      </c>
      <c r="I42" s="1" t="s">
        <v>6454</v>
      </c>
      <c r="J42" t="str">
        <f t="shared" si="12"/>
        <v>rg:{'id':'200077'}</v>
      </c>
      <c r="K42" t="str">
        <f t="shared" si="11"/>
        <v>HUGH</v>
      </c>
      <c r="M42">
        <f t="shared" ca="1" si="6"/>
        <v>14553</v>
      </c>
      <c r="N42" t="str">
        <f t="shared" ca="1" si="7"/>
        <v>rg:True</v>
      </c>
      <c r="O42" t="str">
        <f t="shared" ca="1" si="8"/>
        <v>rg:False</v>
      </c>
      <c r="P42">
        <f t="shared" ca="1" si="9"/>
        <v>732123</v>
      </c>
      <c r="Q42" t="str">
        <f t="shared" ca="1" si="10"/>
        <v>2018-05-10</v>
      </c>
      <c r="R42" t="str">
        <f t="shared" ca="1" si="10"/>
        <v>2018-03-29</v>
      </c>
      <c r="S42" t="s">
        <v>6660</v>
      </c>
      <c r="T42" t="s">
        <v>76</v>
      </c>
      <c r="U42" t="s">
        <v>76</v>
      </c>
      <c r="V42" t="s">
        <v>76</v>
      </c>
      <c r="W42" t="s">
        <v>6508</v>
      </c>
      <c r="X42" t="s">
        <v>6508</v>
      </c>
      <c r="Y42" t="s">
        <v>6508</v>
      </c>
      <c r="Z42" t="s">
        <v>6508</v>
      </c>
    </row>
    <row r="43" spans="1:26" x14ac:dyDescent="0.3">
      <c r="A43" t="s">
        <v>7</v>
      </c>
      <c r="B43" t="s">
        <v>4862</v>
      </c>
      <c r="C43">
        <f t="shared" si="3"/>
        <v>200041</v>
      </c>
      <c r="D43" t="str">
        <f t="shared" ca="1" si="0"/>
        <v>2008-11-01</v>
      </c>
      <c r="E43">
        <f>IFERROR(VLOOKUP(B43,'Contacts.csv'!C:D,2,FALSE),"")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>VLOOKUP(I43,LocalAreas.csv!F:J,5,FALSE)</f>
        <v>200077</v>
      </c>
      <c r="I43" s="1" t="s">
        <v>6454</v>
      </c>
      <c r="J43" t="str">
        <f t="shared" si="12"/>
        <v>rg:{'id':'200077'}</v>
      </c>
      <c r="K43" t="str">
        <f t="shared" si="11"/>
        <v>HUGH</v>
      </c>
      <c r="M43">
        <f t="shared" ca="1" si="6"/>
        <v>14883</v>
      </c>
      <c r="N43" t="str">
        <f t="shared" ca="1" si="7"/>
        <v>rg:True</v>
      </c>
      <c r="O43" t="str">
        <f t="shared" ca="1" si="8"/>
        <v>rg:False</v>
      </c>
      <c r="P43">
        <f t="shared" ca="1" si="9"/>
        <v>732157</v>
      </c>
      <c r="Q43" t="str">
        <f t="shared" ca="1" si="10"/>
        <v>2018-09-18</v>
      </c>
      <c r="R43" t="str">
        <f t="shared" ca="1" si="10"/>
        <v>2018-08-26</v>
      </c>
      <c r="S43" t="s">
        <v>6660</v>
      </c>
      <c r="T43" t="s">
        <v>76</v>
      </c>
      <c r="U43" t="s">
        <v>76</v>
      </c>
      <c r="V43" t="s">
        <v>76</v>
      </c>
      <c r="W43" t="s">
        <v>6508</v>
      </c>
      <c r="X43" t="s">
        <v>6508</v>
      </c>
      <c r="Y43" t="s">
        <v>6508</v>
      </c>
      <c r="Z43" t="s">
        <v>6508</v>
      </c>
    </row>
    <row r="44" spans="1:26" x14ac:dyDescent="0.3">
      <c r="A44" t="s">
        <v>7</v>
      </c>
      <c r="B44" t="s">
        <v>3617</v>
      </c>
      <c r="C44">
        <f t="shared" si="3"/>
        <v>200042</v>
      </c>
      <c r="D44" t="str">
        <f t="shared" ca="1" si="0"/>
        <v>2017-03-22</v>
      </c>
      <c r="E44">
        <f>IFERROR(VLOOKUP(B44,'Contacts.csv'!C:D,2,FALSE),"")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>VLOOKUP(I44,LocalAreas.csv!F:J,5,FALSE)</f>
        <v>200077</v>
      </c>
      <c r="I44" s="1" t="s">
        <v>6454</v>
      </c>
      <c r="J44" t="str">
        <f t="shared" si="12"/>
        <v>rg:{'id':'200077'}</v>
      </c>
      <c r="K44" t="str">
        <f t="shared" si="11"/>
        <v>INDI</v>
      </c>
      <c r="M44">
        <f t="shared" ca="1" si="6"/>
        <v>14603</v>
      </c>
      <c r="N44" t="str">
        <f t="shared" ca="1" si="7"/>
        <v>rg:True</v>
      </c>
      <c r="O44" t="str">
        <f t="shared" ca="1" si="8"/>
        <v>rg:False</v>
      </c>
      <c r="P44">
        <f t="shared" ca="1" si="9"/>
        <v>732021</v>
      </c>
      <c r="Q44" t="str">
        <f t="shared" ca="1" si="10"/>
        <v>2018-06-14</v>
      </c>
      <c r="R44" t="str">
        <f t="shared" ca="1" si="10"/>
        <v>2018-07-27</v>
      </c>
      <c r="S44" t="s">
        <v>6660</v>
      </c>
      <c r="T44" t="s">
        <v>76</v>
      </c>
      <c r="U44" t="s">
        <v>76</v>
      </c>
      <c r="V44" t="s">
        <v>76</v>
      </c>
      <c r="W44" t="s">
        <v>6508</v>
      </c>
      <c r="X44" t="s">
        <v>6508</v>
      </c>
      <c r="Y44" t="s">
        <v>6508</v>
      </c>
      <c r="Z44" t="s">
        <v>6508</v>
      </c>
    </row>
    <row r="45" spans="1:26" x14ac:dyDescent="0.3">
      <c r="A45" t="s">
        <v>7</v>
      </c>
      <c r="B45" t="s">
        <v>3535</v>
      </c>
      <c r="C45">
        <f t="shared" si="3"/>
        <v>200043</v>
      </c>
      <c r="D45" t="str">
        <f t="shared" ca="1" si="0"/>
        <v>2015-12-06</v>
      </c>
      <c r="E45">
        <f>IFERROR(VLOOKUP(B45,'Contacts.csv'!C:D,2,FALSE),"")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>VLOOKUP(I45,LocalAreas.csv!F:J,5,FALSE)</f>
        <v>200077</v>
      </c>
      <c r="I45" s="1" t="s">
        <v>6454</v>
      </c>
      <c r="J45" t="str">
        <f t="shared" si="12"/>
        <v>rg:{'id':'200077'}</v>
      </c>
      <c r="K45" t="str">
        <f t="shared" si="11"/>
        <v>JBRA</v>
      </c>
      <c r="M45">
        <f t="shared" ca="1" si="6"/>
        <v>17372</v>
      </c>
      <c r="N45" t="str">
        <f t="shared" ca="1" si="7"/>
        <v>rg:True</v>
      </c>
      <c r="O45" t="str">
        <f t="shared" ca="1" si="8"/>
        <v>rg:False</v>
      </c>
      <c r="P45">
        <f t="shared" ca="1" si="9"/>
        <v>732191</v>
      </c>
      <c r="Q45" t="str">
        <f t="shared" ca="1" si="10"/>
        <v>2018-09-11</v>
      </c>
      <c r="R45" t="str">
        <f t="shared" ca="1" si="10"/>
        <v>2017-12-22</v>
      </c>
      <c r="S45" t="s">
        <v>6660</v>
      </c>
      <c r="T45" t="s">
        <v>76</v>
      </c>
      <c r="U45" t="s">
        <v>76</v>
      </c>
      <c r="V45" t="s">
        <v>76</v>
      </c>
      <c r="W45" t="s">
        <v>6508</v>
      </c>
      <c r="X45" t="s">
        <v>6508</v>
      </c>
      <c r="Y45" t="s">
        <v>6508</v>
      </c>
      <c r="Z45" t="s">
        <v>6508</v>
      </c>
    </row>
    <row r="46" spans="1:26" x14ac:dyDescent="0.3">
      <c r="A46" t="s">
        <v>7</v>
      </c>
      <c r="B46" t="s">
        <v>3128</v>
      </c>
      <c r="C46">
        <f t="shared" si="3"/>
        <v>200044</v>
      </c>
      <c r="D46" t="str">
        <f t="shared" ca="1" si="0"/>
        <v>2016-08-22</v>
      </c>
      <c r="E46">
        <f>IFERROR(VLOOKUP(B46,'Contacts.csv'!C:D,2,FALSE),"")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>VLOOKUP(I46,LocalAreas.csv!F:J,5,FALSE)</f>
        <v>200077</v>
      </c>
      <c r="I46" s="1" t="s">
        <v>6454</v>
      </c>
      <c r="J46" t="str">
        <f t="shared" si="12"/>
        <v>rg:{'id':'200077'}</v>
      </c>
      <c r="K46" t="str">
        <f t="shared" si="11"/>
        <v>JEAN</v>
      </c>
      <c r="M46">
        <f t="shared" ca="1" si="6"/>
        <v>16539</v>
      </c>
      <c r="N46" t="str">
        <f t="shared" ca="1" si="7"/>
        <v>rg:True</v>
      </c>
      <c r="O46" t="str">
        <f t="shared" ca="1" si="8"/>
        <v>rg:False</v>
      </c>
      <c r="P46">
        <f t="shared" ca="1" si="9"/>
        <v>732089</v>
      </c>
      <c r="Q46" t="str">
        <f t="shared" ca="1" si="10"/>
        <v>2018-03-13</v>
      </c>
      <c r="R46" t="str">
        <f t="shared" ca="1" si="10"/>
        <v>2017-12-22</v>
      </c>
      <c r="S46" t="s">
        <v>6660</v>
      </c>
      <c r="T46" t="s">
        <v>76</v>
      </c>
      <c r="U46" t="s">
        <v>76</v>
      </c>
      <c r="V46" t="s">
        <v>76</v>
      </c>
      <c r="W46" t="s">
        <v>6508</v>
      </c>
      <c r="X46" t="s">
        <v>6508</v>
      </c>
      <c r="Y46" t="s">
        <v>6508</v>
      </c>
      <c r="Z46" t="s">
        <v>6508</v>
      </c>
    </row>
    <row r="47" spans="1:26" x14ac:dyDescent="0.3">
      <c r="A47" t="s">
        <v>7</v>
      </c>
      <c r="B47" t="s">
        <v>4894</v>
      </c>
      <c r="C47">
        <f t="shared" si="3"/>
        <v>200045</v>
      </c>
      <c r="D47" t="str">
        <f t="shared" ca="1" si="0"/>
        <v>2010-03-10</v>
      </c>
      <c r="E47">
        <f>IFERROR(VLOOKUP(B47,'Contacts.csv'!C:D,2,FALSE),"")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>VLOOKUP(I47,LocalAreas.csv!F:J,5,FALSE)</f>
        <v>200077</v>
      </c>
      <c r="I47" s="1" t="s">
        <v>6454</v>
      </c>
      <c r="J47" t="str">
        <f t="shared" si="12"/>
        <v>rg:{'id':'200077'}</v>
      </c>
      <c r="K47" t="str">
        <f t="shared" si="11"/>
        <v>KBTO</v>
      </c>
      <c r="M47">
        <f t="shared" ca="1" si="6"/>
        <v>10960</v>
      </c>
      <c r="N47" t="str">
        <f t="shared" ca="1" si="7"/>
        <v>rg:True</v>
      </c>
      <c r="O47" t="str">
        <f t="shared" ca="1" si="8"/>
        <v>rg:True</v>
      </c>
      <c r="P47">
        <f t="shared" ca="1" si="9"/>
        <v>732040</v>
      </c>
      <c r="Q47" t="str">
        <f t="shared" ca="1" si="10"/>
        <v>2018-03-03</v>
      </c>
      <c r="R47" t="str">
        <f t="shared" ca="1" si="10"/>
        <v>2018-07-22</v>
      </c>
      <c r="S47" t="s">
        <v>6660</v>
      </c>
      <c r="T47" t="s">
        <v>76</v>
      </c>
      <c r="U47" t="s">
        <v>76</v>
      </c>
      <c r="V47" t="s">
        <v>76</v>
      </c>
      <c r="W47" t="s">
        <v>6508</v>
      </c>
      <c r="X47" t="s">
        <v>6508</v>
      </c>
      <c r="Y47" t="s">
        <v>6508</v>
      </c>
      <c r="Z47" t="s">
        <v>6508</v>
      </c>
    </row>
    <row r="48" spans="1:26" x14ac:dyDescent="0.3">
      <c r="A48" t="s">
        <v>7</v>
      </c>
      <c r="B48" t="s">
        <v>4099</v>
      </c>
      <c r="C48">
        <f t="shared" si="3"/>
        <v>200046</v>
      </c>
      <c r="D48" t="str">
        <f t="shared" ca="1" si="0"/>
        <v>2016-10-03</v>
      </c>
      <c r="E48">
        <f>IFERROR(VLOOKUP(B48,'Contacts.csv'!C:D,2,FALSE),"")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>VLOOKUP(I48,LocalAreas.csv!F:J,5,FALSE)</f>
        <v>200077</v>
      </c>
      <c r="I48" s="1" t="s">
        <v>6454</v>
      </c>
      <c r="J48" t="str">
        <f t="shared" si="12"/>
        <v>rg:{'id':'200077'}</v>
      </c>
      <c r="K48" t="str">
        <f t="shared" si="11"/>
        <v>KIDS</v>
      </c>
      <c r="M48">
        <f t="shared" ca="1" si="6"/>
        <v>13693</v>
      </c>
      <c r="N48" t="str">
        <f t="shared" ca="1" si="7"/>
        <v>rg:True</v>
      </c>
      <c r="O48" t="str">
        <f t="shared" ca="1" si="8"/>
        <v>rg:False</v>
      </c>
      <c r="P48">
        <f t="shared" ca="1" si="9"/>
        <v>732037</v>
      </c>
      <c r="Q48" t="str">
        <f t="shared" ca="1" si="10"/>
        <v>2017-12-17</v>
      </c>
      <c r="R48" t="str">
        <f t="shared" ca="1" si="10"/>
        <v>2018-04-04</v>
      </c>
      <c r="S48" t="s">
        <v>6660</v>
      </c>
      <c r="T48" t="s">
        <v>76</v>
      </c>
      <c r="U48" t="s">
        <v>76</v>
      </c>
      <c r="V48" t="s">
        <v>76</v>
      </c>
      <c r="W48" t="s">
        <v>6508</v>
      </c>
      <c r="X48" t="s">
        <v>6508</v>
      </c>
      <c r="Y48" t="s">
        <v>6508</v>
      </c>
      <c r="Z48" t="s">
        <v>6508</v>
      </c>
    </row>
    <row r="49" spans="1:26" x14ac:dyDescent="0.3">
      <c r="A49" t="s">
        <v>7</v>
      </c>
      <c r="B49" t="s">
        <v>4624</v>
      </c>
      <c r="C49">
        <f t="shared" si="3"/>
        <v>200047</v>
      </c>
      <c r="D49" t="str">
        <f t="shared" ca="1" si="0"/>
        <v>2007-02-16</v>
      </c>
      <c r="E49">
        <f>IFERROR(VLOOKUP(B49,'Contacts.csv'!C:D,2,FALSE),"")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>VLOOKUP(I49,LocalAreas.csv!F:J,5,FALSE)</f>
        <v>200077</v>
      </c>
      <c r="I49" s="1" t="s">
        <v>6454</v>
      </c>
      <c r="J49" t="str">
        <f t="shared" si="12"/>
        <v>rg:{'id':'200077'}</v>
      </c>
      <c r="K49" t="str">
        <f t="shared" si="11"/>
        <v>KINN</v>
      </c>
      <c r="M49">
        <f t="shared" ca="1" si="6"/>
        <v>18715</v>
      </c>
      <c r="N49" t="str">
        <f t="shared" ca="1" si="7"/>
        <v>rg:True</v>
      </c>
      <c r="O49" t="str">
        <f t="shared" ca="1" si="8"/>
        <v>rg:False</v>
      </c>
      <c r="P49">
        <f t="shared" ca="1" si="9"/>
        <v>732156</v>
      </c>
      <c r="Q49" t="str">
        <f t="shared" ca="1" si="10"/>
        <v>2018-05-12</v>
      </c>
      <c r="R49" t="str">
        <f t="shared" ca="1" si="10"/>
        <v>2018-02-07</v>
      </c>
      <c r="S49" t="s">
        <v>6660</v>
      </c>
      <c r="T49" t="s">
        <v>76</v>
      </c>
      <c r="U49" t="s">
        <v>76</v>
      </c>
      <c r="V49" t="s">
        <v>76</v>
      </c>
      <c r="W49" t="s">
        <v>6508</v>
      </c>
      <c r="X49" t="s">
        <v>6508</v>
      </c>
      <c r="Y49" t="s">
        <v>6508</v>
      </c>
      <c r="Z49" t="s">
        <v>6508</v>
      </c>
    </row>
    <row r="50" spans="1:26" x14ac:dyDescent="0.3">
      <c r="A50" t="s">
        <v>7</v>
      </c>
      <c r="B50" t="s">
        <v>4307</v>
      </c>
      <c r="C50">
        <f t="shared" si="3"/>
        <v>200048</v>
      </c>
      <c r="D50" t="str">
        <f t="shared" ca="1" si="0"/>
        <v>2013-05-16</v>
      </c>
      <c r="E50">
        <f>IFERROR(VLOOKUP(B50,'Contacts.csv'!C:D,2,FALSE),"")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>VLOOKUP(I50,LocalAreas.csv!F:J,5,FALSE)</f>
        <v>200073</v>
      </c>
      <c r="I50" s="1" t="s">
        <v>4884</v>
      </c>
      <c r="J50" t="str">
        <f t="shared" si="12"/>
        <v>rg:{'id':'200073'}</v>
      </c>
      <c r="K50" t="str">
        <f t="shared" si="11"/>
        <v>KNOX</v>
      </c>
      <c r="M50">
        <f t="shared" ca="1" si="6"/>
        <v>15990</v>
      </c>
      <c r="N50" t="str">
        <f t="shared" ca="1" si="7"/>
        <v>rg:True</v>
      </c>
      <c r="O50" t="str">
        <f t="shared" ca="1" si="8"/>
        <v>rg:False</v>
      </c>
      <c r="P50">
        <f t="shared" ca="1" si="9"/>
        <v>732050</v>
      </c>
      <c r="Q50" t="str">
        <f t="shared" ca="1" si="10"/>
        <v>2018-10-18</v>
      </c>
      <c r="R50" t="str">
        <f t="shared" ca="1" si="10"/>
        <v>2018-01-14</v>
      </c>
      <c r="S50" t="s">
        <v>6660</v>
      </c>
      <c r="T50" t="s">
        <v>76</v>
      </c>
      <c r="U50" t="s">
        <v>76</v>
      </c>
      <c r="V50" t="s">
        <v>76</v>
      </c>
      <c r="W50" t="s">
        <v>6508</v>
      </c>
      <c r="X50" t="s">
        <v>6508</v>
      </c>
      <c r="Y50" t="s">
        <v>6508</v>
      </c>
      <c r="Z50" t="s">
        <v>6508</v>
      </c>
    </row>
    <row r="51" spans="1:26" x14ac:dyDescent="0.3">
      <c r="A51" t="s">
        <v>7</v>
      </c>
      <c r="B51" t="s">
        <v>4369</v>
      </c>
      <c r="C51">
        <f t="shared" si="3"/>
        <v>200049</v>
      </c>
      <c r="D51" t="str">
        <f t="shared" ca="1" si="0"/>
        <v>2006-10-17</v>
      </c>
      <c r="E51">
        <f>IFERROR(VLOOKUP(B51,'Contacts.csv'!C:D,2,FALSE),"")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>VLOOKUP(I51,LocalAreas.csv!F:J,5,FALSE)</f>
        <v>200073</v>
      </c>
      <c r="I51" s="1" t="s">
        <v>4884</v>
      </c>
      <c r="J51" t="str">
        <f t="shared" si="12"/>
        <v>rg:{'id':'200073'}</v>
      </c>
      <c r="K51" t="str">
        <f t="shared" si="11"/>
        <v>LAWN</v>
      </c>
      <c r="M51">
        <f t="shared" ca="1" si="6"/>
        <v>10183</v>
      </c>
      <c r="N51" t="str">
        <f t="shared" ca="1" si="7"/>
        <v>rg:True</v>
      </c>
      <c r="O51" t="str">
        <f t="shared" ca="1" si="8"/>
        <v>rg:False</v>
      </c>
      <c r="P51">
        <f t="shared" ca="1" si="9"/>
        <v>732175</v>
      </c>
      <c r="Q51" t="str">
        <f t="shared" ca="1" si="10"/>
        <v>2018-03-23</v>
      </c>
      <c r="R51" t="str">
        <f t="shared" ca="1" si="10"/>
        <v>2018-02-28</v>
      </c>
      <c r="S51" t="s">
        <v>6660</v>
      </c>
      <c r="T51" t="s">
        <v>76</v>
      </c>
      <c r="U51" t="s">
        <v>76</v>
      </c>
      <c r="V51" t="s">
        <v>76</v>
      </c>
      <c r="W51" t="s">
        <v>6508</v>
      </c>
      <c r="X51" t="s">
        <v>6508</v>
      </c>
      <c r="Y51" t="s">
        <v>6508</v>
      </c>
      <c r="Z51" t="s">
        <v>6508</v>
      </c>
    </row>
    <row r="52" spans="1:26" x14ac:dyDescent="0.3">
      <c r="A52" t="s">
        <v>7</v>
      </c>
      <c r="B52" t="s">
        <v>3947</v>
      </c>
      <c r="C52">
        <f t="shared" si="3"/>
        <v>200050</v>
      </c>
      <c r="D52" t="str">
        <f t="shared" ca="1" si="0"/>
        <v>2016-04-02</v>
      </c>
      <c r="E52">
        <f>IFERROR(VLOOKUP(B52,'Contacts.csv'!C:D,2,FALSE),"")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>VLOOKUP(I52,LocalAreas.csv!F:J,5,FALSE)</f>
        <v>200073</v>
      </c>
      <c r="I52" s="1" t="s">
        <v>4884</v>
      </c>
      <c r="J52" t="str">
        <f t="shared" si="12"/>
        <v>rg:{'id':'200073'}</v>
      </c>
      <c r="K52" t="str">
        <f t="shared" si="11"/>
        <v>LIND</v>
      </c>
      <c r="M52">
        <f t="shared" ca="1" si="6"/>
        <v>17759</v>
      </c>
      <c r="N52" t="str">
        <f t="shared" ca="1" si="7"/>
        <v>rg:True</v>
      </c>
      <c r="O52" t="str">
        <f t="shared" ca="1" si="8"/>
        <v>rg:False</v>
      </c>
      <c r="P52">
        <f t="shared" ca="1" si="9"/>
        <v>732005</v>
      </c>
      <c r="Q52" t="str">
        <f t="shared" ca="1" si="10"/>
        <v>2018-04-12</v>
      </c>
      <c r="R52" t="str">
        <f t="shared" ca="1" si="10"/>
        <v>2018-09-29</v>
      </c>
      <c r="S52" t="s">
        <v>6660</v>
      </c>
      <c r="T52" t="s">
        <v>76</v>
      </c>
      <c r="U52" t="s">
        <v>76</v>
      </c>
      <c r="V52" t="s">
        <v>76</v>
      </c>
      <c r="W52" t="s">
        <v>6508</v>
      </c>
      <c r="X52" t="s">
        <v>6508</v>
      </c>
      <c r="Y52" t="s">
        <v>6508</v>
      </c>
      <c r="Z52" t="s">
        <v>6508</v>
      </c>
    </row>
    <row r="53" spans="1:26" x14ac:dyDescent="0.3">
      <c r="A53" t="s">
        <v>7</v>
      </c>
      <c r="B53" t="s">
        <v>3486</v>
      </c>
      <c r="C53">
        <f t="shared" si="3"/>
        <v>200051</v>
      </c>
      <c r="D53" t="str">
        <f t="shared" ca="1" si="0"/>
        <v>2007-02-26</v>
      </c>
      <c r="E53">
        <f>IFERROR(VLOOKUP(B53,'Contacts.csv'!C:D,2,FALSE),"")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>VLOOKUP(I53,LocalAreas.csv!F:J,5,FALSE)</f>
        <v>200073</v>
      </c>
      <c r="I53" s="1" t="s">
        <v>4884</v>
      </c>
      <c r="J53" t="str">
        <f t="shared" si="12"/>
        <v>rg:{'id':'200073'}</v>
      </c>
      <c r="K53" t="str">
        <f t="shared" si="11"/>
        <v>LION</v>
      </c>
      <c r="M53">
        <f t="shared" ca="1" si="6"/>
        <v>10960</v>
      </c>
      <c r="N53" t="str">
        <f t="shared" ca="1" si="7"/>
        <v>rg:True</v>
      </c>
      <c r="O53" t="str">
        <f t="shared" ca="1" si="8"/>
        <v>rg:True</v>
      </c>
      <c r="P53">
        <f t="shared" ca="1" si="9"/>
        <v>732111</v>
      </c>
      <c r="Q53" t="str">
        <f t="shared" ca="1" si="10"/>
        <v>2018-12-08</v>
      </c>
      <c r="R53" t="str">
        <f t="shared" ca="1" si="10"/>
        <v>2018-06-27</v>
      </c>
      <c r="S53" t="s">
        <v>6662</v>
      </c>
      <c r="T53" t="s">
        <v>76</v>
      </c>
      <c r="U53" t="s">
        <v>76</v>
      </c>
      <c r="V53" t="s">
        <v>76</v>
      </c>
      <c r="W53" t="s">
        <v>6508</v>
      </c>
      <c r="X53" t="s">
        <v>6508</v>
      </c>
      <c r="Y53" t="s">
        <v>6508</v>
      </c>
      <c r="Z53" t="s">
        <v>6508</v>
      </c>
    </row>
    <row r="54" spans="1:26" x14ac:dyDescent="0.3">
      <c r="A54" t="s">
        <v>7</v>
      </c>
      <c r="B54" t="s">
        <v>4383</v>
      </c>
      <c r="C54">
        <f t="shared" si="3"/>
        <v>200052</v>
      </c>
      <c r="D54" t="str">
        <f t="shared" ca="1" si="0"/>
        <v>2016-10-28</v>
      </c>
      <c r="E54">
        <f>IFERROR(VLOOKUP(B54,'Contacts.csv'!C:D,2,FALSE),"")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>VLOOKUP(I54,LocalAreas.csv!F:J,5,FALSE)</f>
        <v>200073</v>
      </c>
      <c r="I54" s="1" t="s">
        <v>4884</v>
      </c>
      <c r="J54" t="str">
        <f t="shared" si="12"/>
        <v>rg:{'id':'200073'}</v>
      </c>
      <c r="K54" t="str">
        <f t="shared" si="11"/>
        <v>LITT</v>
      </c>
      <c r="M54">
        <f t="shared" ca="1" si="6"/>
        <v>19994</v>
      </c>
      <c r="N54" t="str">
        <f t="shared" ca="1" si="7"/>
        <v>rg:True</v>
      </c>
      <c r="O54" t="str">
        <f t="shared" ca="1" si="8"/>
        <v>rg:False</v>
      </c>
      <c r="P54">
        <f t="shared" ca="1" si="9"/>
        <v>732163</v>
      </c>
      <c r="Q54" t="str">
        <f t="shared" ca="1" si="10"/>
        <v>2018-06-24</v>
      </c>
      <c r="R54" t="str">
        <f t="shared" ca="1" si="10"/>
        <v>2018-11-02</v>
      </c>
      <c r="S54" t="s">
        <v>6662</v>
      </c>
      <c r="T54" t="s">
        <v>76</v>
      </c>
      <c r="U54" t="s">
        <v>76</v>
      </c>
      <c r="V54" t="s">
        <v>76</v>
      </c>
      <c r="W54" t="s">
        <v>6508</v>
      </c>
      <c r="X54" t="s">
        <v>6508</v>
      </c>
      <c r="Y54" t="s">
        <v>6508</v>
      </c>
      <c r="Z54" t="s">
        <v>6508</v>
      </c>
    </row>
    <row r="55" spans="1:26" x14ac:dyDescent="0.3">
      <c r="A55" t="s">
        <v>7</v>
      </c>
      <c r="B55" t="s">
        <v>3357</v>
      </c>
      <c r="C55">
        <f t="shared" si="3"/>
        <v>200053</v>
      </c>
      <c r="D55" t="str">
        <f t="shared" ca="1" si="0"/>
        <v>2007-06-06</v>
      </c>
      <c r="E55">
        <f>IFERROR(VLOOKUP(B55,'Contacts.csv'!C:D,2,FALSE),"")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>VLOOKUP(I55,LocalAreas.csv!F:J,5,FALSE)</f>
        <v>200074</v>
      </c>
      <c r="I55" s="1" t="s">
        <v>4420</v>
      </c>
      <c r="J55" t="str">
        <f t="shared" si="12"/>
        <v>rg:{'id':'200074'}</v>
      </c>
      <c r="K55" t="str">
        <f t="shared" si="11"/>
        <v>MAGI</v>
      </c>
      <c r="M55">
        <f t="shared" ca="1" si="6"/>
        <v>18676</v>
      </c>
      <c r="N55" t="str">
        <f t="shared" ca="1" si="7"/>
        <v>rg:True</v>
      </c>
      <c r="O55" t="str">
        <f t="shared" ca="1" si="8"/>
        <v>rg:False</v>
      </c>
      <c r="P55">
        <f t="shared" ca="1" si="9"/>
        <v>732095</v>
      </c>
      <c r="Q55" t="str">
        <f t="shared" ca="1" si="10"/>
        <v>2018-07-16</v>
      </c>
      <c r="R55" t="str">
        <f t="shared" ca="1" si="10"/>
        <v>2018-06-22</v>
      </c>
      <c r="S55" t="s">
        <v>6660</v>
      </c>
      <c r="T55" t="s">
        <v>76</v>
      </c>
      <c r="U55" t="s">
        <v>76</v>
      </c>
      <c r="V55" t="s">
        <v>76</v>
      </c>
      <c r="W55" t="s">
        <v>6508</v>
      </c>
      <c r="X55" t="s">
        <v>6508</v>
      </c>
      <c r="Y55" t="s">
        <v>6508</v>
      </c>
      <c r="Z55" t="s">
        <v>6508</v>
      </c>
    </row>
    <row r="56" spans="1:26" x14ac:dyDescent="0.3">
      <c r="A56" t="s">
        <v>7</v>
      </c>
      <c r="B56" t="s">
        <v>3729</v>
      </c>
      <c r="C56">
        <f t="shared" si="3"/>
        <v>200054</v>
      </c>
      <c r="D56" t="str">
        <f t="shared" ca="1" si="0"/>
        <v>2012-11-18</v>
      </c>
      <c r="E56">
        <f>IFERROR(VLOOKUP(B56,'Contacts.csv'!C:D,2,FALSE),"")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>VLOOKUP(I56,LocalAreas.csv!F:J,5,FALSE)</f>
        <v>200074</v>
      </c>
      <c r="I56" s="1" t="s">
        <v>4420</v>
      </c>
      <c r="J56" t="str">
        <f t="shared" si="12"/>
        <v>rg:{'id':'200074'}</v>
      </c>
      <c r="K56" t="str">
        <f t="shared" si="11"/>
        <v>MANC</v>
      </c>
      <c r="M56">
        <f t="shared" ca="1" si="6"/>
        <v>14180</v>
      </c>
      <c r="N56" t="str">
        <f t="shared" ca="1" si="7"/>
        <v>rg:True</v>
      </c>
      <c r="O56" t="str">
        <f t="shared" ca="1" si="8"/>
        <v>rg:False</v>
      </c>
      <c r="P56">
        <f t="shared" ca="1" si="9"/>
        <v>732045</v>
      </c>
      <c r="Q56" t="str">
        <f t="shared" ca="1" si="10"/>
        <v>2018-07-16</v>
      </c>
      <c r="R56" t="str">
        <f t="shared" ca="1" si="10"/>
        <v>2018-08-15</v>
      </c>
      <c r="S56" t="s">
        <v>6660</v>
      </c>
      <c r="T56" t="s">
        <v>76</v>
      </c>
      <c r="U56" t="s">
        <v>76</v>
      </c>
      <c r="V56" t="s">
        <v>76</v>
      </c>
      <c r="W56" t="s">
        <v>6508</v>
      </c>
      <c r="X56" t="s">
        <v>6508</v>
      </c>
      <c r="Y56" t="s">
        <v>6508</v>
      </c>
      <c r="Z56" t="s">
        <v>6508</v>
      </c>
    </row>
    <row r="57" spans="1:26" x14ac:dyDescent="0.3">
      <c r="A57" t="s">
        <v>7</v>
      </c>
      <c r="B57" t="s">
        <v>3092</v>
      </c>
      <c r="C57">
        <f t="shared" si="3"/>
        <v>200055</v>
      </c>
      <c r="D57" t="str">
        <f t="shared" ca="1" si="0"/>
        <v>2005-01-28</v>
      </c>
      <c r="E57">
        <f>IFERROR(VLOOKUP(B57,'Contacts.csv'!C:D,2,FALSE),"")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>VLOOKUP(I57,LocalAreas.csv!F:J,5,FALSE)</f>
        <v>200074</v>
      </c>
      <c r="I57" s="1" t="s">
        <v>4420</v>
      </c>
      <c r="J57" t="str">
        <f t="shared" si="12"/>
        <v>rg:{'id':'200074'}</v>
      </c>
      <c r="K57" t="str">
        <f t="shared" si="11"/>
        <v>MCDU</v>
      </c>
      <c r="M57">
        <f t="shared" ca="1" si="6"/>
        <v>10854</v>
      </c>
      <c r="N57" t="str">
        <f t="shared" ca="1" si="7"/>
        <v>rg:True</v>
      </c>
      <c r="O57" t="str">
        <f t="shared" ca="1" si="8"/>
        <v>rg:False</v>
      </c>
      <c r="P57">
        <f t="shared" ca="1" si="9"/>
        <v>732059</v>
      </c>
      <c r="Q57" t="str">
        <f t="shared" ca="1" si="10"/>
        <v>2018-08-24</v>
      </c>
      <c r="R57" t="str">
        <f t="shared" ca="1" si="10"/>
        <v>2018-03-13</v>
      </c>
      <c r="S57" t="s">
        <v>6660</v>
      </c>
      <c r="T57" t="s">
        <v>76</v>
      </c>
      <c r="U57" t="s">
        <v>76</v>
      </c>
      <c r="V57" t="s">
        <v>76</v>
      </c>
      <c r="W57" t="s">
        <v>6508</v>
      </c>
      <c r="X57" t="s">
        <v>6508</v>
      </c>
      <c r="Y57" t="s">
        <v>6508</v>
      </c>
      <c r="Z57" t="s">
        <v>6508</v>
      </c>
    </row>
    <row r="58" spans="1:26" x14ac:dyDescent="0.3">
      <c r="A58" t="s">
        <v>7</v>
      </c>
      <c r="B58" t="s">
        <v>4171</v>
      </c>
      <c r="C58">
        <f t="shared" si="3"/>
        <v>200056</v>
      </c>
      <c r="D58" t="str">
        <f t="shared" ca="1" si="0"/>
        <v>2006-10-30</v>
      </c>
      <c r="E58">
        <f>IFERROR(VLOOKUP(B58,'Contacts.csv'!C:D,2,FALSE),"")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>VLOOKUP(I58,LocalAreas.csv!F:J,5,FALSE)</f>
        <v>200074</v>
      </c>
      <c r="I58" s="1" t="s">
        <v>4420</v>
      </c>
      <c r="J58" t="str">
        <f t="shared" si="12"/>
        <v>rg:{'id':'200074'}</v>
      </c>
      <c r="K58" t="str">
        <f t="shared" si="11"/>
        <v>MEGA</v>
      </c>
      <c r="M58">
        <f t="shared" ca="1" si="6"/>
        <v>10237</v>
      </c>
      <c r="N58" t="str">
        <f t="shared" ca="1" si="7"/>
        <v>rg:True</v>
      </c>
      <c r="O58" t="str">
        <f t="shared" ca="1" si="8"/>
        <v>rg:False</v>
      </c>
      <c r="P58">
        <f t="shared" ca="1" si="9"/>
        <v>732151</v>
      </c>
      <c r="Q58" t="str">
        <f t="shared" ca="1" si="10"/>
        <v>2018-04-13</v>
      </c>
      <c r="R58" t="str">
        <f t="shared" ca="1" si="10"/>
        <v>2018-08-19</v>
      </c>
      <c r="S58" t="s">
        <v>6660</v>
      </c>
      <c r="T58" t="s">
        <v>76</v>
      </c>
      <c r="U58" t="s">
        <v>76</v>
      </c>
      <c r="V58" t="s">
        <v>76</v>
      </c>
      <c r="W58" t="s">
        <v>6508</v>
      </c>
      <c r="X58" t="s">
        <v>6508</v>
      </c>
      <c r="Y58" t="s">
        <v>6508</v>
      </c>
      <c r="Z58" t="s">
        <v>6508</v>
      </c>
    </row>
    <row r="59" spans="1:26" x14ac:dyDescent="0.3">
      <c r="A59" t="s">
        <v>7</v>
      </c>
      <c r="B59" t="s">
        <v>3836</v>
      </c>
      <c r="C59">
        <f t="shared" si="3"/>
        <v>200057</v>
      </c>
      <c r="D59" t="str">
        <f t="shared" ca="1" si="0"/>
        <v>2007-03-29</v>
      </c>
      <c r="E59">
        <f>IFERROR(VLOOKUP(B59,'Contacts.csv'!C:D,2,FALSE),"")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>VLOOKUP(I59,LocalAreas.csv!F:J,5,FALSE)</f>
        <v>200074</v>
      </c>
      <c r="I59" s="1" t="s">
        <v>4420</v>
      </c>
      <c r="J59" t="str">
        <f t="shared" si="12"/>
        <v>rg:{'id':'200074'}</v>
      </c>
      <c r="K59" t="str">
        <f t="shared" si="11"/>
        <v>MERV</v>
      </c>
      <c r="M59">
        <f t="shared" ca="1" si="6"/>
        <v>19845</v>
      </c>
      <c r="N59" t="str">
        <f t="shared" ca="1" si="7"/>
        <v>rg:True</v>
      </c>
      <c r="O59" t="str">
        <f t="shared" ca="1" si="8"/>
        <v>rg:True</v>
      </c>
      <c r="P59">
        <f t="shared" ca="1" si="9"/>
        <v>732185</v>
      </c>
      <c r="Q59" t="str">
        <f t="shared" ca="1" si="10"/>
        <v>2018-11-10</v>
      </c>
      <c r="R59" t="str">
        <f t="shared" ca="1" si="10"/>
        <v>2018-04-06</v>
      </c>
      <c r="S59" t="s">
        <v>6660</v>
      </c>
      <c r="T59" t="s">
        <v>76</v>
      </c>
      <c r="U59" t="s">
        <v>76</v>
      </c>
      <c r="V59" t="s">
        <v>76</v>
      </c>
      <c r="W59" t="s">
        <v>6508</v>
      </c>
      <c r="X59" t="s">
        <v>6508</v>
      </c>
      <c r="Y59" t="s">
        <v>6508</v>
      </c>
      <c r="Z59" t="s">
        <v>6508</v>
      </c>
    </row>
    <row r="60" spans="1:26" x14ac:dyDescent="0.3">
      <c r="A60" t="s">
        <v>7</v>
      </c>
      <c r="B60" t="s">
        <v>3746</v>
      </c>
      <c r="C60">
        <f t="shared" si="3"/>
        <v>200058</v>
      </c>
      <c r="D60" t="str">
        <f t="shared" ca="1" si="0"/>
        <v>2014-08-11</v>
      </c>
      <c r="E60">
        <f>IFERROR(VLOOKUP(B60,'Contacts.csv'!C:D,2,FALSE),"")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>VLOOKUP(I60,LocalAreas.csv!F:J,5,FALSE)</f>
        <v>200074</v>
      </c>
      <c r="I60" s="1" t="s">
        <v>4420</v>
      </c>
      <c r="J60" t="str">
        <f t="shared" si="12"/>
        <v>rg:{'id':'200074'}</v>
      </c>
      <c r="K60" t="str">
        <f t="shared" si="11"/>
        <v>MONK</v>
      </c>
      <c r="M60">
        <f t="shared" ca="1" si="6"/>
        <v>12798</v>
      </c>
      <c r="N60" t="str">
        <f t="shared" ca="1" si="7"/>
        <v>rg:True</v>
      </c>
      <c r="O60" t="str">
        <f t="shared" ca="1" si="8"/>
        <v>rg:False</v>
      </c>
      <c r="P60">
        <f t="shared" ca="1" si="9"/>
        <v>732025</v>
      </c>
      <c r="Q60" t="str">
        <f t="shared" ca="1" si="10"/>
        <v>2018-02-20</v>
      </c>
      <c r="R60" t="str">
        <f t="shared" ca="1" si="10"/>
        <v>2018-09-16</v>
      </c>
      <c r="S60" t="s">
        <v>6660</v>
      </c>
      <c r="T60" t="s">
        <v>76</v>
      </c>
      <c r="U60" t="s">
        <v>76</v>
      </c>
      <c r="V60" t="s">
        <v>76</v>
      </c>
      <c r="W60" t="s">
        <v>6508</v>
      </c>
      <c r="X60" t="s">
        <v>6508</v>
      </c>
      <c r="Y60" t="s">
        <v>6508</v>
      </c>
      <c r="Z60" t="s">
        <v>6508</v>
      </c>
    </row>
    <row r="61" spans="1:26" x14ac:dyDescent="0.3">
      <c r="A61" t="s">
        <v>7</v>
      </c>
      <c r="B61" t="s">
        <v>4581</v>
      </c>
      <c r="C61">
        <f t="shared" si="3"/>
        <v>200059</v>
      </c>
      <c r="D61" t="str">
        <f t="shared" ca="1" si="0"/>
        <v>2004-12-16</v>
      </c>
      <c r="E61">
        <f>IFERROR(VLOOKUP(B61,'Contacts.csv'!C:D,2,FALSE),"")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>VLOOKUP(I61,LocalAreas.csv!F:J,5,FALSE)</f>
        <v>200074</v>
      </c>
      <c r="I61" s="1" t="s">
        <v>4420</v>
      </c>
      <c r="J61" t="str">
        <f t="shared" si="12"/>
        <v>rg:{'id':'200074'}</v>
      </c>
      <c r="K61" t="str">
        <f t="shared" si="11"/>
        <v>MONS</v>
      </c>
      <c r="M61">
        <f t="shared" ca="1" si="6"/>
        <v>17295</v>
      </c>
      <c r="N61" t="str">
        <f t="shared" ca="1" si="7"/>
        <v>rg:True</v>
      </c>
      <c r="O61" t="str">
        <f t="shared" ca="1" si="8"/>
        <v>rg:False</v>
      </c>
      <c r="P61">
        <f t="shared" ca="1" si="9"/>
        <v>732123</v>
      </c>
      <c r="Q61" t="str">
        <f t="shared" ca="1" si="10"/>
        <v>2018-08-29</v>
      </c>
      <c r="R61" t="str">
        <f t="shared" ca="1" si="10"/>
        <v>2018-02-04</v>
      </c>
      <c r="S61" t="s">
        <v>6660</v>
      </c>
      <c r="T61" t="s">
        <v>76</v>
      </c>
      <c r="U61" t="s">
        <v>76</v>
      </c>
      <c r="V61" t="s">
        <v>76</v>
      </c>
      <c r="W61" t="s">
        <v>6508</v>
      </c>
      <c r="X61" t="s">
        <v>6508</v>
      </c>
      <c r="Y61" t="s">
        <v>6508</v>
      </c>
      <c r="Z61" t="s">
        <v>6508</v>
      </c>
    </row>
    <row r="62" spans="1:26" x14ac:dyDescent="0.3">
      <c r="A62" t="s">
        <v>7</v>
      </c>
      <c r="B62" t="s">
        <v>4461</v>
      </c>
      <c r="C62">
        <f t="shared" si="3"/>
        <v>200060</v>
      </c>
      <c r="D62" t="str">
        <f t="shared" ca="1" si="0"/>
        <v>2015-02-03</v>
      </c>
      <c r="E62">
        <f>IFERROR(VLOOKUP(B62,'Contacts.csv'!C:D,2,FALSE),"")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>VLOOKUP(I62,LocalAreas.csv!F:J,5,FALSE)</f>
        <v>200074</v>
      </c>
      <c r="I62" s="1" t="s">
        <v>4420</v>
      </c>
      <c r="J62" t="str">
        <f t="shared" si="12"/>
        <v>rg:{'id':'200074'}</v>
      </c>
      <c r="K62" t="str">
        <f t="shared" si="11"/>
        <v>MORR</v>
      </c>
      <c r="M62">
        <f t="shared" ca="1" si="6"/>
        <v>16095</v>
      </c>
      <c r="N62" t="str">
        <f t="shared" ca="1" si="7"/>
        <v>rg:True</v>
      </c>
      <c r="O62" t="str">
        <f t="shared" ca="1" si="8"/>
        <v>rg:False</v>
      </c>
      <c r="P62">
        <f t="shared" ca="1" si="9"/>
        <v>732066</v>
      </c>
      <c r="Q62" t="str">
        <f t="shared" ca="1" si="10"/>
        <v>2018-01-05</v>
      </c>
      <c r="R62" t="str">
        <f t="shared" ca="1" si="10"/>
        <v>2018-01-11</v>
      </c>
      <c r="S62" t="s">
        <v>6662</v>
      </c>
      <c r="T62" t="s">
        <v>76</v>
      </c>
      <c r="U62" t="s">
        <v>76</v>
      </c>
      <c r="V62" t="s">
        <v>76</v>
      </c>
      <c r="W62" t="s">
        <v>6508</v>
      </c>
      <c r="X62" t="s">
        <v>6508</v>
      </c>
      <c r="Y62" t="s">
        <v>6508</v>
      </c>
      <c r="Z62" t="s">
        <v>6508</v>
      </c>
    </row>
    <row r="63" spans="1:26" x14ac:dyDescent="0.3">
      <c r="A63" t="s">
        <v>7</v>
      </c>
      <c r="B63" t="s">
        <v>4273</v>
      </c>
      <c r="C63">
        <f t="shared" si="3"/>
        <v>200061</v>
      </c>
      <c r="D63" t="str">
        <f t="shared" ca="1" si="0"/>
        <v>2005-04-21</v>
      </c>
      <c r="E63">
        <f>IFERROR(VLOOKUP(B63,'Contacts.csv'!C:D,2,FALSE),"")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>VLOOKUP(I63,LocalAreas.csv!F:J,5,FALSE)</f>
        <v>200074</v>
      </c>
      <c r="I63" s="1" t="s">
        <v>4420</v>
      </c>
      <c r="J63" t="str">
        <f t="shared" si="12"/>
        <v>rg:{'id':'200074'}</v>
      </c>
      <c r="K63" t="str">
        <f t="shared" si="11"/>
        <v>MRAG</v>
      </c>
      <c r="M63">
        <f t="shared" ca="1" si="6"/>
        <v>17523</v>
      </c>
      <c r="N63" t="str">
        <f t="shared" ca="1" si="7"/>
        <v>rg:True</v>
      </c>
      <c r="O63" t="str">
        <f t="shared" ca="1" si="8"/>
        <v>rg:False</v>
      </c>
      <c r="P63">
        <f t="shared" ca="1" si="9"/>
        <v>732023</v>
      </c>
      <c r="Q63" t="str">
        <f t="shared" ca="1" si="10"/>
        <v>2018-10-10</v>
      </c>
      <c r="R63" t="str">
        <f t="shared" ca="1" si="10"/>
        <v>2018-09-03</v>
      </c>
      <c r="S63" t="s">
        <v>6660</v>
      </c>
      <c r="T63" t="s">
        <v>76</v>
      </c>
      <c r="U63" t="s">
        <v>76</v>
      </c>
      <c r="V63" t="s">
        <v>76</v>
      </c>
      <c r="W63" t="s">
        <v>6508</v>
      </c>
      <c r="X63" t="s">
        <v>6508</v>
      </c>
      <c r="Y63" t="s">
        <v>6508</v>
      </c>
      <c r="Z63" t="s">
        <v>6508</v>
      </c>
    </row>
    <row r="64" spans="1:26" x14ac:dyDescent="0.3">
      <c r="A64" t="s">
        <v>7</v>
      </c>
      <c r="B64" t="s">
        <v>3112</v>
      </c>
      <c r="C64">
        <f t="shared" si="3"/>
        <v>200062</v>
      </c>
      <c r="D64" t="str">
        <f t="shared" ca="1" si="0"/>
        <v>2016-05-25</v>
      </c>
      <c r="E64">
        <f>IFERROR(VLOOKUP(B64,'Contacts.csv'!C:D,2,FALSE),"")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>VLOOKUP(I64,LocalAreas.csv!F:J,5,FALSE)</f>
        <v>200074</v>
      </c>
      <c r="I64" s="1" t="s">
        <v>4420</v>
      </c>
      <c r="J64" t="str">
        <f t="shared" si="12"/>
        <v>rg:{'id':'200074'}</v>
      </c>
      <c r="K64" t="str">
        <f t="shared" si="11"/>
        <v>MUIR</v>
      </c>
      <c r="M64">
        <f t="shared" ca="1" si="6"/>
        <v>13401</v>
      </c>
      <c r="N64" t="str">
        <f t="shared" ca="1" si="7"/>
        <v>rg:True</v>
      </c>
      <c r="O64" t="str">
        <f t="shared" ca="1" si="8"/>
        <v>rg:True</v>
      </c>
      <c r="P64">
        <f t="shared" ca="1" si="9"/>
        <v>732145</v>
      </c>
      <c r="Q64" t="str">
        <f t="shared" ca="1" si="10"/>
        <v>2018-10-08</v>
      </c>
      <c r="R64" t="str">
        <f t="shared" ca="1" si="10"/>
        <v>2018-01-20</v>
      </c>
      <c r="S64" t="s">
        <v>6660</v>
      </c>
      <c r="T64" t="s">
        <v>76</v>
      </c>
      <c r="U64" t="s">
        <v>76</v>
      </c>
      <c r="V64" t="s">
        <v>76</v>
      </c>
      <c r="W64" t="s">
        <v>6508</v>
      </c>
      <c r="X64" t="s">
        <v>6508</v>
      </c>
      <c r="Y64" t="s">
        <v>6508</v>
      </c>
      <c r="Z64" t="s">
        <v>6508</v>
      </c>
    </row>
    <row r="65" spans="1:26" x14ac:dyDescent="0.3">
      <c r="A65" t="s">
        <v>7</v>
      </c>
      <c r="B65" t="s">
        <v>3148</v>
      </c>
      <c r="C65">
        <f t="shared" si="3"/>
        <v>200063</v>
      </c>
      <c r="D65" t="str">
        <f t="shared" ca="1" si="0"/>
        <v>2011-03-10</v>
      </c>
      <c r="E65">
        <f>IFERROR(VLOOKUP(B65,'Contacts.csv'!C:D,2,FALSE),"")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>VLOOKUP(I65,LocalAreas.csv!F:J,5,FALSE)</f>
        <v>200074</v>
      </c>
      <c r="I65" s="1" t="s">
        <v>4420</v>
      </c>
      <c r="J65" t="str">
        <f t="shared" si="12"/>
        <v>rg:{'id':'200074'}</v>
      </c>
      <c r="K65" t="str">
        <f t="shared" si="11"/>
        <v>MUSE</v>
      </c>
      <c r="M65">
        <f t="shared" ca="1" si="6"/>
        <v>18182</v>
      </c>
      <c r="N65" t="str">
        <f t="shared" ca="1" si="7"/>
        <v>rg:True</v>
      </c>
      <c r="O65" t="str">
        <f t="shared" ca="1" si="8"/>
        <v>rg:False</v>
      </c>
      <c r="P65">
        <f t="shared" ca="1" si="9"/>
        <v>732112</v>
      </c>
      <c r="Q65" t="str">
        <f t="shared" ca="1" si="10"/>
        <v>2018-04-04</v>
      </c>
      <c r="R65" t="str">
        <f t="shared" ca="1" si="10"/>
        <v>2018-04-28</v>
      </c>
      <c r="S65" t="s">
        <v>6661</v>
      </c>
      <c r="T65" t="s">
        <v>5387</v>
      </c>
      <c r="U65" t="s">
        <v>6664</v>
      </c>
      <c r="V65" t="str">
        <f ca="1">TEXT(TODAY()-RANDBETWEEN(10,350),"YYYY-MM-DD")</f>
        <v>2017-09-12</v>
      </c>
      <c r="W65" t="s">
        <v>6508</v>
      </c>
      <c r="X65" t="s">
        <v>6508</v>
      </c>
      <c r="Y65" t="s">
        <v>6508</v>
      </c>
      <c r="Z65" t="s">
        <v>6508</v>
      </c>
    </row>
    <row r="66" spans="1:26" x14ac:dyDescent="0.3">
      <c r="A66" t="s">
        <v>7</v>
      </c>
      <c r="B66" t="s">
        <v>4609</v>
      </c>
      <c r="C66">
        <f t="shared" si="3"/>
        <v>200064</v>
      </c>
      <c r="D66" t="str">
        <f t="shared" ref="D66:D109" ca="1" si="13">TEXT(TODAY()-RANDBETWEEN(200,5000),"YYYY-MM-DD")</f>
        <v>2010-03-29</v>
      </c>
      <c r="E66">
        <f>IFERROR(VLOOKUP(B66,'Contacts.csv'!C:D,2,FALSE),"")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>VLOOKUP(I66,LocalAreas.csv!F:J,5,FALSE)</f>
        <v>200074</v>
      </c>
      <c r="I66" s="1" t="s">
        <v>4420</v>
      </c>
      <c r="J66" t="str">
        <f t="shared" ref="J66:J97" si="14" xml:space="preserve"> "rg:{'id':'" &amp; H66 &amp; "'}"</f>
        <v>rg:{'id':'200074'}</v>
      </c>
      <c r="K66" t="str">
        <f t="shared" si="11"/>
        <v>MUSI</v>
      </c>
      <c r="M66">
        <f t="shared" ca="1" si="6"/>
        <v>13918</v>
      </c>
      <c r="N66" t="str">
        <f t="shared" ca="1" si="7"/>
        <v>rg:True</v>
      </c>
      <c r="O66" t="str">
        <f t="shared" ca="1" si="8"/>
        <v>rg:False</v>
      </c>
      <c r="P66">
        <f t="shared" ca="1" si="9"/>
        <v>732140</v>
      </c>
      <c r="Q66" t="str">
        <f t="shared" ca="1" si="10"/>
        <v>2018-08-02</v>
      </c>
      <c r="R66" t="str">
        <f t="shared" ca="1" si="10"/>
        <v>2018-01-14</v>
      </c>
      <c r="S66" t="s">
        <v>6660</v>
      </c>
      <c r="T66" t="s">
        <v>76</v>
      </c>
      <c r="U66" t="s">
        <v>76</v>
      </c>
      <c r="V66" t="s">
        <v>76</v>
      </c>
      <c r="W66" t="s">
        <v>6508</v>
      </c>
      <c r="X66" t="s">
        <v>6508</v>
      </c>
      <c r="Y66" t="s">
        <v>6508</v>
      </c>
      <c r="Z66" t="s">
        <v>6508</v>
      </c>
    </row>
    <row r="67" spans="1:26" x14ac:dyDescent="0.3">
      <c r="A67" t="s">
        <v>7</v>
      </c>
      <c r="B67" t="s">
        <v>4021</v>
      </c>
      <c r="C67">
        <f t="shared" ref="C67:C109" si="15">IF(ISNUMBER(C66),C66+1,101)</f>
        <v>200065</v>
      </c>
      <c r="D67" t="str">
        <f t="shared" ca="1" si="13"/>
        <v>2010-05-21</v>
      </c>
      <c r="E67">
        <f>IFERROR(VLOOKUP(B67,'Contacts.csv'!C:D,2,FALSE),"")</f>
        <v>200065</v>
      </c>
      <c r="F67" t="str">
        <f t="shared" ref="F67:F109" si="16">IF(ISNUMBER(E67),"rg:{'id':'" &amp; E67 &amp; "'}","rg:None")</f>
        <v>rg:{'id':'200065'}</v>
      </c>
      <c r="G67" s="4" t="str">
        <f t="shared" ref="G67:G109" si="17">IF(ISNUMBER(E67),"rg:[{'id':'" &amp; E67 &amp; "'}]","rg:[]")</f>
        <v>rg:[{'id':'200065'}]</v>
      </c>
      <c r="H67">
        <f>VLOOKUP(I67,LocalAreas.csv!F:J,5,FALSE)</f>
        <v>200074</v>
      </c>
      <c r="I67" s="1" t="s">
        <v>4420</v>
      </c>
      <c r="J67" t="str">
        <f t="shared" si="14"/>
        <v>rg:{'id':'200074'}</v>
      </c>
      <c r="K67" t="str">
        <f t="shared" ref="K67:K109" si="18">UPPER(LEFT(SUBSTITUTE(SUBSTITUTE(SUBSTITUTE(B67,"The","")," ",""),".",""),4))</f>
        <v>NATI</v>
      </c>
      <c r="M67">
        <f t="shared" ref="M67:M109" ca="1" si="19">RANDBETWEEN(10000,20000)</f>
        <v>16002</v>
      </c>
      <c r="N67" t="str">
        <f t="shared" ref="N67:N109" ca="1" si="20">IF(RANDBETWEEN(1,20)&gt;1,"rg:True","rg:True")</f>
        <v>rg:True</v>
      </c>
      <c r="O67" t="str">
        <f t="shared" ref="O67:O109" ca="1" si="21">IF(RANDBETWEEN(1,20)&gt;1,"rg:False","rg:True")</f>
        <v>rg:False</v>
      </c>
      <c r="P67">
        <f t="shared" ref="P67:P109" ca="1" si="22">RANDBETWEEN(732000,732200)</f>
        <v>732041</v>
      </c>
      <c r="Q67" t="str">
        <f t="shared" ref="Q67:R109" ca="1" si="23">TEXT(TODAY()+RANDBETWEEN(-10,350),"YYYY-MM-DD")</f>
        <v>2018-03-04</v>
      </c>
      <c r="R67" t="str">
        <f t="shared" ca="1" si="23"/>
        <v>2018-08-24</v>
      </c>
      <c r="S67" t="s">
        <v>6660</v>
      </c>
      <c r="T67" t="s">
        <v>76</v>
      </c>
      <c r="U67" t="s">
        <v>76</v>
      </c>
      <c r="V67" t="s">
        <v>76</v>
      </c>
      <c r="W67" t="s">
        <v>6508</v>
      </c>
      <c r="X67" t="s">
        <v>6508</v>
      </c>
      <c r="Y67" t="s">
        <v>6508</v>
      </c>
      <c r="Z67" t="s">
        <v>6508</v>
      </c>
    </row>
    <row r="68" spans="1:26" x14ac:dyDescent="0.3">
      <c r="A68" t="s">
        <v>7</v>
      </c>
      <c r="B68" t="s">
        <v>3931</v>
      </c>
      <c r="C68">
        <f t="shared" si="15"/>
        <v>200066</v>
      </c>
      <c r="D68" t="str">
        <f t="shared" ca="1" si="13"/>
        <v>2008-02-06</v>
      </c>
      <c r="E68">
        <f>IFERROR(VLOOKUP(B68,'Contacts.csv'!C:D,2,FALSE),"")</f>
        <v>200066</v>
      </c>
      <c r="F68" t="str">
        <f t="shared" si="16"/>
        <v>rg:{'id':'200066'}</v>
      </c>
      <c r="G68" s="4" t="str">
        <f t="shared" si="17"/>
        <v>rg:[{'id':'200066'}]</v>
      </c>
      <c r="H68">
        <f>VLOOKUP(I68,LocalAreas.csv!F:J,5,FALSE)</f>
        <v>200074</v>
      </c>
      <c r="I68" s="1" t="s">
        <v>4420</v>
      </c>
      <c r="J68" t="str">
        <f t="shared" si="14"/>
        <v>rg:{'id':'200074'}</v>
      </c>
      <c r="K68" t="s">
        <v>7603</v>
      </c>
      <c r="M68">
        <f t="shared" ca="1" si="19"/>
        <v>12648</v>
      </c>
      <c r="N68" t="str">
        <f t="shared" ca="1" si="20"/>
        <v>rg:True</v>
      </c>
      <c r="O68" t="str">
        <f t="shared" ca="1" si="21"/>
        <v>rg:False</v>
      </c>
      <c r="P68">
        <f t="shared" ca="1" si="22"/>
        <v>732057</v>
      </c>
      <c r="Q68" t="str">
        <f t="shared" ca="1" si="23"/>
        <v>2018-03-07</v>
      </c>
      <c r="R68" t="str">
        <f t="shared" ca="1" si="23"/>
        <v>2018-01-06</v>
      </c>
      <c r="S68" t="s">
        <v>6660</v>
      </c>
      <c r="T68" t="s">
        <v>76</v>
      </c>
      <c r="U68" t="s">
        <v>76</v>
      </c>
      <c r="V68" t="s">
        <v>76</v>
      </c>
      <c r="W68" t="s">
        <v>6508</v>
      </c>
      <c r="X68" t="s">
        <v>6508</v>
      </c>
      <c r="Y68" t="s">
        <v>6508</v>
      </c>
      <c r="Z68" t="s">
        <v>6508</v>
      </c>
    </row>
    <row r="69" spans="1:26" x14ac:dyDescent="0.3">
      <c r="A69" t="s">
        <v>7</v>
      </c>
      <c r="B69" t="s">
        <v>4445</v>
      </c>
      <c r="C69">
        <f t="shared" si="15"/>
        <v>200067</v>
      </c>
      <c r="D69" t="str">
        <f t="shared" ca="1" si="13"/>
        <v>2015-10-26</v>
      </c>
      <c r="E69">
        <f>IFERROR(VLOOKUP(B69,'Contacts.csv'!C:D,2,FALSE),"")</f>
        <v>200067</v>
      </c>
      <c r="F69" t="str">
        <f t="shared" si="16"/>
        <v>rg:{'id':'200067'}</v>
      </c>
      <c r="G69" s="4" t="str">
        <f t="shared" si="17"/>
        <v>rg:[{'id':'200067'}]</v>
      </c>
      <c r="H69">
        <f>VLOOKUP(I69,LocalAreas.csv!F:J,5,FALSE)</f>
        <v>200082</v>
      </c>
      <c r="I69" s="1" t="s">
        <v>3703</v>
      </c>
      <c r="J69" t="str">
        <f t="shared" si="14"/>
        <v>rg:{'id':'200082'}</v>
      </c>
      <c r="K69" t="str">
        <f t="shared" si="18"/>
        <v>NEWM</v>
      </c>
      <c r="M69">
        <f t="shared" ca="1" si="19"/>
        <v>14979</v>
      </c>
      <c r="N69" t="str">
        <f t="shared" ca="1" si="20"/>
        <v>rg:True</v>
      </c>
      <c r="O69" t="str">
        <f t="shared" ca="1" si="21"/>
        <v>rg:False</v>
      </c>
      <c r="P69">
        <f t="shared" ca="1" si="22"/>
        <v>732142</v>
      </c>
      <c r="Q69" t="str">
        <f t="shared" ca="1" si="23"/>
        <v>2018-08-10</v>
      </c>
      <c r="R69" t="str">
        <f t="shared" ca="1" si="23"/>
        <v>2018-01-21</v>
      </c>
      <c r="S69" t="s">
        <v>6660</v>
      </c>
      <c r="T69" t="s">
        <v>76</v>
      </c>
      <c r="U69" t="s">
        <v>76</v>
      </c>
      <c r="V69" t="s">
        <v>76</v>
      </c>
      <c r="W69" t="s">
        <v>6508</v>
      </c>
      <c r="X69" t="s">
        <v>6508</v>
      </c>
      <c r="Y69" t="s">
        <v>6508</v>
      </c>
      <c r="Z69" t="s">
        <v>6508</v>
      </c>
    </row>
    <row r="70" spans="1:26" x14ac:dyDescent="0.3">
      <c r="A70" t="s">
        <v>7</v>
      </c>
      <c r="B70" t="s">
        <v>4567</v>
      </c>
      <c r="C70">
        <f t="shared" si="15"/>
        <v>200068</v>
      </c>
      <c r="D70" t="str">
        <f t="shared" ca="1" si="13"/>
        <v>2017-02-02</v>
      </c>
      <c r="E70">
        <f>IFERROR(VLOOKUP(B70,'Contacts.csv'!C:D,2,FALSE),"")</f>
        <v>200068</v>
      </c>
      <c r="F70" t="str">
        <f t="shared" si="16"/>
        <v>rg:{'id':'200068'}</v>
      </c>
      <c r="G70" s="4" t="str">
        <f t="shared" si="17"/>
        <v>rg:[{'id':'200068'}]</v>
      </c>
      <c r="H70">
        <f>VLOOKUP(I70,LocalAreas.csv!F:J,5,FALSE)</f>
        <v>200082</v>
      </c>
      <c r="I70" s="1" t="s">
        <v>3703</v>
      </c>
      <c r="J70" t="str">
        <f t="shared" si="14"/>
        <v>rg:{'id':'200082'}</v>
      </c>
      <c r="K70" t="str">
        <f t="shared" si="18"/>
        <v>OLDA</v>
      </c>
      <c r="M70">
        <f t="shared" ca="1" si="19"/>
        <v>18204</v>
      </c>
      <c r="N70" t="str">
        <f t="shared" ca="1" si="20"/>
        <v>rg:True</v>
      </c>
      <c r="O70" t="str">
        <f t="shared" ca="1" si="21"/>
        <v>rg:False</v>
      </c>
      <c r="P70">
        <f t="shared" ca="1" si="22"/>
        <v>732148</v>
      </c>
      <c r="Q70" t="str">
        <f t="shared" ca="1" si="23"/>
        <v>2018-10-31</v>
      </c>
      <c r="R70" t="str">
        <f t="shared" ca="1" si="23"/>
        <v>2018-10-28</v>
      </c>
      <c r="S70" t="s">
        <v>6660</v>
      </c>
      <c r="T70" t="s">
        <v>76</v>
      </c>
      <c r="U70" t="s">
        <v>76</v>
      </c>
      <c r="V70" t="s">
        <v>76</v>
      </c>
      <c r="W70" t="s">
        <v>6508</v>
      </c>
      <c r="X70" t="s">
        <v>6508</v>
      </c>
      <c r="Y70" t="s">
        <v>6508</v>
      </c>
      <c r="Z70" t="s">
        <v>6508</v>
      </c>
    </row>
    <row r="71" spans="1:26" x14ac:dyDescent="0.3">
      <c r="A71" t="s">
        <v>7</v>
      </c>
      <c r="B71" t="s">
        <v>3793</v>
      </c>
      <c r="C71">
        <f t="shared" si="15"/>
        <v>200069</v>
      </c>
      <c r="D71" t="str">
        <f t="shared" ca="1" si="13"/>
        <v>2004-05-19</v>
      </c>
      <c r="E71">
        <f>IFERROR(VLOOKUP(B71,'Contacts.csv'!C:D,2,FALSE),"")</f>
        <v>200069</v>
      </c>
      <c r="F71" t="str">
        <f t="shared" si="16"/>
        <v>rg:{'id':'200069'}</v>
      </c>
      <c r="G71" s="4" t="str">
        <f t="shared" si="17"/>
        <v>rg:[{'id':'200069'}]</v>
      </c>
      <c r="H71">
        <f>VLOOKUP(I71,LocalAreas.csv!F:J,5,FALSE)</f>
        <v>200082</v>
      </c>
      <c r="I71" s="1" t="s">
        <v>3703</v>
      </c>
      <c r="J71" t="str">
        <f t="shared" si="14"/>
        <v>rg:{'id':'200082'}</v>
      </c>
      <c r="K71" t="str">
        <f t="shared" si="18"/>
        <v>ORAN</v>
      </c>
      <c r="M71">
        <f t="shared" ca="1" si="19"/>
        <v>14499</v>
      </c>
      <c r="N71" t="str">
        <f t="shared" ca="1" si="20"/>
        <v>rg:True</v>
      </c>
      <c r="O71" t="str">
        <f t="shared" ca="1" si="21"/>
        <v>rg:False</v>
      </c>
      <c r="P71">
        <f t="shared" ca="1" si="22"/>
        <v>732008</v>
      </c>
      <c r="Q71" t="str">
        <f t="shared" ca="1" si="23"/>
        <v>2018-10-30</v>
      </c>
      <c r="R71" t="str">
        <f t="shared" ca="1" si="23"/>
        <v>2018-01-04</v>
      </c>
      <c r="S71" t="s">
        <v>6660</v>
      </c>
      <c r="T71" t="s">
        <v>76</v>
      </c>
      <c r="U71" t="s">
        <v>76</v>
      </c>
      <c r="V71" t="s">
        <v>76</v>
      </c>
      <c r="W71" t="s">
        <v>6508</v>
      </c>
      <c r="X71" t="s">
        <v>6508</v>
      </c>
      <c r="Y71" t="s">
        <v>6508</v>
      </c>
      <c r="Z71" t="s">
        <v>6508</v>
      </c>
    </row>
    <row r="72" spans="1:26" x14ac:dyDescent="0.3">
      <c r="A72" t="s">
        <v>7</v>
      </c>
      <c r="B72" t="s">
        <v>4413</v>
      </c>
      <c r="C72">
        <f t="shared" si="15"/>
        <v>200070</v>
      </c>
      <c r="D72" t="str">
        <f t="shared" ca="1" si="13"/>
        <v>2016-03-13</v>
      </c>
      <c r="E72">
        <f>IFERROR(VLOOKUP(B72,'Contacts.csv'!C:D,2,FALSE),"")</f>
        <v>200070</v>
      </c>
      <c r="F72" t="str">
        <f t="shared" si="16"/>
        <v>rg:{'id':'200070'}</v>
      </c>
      <c r="G72" s="4" t="str">
        <f t="shared" si="17"/>
        <v>rg:[{'id':'200070'}]</v>
      </c>
      <c r="H72">
        <f>VLOOKUP(I72,LocalAreas.csv!F:J,5,FALSE)</f>
        <v>200082</v>
      </c>
      <c r="I72" s="1" t="s">
        <v>3703</v>
      </c>
      <c r="J72" t="str">
        <f t="shared" si="14"/>
        <v>rg:{'id':'200082'}</v>
      </c>
      <c r="K72" t="str">
        <f t="shared" si="18"/>
        <v>PSAM</v>
      </c>
      <c r="M72">
        <f t="shared" ca="1" si="19"/>
        <v>18353</v>
      </c>
      <c r="N72" t="str">
        <f t="shared" ca="1" si="20"/>
        <v>rg:True</v>
      </c>
      <c r="O72" t="str">
        <f t="shared" ca="1" si="21"/>
        <v>rg:False</v>
      </c>
      <c r="P72">
        <f t="shared" ca="1" si="22"/>
        <v>732068</v>
      </c>
      <c r="Q72" t="str">
        <f t="shared" ca="1" si="23"/>
        <v>2018-08-25</v>
      </c>
      <c r="R72" t="str">
        <f t="shared" ca="1" si="23"/>
        <v>2017-12-17</v>
      </c>
      <c r="S72" t="s">
        <v>6660</v>
      </c>
      <c r="T72" t="s">
        <v>76</v>
      </c>
      <c r="U72" t="s">
        <v>76</v>
      </c>
      <c r="V72" t="s">
        <v>76</v>
      </c>
      <c r="W72" t="s">
        <v>6508</v>
      </c>
      <c r="X72" t="s">
        <v>6508</v>
      </c>
      <c r="Y72" t="s">
        <v>6508</v>
      </c>
      <c r="Z72" t="s">
        <v>6508</v>
      </c>
    </row>
    <row r="73" spans="1:26" x14ac:dyDescent="0.3">
      <c r="A73" t="s">
        <v>7</v>
      </c>
      <c r="B73" t="s">
        <v>3340</v>
      </c>
      <c r="C73">
        <f t="shared" si="15"/>
        <v>200071</v>
      </c>
      <c r="D73" t="str">
        <f t="shared" ca="1" si="13"/>
        <v>2009-06-30</v>
      </c>
      <c r="E73">
        <f>IFERROR(VLOOKUP(B73,'Contacts.csv'!C:D,2,FALSE),"")</f>
        <v>200071</v>
      </c>
      <c r="F73" t="str">
        <f t="shared" si="16"/>
        <v>rg:{'id':'200071'}</v>
      </c>
      <c r="G73" s="4" t="str">
        <f t="shared" si="17"/>
        <v>rg:[{'id':'200071'}]</v>
      </c>
      <c r="H73">
        <f>VLOOKUP(I73,LocalAreas.csv!F:J,5,FALSE)</f>
        <v>200082</v>
      </c>
      <c r="I73" s="1" t="s">
        <v>3703</v>
      </c>
      <c r="J73" t="str">
        <f t="shared" si="14"/>
        <v>rg:{'id':'200082'}</v>
      </c>
      <c r="K73" t="str">
        <f t="shared" si="18"/>
        <v>PANT</v>
      </c>
      <c r="M73">
        <f t="shared" ca="1" si="19"/>
        <v>13159</v>
      </c>
      <c r="N73" t="str">
        <f t="shared" ca="1" si="20"/>
        <v>rg:True</v>
      </c>
      <c r="O73" t="str">
        <f t="shared" ca="1" si="21"/>
        <v>rg:False</v>
      </c>
      <c r="P73">
        <f t="shared" ca="1" si="22"/>
        <v>732105</v>
      </c>
      <c r="Q73" t="str">
        <f t="shared" ca="1" si="23"/>
        <v>2018-05-24</v>
      </c>
      <c r="R73" t="str">
        <f t="shared" ca="1" si="23"/>
        <v>2018-11-29</v>
      </c>
      <c r="S73" t="s">
        <v>6662</v>
      </c>
      <c r="T73" t="s">
        <v>76</v>
      </c>
      <c r="U73" t="s">
        <v>76</v>
      </c>
      <c r="V73" t="s">
        <v>76</v>
      </c>
      <c r="W73" t="s">
        <v>6508</v>
      </c>
      <c r="X73" t="s">
        <v>6508</v>
      </c>
      <c r="Y73" t="s">
        <v>6508</v>
      </c>
      <c r="Z73" t="s">
        <v>6508</v>
      </c>
    </row>
    <row r="74" spans="1:26" x14ac:dyDescent="0.3">
      <c r="A74" t="s">
        <v>7</v>
      </c>
      <c r="B74" t="s">
        <v>3374</v>
      </c>
      <c r="C74">
        <f t="shared" si="15"/>
        <v>200072</v>
      </c>
      <c r="D74" t="str">
        <f t="shared" ca="1" si="13"/>
        <v>2016-03-05</v>
      </c>
      <c r="E74">
        <f>IFERROR(VLOOKUP(B74,'Contacts.csv'!C:D,2,FALSE),"")</f>
        <v>200072</v>
      </c>
      <c r="F74" t="str">
        <f t="shared" si="16"/>
        <v>rg:{'id':'200072'}</v>
      </c>
      <c r="G74" s="4" t="str">
        <f t="shared" si="17"/>
        <v>rg:[{'id':'200072'}]</v>
      </c>
      <c r="H74">
        <f>VLOOKUP(I74,LocalAreas.csv!F:J,5,FALSE)</f>
        <v>200082</v>
      </c>
      <c r="I74" s="1" t="s">
        <v>3703</v>
      </c>
      <c r="J74" t="str">
        <f t="shared" si="14"/>
        <v>rg:{'id':'200082'}</v>
      </c>
      <c r="K74" t="s">
        <v>7602</v>
      </c>
      <c r="M74">
        <f t="shared" ca="1" si="19"/>
        <v>18613</v>
      </c>
      <c r="N74" t="str">
        <f t="shared" ca="1" si="20"/>
        <v>rg:True</v>
      </c>
      <c r="O74" t="str">
        <f t="shared" ca="1" si="21"/>
        <v>rg:False</v>
      </c>
      <c r="P74">
        <f t="shared" ca="1" si="22"/>
        <v>732082</v>
      </c>
      <c r="Q74" t="str">
        <f t="shared" ca="1" si="23"/>
        <v>2018-08-13</v>
      </c>
      <c r="R74" t="str">
        <f t="shared" ca="1" si="23"/>
        <v>2018-04-01</v>
      </c>
      <c r="S74" t="s">
        <v>6660</v>
      </c>
      <c r="T74" t="s">
        <v>76</v>
      </c>
      <c r="U74" t="s">
        <v>76</v>
      </c>
      <c r="V74" t="s">
        <v>76</v>
      </c>
      <c r="W74" t="s">
        <v>6508</v>
      </c>
      <c r="X74" t="s">
        <v>6508</v>
      </c>
      <c r="Y74" t="s">
        <v>6508</v>
      </c>
      <c r="Z74" t="s">
        <v>6508</v>
      </c>
    </row>
    <row r="75" spans="1:26" x14ac:dyDescent="0.3">
      <c r="A75" t="s">
        <v>7</v>
      </c>
      <c r="B75" t="s">
        <v>3681</v>
      </c>
      <c r="C75">
        <f t="shared" si="15"/>
        <v>200073</v>
      </c>
      <c r="D75" t="str">
        <f t="shared" ca="1" si="13"/>
        <v>2011-03-21</v>
      </c>
      <c r="E75">
        <f>IFERROR(VLOOKUP(B75,'Contacts.csv'!C:D,2,FALSE),"")</f>
        <v>200073</v>
      </c>
      <c r="F75" t="str">
        <f t="shared" si="16"/>
        <v>rg:{'id':'200073'}</v>
      </c>
      <c r="G75" s="4" t="str">
        <f t="shared" si="17"/>
        <v>rg:[{'id':'200073'}]</v>
      </c>
      <c r="H75">
        <f>VLOOKUP(I75,LocalAreas.csv!F:J,5,FALSE)</f>
        <v>200082</v>
      </c>
      <c r="I75" s="1" t="s">
        <v>3703</v>
      </c>
      <c r="J75" t="str">
        <f t="shared" si="14"/>
        <v>rg:{'id':'200082'}</v>
      </c>
      <c r="K75" t="str">
        <f t="shared" si="18"/>
        <v>PART</v>
      </c>
      <c r="M75">
        <f t="shared" ca="1" si="19"/>
        <v>12119</v>
      </c>
      <c r="N75" t="str">
        <f t="shared" ca="1" si="20"/>
        <v>rg:True</v>
      </c>
      <c r="O75" t="str">
        <f t="shared" ca="1" si="21"/>
        <v>rg:False</v>
      </c>
      <c r="P75">
        <f t="shared" ca="1" si="22"/>
        <v>732193</v>
      </c>
      <c r="Q75" t="str">
        <f t="shared" ca="1" si="23"/>
        <v>2018-06-08</v>
      </c>
      <c r="R75" t="str">
        <f t="shared" ca="1" si="23"/>
        <v>2018-07-20</v>
      </c>
      <c r="S75" t="s">
        <v>6660</v>
      </c>
      <c r="T75" t="s">
        <v>76</v>
      </c>
      <c r="U75" t="s">
        <v>76</v>
      </c>
      <c r="V75" t="s">
        <v>76</v>
      </c>
      <c r="W75" t="s">
        <v>6508</v>
      </c>
      <c r="X75" t="s">
        <v>6508</v>
      </c>
      <c r="Y75" t="s">
        <v>6508</v>
      </c>
      <c r="Z75" t="s">
        <v>6508</v>
      </c>
    </row>
    <row r="76" spans="1:26" x14ac:dyDescent="0.3">
      <c r="A76" t="s">
        <v>7</v>
      </c>
      <c r="B76" t="s">
        <v>4324</v>
      </c>
      <c r="C76">
        <f t="shared" si="15"/>
        <v>200074</v>
      </c>
      <c r="D76" t="str">
        <f t="shared" ca="1" si="13"/>
        <v>2012-05-16</v>
      </c>
      <c r="E76">
        <f>IFERROR(VLOOKUP(B76,'Contacts.csv'!C:D,2,FALSE),"")</f>
        <v>200074</v>
      </c>
      <c r="F76" t="str">
        <f t="shared" si="16"/>
        <v>rg:{'id':'200074'}</v>
      </c>
      <c r="G76" s="4" t="str">
        <f t="shared" si="17"/>
        <v>rg:[{'id':'200074'}]</v>
      </c>
      <c r="H76">
        <f>VLOOKUP(I76,LocalAreas.csv!F:J,5,FALSE)</f>
        <v>200082</v>
      </c>
      <c r="I76" s="1" t="s">
        <v>3703</v>
      </c>
      <c r="J76" t="str">
        <f t="shared" si="14"/>
        <v>rg:{'id':'200082'}</v>
      </c>
      <c r="K76" t="str">
        <f t="shared" si="18"/>
        <v>PICC</v>
      </c>
      <c r="M76">
        <f t="shared" ca="1" si="19"/>
        <v>19235</v>
      </c>
      <c r="N76" t="str">
        <f t="shared" ca="1" si="20"/>
        <v>rg:True</v>
      </c>
      <c r="O76" t="str">
        <f t="shared" ca="1" si="21"/>
        <v>rg:False</v>
      </c>
      <c r="P76">
        <f t="shared" ca="1" si="22"/>
        <v>732172</v>
      </c>
      <c r="Q76" t="str">
        <f t="shared" ca="1" si="23"/>
        <v>2018-12-01</v>
      </c>
      <c r="R76" t="str">
        <f t="shared" ca="1" si="23"/>
        <v>2018-02-15</v>
      </c>
      <c r="S76" t="s">
        <v>6661</v>
      </c>
      <c r="T76" t="s">
        <v>5387</v>
      </c>
      <c r="U76" t="s">
        <v>6665</v>
      </c>
      <c r="V76" t="str">
        <f ca="1">TEXT(TODAY()-RANDBETWEEN(10,350),"YYYY-MM-DD")</f>
        <v>2017-08-15</v>
      </c>
      <c r="W76" t="s">
        <v>6508</v>
      </c>
      <c r="X76" t="s">
        <v>6508</v>
      </c>
      <c r="Y76" t="s">
        <v>6508</v>
      </c>
      <c r="Z76" t="s">
        <v>6508</v>
      </c>
    </row>
    <row r="77" spans="1:26" x14ac:dyDescent="0.3">
      <c r="A77" t="s">
        <v>7</v>
      </c>
      <c r="B77" t="s">
        <v>3054</v>
      </c>
      <c r="C77">
        <f t="shared" si="15"/>
        <v>200075</v>
      </c>
      <c r="D77" t="str">
        <f t="shared" ca="1" si="13"/>
        <v>2007-03-12</v>
      </c>
      <c r="E77">
        <f>IFERROR(VLOOKUP(B77,'Contacts.csv'!C:D,2,FALSE),"")</f>
        <v>200075</v>
      </c>
      <c r="F77" t="str">
        <f t="shared" si="16"/>
        <v>rg:{'id':'200075'}</v>
      </c>
      <c r="G77" s="4" t="str">
        <f t="shared" si="17"/>
        <v>rg:[{'id':'200075'}]</v>
      </c>
      <c r="H77">
        <f>VLOOKUP(I77,LocalAreas.csv!F:J,5,FALSE)</f>
        <v>200082</v>
      </c>
      <c r="I77" s="1" t="s">
        <v>3703</v>
      </c>
      <c r="J77" t="str">
        <f t="shared" si="14"/>
        <v>rg:{'id':'200082'}</v>
      </c>
      <c r="K77" t="s">
        <v>7601</v>
      </c>
      <c r="M77">
        <f t="shared" ca="1" si="19"/>
        <v>11556</v>
      </c>
      <c r="N77" t="str">
        <f t="shared" ca="1" si="20"/>
        <v>rg:True</v>
      </c>
      <c r="O77" t="str">
        <f t="shared" ca="1" si="21"/>
        <v>rg:False</v>
      </c>
      <c r="P77">
        <f t="shared" ca="1" si="22"/>
        <v>732034</v>
      </c>
      <c r="Q77" t="str">
        <f t="shared" ca="1" si="23"/>
        <v>2018-02-08</v>
      </c>
      <c r="R77" t="str">
        <f t="shared" ca="1" si="23"/>
        <v>2018-06-17</v>
      </c>
      <c r="S77" t="s">
        <v>6660</v>
      </c>
      <c r="T77" t="s">
        <v>76</v>
      </c>
      <c r="U77" t="s">
        <v>76</v>
      </c>
      <c r="V77" t="s">
        <v>76</v>
      </c>
      <c r="W77" t="s">
        <v>6508</v>
      </c>
      <c r="X77" t="s">
        <v>6508</v>
      </c>
      <c r="Y77" t="s">
        <v>6508</v>
      </c>
      <c r="Z77" t="s">
        <v>6508</v>
      </c>
    </row>
    <row r="78" spans="1:26" x14ac:dyDescent="0.3">
      <c r="A78" t="s">
        <v>7</v>
      </c>
      <c r="B78" t="s">
        <v>4791</v>
      </c>
      <c r="C78">
        <f t="shared" si="15"/>
        <v>200076</v>
      </c>
      <c r="D78" t="str">
        <f t="shared" ca="1" si="13"/>
        <v>2005-05-11</v>
      </c>
      <c r="E78">
        <f>IFERROR(VLOOKUP(B78,'Contacts.csv'!C:D,2,FALSE),"")</f>
        <v>200076</v>
      </c>
      <c r="F78" t="str">
        <f t="shared" si="16"/>
        <v>rg:{'id':'200076'}</v>
      </c>
      <c r="G78" s="4" t="str">
        <f t="shared" si="17"/>
        <v>rg:[{'id':'200076'}]</v>
      </c>
      <c r="H78">
        <f>VLOOKUP(I78,LocalAreas.csv!F:J,5,FALSE)</f>
        <v>200082</v>
      </c>
      <c r="I78" s="1" t="s">
        <v>3703</v>
      </c>
      <c r="J78" t="str">
        <f t="shared" si="14"/>
        <v>rg:{'id':'200082'}</v>
      </c>
      <c r="K78" t="s">
        <v>7600</v>
      </c>
      <c r="M78">
        <f t="shared" ca="1" si="19"/>
        <v>10700</v>
      </c>
      <c r="N78" t="str">
        <f t="shared" ca="1" si="20"/>
        <v>rg:True</v>
      </c>
      <c r="O78" t="str">
        <f t="shared" ca="1" si="21"/>
        <v>rg:False</v>
      </c>
      <c r="P78">
        <f t="shared" ca="1" si="22"/>
        <v>732028</v>
      </c>
      <c r="Q78" t="str">
        <f t="shared" ca="1" si="23"/>
        <v>2018-08-11</v>
      </c>
      <c r="R78" t="str">
        <f t="shared" ca="1" si="23"/>
        <v>2018-07-19</v>
      </c>
      <c r="S78" t="s">
        <v>6660</v>
      </c>
      <c r="T78" t="s">
        <v>76</v>
      </c>
      <c r="U78" t="s">
        <v>76</v>
      </c>
      <c r="V78" t="s">
        <v>76</v>
      </c>
      <c r="W78" t="s">
        <v>6508</v>
      </c>
      <c r="X78" t="s">
        <v>6508</v>
      </c>
      <c r="Y78" t="s">
        <v>6508</v>
      </c>
      <c r="Z78" t="s">
        <v>6508</v>
      </c>
    </row>
    <row r="79" spans="1:26" x14ac:dyDescent="0.3">
      <c r="A79" t="s">
        <v>7</v>
      </c>
      <c r="B79" t="s">
        <v>4685</v>
      </c>
      <c r="C79">
        <f t="shared" si="15"/>
        <v>200077</v>
      </c>
      <c r="D79" t="str">
        <f t="shared" ca="1" si="13"/>
        <v>2006-01-01</v>
      </c>
      <c r="E79">
        <f>IFERROR(VLOOKUP(B79,'Contacts.csv'!C:D,2,FALSE),"")</f>
        <v>200077</v>
      </c>
      <c r="F79" t="str">
        <f t="shared" si="16"/>
        <v>rg:{'id':'200077'}</v>
      </c>
      <c r="G79" s="4" t="str">
        <f t="shared" si="17"/>
        <v>rg:[{'id':'200077'}]</v>
      </c>
      <c r="H79">
        <f>VLOOKUP(I79,LocalAreas.csv!F:J,5,FALSE)</f>
        <v>200082</v>
      </c>
      <c r="I79" s="1" t="s">
        <v>3703</v>
      </c>
      <c r="J79" t="str">
        <f t="shared" si="14"/>
        <v>rg:{'id':'200082'}</v>
      </c>
      <c r="K79" t="str">
        <f t="shared" si="18"/>
        <v>PROY</v>
      </c>
      <c r="M79">
        <f t="shared" ca="1" si="19"/>
        <v>17474</v>
      </c>
      <c r="N79" t="str">
        <f t="shared" ca="1" si="20"/>
        <v>rg:True</v>
      </c>
      <c r="O79" t="str">
        <f t="shared" ca="1" si="21"/>
        <v>rg:False</v>
      </c>
      <c r="P79">
        <f t="shared" ca="1" si="22"/>
        <v>732140</v>
      </c>
      <c r="Q79" t="str">
        <f t="shared" ca="1" si="23"/>
        <v>2018-08-07</v>
      </c>
      <c r="R79" t="str">
        <f t="shared" ca="1" si="23"/>
        <v>2018-03-16</v>
      </c>
      <c r="S79" t="s">
        <v>6660</v>
      </c>
      <c r="T79" t="s">
        <v>76</v>
      </c>
      <c r="U79" t="s">
        <v>76</v>
      </c>
      <c r="V79" t="s">
        <v>76</v>
      </c>
      <c r="W79" t="s">
        <v>6508</v>
      </c>
      <c r="X79" t="s">
        <v>6508</v>
      </c>
      <c r="Y79" t="s">
        <v>6508</v>
      </c>
      <c r="Z79" t="s">
        <v>6508</v>
      </c>
    </row>
    <row r="80" spans="1:26" x14ac:dyDescent="0.3">
      <c r="A80" t="s">
        <v>7</v>
      </c>
      <c r="B80" t="s">
        <v>3961</v>
      </c>
      <c r="C80">
        <f t="shared" si="15"/>
        <v>200078</v>
      </c>
      <c r="D80" t="str">
        <f t="shared" ca="1" si="13"/>
        <v>2015-09-11</v>
      </c>
      <c r="E80">
        <f>IFERROR(VLOOKUP(B80,'Contacts.csv'!C:D,2,FALSE),"")</f>
        <v>200078</v>
      </c>
      <c r="F80" t="str">
        <f t="shared" si="16"/>
        <v>rg:{'id':'200078'}</v>
      </c>
      <c r="G80" s="4" t="str">
        <f t="shared" si="17"/>
        <v>rg:[{'id':'200078'}]</v>
      </c>
      <c r="H80">
        <f>VLOOKUP(I80,LocalAreas.csv!F:J,5,FALSE)</f>
        <v>200082</v>
      </c>
      <c r="I80" s="1" t="s">
        <v>3703</v>
      </c>
      <c r="J80" t="str">
        <f t="shared" si="14"/>
        <v>rg:{'id':'200082'}</v>
      </c>
      <c r="K80" t="s">
        <v>7599</v>
      </c>
      <c r="M80">
        <f t="shared" ca="1" si="19"/>
        <v>17039</v>
      </c>
      <c r="N80" t="str">
        <f t="shared" ca="1" si="20"/>
        <v>rg:True</v>
      </c>
      <c r="O80" t="str">
        <f t="shared" ca="1" si="21"/>
        <v>rg:False</v>
      </c>
      <c r="P80">
        <f t="shared" ca="1" si="22"/>
        <v>732093</v>
      </c>
      <c r="Q80" t="str">
        <f t="shared" ca="1" si="23"/>
        <v>2018-07-29</v>
      </c>
      <c r="R80" t="str">
        <f t="shared" ca="1" si="23"/>
        <v>2018-03-21</v>
      </c>
      <c r="S80" t="s">
        <v>6660</v>
      </c>
      <c r="T80" t="s">
        <v>76</v>
      </c>
      <c r="U80" t="s">
        <v>76</v>
      </c>
      <c r="V80" t="s">
        <v>76</v>
      </c>
      <c r="W80" t="s">
        <v>6508</v>
      </c>
      <c r="X80" t="s">
        <v>6508</v>
      </c>
      <c r="Y80" t="s">
        <v>6508</v>
      </c>
      <c r="Z80" t="s">
        <v>6508</v>
      </c>
    </row>
    <row r="81" spans="1:26" x14ac:dyDescent="0.3">
      <c r="A81" t="s">
        <v>7</v>
      </c>
      <c r="B81" t="s">
        <v>3271</v>
      </c>
      <c r="C81">
        <f t="shared" si="15"/>
        <v>200079</v>
      </c>
      <c r="D81" t="str">
        <f t="shared" ca="1" si="13"/>
        <v>2011-08-19</v>
      </c>
      <c r="E81">
        <f>IFERROR(VLOOKUP(B81,'Contacts.csv'!C:D,2,FALSE),"")</f>
        <v>200079</v>
      </c>
      <c r="F81" t="str">
        <f t="shared" si="16"/>
        <v>rg:{'id':'200079'}</v>
      </c>
      <c r="G81" s="4" t="str">
        <f t="shared" si="17"/>
        <v>rg:[{'id':'200079'}]</v>
      </c>
      <c r="H81">
        <f>VLOOKUP(I81,LocalAreas.csv!F:J,5,FALSE)</f>
        <v>200082</v>
      </c>
      <c r="I81" s="1" t="s">
        <v>3703</v>
      </c>
      <c r="J81" t="str">
        <f t="shared" si="14"/>
        <v>rg:{'id':'200082'}</v>
      </c>
      <c r="K81" t="s">
        <v>7598</v>
      </c>
      <c r="L81" t="s">
        <v>6659</v>
      </c>
      <c r="M81">
        <f t="shared" ca="1" si="19"/>
        <v>19395</v>
      </c>
      <c r="N81" t="str">
        <f t="shared" ca="1" si="20"/>
        <v>rg:True</v>
      </c>
      <c r="O81" t="str">
        <f t="shared" ca="1" si="21"/>
        <v>rg:False</v>
      </c>
      <c r="P81">
        <f t="shared" ca="1" si="22"/>
        <v>732150</v>
      </c>
      <c r="Q81" t="str">
        <f t="shared" ca="1" si="23"/>
        <v>2018-01-19</v>
      </c>
      <c r="R81" t="str">
        <f t="shared" ca="1" si="23"/>
        <v>2018-02-12</v>
      </c>
      <c r="S81" t="s">
        <v>6660</v>
      </c>
      <c r="T81" t="s">
        <v>76</v>
      </c>
      <c r="U81" t="s">
        <v>76</v>
      </c>
      <c r="V81" t="s">
        <v>76</v>
      </c>
      <c r="W81" t="s">
        <v>6508</v>
      </c>
      <c r="X81" t="s">
        <v>6508</v>
      </c>
      <c r="Y81" t="s">
        <v>6508</v>
      </c>
      <c r="Z81" t="s">
        <v>6508</v>
      </c>
    </row>
    <row r="82" spans="1:26" x14ac:dyDescent="0.3">
      <c r="A82" t="s">
        <v>7</v>
      </c>
      <c r="B82" t="s">
        <v>4355</v>
      </c>
      <c r="C82">
        <f t="shared" si="15"/>
        <v>200080</v>
      </c>
      <c r="D82" t="str">
        <f t="shared" ca="1" si="13"/>
        <v>2010-02-11</v>
      </c>
      <c r="E82">
        <f>IFERROR(VLOOKUP(B82,'Contacts.csv'!C:D,2,FALSE),"")</f>
        <v>200080</v>
      </c>
      <c r="F82" t="str">
        <f t="shared" si="16"/>
        <v>rg:{'id':'200080'}</v>
      </c>
      <c r="G82" s="4" t="str">
        <f t="shared" si="17"/>
        <v>rg:[{'id':'200080'}]</v>
      </c>
      <c r="H82">
        <f>VLOOKUP(I82,LocalAreas.csv!F:J,5,FALSE)</f>
        <v>200082</v>
      </c>
      <c r="I82" s="1" t="s">
        <v>3703</v>
      </c>
      <c r="J82" t="str">
        <f t="shared" si="14"/>
        <v>rg:{'id':'200082'}</v>
      </c>
      <c r="K82" t="str">
        <f t="shared" si="18"/>
        <v>REDF</v>
      </c>
      <c r="M82">
        <f t="shared" ca="1" si="19"/>
        <v>13205</v>
      </c>
      <c r="N82" t="str">
        <f t="shared" ca="1" si="20"/>
        <v>rg:True</v>
      </c>
      <c r="O82" t="str">
        <f t="shared" ca="1" si="21"/>
        <v>rg:False</v>
      </c>
      <c r="P82">
        <f t="shared" ca="1" si="22"/>
        <v>732007</v>
      </c>
      <c r="Q82" t="str">
        <f t="shared" ca="1" si="23"/>
        <v>2018-04-26</v>
      </c>
      <c r="R82" t="str">
        <f t="shared" ca="1" si="23"/>
        <v>2018-11-06</v>
      </c>
      <c r="S82" t="s">
        <v>6660</v>
      </c>
      <c r="T82" t="s">
        <v>76</v>
      </c>
      <c r="U82" t="s">
        <v>76</v>
      </c>
      <c r="V82" t="s">
        <v>76</v>
      </c>
      <c r="W82" t="s">
        <v>6508</v>
      </c>
      <c r="X82" t="s">
        <v>6508</v>
      </c>
      <c r="Y82" t="s">
        <v>6508</v>
      </c>
      <c r="Z82" t="s">
        <v>6508</v>
      </c>
    </row>
    <row r="83" spans="1:26" x14ac:dyDescent="0.3">
      <c r="A83" t="s">
        <v>7</v>
      </c>
      <c r="B83" t="s">
        <v>4113</v>
      </c>
      <c r="C83">
        <f t="shared" si="15"/>
        <v>200081</v>
      </c>
      <c r="D83" t="str">
        <f t="shared" ca="1" si="13"/>
        <v>2016-01-06</v>
      </c>
      <c r="E83">
        <f>IFERROR(VLOOKUP(B83,'Contacts.csv'!C:D,2,FALSE),"")</f>
        <v>200081</v>
      </c>
      <c r="F83" t="str">
        <f t="shared" si="16"/>
        <v>rg:{'id':'200081'}</v>
      </c>
      <c r="G83" s="4" t="str">
        <f t="shared" si="17"/>
        <v>rg:[{'id':'200081'}]</v>
      </c>
      <c r="H83">
        <f>VLOOKUP(I83,LocalAreas.csv!F:J,5,FALSE)</f>
        <v>200082</v>
      </c>
      <c r="I83" s="1" t="s">
        <v>3703</v>
      </c>
      <c r="J83" t="str">
        <f t="shared" si="14"/>
        <v>rg:{'id':'200082'}</v>
      </c>
      <c r="K83" t="s">
        <v>7597</v>
      </c>
      <c r="M83">
        <f t="shared" ca="1" si="19"/>
        <v>16625</v>
      </c>
      <c r="N83" t="str">
        <f t="shared" ca="1" si="20"/>
        <v>rg:True</v>
      </c>
      <c r="O83" t="str">
        <f t="shared" ca="1" si="21"/>
        <v>rg:False</v>
      </c>
      <c r="P83">
        <f t="shared" ca="1" si="22"/>
        <v>732045</v>
      </c>
      <c r="Q83" t="str">
        <f t="shared" ca="1" si="23"/>
        <v>2018-08-07</v>
      </c>
      <c r="R83" t="str">
        <f t="shared" ca="1" si="23"/>
        <v>2018-01-27</v>
      </c>
      <c r="S83" t="s">
        <v>6660</v>
      </c>
      <c r="T83" t="s">
        <v>76</v>
      </c>
      <c r="U83" t="s">
        <v>76</v>
      </c>
      <c r="V83" t="s">
        <v>76</v>
      </c>
      <c r="W83" t="s">
        <v>6508</v>
      </c>
      <c r="X83" t="s">
        <v>6508</v>
      </c>
      <c r="Y83" t="s">
        <v>6508</v>
      </c>
      <c r="Z83" t="s">
        <v>6508</v>
      </c>
    </row>
    <row r="84" spans="1:26" x14ac:dyDescent="0.3">
      <c r="A84" t="s">
        <v>7</v>
      </c>
      <c r="B84" t="s">
        <v>4126</v>
      </c>
      <c r="C84">
        <f t="shared" si="15"/>
        <v>200082</v>
      </c>
      <c r="D84" t="str">
        <f t="shared" ca="1" si="13"/>
        <v>2006-09-11</v>
      </c>
      <c r="E84">
        <f>IFERROR(VLOOKUP(B84,'Contacts.csv'!C:D,2,FALSE),"")</f>
        <v>200082</v>
      </c>
      <c r="F84" t="str">
        <f t="shared" si="16"/>
        <v>rg:{'id':'200082'}</v>
      </c>
      <c r="G84" s="4" t="str">
        <f t="shared" si="17"/>
        <v>rg:[{'id':'200082'}]</v>
      </c>
      <c r="H84">
        <f>VLOOKUP(I84,LocalAreas.csv!F:J,5,FALSE)</f>
        <v>200082</v>
      </c>
      <c r="I84" s="1" t="s">
        <v>3703</v>
      </c>
      <c r="J84" t="str">
        <f t="shared" si="14"/>
        <v>rg:{'id':'200082'}</v>
      </c>
      <c r="K84" t="str">
        <f t="shared" si="18"/>
        <v>REDO</v>
      </c>
      <c r="M84">
        <f t="shared" ca="1" si="19"/>
        <v>16861</v>
      </c>
      <c r="N84" t="str">
        <f t="shared" ca="1" si="20"/>
        <v>rg:True</v>
      </c>
      <c r="O84" t="str">
        <f t="shared" ca="1" si="21"/>
        <v>rg:False</v>
      </c>
      <c r="P84">
        <f t="shared" ca="1" si="22"/>
        <v>732057</v>
      </c>
      <c r="Q84" t="str">
        <f t="shared" ca="1" si="23"/>
        <v>2018-07-14</v>
      </c>
      <c r="R84" t="str">
        <f t="shared" ca="1" si="23"/>
        <v>2018-05-19</v>
      </c>
      <c r="S84" t="s">
        <v>6660</v>
      </c>
      <c r="T84" t="s">
        <v>76</v>
      </c>
      <c r="U84" t="s">
        <v>76</v>
      </c>
      <c r="V84" t="s">
        <v>76</v>
      </c>
      <c r="W84" t="s">
        <v>6508</v>
      </c>
      <c r="X84" t="s">
        <v>6508</v>
      </c>
      <c r="Y84" t="s">
        <v>6508</v>
      </c>
      <c r="Z84" t="s">
        <v>6508</v>
      </c>
    </row>
    <row r="85" spans="1:26" x14ac:dyDescent="0.3">
      <c r="A85" t="s">
        <v>7</v>
      </c>
      <c r="B85" t="s">
        <v>3570</v>
      </c>
      <c r="C85">
        <f t="shared" si="15"/>
        <v>200083</v>
      </c>
      <c r="D85" t="str">
        <f t="shared" ca="1" si="13"/>
        <v>2010-03-16</v>
      </c>
      <c r="E85">
        <f>IFERROR(VLOOKUP(B85,'Contacts.csv'!C:D,2,FALSE),"")</f>
        <v>200083</v>
      </c>
      <c r="F85" t="str">
        <f t="shared" si="16"/>
        <v>rg:{'id':'200083'}</v>
      </c>
      <c r="G85" s="4" t="str">
        <f t="shared" si="17"/>
        <v>rg:[{'id':'200083'}]</v>
      </c>
      <c r="H85">
        <f>VLOOKUP(I85,LocalAreas.csv!F:J,5,FALSE)</f>
        <v>200083</v>
      </c>
      <c r="I85" s="1" t="s">
        <v>6490</v>
      </c>
      <c r="J85" t="str">
        <f t="shared" si="14"/>
        <v>rg:{'id':'200083'}</v>
      </c>
      <c r="K85" t="str">
        <f t="shared" si="18"/>
        <v>RELI</v>
      </c>
      <c r="M85">
        <f t="shared" ca="1" si="19"/>
        <v>15187</v>
      </c>
      <c r="N85" t="str">
        <f t="shared" ca="1" si="20"/>
        <v>rg:True</v>
      </c>
      <c r="O85" t="str">
        <f t="shared" ca="1" si="21"/>
        <v>rg:False</v>
      </c>
      <c r="P85">
        <f t="shared" ca="1" si="22"/>
        <v>732054</v>
      </c>
      <c r="Q85" t="str">
        <f t="shared" ca="1" si="23"/>
        <v>2018-11-16</v>
      </c>
      <c r="R85" t="str">
        <f t="shared" ca="1" si="23"/>
        <v>2018-02-10</v>
      </c>
      <c r="S85" t="s">
        <v>6661</v>
      </c>
      <c r="T85" t="s">
        <v>5387</v>
      </c>
      <c r="U85" t="s">
        <v>6666</v>
      </c>
      <c r="V85" t="str">
        <f ca="1">TEXT(TODAY()-RANDBETWEEN(10,350),"YYYY-MM-DD")</f>
        <v>2017-04-05</v>
      </c>
      <c r="W85" t="s">
        <v>6508</v>
      </c>
      <c r="X85" t="s">
        <v>6508</v>
      </c>
      <c r="Y85" t="s">
        <v>6508</v>
      </c>
      <c r="Z85" t="s">
        <v>6508</v>
      </c>
    </row>
    <row r="86" spans="1:26" x14ac:dyDescent="0.3">
      <c r="A86" t="s">
        <v>7</v>
      </c>
      <c r="B86" t="s">
        <v>4259</v>
      </c>
      <c r="C86">
        <f t="shared" si="15"/>
        <v>200084</v>
      </c>
      <c r="D86" t="str">
        <f t="shared" ca="1" si="13"/>
        <v>2016-10-26</v>
      </c>
      <c r="E86">
        <f>IFERROR(VLOOKUP(B86,'Contacts.csv'!C:D,2,FALSE),"")</f>
        <v>200084</v>
      </c>
      <c r="F86" t="str">
        <f t="shared" si="16"/>
        <v>rg:{'id':'200084'}</v>
      </c>
      <c r="G86" s="4" t="str">
        <f t="shared" si="17"/>
        <v>rg:[{'id':'200084'}]</v>
      </c>
      <c r="H86">
        <f>VLOOKUP(I86,LocalAreas.csv!F:J,5,FALSE)</f>
        <v>200083</v>
      </c>
      <c r="I86" s="1" t="s">
        <v>6490</v>
      </c>
      <c r="J86" t="str">
        <f t="shared" si="14"/>
        <v>rg:{'id':'200083'}</v>
      </c>
      <c r="K86" t="str">
        <f t="shared" si="18"/>
        <v>ROAD</v>
      </c>
      <c r="M86">
        <f t="shared" ca="1" si="19"/>
        <v>14759</v>
      </c>
      <c r="N86" t="str">
        <f t="shared" ca="1" si="20"/>
        <v>rg:True</v>
      </c>
      <c r="O86" t="str">
        <f t="shared" ca="1" si="21"/>
        <v>rg:False</v>
      </c>
      <c r="P86">
        <f t="shared" ca="1" si="22"/>
        <v>732133</v>
      </c>
      <c r="Q86" t="str">
        <f t="shared" ca="1" si="23"/>
        <v>2018-08-18</v>
      </c>
      <c r="R86" t="str">
        <f t="shared" ca="1" si="23"/>
        <v>2018-11-22</v>
      </c>
      <c r="S86" t="s">
        <v>6660</v>
      </c>
      <c r="T86" t="s">
        <v>76</v>
      </c>
      <c r="U86" t="s">
        <v>76</v>
      </c>
      <c r="V86" t="s">
        <v>76</v>
      </c>
      <c r="W86" t="s">
        <v>6508</v>
      </c>
      <c r="X86" t="s">
        <v>6508</v>
      </c>
      <c r="Y86" t="s">
        <v>6508</v>
      </c>
      <c r="Z86" t="s">
        <v>6508</v>
      </c>
    </row>
    <row r="87" spans="1:26" x14ac:dyDescent="0.3">
      <c r="A87" t="s">
        <v>7</v>
      </c>
      <c r="B87" t="s">
        <v>3777</v>
      </c>
      <c r="C87">
        <f t="shared" si="15"/>
        <v>200085</v>
      </c>
      <c r="D87" t="str">
        <f t="shared" ca="1" si="13"/>
        <v>2017-01-19</v>
      </c>
      <c r="E87">
        <f>IFERROR(VLOOKUP(B87,'Contacts.csv'!C:D,2,FALSE),"")</f>
        <v>200085</v>
      </c>
      <c r="F87" t="str">
        <f t="shared" si="16"/>
        <v>rg:{'id':'200085'}</v>
      </c>
      <c r="G87" s="4" t="str">
        <f t="shared" si="17"/>
        <v>rg:[{'id':'200085'}]</v>
      </c>
      <c r="H87">
        <f>VLOOKUP(I87,LocalAreas.csv!F:J,5,FALSE)</f>
        <v>200083</v>
      </c>
      <c r="I87" s="1" t="s">
        <v>6490</v>
      </c>
      <c r="J87" t="str">
        <f t="shared" si="14"/>
        <v>rg:{'id':'200083'}</v>
      </c>
      <c r="K87" t="str">
        <f t="shared" si="18"/>
        <v>ROSS</v>
      </c>
      <c r="L87" t="s">
        <v>6658</v>
      </c>
      <c r="M87">
        <f t="shared" ca="1" si="19"/>
        <v>18415</v>
      </c>
      <c r="N87" t="str">
        <f t="shared" ca="1" si="20"/>
        <v>rg:True</v>
      </c>
      <c r="O87" t="str">
        <f t="shared" ca="1" si="21"/>
        <v>rg:False</v>
      </c>
      <c r="P87">
        <f t="shared" ca="1" si="22"/>
        <v>732112</v>
      </c>
      <c r="Q87" t="str">
        <f t="shared" ca="1" si="23"/>
        <v>2018-06-01</v>
      </c>
      <c r="R87" t="str">
        <f t="shared" ca="1" si="23"/>
        <v>2018-07-01</v>
      </c>
      <c r="S87" t="s">
        <v>6661</v>
      </c>
      <c r="T87" t="s">
        <v>5387</v>
      </c>
      <c r="U87" t="s">
        <v>6665</v>
      </c>
      <c r="V87" t="str">
        <f ca="1">TEXT(TODAY()-RANDBETWEEN(10,350),"YYYY-MM-DD")</f>
        <v>2017-09-22</v>
      </c>
      <c r="W87" t="s">
        <v>6508</v>
      </c>
      <c r="X87" t="s">
        <v>6508</v>
      </c>
      <c r="Y87" t="s">
        <v>6508</v>
      </c>
      <c r="Z87" t="s">
        <v>6508</v>
      </c>
    </row>
    <row r="88" spans="1:26" x14ac:dyDescent="0.3">
      <c r="A88" t="s">
        <v>7</v>
      </c>
      <c r="B88" t="s">
        <v>3390</v>
      </c>
      <c r="C88">
        <f t="shared" si="15"/>
        <v>200086</v>
      </c>
      <c r="D88" t="str">
        <f t="shared" ca="1" si="13"/>
        <v>2008-02-14</v>
      </c>
      <c r="E88">
        <f>IFERROR(VLOOKUP(B88,'Contacts.csv'!C:D,2,FALSE),"")</f>
        <v>200086</v>
      </c>
      <c r="F88" t="str">
        <f t="shared" si="16"/>
        <v>rg:{'id':'200086'}</v>
      </c>
      <c r="G88" s="4" t="str">
        <f t="shared" si="17"/>
        <v>rg:[{'id':'200086'}]</v>
      </c>
      <c r="H88">
        <f>VLOOKUP(I88,LocalAreas.csv!F:J,5,FALSE)</f>
        <v>200083</v>
      </c>
      <c r="I88" s="1" t="s">
        <v>6490</v>
      </c>
      <c r="J88" t="str">
        <f t="shared" si="14"/>
        <v>rg:{'id':'200083'}</v>
      </c>
      <c r="K88" t="str">
        <f t="shared" si="18"/>
        <v>SAND</v>
      </c>
      <c r="L88" t="s">
        <v>6659</v>
      </c>
      <c r="M88">
        <f t="shared" ca="1" si="19"/>
        <v>15218</v>
      </c>
      <c r="N88" t="str">
        <f t="shared" ca="1" si="20"/>
        <v>rg:True</v>
      </c>
      <c r="O88" t="str">
        <f t="shared" ca="1" si="21"/>
        <v>rg:False</v>
      </c>
      <c r="P88">
        <f t="shared" ca="1" si="22"/>
        <v>732192</v>
      </c>
      <c r="Q88" t="str">
        <f t="shared" ca="1" si="23"/>
        <v>2018-02-12</v>
      </c>
      <c r="R88" t="str">
        <f t="shared" ca="1" si="23"/>
        <v>2018-04-06</v>
      </c>
      <c r="S88" t="s">
        <v>6660</v>
      </c>
      <c r="T88" t="s">
        <v>76</v>
      </c>
      <c r="U88" t="s">
        <v>76</v>
      </c>
      <c r="V88" t="s">
        <v>76</v>
      </c>
      <c r="W88" t="s">
        <v>6508</v>
      </c>
      <c r="X88" t="s">
        <v>6508</v>
      </c>
      <c r="Y88" t="s">
        <v>6508</v>
      </c>
      <c r="Z88" t="s">
        <v>6508</v>
      </c>
    </row>
    <row r="89" spans="1:26" x14ac:dyDescent="0.3">
      <c r="A89" t="s">
        <v>7</v>
      </c>
      <c r="B89" t="s">
        <v>3469</v>
      </c>
      <c r="C89">
        <f t="shared" si="15"/>
        <v>200087</v>
      </c>
      <c r="D89" t="str">
        <f t="shared" ca="1" si="13"/>
        <v>2006-03-20</v>
      </c>
      <c r="E89">
        <f>IFERROR(VLOOKUP(B89,'Contacts.csv'!C:D,2,FALSE),"")</f>
        <v>200087</v>
      </c>
      <c r="F89" t="str">
        <f t="shared" si="16"/>
        <v>rg:{'id':'200087'}</v>
      </c>
      <c r="G89" s="4" t="str">
        <f t="shared" si="17"/>
        <v>rg:[{'id':'200087'}]</v>
      </c>
      <c r="H89">
        <f>VLOOKUP(I89,LocalAreas.csv!F:J,5,FALSE)</f>
        <v>200083</v>
      </c>
      <c r="I89" s="1" t="s">
        <v>6490</v>
      </c>
      <c r="J89" t="str">
        <f t="shared" si="14"/>
        <v>rg:{'id':'200083'}</v>
      </c>
      <c r="K89" t="str">
        <f t="shared" si="18"/>
        <v>SERV</v>
      </c>
      <c r="M89">
        <f t="shared" ca="1" si="19"/>
        <v>13593</v>
      </c>
      <c r="N89" t="str">
        <f t="shared" ca="1" si="20"/>
        <v>rg:True</v>
      </c>
      <c r="O89" t="str">
        <f t="shared" ca="1" si="21"/>
        <v>rg:False</v>
      </c>
      <c r="P89">
        <f t="shared" ca="1" si="22"/>
        <v>732113</v>
      </c>
      <c r="Q89" t="str">
        <f t="shared" ca="1" si="23"/>
        <v>2018-11-20</v>
      </c>
      <c r="R89" t="str">
        <f t="shared" ca="1" si="23"/>
        <v>2018-04-26</v>
      </c>
      <c r="S89" t="s">
        <v>6660</v>
      </c>
      <c r="T89" t="s">
        <v>76</v>
      </c>
      <c r="U89" t="s">
        <v>76</v>
      </c>
      <c r="V89" t="s">
        <v>76</v>
      </c>
      <c r="W89" t="s">
        <v>6508</v>
      </c>
      <c r="X89" t="s">
        <v>6508</v>
      </c>
      <c r="Y89" t="s">
        <v>6508</v>
      </c>
      <c r="Z89" t="s">
        <v>6508</v>
      </c>
    </row>
    <row r="90" spans="1:26" x14ac:dyDescent="0.3">
      <c r="A90" t="s">
        <v>7</v>
      </c>
      <c r="B90" t="s">
        <v>4226</v>
      </c>
      <c r="C90">
        <f t="shared" si="15"/>
        <v>200088</v>
      </c>
      <c r="D90" t="str">
        <f t="shared" ca="1" si="13"/>
        <v>2007-02-12</v>
      </c>
      <c r="E90">
        <f>IFERROR(VLOOKUP(B90,'Contacts.csv'!C:D,2,FALSE),"")</f>
        <v>200088</v>
      </c>
      <c r="F90" t="str">
        <f t="shared" si="16"/>
        <v>rg:{'id':'200088'}</v>
      </c>
      <c r="G90" s="4" t="str">
        <f t="shared" si="17"/>
        <v>rg:[{'id':'200088'}]</v>
      </c>
      <c r="H90">
        <f>VLOOKUP(I90,LocalAreas.csv!F:J,5,FALSE)</f>
        <v>200083</v>
      </c>
      <c r="I90" s="1" t="s">
        <v>6490</v>
      </c>
      <c r="J90" t="str">
        <f t="shared" si="14"/>
        <v>rg:{'id':'200083'}</v>
      </c>
      <c r="K90" t="str">
        <f t="shared" si="18"/>
        <v>SHOW</v>
      </c>
      <c r="M90">
        <f t="shared" ca="1" si="19"/>
        <v>10728</v>
      </c>
      <c r="N90" t="str">
        <f t="shared" ca="1" si="20"/>
        <v>rg:True</v>
      </c>
      <c r="O90" t="str">
        <f t="shared" ca="1" si="21"/>
        <v>rg:False</v>
      </c>
      <c r="P90">
        <f t="shared" ca="1" si="22"/>
        <v>732096</v>
      </c>
      <c r="Q90" t="str">
        <f t="shared" ca="1" si="23"/>
        <v>2018-09-16</v>
      </c>
      <c r="R90" t="str">
        <f t="shared" ca="1" si="23"/>
        <v>2018-07-16</v>
      </c>
      <c r="S90" t="s">
        <v>6660</v>
      </c>
      <c r="T90" t="s">
        <v>76</v>
      </c>
      <c r="U90" t="s">
        <v>76</v>
      </c>
      <c r="V90" t="s">
        <v>76</v>
      </c>
      <c r="W90" t="s">
        <v>6508</v>
      </c>
      <c r="X90" t="s">
        <v>6508</v>
      </c>
      <c r="Y90" t="s">
        <v>6508</v>
      </c>
      <c r="Z90" t="s">
        <v>6508</v>
      </c>
    </row>
    <row r="91" spans="1:26" x14ac:dyDescent="0.3">
      <c r="A91" t="s">
        <v>7</v>
      </c>
      <c r="B91" t="s">
        <v>3899</v>
      </c>
      <c r="C91">
        <f t="shared" si="15"/>
        <v>200089</v>
      </c>
      <c r="D91" t="str">
        <f t="shared" ca="1" si="13"/>
        <v>2012-06-29</v>
      </c>
      <c r="E91">
        <f>IFERROR(VLOOKUP(B91,'Contacts.csv'!C:D,2,FALSE),"")</f>
        <v>200089</v>
      </c>
      <c r="F91" t="str">
        <f t="shared" si="16"/>
        <v>rg:{'id':'200089'}</v>
      </c>
      <c r="G91" s="4" t="str">
        <f t="shared" si="17"/>
        <v>rg:[{'id':'200089'}]</v>
      </c>
      <c r="H91">
        <f>VLOOKUP(I91,LocalAreas.csv!F:J,5,FALSE)</f>
        <v>200083</v>
      </c>
      <c r="I91" s="1" t="s">
        <v>6490</v>
      </c>
      <c r="J91" t="str">
        <f t="shared" si="14"/>
        <v>rg:{'id':'200083'}</v>
      </c>
      <c r="K91" t="str">
        <f t="shared" si="18"/>
        <v>SPEC</v>
      </c>
      <c r="M91">
        <f t="shared" ca="1" si="19"/>
        <v>13813</v>
      </c>
      <c r="N91" t="str">
        <f t="shared" ca="1" si="20"/>
        <v>rg:True</v>
      </c>
      <c r="O91" t="str">
        <f t="shared" ca="1" si="21"/>
        <v>rg:False</v>
      </c>
      <c r="P91">
        <f t="shared" ca="1" si="22"/>
        <v>732141</v>
      </c>
      <c r="Q91" t="str">
        <f t="shared" ca="1" si="23"/>
        <v>2018-02-04</v>
      </c>
      <c r="R91" t="str">
        <f t="shared" ca="1" si="23"/>
        <v>2018-06-18</v>
      </c>
      <c r="S91" t="s">
        <v>6660</v>
      </c>
      <c r="T91" t="s">
        <v>76</v>
      </c>
      <c r="U91" t="s">
        <v>76</v>
      </c>
      <c r="V91" t="s">
        <v>76</v>
      </c>
      <c r="W91" t="s">
        <v>6508</v>
      </c>
      <c r="X91" t="s">
        <v>6508</v>
      </c>
      <c r="Y91" t="s">
        <v>6508</v>
      </c>
      <c r="Z91" t="s">
        <v>6508</v>
      </c>
    </row>
    <row r="92" spans="1:26" x14ac:dyDescent="0.3">
      <c r="A92" t="s">
        <v>7</v>
      </c>
      <c r="B92" t="s">
        <v>3520</v>
      </c>
      <c r="C92">
        <f t="shared" si="15"/>
        <v>200090</v>
      </c>
      <c r="D92" t="str">
        <f t="shared" ca="1" si="13"/>
        <v>2014-10-08</v>
      </c>
      <c r="E92">
        <f>IFERROR(VLOOKUP(B92,'Contacts.csv'!C:D,2,FALSE),"")</f>
        <v>200090</v>
      </c>
      <c r="F92" t="str">
        <f t="shared" si="16"/>
        <v>rg:{'id':'200090'}</v>
      </c>
      <c r="G92" s="4" t="str">
        <f t="shared" si="17"/>
        <v>rg:[{'id':'200090'}]</v>
      </c>
      <c r="H92">
        <f>VLOOKUP(I92,LocalAreas.csv!F:J,5,FALSE)</f>
        <v>200083</v>
      </c>
      <c r="I92" s="1" t="s">
        <v>6490</v>
      </c>
      <c r="J92" t="str">
        <f t="shared" si="14"/>
        <v>rg:{'id':'200083'}</v>
      </c>
      <c r="K92" t="str">
        <f t="shared" si="18"/>
        <v>STRA</v>
      </c>
      <c r="M92">
        <f t="shared" ca="1" si="19"/>
        <v>11562</v>
      </c>
      <c r="N92" t="str">
        <f t="shared" ca="1" si="20"/>
        <v>rg:True</v>
      </c>
      <c r="O92" t="str">
        <f t="shared" ca="1" si="21"/>
        <v>rg:False</v>
      </c>
      <c r="P92">
        <f t="shared" ca="1" si="22"/>
        <v>732047</v>
      </c>
      <c r="Q92" t="str">
        <f t="shared" ca="1" si="23"/>
        <v>2018-11-14</v>
      </c>
      <c r="R92" t="str">
        <f t="shared" ca="1" si="23"/>
        <v>2018-11-28</v>
      </c>
      <c r="S92" t="s">
        <v>6660</v>
      </c>
      <c r="T92" t="s">
        <v>76</v>
      </c>
      <c r="U92" t="s">
        <v>76</v>
      </c>
      <c r="V92" t="s">
        <v>76</v>
      </c>
      <c r="W92" t="s">
        <v>6508</v>
      </c>
      <c r="X92" t="s">
        <v>6508</v>
      </c>
      <c r="Y92" t="s">
        <v>6508</v>
      </c>
      <c r="Z92" t="s">
        <v>6508</v>
      </c>
    </row>
    <row r="93" spans="1:26" x14ac:dyDescent="0.3">
      <c r="A93" t="s">
        <v>7</v>
      </c>
      <c r="B93" t="s">
        <v>4821</v>
      </c>
      <c r="C93">
        <f t="shared" si="15"/>
        <v>200091</v>
      </c>
      <c r="D93" t="str">
        <f t="shared" ca="1" si="13"/>
        <v>2010-11-20</v>
      </c>
      <c r="E93">
        <f>IFERROR(VLOOKUP(B93,'Contacts.csv'!C:D,2,FALSE),"")</f>
        <v>200091</v>
      </c>
      <c r="F93" t="str">
        <f t="shared" si="16"/>
        <v>rg:{'id':'200091'}</v>
      </c>
      <c r="G93" s="4" t="str">
        <f t="shared" si="17"/>
        <v>rg:[{'id':'200091'}]</v>
      </c>
      <c r="H93">
        <f>VLOOKUP(I93,LocalAreas.csv!F:J,5,FALSE)</f>
        <v>200083</v>
      </c>
      <c r="I93" s="1" t="s">
        <v>6490</v>
      </c>
      <c r="J93" t="str">
        <f t="shared" si="14"/>
        <v>rg:{'id':'200083'}</v>
      </c>
      <c r="K93" t="s">
        <v>7596</v>
      </c>
      <c r="M93">
        <f t="shared" ca="1" si="19"/>
        <v>17292</v>
      </c>
      <c r="N93" t="str">
        <f t="shared" ca="1" si="20"/>
        <v>rg:True</v>
      </c>
      <c r="O93" t="str">
        <f t="shared" ca="1" si="21"/>
        <v>rg:False</v>
      </c>
      <c r="P93">
        <f t="shared" ca="1" si="22"/>
        <v>732154</v>
      </c>
      <c r="Q93" t="str">
        <f t="shared" ca="1" si="23"/>
        <v>2018-07-16</v>
      </c>
      <c r="R93" t="str">
        <f t="shared" ca="1" si="23"/>
        <v>2018-03-21</v>
      </c>
      <c r="S93" t="s">
        <v>6660</v>
      </c>
      <c r="T93" t="s">
        <v>76</v>
      </c>
      <c r="U93" t="s">
        <v>76</v>
      </c>
      <c r="V93" t="s">
        <v>76</v>
      </c>
      <c r="W93" t="s">
        <v>6508</v>
      </c>
      <c r="X93" t="s">
        <v>6508</v>
      </c>
      <c r="Y93" t="s">
        <v>6508</v>
      </c>
      <c r="Z93" t="s">
        <v>6508</v>
      </c>
    </row>
    <row r="94" spans="1:26" x14ac:dyDescent="0.3">
      <c r="A94" t="s">
        <v>7</v>
      </c>
      <c r="B94" t="s">
        <v>4715</v>
      </c>
      <c r="C94">
        <f t="shared" si="15"/>
        <v>200092</v>
      </c>
      <c r="D94" t="str">
        <f t="shared" ca="1" si="13"/>
        <v>2006-09-25</v>
      </c>
      <c r="E94">
        <f>IFERROR(VLOOKUP(B94,'Contacts.csv'!C:D,2,FALSE),"")</f>
        <v>200092</v>
      </c>
      <c r="F94" t="str">
        <f t="shared" si="16"/>
        <v>rg:{'id':'200092'}</v>
      </c>
      <c r="G94" s="4" t="str">
        <f t="shared" si="17"/>
        <v>rg:[{'id':'200092'}]</v>
      </c>
      <c r="H94">
        <f>VLOOKUP(I94,LocalAreas.csv!F:J,5,FALSE)</f>
        <v>200084</v>
      </c>
      <c r="I94" s="1" t="s">
        <v>5345</v>
      </c>
      <c r="J94" t="str">
        <f t="shared" si="14"/>
        <v>rg:{'id':'200084'}</v>
      </c>
      <c r="K94" t="str">
        <f t="shared" si="18"/>
        <v>STRO</v>
      </c>
      <c r="M94">
        <f t="shared" ca="1" si="19"/>
        <v>17587</v>
      </c>
      <c r="N94" t="str">
        <f t="shared" ca="1" si="20"/>
        <v>rg:True</v>
      </c>
      <c r="O94" t="str">
        <f t="shared" ca="1" si="21"/>
        <v>rg:False</v>
      </c>
      <c r="P94">
        <f t="shared" ca="1" si="22"/>
        <v>732073</v>
      </c>
      <c r="Q94" t="str">
        <f t="shared" ca="1" si="23"/>
        <v>2018-06-18</v>
      </c>
      <c r="R94" t="str">
        <f t="shared" ca="1" si="23"/>
        <v>2018-05-20</v>
      </c>
      <c r="S94" t="s">
        <v>6660</v>
      </c>
      <c r="T94" t="s">
        <v>76</v>
      </c>
      <c r="U94" t="s">
        <v>76</v>
      </c>
      <c r="V94" t="s">
        <v>76</v>
      </c>
      <c r="W94" t="s">
        <v>6508</v>
      </c>
      <c r="X94" t="s">
        <v>6508</v>
      </c>
      <c r="Y94" t="s">
        <v>6508</v>
      </c>
      <c r="Z94" t="s">
        <v>6508</v>
      </c>
    </row>
    <row r="95" spans="1:26" x14ac:dyDescent="0.3">
      <c r="A95" t="s">
        <v>7</v>
      </c>
      <c r="B95" t="s">
        <v>3807</v>
      </c>
      <c r="C95">
        <f t="shared" si="15"/>
        <v>200093</v>
      </c>
      <c r="D95" t="str">
        <f t="shared" ca="1" si="13"/>
        <v>2012-06-05</v>
      </c>
      <c r="E95">
        <f>IFERROR(VLOOKUP(B95,'Contacts.csv'!C:D,2,FALSE),"")</f>
        <v>200093</v>
      </c>
      <c r="F95" t="str">
        <f t="shared" si="16"/>
        <v>rg:{'id':'200093'}</v>
      </c>
      <c r="G95" s="4" t="str">
        <f t="shared" si="17"/>
        <v>rg:[{'id':'200093'}]</v>
      </c>
      <c r="H95">
        <f>VLOOKUP(I95,LocalAreas.csv!F:J,5,FALSE)</f>
        <v>200084</v>
      </c>
      <c r="I95" s="1" t="s">
        <v>5345</v>
      </c>
      <c r="J95" t="str">
        <f t="shared" si="14"/>
        <v>rg:{'id':'200084'}</v>
      </c>
      <c r="K95" t="s">
        <v>7595</v>
      </c>
      <c r="M95">
        <f t="shared" ca="1" si="19"/>
        <v>15733</v>
      </c>
      <c r="N95" t="str">
        <f t="shared" ca="1" si="20"/>
        <v>rg:True</v>
      </c>
      <c r="O95" t="str">
        <f t="shared" ca="1" si="21"/>
        <v>rg:False</v>
      </c>
      <c r="P95">
        <f t="shared" ca="1" si="22"/>
        <v>732197</v>
      </c>
      <c r="Q95" t="str">
        <f t="shared" ca="1" si="23"/>
        <v>2018-09-22</v>
      </c>
      <c r="R95" t="str">
        <f t="shared" ca="1" si="23"/>
        <v>2017-12-29</v>
      </c>
      <c r="S95" t="s">
        <v>6662</v>
      </c>
      <c r="T95" t="s">
        <v>76</v>
      </c>
      <c r="U95" t="s">
        <v>76</v>
      </c>
      <c r="V95" t="s">
        <v>76</v>
      </c>
      <c r="W95" t="s">
        <v>6508</v>
      </c>
      <c r="X95" t="s">
        <v>6508</v>
      </c>
      <c r="Y95" t="s">
        <v>6508</v>
      </c>
      <c r="Z95" t="s">
        <v>6508</v>
      </c>
    </row>
    <row r="96" spans="1:26" x14ac:dyDescent="0.3">
      <c r="A96" t="s">
        <v>7</v>
      </c>
      <c r="B96" t="s">
        <v>4850</v>
      </c>
      <c r="C96">
        <f t="shared" si="15"/>
        <v>200094</v>
      </c>
      <c r="D96" t="str">
        <f t="shared" ca="1" si="13"/>
        <v>2015-05-27</v>
      </c>
      <c r="E96">
        <f>IFERROR(VLOOKUP(B96,'Contacts.csv'!C:D,2,FALSE),"")</f>
        <v>200094</v>
      </c>
      <c r="F96" t="str">
        <f t="shared" si="16"/>
        <v>rg:{'id':'200094'}</v>
      </c>
      <c r="G96" s="4" t="str">
        <f t="shared" si="17"/>
        <v>rg:[{'id':'200094'}]</v>
      </c>
      <c r="H96">
        <f>VLOOKUP(I96,LocalAreas.csv!F:J,5,FALSE)</f>
        <v>200084</v>
      </c>
      <c r="I96" s="1" t="s">
        <v>5345</v>
      </c>
      <c r="J96" t="str">
        <f t="shared" si="14"/>
        <v>rg:{'id':'200084'}</v>
      </c>
      <c r="K96" t="str">
        <f t="shared" si="18"/>
        <v>SUAD</v>
      </c>
      <c r="M96">
        <f t="shared" ca="1" si="19"/>
        <v>12165</v>
      </c>
      <c r="N96" t="str">
        <f t="shared" ca="1" si="20"/>
        <v>rg:True</v>
      </c>
      <c r="O96" t="str">
        <f t="shared" ca="1" si="21"/>
        <v>rg:False</v>
      </c>
      <c r="P96">
        <f t="shared" ca="1" si="22"/>
        <v>732147</v>
      </c>
      <c r="Q96" t="str">
        <f t="shared" ca="1" si="23"/>
        <v>2018-04-04</v>
      </c>
      <c r="R96" t="str">
        <f t="shared" ca="1" si="23"/>
        <v>2018-10-03</v>
      </c>
      <c r="S96" t="s">
        <v>6660</v>
      </c>
      <c r="T96" t="s">
        <v>76</v>
      </c>
      <c r="U96" t="s">
        <v>76</v>
      </c>
      <c r="V96" t="s">
        <v>76</v>
      </c>
      <c r="W96" t="s">
        <v>6508</v>
      </c>
      <c r="X96" t="s">
        <v>6508</v>
      </c>
      <c r="Y96" t="s">
        <v>6508</v>
      </c>
      <c r="Z96" t="s">
        <v>6508</v>
      </c>
    </row>
    <row r="97" spans="1:26" x14ac:dyDescent="0.3">
      <c r="A97" t="s">
        <v>7</v>
      </c>
      <c r="B97" t="s">
        <v>3503</v>
      </c>
      <c r="C97">
        <f t="shared" si="15"/>
        <v>200095</v>
      </c>
      <c r="D97" t="str">
        <f t="shared" ca="1" si="13"/>
        <v>2014-04-28</v>
      </c>
      <c r="E97">
        <f>IFERROR(VLOOKUP(B97,'Contacts.csv'!C:D,2,FALSE),"")</f>
        <v>200095</v>
      </c>
      <c r="F97" t="str">
        <f t="shared" si="16"/>
        <v>rg:{'id':'200095'}</v>
      </c>
      <c r="G97" s="4" t="str">
        <f t="shared" si="17"/>
        <v>rg:[{'id':'200095'}]</v>
      </c>
      <c r="H97">
        <f>VLOOKUP(I97,LocalAreas.csv!F:J,5,FALSE)</f>
        <v>200084</v>
      </c>
      <c r="I97" s="1" t="s">
        <v>5345</v>
      </c>
      <c r="J97" t="str">
        <f t="shared" si="14"/>
        <v>rg:{'id':'200084'}</v>
      </c>
      <c r="K97" t="str">
        <f t="shared" si="18"/>
        <v>SUCC</v>
      </c>
      <c r="M97">
        <f t="shared" ca="1" si="19"/>
        <v>14218</v>
      </c>
      <c r="N97" t="str">
        <f t="shared" ca="1" si="20"/>
        <v>rg:True</v>
      </c>
      <c r="O97" t="str">
        <f t="shared" ca="1" si="21"/>
        <v>rg:False</v>
      </c>
      <c r="P97">
        <f t="shared" ca="1" si="22"/>
        <v>732115</v>
      </c>
      <c r="Q97" t="str">
        <f t="shared" ca="1" si="23"/>
        <v>2018-06-21</v>
      </c>
      <c r="R97" t="str">
        <f t="shared" ca="1" si="23"/>
        <v>2018-01-15</v>
      </c>
      <c r="S97" t="s">
        <v>6660</v>
      </c>
      <c r="T97" t="s">
        <v>76</v>
      </c>
      <c r="U97" t="s">
        <v>76</v>
      </c>
      <c r="V97" t="s">
        <v>76</v>
      </c>
      <c r="W97" t="s">
        <v>6508</v>
      </c>
      <c r="X97" t="s">
        <v>6508</v>
      </c>
      <c r="Y97" t="s">
        <v>6508</v>
      </c>
      <c r="Z97" t="s">
        <v>6508</v>
      </c>
    </row>
    <row r="98" spans="1:26" x14ac:dyDescent="0.3">
      <c r="A98" t="s">
        <v>7</v>
      </c>
      <c r="B98" t="s">
        <v>4198</v>
      </c>
      <c r="C98">
        <f t="shared" si="15"/>
        <v>200096</v>
      </c>
      <c r="D98" t="str">
        <f t="shared" ca="1" si="13"/>
        <v>2009-12-04</v>
      </c>
      <c r="E98">
        <f>IFERROR(VLOOKUP(B98,'Contacts.csv'!C:D,2,FALSE),"")</f>
        <v>200096</v>
      </c>
      <c r="F98" t="str">
        <f t="shared" si="16"/>
        <v>rg:{'id':'200096'}</v>
      </c>
      <c r="G98" s="4" t="str">
        <f t="shared" si="17"/>
        <v>rg:[{'id':'200096'}]</v>
      </c>
      <c r="H98">
        <f>VLOOKUP(I98,LocalAreas.csv!F:J,5,FALSE)</f>
        <v>200084</v>
      </c>
      <c r="I98" s="1" t="s">
        <v>5345</v>
      </c>
      <c r="J98" t="str">
        <f t="shared" ref="J98:J109" si="24" xml:space="preserve"> "rg:{'id':'" &amp; H98 &amp; "'}"</f>
        <v>rg:{'id':'200084'}</v>
      </c>
      <c r="K98" t="str">
        <f t="shared" si="18"/>
        <v>FLYI</v>
      </c>
      <c r="M98">
        <f t="shared" ca="1" si="19"/>
        <v>14179</v>
      </c>
      <c r="N98" t="str">
        <f t="shared" ca="1" si="20"/>
        <v>rg:True</v>
      </c>
      <c r="O98" t="str">
        <f t="shared" ca="1" si="21"/>
        <v>rg:False</v>
      </c>
      <c r="P98">
        <f t="shared" ca="1" si="22"/>
        <v>732153</v>
      </c>
      <c r="Q98" t="str">
        <f t="shared" ca="1" si="23"/>
        <v>2018-01-12</v>
      </c>
      <c r="R98" t="str">
        <f t="shared" ca="1" si="23"/>
        <v>2018-04-23</v>
      </c>
      <c r="S98" t="s">
        <v>6660</v>
      </c>
      <c r="T98" t="s">
        <v>76</v>
      </c>
      <c r="U98" t="s">
        <v>76</v>
      </c>
      <c r="V98" t="s">
        <v>76</v>
      </c>
      <c r="W98" t="s">
        <v>6508</v>
      </c>
      <c r="X98" t="s">
        <v>6508</v>
      </c>
      <c r="Y98" t="s">
        <v>6508</v>
      </c>
      <c r="Z98" t="s">
        <v>6508</v>
      </c>
    </row>
    <row r="99" spans="1:26" x14ac:dyDescent="0.3">
      <c r="A99" t="s">
        <v>7</v>
      </c>
      <c r="B99" t="s">
        <v>3288</v>
      </c>
      <c r="C99">
        <f t="shared" si="15"/>
        <v>200097</v>
      </c>
      <c r="D99" t="str">
        <f t="shared" ca="1" si="13"/>
        <v>2008-04-20</v>
      </c>
      <c r="E99">
        <f>IFERROR(VLOOKUP(B99,'Contacts.csv'!C:D,2,FALSE),"")</f>
        <v>200097</v>
      </c>
      <c r="F99" t="str">
        <f t="shared" si="16"/>
        <v>rg:{'id':'200097'}</v>
      </c>
      <c r="G99" s="4" t="str">
        <f t="shared" si="17"/>
        <v>rg:[{'id':'200097'}]</v>
      </c>
      <c r="H99">
        <f>VLOOKUP(I99,LocalAreas.csv!F:J,5,FALSE)</f>
        <v>200084</v>
      </c>
      <c r="I99" s="1" t="s">
        <v>5345</v>
      </c>
      <c r="J99" t="str">
        <f t="shared" si="24"/>
        <v>rg:{'id':'200084'}</v>
      </c>
      <c r="K99" t="str">
        <f t="shared" si="18"/>
        <v>FOXA</v>
      </c>
      <c r="L99" t="s">
        <v>6659</v>
      </c>
      <c r="M99">
        <f t="shared" ca="1" si="19"/>
        <v>10561</v>
      </c>
      <c r="N99" t="str">
        <f t="shared" ca="1" si="20"/>
        <v>rg:True</v>
      </c>
      <c r="O99" t="str">
        <f t="shared" ca="1" si="21"/>
        <v>rg:False</v>
      </c>
      <c r="P99">
        <f t="shared" ca="1" si="22"/>
        <v>732050</v>
      </c>
      <c r="Q99" t="str">
        <f t="shared" ca="1" si="23"/>
        <v>2017-12-27</v>
      </c>
      <c r="R99" t="str">
        <f t="shared" ca="1" si="23"/>
        <v>2018-08-09</v>
      </c>
      <c r="S99" t="s">
        <v>6662</v>
      </c>
      <c r="T99" t="s">
        <v>76</v>
      </c>
      <c r="U99" t="s">
        <v>76</v>
      </c>
      <c r="V99" t="s">
        <v>76</v>
      </c>
      <c r="W99" t="s">
        <v>6508</v>
      </c>
      <c r="X99" t="s">
        <v>6508</v>
      </c>
      <c r="Y99" t="s">
        <v>6508</v>
      </c>
      <c r="Z99" t="s">
        <v>6508</v>
      </c>
    </row>
    <row r="100" spans="1:26" x14ac:dyDescent="0.3">
      <c r="A100" t="s">
        <v>7</v>
      </c>
      <c r="B100" t="s">
        <v>3822</v>
      </c>
      <c r="C100">
        <f t="shared" si="15"/>
        <v>200098</v>
      </c>
      <c r="D100" t="str">
        <f t="shared" ca="1" si="13"/>
        <v>2017-02-01</v>
      </c>
      <c r="E100">
        <f>IFERROR(VLOOKUP(B100,'Contacts.csv'!C:D,2,FALSE),"")</f>
        <v>200098</v>
      </c>
      <c r="F100" t="str">
        <f t="shared" si="16"/>
        <v>rg:{'id':'200098'}</v>
      </c>
      <c r="G100" s="4" t="str">
        <f t="shared" si="17"/>
        <v>rg:[{'id':'200098'}]</v>
      </c>
      <c r="H100">
        <f>VLOOKUP(I100,LocalAreas.csv!F:J,5,FALSE)</f>
        <v>200084</v>
      </c>
      <c r="I100" s="1" t="s">
        <v>5345</v>
      </c>
      <c r="J100" t="str">
        <f t="shared" si="24"/>
        <v>rg:{'id':'200084'}</v>
      </c>
      <c r="K100" t="str">
        <f t="shared" si="18"/>
        <v>GOOS</v>
      </c>
      <c r="M100">
        <f t="shared" ca="1" si="19"/>
        <v>15665</v>
      </c>
      <c r="N100" t="str">
        <f t="shared" ca="1" si="20"/>
        <v>rg:True</v>
      </c>
      <c r="O100" t="str">
        <f t="shared" ca="1" si="21"/>
        <v>rg:False</v>
      </c>
      <c r="P100">
        <f t="shared" ca="1" si="22"/>
        <v>732072</v>
      </c>
      <c r="Q100" t="str">
        <f t="shared" ca="1" si="23"/>
        <v>2018-07-07</v>
      </c>
      <c r="R100" t="str">
        <f t="shared" ca="1" si="23"/>
        <v>2018-09-15</v>
      </c>
      <c r="S100" t="s">
        <v>6660</v>
      </c>
      <c r="T100" t="s">
        <v>76</v>
      </c>
      <c r="U100" t="s">
        <v>76</v>
      </c>
      <c r="V100" t="s">
        <v>76</v>
      </c>
      <c r="W100" t="s">
        <v>6508</v>
      </c>
      <c r="X100" t="s">
        <v>6508</v>
      </c>
      <c r="Y100" t="s">
        <v>6508</v>
      </c>
      <c r="Z100" t="s">
        <v>6508</v>
      </c>
    </row>
    <row r="101" spans="1:26" x14ac:dyDescent="0.3">
      <c r="A101" t="s">
        <v>7</v>
      </c>
      <c r="B101" t="s">
        <v>3012</v>
      </c>
      <c r="C101">
        <f t="shared" si="15"/>
        <v>200099</v>
      </c>
      <c r="D101" t="str">
        <f t="shared" ca="1" si="13"/>
        <v>2011-06-25</v>
      </c>
      <c r="E101">
        <f>IFERROR(VLOOKUP(B101,'Contacts.csv'!C:D,2,FALSE),"")</f>
        <v>200099</v>
      </c>
      <c r="F101" t="str">
        <f t="shared" si="16"/>
        <v>rg:{'id':'200099'}</v>
      </c>
      <c r="G101" s="4" t="str">
        <f t="shared" si="17"/>
        <v>rg:[{'id':'200099'}]</v>
      </c>
      <c r="H101">
        <f>VLOOKUP(I101,LocalAreas.csv!F:J,5,FALSE)</f>
        <v>200084</v>
      </c>
      <c r="I101" s="1" t="s">
        <v>5345</v>
      </c>
      <c r="J101" t="str">
        <f t="shared" si="24"/>
        <v>rg:{'id':'200084'}</v>
      </c>
      <c r="K101" t="str">
        <f t="shared" si="18"/>
        <v>ORIG</v>
      </c>
      <c r="M101">
        <f t="shared" ca="1" si="19"/>
        <v>11810</v>
      </c>
      <c r="N101" t="str">
        <f t="shared" ca="1" si="20"/>
        <v>rg:True</v>
      </c>
      <c r="O101" t="str">
        <f t="shared" ca="1" si="21"/>
        <v>rg:False</v>
      </c>
      <c r="P101">
        <f t="shared" ca="1" si="22"/>
        <v>732097</v>
      </c>
      <c r="Q101" t="str">
        <f t="shared" ca="1" si="23"/>
        <v>2018-08-09</v>
      </c>
      <c r="R101" t="str">
        <f t="shared" ca="1" si="23"/>
        <v>2018-02-05</v>
      </c>
      <c r="S101" t="s">
        <v>6660</v>
      </c>
      <c r="T101" t="s">
        <v>76</v>
      </c>
      <c r="U101" t="s">
        <v>76</v>
      </c>
      <c r="V101" t="s">
        <v>76</v>
      </c>
      <c r="W101" t="s">
        <v>6508</v>
      </c>
      <c r="X101" t="s">
        <v>6508</v>
      </c>
      <c r="Y101" t="s">
        <v>6508</v>
      </c>
      <c r="Z101" t="s">
        <v>6508</v>
      </c>
    </row>
    <row r="102" spans="1:26" x14ac:dyDescent="0.3">
      <c r="A102" t="s">
        <v>7</v>
      </c>
      <c r="B102" t="s">
        <v>4142</v>
      </c>
      <c r="C102">
        <f t="shared" si="15"/>
        <v>200100</v>
      </c>
      <c r="D102" t="str">
        <f t="shared" ca="1" si="13"/>
        <v>2009-01-15</v>
      </c>
      <c r="E102">
        <f>IFERROR(VLOOKUP(B102,'Contacts.csv'!C:D,2,FALSE),"")</f>
        <v>200100</v>
      </c>
      <c r="F102" t="str">
        <f t="shared" si="16"/>
        <v>rg:{'id':'200100'}</v>
      </c>
      <c r="G102" s="4" t="str">
        <f t="shared" si="17"/>
        <v>rg:[{'id':'200100'}]</v>
      </c>
      <c r="H102">
        <f>VLOOKUP(I102,LocalAreas.csv!F:J,5,FALSE)</f>
        <v>200084</v>
      </c>
      <c r="I102" s="1" t="s">
        <v>5345</v>
      </c>
      <c r="J102" t="str">
        <f t="shared" si="24"/>
        <v>rg:{'id':'200084'}</v>
      </c>
      <c r="K102" t="str">
        <f t="shared" si="18"/>
        <v>WALL</v>
      </c>
      <c r="M102">
        <f t="shared" ca="1" si="19"/>
        <v>13504</v>
      </c>
      <c r="N102" t="str">
        <f t="shared" ca="1" si="20"/>
        <v>rg:True</v>
      </c>
      <c r="O102" t="str">
        <f t="shared" ca="1" si="21"/>
        <v>rg:False</v>
      </c>
      <c r="P102">
        <f t="shared" ca="1" si="22"/>
        <v>732134</v>
      </c>
      <c r="Q102" t="str">
        <f t="shared" ca="1" si="23"/>
        <v>2018-02-24</v>
      </c>
      <c r="R102" t="str">
        <f t="shared" ca="1" si="23"/>
        <v>2018-11-14</v>
      </c>
      <c r="S102" t="s">
        <v>6660</v>
      </c>
      <c r="T102" t="s">
        <v>76</v>
      </c>
      <c r="U102" t="s">
        <v>76</v>
      </c>
      <c r="V102" t="s">
        <v>76</v>
      </c>
      <c r="W102" t="s">
        <v>6508</v>
      </c>
      <c r="X102" t="s">
        <v>6508</v>
      </c>
      <c r="Y102" t="s">
        <v>6508</v>
      </c>
      <c r="Z102" t="s">
        <v>6508</v>
      </c>
    </row>
    <row r="103" spans="1:26" x14ac:dyDescent="0.3">
      <c r="A103" t="s">
        <v>7</v>
      </c>
      <c r="B103" t="s">
        <v>3993</v>
      </c>
      <c r="C103">
        <f t="shared" si="15"/>
        <v>200101</v>
      </c>
      <c r="D103" t="str">
        <f t="shared" ca="1" si="13"/>
        <v>2005-11-23</v>
      </c>
      <c r="E103">
        <f>IFERROR(VLOOKUP(B103,'Contacts.csv'!C:D,2,FALSE),"")</f>
        <v>200101</v>
      </c>
      <c r="F103" t="str">
        <f t="shared" si="16"/>
        <v>rg:{'id':'200101'}</v>
      </c>
      <c r="G103" s="4" t="str">
        <f t="shared" si="17"/>
        <v>rg:[{'id':'200101'}]</v>
      </c>
      <c r="H103">
        <f>VLOOKUP(I103,LocalAreas.csv!F:J,5,FALSE)</f>
        <v>200085</v>
      </c>
      <c r="I103" s="1" t="s">
        <v>5358</v>
      </c>
      <c r="J103" t="str">
        <f t="shared" si="24"/>
        <v>rg:{'id':'200085'}</v>
      </c>
      <c r="K103" t="str">
        <f t="shared" si="18"/>
        <v>WIZ</v>
      </c>
      <c r="M103">
        <f t="shared" ca="1" si="19"/>
        <v>15949</v>
      </c>
      <c r="N103" t="str">
        <f t="shared" ca="1" si="20"/>
        <v>rg:True</v>
      </c>
      <c r="O103" t="str">
        <f t="shared" ca="1" si="21"/>
        <v>rg:False</v>
      </c>
      <c r="P103">
        <f t="shared" ca="1" si="22"/>
        <v>732031</v>
      </c>
      <c r="Q103" t="str">
        <f t="shared" ca="1" si="23"/>
        <v>2018-05-25</v>
      </c>
      <c r="R103" t="str">
        <f t="shared" ca="1" si="23"/>
        <v>2018-09-26</v>
      </c>
      <c r="S103" t="s">
        <v>6660</v>
      </c>
      <c r="T103" t="s">
        <v>76</v>
      </c>
      <c r="U103" t="s">
        <v>76</v>
      </c>
      <c r="V103" t="s">
        <v>76</v>
      </c>
      <c r="W103" t="s">
        <v>6508</v>
      </c>
      <c r="X103" t="s">
        <v>6508</v>
      </c>
      <c r="Y103" t="s">
        <v>6508</v>
      </c>
      <c r="Z103" t="s">
        <v>6508</v>
      </c>
    </row>
    <row r="104" spans="1:26" x14ac:dyDescent="0.3">
      <c r="A104" t="s">
        <v>7</v>
      </c>
      <c r="B104" t="s">
        <v>3713</v>
      </c>
      <c r="C104">
        <f t="shared" si="15"/>
        <v>200102</v>
      </c>
      <c r="D104" t="str">
        <f t="shared" ca="1" si="13"/>
        <v>2015-08-22</v>
      </c>
      <c r="E104">
        <f>IFERROR(VLOOKUP(B104,'Contacts.csv'!C:D,2,FALSE),"")</f>
        <v>200102</v>
      </c>
      <c r="F104" t="str">
        <f t="shared" si="16"/>
        <v>rg:{'id':'200102'}</v>
      </c>
      <c r="G104" s="4" t="str">
        <f t="shared" si="17"/>
        <v>rg:[{'id':'200102'}]</v>
      </c>
      <c r="H104">
        <f>VLOOKUP(I104,LocalAreas.csv!F:J,5,FALSE)</f>
        <v>200085</v>
      </c>
      <c r="I104" s="1" t="s">
        <v>5358</v>
      </c>
      <c r="J104" t="str">
        <f t="shared" si="24"/>
        <v>rg:{'id':'200085'}</v>
      </c>
      <c r="K104" t="s">
        <v>7591</v>
      </c>
      <c r="M104">
        <f t="shared" ca="1" si="19"/>
        <v>10881</v>
      </c>
      <c r="N104" t="str">
        <f t="shared" ca="1" si="20"/>
        <v>rg:True</v>
      </c>
      <c r="O104" t="str">
        <f t="shared" ca="1" si="21"/>
        <v>rg:False</v>
      </c>
      <c r="P104">
        <f t="shared" ca="1" si="22"/>
        <v>732075</v>
      </c>
      <c r="Q104" t="str">
        <f t="shared" ca="1" si="23"/>
        <v>2018-04-26</v>
      </c>
      <c r="R104" t="str">
        <f t="shared" ca="1" si="23"/>
        <v>2018-03-15</v>
      </c>
      <c r="S104" t="s">
        <v>6660</v>
      </c>
      <c r="T104" t="s">
        <v>76</v>
      </c>
      <c r="U104" t="s">
        <v>76</v>
      </c>
      <c r="V104" t="s">
        <v>76</v>
      </c>
      <c r="W104" t="s">
        <v>6508</v>
      </c>
      <c r="X104" t="s">
        <v>6508</v>
      </c>
      <c r="Y104" t="s">
        <v>6508</v>
      </c>
      <c r="Z104" t="s">
        <v>6508</v>
      </c>
    </row>
    <row r="105" spans="1:26" x14ac:dyDescent="0.3">
      <c r="A105" t="s">
        <v>7</v>
      </c>
      <c r="B105" t="s">
        <v>3438</v>
      </c>
      <c r="C105">
        <f t="shared" si="15"/>
        <v>200103</v>
      </c>
      <c r="D105" t="str">
        <f t="shared" ca="1" si="13"/>
        <v>2014-07-27</v>
      </c>
      <c r="E105">
        <f>IFERROR(VLOOKUP(B105,'Contacts.csv'!C:D,2,FALSE),"")</f>
        <v>200103</v>
      </c>
      <c r="F105" t="str">
        <f t="shared" si="16"/>
        <v>rg:{'id':'200103'}</v>
      </c>
      <c r="G105" s="4" t="str">
        <f t="shared" si="17"/>
        <v>rg:[{'id':'200103'}]</v>
      </c>
      <c r="H105">
        <f>VLOOKUP(I105,LocalAreas.csv!F:J,5,FALSE)</f>
        <v>200085</v>
      </c>
      <c r="I105" s="1" t="s">
        <v>5358</v>
      </c>
      <c r="J105" t="str">
        <f t="shared" si="24"/>
        <v>rg:{'id':'200085'}</v>
      </c>
      <c r="K105" t="s">
        <v>7592</v>
      </c>
      <c r="M105">
        <f t="shared" ca="1" si="19"/>
        <v>10080</v>
      </c>
      <c r="N105" t="str">
        <f t="shared" ca="1" si="20"/>
        <v>rg:True</v>
      </c>
      <c r="O105" t="str">
        <f t="shared" ca="1" si="21"/>
        <v>rg:False</v>
      </c>
      <c r="P105">
        <f t="shared" ca="1" si="22"/>
        <v>732016</v>
      </c>
      <c r="Q105" t="str">
        <f t="shared" ca="1" si="23"/>
        <v>2018-04-30</v>
      </c>
      <c r="R105" t="str">
        <f t="shared" ca="1" si="23"/>
        <v>2018-07-04</v>
      </c>
      <c r="S105" t="s">
        <v>6660</v>
      </c>
      <c r="T105" t="s">
        <v>76</v>
      </c>
      <c r="U105" t="s">
        <v>76</v>
      </c>
      <c r="V105" t="s">
        <v>76</v>
      </c>
      <c r="W105" t="s">
        <v>6508</v>
      </c>
      <c r="X105" t="s">
        <v>6508</v>
      </c>
      <c r="Y105" t="s">
        <v>6508</v>
      </c>
      <c r="Z105" t="s">
        <v>6508</v>
      </c>
    </row>
    <row r="106" spans="1:26" x14ac:dyDescent="0.3">
      <c r="A106" t="s">
        <v>7</v>
      </c>
      <c r="B106" t="s">
        <v>4761</v>
      </c>
      <c r="C106">
        <f t="shared" si="15"/>
        <v>200104</v>
      </c>
      <c r="D106" t="str">
        <f t="shared" ca="1" si="13"/>
        <v>2013-08-14</v>
      </c>
      <c r="E106">
        <f>IFERROR(VLOOKUP(B106,'Contacts.csv'!C:D,2,FALSE),"")</f>
        <v>200104</v>
      </c>
      <c r="F106" t="str">
        <f t="shared" si="16"/>
        <v>rg:{'id':'200104'}</v>
      </c>
      <c r="G106" s="4" t="str">
        <f t="shared" si="17"/>
        <v>rg:[{'id':'200104'}]</v>
      </c>
      <c r="H106">
        <f>VLOOKUP(I106,LocalAreas.csv!F:J,5,FALSE)</f>
        <v>200085</v>
      </c>
      <c r="I106" s="1" t="s">
        <v>5358</v>
      </c>
      <c r="J106" t="str">
        <f t="shared" si="24"/>
        <v>rg:{'id':'200085'}</v>
      </c>
      <c r="K106" t="s">
        <v>7593</v>
      </c>
      <c r="M106">
        <f t="shared" ca="1" si="19"/>
        <v>12693</v>
      </c>
      <c r="N106" t="str">
        <f t="shared" ca="1" si="20"/>
        <v>rg:True</v>
      </c>
      <c r="O106" t="str">
        <f t="shared" ca="1" si="21"/>
        <v>rg:False</v>
      </c>
      <c r="P106">
        <f t="shared" ca="1" si="22"/>
        <v>732165</v>
      </c>
      <c r="Q106" t="str">
        <f t="shared" ca="1" si="23"/>
        <v>2018-02-05</v>
      </c>
      <c r="R106" t="str">
        <f t="shared" ca="1" si="23"/>
        <v>2018-06-24</v>
      </c>
      <c r="S106" t="s">
        <v>6662</v>
      </c>
      <c r="T106" t="s">
        <v>76</v>
      </c>
      <c r="U106" t="s">
        <v>76</v>
      </c>
      <c r="V106" t="s">
        <v>76</v>
      </c>
      <c r="W106" t="s">
        <v>6508</v>
      </c>
      <c r="X106" t="s">
        <v>6508</v>
      </c>
      <c r="Y106" t="s">
        <v>6508</v>
      </c>
      <c r="Z106" t="s">
        <v>6508</v>
      </c>
    </row>
    <row r="107" spans="1:26" x14ac:dyDescent="0.3">
      <c r="A107" t="s">
        <v>7</v>
      </c>
      <c r="B107" t="s">
        <v>4083</v>
      </c>
      <c r="C107">
        <f t="shared" si="15"/>
        <v>200105</v>
      </c>
      <c r="D107" t="str">
        <f t="shared" ca="1" si="13"/>
        <v>2005-05-19</v>
      </c>
      <c r="E107" t="str">
        <f>IFERROR(VLOOKUP(B107,'Contacts.csv'!C:D,2,FALSE),"")</f>
        <v/>
      </c>
      <c r="F107" t="str">
        <f t="shared" si="16"/>
        <v>rg:None</v>
      </c>
      <c r="G107" s="4" t="str">
        <f t="shared" si="17"/>
        <v>rg:[]</v>
      </c>
      <c r="H107">
        <f>VLOOKUP(I107,LocalAreas.csv!F:J,5,FALSE)</f>
        <v>200085</v>
      </c>
      <c r="I107" s="1" t="s">
        <v>5358</v>
      </c>
      <c r="J107" t="str">
        <f t="shared" si="24"/>
        <v>rg:{'id':'200085'}</v>
      </c>
      <c r="K107" t="s">
        <v>7594</v>
      </c>
      <c r="M107">
        <f t="shared" ca="1" si="19"/>
        <v>13709</v>
      </c>
      <c r="N107" t="str">
        <f t="shared" ca="1" si="20"/>
        <v>rg:True</v>
      </c>
      <c r="O107" t="str">
        <f t="shared" ca="1" si="21"/>
        <v>rg:False</v>
      </c>
      <c r="P107">
        <f t="shared" ca="1" si="22"/>
        <v>732062</v>
      </c>
      <c r="Q107" t="str">
        <f t="shared" ca="1" si="23"/>
        <v>2018-05-07</v>
      </c>
      <c r="R107" t="str">
        <f t="shared" ca="1" si="23"/>
        <v>2017-12-25</v>
      </c>
      <c r="S107" t="s">
        <v>6662</v>
      </c>
      <c r="T107" t="s">
        <v>76</v>
      </c>
      <c r="U107" t="s">
        <v>76</v>
      </c>
      <c r="V107" t="s">
        <v>76</v>
      </c>
      <c r="W107" t="s">
        <v>6508</v>
      </c>
      <c r="X107" t="s">
        <v>6508</v>
      </c>
      <c r="Y107" t="s">
        <v>6508</v>
      </c>
      <c r="Z107" t="s">
        <v>6508</v>
      </c>
    </row>
    <row r="108" spans="1:26" x14ac:dyDescent="0.3">
      <c r="A108" t="s">
        <v>7</v>
      </c>
      <c r="B108" t="s">
        <v>3602</v>
      </c>
      <c r="C108">
        <f t="shared" si="15"/>
        <v>200106</v>
      </c>
      <c r="D108" t="str">
        <f t="shared" ca="1" si="13"/>
        <v>2005-02-25</v>
      </c>
      <c r="E108" t="str">
        <f>IFERROR(VLOOKUP(B108,'Contacts.csv'!C:D,2,FALSE),"")</f>
        <v/>
      </c>
      <c r="F108" t="str">
        <f t="shared" si="16"/>
        <v>rg:None</v>
      </c>
      <c r="G108" s="4" t="str">
        <f t="shared" si="17"/>
        <v>rg:[]</v>
      </c>
      <c r="H108">
        <f>VLOOKUP(I108,LocalAreas.csv!F:J,5,FALSE)</f>
        <v>200085</v>
      </c>
      <c r="I108" s="1" t="s">
        <v>5358</v>
      </c>
      <c r="J108" t="str">
        <f t="shared" si="24"/>
        <v>rg:{'id':'200085'}</v>
      </c>
      <c r="K108" t="str">
        <f t="shared" si="18"/>
        <v>WARE</v>
      </c>
      <c r="M108">
        <f t="shared" ca="1" si="19"/>
        <v>14358</v>
      </c>
      <c r="N108" t="str">
        <f t="shared" ca="1" si="20"/>
        <v>rg:True</v>
      </c>
      <c r="O108" t="str">
        <f t="shared" ca="1" si="21"/>
        <v>rg:False</v>
      </c>
      <c r="P108">
        <f t="shared" ca="1" si="22"/>
        <v>732100</v>
      </c>
      <c r="Q108" t="str">
        <f t="shared" ca="1" si="23"/>
        <v>2018-05-29</v>
      </c>
      <c r="R108" t="str">
        <f t="shared" ca="1" si="23"/>
        <v>2018-09-24</v>
      </c>
      <c r="S108" t="s">
        <v>6662</v>
      </c>
      <c r="T108" t="s">
        <v>76</v>
      </c>
      <c r="U108" t="s">
        <v>76</v>
      </c>
      <c r="V108" t="s">
        <v>76</v>
      </c>
      <c r="W108" t="s">
        <v>6508</v>
      </c>
      <c r="X108" t="s">
        <v>6508</v>
      </c>
      <c r="Y108" t="s">
        <v>6508</v>
      </c>
      <c r="Z108" t="s">
        <v>6508</v>
      </c>
    </row>
    <row r="109" spans="1:26" x14ac:dyDescent="0.3">
      <c r="A109" t="s">
        <v>7</v>
      </c>
      <c r="B109" t="s">
        <v>4775</v>
      </c>
      <c r="C109">
        <f t="shared" si="15"/>
        <v>200107</v>
      </c>
      <c r="D109" t="str">
        <f t="shared" ca="1" si="13"/>
        <v>2013-08-29</v>
      </c>
      <c r="E109" t="str">
        <f>IFERROR(VLOOKUP(B109,'Contacts.csv'!C:D,2,FALSE),"")</f>
        <v/>
      </c>
      <c r="F109" t="str">
        <f t="shared" si="16"/>
        <v>rg:None</v>
      </c>
      <c r="G109" s="4" t="str">
        <f t="shared" si="17"/>
        <v>rg:[]</v>
      </c>
      <c r="H109">
        <f>VLOOKUP(I109,LocalAreas.csv!F:J,5,FALSE)</f>
        <v>200085</v>
      </c>
      <c r="I109" s="1" t="s">
        <v>5358</v>
      </c>
      <c r="J109" t="str">
        <f t="shared" si="24"/>
        <v>rg:{'id':'200085'}</v>
      </c>
      <c r="K109" t="str">
        <f t="shared" si="18"/>
        <v>WEAT</v>
      </c>
      <c r="M109">
        <f t="shared" ca="1" si="19"/>
        <v>12526</v>
      </c>
      <c r="N109" t="str">
        <f t="shared" ca="1" si="20"/>
        <v>rg:True</v>
      </c>
      <c r="O109" t="str">
        <f t="shared" ca="1" si="21"/>
        <v>rg:False</v>
      </c>
      <c r="P109">
        <f t="shared" ca="1" si="22"/>
        <v>732094</v>
      </c>
      <c r="Q109" t="str">
        <f t="shared" ca="1" si="23"/>
        <v>2018-01-13</v>
      </c>
      <c r="R109" t="str">
        <f t="shared" ca="1" si="23"/>
        <v>2018-10-12</v>
      </c>
      <c r="S109" t="s">
        <v>6662</v>
      </c>
      <c r="T109" t="s">
        <v>76</v>
      </c>
      <c r="U109" t="s">
        <v>76</v>
      </c>
      <c r="V109" t="s">
        <v>76</v>
      </c>
      <c r="W109" t="s">
        <v>6508</v>
      </c>
      <c r="X109" t="s">
        <v>6508</v>
      </c>
      <c r="Y109" t="s">
        <v>6508</v>
      </c>
      <c r="Z109" t="s">
        <v>6508</v>
      </c>
    </row>
  </sheetData>
  <autoFilter ref="A1:Z109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S204"/>
  <sheetViews>
    <sheetView workbookViewId="0">
      <pane ySplit="1" topLeftCell="A2" activePane="bottomLeft" state="frozen"/>
      <selection pane="bottomLeft" sqref="A1:AS1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5" x14ac:dyDescent="0.3">
      <c r="A1" t="s">
        <v>68</v>
      </c>
      <c r="B1" t="s">
        <v>5323</v>
      </c>
      <c r="C1" t="s">
        <v>6685</v>
      </c>
      <c r="D1" t="s">
        <v>5630</v>
      </c>
      <c r="E1" t="s">
        <v>5631</v>
      </c>
      <c r="F1" t="s">
        <v>7859</v>
      </c>
      <c r="G1" t="s">
        <v>5632</v>
      </c>
      <c r="H1" t="s">
        <v>5633</v>
      </c>
      <c r="I1" t="s">
        <v>5327</v>
      </c>
      <c r="J1" t="s">
        <v>7867</v>
      </c>
      <c r="K1" t="s">
        <v>7870</v>
      </c>
      <c r="L1" t="s">
        <v>7758</v>
      </c>
      <c r="M1" t="s">
        <v>6854</v>
      </c>
      <c r="N1" t="s">
        <v>5645</v>
      </c>
      <c r="O1" t="s">
        <v>5646</v>
      </c>
      <c r="P1" t="s">
        <v>5647</v>
      </c>
      <c r="Q1" t="s">
        <v>5663</v>
      </c>
      <c r="R1" t="s">
        <v>333</v>
      </c>
      <c r="S1" s="1" t="s">
        <v>6855</v>
      </c>
      <c r="T1" s="1" t="s">
        <v>6856</v>
      </c>
      <c r="U1" t="s">
        <v>6857</v>
      </c>
      <c r="V1" t="s">
        <v>6858</v>
      </c>
      <c r="W1" t="s">
        <v>6859</v>
      </c>
      <c r="X1" t="s">
        <v>6860</v>
      </c>
      <c r="Y1" t="s">
        <v>6861</v>
      </c>
      <c r="Z1" t="s">
        <v>6862</v>
      </c>
      <c r="AA1" t="s">
        <v>6863</v>
      </c>
      <c r="AB1" t="s">
        <v>6864</v>
      </c>
      <c r="AC1" t="s">
        <v>6865</v>
      </c>
      <c r="AD1" t="s">
        <v>6866</v>
      </c>
      <c r="AE1" t="s">
        <v>6867</v>
      </c>
      <c r="AF1" s="1" t="s">
        <v>6868</v>
      </c>
      <c r="AG1" s="4" t="s">
        <v>5644</v>
      </c>
      <c r="AH1" t="s">
        <v>6869</v>
      </c>
      <c r="AI1" t="s">
        <v>6870</v>
      </c>
      <c r="AJ1" t="s">
        <v>6871</v>
      </c>
      <c r="AK1" t="s">
        <v>6872</v>
      </c>
      <c r="AL1" t="s">
        <v>6504</v>
      </c>
      <c r="AM1" t="s">
        <v>6505</v>
      </c>
      <c r="AN1" t="s">
        <v>6506</v>
      </c>
      <c r="AO1" t="s">
        <v>6873</v>
      </c>
      <c r="AP1" t="s">
        <v>6874</v>
      </c>
      <c r="AQ1" t="s">
        <v>5325</v>
      </c>
      <c r="AR1" t="s">
        <v>5372</v>
      </c>
      <c r="AS1" t="s">
        <v>5373</v>
      </c>
    </row>
    <row r="2" spans="1:45" x14ac:dyDescent="0.3">
      <c r="A2" t="s">
        <v>5628</v>
      </c>
      <c r="B2">
        <f t="shared" ref="B2:B65" si="0">IF(ISNUMBER(B1),B1+1,200000)</f>
        <v>200000</v>
      </c>
      <c r="C2">
        <v>200000</v>
      </c>
      <c r="D2" t="str">
        <f t="shared" ref="D2:D65" si="1">"rg:{'id': '"&amp;C2&amp;"'}"</f>
        <v>rg:{'id': '200000'}</v>
      </c>
      <c r="E2">
        <f>VLOOKUP(C2,Owners.csv!C:J,6,FALSE)</f>
        <v>200075</v>
      </c>
      <c r="F2">
        <f>VLOOKUP(VLOOKUP(E2,LocalAreas.csv!J:L,3,FALSE),ServiceAreas.csv!F:J,5,FALSE)</f>
        <v>10</v>
      </c>
      <c r="G2" t="str">
        <f t="shared" ref="G2:G65" si="2">"rg:{'id': '"&amp;E2&amp;"'}"</f>
        <v>rg:{'id': '200075'}</v>
      </c>
      <c r="H2" t="s">
        <v>7632</v>
      </c>
      <c r="I2" t="s">
        <v>5534</v>
      </c>
      <c r="J2">
        <f>VLOOKUP(I2&amp;"-"&amp;F2,DistrictEquipmentTypes.csv!J:K,2,FALSE)</f>
        <v>200000</v>
      </c>
      <c r="K2" t="str">
        <f t="shared" ref="K2:K65" si="3">"rg:{'id': '"&amp;J2&amp;"'}"</f>
        <v>rg:{'id': '200000'}</v>
      </c>
      <c r="L2">
        <f t="shared" ref="L2:L65" si="4">IF(C2=C1,L1+1,1)</f>
        <v>1</v>
      </c>
      <c r="M2" t="str">
        <f>VLOOKUP(C2,Owners.csv!C:K,9,FALSE)&amp;TEXT(Equipment.csv!L2,"0000")</f>
        <v>ACCO0001</v>
      </c>
      <c r="N2" t="s">
        <v>5465</v>
      </c>
      <c r="O2" t="s">
        <v>5648</v>
      </c>
      <c r="P2">
        <v>1999</v>
      </c>
      <c r="Q2">
        <v>50</v>
      </c>
      <c r="R2" t="s">
        <v>6660</v>
      </c>
      <c r="S2" s="1">
        <v>38139</v>
      </c>
      <c r="T2" s="1">
        <v>38144</v>
      </c>
      <c r="U2" t="str">
        <f t="shared" ref="U2:U65" ca="1" si="5">IF(RANDBETWEEN(1,10)&gt;1,"rg:False","rg:True")</f>
        <v>rg:False</v>
      </c>
      <c r="V2" t="str">
        <f t="shared" ref="V2:V65" ca="1" si="6">IF(U2="rg:True","This equipment should be archived","rg:None")</f>
        <v>rg:None</v>
      </c>
      <c r="W2" t="s">
        <v>7046</v>
      </c>
      <c r="X2" t="s">
        <v>76</v>
      </c>
      <c r="Y2" t="s">
        <v>76</v>
      </c>
      <c r="Z2" t="s">
        <v>76</v>
      </c>
      <c r="AA2" t="s">
        <v>7393</v>
      </c>
      <c r="AB2" t="s">
        <v>7244</v>
      </c>
      <c r="AC2">
        <v>0</v>
      </c>
      <c r="AD2" t="str">
        <f t="shared" ref="AD2:AD65" ca="1" si="7">IF(RANDBETWEEN(1,20)&gt;1,"rg:False","rg:True")</f>
        <v>rg:False</v>
      </c>
      <c r="AE2" t="str">
        <f t="shared" ref="AE2:AE33" ca="1" si="8">IF(AD2="rg:True","Seniority overridden to test things","rg:None")</f>
        <v>rg:None</v>
      </c>
      <c r="AF2" s="1">
        <v>42480</v>
      </c>
      <c r="AG2" s="4">
        <f t="shared" ref="AG2:AG65" ca="1" si="9">IF(I2="Dump Truck",60,30)*AH2+(AVERAGE(AI2:AK2))</f>
        <v>478.25</v>
      </c>
      <c r="AH2" s="4">
        <f t="shared" ref="AH2:AH65" si="10">YEARFRAC(DATE("2016","4","1"),T2)</f>
        <v>11.819444444444445</v>
      </c>
      <c r="AI2">
        <f t="shared" ref="AI2:AI65" ca="1" si="11">IF(AH2&lt;1,0,RANDBETWEEN(0,200))</f>
        <v>77</v>
      </c>
      <c r="AJ2">
        <f t="shared" ref="AJ2:AJ65" ca="1" si="12">IF(AH2&lt;2,0,RANDBETWEEN(0,200))</f>
        <v>162</v>
      </c>
      <c r="AK2">
        <f t="shared" ref="AK2:AK65" ca="1" si="13">IF(AH2&lt;3,0,RANDBETWEEN(0,200))</f>
        <v>132</v>
      </c>
      <c r="AL2" t="s">
        <v>5687</v>
      </c>
      <c r="AM2" t="s">
        <v>6879</v>
      </c>
      <c r="AN2" s="1">
        <v>42666</v>
      </c>
      <c r="AO2" t="s">
        <v>76</v>
      </c>
      <c r="AP2" t="s">
        <v>6508</v>
      </c>
      <c r="AQ2" t="s">
        <v>6508</v>
      </c>
      <c r="AR2" t="s">
        <v>6508</v>
      </c>
      <c r="AS2" t="s">
        <v>6508</v>
      </c>
    </row>
    <row r="3" spans="1:45" x14ac:dyDescent="0.3">
      <c r="A3" t="s">
        <v>5628</v>
      </c>
      <c r="B3">
        <f t="shared" si="0"/>
        <v>200001</v>
      </c>
      <c r="C3">
        <v>200000</v>
      </c>
      <c r="D3" t="str">
        <f t="shared" si="1"/>
        <v>rg:{'id': '200000'}</v>
      </c>
      <c r="E3">
        <f>VLOOKUP(C3,Owners.csv!C:J,6,FALSE)</f>
        <v>200075</v>
      </c>
      <c r="F3">
        <f>VLOOKUP(VLOOKUP(E3,LocalAreas.csv!J:L,3,FALSE),ServiceAreas.csv!F:J,5,FALSE)</f>
        <v>10</v>
      </c>
      <c r="G3" t="str">
        <f t="shared" si="2"/>
        <v>rg:{'id': '200075'}</v>
      </c>
      <c r="H3" t="s">
        <v>7633</v>
      </c>
      <c r="I3" t="s">
        <v>5635</v>
      </c>
      <c r="J3">
        <f>VLOOKUP(I3&amp;"-"&amp;F3,DistrictEquipmentTypes.csv!J:K,2,FALSE)</f>
        <v>200001</v>
      </c>
      <c r="K3" t="str">
        <f t="shared" si="3"/>
        <v>rg:{'id': '200001'}</v>
      </c>
      <c r="L3">
        <f t="shared" si="4"/>
        <v>2</v>
      </c>
      <c r="M3" t="str">
        <f>VLOOKUP(C3,Owners.csv!C:K,9,FALSE)&amp;TEXT(Equipment.csv!L3,"0000")</f>
        <v>ACCO0002</v>
      </c>
      <c r="N3" t="s">
        <v>5421</v>
      </c>
      <c r="O3" t="s">
        <v>5659</v>
      </c>
      <c r="P3">
        <v>1981</v>
      </c>
      <c r="Q3">
        <v>50</v>
      </c>
      <c r="R3" t="s">
        <v>6660</v>
      </c>
      <c r="S3" s="1">
        <v>41424</v>
      </c>
      <c r="T3" s="1">
        <v>41429</v>
      </c>
      <c r="U3" t="str">
        <f t="shared" ca="1" si="5"/>
        <v>rg:False</v>
      </c>
      <c r="V3" t="str">
        <f t="shared" ca="1" si="6"/>
        <v>rg:None</v>
      </c>
      <c r="W3" t="s">
        <v>7047</v>
      </c>
      <c r="X3" t="s">
        <v>76</v>
      </c>
      <c r="Y3" t="s">
        <v>76</v>
      </c>
      <c r="Z3" t="s">
        <v>76</v>
      </c>
      <c r="AA3" t="s">
        <v>7394</v>
      </c>
      <c r="AB3" t="s">
        <v>7245</v>
      </c>
      <c r="AC3">
        <v>0</v>
      </c>
      <c r="AD3" t="str">
        <f t="shared" ca="1" si="7"/>
        <v>rg:False</v>
      </c>
      <c r="AE3" t="str">
        <f t="shared" ca="1" si="8"/>
        <v>rg:None</v>
      </c>
      <c r="AF3" s="1">
        <v>42480</v>
      </c>
      <c r="AG3" s="4">
        <f t="shared" ca="1" si="9"/>
        <v>114.08333333333333</v>
      </c>
      <c r="AH3" s="4">
        <f t="shared" si="10"/>
        <v>2.8250000000000002</v>
      </c>
      <c r="AI3">
        <f t="shared" ca="1" si="11"/>
        <v>0</v>
      </c>
      <c r="AJ3">
        <f t="shared" ca="1" si="12"/>
        <v>88</v>
      </c>
      <c r="AK3">
        <f t="shared" ca="1" si="13"/>
        <v>0</v>
      </c>
      <c r="AL3" t="s">
        <v>326</v>
      </c>
      <c r="AO3" t="s">
        <v>76</v>
      </c>
      <c r="AP3" t="s">
        <v>6508</v>
      </c>
      <c r="AQ3" t="s">
        <v>6508</v>
      </c>
      <c r="AR3" t="s">
        <v>6508</v>
      </c>
      <c r="AS3" t="s">
        <v>6508</v>
      </c>
    </row>
    <row r="4" spans="1:45" x14ac:dyDescent="0.3">
      <c r="A4" t="s">
        <v>5628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200075</v>
      </c>
      <c r="F4">
        <f>VLOOKUP(VLOOKUP(E4,LocalAreas.csv!J:L,3,FALSE),ServiceAreas.csv!F:J,5,FALSE)</f>
        <v>10</v>
      </c>
      <c r="G4" t="str">
        <f t="shared" si="2"/>
        <v>rg:{'id': '200075'}</v>
      </c>
      <c r="H4" t="s">
        <v>7634</v>
      </c>
      <c r="I4" t="s">
        <v>5638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5657</v>
      </c>
      <c r="O4" t="s">
        <v>5654</v>
      </c>
      <c r="P4">
        <v>1980</v>
      </c>
      <c r="Q4">
        <v>100</v>
      </c>
      <c r="R4" t="s">
        <v>6660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7048</v>
      </c>
      <c r="X4" t="s">
        <v>76</v>
      </c>
      <c r="Y4" t="s">
        <v>76</v>
      </c>
      <c r="Z4" t="s">
        <v>76</v>
      </c>
      <c r="AA4" t="s">
        <v>7395</v>
      </c>
      <c r="AB4" t="s">
        <v>7246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68.833333333333329</v>
      </c>
      <c r="AH4" s="4">
        <f t="shared" si="10"/>
        <v>1.8277777777777777</v>
      </c>
      <c r="AI4">
        <f t="shared" ca="1" si="11"/>
        <v>42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6508</v>
      </c>
      <c r="AQ4" t="s">
        <v>6508</v>
      </c>
      <c r="AR4" t="s">
        <v>6508</v>
      </c>
      <c r="AS4" t="s">
        <v>6508</v>
      </c>
    </row>
    <row r="5" spans="1:45" x14ac:dyDescent="0.3">
      <c r="A5" t="s">
        <v>5628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200075</v>
      </c>
      <c r="F5">
        <f>VLOOKUP(VLOOKUP(E5,LocalAreas.csv!J:L,3,FALSE),ServiceAreas.csv!F:J,5,FALSE)</f>
        <v>10</v>
      </c>
      <c r="G5" t="str">
        <f t="shared" si="2"/>
        <v>rg:{'id': '200075'}</v>
      </c>
      <c r="H5" t="s">
        <v>7635</v>
      </c>
      <c r="I5" t="s">
        <v>5639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5656</v>
      </c>
      <c r="O5">
        <v>300</v>
      </c>
      <c r="P5">
        <v>1991</v>
      </c>
      <c r="Q5">
        <v>500</v>
      </c>
      <c r="R5" t="s">
        <v>6660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7049</v>
      </c>
      <c r="X5" t="s">
        <v>76</v>
      </c>
      <c r="Y5" t="s">
        <v>76</v>
      </c>
      <c r="Z5" t="s">
        <v>76</v>
      </c>
      <c r="AA5" t="s">
        <v>7396</v>
      </c>
      <c r="AB5" t="s">
        <v>7247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466.91666666666669</v>
      </c>
      <c r="AH5" s="4">
        <f t="shared" si="10"/>
        <v>11.375</v>
      </c>
      <c r="AI5">
        <f t="shared" ca="1" si="11"/>
        <v>110</v>
      </c>
      <c r="AJ5">
        <f t="shared" ca="1" si="12"/>
        <v>140</v>
      </c>
      <c r="AK5">
        <f t="shared" ca="1" si="13"/>
        <v>127</v>
      </c>
      <c r="AL5" t="s">
        <v>326</v>
      </c>
      <c r="AO5" t="s">
        <v>76</v>
      </c>
      <c r="AP5" t="s">
        <v>6508</v>
      </c>
      <c r="AQ5" t="s">
        <v>6508</v>
      </c>
      <c r="AR5" t="s">
        <v>6508</v>
      </c>
      <c r="AS5" t="s">
        <v>6508</v>
      </c>
    </row>
    <row r="6" spans="1:45" x14ac:dyDescent="0.3">
      <c r="A6" t="s">
        <v>5628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200075</v>
      </c>
      <c r="F6">
        <f>VLOOKUP(VLOOKUP(E6,LocalAreas.csv!J:L,3,FALSE),ServiceAreas.csv!F:J,5,FALSE)</f>
        <v>10</v>
      </c>
      <c r="G6" t="str">
        <f t="shared" si="2"/>
        <v>rg:{'id': '200075'}</v>
      </c>
      <c r="H6" t="s">
        <v>7636</v>
      </c>
      <c r="I6" t="s">
        <v>5640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5657</v>
      </c>
      <c r="O6" t="s">
        <v>5660</v>
      </c>
      <c r="P6">
        <v>1995</v>
      </c>
      <c r="Q6">
        <v>500</v>
      </c>
      <c r="R6" t="s">
        <v>6660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7050</v>
      </c>
      <c r="X6" t="s">
        <v>76</v>
      </c>
      <c r="Y6" t="s">
        <v>76</v>
      </c>
      <c r="Z6" t="s">
        <v>76</v>
      </c>
      <c r="AA6" t="s">
        <v>7397</v>
      </c>
      <c r="AB6" t="s">
        <v>7248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343.91666666666669</v>
      </c>
      <c r="AH6" s="4">
        <f t="shared" si="10"/>
        <v>10.108333333333333</v>
      </c>
      <c r="AI6">
        <f t="shared" ca="1" si="11"/>
        <v>43</v>
      </c>
      <c r="AJ6">
        <f t="shared" ca="1" si="12"/>
        <v>1</v>
      </c>
      <c r="AK6">
        <f t="shared" ca="1" si="13"/>
        <v>78</v>
      </c>
      <c r="AL6" t="s">
        <v>326</v>
      </c>
      <c r="AO6" t="s">
        <v>76</v>
      </c>
      <c r="AP6" t="s">
        <v>6508</v>
      </c>
      <c r="AQ6" t="s">
        <v>6508</v>
      </c>
      <c r="AR6" t="s">
        <v>6508</v>
      </c>
      <c r="AS6" t="s">
        <v>6508</v>
      </c>
    </row>
    <row r="7" spans="1:45" x14ac:dyDescent="0.3">
      <c r="A7" t="s">
        <v>5628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200075</v>
      </c>
      <c r="F7">
        <f>VLOOKUP(VLOOKUP(E7,LocalAreas.csv!J:L,3,FALSE),ServiceAreas.csv!F:J,5,FALSE)</f>
        <v>10</v>
      </c>
      <c r="G7" t="str">
        <f t="shared" si="2"/>
        <v>rg:{'id': '200075'}</v>
      </c>
      <c r="H7" t="s">
        <v>7637</v>
      </c>
      <c r="I7" t="s">
        <v>5641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5399</v>
      </c>
      <c r="O7">
        <v>800</v>
      </c>
      <c r="P7">
        <v>1995</v>
      </c>
      <c r="Q7">
        <v>100</v>
      </c>
      <c r="R7" t="s">
        <v>6660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7051</v>
      </c>
      <c r="X7" t="s">
        <v>76</v>
      </c>
      <c r="Y7" t="s">
        <v>76</v>
      </c>
      <c r="Z7" t="s">
        <v>76</v>
      </c>
      <c r="AA7" t="s">
        <v>7398</v>
      </c>
      <c r="AB7" t="s">
        <v>7249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97.833333333333329</v>
      </c>
      <c r="AH7" s="4">
        <f t="shared" si="10"/>
        <v>1.7055555555555555</v>
      </c>
      <c r="AI7">
        <f t="shared" ca="1" si="11"/>
        <v>140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6508</v>
      </c>
      <c r="AQ7" t="s">
        <v>6508</v>
      </c>
      <c r="AR7" t="s">
        <v>6508</v>
      </c>
      <c r="AS7" t="s">
        <v>6508</v>
      </c>
    </row>
    <row r="8" spans="1:45" x14ac:dyDescent="0.3">
      <c r="A8" t="s">
        <v>5628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200075</v>
      </c>
      <c r="F8">
        <f>VLOOKUP(VLOOKUP(E8,LocalAreas.csv!J:L,3,FALSE),ServiceAreas.csv!F:J,5,FALSE)</f>
        <v>10</v>
      </c>
      <c r="G8" t="str">
        <f t="shared" si="2"/>
        <v>rg:{'id': '200075'}</v>
      </c>
      <c r="H8" t="s">
        <v>7638</v>
      </c>
      <c r="I8" t="s">
        <v>5534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5465</v>
      </c>
      <c r="O8">
        <v>200</v>
      </c>
      <c r="P8">
        <v>1971</v>
      </c>
      <c r="Q8">
        <v>50</v>
      </c>
      <c r="R8" t="s">
        <v>6660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7052</v>
      </c>
      <c r="X8" t="s">
        <v>76</v>
      </c>
      <c r="Y8" t="s">
        <v>76</v>
      </c>
      <c r="Z8" t="s">
        <v>76</v>
      </c>
      <c r="AA8" t="s">
        <v>7399</v>
      </c>
      <c r="AB8" t="s">
        <v>7250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326.16666666666669</v>
      </c>
      <c r="AH8" s="4">
        <f t="shared" si="10"/>
        <v>9.65</v>
      </c>
      <c r="AI8">
        <f t="shared" ca="1" si="11"/>
        <v>38</v>
      </c>
      <c r="AJ8">
        <f t="shared" ca="1" si="12"/>
        <v>12</v>
      </c>
      <c r="AK8">
        <f t="shared" ca="1" si="13"/>
        <v>60</v>
      </c>
      <c r="AL8" t="s">
        <v>326</v>
      </c>
      <c r="AO8" t="s">
        <v>76</v>
      </c>
      <c r="AP8" t="s">
        <v>6508</v>
      </c>
      <c r="AQ8" t="s">
        <v>6508</v>
      </c>
      <c r="AR8" t="s">
        <v>6508</v>
      </c>
      <c r="AS8" t="s">
        <v>6508</v>
      </c>
    </row>
    <row r="9" spans="1:45" x14ac:dyDescent="0.3">
      <c r="A9" t="s">
        <v>5628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200075</v>
      </c>
      <c r="F9">
        <f>VLOOKUP(VLOOKUP(E9,LocalAreas.csv!J:L,3,FALSE),ServiceAreas.csv!F:J,5,FALSE)</f>
        <v>10</v>
      </c>
      <c r="G9" t="str">
        <f t="shared" si="2"/>
        <v>rg:{'id': '200075'}</v>
      </c>
      <c r="H9" t="s">
        <v>7639</v>
      </c>
      <c r="I9" t="s">
        <v>5649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5465</v>
      </c>
      <c r="O9" t="s">
        <v>5650</v>
      </c>
      <c r="P9">
        <v>1973</v>
      </c>
      <c r="Q9">
        <v>10</v>
      </c>
      <c r="R9" t="s">
        <v>6660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7053</v>
      </c>
      <c r="X9" t="s">
        <v>76</v>
      </c>
      <c r="Y9" t="s">
        <v>76</v>
      </c>
      <c r="Z9" t="s">
        <v>76</v>
      </c>
      <c r="AA9" t="s">
        <v>7400</v>
      </c>
      <c r="AB9" t="s">
        <v>7251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t="shared" ca="1" si="9"/>
        <v>610.66666666666663</v>
      </c>
      <c r="AH9" s="4">
        <f t="shared" si="10"/>
        <v>8.9277777777777771</v>
      </c>
      <c r="AI9">
        <f t="shared" ca="1" si="11"/>
        <v>29</v>
      </c>
      <c r="AJ9">
        <f t="shared" ca="1" si="12"/>
        <v>122</v>
      </c>
      <c r="AK9">
        <f t="shared" ca="1" si="13"/>
        <v>74</v>
      </c>
      <c r="AL9" t="s">
        <v>326</v>
      </c>
      <c r="AO9" t="s">
        <v>76</v>
      </c>
      <c r="AP9" t="s">
        <v>6508</v>
      </c>
      <c r="AQ9" t="s">
        <v>6508</v>
      </c>
      <c r="AR9" t="s">
        <v>6508</v>
      </c>
      <c r="AS9" t="s">
        <v>6508</v>
      </c>
    </row>
    <row r="10" spans="1:45" x14ac:dyDescent="0.3">
      <c r="A10" t="s">
        <v>5628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200075</v>
      </c>
      <c r="F10">
        <f>VLOOKUP(VLOOKUP(E10,LocalAreas.csv!J:L,3,FALSE),ServiceAreas.csv!F:J,5,FALSE)</f>
        <v>10</v>
      </c>
      <c r="G10" t="str">
        <f t="shared" si="2"/>
        <v>rg:{'id': '200075'}</v>
      </c>
      <c r="H10" t="s">
        <v>7640</v>
      </c>
      <c r="I10" t="s">
        <v>5638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5657</v>
      </c>
      <c r="O10" t="s">
        <v>5660</v>
      </c>
      <c r="P10">
        <v>1990</v>
      </c>
      <c r="Q10">
        <v>20</v>
      </c>
      <c r="R10" t="s">
        <v>6660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7054</v>
      </c>
      <c r="X10" t="s">
        <v>76</v>
      </c>
      <c r="Y10" t="s">
        <v>76</v>
      </c>
      <c r="Z10" t="s">
        <v>76</v>
      </c>
      <c r="AA10" t="s">
        <v>7401</v>
      </c>
      <c r="AB10" t="s">
        <v>7252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431.08333333333331</v>
      </c>
      <c r="AH10" s="4">
        <f t="shared" si="10"/>
        <v>10.33611111111111</v>
      </c>
      <c r="AI10">
        <f t="shared" ca="1" si="11"/>
        <v>108</v>
      </c>
      <c r="AJ10">
        <f t="shared" ca="1" si="12"/>
        <v>182</v>
      </c>
      <c r="AK10">
        <f t="shared" ca="1" si="13"/>
        <v>73</v>
      </c>
      <c r="AL10" t="s">
        <v>326</v>
      </c>
      <c r="AO10" t="s">
        <v>76</v>
      </c>
      <c r="AP10" t="s">
        <v>6508</v>
      </c>
      <c r="AQ10" t="s">
        <v>6508</v>
      </c>
      <c r="AR10" t="s">
        <v>6508</v>
      </c>
      <c r="AS10" t="s">
        <v>6508</v>
      </c>
    </row>
    <row r="11" spans="1:45" x14ac:dyDescent="0.3">
      <c r="A11" t="s">
        <v>5628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200075</v>
      </c>
      <c r="F11">
        <f>VLOOKUP(VLOOKUP(E11,LocalAreas.csv!J:L,3,FALSE),ServiceAreas.csv!F:J,5,FALSE)</f>
        <v>10</v>
      </c>
      <c r="G11" t="str">
        <f t="shared" si="2"/>
        <v>rg:{'id': '200075'}</v>
      </c>
      <c r="H11" t="s">
        <v>7641</v>
      </c>
      <c r="I11" t="s">
        <v>5639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5399</v>
      </c>
      <c r="O11">
        <v>700</v>
      </c>
      <c r="P11">
        <v>1998</v>
      </c>
      <c r="Q11">
        <v>110</v>
      </c>
      <c r="R11" t="s">
        <v>6660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7055</v>
      </c>
      <c r="X11" t="s">
        <v>76</v>
      </c>
      <c r="Y11" t="s">
        <v>76</v>
      </c>
      <c r="Z11" t="s">
        <v>76</v>
      </c>
      <c r="AA11" t="s">
        <v>7402</v>
      </c>
      <c r="AB11" t="s">
        <v>7253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208.5</v>
      </c>
      <c r="AH11" s="4">
        <f t="shared" si="10"/>
        <v>3.9388888888888891</v>
      </c>
      <c r="AI11">
        <f t="shared" ca="1" si="11"/>
        <v>177</v>
      </c>
      <c r="AJ11">
        <f t="shared" ca="1" si="12"/>
        <v>28</v>
      </c>
      <c r="AK11">
        <f t="shared" ca="1" si="13"/>
        <v>66</v>
      </c>
      <c r="AL11" t="s">
        <v>326</v>
      </c>
      <c r="AO11" t="s">
        <v>76</v>
      </c>
      <c r="AP11" t="s">
        <v>6508</v>
      </c>
      <c r="AQ11" t="s">
        <v>6508</v>
      </c>
      <c r="AR11" t="s">
        <v>6508</v>
      </c>
      <c r="AS11" t="s">
        <v>6508</v>
      </c>
    </row>
    <row r="12" spans="1:45" x14ac:dyDescent="0.3">
      <c r="A12" t="s">
        <v>5628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200075</v>
      </c>
      <c r="F12">
        <f>VLOOKUP(VLOOKUP(E12,LocalAreas.csv!J:L,3,FALSE),ServiceAreas.csv!F:J,5,FALSE)</f>
        <v>10</v>
      </c>
      <c r="G12" t="str">
        <f t="shared" si="2"/>
        <v>rg:{'id': '200075'}</v>
      </c>
      <c r="H12" t="s">
        <v>7642</v>
      </c>
      <c r="I12" t="s">
        <v>5640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2948</v>
      </c>
      <c r="O12">
        <v>100</v>
      </c>
      <c r="P12">
        <v>1993</v>
      </c>
      <c r="Q12">
        <v>50</v>
      </c>
      <c r="R12" t="s">
        <v>6660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7056</v>
      </c>
      <c r="X12" t="s">
        <v>76</v>
      </c>
      <c r="Y12" t="s">
        <v>76</v>
      </c>
      <c r="Z12" t="s">
        <v>76</v>
      </c>
      <c r="AA12" t="s">
        <v>7403</v>
      </c>
      <c r="AB12" t="s">
        <v>7254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347.83333333333331</v>
      </c>
      <c r="AH12" s="4">
        <f t="shared" si="10"/>
        <v>9.25</v>
      </c>
      <c r="AI12">
        <f t="shared" ca="1" si="11"/>
        <v>23</v>
      </c>
      <c r="AJ12">
        <f t="shared" ca="1" si="12"/>
        <v>66</v>
      </c>
      <c r="AK12">
        <f t="shared" ca="1" si="13"/>
        <v>122</v>
      </c>
      <c r="AL12" t="s">
        <v>326</v>
      </c>
      <c r="AO12" t="s">
        <v>76</v>
      </c>
      <c r="AP12" t="s">
        <v>6508</v>
      </c>
      <c r="AQ12" t="s">
        <v>6508</v>
      </c>
      <c r="AR12" t="s">
        <v>6508</v>
      </c>
      <c r="AS12" t="s">
        <v>6508</v>
      </c>
    </row>
    <row r="13" spans="1:45" x14ac:dyDescent="0.3">
      <c r="A13" t="s">
        <v>5628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200075</v>
      </c>
      <c r="F13">
        <f>VLOOKUP(VLOOKUP(E13,LocalAreas.csv!J:L,3,FALSE),ServiceAreas.csv!F:J,5,FALSE)</f>
        <v>10</v>
      </c>
      <c r="G13" t="str">
        <f t="shared" si="2"/>
        <v>rg:{'id': '200075'}</v>
      </c>
      <c r="H13" t="s">
        <v>7640</v>
      </c>
      <c r="I13" t="s">
        <v>5641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5399</v>
      </c>
      <c r="O13">
        <v>200</v>
      </c>
      <c r="P13">
        <v>1978</v>
      </c>
      <c r="Q13">
        <v>50</v>
      </c>
      <c r="R13" t="s">
        <v>6660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7057</v>
      </c>
      <c r="X13" t="s">
        <v>76</v>
      </c>
      <c r="Y13" t="s">
        <v>76</v>
      </c>
      <c r="Z13" t="s">
        <v>76</v>
      </c>
      <c r="AA13" t="s">
        <v>7404</v>
      </c>
      <c r="AB13" t="s">
        <v>7255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345.91666666666669</v>
      </c>
      <c r="AH13" s="4">
        <f t="shared" si="10"/>
        <v>8.1972222222222229</v>
      </c>
      <c r="AI13">
        <f t="shared" ca="1" si="11"/>
        <v>177</v>
      </c>
      <c r="AJ13">
        <f t="shared" ca="1" si="12"/>
        <v>40</v>
      </c>
      <c r="AK13">
        <f t="shared" ca="1" si="13"/>
        <v>83</v>
      </c>
      <c r="AL13" t="s">
        <v>326</v>
      </c>
      <c r="AO13" t="s">
        <v>76</v>
      </c>
      <c r="AP13" t="s">
        <v>6508</v>
      </c>
      <c r="AQ13" t="s">
        <v>6508</v>
      </c>
      <c r="AR13" t="s">
        <v>6508</v>
      </c>
      <c r="AS13" t="s">
        <v>6508</v>
      </c>
    </row>
    <row r="14" spans="1:45" x14ac:dyDescent="0.3">
      <c r="A14" t="s">
        <v>5628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200075</v>
      </c>
      <c r="F14">
        <f>VLOOKUP(VLOOKUP(E14,LocalAreas.csv!J:L,3,FALSE),ServiceAreas.csv!F:J,5,FALSE)</f>
        <v>10</v>
      </c>
      <c r="G14" t="str">
        <f t="shared" si="2"/>
        <v>rg:{'id': '200075'}</v>
      </c>
      <c r="H14" t="s">
        <v>7643</v>
      </c>
      <c r="I14" t="s">
        <v>5534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5651</v>
      </c>
      <c r="O14">
        <v>333</v>
      </c>
      <c r="P14">
        <v>2010</v>
      </c>
      <c r="Q14">
        <v>50</v>
      </c>
      <c r="R14" t="s">
        <v>6660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7058</v>
      </c>
      <c r="X14" t="s">
        <v>76</v>
      </c>
      <c r="Y14" t="s">
        <v>76</v>
      </c>
      <c r="Z14" t="s">
        <v>76</v>
      </c>
      <c r="AA14" t="s">
        <v>7405</v>
      </c>
      <c r="AB14" t="s">
        <v>7256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324.83333333333331</v>
      </c>
      <c r="AH14" s="4">
        <f t="shared" si="10"/>
        <v>7.4722222222222223</v>
      </c>
      <c r="AI14">
        <f t="shared" ca="1" si="11"/>
        <v>194</v>
      </c>
      <c r="AJ14">
        <f t="shared" ca="1" si="12"/>
        <v>76</v>
      </c>
      <c r="AK14">
        <f t="shared" ca="1" si="13"/>
        <v>32</v>
      </c>
      <c r="AL14" t="s">
        <v>326</v>
      </c>
      <c r="AO14" t="s">
        <v>76</v>
      </c>
      <c r="AP14" t="s">
        <v>6508</v>
      </c>
      <c r="AQ14" t="s">
        <v>6508</v>
      </c>
      <c r="AR14" t="s">
        <v>6508</v>
      </c>
      <c r="AS14" t="s">
        <v>6508</v>
      </c>
    </row>
    <row r="15" spans="1:45" x14ac:dyDescent="0.3">
      <c r="A15" t="s">
        <v>5628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200075</v>
      </c>
      <c r="F15">
        <f>VLOOKUP(VLOOKUP(E15,LocalAreas.csv!J:L,3,FALSE),ServiceAreas.csv!F:J,5,FALSE)</f>
        <v>10</v>
      </c>
      <c r="G15" t="str">
        <f t="shared" si="2"/>
        <v>rg:{'id': '200075'}</v>
      </c>
      <c r="H15" t="s">
        <v>7644</v>
      </c>
      <c r="I15" t="s">
        <v>5635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5421</v>
      </c>
      <c r="O15" t="s">
        <v>5652</v>
      </c>
      <c r="P15">
        <v>1979</v>
      </c>
      <c r="Q15">
        <v>60</v>
      </c>
      <c r="R15" t="s">
        <v>6660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7059</v>
      </c>
      <c r="X15" t="s">
        <v>76</v>
      </c>
      <c r="Y15" t="s">
        <v>76</v>
      </c>
      <c r="Z15" t="s">
        <v>76</v>
      </c>
      <c r="AA15" t="s">
        <v>7406</v>
      </c>
      <c r="AB15" t="s">
        <v>7257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272.25</v>
      </c>
      <c r="AH15" s="4">
        <f t="shared" si="10"/>
        <v>4.9083333333333332</v>
      </c>
      <c r="AI15">
        <f t="shared" ca="1" si="11"/>
        <v>126</v>
      </c>
      <c r="AJ15">
        <f t="shared" ca="1" si="12"/>
        <v>160</v>
      </c>
      <c r="AK15">
        <f t="shared" ca="1" si="13"/>
        <v>89</v>
      </c>
      <c r="AL15" t="s">
        <v>326</v>
      </c>
      <c r="AO15" t="s">
        <v>76</v>
      </c>
      <c r="AP15" t="s">
        <v>6508</v>
      </c>
      <c r="AQ15" t="s">
        <v>6508</v>
      </c>
      <c r="AR15" t="s">
        <v>6508</v>
      </c>
      <c r="AS15" t="s">
        <v>6508</v>
      </c>
    </row>
    <row r="16" spans="1:45" x14ac:dyDescent="0.3">
      <c r="A16" t="s">
        <v>5628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200075</v>
      </c>
      <c r="F16">
        <f>VLOOKUP(VLOOKUP(E16,LocalAreas.csv!J:L,3,FALSE),ServiceAreas.csv!F:J,5,FALSE)</f>
        <v>10</v>
      </c>
      <c r="G16" t="str">
        <f t="shared" si="2"/>
        <v>rg:{'id': '200075'}</v>
      </c>
      <c r="H16" t="s">
        <v>7645</v>
      </c>
      <c r="I16" t="s">
        <v>5638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5657</v>
      </c>
      <c r="O16" t="s">
        <v>5654</v>
      </c>
      <c r="P16">
        <v>2016</v>
      </c>
      <c r="Q16">
        <v>200</v>
      </c>
      <c r="R16" t="s">
        <v>6660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7060</v>
      </c>
      <c r="X16" t="s">
        <v>76</v>
      </c>
      <c r="Y16" t="s">
        <v>76</v>
      </c>
      <c r="Z16" t="s">
        <v>76</v>
      </c>
      <c r="AA16" t="s">
        <v>7407</v>
      </c>
      <c r="AB16" t="s">
        <v>7247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114.66666666666667</v>
      </c>
      <c r="AH16" s="4">
        <f t="shared" si="10"/>
        <v>2.7555555555555555</v>
      </c>
      <c r="AI16">
        <f t="shared" ca="1" si="11"/>
        <v>89</v>
      </c>
      <c r="AJ16">
        <f t="shared" ca="1" si="12"/>
        <v>7</v>
      </c>
      <c r="AK16">
        <f t="shared" ca="1" si="13"/>
        <v>0</v>
      </c>
      <c r="AL16" t="s">
        <v>326</v>
      </c>
      <c r="AO16" t="s">
        <v>76</v>
      </c>
      <c r="AP16" t="s">
        <v>6508</v>
      </c>
      <c r="AQ16" t="s">
        <v>6508</v>
      </c>
      <c r="AR16" t="s">
        <v>6508</v>
      </c>
      <c r="AS16" t="s">
        <v>6508</v>
      </c>
    </row>
    <row r="17" spans="1:45" x14ac:dyDescent="0.3">
      <c r="A17" t="s">
        <v>5628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200075</v>
      </c>
      <c r="F17">
        <f>VLOOKUP(VLOOKUP(E17,LocalAreas.csv!J:L,3,FALSE),ServiceAreas.csv!F:J,5,FALSE)</f>
        <v>10</v>
      </c>
      <c r="G17" t="str">
        <f t="shared" si="2"/>
        <v>rg:{'id': '200075'}</v>
      </c>
      <c r="H17" t="s">
        <v>7646</v>
      </c>
      <c r="I17" t="s">
        <v>5639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5656</v>
      </c>
      <c r="O17">
        <v>350</v>
      </c>
      <c r="P17">
        <v>1999</v>
      </c>
      <c r="Q17">
        <v>50</v>
      </c>
      <c r="R17" t="s">
        <v>6661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7061</v>
      </c>
      <c r="X17" t="s">
        <v>76</v>
      </c>
      <c r="Y17" t="s">
        <v>76</v>
      </c>
      <c r="Z17" t="s">
        <v>76</v>
      </c>
      <c r="AA17" t="s">
        <v>7408</v>
      </c>
      <c r="AB17" t="s">
        <v>7258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6508</v>
      </c>
      <c r="AQ17" t="s">
        <v>6508</v>
      </c>
      <c r="AR17" t="s">
        <v>6508</v>
      </c>
      <c r="AS17" t="s">
        <v>6508</v>
      </c>
    </row>
    <row r="18" spans="1:45" x14ac:dyDescent="0.3">
      <c r="A18" t="s">
        <v>5628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200075</v>
      </c>
      <c r="F18">
        <f>VLOOKUP(VLOOKUP(E18,LocalAreas.csv!J:L,3,FALSE),ServiceAreas.csv!F:J,5,FALSE)</f>
        <v>10</v>
      </c>
      <c r="G18" t="str">
        <f t="shared" si="2"/>
        <v>rg:{'id': '200075'}</v>
      </c>
      <c r="H18" t="s">
        <v>7647</v>
      </c>
      <c r="I18" t="s">
        <v>5640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5399</v>
      </c>
      <c r="O18">
        <v>110</v>
      </c>
      <c r="P18">
        <v>2004</v>
      </c>
      <c r="Q18">
        <v>50</v>
      </c>
      <c r="R18" t="s">
        <v>6660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7062</v>
      </c>
      <c r="X18" t="s">
        <v>76</v>
      </c>
      <c r="Y18" t="s">
        <v>76</v>
      </c>
      <c r="Z18" t="s">
        <v>76</v>
      </c>
      <c r="AA18" t="s">
        <v>7409</v>
      </c>
      <c r="AB18" t="s">
        <v>7259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382.41666666666669</v>
      </c>
      <c r="AH18" s="4">
        <f t="shared" si="10"/>
        <v>9.4472222222222229</v>
      </c>
      <c r="AI18">
        <f t="shared" ca="1" si="11"/>
        <v>140</v>
      </c>
      <c r="AJ18">
        <f t="shared" ca="1" si="12"/>
        <v>110</v>
      </c>
      <c r="AK18">
        <f t="shared" ca="1" si="13"/>
        <v>47</v>
      </c>
      <c r="AL18" t="s">
        <v>326</v>
      </c>
      <c r="AO18" t="s">
        <v>76</v>
      </c>
      <c r="AP18" t="s">
        <v>6508</v>
      </c>
      <c r="AQ18" t="s">
        <v>6508</v>
      </c>
      <c r="AR18" t="s">
        <v>6508</v>
      </c>
      <c r="AS18" t="s">
        <v>6508</v>
      </c>
    </row>
    <row r="19" spans="1:45" x14ac:dyDescent="0.3">
      <c r="A19" t="s">
        <v>5628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200075</v>
      </c>
      <c r="F19">
        <f>VLOOKUP(VLOOKUP(E19,LocalAreas.csv!J:L,3,FALSE),ServiceAreas.csv!F:J,5,FALSE)</f>
        <v>10</v>
      </c>
      <c r="G19" t="str">
        <f t="shared" si="2"/>
        <v>rg:{'id': '200075'}</v>
      </c>
      <c r="H19" t="s">
        <v>7648</v>
      </c>
      <c r="I19" t="s">
        <v>5641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5399</v>
      </c>
      <c r="O19">
        <v>320</v>
      </c>
      <c r="P19">
        <v>1992</v>
      </c>
      <c r="Q19">
        <v>50</v>
      </c>
      <c r="R19" t="s">
        <v>6660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7063</v>
      </c>
      <c r="X19" t="s">
        <v>76</v>
      </c>
      <c r="Y19" t="s">
        <v>76</v>
      </c>
      <c r="Z19" t="s">
        <v>76</v>
      </c>
      <c r="AA19" t="s">
        <v>7410</v>
      </c>
      <c r="AB19" t="s">
        <v>7260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435.25000000000006</v>
      </c>
      <c r="AH19" s="4">
        <f t="shared" si="10"/>
        <v>12.252777777777778</v>
      </c>
      <c r="AI19">
        <f t="shared" ca="1" si="11"/>
        <v>50</v>
      </c>
      <c r="AJ19">
        <f t="shared" ca="1" si="12"/>
        <v>107</v>
      </c>
      <c r="AK19">
        <f t="shared" ca="1" si="13"/>
        <v>46</v>
      </c>
      <c r="AL19" t="s">
        <v>326</v>
      </c>
      <c r="AO19" t="s">
        <v>76</v>
      </c>
      <c r="AP19" t="s">
        <v>6508</v>
      </c>
      <c r="AQ19" t="s">
        <v>6508</v>
      </c>
      <c r="AR19" t="s">
        <v>6508</v>
      </c>
      <c r="AS19" t="s">
        <v>6508</v>
      </c>
    </row>
    <row r="20" spans="1:45" x14ac:dyDescent="0.3">
      <c r="A20" t="s">
        <v>5628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200075</v>
      </c>
      <c r="F20">
        <f>VLOOKUP(VLOOKUP(E20,LocalAreas.csv!J:L,3,FALSE),ServiceAreas.csv!F:J,5,FALSE)</f>
        <v>10</v>
      </c>
      <c r="G20" t="str">
        <f t="shared" si="2"/>
        <v>rg:{'id': '200075'}</v>
      </c>
      <c r="H20" t="s">
        <v>7649</v>
      </c>
      <c r="I20" t="s">
        <v>5534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5651</v>
      </c>
      <c r="O20" t="s">
        <v>5661</v>
      </c>
      <c r="P20">
        <v>1990</v>
      </c>
      <c r="Q20">
        <v>300</v>
      </c>
      <c r="R20" t="s">
        <v>6660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7064</v>
      </c>
      <c r="X20" t="s">
        <v>76</v>
      </c>
      <c r="Y20" t="s">
        <v>76</v>
      </c>
      <c r="Z20" t="s">
        <v>76</v>
      </c>
      <c r="AA20" t="s">
        <v>7411</v>
      </c>
      <c r="AB20" t="s">
        <v>7261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446.41666666666663</v>
      </c>
      <c r="AH20" s="4">
        <f t="shared" si="10"/>
        <v>9.7361111111111107</v>
      </c>
      <c r="AI20">
        <f t="shared" ca="1" si="11"/>
        <v>190</v>
      </c>
      <c r="AJ20">
        <f t="shared" ca="1" si="12"/>
        <v>167</v>
      </c>
      <c r="AK20">
        <f t="shared" ca="1" si="13"/>
        <v>106</v>
      </c>
      <c r="AL20" t="s">
        <v>326</v>
      </c>
      <c r="AO20" t="s">
        <v>76</v>
      </c>
      <c r="AP20" t="s">
        <v>6508</v>
      </c>
      <c r="AQ20" t="s">
        <v>6508</v>
      </c>
      <c r="AR20" t="s">
        <v>6508</v>
      </c>
      <c r="AS20" t="s">
        <v>6508</v>
      </c>
    </row>
    <row r="21" spans="1:45" x14ac:dyDescent="0.3">
      <c r="A21" t="s">
        <v>5628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200075</v>
      </c>
      <c r="F21">
        <f>VLOOKUP(VLOOKUP(E21,LocalAreas.csv!J:L,3,FALSE),ServiceAreas.csv!F:J,5,FALSE)</f>
        <v>10</v>
      </c>
      <c r="G21" t="str">
        <f t="shared" si="2"/>
        <v>rg:{'id': '200075'}</v>
      </c>
      <c r="H21" t="s">
        <v>7650</v>
      </c>
      <c r="I21" t="s">
        <v>5635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5421</v>
      </c>
      <c r="O21">
        <v>100</v>
      </c>
      <c r="P21">
        <v>1994</v>
      </c>
      <c r="Q21">
        <v>50</v>
      </c>
      <c r="R21" t="s">
        <v>6661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7065</v>
      </c>
      <c r="X21" t="s">
        <v>76</v>
      </c>
      <c r="Y21" t="s">
        <v>76</v>
      </c>
      <c r="Z21" t="s">
        <v>76</v>
      </c>
      <c r="AA21" t="s">
        <v>7412</v>
      </c>
      <c r="AB21" t="s">
        <v>7262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361.83333333333337</v>
      </c>
      <c r="AH21" s="4">
        <f t="shared" si="10"/>
        <v>7.427777777777778</v>
      </c>
      <c r="AI21">
        <f t="shared" ca="1" si="11"/>
        <v>149</v>
      </c>
      <c r="AJ21">
        <f t="shared" ca="1" si="12"/>
        <v>77</v>
      </c>
      <c r="AK21">
        <f t="shared" ca="1" si="13"/>
        <v>191</v>
      </c>
      <c r="AL21" t="s">
        <v>326</v>
      </c>
      <c r="AO21" t="s">
        <v>76</v>
      </c>
      <c r="AP21" t="s">
        <v>6508</v>
      </c>
      <c r="AQ21" t="s">
        <v>6508</v>
      </c>
      <c r="AR21" t="s">
        <v>6508</v>
      </c>
      <c r="AS21" t="s">
        <v>6508</v>
      </c>
    </row>
    <row r="22" spans="1:45" x14ac:dyDescent="0.3">
      <c r="A22" t="s">
        <v>5628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200075</v>
      </c>
      <c r="F22">
        <f>VLOOKUP(VLOOKUP(E22,LocalAreas.csv!J:L,3,FALSE),ServiceAreas.csv!F:J,5,FALSE)</f>
        <v>10</v>
      </c>
      <c r="G22" t="str">
        <f t="shared" si="2"/>
        <v>rg:{'id': '200075'}</v>
      </c>
      <c r="H22" t="s">
        <v>7651</v>
      </c>
      <c r="I22" t="s">
        <v>5638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5657</v>
      </c>
      <c r="O22" t="s">
        <v>5654</v>
      </c>
      <c r="P22">
        <v>2007</v>
      </c>
      <c r="Q22">
        <v>50</v>
      </c>
      <c r="R22" t="s">
        <v>6660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7066</v>
      </c>
      <c r="X22" t="s">
        <v>76</v>
      </c>
      <c r="Y22" t="s">
        <v>76</v>
      </c>
      <c r="Z22" t="s">
        <v>76</v>
      </c>
      <c r="AA22" t="s">
        <v>7413</v>
      </c>
      <c r="AB22" t="s">
        <v>7263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341.75</v>
      </c>
      <c r="AH22" s="4">
        <f t="shared" si="10"/>
        <v>6.5694444444444446</v>
      </c>
      <c r="AI22">
        <f t="shared" ca="1" si="11"/>
        <v>82</v>
      </c>
      <c r="AJ22">
        <f t="shared" ca="1" si="12"/>
        <v>192</v>
      </c>
      <c r="AK22">
        <f t="shared" ca="1" si="13"/>
        <v>160</v>
      </c>
      <c r="AL22" t="s">
        <v>326</v>
      </c>
      <c r="AO22" t="s">
        <v>76</v>
      </c>
      <c r="AP22" t="s">
        <v>6508</v>
      </c>
      <c r="AQ22" t="s">
        <v>6508</v>
      </c>
      <c r="AR22" t="s">
        <v>6508</v>
      </c>
      <c r="AS22" t="s">
        <v>6508</v>
      </c>
    </row>
    <row r="23" spans="1:45" x14ac:dyDescent="0.3">
      <c r="A23" t="s">
        <v>5628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200075</v>
      </c>
      <c r="F23">
        <f>VLOOKUP(VLOOKUP(E23,LocalAreas.csv!J:L,3,FALSE),ServiceAreas.csv!F:J,5,FALSE)</f>
        <v>10</v>
      </c>
      <c r="G23" t="str">
        <f t="shared" si="2"/>
        <v>rg:{'id': '200075'}</v>
      </c>
      <c r="H23" t="s">
        <v>7652</v>
      </c>
      <c r="I23" t="s">
        <v>5534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5651</v>
      </c>
      <c r="O23">
        <v>100</v>
      </c>
      <c r="P23">
        <v>1989</v>
      </c>
      <c r="Q23">
        <v>110</v>
      </c>
      <c r="R23" t="s">
        <v>6660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7067</v>
      </c>
      <c r="X23" t="s">
        <v>76</v>
      </c>
      <c r="Y23" t="s">
        <v>76</v>
      </c>
      <c r="Z23" t="s">
        <v>76</v>
      </c>
      <c r="AA23" t="s">
        <v>7414</v>
      </c>
      <c r="AB23" t="s">
        <v>7264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137</v>
      </c>
      <c r="AH23" s="4">
        <f t="shared" si="10"/>
        <v>2.7333333333333334</v>
      </c>
      <c r="AI23">
        <f t="shared" ca="1" si="11"/>
        <v>61</v>
      </c>
      <c r="AJ23">
        <f t="shared" ca="1" si="12"/>
        <v>104</v>
      </c>
      <c r="AK23">
        <f t="shared" ca="1" si="13"/>
        <v>0</v>
      </c>
      <c r="AL23" t="s">
        <v>326</v>
      </c>
      <c r="AO23" t="s">
        <v>76</v>
      </c>
      <c r="AP23" t="s">
        <v>6508</v>
      </c>
      <c r="AQ23" t="s">
        <v>6508</v>
      </c>
      <c r="AR23" t="s">
        <v>6508</v>
      </c>
      <c r="AS23" t="s">
        <v>6508</v>
      </c>
    </row>
    <row r="24" spans="1:45" x14ac:dyDescent="0.3">
      <c r="A24" t="s">
        <v>5628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200075</v>
      </c>
      <c r="F24">
        <f>VLOOKUP(VLOOKUP(E24,LocalAreas.csv!J:L,3,FALSE),ServiceAreas.csv!F:J,5,FALSE)</f>
        <v>10</v>
      </c>
      <c r="G24" t="str">
        <f t="shared" si="2"/>
        <v>rg:{'id': '200075'}</v>
      </c>
      <c r="H24" t="s">
        <v>7653</v>
      </c>
      <c r="I24" t="s">
        <v>5635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5421</v>
      </c>
      <c r="O24">
        <v>200</v>
      </c>
      <c r="P24">
        <v>1985</v>
      </c>
      <c r="Q24">
        <v>200</v>
      </c>
      <c r="R24" t="s">
        <v>6660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7068</v>
      </c>
      <c r="X24" t="s">
        <v>76</v>
      </c>
      <c r="Y24" t="s">
        <v>76</v>
      </c>
      <c r="Z24" t="s">
        <v>76</v>
      </c>
      <c r="AA24" t="s">
        <v>7415</v>
      </c>
      <c r="AB24" t="s">
        <v>7265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6508</v>
      </c>
      <c r="AQ24" t="s">
        <v>6508</v>
      </c>
      <c r="AR24" t="s">
        <v>6508</v>
      </c>
      <c r="AS24" t="s">
        <v>6508</v>
      </c>
    </row>
    <row r="25" spans="1:45" x14ac:dyDescent="0.3">
      <c r="A25" t="s">
        <v>5628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200075</v>
      </c>
      <c r="F25">
        <f>VLOOKUP(VLOOKUP(E25,LocalAreas.csv!J:L,3,FALSE),ServiceAreas.csv!F:J,5,FALSE)</f>
        <v>10</v>
      </c>
      <c r="G25" t="str">
        <f t="shared" si="2"/>
        <v>rg:{'id': '200075'}</v>
      </c>
      <c r="H25" t="s">
        <v>7654</v>
      </c>
      <c r="I25" t="s">
        <v>5638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5657</v>
      </c>
      <c r="O25" t="s">
        <v>5662</v>
      </c>
      <c r="P25">
        <v>1982</v>
      </c>
      <c r="Q25">
        <v>100</v>
      </c>
      <c r="R25" t="s">
        <v>6660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7069</v>
      </c>
      <c r="X25" t="s">
        <v>76</v>
      </c>
      <c r="Y25" t="s">
        <v>76</v>
      </c>
      <c r="Z25" t="s">
        <v>76</v>
      </c>
      <c r="AA25" t="s">
        <v>7416</v>
      </c>
      <c r="AB25" t="s">
        <v>7266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246.16666666666666</v>
      </c>
      <c r="AH25" s="4">
        <f t="shared" si="10"/>
        <v>6.5166666666666666</v>
      </c>
      <c r="AI25">
        <f t="shared" ca="1" si="11"/>
        <v>66</v>
      </c>
      <c r="AJ25">
        <f t="shared" ca="1" si="12"/>
        <v>59</v>
      </c>
      <c r="AK25">
        <f t="shared" ca="1" si="13"/>
        <v>27</v>
      </c>
      <c r="AL25" t="s">
        <v>5687</v>
      </c>
      <c r="AM25" t="s">
        <v>6880</v>
      </c>
      <c r="AN25" s="1">
        <v>42697</v>
      </c>
      <c r="AO25" t="s">
        <v>76</v>
      </c>
      <c r="AP25" t="s">
        <v>6508</v>
      </c>
      <c r="AQ25" t="s">
        <v>6508</v>
      </c>
      <c r="AR25" t="s">
        <v>6508</v>
      </c>
      <c r="AS25" t="s">
        <v>6508</v>
      </c>
    </row>
    <row r="26" spans="1:45" x14ac:dyDescent="0.3">
      <c r="A26" t="s">
        <v>5628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200075</v>
      </c>
      <c r="F26">
        <f>VLOOKUP(VLOOKUP(E26,LocalAreas.csv!J:L,3,FALSE),ServiceAreas.csv!F:J,5,FALSE)</f>
        <v>10</v>
      </c>
      <c r="G26" t="str">
        <f t="shared" si="2"/>
        <v>rg:{'id': '200075'}</v>
      </c>
      <c r="H26" t="s">
        <v>7655</v>
      </c>
      <c r="I26" t="s">
        <v>5639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5399</v>
      </c>
      <c r="O26">
        <v>100</v>
      </c>
      <c r="P26">
        <v>2001</v>
      </c>
      <c r="Q26">
        <v>50</v>
      </c>
      <c r="R26" t="s">
        <v>6660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7070</v>
      </c>
      <c r="X26" t="s">
        <v>76</v>
      </c>
      <c r="Y26" t="s">
        <v>76</v>
      </c>
      <c r="Z26" t="s">
        <v>76</v>
      </c>
      <c r="AA26" t="s">
        <v>7417</v>
      </c>
      <c r="AB26" t="s">
        <v>7267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369.08333333333331</v>
      </c>
      <c r="AH26" s="4">
        <f t="shared" si="10"/>
        <v>9.2138888888888886</v>
      </c>
      <c r="AI26">
        <f t="shared" ca="1" si="11"/>
        <v>59</v>
      </c>
      <c r="AJ26">
        <f t="shared" ca="1" si="12"/>
        <v>43</v>
      </c>
      <c r="AK26">
        <f t="shared" ca="1" si="13"/>
        <v>176</v>
      </c>
      <c r="AL26" t="s">
        <v>5687</v>
      </c>
      <c r="AM26" t="s">
        <v>6881</v>
      </c>
      <c r="AN26" s="1">
        <v>42727</v>
      </c>
      <c r="AO26" t="s">
        <v>76</v>
      </c>
      <c r="AP26" t="s">
        <v>6508</v>
      </c>
      <c r="AQ26" t="s">
        <v>6508</v>
      </c>
      <c r="AR26" t="s">
        <v>6508</v>
      </c>
      <c r="AS26" t="s">
        <v>6508</v>
      </c>
    </row>
    <row r="27" spans="1:45" x14ac:dyDescent="0.3">
      <c r="A27" t="s">
        <v>5628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200075</v>
      </c>
      <c r="F27">
        <f>VLOOKUP(VLOOKUP(E27,LocalAreas.csv!J:L,3,FALSE),ServiceAreas.csv!F:J,5,FALSE)</f>
        <v>10</v>
      </c>
      <c r="G27" t="str">
        <f t="shared" si="2"/>
        <v>rg:{'id': '200075'}</v>
      </c>
      <c r="H27" t="s">
        <v>7656</v>
      </c>
      <c r="I27" t="s">
        <v>5640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5399</v>
      </c>
      <c r="O27">
        <v>200</v>
      </c>
      <c r="P27">
        <v>1975</v>
      </c>
      <c r="Q27">
        <v>10</v>
      </c>
      <c r="R27" t="s">
        <v>6660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7071</v>
      </c>
      <c r="X27" t="s">
        <v>76</v>
      </c>
      <c r="Y27" t="s">
        <v>76</v>
      </c>
      <c r="Z27" t="s">
        <v>76</v>
      </c>
      <c r="AA27" t="s">
        <v>7418</v>
      </c>
      <c r="AB27" t="s">
        <v>7268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426</v>
      </c>
      <c r="AH27" s="4">
        <f t="shared" si="10"/>
        <v>11.988888888888889</v>
      </c>
      <c r="AI27">
        <f t="shared" ca="1" si="11"/>
        <v>148</v>
      </c>
      <c r="AJ27">
        <f t="shared" ca="1" si="12"/>
        <v>38</v>
      </c>
      <c r="AK27">
        <f t="shared" ca="1" si="13"/>
        <v>13</v>
      </c>
      <c r="AL27" t="s">
        <v>326</v>
      </c>
      <c r="AO27" t="s">
        <v>76</v>
      </c>
      <c r="AP27" t="s">
        <v>6508</v>
      </c>
      <c r="AQ27" t="s">
        <v>6508</v>
      </c>
      <c r="AR27" t="s">
        <v>6508</v>
      </c>
      <c r="AS27" t="s">
        <v>6508</v>
      </c>
    </row>
    <row r="28" spans="1:45" x14ac:dyDescent="0.3">
      <c r="A28" t="s">
        <v>5628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200075</v>
      </c>
      <c r="F28">
        <f>VLOOKUP(VLOOKUP(E28,LocalAreas.csv!J:L,3,FALSE),ServiceAreas.csv!F:J,5,FALSE)</f>
        <v>10</v>
      </c>
      <c r="G28" t="str">
        <f t="shared" si="2"/>
        <v>rg:{'id': '200075'}</v>
      </c>
      <c r="H28" t="s">
        <v>7657</v>
      </c>
      <c r="I28" t="s">
        <v>5641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5656</v>
      </c>
      <c r="O28">
        <v>300</v>
      </c>
      <c r="P28">
        <v>1973</v>
      </c>
      <c r="Q28">
        <v>50</v>
      </c>
      <c r="R28" t="s">
        <v>6660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7072</v>
      </c>
      <c r="X28" t="s">
        <v>76</v>
      </c>
      <c r="Y28" t="s">
        <v>76</v>
      </c>
      <c r="Z28" t="s">
        <v>76</v>
      </c>
      <c r="AA28" t="s">
        <v>7419</v>
      </c>
      <c r="AB28" t="s">
        <v>7269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104.41666666666666</v>
      </c>
      <c r="AH28" s="4">
        <f t="shared" si="10"/>
        <v>2.1694444444444443</v>
      </c>
      <c r="AI28">
        <f t="shared" ca="1" si="11"/>
        <v>41</v>
      </c>
      <c r="AJ28">
        <f t="shared" ca="1" si="12"/>
        <v>77</v>
      </c>
      <c r="AK28">
        <f t="shared" ca="1" si="13"/>
        <v>0</v>
      </c>
      <c r="AL28" t="s">
        <v>326</v>
      </c>
      <c r="AO28" t="s">
        <v>76</v>
      </c>
      <c r="AP28" t="s">
        <v>6508</v>
      </c>
      <c r="AQ28" t="s">
        <v>6508</v>
      </c>
      <c r="AR28" t="s">
        <v>6508</v>
      </c>
      <c r="AS28" t="s">
        <v>6508</v>
      </c>
    </row>
    <row r="29" spans="1:45" x14ac:dyDescent="0.3">
      <c r="A29" t="s">
        <v>5628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200075</v>
      </c>
      <c r="F29">
        <f>VLOOKUP(VLOOKUP(E29,LocalAreas.csv!J:L,3,FALSE),ServiceAreas.csv!F:J,5,FALSE)</f>
        <v>10</v>
      </c>
      <c r="G29" t="str">
        <f t="shared" si="2"/>
        <v>rg:{'id': '200075'}</v>
      </c>
      <c r="H29" t="s">
        <v>7658</v>
      </c>
      <c r="I29" t="s">
        <v>5638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5653</v>
      </c>
      <c r="O29" t="s">
        <v>5654</v>
      </c>
      <c r="P29">
        <v>1989</v>
      </c>
      <c r="Q29">
        <v>60</v>
      </c>
      <c r="R29" t="s">
        <v>6660</v>
      </c>
      <c r="S29" s="1">
        <v>38270</v>
      </c>
      <c r="T29" s="1">
        <v>38295</v>
      </c>
      <c r="U29" t="str">
        <f t="shared" ca="1" si="5"/>
        <v>rg:True</v>
      </c>
      <c r="V29" t="str">
        <f t="shared" ca="1" si="6"/>
        <v>This equipment should be archived</v>
      </c>
      <c r="W29" t="s">
        <v>7073</v>
      </c>
      <c r="X29" t="s">
        <v>76</v>
      </c>
      <c r="Y29" t="s">
        <v>76</v>
      </c>
      <c r="Z29" t="s">
        <v>76</v>
      </c>
      <c r="AA29" t="s">
        <v>7420</v>
      </c>
      <c r="AB29" t="s">
        <v>7270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476.91666666666663</v>
      </c>
      <c r="AH29" s="4">
        <f t="shared" si="10"/>
        <v>11.408333333333333</v>
      </c>
      <c r="AI29">
        <f t="shared" ca="1" si="11"/>
        <v>164</v>
      </c>
      <c r="AJ29">
        <f t="shared" ca="1" si="12"/>
        <v>95</v>
      </c>
      <c r="AK29">
        <f t="shared" ca="1" si="13"/>
        <v>145</v>
      </c>
      <c r="AL29" t="s">
        <v>326</v>
      </c>
      <c r="AO29" t="s">
        <v>76</v>
      </c>
      <c r="AP29" t="s">
        <v>6508</v>
      </c>
      <c r="AQ29" t="s">
        <v>6508</v>
      </c>
      <c r="AR29" t="s">
        <v>6508</v>
      </c>
      <c r="AS29" t="s">
        <v>6508</v>
      </c>
    </row>
    <row r="30" spans="1:45" x14ac:dyDescent="0.3">
      <c r="A30" t="s">
        <v>5628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200075</v>
      </c>
      <c r="F30">
        <f>VLOOKUP(VLOOKUP(E30,LocalAreas.csv!J:L,3,FALSE),ServiceAreas.csv!F:J,5,FALSE)</f>
        <v>10</v>
      </c>
      <c r="G30" t="str">
        <f t="shared" si="2"/>
        <v>rg:{'id': '200075'}</v>
      </c>
      <c r="H30" t="s">
        <v>7659</v>
      </c>
      <c r="I30" t="s">
        <v>5639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5399</v>
      </c>
      <c r="O30" t="s">
        <v>5655</v>
      </c>
      <c r="P30">
        <v>2015</v>
      </c>
      <c r="Q30">
        <v>20</v>
      </c>
      <c r="R30" t="s">
        <v>6660</v>
      </c>
      <c r="S30" s="1">
        <v>38565</v>
      </c>
      <c r="T30" s="1">
        <v>38584</v>
      </c>
      <c r="U30" t="str">
        <f t="shared" ca="1" si="5"/>
        <v>rg:True</v>
      </c>
      <c r="V30" t="str">
        <f t="shared" ca="1" si="6"/>
        <v>This equipment should be archived</v>
      </c>
      <c r="W30" t="s">
        <v>7074</v>
      </c>
      <c r="X30" t="s">
        <v>76</v>
      </c>
      <c r="Y30" t="s">
        <v>76</v>
      </c>
      <c r="Z30" t="s">
        <v>76</v>
      </c>
      <c r="AA30" t="s">
        <v>7421</v>
      </c>
      <c r="AB30" t="s">
        <v>7271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456.75</v>
      </c>
      <c r="AH30" s="4">
        <f t="shared" si="10"/>
        <v>10.613888888888889</v>
      </c>
      <c r="AI30">
        <f t="shared" ca="1" si="11"/>
        <v>147</v>
      </c>
      <c r="AJ30">
        <f t="shared" ca="1" si="12"/>
        <v>162</v>
      </c>
      <c r="AK30">
        <f t="shared" ca="1" si="13"/>
        <v>106</v>
      </c>
      <c r="AL30" t="s">
        <v>326</v>
      </c>
      <c r="AO30" t="s">
        <v>76</v>
      </c>
      <c r="AP30" t="s">
        <v>6508</v>
      </c>
      <c r="AQ30" t="s">
        <v>6508</v>
      </c>
      <c r="AR30" t="s">
        <v>6508</v>
      </c>
      <c r="AS30" t="s">
        <v>6508</v>
      </c>
    </row>
    <row r="31" spans="1:45" x14ac:dyDescent="0.3">
      <c r="A31" t="s">
        <v>5628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200076</v>
      </c>
      <c r="F31">
        <f>VLOOKUP(VLOOKUP(E31,LocalAreas.csv!J:L,3,FALSE),ServiceAreas.csv!F:J,5,FALSE)</f>
        <v>10</v>
      </c>
      <c r="G31" t="str">
        <f t="shared" si="2"/>
        <v>rg:{'id': '200076'}</v>
      </c>
      <c r="H31" t="s">
        <v>7660</v>
      </c>
      <c r="I31" t="s">
        <v>5640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5399</v>
      </c>
      <c r="O31" t="s">
        <v>5658</v>
      </c>
      <c r="P31">
        <v>1979</v>
      </c>
      <c r="Q31">
        <v>30</v>
      </c>
      <c r="R31" t="s">
        <v>6660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7075</v>
      </c>
      <c r="X31" t="s">
        <v>76</v>
      </c>
      <c r="Y31" t="s">
        <v>76</v>
      </c>
      <c r="Z31" t="s">
        <v>76</v>
      </c>
      <c r="AA31" t="s">
        <v>7422</v>
      </c>
      <c r="AB31" t="s">
        <v>7272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69.416666666666657</v>
      </c>
      <c r="AH31" s="4">
        <f t="shared" si="10"/>
        <v>1.2472222222222222</v>
      </c>
      <c r="AI31">
        <f t="shared" ca="1" si="11"/>
        <v>96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6508</v>
      </c>
      <c r="AQ31" t="s">
        <v>6508</v>
      </c>
      <c r="AR31" t="s">
        <v>6508</v>
      </c>
      <c r="AS31" t="s">
        <v>6508</v>
      </c>
    </row>
    <row r="32" spans="1:45" x14ac:dyDescent="0.3">
      <c r="A32" t="s">
        <v>5628</v>
      </c>
      <c r="B32">
        <f t="shared" si="0"/>
        <v>200030</v>
      </c>
      <c r="C32">
        <v>200018</v>
      </c>
      <c r="D32" t="str">
        <f t="shared" si="1"/>
        <v>rg:{'id': '200018'}</v>
      </c>
      <c r="E32">
        <f>VLOOKUP(C32,Owners.csv!C:J,6,FALSE)</f>
        <v>200076</v>
      </c>
      <c r="F32">
        <f>VLOOKUP(VLOOKUP(E32,LocalAreas.csv!J:L,3,FALSE),ServiceAreas.csv!F:J,5,FALSE)</f>
        <v>10</v>
      </c>
      <c r="G32" t="str">
        <f t="shared" si="2"/>
        <v>rg:{'id': '200076'}</v>
      </c>
      <c r="H32" t="s">
        <v>7653</v>
      </c>
      <c r="I32" t="s">
        <v>5640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2</v>
      </c>
      <c r="M32" t="str">
        <f>VLOOKUP(C32,Owners.csv!C:K,9,FALSE)&amp;TEXT(Equipment.csv!L32,"0000")</f>
        <v>CIRC0002</v>
      </c>
      <c r="N32" t="s">
        <v>5399</v>
      </c>
      <c r="O32" t="s">
        <v>6695</v>
      </c>
      <c r="P32">
        <v>2005</v>
      </c>
      <c r="Q32">
        <v>40</v>
      </c>
      <c r="R32" t="s">
        <v>6660</v>
      </c>
      <c r="S32" s="1">
        <v>41229</v>
      </c>
      <c r="T32" s="1">
        <v>41236</v>
      </c>
      <c r="U32" t="str">
        <f t="shared" ca="1" si="5"/>
        <v>rg:False</v>
      </c>
      <c r="V32" t="str">
        <f t="shared" ca="1" si="6"/>
        <v>rg:None</v>
      </c>
      <c r="W32" t="s">
        <v>7085</v>
      </c>
      <c r="X32" t="s">
        <v>76</v>
      </c>
      <c r="Y32" t="s">
        <v>76</v>
      </c>
      <c r="Z32" t="s">
        <v>76</v>
      </c>
      <c r="AA32" t="s">
        <v>7432</v>
      </c>
      <c r="AB32" t="s">
        <v>7282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42461</v>
      </c>
      <c r="AG32" s="4">
        <f t="shared" ca="1" si="9"/>
        <v>196.33333333333334</v>
      </c>
      <c r="AH32" s="4">
        <f t="shared" si="10"/>
        <v>3.3555555555555556</v>
      </c>
      <c r="AI32">
        <f t="shared" ca="1" si="11"/>
        <v>135</v>
      </c>
      <c r="AJ32">
        <f t="shared" ca="1" si="12"/>
        <v>16</v>
      </c>
      <c r="AK32">
        <f t="shared" ca="1" si="13"/>
        <v>136</v>
      </c>
      <c r="AL32" t="s">
        <v>326</v>
      </c>
      <c r="AO32" t="s">
        <v>76</v>
      </c>
      <c r="AP32" t="s">
        <v>6508</v>
      </c>
      <c r="AQ32" t="s">
        <v>6508</v>
      </c>
      <c r="AR32" t="s">
        <v>6508</v>
      </c>
      <c r="AS32" t="s">
        <v>6508</v>
      </c>
    </row>
    <row r="33" spans="1:45" x14ac:dyDescent="0.3">
      <c r="A33" t="s">
        <v>5628</v>
      </c>
      <c r="B33">
        <f t="shared" si="0"/>
        <v>200031</v>
      </c>
      <c r="C33">
        <v>200018</v>
      </c>
      <c r="D33" t="str">
        <f t="shared" si="1"/>
        <v>rg:{'id': '200018'}</v>
      </c>
      <c r="E33">
        <f>VLOOKUP(C33,Owners.csv!C:J,6,FALSE)</f>
        <v>200076</v>
      </c>
      <c r="F33">
        <f>VLOOKUP(VLOOKUP(E33,LocalAreas.csv!J:L,3,FALSE),ServiceAreas.csv!F:J,5,FALSE)</f>
        <v>10</v>
      </c>
      <c r="G33" t="str">
        <f t="shared" si="2"/>
        <v>rg:{'id': '200076'}</v>
      </c>
      <c r="H33" t="s">
        <v>7645</v>
      </c>
      <c r="I33" t="s">
        <v>5638</v>
      </c>
      <c r="J33">
        <f>VLOOKUP(I33&amp;"-"&amp;F33,DistrictEquipmentTypes.csv!J:K,2,FALSE)</f>
        <v>200002</v>
      </c>
      <c r="K33" t="str">
        <f t="shared" si="3"/>
        <v>rg:{'id': '200002'}</v>
      </c>
      <c r="L33">
        <f t="shared" si="4"/>
        <v>3</v>
      </c>
      <c r="M33" t="str">
        <f>VLOOKUP(C33,Owners.csv!C:K,9,FALSE)&amp;TEXT(Equipment.csv!L33,"0000")</f>
        <v>CIRC0003</v>
      </c>
      <c r="N33" t="s">
        <v>5399</v>
      </c>
      <c r="O33" t="s">
        <v>6705</v>
      </c>
      <c r="P33">
        <v>2000</v>
      </c>
      <c r="Q33">
        <v>50</v>
      </c>
      <c r="R33" t="s">
        <v>6660</v>
      </c>
      <c r="S33" s="1">
        <v>38458</v>
      </c>
      <c r="T33" s="1">
        <v>38477</v>
      </c>
      <c r="U33" t="str">
        <f t="shared" ca="1" si="5"/>
        <v>rg:False</v>
      </c>
      <c r="V33" t="str">
        <f t="shared" ca="1" si="6"/>
        <v>rg:None</v>
      </c>
      <c r="W33" t="s">
        <v>7095</v>
      </c>
      <c r="X33" t="s">
        <v>76</v>
      </c>
      <c r="Y33" t="s">
        <v>76</v>
      </c>
      <c r="Z33" t="s">
        <v>76</v>
      </c>
      <c r="AA33" t="s">
        <v>7442</v>
      </c>
      <c r="AB33" t="s">
        <v>7290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439.16666666666663</v>
      </c>
      <c r="AH33" s="4">
        <f t="shared" si="10"/>
        <v>10.905555555555555</v>
      </c>
      <c r="AI33">
        <f t="shared" ca="1" si="11"/>
        <v>35</v>
      </c>
      <c r="AJ33">
        <f t="shared" ca="1" si="12"/>
        <v>192</v>
      </c>
      <c r="AK33">
        <f t="shared" ca="1" si="13"/>
        <v>109</v>
      </c>
      <c r="AL33" t="s">
        <v>326</v>
      </c>
      <c r="AO33" t="s">
        <v>76</v>
      </c>
      <c r="AP33" t="s">
        <v>6508</v>
      </c>
      <c r="AQ33" t="s">
        <v>6508</v>
      </c>
      <c r="AR33" t="s">
        <v>6508</v>
      </c>
      <c r="AS33" t="s">
        <v>6508</v>
      </c>
    </row>
    <row r="34" spans="1:45" x14ac:dyDescent="0.3">
      <c r="A34" t="s">
        <v>5628</v>
      </c>
      <c r="B34">
        <f t="shared" si="0"/>
        <v>200032</v>
      </c>
      <c r="C34">
        <v>200018</v>
      </c>
      <c r="D34" t="str">
        <f t="shared" si="1"/>
        <v>rg:{'id': '200018'}</v>
      </c>
      <c r="E34">
        <f>VLOOKUP(C34,Owners.csv!C:J,6,FALSE)</f>
        <v>200076</v>
      </c>
      <c r="F34">
        <f>VLOOKUP(VLOOKUP(E34,LocalAreas.csv!J:L,3,FALSE),ServiceAreas.csv!F:J,5,FALSE)</f>
        <v>10</v>
      </c>
      <c r="G34" t="str">
        <f t="shared" si="2"/>
        <v>rg:{'id': '200076'}</v>
      </c>
      <c r="H34" t="s">
        <v>7681</v>
      </c>
      <c r="I34" t="s">
        <v>5638</v>
      </c>
      <c r="J34">
        <f>VLOOKUP(I34&amp;"-"&amp;F34,DistrictEquipmentTypes.csv!J:K,2,FALSE)</f>
        <v>200002</v>
      </c>
      <c r="K34" t="str">
        <f t="shared" si="3"/>
        <v>rg:{'id': '200002'}</v>
      </c>
      <c r="L34">
        <f t="shared" si="4"/>
        <v>4</v>
      </c>
      <c r="M34" t="str">
        <f>VLOOKUP(C34,Owners.csv!C:K,9,FALSE)&amp;TEXT(Equipment.csv!L34,"0000")</f>
        <v>CIRC0004</v>
      </c>
      <c r="N34" t="s">
        <v>5399</v>
      </c>
      <c r="O34" t="s">
        <v>6715</v>
      </c>
      <c r="P34">
        <v>2013</v>
      </c>
      <c r="Q34">
        <v>60</v>
      </c>
      <c r="R34" t="s">
        <v>6662</v>
      </c>
      <c r="S34" s="1">
        <v>40711</v>
      </c>
      <c r="T34" s="1">
        <v>40720</v>
      </c>
      <c r="U34" t="str">
        <f t="shared" ca="1" si="5"/>
        <v>rg:False</v>
      </c>
      <c r="V34" t="str">
        <f t="shared" ca="1" si="6"/>
        <v>rg:None</v>
      </c>
      <c r="W34" t="s">
        <v>7105</v>
      </c>
      <c r="X34" t="s">
        <v>76</v>
      </c>
      <c r="Y34" t="s">
        <v>76</v>
      </c>
      <c r="Z34" t="s">
        <v>76</v>
      </c>
      <c r="AA34" t="s">
        <v>7452</v>
      </c>
      <c r="AB34" t="s">
        <v>7299</v>
      </c>
      <c r="AC34">
        <v>0</v>
      </c>
      <c r="AD34" t="str">
        <f t="shared" ca="1" si="7"/>
        <v>rg:False</v>
      </c>
      <c r="AE34" t="str">
        <f t="shared" ref="AE34:AE65" ca="1" si="14">IF(AD34="rg:True","Seniority overridden to test things","rg:None")</f>
        <v>rg:None</v>
      </c>
      <c r="AF34" s="1">
        <v>42481</v>
      </c>
      <c r="AG34" s="4">
        <f t="shared" ca="1" si="9"/>
        <v>255.58333333333337</v>
      </c>
      <c r="AH34" s="4">
        <f t="shared" si="10"/>
        <v>4.7638888888888893</v>
      </c>
      <c r="AI34">
        <f t="shared" ca="1" si="11"/>
        <v>165</v>
      </c>
      <c r="AJ34">
        <f t="shared" ca="1" si="12"/>
        <v>151</v>
      </c>
      <c r="AK34">
        <f t="shared" ca="1" si="13"/>
        <v>22</v>
      </c>
      <c r="AL34" t="s">
        <v>326</v>
      </c>
      <c r="AO34" t="s">
        <v>76</v>
      </c>
      <c r="AP34" t="s">
        <v>6508</v>
      </c>
      <c r="AQ34" t="s">
        <v>6508</v>
      </c>
      <c r="AR34" t="s">
        <v>6508</v>
      </c>
      <c r="AS34" t="s">
        <v>6508</v>
      </c>
    </row>
    <row r="35" spans="1:45" x14ac:dyDescent="0.3">
      <c r="A35" t="s">
        <v>5628</v>
      </c>
      <c r="B35">
        <f t="shared" si="0"/>
        <v>200033</v>
      </c>
      <c r="C35">
        <v>200018</v>
      </c>
      <c r="D35" t="str">
        <f t="shared" si="1"/>
        <v>rg:{'id': '200018'}</v>
      </c>
      <c r="E35">
        <f>VLOOKUP(C35,Owners.csv!C:J,6,FALSE)</f>
        <v>200076</v>
      </c>
      <c r="F35">
        <f>VLOOKUP(VLOOKUP(E35,LocalAreas.csv!J:L,3,FALSE),ServiceAreas.csv!F:J,5,FALSE)</f>
        <v>10</v>
      </c>
      <c r="G35" t="str">
        <f t="shared" si="2"/>
        <v>rg:{'id': '200076'}</v>
      </c>
      <c r="H35" t="s">
        <v>7687</v>
      </c>
      <c r="I35" t="s">
        <v>5649</v>
      </c>
      <c r="J35">
        <f>VLOOKUP(I35&amp;"-"&amp;F35,DistrictEquipmentTypes.csv!J:K,2,FALSE)</f>
        <v>200006</v>
      </c>
      <c r="K35" t="str">
        <f t="shared" si="3"/>
        <v>rg:{'id': '200006'}</v>
      </c>
      <c r="L35">
        <f t="shared" si="4"/>
        <v>5</v>
      </c>
      <c r="M35" t="str">
        <f>VLOOKUP(C35,Owners.csv!C:K,9,FALSE)&amp;TEXT(Equipment.csv!L35,"0000")</f>
        <v>CIRC0005</v>
      </c>
      <c r="N35" t="s">
        <v>5399</v>
      </c>
      <c r="O35" t="s">
        <v>6723</v>
      </c>
      <c r="P35">
        <v>1979</v>
      </c>
      <c r="Q35">
        <v>68</v>
      </c>
      <c r="R35" t="s">
        <v>6660</v>
      </c>
      <c r="S35" s="1">
        <v>40613</v>
      </c>
      <c r="T35" s="1">
        <v>40641</v>
      </c>
      <c r="U35" t="str">
        <f t="shared" ca="1" si="5"/>
        <v>rg:False</v>
      </c>
      <c r="V35" t="str">
        <f t="shared" ca="1" si="6"/>
        <v>rg:None</v>
      </c>
      <c r="W35" t="s">
        <v>7113</v>
      </c>
      <c r="X35" t="s">
        <v>76</v>
      </c>
      <c r="Y35" t="s">
        <v>76</v>
      </c>
      <c r="Z35" t="s">
        <v>76</v>
      </c>
      <c r="AA35" t="s">
        <v>7460</v>
      </c>
      <c r="AB35" t="s">
        <v>7305</v>
      </c>
      <c r="AC35">
        <v>0</v>
      </c>
      <c r="AD35" t="str">
        <f t="shared" ca="1" si="7"/>
        <v>rg:False</v>
      </c>
      <c r="AE35" t="str">
        <f t="shared" ca="1" si="14"/>
        <v>rg:None</v>
      </c>
      <c r="AF35" s="1">
        <v>42481</v>
      </c>
      <c r="AG35" s="4">
        <f t="shared" ca="1" si="9"/>
        <v>421.5</v>
      </c>
      <c r="AH35" s="4">
        <f t="shared" si="10"/>
        <v>4.9805555555555552</v>
      </c>
      <c r="AI35">
        <f t="shared" ca="1" si="11"/>
        <v>76</v>
      </c>
      <c r="AJ35">
        <f t="shared" ca="1" si="12"/>
        <v>150</v>
      </c>
      <c r="AK35">
        <f t="shared" ca="1" si="13"/>
        <v>142</v>
      </c>
      <c r="AL35" t="s">
        <v>326</v>
      </c>
      <c r="AO35" t="s">
        <v>76</v>
      </c>
      <c r="AP35" t="s">
        <v>6508</v>
      </c>
      <c r="AQ35" t="s">
        <v>6508</v>
      </c>
      <c r="AR35" t="s">
        <v>6508</v>
      </c>
      <c r="AS35" t="s">
        <v>6508</v>
      </c>
    </row>
    <row r="36" spans="1:45" x14ac:dyDescent="0.3">
      <c r="A36" t="s">
        <v>5628</v>
      </c>
      <c r="B36">
        <f t="shared" si="0"/>
        <v>200034</v>
      </c>
      <c r="C36">
        <v>200018</v>
      </c>
      <c r="D36" t="str">
        <f t="shared" si="1"/>
        <v>rg:{'id': '200018'}</v>
      </c>
      <c r="E36">
        <f>VLOOKUP(C36,Owners.csv!C:J,6,FALSE)</f>
        <v>200076</v>
      </c>
      <c r="F36">
        <f>VLOOKUP(VLOOKUP(E36,LocalAreas.csv!J:L,3,FALSE),ServiceAreas.csv!F:J,5,FALSE)</f>
        <v>10</v>
      </c>
      <c r="G36" t="str">
        <f t="shared" si="2"/>
        <v>rg:{'id': '200076'}</v>
      </c>
      <c r="H36" t="s">
        <v>7701</v>
      </c>
      <c r="I36" t="s">
        <v>5649</v>
      </c>
      <c r="J36">
        <f>VLOOKUP(I36&amp;"-"&amp;F36,DistrictEquipmentTypes.csv!J:K,2,FALSE)</f>
        <v>200006</v>
      </c>
      <c r="K36" t="str">
        <f t="shared" si="3"/>
        <v>rg:{'id': '200006'}</v>
      </c>
      <c r="L36">
        <f t="shared" si="4"/>
        <v>6</v>
      </c>
      <c r="M36" t="str">
        <f>VLOOKUP(C36,Owners.csv!C:K,9,FALSE)&amp;TEXT(Equipment.csv!L36,"0000")</f>
        <v>CIRC0006</v>
      </c>
      <c r="N36" t="s">
        <v>5399</v>
      </c>
      <c r="O36" t="s">
        <v>6743</v>
      </c>
      <c r="P36">
        <v>2001</v>
      </c>
      <c r="Q36">
        <v>88</v>
      </c>
      <c r="R36" t="s">
        <v>6660</v>
      </c>
      <c r="S36" s="1">
        <v>42140</v>
      </c>
      <c r="T36" s="1">
        <v>42156</v>
      </c>
      <c r="U36" t="str">
        <f t="shared" ca="1" si="5"/>
        <v>rg:False</v>
      </c>
      <c r="V36" t="str">
        <f t="shared" ca="1" si="6"/>
        <v>rg:None</v>
      </c>
      <c r="W36" t="s">
        <v>7133</v>
      </c>
      <c r="X36" t="s">
        <v>76</v>
      </c>
      <c r="Y36" t="s">
        <v>76</v>
      </c>
      <c r="Z36" t="s">
        <v>76</v>
      </c>
      <c r="AA36" t="s">
        <v>7480</v>
      </c>
      <c r="AB36" t="s">
        <v>7321</v>
      </c>
      <c r="AC36">
        <v>0</v>
      </c>
      <c r="AD36" t="str">
        <f t="shared" ca="1" si="7"/>
        <v>rg:True</v>
      </c>
      <c r="AE36" t="str">
        <f t="shared" ca="1" si="14"/>
        <v>Seniority overridden to test things</v>
      </c>
      <c r="AF36" s="1">
        <v>42481</v>
      </c>
      <c r="AG36" s="4">
        <f t="shared" ca="1" si="9"/>
        <v>50</v>
      </c>
      <c r="AH36" s="4">
        <f t="shared" si="10"/>
        <v>0.83333333333333337</v>
      </c>
      <c r="AI36">
        <f t="shared" ca="1" si="11"/>
        <v>0</v>
      </c>
      <c r="AJ36">
        <f t="shared" ca="1" si="12"/>
        <v>0</v>
      </c>
      <c r="AK36">
        <f t="shared" ca="1" si="13"/>
        <v>0</v>
      </c>
      <c r="AL36" t="s">
        <v>326</v>
      </c>
      <c r="AO36" t="s">
        <v>76</v>
      </c>
      <c r="AP36" t="s">
        <v>6508</v>
      </c>
      <c r="AQ36" t="s">
        <v>6508</v>
      </c>
      <c r="AR36" t="s">
        <v>6508</v>
      </c>
      <c r="AS36" t="s">
        <v>6508</v>
      </c>
    </row>
    <row r="37" spans="1:45" x14ac:dyDescent="0.3">
      <c r="A37" t="s">
        <v>5628</v>
      </c>
      <c r="B37">
        <f t="shared" si="0"/>
        <v>200035</v>
      </c>
      <c r="C37">
        <v>200018</v>
      </c>
      <c r="D37" t="str">
        <f t="shared" si="1"/>
        <v>rg:{'id': '200018'}</v>
      </c>
      <c r="E37">
        <f>VLOOKUP(C37,Owners.csv!C:J,6,FALSE)</f>
        <v>200076</v>
      </c>
      <c r="F37">
        <f>VLOOKUP(VLOOKUP(E37,LocalAreas.csv!J:L,3,FALSE),ServiceAreas.csv!F:J,5,FALSE)</f>
        <v>10</v>
      </c>
      <c r="G37" t="str">
        <f t="shared" si="2"/>
        <v>rg:{'id': '200076'}</v>
      </c>
      <c r="H37" t="s">
        <v>7679</v>
      </c>
      <c r="I37" t="s">
        <v>5635</v>
      </c>
      <c r="J37">
        <f>VLOOKUP(I37&amp;"-"&amp;F37,DistrictEquipmentTypes.csv!J:K,2,FALSE)</f>
        <v>200001</v>
      </c>
      <c r="K37" t="str">
        <f t="shared" si="3"/>
        <v>rg:{'id': '200001'}</v>
      </c>
      <c r="L37">
        <f t="shared" si="4"/>
        <v>7</v>
      </c>
      <c r="M37" t="str">
        <f>VLOOKUP(C37,Owners.csv!C:K,9,FALSE)&amp;TEXT(Equipment.csv!L37,"0000")</f>
        <v>CIRC0007</v>
      </c>
      <c r="N37" t="s">
        <v>5399</v>
      </c>
      <c r="O37" t="s">
        <v>6763</v>
      </c>
      <c r="P37">
        <v>2014</v>
      </c>
      <c r="Q37">
        <v>108</v>
      </c>
      <c r="R37" t="s">
        <v>6660</v>
      </c>
      <c r="S37" s="1">
        <v>40240</v>
      </c>
      <c r="T37" s="1">
        <v>40256</v>
      </c>
      <c r="U37" t="str">
        <f t="shared" ca="1" si="5"/>
        <v>rg:True</v>
      </c>
      <c r="V37" t="str">
        <f t="shared" ca="1" si="6"/>
        <v>This equipment should be archived</v>
      </c>
      <c r="W37" t="s">
        <v>7153</v>
      </c>
      <c r="X37" t="s">
        <v>76</v>
      </c>
      <c r="Y37" t="s">
        <v>76</v>
      </c>
      <c r="Z37" t="s">
        <v>76</v>
      </c>
      <c r="AA37" t="s">
        <v>7500</v>
      </c>
      <c r="AB37" t="s">
        <v>7334</v>
      </c>
      <c r="AC37">
        <v>0</v>
      </c>
      <c r="AD37" t="str">
        <f t="shared" ca="1" si="7"/>
        <v>rg:False</v>
      </c>
      <c r="AE37" t="str">
        <f t="shared" ca="1" si="14"/>
        <v>rg:None</v>
      </c>
      <c r="AF37" s="1">
        <v>42481</v>
      </c>
      <c r="AG37" s="4">
        <f t="shared" ca="1" si="9"/>
        <v>279.33333333333331</v>
      </c>
      <c r="AH37" s="4">
        <f t="shared" si="10"/>
        <v>6.0333333333333332</v>
      </c>
      <c r="AI37">
        <f t="shared" ca="1" si="11"/>
        <v>182</v>
      </c>
      <c r="AJ37">
        <f t="shared" ca="1" si="12"/>
        <v>80</v>
      </c>
      <c r="AK37">
        <f t="shared" ca="1" si="13"/>
        <v>33</v>
      </c>
      <c r="AL37" t="s">
        <v>326</v>
      </c>
      <c r="AO37" t="s">
        <v>76</v>
      </c>
      <c r="AP37" t="s">
        <v>6508</v>
      </c>
      <c r="AQ37" t="s">
        <v>6508</v>
      </c>
      <c r="AR37" t="s">
        <v>6508</v>
      </c>
      <c r="AS37" t="s">
        <v>6508</v>
      </c>
    </row>
    <row r="38" spans="1:45" x14ac:dyDescent="0.3">
      <c r="A38" t="s">
        <v>5628</v>
      </c>
      <c r="B38">
        <f t="shared" si="0"/>
        <v>200036</v>
      </c>
      <c r="C38">
        <v>200018</v>
      </c>
      <c r="D38" t="str">
        <f t="shared" si="1"/>
        <v>rg:{'id': '200018'}</v>
      </c>
      <c r="E38">
        <f>VLOOKUP(C38,Owners.csv!C:J,6,FALSE)</f>
        <v>200076</v>
      </c>
      <c r="F38">
        <f>VLOOKUP(VLOOKUP(E38,LocalAreas.csv!J:L,3,FALSE),ServiceAreas.csv!F:J,5,FALSE)</f>
        <v>10</v>
      </c>
      <c r="G38" t="str">
        <f t="shared" si="2"/>
        <v>rg:{'id': '200076'}</v>
      </c>
      <c r="H38" t="s">
        <v>7721</v>
      </c>
      <c r="I38" t="s">
        <v>5534</v>
      </c>
      <c r="J38">
        <f>VLOOKUP(I38&amp;"-"&amp;F38,DistrictEquipmentTypes.csv!J:K,2,FALSE)</f>
        <v>200000</v>
      </c>
      <c r="K38" t="str">
        <f t="shared" si="3"/>
        <v>rg:{'id': '200000'}</v>
      </c>
      <c r="L38">
        <f t="shared" si="4"/>
        <v>8</v>
      </c>
      <c r="M38" t="str">
        <f>VLOOKUP(C38,Owners.csv!C:K,9,FALSE)&amp;TEXT(Equipment.csv!L38,"0000")</f>
        <v>CIRC0008</v>
      </c>
      <c r="N38" t="s">
        <v>5399</v>
      </c>
      <c r="O38" t="s">
        <v>6778</v>
      </c>
      <c r="P38">
        <v>2017</v>
      </c>
      <c r="Q38">
        <v>123</v>
      </c>
      <c r="R38" t="s">
        <v>6660</v>
      </c>
      <c r="S38" s="1">
        <v>42571</v>
      </c>
      <c r="T38" s="1">
        <v>42578</v>
      </c>
      <c r="U38" t="str">
        <f t="shared" ca="1" si="5"/>
        <v>rg:False</v>
      </c>
      <c r="V38" t="str">
        <f t="shared" ca="1" si="6"/>
        <v>rg:None</v>
      </c>
      <c r="W38" t="s">
        <v>7168</v>
      </c>
      <c r="X38" t="s">
        <v>76</v>
      </c>
      <c r="Y38" t="s">
        <v>76</v>
      </c>
      <c r="Z38" t="s">
        <v>76</v>
      </c>
      <c r="AA38" t="s">
        <v>7515</v>
      </c>
      <c r="AB38" t="s">
        <v>7347</v>
      </c>
      <c r="AC38">
        <v>0</v>
      </c>
      <c r="AD38" t="str">
        <f t="shared" ca="1" si="7"/>
        <v>rg:False</v>
      </c>
      <c r="AE38" t="str">
        <f t="shared" ca="1" si="14"/>
        <v>rg:None</v>
      </c>
      <c r="AF38" s="1">
        <v>42481</v>
      </c>
      <c r="AG38" s="4">
        <f t="shared" ca="1" si="9"/>
        <v>9.6666666666666679</v>
      </c>
      <c r="AH38" s="4">
        <f t="shared" si="10"/>
        <v>0.32222222222222224</v>
      </c>
      <c r="AI38">
        <f t="shared" ca="1" si="11"/>
        <v>0</v>
      </c>
      <c r="AJ38">
        <f t="shared" ca="1" si="12"/>
        <v>0</v>
      </c>
      <c r="AK38">
        <f t="shared" ca="1" si="13"/>
        <v>0</v>
      </c>
      <c r="AL38" t="s">
        <v>326</v>
      </c>
      <c r="AO38" t="s">
        <v>76</v>
      </c>
      <c r="AP38" t="s">
        <v>6508</v>
      </c>
      <c r="AQ38" t="s">
        <v>6508</v>
      </c>
      <c r="AR38" t="s">
        <v>6508</v>
      </c>
      <c r="AS38" t="s">
        <v>6508</v>
      </c>
    </row>
    <row r="39" spans="1:45" x14ac:dyDescent="0.3">
      <c r="A39" t="s">
        <v>5628</v>
      </c>
      <c r="B39">
        <f t="shared" si="0"/>
        <v>200037</v>
      </c>
      <c r="C39">
        <v>200019</v>
      </c>
      <c r="D39" t="str">
        <f t="shared" si="1"/>
        <v>rg:{'id': '200019'}</v>
      </c>
      <c r="E39">
        <f>VLOOKUP(C39,Owners.csv!C:J,6,FALSE)</f>
        <v>200076</v>
      </c>
      <c r="F39">
        <f>VLOOKUP(VLOOKUP(E39,LocalAreas.csv!J:L,3,FALSE),ServiceAreas.csv!F:J,5,FALSE)</f>
        <v>10</v>
      </c>
      <c r="G39" t="str">
        <f t="shared" si="2"/>
        <v>rg:{'id': '200076'}</v>
      </c>
      <c r="H39" t="s">
        <v>7661</v>
      </c>
      <c r="I39" t="s">
        <v>5640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COCO0001</v>
      </c>
      <c r="N39" t="s">
        <v>5399</v>
      </c>
      <c r="O39" t="s">
        <v>6686</v>
      </c>
      <c r="P39">
        <v>2006</v>
      </c>
      <c r="Q39">
        <v>31</v>
      </c>
      <c r="R39" t="s">
        <v>6660</v>
      </c>
      <c r="S39" s="1">
        <v>40610</v>
      </c>
      <c r="T39" s="1">
        <v>40614</v>
      </c>
      <c r="U39" t="str">
        <f t="shared" ca="1" si="5"/>
        <v>rg:False</v>
      </c>
      <c r="V39" t="str">
        <f t="shared" ca="1" si="6"/>
        <v>rg:None</v>
      </c>
      <c r="W39" t="s">
        <v>7076</v>
      </c>
      <c r="X39" t="s">
        <v>76</v>
      </c>
      <c r="Y39" t="s">
        <v>76</v>
      </c>
      <c r="Z39" t="s">
        <v>76</v>
      </c>
      <c r="AA39" t="s">
        <v>7423</v>
      </c>
      <c r="AB39" t="s">
        <v>7273</v>
      </c>
      <c r="AC39">
        <v>0</v>
      </c>
      <c r="AD39" t="str">
        <f t="shared" ca="1" si="7"/>
        <v>rg:False</v>
      </c>
      <c r="AE39" t="str">
        <f t="shared" ca="1" si="14"/>
        <v>rg:None</v>
      </c>
      <c r="AF39" s="1">
        <v>42481</v>
      </c>
      <c r="AG39" s="4">
        <f t="shared" ca="1" si="9"/>
        <v>294.58333333333337</v>
      </c>
      <c r="AH39" s="4">
        <f t="shared" si="10"/>
        <v>5.052777777777778</v>
      </c>
      <c r="AI39">
        <f t="shared" ca="1" si="11"/>
        <v>71</v>
      </c>
      <c r="AJ39">
        <f t="shared" ca="1" si="12"/>
        <v>192</v>
      </c>
      <c r="AK39">
        <f t="shared" ca="1" si="13"/>
        <v>166</v>
      </c>
      <c r="AL39" t="s">
        <v>326</v>
      </c>
      <c r="AO39" t="s">
        <v>76</v>
      </c>
      <c r="AP39" t="s">
        <v>6508</v>
      </c>
      <c r="AQ39" t="s">
        <v>6508</v>
      </c>
      <c r="AR39" t="s">
        <v>6508</v>
      </c>
      <c r="AS39" t="s">
        <v>6508</v>
      </c>
    </row>
    <row r="40" spans="1:45" x14ac:dyDescent="0.3">
      <c r="A40" t="s">
        <v>5628</v>
      </c>
      <c r="B40">
        <f t="shared" si="0"/>
        <v>200038</v>
      </c>
      <c r="C40">
        <v>200019</v>
      </c>
      <c r="D40" t="str">
        <f t="shared" si="1"/>
        <v>rg:{'id': '200019'}</v>
      </c>
      <c r="E40">
        <f>VLOOKUP(C40,Owners.csv!C:J,6,FALSE)</f>
        <v>200076</v>
      </c>
      <c r="F40">
        <f>VLOOKUP(VLOOKUP(E40,LocalAreas.csv!J:L,3,FALSE),ServiceAreas.csv!F:J,5,FALSE)</f>
        <v>10</v>
      </c>
      <c r="G40" t="str">
        <f t="shared" si="2"/>
        <v>rg:{'id': '200076'}</v>
      </c>
      <c r="H40" t="s">
        <v>7632</v>
      </c>
      <c r="I40" t="s">
        <v>5640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2</v>
      </c>
      <c r="M40" t="str">
        <f>VLOOKUP(C40,Owners.csv!C:K,9,FALSE)&amp;TEXT(Equipment.csv!L40,"0000")</f>
        <v>COCO0002</v>
      </c>
      <c r="N40" t="s">
        <v>5399</v>
      </c>
      <c r="O40" t="s">
        <v>6696</v>
      </c>
      <c r="P40">
        <v>2014</v>
      </c>
      <c r="Q40">
        <v>41</v>
      </c>
      <c r="R40" t="s">
        <v>6660</v>
      </c>
      <c r="S40" s="1">
        <v>38088</v>
      </c>
      <c r="T40" s="1">
        <v>38114</v>
      </c>
      <c r="U40" t="str">
        <f t="shared" ca="1" si="5"/>
        <v>rg:False</v>
      </c>
      <c r="V40" t="str">
        <f t="shared" ca="1" si="6"/>
        <v>rg:None</v>
      </c>
      <c r="W40" t="s">
        <v>7086</v>
      </c>
      <c r="X40" t="s">
        <v>76</v>
      </c>
      <c r="Y40" t="s">
        <v>76</v>
      </c>
      <c r="Z40" t="s">
        <v>76</v>
      </c>
      <c r="AA40" t="s">
        <v>7433</v>
      </c>
      <c r="AB40" t="s">
        <v>7283</v>
      </c>
      <c r="AC40">
        <v>0</v>
      </c>
      <c r="AD40" t="str">
        <f t="shared" ca="1" si="7"/>
        <v>rg:False</v>
      </c>
      <c r="AE40" t="str">
        <f t="shared" ca="1" si="14"/>
        <v>rg:None</v>
      </c>
      <c r="AF40" s="1">
        <v>42461</v>
      </c>
      <c r="AG40" s="4">
        <f t="shared" ca="1" si="9"/>
        <v>432.33333333333331</v>
      </c>
      <c r="AH40" s="4">
        <f t="shared" si="10"/>
        <v>11.9</v>
      </c>
      <c r="AI40">
        <f t="shared" ca="1" si="11"/>
        <v>184</v>
      </c>
      <c r="AJ40">
        <f t="shared" ca="1" si="12"/>
        <v>37</v>
      </c>
      <c r="AK40">
        <f t="shared" ca="1" si="13"/>
        <v>5</v>
      </c>
      <c r="AL40" t="s">
        <v>326</v>
      </c>
      <c r="AO40" t="s">
        <v>76</v>
      </c>
      <c r="AP40" t="s">
        <v>6508</v>
      </c>
      <c r="AQ40" t="s">
        <v>6508</v>
      </c>
      <c r="AR40" t="s">
        <v>6508</v>
      </c>
      <c r="AS40" t="s">
        <v>6508</v>
      </c>
    </row>
    <row r="41" spans="1:45" x14ac:dyDescent="0.3">
      <c r="A41" t="s">
        <v>5628</v>
      </c>
      <c r="B41">
        <f t="shared" si="0"/>
        <v>200039</v>
      </c>
      <c r="C41">
        <v>200019</v>
      </c>
      <c r="D41" t="str">
        <f t="shared" si="1"/>
        <v>rg:{'id': '200019'}</v>
      </c>
      <c r="E41">
        <f>VLOOKUP(C41,Owners.csv!C:J,6,FALSE)</f>
        <v>200076</v>
      </c>
      <c r="F41">
        <f>VLOOKUP(VLOOKUP(E41,LocalAreas.csv!J:L,3,FALSE),ServiceAreas.csv!F:J,5,FALSE)</f>
        <v>10</v>
      </c>
      <c r="G41" t="str">
        <f t="shared" si="2"/>
        <v>rg:{'id': '200076'}</v>
      </c>
      <c r="H41" t="s">
        <v>7673</v>
      </c>
      <c r="I41" t="s">
        <v>5638</v>
      </c>
      <c r="J41">
        <f>VLOOKUP(I41&amp;"-"&amp;F41,DistrictEquipmentTypes.csv!J:K,2,FALSE)</f>
        <v>200002</v>
      </c>
      <c r="K41" t="str">
        <f t="shared" si="3"/>
        <v>rg:{'id': '200002'}</v>
      </c>
      <c r="L41">
        <f t="shared" si="4"/>
        <v>3</v>
      </c>
      <c r="M41" t="str">
        <f>VLOOKUP(C41,Owners.csv!C:K,9,FALSE)&amp;TEXT(Equipment.csv!L41,"0000")</f>
        <v>COCO0003</v>
      </c>
      <c r="N41" t="s">
        <v>5399</v>
      </c>
      <c r="O41" t="s">
        <v>6706</v>
      </c>
      <c r="P41">
        <v>2010</v>
      </c>
      <c r="Q41">
        <v>51</v>
      </c>
      <c r="R41" t="s">
        <v>6660</v>
      </c>
      <c r="S41" s="1">
        <v>39936</v>
      </c>
      <c r="T41" s="1">
        <v>39964</v>
      </c>
      <c r="U41" t="str">
        <f t="shared" ca="1" si="5"/>
        <v>rg:False</v>
      </c>
      <c r="V41" t="str">
        <f t="shared" ca="1" si="6"/>
        <v>rg:None</v>
      </c>
      <c r="W41" t="s">
        <v>7096</v>
      </c>
      <c r="X41" t="s">
        <v>76</v>
      </c>
      <c r="Y41" t="s">
        <v>76</v>
      </c>
      <c r="Z41" t="s">
        <v>76</v>
      </c>
      <c r="AA41" t="s">
        <v>7443</v>
      </c>
      <c r="AB41" t="s">
        <v>7291</v>
      </c>
      <c r="AC41">
        <v>0</v>
      </c>
      <c r="AD41" t="str">
        <f t="shared" ca="1" si="7"/>
        <v>rg:False</v>
      </c>
      <c r="AE41" t="str">
        <f t="shared" ca="1" si="14"/>
        <v>rg:None</v>
      </c>
      <c r="AF41" s="1">
        <v>42480</v>
      </c>
      <c r="AG41" s="4">
        <f t="shared" ca="1" si="9"/>
        <v>328.08333333333337</v>
      </c>
      <c r="AH41" s="4">
        <f t="shared" si="10"/>
        <v>6.8361111111111112</v>
      </c>
      <c r="AI41">
        <f t="shared" ca="1" si="11"/>
        <v>164</v>
      </c>
      <c r="AJ41">
        <f t="shared" ca="1" si="12"/>
        <v>75</v>
      </c>
      <c r="AK41">
        <f t="shared" ca="1" si="13"/>
        <v>130</v>
      </c>
      <c r="AL41" t="s">
        <v>326</v>
      </c>
      <c r="AO41" t="s">
        <v>76</v>
      </c>
      <c r="AP41" t="s">
        <v>6508</v>
      </c>
      <c r="AQ41" t="s">
        <v>6508</v>
      </c>
      <c r="AR41" t="s">
        <v>6508</v>
      </c>
      <c r="AS41" t="s">
        <v>6508</v>
      </c>
    </row>
    <row r="42" spans="1:45" x14ac:dyDescent="0.3">
      <c r="A42" t="s">
        <v>5628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200076</v>
      </c>
      <c r="F42">
        <f>VLOOKUP(VLOOKUP(E42,LocalAreas.csv!J:L,3,FALSE),ServiceAreas.csv!F:J,5,FALSE)</f>
        <v>10</v>
      </c>
      <c r="G42" t="str">
        <f t="shared" si="2"/>
        <v>rg:{'id': '200076'}</v>
      </c>
      <c r="H42" t="s">
        <v>7672</v>
      </c>
      <c r="I42" t="s">
        <v>5638</v>
      </c>
      <c r="J42">
        <f>VLOOKUP(I42&amp;"-"&amp;F42,DistrictEquipmentTypes.csv!J:K,2,FALSE)</f>
        <v>200002</v>
      </c>
      <c r="K42" t="str">
        <f t="shared" si="3"/>
        <v>rg:{'id': '200002'}</v>
      </c>
      <c r="L42">
        <f t="shared" si="4"/>
        <v>4</v>
      </c>
      <c r="M42" t="str">
        <f>VLOOKUP(C42,Owners.csv!C:K,9,FALSE)&amp;TEXT(Equipment.csv!L42,"0000")</f>
        <v>COCO0004</v>
      </c>
      <c r="N42" t="s">
        <v>5399</v>
      </c>
      <c r="O42" t="s">
        <v>6716</v>
      </c>
      <c r="P42">
        <v>1986</v>
      </c>
      <c r="Q42">
        <v>61</v>
      </c>
      <c r="R42" t="s">
        <v>6660</v>
      </c>
      <c r="S42" s="1">
        <v>42503</v>
      </c>
      <c r="T42" s="1">
        <v>42510</v>
      </c>
      <c r="U42" t="str">
        <f t="shared" ca="1" si="5"/>
        <v>rg:False</v>
      </c>
      <c r="V42" t="str">
        <f t="shared" ca="1" si="6"/>
        <v>rg:None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7245</v>
      </c>
      <c r="AC42">
        <v>0</v>
      </c>
      <c r="AD42" t="str">
        <f t="shared" ca="1" si="7"/>
        <v>rg:False</v>
      </c>
      <c r="AE42" t="str">
        <f t="shared" ca="1" si="14"/>
        <v>rg:None</v>
      </c>
      <c r="AF42" s="1">
        <v>42481</v>
      </c>
      <c r="AG42" s="4">
        <f t="shared" ca="1" si="9"/>
        <v>4.083333333333333</v>
      </c>
      <c r="AH42" s="4">
        <f t="shared" si="10"/>
        <v>0.1361111111111111</v>
      </c>
      <c r="AI42">
        <f t="shared" ca="1" si="11"/>
        <v>0</v>
      </c>
      <c r="AJ42">
        <f t="shared" ca="1" si="12"/>
        <v>0</v>
      </c>
      <c r="AK42">
        <f t="shared" ca="1" si="13"/>
        <v>0</v>
      </c>
      <c r="AL42" t="s">
        <v>326</v>
      </c>
      <c r="AO42" t="s">
        <v>76</v>
      </c>
      <c r="AP42" t="s">
        <v>6508</v>
      </c>
      <c r="AQ42" t="s">
        <v>6508</v>
      </c>
      <c r="AR42" t="s">
        <v>6508</v>
      </c>
      <c r="AS42" t="s">
        <v>6508</v>
      </c>
    </row>
    <row r="43" spans="1:45" x14ac:dyDescent="0.3">
      <c r="A43" t="s">
        <v>5628</v>
      </c>
      <c r="B43">
        <f t="shared" si="0"/>
        <v>200041</v>
      </c>
      <c r="C43">
        <v>200019</v>
      </c>
      <c r="D43" t="str">
        <f t="shared" si="1"/>
        <v>rg:{'id': '200019'}</v>
      </c>
      <c r="E43">
        <f>VLOOKUP(C43,Owners.csv!C:J,6,FALSE)</f>
        <v>200076</v>
      </c>
      <c r="F43">
        <f>VLOOKUP(VLOOKUP(E43,LocalAreas.csv!J:L,3,FALSE),ServiceAreas.csv!F:J,5,FALSE)</f>
        <v>10</v>
      </c>
      <c r="G43" t="str">
        <f t="shared" si="2"/>
        <v>rg:{'id': '200076'}</v>
      </c>
      <c r="H43" t="s">
        <v>7688</v>
      </c>
      <c r="I43" t="s">
        <v>5649</v>
      </c>
      <c r="J43">
        <f>VLOOKUP(I43&amp;"-"&amp;F43,DistrictEquipmentTypes.csv!J:K,2,FALSE)</f>
        <v>200006</v>
      </c>
      <c r="K43" t="str">
        <f t="shared" si="3"/>
        <v>rg:{'id': '200006'}</v>
      </c>
      <c r="L43">
        <f t="shared" si="4"/>
        <v>5</v>
      </c>
      <c r="M43" t="str">
        <f>VLOOKUP(C43,Owners.csv!C:K,9,FALSE)&amp;TEXT(Equipment.csv!L43,"0000")</f>
        <v>COCO0005</v>
      </c>
      <c r="N43" t="s">
        <v>5399</v>
      </c>
      <c r="O43" t="s">
        <v>6724</v>
      </c>
      <c r="P43">
        <v>1989</v>
      </c>
      <c r="Q43">
        <v>69</v>
      </c>
      <c r="R43" t="s">
        <v>6660</v>
      </c>
      <c r="S43" s="1">
        <v>39604</v>
      </c>
      <c r="T43" s="1">
        <v>39623</v>
      </c>
      <c r="U43" t="str">
        <f t="shared" ca="1" si="5"/>
        <v>rg:False</v>
      </c>
      <c r="V43" t="str">
        <f t="shared" ca="1" si="6"/>
        <v>rg:None</v>
      </c>
      <c r="W43" t="s">
        <v>7114</v>
      </c>
      <c r="X43" t="s">
        <v>76</v>
      </c>
      <c r="Y43" t="s">
        <v>76</v>
      </c>
      <c r="Z43" t="s">
        <v>76</v>
      </c>
      <c r="AA43" t="s">
        <v>7461</v>
      </c>
      <c r="AB43" t="s">
        <v>7284</v>
      </c>
      <c r="AC43">
        <v>0</v>
      </c>
      <c r="AD43" t="str">
        <f t="shared" ca="1" si="7"/>
        <v>rg:False</v>
      </c>
      <c r="AE43" t="str">
        <f t="shared" ca="1" si="14"/>
        <v>rg:None</v>
      </c>
      <c r="AF43" s="1">
        <v>42481</v>
      </c>
      <c r="AG43" s="4">
        <f t="shared" ca="1" si="9"/>
        <v>626.83333333333337</v>
      </c>
      <c r="AH43" s="4">
        <f t="shared" si="10"/>
        <v>7.7694444444444448</v>
      </c>
      <c r="AI43">
        <f t="shared" ca="1" si="11"/>
        <v>83</v>
      </c>
      <c r="AJ43">
        <f t="shared" ca="1" si="12"/>
        <v>200</v>
      </c>
      <c r="AK43">
        <f t="shared" ca="1" si="13"/>
        <v>199</v>
      </c>
      <c r="AL43" t="s">
        <v>326</v>
      </c>
      <c r="AO43" t="s">
        <v>76</v>
      </c>
      <c r="AP43" t="s">
        <v>6508</v>
      </c>
      <c r="AQ43" t="s">
        <v>6508</v>
      </c>
      <c r="AR43" t="s">
        <v>6508</v>
      </c>
      <c r="AS43" t="s">
        <v>6508</v>
      </c>
    </row>
    <row r="44" spans="1:45" x14ac:dyDescent="0.3">
      <c r="A44" t="s">
        <v>5628</v>
      </c>
      <c r="B44">
        <f t="shared" si="0"/>
        <v>200042</v>
      </c>
      <c r="C44">
        <v>200019</v>
      </c>
      <c r="D44" t="str">
        <f t="shared" si="1"/>
        <v>rg:{'id': '200019'}</v>
      </c>
      <c r="E44">
        <f>VLOOKUP(C44,Owners.csv!C:J,6,FALSE)</f>
        <v>200076</v>
      </c>
      <c r="F44">
        <f>VLOOKUP(VLOOKUP(E44,LocalAreas.csv!J:L,3,FALSE),ServiceAreas.csv!F:J,5,FALSE)</f>
        <v>10</v>
      </c>
      <c r="G44" t="str">
        <f t="shared" si="2"/>
        <v>rg:{'id': '200076'}</v>
      </c>
      <c r="H44" t="s">
        <v>7681</v>
      </c>
      <c r="I44" t="s">
        <v>5649</v>
      </c>
      <c r="J44">
        <f>VLOOKUP(I44&amp;"-"&amp;F44,DistrictEquipmentTypes.csv!J:K,2,FALSE)</f>
        <v>200006</v>
      </c>
      <c r="K44" t="str">
        <f t="shared" si="3"/>
        <v>rg:{'id': '200006'}</v>
      </c>
      <c r="L44">
        <f t="shared" si="4"/>
        <v>6</v>
      </c>
      <c r="M44" t="str">
        <f>VLOOKUP(C44,Owners.csv!C:K,9,FALSE)&amp;TEXT(Equipment.csv!L44,"0000")</f>
        <v>COCO0006</v>
      </c>
      <c r="N44" t="s">
        <v>5399</v>
      </c>
      <c r="O44" t="s">
        <v>6744</v>
      </c>
      <c r="P44">
        <v>2002</v>
      </c>
      <c r="Q44">
        <v>89</v>
      </c>
      <c r="R44" t="s">
        <v>6660</v>
      </c>
      <c r="S44" s="1">
        <v>40952</v>
      </c>
      <c r="T44" s="1">
        <v>40982</v>
      </c>
      <c r="U44" t="str">
        <f t="shared" ca="1" si="5"/>
        <v>rg:False</v>
      </c>
      <c r="V44" t="str">
        <f t="shared" ca="1" si="6"/>
        <v>rg:None</v>
      </c>
      <c r="W44" t="s">
        <v>7134</v>
      </c>
      <c r="X44" t="s">
        <v>76</v>
      </c>
      <c r="Y44" t="s">
        <v>76</v>
      </c>
      <c r="Z44" t="s">
        <v>76</v>
      </c>
      <c r="AA44" t="s">
        <v>7481</v>
      </c>
      <c r="AB44" t="s">
        <v>7271</v>
      </c>
      <c r="AC44">
        <v>0</v>
      </c>
      <c r="AD44" t="str">
        <f t="shared" ca="1" si="7"/>
        <v>rg:False</v>
      </c>
      <c r="AE44" t="str">
        <f t="shared" ca="1" si="14"/>
        <v>rg:None</v>
      </c>
      <c r="AF44" s="1">
        <v>42481</v>
      </c>
      <c r="AG44" s="4">
        <f t="shared" ca="1" si="9"/>
        <v>320.16666666666669</v>
      </c>
      <c r="AH44" s="4">
        <f t="shared" si="10"/>
        <v>4.0472222222222225</v>
      </c>
      <c r="AI44">
        <f t="shared" ca="1" si="11"/>
        <v>12</v>
      </c>
      <c r="AJ44">
        <f t="shared" ca="1" si="12"/>
        <v>73</v>
      </c>
      <c r="AK44">
        <f t="shared" ca="1" si="13"/>
        <v>147</v>
      </c>
      <c r="AL44" t="s">
        <v>326</v>
      </c>
      <c r="AO44" t="s">
        <v>76</v>
      </c>
      <c r="AP44" t="s">
        <v>6508</v>
      </c>
      <c r="AQ44" t="s">
        <v>6508</v>
      </c>
      <c r="AR44" t="s">
        <v>6508</v>
      </c>
      <c r="AS44" t="s">
        <v>6508</v>
      </c>
    </row>
    <row r="45" spans="1:45" x14ac:dyDescent="0.3">
      <c r="A45" t="s">
        <v>5628</v>
      </c>
      <c r="B45">
        <f t="shared" si="0"/>
        <v>200043</v>
      </c>
      <c r="C45">
        <v>200019</v>
      </c>
      <c r="D45" t="str">
        <f t="shared" si="1"/>
        <v>rg:{'id': '200019'}</v>
      </c>
      <c r="E45">
        <f>VLOOKUP(C45,Owners.csv!C:J,6,FALSE)</f>
        <v>200076</v>
      </c>
      <c r="F45">
        <f>VLOOKUP(VLOOKUP(E45,LocalAreas.csv!J:L,3,FALSE),ServiceAreas.csv!F:J,5,FALSE)</f>
        <v>10</v>
      </c>
      <c r="G45" t="str">
        <f t="shared" si="2"/>
        <v>rg:{'id': '200076'}</v>
      </c>
      <c r="H45" t="s">
        <v>7713</v>
      </c>
      <c r="I45" t="s">
        <v>5635</v>
      </c>
      <c r="J45">
        <f>VLOOKUP(I45&amp;"-"&amp;F45,DistrictEquipmentTypes.csv!J:K,2,FALSE)</f>
        <v>200001</v>
      </c>
      <c r="K45" t="str">
        <f t="shared" si="3"/>
        <v>rg:{'id': '200001'}</v>
      </c>
      <c r="L45">
        <f t="shared" si="4"/>
        <v>7</v>
      </c>
      <c r="M45" t="str">
        <f>VLOOKUP(C45,Owners.csv!C:K,9,FALSE)&amp;TEXT(Equipment.csv!L45,"0000")</f>
        <v>COCO0007</v>
      </c>
      <c r="N45" t="s">
        <v>5399</v>
      </c>
      <c r="O45" t="s">
        <v>6764</v>
      </c>
      <c r="P45">
        <v>2011</v>
      </c>
      <c r="Q45">
        <v>109</v>
      </c>
      <c r="R45" t="s">
        <v>6660</v>
      </c>
      <c r="S45" s="1">
        <v>41784</v>
      </c>
      <c r="T45" s="1">
        <v>41813</v>
      </c>
      <c r="U45" t="str">
        <f t="shared" ca="1" si="5"/>
        <v>rg:True</v>
      </c>
      <c r="V45" t="str">
        <f t="shared" ca="1" si="6"/>
        <v>This equipment should be archived</v>
      </c>
      <c r="W45" t="s">
        <v>7154</v>
      </c>
      <c r="X45" t="s">
        <v>76</v>
      </c>
      <c r="Y45" t="s">
        <v>76</v>
      </c>
      <c r="Z45" t="s">
        <v>76</v>
      </c>
      <c r="AA45" t="s">
        <v>7501</v>
      </c>
      <c r="AB45" t="s">
        <v>7335</v>
      </c>
      <c r="AC45">
        <v>0</v>
      </c>
      <c r="AD45" t="str">
        <f t="shared" ca="1" si="7"/>
        <v>rg:False</v>
      </c>
      <c r="AE45" t="str">
        <f t="shared" ca="1" si="14"/>
        <v>rg:None</v>
      </c>
      <c r="AF45" s="1">
        <v>42481</v>
      </c>
      <c r="AG45" s="4">
        <f t="shared" ca="1" si="9"/>
        <v>65.5</v>
      </c>
      <c r="AH45" s="4">
        <f t="shared" si="10"/>
        <v>1.7722222222222221</v>
      </c>
      <c r="AI45">
        <f t="shared" ca="1" si="11"/>
        <v>37</v>
      </c>
      <c r="AJ45">
        <f t="shared" ca="1" si="12"/>
        <v>0</v>
      </c>
      <c r="AK45">
        <f t="shared" ca="1" si="13"/>
        <v>0</v>
      </c>
      <c r="AL45" t="s">
        <v>326</v>
      </c>
      <c r="AO45" t="s">
        <v>76</v>
      </c>
      <c r="AP45" t="s">
        <v>6508</v>
      </c>
      <c r="AQ45" t="s">
        <v>6508</v>
      </c>
      <c r="AR45" t="s">
        <v>6508</v>
      </c>
      <c r="AS45" t="s">
        <v>6508</v>
      </c>
    </row>
    <row r="46" spans="1:45" x14ac:dyDescent="0.3">
      <c r="A46" t="s">
        <v>5628</v>
      </c>
      <c r="B46">
        <f t="shared" si="0"/>
        <v>200044</v>
      </c>
      <c r="C46">
        <v>200019</v>
      </c>
      <c r="D46" t="str">
        <f t="shared" si="1"/>
        <v>rg:{'id': '200019'}</v>
      </c>
      <c r="E46">
        <f>VLOOKUP(C46,Owners.csv!C:J,6,FALSE)</f>
        <v>200076</v>
      </c>
      <c r="F46">
        <f>VLOOKUP(VLOOKUP(E46,LocalAreas.csv!J:L,3,FALSE),ServiceAreas.csv!F:J,5,FALSE)</f>
        <v>10</v>
      </c>
      <c r="G46" t="str">
        <f t="shared" si="2"/>
        <v>rg:{'id': '200076'}</v>
      </c>
      <c r="H46" t="s">
        <v>7722</v>
      </c>
      <c r="I46" t="s">
        <v>5534</v>
      </c>
      <c r="J46">
        <f>VLOOKUP(I46&amp;"-"&amp;F46,DistrictEquipmentTypes.csv!J:K,2,FALSE)</f>
        <v>200000</v>
      </c>
      <c r="K46" t="str">
        <f t="shared" si="3"/>
        <v>rg:{'id': '200000'}</v>
      </c>
      <c r="L46">
        <f t="shared" si="4"/>
        <v>8</v>
      </c>
      <c r="M46" t="str">
        <f>VLOOKUP(C46,Owners.csv!C:K,9,FALSE)&amp;TEXT(Equipment.csv!L46,"0000")</f>
        <v>COCO0008</v>
      </c>
      <c r="N46" t="s">
        <v>5399</v>
      </c>
      <c r="O46" t="s">
        <v>6779</v>
      </c>
      <c r="P46">
        <v>2001</v>
      </c>
      <c r="Q46">
        <v>124</v>
      </c>
      <c r="R46" t="s">
        <v>6660</v>
      </c>
      <c r="S46" s="1">
        <v>40639</v>
      </c>
      <c r="T46" s="1">
        <v>40642</v>
      </c>
      <c r="U46" t="str">
        <f t="shared" ca="1" si="5"/>
        <v>rg:False</v>
      </c>
      <c r="V46" t="str">
        <f t="shared" ca="1" si="6"/>
        <v>rg:None</v>
      </c>
      <c r="W46" t="s">
        <v>7169</v>
      </c>
      <c r="X46" t="s">
        <v>76</v>
      </c>
      <c r="Y46" t="s">
        <v>76</v>
      </c>
      <c r="Z46" t="s">
        <v>76</v>
      </c>
      <c r="AA46" t="s">
        <v>7516</v>
      </c>
      <c r="AB46" t="s">
        <v>7348</v>
      </c>
      <c r="AC46">
        <v>0</v>
      </c>
      <c r="AD46" t="str">
        <f t="shared" ca="1" si="7"/>
        <v>rg:False</v>
      </c>
      <c r="AE46" t="str">
        <f t="shared" ca="1" si="14"/>
        <v>rg:None</v>
      </c>
      <c r="AF46" s="1">
        <v>42481</v>
      </c>
      <c r="AG46" s="4">
        <f t="shared" ca="1" si="9"/>
        <v>233.66666666666669</v>
      </c>
      <c r="AH46" s="4">
        <f t="shared" si="10"/>
        <v>4.9777777777777779</v>
      </c>
      <c r="AI46">
        <f t="shared" ca="1" si="11"/>
        <v>149</v>
      </c>
      <c r="AJ46">
        <f t="shared" ca="1" si="12"/>
        <v>13</v>
      </c>
      <c r="AK46">
        <f t="shared" ca="1" si="13"/>
        <v>91</v>
      </c>
      <c r="AL46" t="s">
        <v>326</v>
      </c>
      <c r="AO46" t="s">
        <v>76</v>
      </c>
      <c r="AP46" t="s">
        <v>6508</v>
      </c>
      <c r="AQ46" t="s">
        <v>6508</v>
      </c>
      <c r="AR46" t="s">
        <v>6508</v>
      </c>
      <c r="AS46" t="s">
        <v>6508</v>
      </c>
    </row>
    <row r="47" spans="1:45" x14ac:dyDescent="0.3">
      <c r="A47" t="s">
        <v>5628</v>
      </c>
      <c r="B47">
        <f t="shared" si="0"/>
        <v>200045</v>
      </c>
      <c r="C47">
        <v>200020</v>
      </c>
      <c r="D47" t="str">
        <f t="shared" si="1"/>
        <v>rg:{'id': '200020'}</v>
      </c>
      <c r="E47">
        <f>VLOOKUP(C47,Owners.csv!C:J,6,FALSE)</f>
        <v>200076</v>
      </c>
      <c r="F47">
        <f>VLOOKUP(VLOOKUP(E47,LocalAreas.csv!J:L,3,FALSE),ServiceAreas.csv!F:J,5,FALSE)</f>
        <v>10</v>
      </c>
      <c r="G47" t="str">
        <f t="shared" si="2"/>
        <v>rg:{'id': '200076'}</v>
      </c>
      <c r="H47" t="s">
        <v>7662</v>
      </c>
      <c r="I47" t="s">
        <v>5640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DAVE0001</v>
      </c>
      <c r="N47" t="s">
        <v>5399</v>
      </c>
      <c r="O47" t="s">
        <v>6687</v>
      </c>
      <c r="P47">
        <v>2012</v>
      </c>
      <c r="Q47">
        <v>32</v>
      </c>
      <c r="R47" t="s">
        <v>6660</v>
      </c>
      <c r="S47" s="1">
        <v>39561</v>
      </c>
      <c r="T47" s="1">
        <v>39585</v>
      </c>
      <c r="U47" t="str">
        <f t="shared" ca="1" si="5"/>
        <v>rg:False</v>
      </c>
      <c r="V47" t="str">
        <f t="shared" ca="1" si="6"/>
        <v>rg:None</v>
      </c>
      <c r="W47" t="s">
        <v>7077</v>
      </c>
      <c r="X47" t="s">
        <v>76</v>
      </c>
      <c r="Y47" t="s">
        <v>76</v>
      </c>
      <c r="Z47" t="s">
        <v>76</v>
      </c>
      <c r="AA47" t="s">
        <v>7424</v>
      </c>
      <c r="AB47" t="s">
        <v>7274</v>
      </c>
      <c r="AC47">
        <v>0</v>
      </c>
      <c r="AD47" t="str">
        <f t="shared" ca="1" si="7"/>
        <v>rg:False</v>
      </c>
      <c r="AE47" t="str">
        <f t="shared" ca="1" si="14"/>
        <v>rg:None</v>
      </c>
      <c r="AF47" s="1">
        <v>42480</v>
      </c>
      <c r="AG47" s="4">
        <f t="shared" ca="1" si="9"/>
        <v>362.5</v>
      </c>
      <c r="AH47" s="4">
        <f t="shared" si="10"/>
        <v>7.8722222222222218</v>
      </c>
      <c r="AI47">
        <f t="shared" ca="1" si="11"/>
        <v>129</v>
      </c>
      <c r="AJ47">
        <f t="shared" ca="1" si="12"/>
        <v>106</v>
      </c>
      <c r="AK47">
        <f t="shared" ca="1" si="13"/>
        <v>144</v>
      </c>
      <c r="AL47" t="s">
        <v>326</v>
      </c>
      <c r="AO47" t="s">
        <v>76</v>
      </c>
      <c r="AP47" t="s">
        <v>6508</v>
      </c>
      <c r="AQ47" t="s">
        <v>6508</v>
      </c>
      <c r="AR47" t="s">
        <v>6508</v>
      </c>
      <c r="AS47" t="s">
        <v>6508</v>
      </c>
    </row>
    <row r="48" spans="1:45" x14ac:dyDescent="0.3">
      <c r="A48" t="s">
        <v>5628</v>
      </c>
      <c r="B48">
        <f t="shared" si="0"/>
        <v>200046</v>
      </c>
      <c r="C48">
        <v>200020</v>
      </c>
      <c r="D48" t="str">
        <f t="shared" si="1"/>
        <v>rg:{'id': '200020'}</v>
      </c>
      <c r="E48">
        <f>VLOOKUP(C48,Owners.csv!C:J,6,FALSE)</f>
        <v>200076</v>
      </c>
      <c r="F48">
        <f>VLOOKUP(VLOOKUP(E48,LocalAreas.csv!J:L,3,FALSE),ServiceAreas.csv!F:J,5,FALSE)</f>
        <v>10</v>
      </c>
      <c r="G48" t="str">
        <f t="shared" si="2"/>
        <v>rg:{'id': '200076'}</v>
      </c>
      <c r="H48" t="s">
        <v>7667</v>
      </c>
      <c r="I48" t="s">
        <v>5640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2</v>
      </c>
      <c r="M48" t="str">
        <f>VLOOKUP(C48,Owners.csv!C:K,9,FALSE)&amp;TEXT(Equipment.csv!L48,"0000")</f>
        <v>DAVE0002</v>
      </c>
      <c r="N48" t="s">
        <v>5399</v>
      </c>
      <c r="O48" t="s">
        <v>6697</v>
      </c>
      <c r="P48">
        <v>1996</v>
      </c>
      <c r="Q48">
        <v>42</v>
      </c>
      <c r="R48" t="s">
        <v>6660</v>
      </c>
      <c r="S48" s="1">
        <v>41700</v>
      </c>
      <c r="T48" s="1">
        <v>41716</v>
      </c>
      <c r="U48" t="str">
        <f t="shared" ca="1" si="5"/>
        <v>rg:True</v>
      </c>
      <c r="V48" t="str">
        <f t="shared" ca="1" si="6"/>
        <v>This equipment should be archived</v>
      </c>
      <c r="W48" t="s">
        <v>7087</v>
      </c>
      <c r="X48" t="s">
        <v>76</v>
      </c>
      <c r="Y48" t="s">
        <v>76</v>
      </c>
      <c r="Z48" t="s">
        <v>76</v>
      </c>
      <c r="AA48" t="s">
        <v>7434</v>
      </c>
      <c r="AB48" t="s">
        <v>7284</v>
      </c>
      <c r="AC48">
        <v>0</v>
      </c>
      <c r="AD48" t="str">
        <f t="shared" ca="1" si="7"/>
        <v>rg:False</v>
      </c>
      <c r="AE48" t="str">
        <f t="shared" ca="1" si="14"/>
        <v>rg:None</v>
      </c>
      <c r="AF48" s="1">
        <v>42480</v>
      </c>
      <c r="AG48" s="4">
        <f t="shared" ca="1" si="9"/>
        <v>153.41666666666666</v>
      </c>
      <c r="AH48" s="4">
        <f t="shared" si="10"/>
        <v>2.036111111111111</v>
      </c>
      <c r="AI48">
        <f t="shared" ca="1" si="11"/>
        <v>85</v>
      </c>
      <c r="AJ48">
        <f t="shared" ca="1" si="12"/>
        <v>192</v>
      </c>
      <c r="AK48">
        <f t="shared" ca="1" si="13"/>
        <v>0</v>
      </c>
      <c r="AL48" t="s">
        <v>326</v>
      </c>
      <c r="AO48" t="s">
        <v>76</v>
      </c>
      <c r="AP48" t="s">
        <v>6508</v>
      </c>
      <c r="AQ48" t="s">
        <v>6508</v>
      </c>
      <c r="AR48" t="s">
        <v>6508</v>
      </c>
      <c r="AS48" t="s">
        <v>6508</v>
      </c>
    </row>
    <row r="49" spans="1:45" x14ac:dyDescent="0.3">
      <c r="A49" t="s">
        <v>5628</v>
      </c>
      <c r="B49">
        <f t="shared" si="0"/>
        <v>200047</v>
      </c>
      <c r="C49">
        <v>200020</v>
      </c>
      <c r="D49" t="str">
        <f t="shared" si="1"/>
        <v>rg:{'id': '200020'}</v>
      </c>
      <c r="E49">
        <f>VLOOKUP(C49,Owners.csv!C:J,6,FALSE)</f>
        <v>200076</v>
      </c>
      <c r="F49">
        <f>VLOOKUP(VLOOKUP(E49,LocalAreas.csv!J:L,3,FALSE),ServiceAreas.csv!F:J,5,FALSE)</f>
        <v>10</v>
      </c>
      <c r="G49" t="str">
        <f t="shared" si="2"/>
        <v>rg:{'id': '200076'}</v>
      </c>
      <c r="H49" t="s">
        <v>7674</v>
      </c>
      <c r="I49" t="s">
        <v>5638</v>
      </c>
      <c r="J49">
        <f>VLOOKUP(I49&amp;"-"&amp;F49,DistrictEquipmentTypes.csv!J:K,2,FALSE)</f>
        <v>200002</v>
      </c>
      <c r="K49" t="str">
        <f t="shared" si="3"/>
        <v>rg:{'id': '200002'}</v>
      </c>
      <c r="L49">
        <f t="shared" si="4"/>
        <v>3</v>
      </c>
      <c r="M49" t="str">
        <f>VLOOKUP(C49,Owners.csv!C:K,9,FALSE)&amp;TEXT(Equipment.csv!L49,"0000")</f>
        <v>DAVE0003</v>
      </c>
      <c r="N49" t="s">
        <v>5399</v>
      </c>
      <c r="O49" t="s">
        <v>6707</v>
      </c>
      <c r="P49">
        <v>1987</v>
      </c>
      <c r="Q49">
        <v>52</v>
      </c>
      <c r="R49" t="s">
        <v>6660</v>
      </c>
      <c r="S49" s="1">
        <v>42566</v>
      </c>
      <c r="T49" s="1">
        <v>42591</v>
      </c>
      <c r="U49" t="str">
        <f t="shared" ca="1" si="5"/>
        <v>rg:False</v>
      </c>
      <c r="V49" t="str">
        <f t="shared" ca="1" si="6"/>
        <v>rg:None</v>
      </c>
      <c r="W49" t="s">
        <v>7097</v>
      </c>
      <c r="X49" t="s">
        <v>76</v>
      </c>
      <c r="Y49" t="s">
        <v>76</v>
      </c>
      <c r="Z49" t="s">
        <v>76</v>
      </c>
      <c r="AA49" t="s">
        <v>7444</v>
      </c>
      <c r="AB49" t="s">
        <v>7292</v>
      </c>
      <c r="AC49">
        <v>0</v>
      </c>
      <c r="AD49" t="str">
        <f t="shared" ca="1" si="7"/>
        <v>rg:False</v>
      </c>
      <c r="AE49" t="str">
        <f t="shared" ca="1" si="14"/>
        <v>rg:None</v>
      </c>
      <c r="AF49" s="1">
        <v>42481</v>
      </c>
      <c r="AG49" s="4">
        <f t="shared" ca="1" si="9"/>
        <v>10.666666666666668</v>
      </c>
      <c r="AH49" s="4">
        <f t="shared" si="10"/>
        <v>0.35555555555555557</v>
      </c>
      <c r="AI49">
        <f t="shared" ca="1" si="11"/>
        <v>0</v>
      </c>
      <c r="AJ49">
        <f t="shared" ca="1" si="12"/>
        <v>0</v>
      </c>
      <c r="AK49">
        <f t="shared" ca="1" si="13"/>
        <v>0</v>
      </c>
      <c r="AL49" t="s">
        <v>326</v>
      </c>
      <c r="AO49" t="s">
        <v>76</v>
      </c>
      <c r="AP49" t="s">
        <v>6508</v>
      </c>
      <c r="AQ49" t="s">
        <v>6508</v>
      </c>
      <c r="AR49" t="s">
        <v>6508</v>
      </c>
      <c r="AS49" t="s">
        <v>6508</v>
      </c>
    </row>
    <row r="50" spans="1:45" x14ac:dyDescent="0.3">
      <c r="A50" t="s">
        <v>5628</v>
      </c>
      <c r="B50">
        <f t="shared" si="0"/>
        <v>200048</v>
      </c>
      <c r="C50">
        <v>200020</v>
      </c>
      <c r="D50" t="str">
        <f t="shared" si="1"/>
        <v>rg:{'id': '200020'}</v>
      </c>
      <c r="E50">
        <f>VLOOKUP(C50,Owners.csv!C:J,6,FALSE)</f>
        <v>200076</v>
      </c>
      <c r="F50">
        <f>VLOOKUP(VLOOKUP(E50,LocalAreas.csv!J:L,3,FALSE),ServiceAreas.csv!F:J,5,FALSE)</f>
        <v>10</v>
      </c>
      <c r="G50" t="str">
        <f t="shared" si="2"/>
        <v>rg:{'id': '200076'}</v>
      </c>
      <c r="H50" t="s">
        <v>7649</v>
      </c>
      <c r="I50" t="s">
        <v>5638</v>
      </c>
      <c r="J50">
        <f>VLOOKUP(I50&amp;"-"&amp;F50,DistrictEquipmentTypes.csv!J:K,2,FALSE)</f>
        <v>200002</v>
      </c>
      <c r="K50" t="str">
        <f t="shared" si="3"/>
        <v>rg:{'id': '200002'}</v>
      </c>
      <c r="L50">
        <f t="shared" si="4"/>
        <v>4</v>
      </c>
      <c r="M50" t="str">
        <f>VLOOKUP(C50,Owners.csv!C:K,9,FALSE)&amp;TEXT(Equipment.csv!L50,"0000")</f>
        <v>DAVE0004</v>
      </c>
      <c r="N50" t="s">
        <v>5399</v>
      </c>
      <c r="O50" t="s">
        <v>6717</v>
      </c>
      <c r="P50">
        <v>1999</v>
      </c>
      <c r="Q50">
        <v>62</v>
      </c>
      <c r="R50" t="s">
        <v>6660</v>
      </c>
      <c r="S50" s="1">
        <v>40584</v>
      </c>
      <c r="T50" s="1">
        <v>40591</v>
      </c>
      <c r="U50" t="str">
        <f t="shared" ca="1" si="5"/>
        <v>rg:False</v>
      </c>
      <c r="V50" t="str">
        <f t="shared" ca="1" si="6"/>
        <v>rg:None</v>
      </c>
      <c r="W50" t="s">
        <v>7107</v>
      </c>
      <c r="X50" t="s">
        <v>76</v>
      </c>
      <c r="Y50" t="s">
        <v>76</v>
      </c>
      <c r="Z50" t="s">
        <v>76</v>
      </c>
      <c r="AA50" t="s">
        <v>7454</v>
      </c>
      <c r="AB50" t="s">
        <v>7300</v>
      </c>
      <c r="AC50">
        <v>0</v>
      </c>
      <c r="AD50" t="str">
        <f t="shared" ca="1" si="7"/>
        <v>rg:False</v>
      </c>
      <c r="AE50" t="str">
        <f t="shared" ca="1" si="14"/>
        <v>rg:None</v>
      </c>
      <c r="AF50" s="1">
        <v>42481</v>
      </c>
      <c r="AG50" s="4">
        <f t="shared" ca="1" si="9"/>
        <v>275.33333333333331</v>
      </c>
      <c r="AH50" s="4">
        <f t="shared" si="10"/>
        <v>5.1222222222222218</v>
      </c>
      <c r="AI50">
        <f t="shared" ca="1" si="11"/>
        <v>60</v>
      </c>
      <c r="AJ50">
        <f t="shared" ca="1" si="12"/>
        <v>141</v>
      </c>
      <c r="AK50">
        <f t="shared" ca="1" si="13"/>
        <v>164</v>
      </c>
      <c r="AL50" t="s">
        <v>326</v>
      </c>
      <c r="AO50" t="s">
        <v>76</v>
      </c>
      <c r="AP50" t="s">
        <v>6508</v>
      </c>
      <c r="AQ50" t="s">
        <v>6508</v>
      </c>
      <c r="AR50" t="s">
        <v>6508</v>
      </c>
      <c r="AS50" t="s">
        <v>6508</v>
      </c>
    </row>
    <row r="51" spans="1:45" x14ac:dyDescent="0.3">
      <c r="A51" t="s">
        <v>5628</v>
      </c>
      <c r="B51">
        <f t="shared" si="0"/>
        <v>200049</v>
      </c>
      <c r="C51">
        <v>200020</v>
      </c>
      <c r="D51" t="str">
        <f t="shared" si="1"/>
        <v>rg:{'id': '200020'}</v>
      </c>
      <c r="E51">
        <f>VLOOKUP(C51,Owners.csv!C:J,6,FALSE)</f>
        <v>200076</v>
      </c>
      <c r="F51">
        <f>VLOOKUP(VLOOKUP(E51,LocalAreas.csv!J:L,3,FALSE),ServiceAreas.csv!F:J,5,FALSE)</f>
        <v>10</v>
      </c>
      <c r="G51" t="str">
        <f t="shared" si="2"/>
        <v>rg:{'id': '200076'}</v>
      </c>
      <c r="H51" t="s">
        <v>7689</v>
      </c>
      <c r="I51" t="s">
        <v>5649</v>
      </c>
      <c r="J51">
        <f>VLOOKUP(I51&amp;"-"&amp;F51,DistrictEquipmentTypes.csv!J:K,2,FALSE)</f>
        <v>200006</v>
      </c>
      <c r="K51" t="str">
        <f t="shared" si="3"/>
        <v>rg:{'id': '200006'}</v>
      </c>
      <c r="L51">
        <f t="shared" si="4"/>
        <v>5</v>
      </c>
      <c r="M51" t="str">
        <f>VLOOKUP(C51,Owners.csv!C:K,9,FALSE)&amp;TEXT(Equipment.csv!L51,"0000")</f>
        <v>DAVE0005</v>
      </c>
      <c r="N51" t="s">
        <v>5399</v>
      </c>
      <c r="O51" t="s">
        <v>6725</v>
      </c>
      <c r="P51">
        <v>2016</v>
      </c>
      <c r="Q51">
        <v>70</v>
      </c>
      <c r="R51" t="s">
        <v>6660</v>
      </c>
      <c r="S51" s="1">
        <v>38802</v>
      </c>
      <c r="T51" s="1">
        <v>38826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7246</v>
      </c>
      <c r="AC51">
        <v>0</v>
      </c>
      <c r="AD51" t="str">
        <f t="shared" ca="1" si="7"/>
        <v>rg:False</v>
      </c>
      <c r="AE51" t="str">
        <f t="shared" ca="1" si="14"/>
        <v>rg:None</v>
      </c>
      <c r="AF51" s="1">
        <v>42481</v>
      </c>
      <c r="AG51" s="4">
        <f t="shared" ca="1" si="9"/>
        <v>671.66666666666663</v>
      </c>
      <c r="AH51" s="4">
        <f t="shared" si="10"/>
        <v>9.9499999999999993</v>
      </c>
      <c r="AI51">
        <f t="shared" ca="1" si="11"/>
        <v>49</v>
      </c>
      <c r="AJ51">
        <f t="shared" ca="1" si="12"/>
        <v>114</v>
      </c>
      <c r="AK51">
        <f t="shared" ca="1" si="13"/>
        <v>61</v>
      </c>
      <c r="AL51" t="s">
        <v>326</v>
      </c>
      <c r="AO51" t="s">
        <v>76</v>
      </c>
      <c r="AP51" t="s">
        <v>6508</v>
      </c>
      <c r="AQ51" t="s">
        <v>6508</v>
      </c>
      <c r="AR51" t="s">
        <v>6508</v>
      </c>
      <c r="AS51" t="s">
        <v>6508</v>
      </c>
    </row>
    <row r="52" spans="1:45" x14ac:dyDescent="0.3">
      <c r="A52" t="s">
        <v>5628</v>
      </c>
      <c r="B52">
        <f t="shared" si="0"/>
        <v>200050</v>
      </c>
      <c r="C52">
        <v>200020</v>
      </c>
      <c r="D52" t="str">
        <f t="shared" si="1"/>
        <v>rg:{'id': '200020'}</v>
      </c>
      <c r="E52">
        <f>VLOOKUP(C52,Owners.csv!C:J,6,FALSE)</f>
        <v>200076</v>
      </c>
      <c r="F52">
        <f>VLOOKUP(VLOOKUP(E52,LocalAreas.csv!J:L,3,FALSE),ServiceAreas.csv!F:J,5,FALSE)</f>
        <v>10</v>
      </c>
      <c r="G52" t="str">
        <f t="shared" si="2"/>
        <v>rg:{'id': '200076'}</v>
      </c>
      <c r="H52" t="s">
        <v>7702</v>
      </c>
      <c r="I52" t="s">
        <v>5649</v>
      </c>
      <c r="J52">
        <f>VLOOKUP(I52&amp;"-"&amp;F52,DistrictEquipmentTypes.csv!J:K,2,FALSE)</f>
        <v>200006</v>
      </c>
      <c r="K52" t="str">
        <f t="shared" si="3"/>
        <v>rg:{'id': '200006'}</v>
      </c>
      <c r="L52">
        <f t="shared" si="4"/>
        <v>6</v>
      </c>
      <c r="M52" t="str">
        <f>VLOOKUP(C52,Owners.csv!C:K,9,FALSE)&amp;TEXT(Equipment.csv!L52,"0000")</f>
        <v>DAVE0006</v>
      </c>
      <c r="N52" t="s">
        <v>5399</v>
      </c>
      <c r="O52" t="s">
        <v>6745</v>
      </c>
      <c r="P52">
        <v>1991</v>
      </c>
      <c r="Q52">
        <v>90</v>
      </c>
      <c r="R52" t="s">
        <v>6660</v>
      </c>
      <c r="S52" s="1">
        <v>40280</v>
      </c>
      <c r="T52" s="1">
        <v>40283</v>
      </c>
      <c r="U52" t="str">
        <f t="shared" ca="1" si="5"/>
        <v>rg:False</v>
      </c>
      <c r="V52" t="str">
        <f t="shared" ca="1" si="6"/>
        <v>rg:None</v>
      </c>
      <c r="W52" t="s">
        <v>7135</v>
      </c>
      <c r="X52" t="s">
        <v>76</v>
      </c>
      <c r="Y52" t="s">
        <v>76</v>
      </c>
      <c r="Z52" t="s">
        <v>76</v>
      </c>
      <c r="AA52" t="s">
        <v>7482</v>
      </c>
      <c r="AB52" t="s">
        <v>7322</v>
      </c>
      <c r="AC52">
        <v>0</v>
      </c>
      <c r="AD52" t="str">
        <f t="shared" ca="1" si="7"/>
        <v>rg:False</v>
      </c>
      <c r="AE52" t="str">
        <f t="shared" ca="1" si="14"/>
        <v>rg:None</v>
      </c>
      <c r="AF52" s="1">
        <v>42481</v>
      </c>
      <c r="AG52" s="4">
        <f t="shared" ca="1" si="9"/>
        <v>488.33333333333337</v>
      </c>
      <c r="AH52" s="4">
        <f t="shared" si="10"/>
        <v>5.9611111111111112</v>
      </c>
      <c r="AI52">
        <f t="shared" ca="1" si="11"/>
        <v>138</v>
      </c>
      <c r="AJ52">
        <f t="shared" ca="1" si="12"/>
        <v>146</v>
      </c>
      <c r="AK52">
        <f t="shared" ca="1" si="13"/>
        <v>108</v>
      </c>
      <c r="AL52" t="s">
        <v>326</v>
      </c>
      <c r="AO52" t="s">
        <v>76</v>
      </c>
      <c r="AP52" t="s">
        <v>6508</v>
      </c>
      <c r="AQ52" t="s">
        <v>6508</v>
      </c>
      <c r="AR52" t="s">
        <v>6508</v>
      </c>
      <c r="AS52" t="s">
        <v>6508</v>
      </c>
    </row>
    <row r="53" spans="1:45" x14ac:dyDescent="0.3">
      <c r="A53" t="s">
        <v>5628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200076</v>
      </c>
      <c r="F53">
        <f>VLOOKUP(VLOOKUP(E53,LocalAreas.csv!J:L,3,FALSE),ServiceAreas.csv!F:J,5,FALSE)</f>
        <v>10</v>
      </c>
      <c r="G53" t="str">
        <f t="shared" si="2"/>
        <v>rg:{'id': '200076'}</v>
      </c>
      <c r="H53" t="s">
        <v>7714</v>
      </c>
      <c r="I53" t="s">
        <v>5635</v>
      </c>
      <c r="J53">
        <f>VLOOKUP(I53&amp;"-"&amp;F53,DistrictEquipmentTypes.csv!J:K,2,FALSE)</f>
        <v>200001</v>
      </c>
      <c r="K53" t="str">
        <f t="shared" si="3"/>
        <v>rg:{'id': '200001'}</v>
      </c>
      <c r="L53">
        <f t="shared" si="4"/>
        <v>7</v>
      </c>
      <c r="M53" t="str">
        <f>VLOOKUP(C53,Owners.csv!C:K,9,FALSE)&amp;TEXT(Equipment.csv!L53,"0000")</f>
        <v>DAVE0007</v>
      </c>
      <c r="N53" t="s">
        <v>5399</v>
      </c>
      <c r="O53" t="s">
        <v>6765</v>
      </c>
      <c r="P53">
        <v>1979</v>
      </c>
      <c r="Q53">
        <v>110</v>
      </c>
      <c r="R53" t="s">
        <v>6660</v>
      </c>
      <c r="S53" s="1">
        <v>41476</v>
      </c>
      <c r="T53" s="1">
        <v>41481</v>
      </c>
      <c r="U53" t="str">
        <f t="shared" ca="1" si="5"/>
        <v>rg:False</v>
      </c>
      <c r="V53" t="str">
        <f t="shared" ca="1" si="6"/>
        <v>rg:None</v>
      </c>
      <c r="W53" t="s">
        <v>7155</v>
      </c>
      <c r="X53" t="s">
        <v>76</v>
      </c>
      <c r="Y53" t="s">
        <v>76</v>
      </c>
      <c r="Z53" t="s">
        <v>76</v>
      </c>
      <c r="AA53" t="s">
        <v>7502</v>
      </c>
      <c r="AB53" t="s">
        <v>7336</v>
      </c>
      <c r="AC53">
        <v>0</v>
      </c>
      <c r="AD53" t="str">
        <f t="shared" ca="1" si="7"/>
        <v>rg:False</v>
      </c>
      <c r="AE53" t="str">
        <f t="shared" ca="1" si="14"/>
        <v>rg:None</v>
      </c>
      <c r="AF53" s="1">
        <v>42481</v>
      </c>
      <c r="AG53" s="4">
        <f t="shared" ca="1" si="9"/>
        <v>134.75</v>
      </c>
      <c r="AH53" s="4">
        <f t="shared" si="10"/>
        <v>2.6805555555555554</v>
      </c>
      <c r="AI53">
        <f t="shared" ca="1" si="11"/>
        <v>155</v>
      </c>
      <c r="AJ53">
        <f t="shared" ca="1" si="12"/>
        <v>8</v>
      </c>
      <c r="AK53">
        <f t="shared" ca="1" si="13"/>
        <v>0</v>
      </c>
      <c r="AL53" t="s">
        <v>326</v>
      </c>
      <c r="AO53" t="s">
        <v>76</v>
      </c>
      <c r="AP53" t="s">
        <v>6508</v>
      </c>
      <c r="AQ53" t="s">
        <v>6508</v>
      </c>
      <c r="AR53" t="s">
        <v>6508</v>
      </c>
      <c r="AS53" t="s">
        <v>6508</v>
      </c>
    </row>
    <row r="54" spans="1:45" x14ac:dyDescent="0.3">
      <c r="A54" t="s">
        <v>5628</v>
      </c>
      <c r="B54">
        <f t="shared" si="0"/>
        <v>200052</v>
      </c>
      <c r="C54">
        <v>200020</v>
      </c>
      <c r="D54" t="str">
        <f t="shared" si="1"/>
        <v>rg:{'id': '200020'}</v>
      </c>
      <c r="E54">
        <f>VLOOKUP(C54,Owners.csv!C:J,6,FALSE)</f>
        <v>200076</v>
      </c>
      <c r="F54">
        <f>VLOOKUP(VLOOKUP(E54,LocalAreas.csv!J:L,3,FALSE),ServiceAreas.csv!F:J,5,FALSE)</f>
        <v>10</v>
      </c>
      <c r="G54" t="str">
        <f t="shared" si="2"/>
        <v>rg:{'id': '200076'}</v>
      </c>
      <c r="H54" t="s">
        <v>7723</v>
      </c>
      <c r="I54" t="s">
        <v>5534</v>
      </c>
      <c r="J54">
        <f>VLOOKUP(I54&amp;"-"&amp;F54,DistrictEquipmentTypes.csv!J:K,2,FALSE)</f>
        <v>200000</v>
      </c>
      <c r="K54" t="str">
        <f t="shared" si="3"/>
        <v>rg:{'id': '200000'}</v>
      </c>
      <c r="L54">
        <f t="shared" si="4"/>
        <v>8</v>
      </c>
      <c r="M54" t="str">
        <f>VLOOKUP(C54,Owners.csv!C:K,9,FALSE)&amp;TEXT(Equipment.csv!L54,"0000")</f>
        <v>DAVE0008</v>
      </c>
      <c r="N54" t="s">
        <v>5399</v>
      </c>
      <c r="O54" t="s">
        <v>6780</v>
      </c>
      <c r="P54">
        <v>1997</v>
      </c>
      <c r="Q54">
        <v>125</v>
      </c>
      <c r="R54" t="s">
        <v>6660</v>
      </c>
      <c r="S54" s="1">
        <v>40763</v>
      </c>
      <c r="T54" s="1">
        <v>40782</v>
      </c>
      <c r="U54" t="str">
        <f t="shared" ca="1" si="5"/>
        <v>rg:False</v>
      </c>
      <c r="V54" t="str">
        <f t="shared" ca="1" si="6"/>
        <v>rg:None</v>
      </c>
      <c r="W54" t="s">
        <v>7170</v>
      </c>
      <c r="X54" t="s">
        <v>76</v>
      </c>
      <c r="Y54" t="s">
        <v>76</v>
      </c>
      <c r="Z54" t="s">
        <v>76</v>
      </c>
      <c r="AA54" t="s">
        <v>7517</v>
      </c>
      <c r="AB54" t="s">
        <v>7316</v>
      </c>
      <c r="AC54">
        <v>0</v>
      </c>
      <c r="AD54" t="str">
        <f t="shared" ca="1" si="7"/>
        <v>rg:False</v>
      </c>
      <c r="AE54" t="str">
        <f t="shared" ca="1" si="14"/>
        <v>rg:None</v>
      </c>
      <c r="AF54" s="1">
        <v>42481</v>
      </c>
      <c r="AG54" s="4">
        <f t="shared" ca="1" si="9"/>
        <v>300.83333333333331</v>
      </c>
      <c r="AH54" s="4">
        <f t="shared" si="10"/>
        <v>4.5944444444444441</v>
      </c>
      <c r="AI54">
        <f t="shared" ca="1" si="11"/>
        <v>184</v>
      </c>
      <c r="AJ54">
        <f t="shared" ca="1" si="12"/>
        <v>136</v>
      </c>
      <c r="AK54">
        <f t="shared" ca="1" si="13"/>
        <v>169</v>
      </c>
      <c r="AL54" t="s">
        <v>326</v>
      </c>
      <c r="AO54" t="s">
        <v>76</v>
      </c>
      <c r="AP54" t="s">
        <v>6508</v>
      </c>
      <c r="AQ54" t="s">
        <v>6508</v>
      </c>
      <c r="AR54" t="s">
        <v>6508</v>
      </c>
      <c r="AS54" t="s">
        <v>6508</v>
      </c>
    </row>
    <row r="55" spans="1:45" x14ac:dyDescent="0.3">
      <c r="A55" t="s">
        <v>5628</v>
      </c>
      <c r="B55">
        <f t="shared" si="0"/>
        <v>200053</v>
      </c>
      <c r="C55">
        <v>200021</v>
      </c>
      <c r="D55" t="str">
        <f t="shared" si="1"/>
        <v>rg:{'id': '200021'}</v>
      </c>
      <c r="E55">
        <f>VLOOKUP(C55,Owners.csv!C:J,6,FALSE)</f>
        <v>200076</v>
      </c>
      <c r="F55">
        <f>VLOOKUP(VLOOKUP(E55,LocalAreas.csv!J:L,3,FALSE),ServiceAreas.csv!F:J,5,FALSE)</f>
        <v>10</v>
      </c>
      <c r="G55" t="str">
        <f t="shared" si="2"/>
        <v>rg:{'id': '200076'}</v>
      </c>
      <c r="H55" t="s">
        <v>7258</v>
      </c>
      <c r="I55" t="s">
        <v>5640</v>
      </c>
      <c r="J55">
        <f>VLOOKUP(I55&amp;"-"&amp;F55,DistrictEquipmentTypes.csv!J:K,2,FALSE)</f>
        <v>200004</v>
      </c>
      <c r="K55" t="str">
        <f t="shared" si="3"/>
        <v>rg:{'id': '200004'}</v>
      </c>
      <c r="L55">
        <f t="shared" si="4"/>
        <v>1</v>
      </c>
      <c r="M55" t="str">
        <f>VLOOKUP(C55,Owners.csv!C:K,9,FALSE)&amp;TEXT(Equipment.csv!L55,"0000")</f>
        <v>DESM0001</v>
      </c>
      <c r="N55" t="s">
        <v>5399</v>
      </c>
      <c r="O55" t="s">
        <v>6688</v>
      </c>
      <c r="P55">
        <v>1976</v>
      </c>
      <c r="Q55">
        <v>33</v>
      </c>
      <c r="R55" t="s">
        <v>6660</v>
      </c>
      <c r="S55" s="1">
        <v>40328</v>
      </c>
      <c r="T55" s="1">
        <v>40359</v>
      </c>
      <c r="U55" t="str">
        <f t="shared" ca="1" si="5"/>
        <v>rg:False</v>
      </c>
      <c r="V55" t="str">
        <f t="shared" ca="1" si="6"/>
        <v>rg:None</v>
      </c>
      <c r="W55" t="s">
        <v>7078</v>
      </c>
      <c r="X55" t="s">
        <v>76</v>
      </c>
      <c r="Y55" t="s">
        <v>76</v>
      </c>
      <c r="Z55" t="s">
        <v>76</v>
      </c>
      <c r="AA55" t="s">
        <v>7425</v>
      </c>
      <c r="AB55" t="s">
        <v>7275</v>
      </c>
      <c r="AC55">
        <v>0</v>
      </c>
      <c r="AD55" t="str">
        <f t="shared" ca="1" si="7"/>
        <v>rg:False</v>
      </c>
      <c r="AE55" t="str">
        <f t="shared" ca="1" si="14"/>
        <v>rg:None</v>
      </c>
      <c r="AF55" s="1">
        <v>42461</v>
      </c>
      <c r="AG55" s="4">
        <f t="shared" ca="1" si="9"/>
        <v>357.91666666666669</v>
      </c>
      <c r="AH55" s="4">
        <f t="shared" si="10"/>
        <v>5.7527777777777782</v>
      </c>
      <c r="AI55">
        <f t="shared" ca="1" si="11"/>
        <v>174</v>
      </c>
      <c r="AJ55">
        <f t="shared" ca="1" si="12"/>
        <v>194</v>
      </c>
      <c r="AK55">
        <f t="shared" ca="1" si="13"/>
        <v>188</v>
      </c>
      <c r="AL55" t="s">
        <v>326</v>
      </c>
      <c r="AO55" t="s">
        <v>76</v>
      </c>
      <c r="AP55" t="s">
        <v>6508</v>
      </c>
      <c r="AQ55" t="s">
        <v>6508</v>
      </c>
      <c r="AR55" t="s">
        <v>6508</v>
      </c>
      <c r="AS55" t="s">
        <v>6508</v>
      </c>
    </row>
    <row r="56" spans="1:45" x14ac:dyDescent="0.3">
      <c r="A56" t="s">
        <v>5628</v>
      </c>
      <c r="B56">
        <f t="shared" si="0"/>
        <v>200054</v>
      </c>
      <c r="C56">
        <v>200021</v>
      </c>
      <c r="D56" t="str">
        <f t="shared" si="1"/>
        <v>rg:{'id': '200021'}</v>
      </c>
      <c r="E56">
        <f>VLOOKUP(C56,Owners.csv!C:J,6,FALSE)</f>
        <v>200076</v>
      </c>
      <c r="F56">
        <f>VLOOKUP(VLOOKUP(E56,LocalAreas.csv!J:L,3,FALSE),ServiceAreas.csv!F:J,5,FALSE)</f>
        <v>10</v>
      </c>
      <c r="G56" t="str">
        <f t="shared" si="2"/>
        <v>rg:{'id': '200076'}</v>
      </c>
      <c r="H56" t="s">
        <v>7668</v>
      </c>
      <c r="I56" t="s">
        <v>5640</v>
      </c>
      <c r="J56">
        <f>VLOOKUP(I56&amp;"-"&amp;F56,DistrictEquipmentTypes.csv!J:K,2,FALSE)</f>
        <v>200004</v>
      </c>
      <c r="K56" t="str">
        <f t="shared" si="3"/>
        <v>rg:{'id': '200004'}</v>
      </c>
      <c r="L56">
        <f t="shared" si="4"/>
        <v>2</v>
      </c>
      <c r="M56" t="str">
        <f>VLOOKUP(C56,Owners.csv!C:K,9,FALSE)&amp;TEXT(Equipment.csv!L56,"0000")</f>
        <v>DESM0002</v>
      </c>
      <c r="N56" t="s">
        <v>5399</v>
      </c>
      <c r="O56" t="s">
        <v>6698</v>
      </c>
      <c r="P56">
        <v>1972</v>
      </c>
      <c r="Q56">
        <v>43</v>
      </c>
      <c r="R56" t="s">
        <v>6661</v>
      </c>
      <c r="S56" s="1">
        <v>41232</v>
      </c>
      <c r="T56" s="1">
        <v>41252</v>
      </c>
      <c r="U56" t="str">
        <f t="shared" ca="1" si="5"/>
        <v>rg:False</v>
      </c>
      <c r="V56" t="str">
        <f t="shared" ca="1" si="6"/>
        <v>rg:None</v>
      </c>
      <c r="W56" t="s">
        <v>7088</v>
      </c>
      <c r="X56" t="s">
        <v>76</v>
      </c>
      <c r="Y56" t="s">
        <v>76</v>
      </c>
      <c r="Z56" t="s">
        <v>76</v>
      </c>
      <c r="AA56" t="s">
        <v>7435</v>
      </c>
      <c r="AB56" t="s">
        <v>7285</v>
      </c>
      <c r="AC56">
        <v>0</v>
      </c>
      <c r="AD56" t="str">
        <f t="shared" ca="1" si="7"/>
        <v>rg:False</v>
      </c>
      <c r="AE56" t="str">
        <f t="shared" ca="1" si="14"/>
        <v>rg:None</v>
      </c>
      <c r="AF56" s="1">
        <v>42480</v>
      </c>
      <c r="AG56" s="4">
        <f t="shared" ca="1" si="9"/>
        <v>213</v>
      </c>
      <c r="AH56" s="4">
        <f t="shared" si="10"/>
        <v>3.3111111111111109</v>
      </c>
      <c r="AI56">
        <f t="shared" ca="1" si="11"/>
        <v>38</v>
      </c>
      <c r="AJ56">
        <f t="shared" ca="1" si="12"/>
        <v>118</v>
      </c>
      <c r="AK56">
        <f t="shared" ca="1" si="13"/>
        <v>185</v>
      </c>
      <c r="AL56" t="s">
        <v>326</v>
      </c>
      <c r="AO56" t="s">
        <v>76</v>
      </c>
      <c r="AP56" t="s">
        <v>6508</v>
      </c>
      <c r="AQ56" t="s">
        <v>6508</v>
      </c>
      <c r="AR56" t="s">
        <v>6508</v>
      </c>
      <c r="AS56" t="s">
        <v>6508</v>
      </c>
    </row>
    <row r="57" spans="1:45" x14ac:dyDescent="0.3">
      <c r="A57" t="s">
        <v>5628</v>
      </c>
      <c r="B57">
        <f t="shared" si="0"/>
        <v>200055</v>
      </c>
      <c r="C57">
        <v>200021</v>
      </c>
      <c r="D57" t="str">
        <f t="shared" si="1"/>
        <v>rg:{'id': '200021'}</v>
      </c>
      <c r="E57">
        <f>VLOOKUP(C57,Owners.csv!C:J,6,FALSE)</f>
        <v>200076</v>
      </c>
      <c r="F57">
        <f>VLOOKUP(VLOOKUP(E57,LocalAreas.csv!J:L,3,FALSE),ServiceAreas.csv!F:J,5,FALSE)</f>
        <v>10</v>
      </c>
      <c r="G57" t="str">
        <f t="shared" si="2"/>
        <v>rg:{'id': '200076'}</v>
      </c>
      <c r="H57" t="s">
        <v>7675</v>
      </c>
      <c r="I57" t="s">
        <v>5638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3</v>
      </c>
      <c r="M57" t="str">
        <f>VLOOKUP(C57,Owners.csv!C:K,9,FALSE)&amp;TEXT(Equipment.csv!L57,"0000")</f>
        <v>DESM0003</v>
      </c>
      <c r="N57" t="s">
        <v>5399</v>
      </c>
      <c r="O57" t="s">
        <v>6708</v>
      </c>
      <c r="P57">
        <v>1980</v>
      </c>
      <c r="Q57">
        <v>53</v>
      </c>
      <c r="R57" t="s">
        <v>6660</v>
      </c>
      <c r="S57" s="1">
        <v>42256</v>
      </c>
      <c r="T57" s="1">
        <v>42271</v>
      </c>
      <c r="U57" t="str">
        <f t="shared" ca="1" si="5"/>
        <v>rg:False</v>
      </c>
      <c r="V57" t="str">
        <f t="shared" ca="1" si="6"/>
        <v>rg:None</v>
      </c>
      <c r="W57" t="s">
        <v>7098</v>
      </c>
      <c r="X57" t="s">
        <v>76</v>
      </c>
      <c r="Y57" t="s">
        <v>76</v>
      </c>
      <c r="Z57" t="s">
        <v>76</v>
      </c>
      <c r="AA57" t="s">
        <v>7445</v>
      </c>
      <c r="AB57" t="s">
        <v>7293</v>
      </c>
      <c r="AC57">
        <v>0</v>
      </c>
      <c r="AD57" t="str">
        <f t="shared" ca="1" si="7"/>
        <v>rg:False</v>
      </c>
      <c r="AE57" t="str">
        <f t="shared" ca="1" si="14"/>
        <v>rg:None</v>
      </c>
      <c r="AF57" s="1">
        <v>42481</v>
      </c>
      <c r="AG57" s="4">
        <f t="shared" ca="1" si="9"/>
        <v>15.583333333333334</v>
      </c>
      <c r="AH57" s="4">
        <f t="shared" si="10"/>
        <v>0.51944444444444449</v>
      </c>
      <c r="AI57">
        <f t="shared" ca="1" si="11"/>
        <v>0</v>
      </c>
      <c r="AJ57">
        <f t="shared" ca="1" si="12"/>
        <v>0</v>
      </c>
      <c r="AK57">
        <f t="shared" ca="1" si="13"/>
        <v>0</v>
      </c>
      <c r="AL57" t="s">
        <v>326</v>
      </c>
      <c r="AO57" t="s">
        <v>76</v>
      </c>
      <c r="AP57" t="s">
        <v>6508</v>
      </c>
      <c r="AQ57" t="s">
        <v>6508</v>
      </c>
      <c r="AR57" t="s">
        <v>6508</v>
      </c>
      <c r="AS57" t="s">
        <v>6508</v>
      </c>
    </row>
    <row r="58" spans="1:45" x14ac:dyDescent="0.3">
      <c r="A58" t="s">
        <v>5628</v>
      </c>
      <c r="B58">
        <f t="shared" si="0"/>
        <v>200056</v>
      </c>
      <c r="C58">
        <v>200021</v>
      </c>
      <c r="D58" t="str">
        <f t="shared" si="1"/>
        <v>rg:{'id': '200021'}</v>
      </c>
      <c r="E58">
        <f>VLOOKUP(C58,Owners.csv!C:J,6,FALSE)</f>
        <v>200076</v>
      </c>
      <c r="F58">
        <f>VLOOKUP(VLOOKUP(E58,LocalAreas.csv!J:L,3,FALSE),ServiceAreas.csv!F:J,5,FALSE)</f>
        <v>10</v>
      </c>
      <c r="G58" t="str">
        <f t="shared" si="2"/>
        <v>rg:{'id': '200076'}</v>
      </c>
      <c r="H58" t="s">
        <v>7682</v>
      </c>
      <c r="I58" t="s">
        <v>5638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4</v>
      </c>
      <c r="M58" t="str">
        <f>VLOOKUP(C58,Owners.csv!C:K,9,FALSE)&amp;TEXT(Equipment.csv!L58,"0000")</f>
        <v>DESM0004</v>
      </c>
      <c r="N58" t="s">
        <v>5399</v>
      </c>
      <c r="O58" t="s">
        <v>6718</v>
      </c>
      <c r="P58">
        <v>2001</v>
      </c>
      <c r="Q58">
        <v>63</v>
      </c>
      <c r="R58" t="s">
        <v>6660</v>
      </c>
      <c r="S58" s="1">
        <v>41066</v>
      </c>
      <c r="T58" s="1">
        <v>41072</v>
      </c>
      <c r="U58" t="str">
        <f t="shared" ca="1" si="5"/>
        <v>rg:False</v>
      </c>
      <c r="V58" t="str">
        <f t="shared" ca="1" si="6"/>
        <v>rg:None</v>
      </c>
      <c r="W58" t="s">
        <v>7108</v>
      </c>
      <c r="X58" t="s">
        <v>76</v>
      </c>
      <c r="Y58" t="s">
        <v>76</v>
      </c>
      <c r="Z58" t="s">
        <v>76</v>
      </c>
      <c r="AA58" t="s">
        <v>7455</v>
      </c>
      <c r="AB58" t="s">
        <v>7301</v>
      </c>
      <c r="AC58">
        <v>0</v>
      </c>
      <c r="AD58" t="str">
        <f t="shared" ca="1" si="7"/>
        <v>rg:True</v>
      </c>
      <c r="AE58" t="str">
        <f t="shared" ca="1" si="14"/>
        <v>Seniority overridden to test things</v>
      </c>
      <c r="AF58" s="1">
        <v>42481</v>
      </c>
      <c r="AG58" s="4">
        <f t="shared" ca="1" si="9"/>
        <v>241.41666666666666</v>
      </c>
      <c r="AH58" s="4">
        <f t="shared" si="10"/>
        <v>3.8027777777777776</v>
      </c>
      <c r="AI58">
        <f t="shared" ca="1" si="11"/>
        <v>193</v>
      </c>
      <c r="AJ58">
        <f t="shared" ca="1" si="12"/>
        <v>132</v>
      </c>
      <c r="AK58">
        <f t="shared" ca="1" si="13"/>
        <v>57</v>
      </c>
      <c r="AL58" t="s">
        <v>326</v>
      </c>
      <c r="AO58" t="s">
        <v>76</v>
      </c>
      <c r="AP58" t="s">
        <v>6508</v>
      </c>
      <c r="AQ58" t="s">
        <v>6508</v>
      </c>
      <c r="AR58" t="s">
        <v>6508</v>
      </c>
      <c r="AS58" t="s">
        <v>6508</v>
      </c>
    </row>
    <row r="59" spans="1:45" x14ac:dyDescent="0.3">
      <c r="A59" t="s">
        <v>5628</v>
      </c>
      <c r="B59">
        <f t="shared" si="0"/>
        <v>200057</v>
      </c>
      <c r="C59">
        <v>200021</v>
      </c>
      <c r="D59" t="str">
        <f t="shared" si="1"/>
        <v>rg:{'id': '200021'}</v>
      </c>
      <c r="E59">
        <f>VLOOKUP(C59,Owners.csv!C:J,6,FALSE)</f>
        <v>200076</v>
      </c>
      <c r="F59">
        <f>VLOOKUP(VLOOKUP(E59,LocalAreas.csv!J:L,3,FALSE),ServiceAreas.csv!F:J,5,FALSE)</f>
        <v>10</v>
      </c>
      <c r="G59" t="str">
        <f t="shared" si="2"/>
        <v>rg:{'id': '200076'}</v>
      </c>
      <c r="H59" t="s">
        <v>7690</v>
      </c>
      <c r="I59" t="s">
        <v>5649</v>
      </c>
      <c r="J59">
        <f>VLOOKUP(I59&amp;"-"&amp;F59,DistrictEquipmentTypes.csv!J:K,2,FALSE)</f>
        <v>200006</v>
      </c>
      <c r="K59" t="str">
        <f t="shared" si="3"/>
        <v>rg:{'id': '200006'}</v>
      </c>
      <c r="L59">
        <f t="shared" si="4"/>
        <v>5</v>
      </c>
      <c r="M59" t="str">
        <f>VLOOKUP(C59,Owners.csv!C:K,9,FALSE)&amp;TEXT(Equipment.csv!L59,"0000")</f>
        <v>DESM0005</v>
      </c>
      <c r="N59" t="s">
        <v>5399</v>
      </c>
      <c r="O59" t="s">
        <v>6726</v>
      </c>
      <c r="P59">
        <v>2006</v>
      </c>
      <c r="Q59">
        <v>71</v>
      </c>
      <c r="R59" t="s">
        <v>6660</v>
      </c>
      <c r="S59" s="1">
        <v>40179</v>
      </c>
      <c r="T59" s="1">
        <v>40191</v>
      </c>
      <c r="U59" t="str">
        <f t="shared" ca="1" si="5"/>
        <v>rg:False</v>
      </c>
      <c r="V59" t="str">
        <f t="shared" ca="1" si="6"/>
        <v>rg:None</v>
      </c>
      <c r="W59" t="s">
        <v>7116</v>
      </c>
      <c r="X59" t="s">
        <v>76</v>
      </c>
      <c r="Y59" t="s">
        <v>76</v>
      </c>
      <c r="Z59" t="s">
        <v>76</v>
      </c>
      <c r="AA59" t="s">
        <v>7463</v>
      </c>
      <c r="AB59" t="s">
        <v>7306</v>
      </c>
      <c r="AC59">
        <v>0</v>
      </c>
      <c r="AD59" t="str">
        <f t="shared" ca="1" si="7"/>
        <v>rg:False</v>
      </c>
      <c r="AE59" t="str">
        <f t="shared" ca="1" si="14"/>
        <v>rg:None</v>
      </c>
      <c r="AF59" s="1">
        <v>42481</v>
      </c>
      <c r="AG59" s="4">
        <f t="shared" ca="1" si="9"/>
        <v>454.33333333333331</v>
      </c>
      <c r="AH59" s="4">
        <f t="shared" si="10"/>
        <v>6.2166666666666668</v>
      </c>
      <c r="AI59">
        <f t="shared" ca="1" si="11"/>
        <v>53</v>
      </c>
      <c r="AJ59">
        <f t="shared" ca="1" si="12"/>
        <v>184</v>
      </c>
      <c r="AK59">
        <f t="shared" ca="1" si="13"/>
        <v>7</v>
      </c>
      <c r="AL59" t="s">
        <v>326</v>
      </c>
      <c r="AO59" t="s">
        <v>76</v>
      </c>
      <c r="AP59" t="s">
        <v>6508</v>
      </c>
      <c r="AQ59" t="s">
        <v>6508</v>
      </c>
      <c r="AR59" t="s">
        <v>6508</v>
      </c>
      <c r="AS59" t="s">
        <v>6508</v>
      </c>
    </row>
    <row r="60" spans="1:45" x14ac:dyDescent="0.3">
      <c r="A60" t="s">
        <v>5628</v>
      </c>
      <c r="B60">
        <f t="shared" si="0"/>
        <v>200058</v>
      </c>
      <c r="C60">
        <v>200021</v>
      </c>
      <c r="D60" t="str">
        <f t="shared" si="1"/>
        <v>rg:{'id': '200021'}</v>
      </c>
      <c r="E60">
        <f>VLOOKUP(C60,Owners.csv!C:J,6,FALSE)</f>
        <v>200076</v>
      </c>
      <c r="F60">
        <f>VLOOKUP(VLOOKUP(E60,LocalAreas.csv!J:L,3,FALSE),ServiceAreas.csv!F:J,5,FALSE)</f>
        <v>10</v>
      </c>
      <c r="G60" t="str">
        <f t="shared" si="2"/>
        <v>rg:{'id': '200076'}</v>
      </c>
      <c r="H60" t="s">
        <v>7703</v>
      </c>
      <c r="I60" t="s">
        <v>5649</v>
      </c>
      <c r="J60">
        <f>VLOOKUP(I60&amp;"-"&amp;F60,DistrictEquipmentTypes.csv!J:K,2,FALSE)</f>
        <v>200006</v>
      </c>
      <c r="K60" t="str">
        <f t="shared" si="3"/>
        <v>rg:{'id': '200006'}</v>
      </c>
      <c r="L60">
        <f t="shared" si="4"/>
        <v>6</v>
      </c>
      <c r="M60" t="str">
        <f>VLOOKUP(C60,Owners.csv!C:K,9,FALSE)&amp;TEXT(Equipment.csv!L60,"0000")</f>
        <v>DESM0006</v>
      </c>
      <c r="N60" t="s">
        <v>5399</v>
      </c>
      <c r="O60" t="s">
        <v>6746</v>
      </c>
      <c r="P60">
        <v>2017</v>
      </c>
      <c r="Q60">
        <v>91</v>
      </c>
      <c r="R60" t="s">
        <v>6660</v>
      </c>
      <c r="S60" s="1">
        <v>38690</v>
      </c>
      <c r="T60" s="1">
        <v>38702</v>
      </c>
      <c r="U60" t="str">
        <f t="shared" ca="1" si="5"/>
        <v>rg:False</v>
      </c>
      <c r="V60" t="str">
        <f t="shared" ca="1" si="6"/>
        <v>rg:None</v>
      </c>
      <c r="W60" t="s">
        <v>7136</v>
      </c>
      <c r="X60" t="s">
        <v>76</v>
      </c>
      <c r="Y60" t="s">
        <v>76</v>
      </c>
      <c r="Z60" t="s">
        <v>76</v>
      </c>
      <c r="AA60" t="s">
        <v>7483</v>
      </c>
      <c r="AB60" t="s">
        <v>7316</v>
      </c>
      <c r="AC60">
        <v>0</v>
      </c>
      <c r="AD60" t="str">
        <f t="shared" ca="1" si="7"/>
        <v>rg:False</v>
      </c>
      <c r="AE60" t="str">
        <f t="shared" ca="1" si="14"/>
        <v>rg:None</v>
      </c>
      <c r="AF60" s="1">
        <v>42481</v>
      </c>
      <c r="AG60" s="4">
        <f t="shared" ca="1" si="9"/>
        <v>692.5</v>
      </c>
      <c r="AH60" s="4">
        <f t="shared" si="10"/>
        <v>10.291666666666666</v>
      </c>
      <c r="AI60">
        <f t="shared" ca="1" si="11"/>
        <v>35</v>
      </c>
      <c r="AJ60">
        <f t="shared" ca="1" si="12"/>
        <v>37</v>
      </c>
      <c r="AK60">
        <f t="shared" ca="1" si="13"/>
        <v>153</v>
      </c>
      <c r="AL60" t="s">
        <v>326</v>
      </c>
      <c r="AO60" t="s">
        <v>76</v>
      </c>
      <c r="AP60" t="s">
        <v>6508</v>
      </c>
      <c r="AQ60" t="s">
        <v>6508</v>
      </c>
      <c r="AR60" t="s">
        <v>6508</v>
      </c>
      <c r="AS60" t="s">
        <v>6508</v>
      </c>
    </row>
    <row r="61" spans="1:45" x14ac:dyDescent="0.3">
      <c r="A61" t="s">
        <v>5628</v>
      </c>
      <c r="B61">
        <f t="shared" si="0"/>
        <v>200059</v>
      </c>
      <c r="C61">
        <v>200021</v>
      </c>
      <c r="D61" t="str">
        <f t="shared" si="1"/>
        <v>rg:{'id': '200021'}</v>
      </c>
      <c r="E61">
        <f>VLOOKUP(C61,Owners.csv!C:J,6,FALSE)</f>
        <v>200076</v>
      </c>
      <c r="F61">
        <f>VLOOKUP(VLOOKUP(E61,LocalAreas.csv!J:L,3,FALSE),ServiceAreas.csv!F:J,5,FALSE)</f>
        <v>10</v>
      </c>
      <c r="G61" t="str">
        <f t="shared" si="2"/>
        <v>rg:{'id': '200076'}</v>
      </c>
      <c r="H61" t="s">
        <v>7715</v>
      </c>
      <c r="I61" t="s">
        <v>5635</v>
      </c>
      <c r="J61">
        <f>VLOOKUP(I61&amp;"-"&amp;F61,DistrictEquipmentTypes.csv!J:K,2,FALSE)</f>
        <v>200001</v>
      </c>
      <c r="K61" t="str">
        <f t="shared" si="3"/>
        <v>rg:{'id': '200001'}</v>
      </c>
      <c r="L61">
        <f t="shared" si="4"/>
        <v>7</v>
      </c>
      <c r="M61" t="str">
        <f>VLOOKUP(C61,Owners.csv!C:K,9,FALSE)&amp;TEXT(Equipment.csv!L61,"0000")</f>
        <v>DESM0007</v>
      </c>
      <c r="N61" t="s">
        <v>5399</v>
      </c>
      <c r="O61" t="s">
        <v>6766</v>
      </c>
      <c r="P61">
        <v>2016</v>
      </c>
      <c r="Q61">
        <v>111</v>
      </c>
      <c r="R61" t="s">
        <v>6660</v>
      </c>
      <c r="S61" s="1">
        <v>38671</v>
      </c>
      <c r="T61" s="1">
        <v>38701</v>
      </c>
      <c r="U61" t="str">
        <f t="shared" ca="1" si="5"/>
        <v>rg:False</v>
      </c>
      <c r="V61" t="str">
        <f t="shared" ca="1" si="6"/>
        <v>rg:None</v>
      </c>
      <c r="W61" t="s">
        <v>7156</v>
      </c>
      <c r="X61" t="s">
        <v>76</v>
      </c>
      <c r="Y61" t="s">
        <v>76</v>
      </c>
      <c r="Z61" t="s">
        <v>76</v>
      </c>
      <c r="AA61" t="s">
        <v>7503</v>
      </c>
      <c r="AB61" t="s">
        <v>7337</v>
      </c>
      <c r="AC61">
        <v>0</v>
      </c>
      <c r="AD61" t="str">
        <f t="shared" ca="1" si="7"/>
        <v>rg:False</v>
      </c>
      <c r="AE61" t="str">
        <f t="shared" ca="1" si="14"/>
        <v>rg:None</v>
      </c>
      <c r="AF61" s="1">
        <v>42481</v>
      </c>
      <c r="AG61" s="4">
        <f t="shared" ca="1" si="9"/>
        <v>435.83333333333331</v>
      </c>
      <c r="AH61" s="4">
        <f t="shared" si="10"/>
        <v>10.294444444444444</v>
      </c>
      <c r="AI61">
        <f t="shared" ca="1" si="11"/>
        <v>178</v>
      </c>
      <c r="AJ61">
        <f t="shared" ca="1" si="12"/>
        <v>44</v>
      </c>
      <c r="AK61">
        <f t="shared" ca="1" si="13"/>
        <v>159</v>
      </c>
      <c r="AL61" t="s">
        <v>326</v>
      </c>
      <c r="AO61" t="s">
        <v>76</v>
      </c>
      <c r="AP61" t="s">
        <v>6508</v>
      </c>
      <c r="AQ61" t="s">
        <v>6508</v>
      </c>
      <c r="AR61" t="s">
        <v>6508</v>
      </c>
      <c r="AS61" t="s">
        <v>6508</v>
      </c>
    </row>
    <row r="62" spans="1:45" x14ac:dyDescent="0.3">
      <c r="A62" t="s">
        <v>5628</v>
      </c>
      <c r="B62">
        <f t="shared" si="0"/>
        <v>200060</v>
      </c>
      <c r="C62">
        <v>200021</v>
      </c>
      <c r="D62" t="str">
        <f t="shared" si="1"/>
        <v>rg:{'id': '200021'}</v>
      </c>
      <c r="E62">
        <f>VLOOKUP(C62,Owners.csv!C:J,6,FALSE)</f>
        <v>200076</v>
      </c>
      <c r="F62">
        <f>VLOOKUP(VLOOKUP(E62,LocalAreas.csv!J:L,3,FALSE),ServiceAreas.csv!F:J,5,FALSE)</f>
        <v>10</v>
      </c>
      <c r="G62" t="str">
        <f t="shared" si="2"/>
        <v>rg:{'id': '200076'}</v>
      </c>
      <c r="H62" t="s">
        <v>7724</v>
      </c>
      <c r="I62" t="s">
        <v>5534</v>
      </c>
      <c r="J62">
        <f>VLOOKUP(I62&amp;"-"&amp;F62,DistrictEquipmentTypes.csv!J:K,2,FALSE)</f>
        <v>200000</v>
      </c>
      <c r="K62" t="str">
        <f t="shared" si="3"/>
        <v>rg:{'id': '200000'}</v>
      </c>
      <c r="L62">
        <f t="shared" si="4"/>
        <v>8</v>
      </c>
      <c r="M62" t="str">
        <f>VLOOKUP(C62,Owners.csv!C:K,9,FALSE)&amp;TEXT(Equipment.csv!L62,"0000")</f>
        <v>DESM0008</v>
      </c>
      <c r="N62" t="s">
        <v>5399</v>
      </c>
      <c r="O62" t="s">
        <v>6781</v>
      </c>
      <c r="P62">
        <v>1977</v>
      </c>
      <c r="Q62">
        <v>126</v>
      </c>
      <c r="R62" t="s">
        <v>6660</v>
      </c>
      <c r="S62" s="1">
        <v>39386</v>
      </c>
      <c r="T62" s="1">
        <v>39402</v>
      </c>
      <c r="U62" t="str">
        <f t="shared" ca="1" si="5"/>
        <v>rg:False</v>
      </c>
      <c r="V62" t="str">
        <f t="shared" ca="1" si="6"/>
        <v>rg:None</v>
      </c>
      <c r="W62" t="s">
        <v>7171</v>
      </c>
      <c r="X62" t="s">
        <v>76</v>
      </c>
      <c r="Y62" t="s">
        <v>76</v>
      </c>
      <c r="Z62" t="s">
        <v>76</v>
      </c>
      <c r="AA62" t="s">
        <v>7518</v>
      </c>
      <c r="AB62" t="s">
        <v>7264</v>
      </c>
      <c r="AC62">
        <v>0</v>
      </c>
      <c r="AD62" t="str">
        <f t="shared" ca="1" si="7"/>
        <v>rg:False</v>
      </c>
      <c r="AE62" t="str">
        <f t="shared" ca="1" si="14"/>
        <v>rg:None</v>
      </c>
      <c r="AF62" s="1">
        <v>42481</v>
      </c>
      <c r="AG62" s="4">
        <f t="shared" ca="1" si="9"/>
        <v>394.25</v>
      </c>
      <c r="AH62" s="4">
        <f t="shared" si="10"/>
        <v>8.375</v>
      </c>
      <c r="AI62">
        <f t="shared" ca="1" si="11"/>
        <v>175</v>
      </c>
      <c r="AJ62">
        <f t="shared" ca="1" si="12"/>
        <v>101</v>
      </c>
      <c r="AK62">
        <f t="shared" ca="1" si="13"/>
        <v>153</v>
      </c>
      <c r="AL62" t="s">
        <v>326</v>
      </c>
      <c r="AO62" t="s">
        <v>76</v>
      </c>
      <c r="AP62" t="s">
        <v>6508</v>
      </c>
      <c r="AQ62" t="s">
        <v>6508</v>
      </c>
      <c r="AR62" t="s">
        <v>6508</v>
      </c>
      <c r="AS62" t="s">
        <v>6508</v>
      </c>
    </row>
    <row r="63" spans="1:45" x14ac:dyDescent="0.3">
      <c r="A63" t="s">
        <v>5628</v>
      </c>
      <c r="B63">
        <f t="shared" si="0"/>
        <v>200061</v>
      </c>
      <c r="C63">
        <v>200022</v>
      </c>
      <c r="D63" t="str">
        <f t="shared" si="1"/>
        <v>rg:{'id': '200022'}</v>
      </c>
      <c r="E63">
        <f>VLOOKUP(C63,Owners.csv!C:J,6,FALSE)</f>
        <v>200076</v>
      </c>
      <c r="F63">
        <f>VLOOKUP(VLOOKUP(E63,LocalAreas.csv!J:L,3,FALSE),ServiceAreas.csv!F:J,5,FALSE)</f>
        <v>10</v>
      </c>
      <c r="G63" t="str">
        <f t="shared" si="2"/>
        <v>rg:{'id': '200076'}</v>
      </c>
      <c r="H63" t="s">
        <v>7641</v>
      </c>
      <c r="I63" t="s">
        <v>5640</v>
      </c>
      <c r="J63">
        <f>VLOOKUP(I63&amp;"-"&amp;F63,DistrictEquipmentTypes.csv!J:K,2,FALSE)</f>
        <v>200004</v>
      </c>
      <c r="K63" t="str">
        <f t="shared" si="3"/>
        <v>rg:{'id': '200004'}</v>
      </c>
      <c r="L63">
        <f t="shared" si="4"/>
        <v>1</v>
      </c>
      <c r="M63" t="str">
        <f>VLOOKUP(C63,Owners.csv!C:K,9,FALSE)&amp;TEXT(Equipment.csv!L63,"0000")</f>
        <v>DEST0001</v>
      </c>
      <c r="N63" t="s">
        <v>5399</v>
      </c>
      <c r="O63" t="s">
        <v>6689</v>
      </c>
      <c r="P63">
        <v>1985</v>
      </c>
      <c r="Q63">
        <v>34</v>
      </c>
      <c r="R63" t="s">
        <v>6660</v>
      </c>
      <c r="S63" s="1">
        <v>40025</v>
      </c>
      <c r="T63" s="1">
        <v>40036</v>
      </c>
      <c r="U63" t="str">
        <f t="shared" ca="1" si="5"/>
        <v>rg:False</v>
      </c>
      <c r="V63" t="str">
        <f t="shared" ca="1" si="6"/>
        <v>rg:None</v>
      </c>
      <c r="W63" t="s">
        <v>7079</v>
      </c>
      <c r="X63" t="s">
        <v>76</v>
      </c>
      <c r="Y63" t="s">
        <v>76</v>
      </c>
      <c r="Z63" t="s">
        <v>76</v>
      </c>
      <c r="AA63" t="s">
        <v>7426</v>
      </c>
      <c r="AB63" t="s">
        <v>7276</v>
      </c>
      <c r="AC63">
        <v>0</v>
      </c>
      <c r="AD63" t="str">
        <f t="shared" ca="1" si="7"/>
        <v>rg:False</v>
      </c>
      <c r="AE63" t="str">
        <f t="shared" ca="1" si="14"/>
        <v>rg:None</v>
      </c>
      <c r="AF63" s="1">
        <v>42461</v>
      </c>
      <c r="AG63" s="4">
        <f t="shared" ca="1" si="9"/>
        <v>304.83333333333337</v>
      </c>
      <c r="AH63" s="4">
        <f t="shared" si="10"/>
        <v>6.6388888888888893</v>
      </c>
      <c r="AI63">
        <f t="shared" ca="1" si="11"/>
        <v>105</v>
      </c>
      <c r="AJ63">
        <f t="shared" ca="1" si="12"/>
        <v>51</v>
      </c>
      <c r="AK63">
        <f t="shared" ca="1" si="13"/>
        <v>161</v>
      </c>
      <c r="AL63" t="s">
        <v>326</v>
      </c>
      <c r="AO63" t="s">
        <v>76</v>
      </c>
      <c r="AP63" t="s">
        <v>6508</v>
      </c>
      <c r="AQ63" t="s">
        <v>6508</v>
      </c>
      <c r="AR63" t="s">
        <v>6508</v>
      </c>
      <c r="AS63" t="s">
        <v>6508</v>
      </c>
    </row>
    <row r="64" spans="1:45" x14ac:dyDescent="0.3">
      <c r="A64" t="s">
        <v>5628</v>
      </c>
      <c r="B64">
        <f t="shared" si="0"/>
        <v>200062</v>
      </c>
      <c r="C64">
        <v>200022</v>
      </c>
      <c r="D64" t="str">
        <f t="shared" si="1"/>
        <v>rg:{'id': '200022'}</v>
      </c>
      <c r="E64">
        <f>VLOOKUP(C64,Owners.csv!C:J,6,FALSE)</f>
        <v>200076</v>
      </c>
      <c r="F64">
        <f>VLOOKUP(VLOOKUP(E64,LocalAreas.csv!J:L,3,FALSE),ServiceAreas.csv!F:J,5,FALSE)</f>
        <v>10</v>
      </c>
      <c r="G64" t="str">
        <f t="shared" si="2"/>
        <v>rg:{'id': '200076'}</v>
      </c>
      <c r="H64" t="s">
        <v>7648</v>
      </c>
      <c r="I64" t="s">
        <v>5640</v>
      </c>
      <c r="J64">
        <f>VLOOKUP(I64&amp;"-"&amp;F64,DistrictEquipmentTypes.csv!J:K,2,FALSE)</f>
        <v>200004</v>
      </c>
      <c r="K64" t="str">
        <f t="shared" si="3"/>
        <v>rg:{'id': '200004'}</v>
      </c>
      <c r="L64">
        <f t="shared" si="4"/>
        <v>2</v>
      </c>
      <c r="M64" t="str">
        <f>VLOOKUP(C64,Owners.csv!C:K,9,FALSE)&amp;TEXT(Equipment.csv!L64,"0000")</f>
        <v>DEST0002</v>
      </c>
      <c r="N64" t="s">
        <v>5399</v>
      </c>
      <c r="O64" t="s">
        <v>6699</v>
      </c>
      <c r="P64">
        <v>1977</v>
      </c>
      <c r="Q64">
        <v>44</v>
      </c>
      <c r="R64" t="s">
        <v>6661</v>
      </c>
      <c r="S64" s="1">
        <v>39968</v>
      </c>
      <c r="T64" s="1">
        <v>39974</v>
      </c>
      <c r="U64" t="str">
        <f t="shared" ca="1" si="5"/>
        <v>rg:False</v>
      </c>
      <c r="V64" t="str">
        <f t="shared" ca="1" si="6"/>
        <v>rg:None</v>
      </c>
      <c r="W64" t="s">
        <v>7089</v>
      </c>
      <c r="X64" t="s">
        <v>76</v>
      </c>
      <c r="Y64" t="s">
        <v>76</v>
      </c>
      <c r="Z64" t="s">
        <v>76</v>
      </c>
      <c r="AA64" t="s">
        <v>7436</v>
      </c>
      <c r="AB64" t="s">
        <v>7286</v>
      </c>
      <c r="AC64">
        <v>0</v>
      </c>
      <c r="AD64" t="str">
        <f t="shared" ca="1" si="7"/>
        <v>rg:False</v>
      </c>
      <c r="AE64" t="str">
        <f t="shared" ca="1" si="14"/>
        <v>rg:None</v>
      </c>
      <c r="AF64" s="1">
        <v>42481</v>
      </c>
      <c r="AG64" s="4">
        <f t="shared" ca="1" si="9"/>
        <v>316.25</v>
      </c>
      <c r="AH64" s="4">
        <f t="shared" si="10"/>
        <v>6.8083333333333336</v>
      </c>
      <c r="AI64">
        <f t="shared" ca="1" si="11"/>
        <v>184</v>
      </c>
      <c r="AJ64">
        <f t="shared" ca="1" si="12"/>
        <v>129</v>
      </c>
      <c r="AK64">
        <f t="shared" ca="1" si="13"/>
        <v>23</v>
      </c>
      <c r="AL64" t="s">
        <v>5687</v>
      </c>
      <c r="AM64" t="s">
        <v>6880</v>
      </c>
      <c r="AN64" s="1">
        <v>42392</v>
      </c>
      <c r="AO64" t="s">
        <v>76</v>
      </c>
      <c r="AP64" t="s">
        <v>6508</v>
      </c>
      <c r="AQ64" t="s">
        <v>6508</v>
      </c>
      <c r="AR64" t="s">
        <v>6508</v>
      </c>
      <c r="AS64" t="s">
        <v>6508</v>
      </c>
    </row>
    <row r="65" spans="1:45" x14ac:dyDescent="0.3">
      <c r="A65" t="s">
        <v>5628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200076</v>
      </c>
      <c r="F65">
        <f>VLOOKUP(VLOOKUP(E65,LocalAreas.csv!J:L,3,FALSE),ServiceAreas.csv!F:J,5,FALSE)</f>
        <v>10</v>
      </c>
      <c r="G65" t="str">
        <f t="shared" si="2"/>
        <v>rg:{'id': '200076'}</v>
      </c>
      <c r="H65" t="s">
        <v>7643</v>
      </c>
      <c r="I65" t="s">
        <v>5638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3</v>
      </c>
      <c r="M65" t="str">
        <f>VLOOKUP(C65,Owners.csv!C:K,9,FALSE)&amp;TEXT(Equipment.csv!L65,"0000")</f>
        <v>DEST0003</v>
      </c>
      <c r="N65" t="s">
        <v>5399</v>
      </c>
      <c r="O65" t="s">
        <v>6709</v>
      </c>
      <c r="P65">
        <v>1993</v>
      </c>
      <c r="Q65">
        <v>54</v>
      </c>
      <c r="R65" t="s">
        <v>6660</v>
      </c>
      <c r="S65" s="1">
        <v>39429</v>
      </c>
      <c r="T65" s="1">
        <v>39442</v>
      </c>
      <c r="U65" t="str">
        <f t="shared" ca="1" si="5"/>
        <v>rg:False</v>
      </c>
      <c r="V65" t="str">
        <f t="shared" ca="1" si="6"/>
        <v>rg:None</v>
      </c>
      <c r="W65" t="s">
        <v>7099</v>
      </c>
      <c r="X65" t="s">
        <v>76</v>
      </c>
      <c r="Y65" t="s">
        <v>76</v>
      </c>
      <c r="Z65" t="s">
        <v>76</v>
      </c>
      <c r="AA65" t="s">
        <v>7446</v>
      </c>
      <c r="AB65" t="s">
        <v>7294</v>
      </c>
      <c r="AC65">
        <v>0</v>
      </c>
      <c r="AD65" t="str">
        <f t="shared" ca="1" si="7"/>
        <v>rg:True</v>
      </c>
      <c r="AE65" t="str">
        <f t="shared" ca="1" si="14"/>
        <v>Seniority overridden to test things</v>
      </c>
      <c r="AF65" s="1">
        <v>42481</v>
      </c>
      <c r="AG65" s="4">
        <f t="shared" ca="1" si="9"/>
        <v>314.25</v>
      </c>
      <c r="AH65" s="4">
        <f t="shared" si="10"/>
        <v>8.2638888888888893</v>
      </c>
      <c r="AI65">
        <f t="shared" ca="1" si="11"/>
        <v>69</v>
      </c>
      <c r="AJ65">
        <f t="shared" ca="1" si="12"/>
        <v>0</v>
      </c>
      <c r="AK65">
        <f t="shared" ca="1" si="13"/>
        <v>130</v>
      </c>
      <c r="AL65" t="s">
        <v>326</v>
      </c>
      <c r="AO65" t="s">
        <v>76</v>
      </c>
      <c r="AP65" t="s">
        <v>6508</v>
      </c>
      <c r="AQ65" t="s">
        <v>6508</v>
      </c>
      <c r="AR65" t="s">
        <v>6508</v>
      </c>
      <c r="AS65" t="s">
        <v>6508</v>
      </c>
    </row>
    <row r="66" spans="1:45" x14ac:dyDescent="0.3">
      <c r="A66" t="s">
        <v>5628</v>
      </c>
      <c r="B66">
        <f t="shared" ref="B66:B129" si="15">IF(ISNUMBER(B65),B65+1,200000)</f>
        <v>200064</v>
      </c>
      <c r="C66">
        <v>200022</v>
      </c>
      <c r="D66" t="str">
        <f t="shared" ref="D66:D129" si="16">"rg:{'id': '"&amp;C66&amp;"'}"</f>
        <v>rg:{'id': '200022'}</v>
      </c>
      <c r="E66">
        <f>VLOOKUP(C66,Owners.csv!C:J,6,FALSE)</f>
        <v>200076</v>
      </c>
      <c r="F66">
        <f>VLOOKUP(VLOOKUP(E66,LocalAreas.csv!J:L,3,FALSE),ServiceAreas.csv!F:J,5,FALSE)</f>
        <v>10</v>
      </c>
      <c r="G66" t="str">
        <f t="shared" ref="G66:G129" si="17">"rg:{'id': '"&amp;E66&amp;"'}"</f>
        <v>rg:{'id': '200076'}</v>
      </c>
      <c r="H66" t="s">
        <v>7683</v>
      </c>
      <c r="I66" t="s">
        <v>5638</v>
      </c>
      <c r="J66">
        <f>VLOOKUP(I66&amp;"-"&amp;F66,DistrictEquipmentTypes.csv!J:K,2,FALSE)</f>
        <v>200002</v>
      </c>
      <c r="K66" t="str">
        <f t="shared" ref="K66:K129" si="18">"rg:{'id': '"&amp;J66&amp;"'}"</f>
        <v>rg:{'id': '200002'}</v>
      </c>
      <c r="L66">
        <f t="shared" ref="L66:L129" si="19">IF(C66=C65,L65+1,1)</f>
        <v>4</v>
      </c>
      <c r="M66" t="str">
        <f>VLOOKUP(C66,Owners.csv!C:K,9,FALSE)&amp;TEXT(Equipment.csv!L66,"0000")</f>
        <v>DEST0004</v>
      </c>
      <c r="N66" t="s">
        <v>5399</v>
      </c>
      <c r="O66" t="s">
        <v>6719</v>
      </c>
      <c r="P66">
        <v>2003</v>
      </c>
      <c r="Q66">
        <v>64</v>
      </c>
      <c r="R66" t="s">
        <v>6660</v>
      </c>
      <c r="S66" s="1">
        <v>42569</v>
      </c>
      <c r="T66" s="1">
        <v>42593</v>
      </c>
      <c r="U66" t="str">
        <f t="shared" ref="U66:U129" ca="1" si="20">IF(RANDBETWEEN(1,10)&gt;1,"rg:False","rg:True")</f>
        <v>rg:False</v>
      </c>
      <c r="V66" t="str">
        <f t="shared" ref="V66:V129" ca="1" si="21">IF(U66="rg:True","This equipment should be archived","rg:None")</f>
        <v>rg:None</v>
      </c>
      <c r="W66" t="s">
        <v>7109</v>
      </c>
      <c r="X66" t="s">
        <v>76</v>
      </c>
      <c r="Y66" t="s">
        <v>76</v>
      </c>
      <c r="Z66" t="s">
        <v>76</v>
      </c>
      <c r="AA66" t="s">
        <v>7456</v>
      </c>
      <c r="AB66" t="s">
        <v>7295</v>
      </c>
      <c r="AC66">
        <v>0</v>
      </c>
      <c r="AD66" t="str">
        <f t="shared" ref="AD66:AD129" ca="1" si="22">IF(RANDBETWEEN(1,20)&gt;1,"rg:False","rg:True")</f>
        <v>rg:False</v>
      </c>
      <c r="AE66" t="str">
        <f t="shared" ref="AE66:AE97" ca="1" si="23">IF(AD66="rg:True","Seniority overridden to test things","rg:None")</f>
        <v>rg:None</v>
      </c>
      <c r="AF66" s="1">
        <v>42481</v>
      </c>
      <c r="AG66" s="4">
        <f t="shared" ref="AG66:AG129" ca="1" si="24">IF(I66="Dump Truck",60,30)*AH66+(AVERAGE(AI66:AK66))</f>
        <v>10.833333333333334</v>
      </c>
      <c r="AH66" s="4">
        <f t="shared" ref="AH66:AH129" si="25">YEARFRAC(DATE("2016","4","1"),T66)</f>
        <v>0.3611111111111111</v>
      </c>
      <c r="AI66">
        <f t="shared" ref="AI66:AI129" ca="1" si="26">IF(AH66&lt;1,0,RANDBETWEEN(0,200))</f>
        <v>0</v>
      </c>
      <c r="AJ66">
        <f t="shared" ref="AJ66:AJ129" ca="1" si="27">IF(AH66&lt;2,0,RANDBETWEEN(0,200))</f>
        <v>0</v>
      </c>
      <c r="AK66">
        <f t="shared" ref="AK66:AK129" ca="1" si="28">IF(AH66&lt;3,0,RANDBETWEEN(0,200))</f>
        <v>0</v>
      </c>
      <c r="AL66" t="s">
        <v>326</v>
      </c>
      <c r="AO66" t="s">
        <v>76</v>
      </c>
      <c r="AP66" t="s">
        <v>6508</v>
      </c>
      <c r="AQ66" t="s">
        <v>6508</v>
      </c>
      <c r="AR66" t="s">
        <v>6508</v>
      </c>
      <c r="AS66" t="s">
        <v>6508</v>
      </c>
    </row>
    <row r="67" spans="1:45" x14ac:dyDescent="0.3">
      <c r="A67" t="s">
        <v>5628</v>
      </c>
      <c r="B67">
        <f t="shared" si="15"/>
        <v>200065</v>
      </c>
      <c r="C67">
        <v>200022</v>
      </c>
      <c r="D67" t="str">
        <f t="shared" si="16"/>
        <v>rg:{'id': '200022'}</v>
      </c>
      <c r="E67">
        <f>VLOOKUP(C67,Owners.csv!C:J,6,FALSE)</f>
        <v>200076</v>
      </c>
      <c r="F67">
        <f>VLOOKUP(VLOOKUP(E67,LocalAreas.csv!J:L,3,FALSE),ServiceAreas.csv!F:J,5,FALSE)</f>
        <v>10</v>
      </c>
      <c r="G67" t="str">
        <f t="shared" si="17"/>
        <v>rg:{'id': '200076'}</v>
      </c>
      <c r="H67" t="s">
        <v>7691</v>
      </c>
      <c r="I67" t="s">
        <v>5649</v>
      </c>
      <c r="J67">
        <f>VLOOKUP(I67&amp;"-"&amp;F67,DistrictEquipmentTypes.csv!J:K,2,FALSE)</f>
        <v>200006</v>
      </c>
      <c r="K67" t="str">
        <f t="shared" si="18"/>
        <v>rg:{'id': '200006'}</v>
      </c>
      <c r="L67">
        <f t="shared" si="19"/>
        <v>5</v>
      </c>
      <c r="M67" t="str">
        <f>VLOOKUP(C67,Owners.csv!C:K,9,FALSE)&amp;TEXT(Equipment.csv!L67,"0000")</f>
        <v>DEST0005</v>
      </c>
      <c r="N67" t="s">
        <v>5399</v>
      </c>
      <c r="O67" t="s">
        <v>6727</v>
      </c>
      <c r="P67">
        <v>1991</v>
      </c>
      <c r="Q67">
        <v>72</v>
      </c>
      <c r="R67" t="s">
        <v>6660</v>
      </c>
      <c r="S67" s="1">
        <v>41327</v>
      </c>
      <c r="T67" s="1">
        <v>41338</v>
      </c>
      <c r="U67" t="str">
        <f t="shared" ca="1" si="20"/>
        <v>rg:False</v>
      </c>
      <c r="V67" t="str">
        <f t="shared" ca="1" si="21"/>
        <v>rg:None</v>
      </c>
      <c r="W67" t="s">
        <v>7117</v>
      </c>
      <c r="X67" t="s">
        <v>76</v>
      </c>
      <c r="Y67" t="s">
        <v>76</v>
      </c>
      <c r="Z67" t="s">
        <v>76</v>
      </c>
      <c r="AA67" t="s">
        <v>7464</v>
      </c>
      <c r="AB67" t="s">
        <v>7307</v>
      </c>
      <c r="AC67">
        <v>0</v>
      </c>
      <c r="AD67" t="str">
        <f t="shared" ca="1" si="22"/>
        <v>rg:False</v>
      </c>
      <c r="AE67" t="str">
        <f t="shared" ca="1" si="23"/>
        <v>rg:None</v>
      </c>
      <c r="AF67" s="1">
        <v>42481</v>
      </c>
      <c r="AG67" s="4">
        <f t="shared" ca="1" si="24"/>
        <v>302</v>
      </c>
      <c r="AH67" s="4">
        <f t="shared" si="25"/>
        <v>3.0722222222222224</v>
      </c>
      <c r="AI67">
        <f t="shared" ca="1" si="26"/>
        <v>15</v>
      </c>
      <c r="AJ67">
        <f t="shared" ca="1" si="27"/>
        <v>173</v>
      </c>
      <c r="AK67">
        <f t="shared" ca="1" si="28"/>
        <v>165</v>
      </c>
      <c r="AL67" t="s">
        <v>326</v>
      </c>
      <c r="AO67" t="s">
        <v>76</v>
      </c>
      <c r="AP67" t="s">
        <v>6508</v>
      </c>
      <c r="AQ67" t="s">
        <v>6508</v>
      </c>
      <c r="AR67" t="s">
        <v>6508</v>
      </c>
      <c r="AS67" t="s">
        <v>6508</v>
      </c>
    </row>
    <row r="68" spans="1:45" x14ac:dyDescent="0.3">
      <c r="A68" t="s">
        <v>5628</v>
      </c>
      <c r="B68">
        <f t="shared" si="15"/>
        <v>200066</v>
      </c>
      <c r="C68">
        <v>200022</v>
      </c>
      <c r="D68" t="str">
        <f t="shared" si="16"/>
        <v>rg:{'id': '200022'}</v>
      </c>
      <c r="E68">
        <f>VLOOKUP(C68,Owners.csv!C:J,6,FALSE)</f>
        <v>200076</v>
      </c>
      <c r="F68">
        <f>VLOOKUP(VLOOKUP(E68,LocalAreas.csv!J:L,3,FALSE),ServiceAreas.csv!F:J,5,FALSE)</f>
        <v>10</v>
      </c>
      <c r="G68" t="str">
        <f t="shared" si="17"/>
        <v>rg:{'id': '200076'}</v>
      </c>
      <c r="H68" t="s">
        <v>7637</v>
      </c>
      <c r="I68" t="s">
        <v>5649</v>
      </c>
      <c r="J68">
        <f>VLOOKUP(I68&amp;"-"&amp;F68,DistrictEquipmentTypes.csv!J:K,2,FALSE)</f>
        <v>200006</v>
      </c>
      <c r="K68" t="str">
        <f t="shared" si="18"/>
        <v>rg:{'id': '200006'}</v>
      </c>
      <c r="L68">
        <f t="shared" si="19"/>
        <v>6</v>
      </c>
      <c r="M68" t="str">
        <f>VLOOKUP(C68,Owners.csv!C:K,9,FALSE)&amp;TEXT(Equipment.csv!L68,"0000")</f>
        <v>DEST0006</v>
      </c>
      <c r="N68" t="s">
        <v>5399</v>
      </c>
      <c r="O68" t="s">
        <v>6747</v>
      </c>
      <c r="P68">
        <v>2014</v>
      </c>
      <c r="Q68">
        <v>92</v>
      </c>
      <c r="R68" t="s">
        <v>6660</v>
      </c>
      <c r="S68" s="1">
        <v>42374</v>
      </c>
      <c r="T68" s="1">
        <v>42388</v>
      </c>
      <c r="U68" t="str">
        <f t="shared" ca="1" si="20"/>
        <v>rg:False</v>
      </c>
      <c r="V68" t="str">
        <f t="shared" ca="1" si="21"/>
        <v>rg:None</v>
      </c>
      <c r="W68" t="s">
        <v>7137</v>
      </c>
      <c r="X68" t="s">
        <v>76</v>
      </c>
      <c r="Y68" t="s">
        <v>76</v>
      </c>
      <c r="Z68" t="s">
        <v>76</v>
      </c>
      <c r="AA68" t="s">
        <v>7484</v>
      </c>
      <c r="AB68" t="s">
        <v>7247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24"/>
        <v>12</v>
      </c>
      <c r="AH68" s="4">
        <f t="shared" si="25"/>
        <v>0.2</v>
      </c>
      <c r="AI68">
        <f t="shared" ca="1" si="26"/>
        <v>0</v>
      </c>
      <c r="AJ68">
        <f t="shared" ca="1" si="27"/>
        <v>0</v>
      </c>
      <c r="AK68">
        <f t="shared" ca="1" si="28"/>
        <v>0</v>
      </c>
      <c r="AL68" t="s">
        <v>326</v>
      </c>
      <c r="AO68" t="s">
        <v>76</v>
      </c>
      <c r="AP68" t="s">
        <v>6508</v>
      </c>
      <c r="AQ68" t="s">
        <v>6508</v>
      </c>
      <c r="AR68" t="s">
        <v>6508</v>
      </c>
      <c r="AS68" t="s">
        <v>6508</v>
      </c>
    </row>
    <row r="69" spans="1:45" x14ac:dyDescent="0.3">
      <c r="A69" t="s">
        <v>5628</v>
      </c>
      <c r="B69">
        <f t="shared" si="15"/>
        <v>200067</v>
      </c>
      <c r="C69">
        <v>200022</v>
      </c>
      <c r="D69" t="str">
        <f t="shared" si="16"/>
        <v>rg:{'id': '200022'}</v>
      </c>
      <c r="E69">
        <f>VLOOKUP(C69,Owners.csv!C:J,6,FALSE)</f>
        <v>200076</v>
      </c>
      <c r="F69">
        <f>VLOOKUP(VLOOKUP(E69,LocalAreas.csv!J:L,3,FALSE),ServiceAreas.csv!F:J,5,FALSE)</f>
        <v>10</v>
      </c>
      <c r="G69" t="str">
        <f t="shared" si="17"/>
        <v>rg:{'id': '200076'}</v>
      </c>
      <c r="H69" t="s">
        <v>7716</v>
      </c>
      <c r="I69" t="s">
        <v>5635</v>
      </c>
      <c r="J69">
        <f>VLOOKUP(I69&amp;"-"&amp;F69,DistrictEquipmentTypes.csv!J:K,2,FALSE)</f>
        <v>200001</v>
      </c>
      <c r="K69" t="str">
        <f t="shared" si="18"/>
        <v>rg:{'id': '200001'}</v>
      </c>
      <c r="L69">
        <f t="shared" si="19"/>
        <v>7</v>
      </c>
      <c r="M69" t="str">
        <f>VLOOKUP(C69,Owners.csv!C:K,9,FALSE)&amp;TEXT(Equipment.csv!L69,"0000")</f>
        <v>DEST0007</v>
      </c>
      <c r="N69" t="s">
        <v>5399</v>
      </c>
      <c r="O69" t="s">
        <v>6767</v>
      </c>
      <c r="P69">
        <v>1999</v>
      </c>
      <c r="Q69">
        <v>112</v>
      </c>
      <c r="R69" t="s">
        <v>6660</v>
      </c>
      <c r="S69" s="1">
        <v>40157</v>
      </c>
      <c r="T69" s="1">
        <v>40160</v>
      </c>
      <c r="U69" t="str">
        <f t="shared" ca="1" si="20"/>
        <v>rg:False</v>
      </c>
      <c r="V69" t="str">
        <f t="shared" ca="1" si="21"/>
        <v>rg:None</v>
      </c>
      <c r="W69" t="s">
        <v>7157</v>
      </c>
      <c r="X69" t="s">
        <v>76</v>
      </c>
      <c r="Y69" t="s">
        <v>76</v>
      </c>
      <c r="Z69" t="s">
        <v>76</v>
      </c>
      <c r="AA69" t="s">
        <v>7504</v>
      </c>
      <c r="AB69" t="s">
        <v>7338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24"/>
        <v>245.66666666666666</v>
      </c>
      <c r="AH69" s="4">
        <f t="shared" si="25"/>
        <v>6.3</v>
      </c>
      <c r="AI69">
        <f t="shared" ca="1" si="26"/>
        <v>30</v>
      </c>
      <c r="AJ69">
        <f t="shared" ca="1" si="27"/>
        <v>35</v>
      </c>
      <c r="AK69">
        <f t="shared" ca="1" si="28"/>
        <v>105</v>
      </c>
      <c r="AL69" t="s">
        <v>326</v>
      </c>
      <c r="AO69" t="s">
        <v>76</v>
      </c>
      <c r="AP69" t="s">
        <v>6508</v>
      </c>
      <c r="AQ69" t="s">
        <v>6508</v>
      </c>
      <c r="AR69" t="s">
        <v>6508</v>
      </c>
      <c r="AS69" t="s">
        <v>6508</v>
      </c>
    </row>
    <row r="70" spans="1:45" x14ac:dyDescent="0.3">
      <c r="A70" t="s">
        <v>5628</v>
      </c>
      <c r="B70">
        <f t="shared" si="15"/>
        <v>200068</v>
      </c>
      <c r="C70">
        <v>200022</v>
      </c>
      <c r="D70" t="str">
        <f t="shared" si="16"/>
        <v>rg:{'id': '200022'}</v>
      </c>
      <c r="E70">
        <f>VLOOKUP(C70,Owners.csv!C:J,6,FALSE)</f>
        <v>200076</v>
      </c>
      <c r="F70">
        <f>VLOOKUP(VLOOKUP(E70,LocalAreas.csv!J:L,3,FALSE),ServiceAreas.csv!F:J,5,FALSE)</f>
        <v>10</v>
      </c>
      <c r="G70" t="str">
        <f t="shared" si="17"/>
        <v>rg:{'id': '200076'}</v>
      </c>
      <c r="H70" t="s">
        <v>7641</v>
      </c>
      <c r="I70" t="s">
        <v>5534</v>
      </c>
      <c r="J70">
        <f>VLOOKUP(I70&amp;"-"&amp;F70,DistrictEquipmentTypes.csv!J:K,2,FALSE)</f>
        <v>200000</v>
      </c>
      <c r="K70" t="str">
        <f t="shared" si="18"/>
        <v>rg:{'id': '200000'}</v>
      </c>
      <c r="L70">
        <f t="shared" si="19"/>
        <v>8</v>
      </c>
      <c r="M70" t="str">
        <f>VLOOKUP(C70,Owners.csv!C:K,9,FALSE)&amp;TEXT(Equipment.csv!L70,"0000")</f>
        <v>DEST0008</v>
      </c>
      <c r="N70" t="s">
        <v>5399</v>
      </c>
      <c r="O70" t="s">
        <v>6782</v>
      </c>
      <c r="P70">
        <v>1995</v>
      </c>
      <c r="Q70">
        <v>127</v>
      </c>
      <c r="R70" t="s">
        <v>6660</v>
      </c>
      <c r="S70" s="1">
        <v>40951</v>
      </c>
      <c r="T70" s="1">
        <v>40962</v>
      </c>
      <c r="U70" t="str">
        <f t="shared" ca="1" si="20"/>
        <v>rg:False</v>
      </c>
      <c r="V70" t="str">
        <f t="shared" ca="1" si="21"/>
        <v>rg:None</v>
      </c>
      <c r="W70" t="s">
        <v>7172</v>
      </c>
      <c r="X70" t="s">
        <v>76</v>
      </c>
      <c r="Y70" t="s">
        <v>76</v>
      </c>
      <c r="Z70" t="s">
        <v>76</v>
      </c>
      <c r="AA70" t="s">
        <v>7519</v>
      </c>
      <c r="AB70" t="s">
        <v>7349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24"/>
        <v>176.5</v>
      </c>
      <c r="AH70" s="4">
        <f t="shared" si="25"/>
        <v>4.1055555555555552</v>
      </c>
      <c r="AI70">
        <f t="shared" ca="1" si="26"/>
        <v>5</v>
      </c>
      <c r="AJ70">
        <f t="shared" ca="1" si="27"/>
        <v>0</v>
      </c>
      <c r="AK70">
        <f t="shared" ca="1" si="28"/>
        <v>155</v>
      </c>
      <c r="AL70" t="s">
        <v>326</v>
      </c>
      <c r="AO70" t="s">
        <v>76</v>
      </c>
      <c r="AP70" t="s">
        <v>6508</v>
      </c>
      <c r="AQ70" t="s">
        <v>6508</v>
      </c>
      <c r="AR70" t="s">
        <v>6508</v>
      </c>
      <c r="AS70" t="s">
        <v>6508</v>
      </c>
    </row>
    <row r="71" spans="1:45" x14ac:dyDescent="0.3">
      <c r="A71" t="s">
        <v>5628</v>
      </c>
      <c r="B71">
        <f t="shared" si="15"/>
        <v>200069</v>
      </c>
      <c r="C71">
        <v>200023</v>
      </c>
      <c r="D71" t="str">
        <f t="shared" si="16"/>
        <v>rg:{'id': '200023'}</v>
      </c>
      <c r="E71">
        <f>VLOOKUP(C71,Owners.csv!C:J,6,FALSE)</f>
        <v>200076</v>
      </c>
      <c r="F71">
        <f>VLOOKUP(VLOOKUP(E71,LocalAreas.csv!J:L,3,FALSE),ServiceAreas.csv!F:J,5,FALSE)</f>
        <v>10</v>
      </c>
      <c r="G71" t="str">
        <f t="shared" si="17"/>
        <v>rg:{'id': '200076'}</v>
      </c>
      <c r="H71" t="s">
        <v>7663</v>
      </c>
      <c r="I71" t="s">
        <v>5640</v>
      </c>
      <c r="J71">
        <f>VLOOKUP(I71&amp;"-"&amp;F71,DistrictEquipmentTypes.csv!J:K,2,FALSE)</f>
        <v>200004</v>
      </c>
      <c r="K71" t="str">
        <f t="shared" si="18"/>
        <v>rg:{'id': '200004'}</v>
      </c>
      <c r="L71">
        <f t="shared" si="19"/>
        <v>1</v>
      </c>
      <c r="M71" t="str">
        <f>VLOOKUP(C71,Owners.csv!C:K,9,FALSE)&amp;TEXT(Equipment.csv!L71,"0000")</f>
        <v>EART0001</v>
      </c>
      <c r="N71" t="s">
        <v>5399</v>
      </c>
      <c r="O71" t="s">
        <v>6690</v>
      </c>
      <c r="P71">
        <v>1983</v>
      </c>
      <c r="Q71">
        <v>35</v>
      </c>
      <c r="R71" t="s">
        <v>6660</v>
      </c>
      <c r="S71" s="1">
        <v>40222</v>
      </c>
      <c r="T71" s="1">
        <v>40251</v>
      </c>
      <c r="U71" t="str">
        <f t="shared" ca="1" si="20"/>
        <v>rg:False</v>
      </c>
      <c r="V71" t="str">
        <f t="shared" ca="1" si="21"/>
        <v>rg:None</v>
      </c>
      <c r="W71" t="s">
        <v>7080</v>
      </c>
      <c r="X71" t="s">
        <v>76</v>
      </c>
      <c r="Y71" t="s">
        <v>76</v>
      </c>
      <c r="Z71" t="s">
        <v>76</v>
      </c>
      <c r="AA71" t="s">
        <v>7427</v>
      </c>
      <c r="AB71" t="s">
        <v>7277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42480</v>
      </c>
      <c r="AG71" s="4">
        <f t="shared" ca="1" si="24"/>
        <v>232.08333333333334</v>
      </c>
      <c r="AH71" s="4">
        <f t="shared" si="25"/>
        <v>6.0472222222222225</v>
      </c>
      <c r="AI71">
        <f t="shared" ca="1" si="26"/>
        <v>59</v>
      </c>
      <c r="AJ71">
        <f t="shared" ca="1" si="27"/>
        <v>64</v>
      </c>
      <c r="AK71">
        <f t="shared" ca="1" si="28"/>
        <v>29</v>
      </c>
      <c r="AL71" t="s">
        <v>326</v>
      </c>
      <c r="AO71" t="s">
        <v>76</v>
      </c>
      <c r="AP71" t="s">
        <v>6508</v>
      </c>
      <c r="AQ71" t="s">
        <v>6508</v>
      </c>
      <c r="AR71" t="s">
        <v>6508</v>
      </c>
      <c r="AS71" t="s">
        <v>6508</v>
      </c>
    </row>
    <row r="72" spans="1:45" x14ac:dyDescent="0.3">
      <c r="A72" t="s">
        <v>5628</v>
      </c>
      <c r="B72">
        <f t="shared" si="15"/>
        <v>200070</v>
      </c>
      <c r="C72">
        <v>200023</v>
      </c>
      <c r="D72" t="str">
        <f t="shared" si="16"/>
        <v>rg:{'id': '200023'}</v>
      </c>
      <c r="E72">
        <f>VLOOKUP(C72,Owners.csv!C:J,6,FALSE)</f>
        <v>200076</v>
      </c>
      <c r="F72">
        <f>VLOOKUP(VLOOKUP(E72,LocalAreas.csv!J:L,3,FALSE),ServiceAreas.csv!F:J,5,FALSE)</f>
        <v>10</v>
      </c>
      <c r="G72" t="str">
        <f t="shared" si="17"/>
        <v>rg:{'id': '200076'}</v>
      </c>
      <c r="H72" t="s">
        <v>7669</v>
      </c>
      <c r="I72" t="s">
        <v>5640</v>
      </c>
      <c r="J72">
        <f>VLOOKUP(I72&amp;"-"&amp;F72,DistrictEquipmentTypes.csv!J:K,2,FALSE)</f>
        <v>200004</v>
      </c>
      <c r="K72" t="str">
        <f t="shared" si="18"/>
        <v>rg:{'id': '200004'}</v>
      </c>
      <c r="L72">
        <f t="shared" si="19"/>
        <v>2</v>
      </c>
      <c r="M72" t="str">
        <f>VLOOKUP(C72,Owners.csv!C:K,9,FALSE)&amp;TEXT(Equipment.csv!L72,"0000")</f>
        <v>EART0002</v>
      </c>
      <c r="N72" t="s">
        <v>5399</v>
      </c>
      <c r="O72" t="s">
        <v>6700</v>
      </c>
      <c r="P72">
        <v>1978</v>
      </c>
      <c r="Q72">
        <v>45</v>
      </c>
      <c r="R72" t="s">
        <v>6660</v>
      </c>
      <c r="S72" s="1">
        <v>38912</v>
      </c>
      <c r="T72" s="1">
        <v>38922</v>
      </c>
      <c r="U72" t="str">
        <f t="shared" ca="1" si="20"/>
        <v>rg:False</v>
      </c>
      <c r="V72" t="str">
        <f t="shared" ca="1" si="21"/>
        <v>rg:None</v>
      </c>
      <c r="W72" t="s">
        <v>7090</v>
      </c>
      <c r="X72" t="s">
        <v>76</v>
      </c>
      <c r="Y72" t="s">
        <v>76</v>
      </c>
      <c r="Z72" t="s">
        <v>76</v>
      </c>
      <c r="AA72" t="s">
        <v>7437</v>
      </c>
      <c r="AB72" t="s">
        <v>7287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42461</v>
      </c>
      <c r="AG72" s="4">
        <f t="shared" ca="1" si="24"/>
        <v>402.58333333333337</v>
      </c>
      <c r="AH72" s="4">
        <f t="shared" si="25"/>
        <v>9.6861111111111118</v>
      </c>
      <c r="AI72">
        <f t="shared" ca="1" si="26"/>
        <v>188</v>
      </c>
      <c r="AJ72">
        <f t="shared" ca="1" si="27"/>
        <v>45</v>
      </c>
      <c r="AK72">
        <f t="shared" ca="1" si="28"/>
        <v>103</v>
      </c>
      <c r="AL72" t="s">
        <v>326</v>
      </c>
      <c r="AO72" t="s">
        <v>76</v>
      </c>
      <c r="AP72" t="s">
        <v>6508</v>
      </c>
      <c r="AQ72" t="s">
        <v>6508</v>
      </c>
      <c r="AR72" t="s">
        <v>6508</v>
      </c>
      <c r="AS72" t="s">
        <v>6508</v>
      </c>
    </row>
    <row r="73" spans="1:45" x14ac:dyDescent="0.3">
      <c r="A73" t="s">
        <v>5628</v>
      </c>
      <c r="B73">
        <f t="shared" si="15"/>
        <v>200071</v>
      </c>
      <c r="C73">
        <v>200023</v>
      </c>
      <c r="D73" t="str">
        <f t="shared" si="16"/>
        <v>rg:{'id': '200023'}</v>
      </c>
      <c r="E73">
        <f>VLOOKUP(C73,Owners.csv!C:J,6,FALSE)</f>
        <v>200076</v>
      </c>
      <c r="F73">
        <f>VLOOKUP(VLOOKUP(E73,LocalAreas.csv!J:L,3,FALSE),ServiceAreas.csv!F:J,5,FALSE)</f>
        <v>10</v>
      </c>
      <c r="G73" t="str">
        <f t="shared" si="17"/>
        <v>rg:{'id': '200076'}</v>
      </c>
      <c r="H73" t="s">
        <v>7676</v>
      </c>
      <c r="I73" t="s">
        <v>5638</v>
      </c>
      <c r="J73">
        <f>VLOOKUP(I73&amp;"-"&amp;F73,DistrictEquipmentTypes.csv!J:K,2,FALSE)</f>
        <v>200002</v>
      </c>
      <c r="K73" t="str">
        <f t="shared" si="18"/>
        <v>rg:{'id': '200002'}</v>
      </c>
      <c r="L73">
        <f t="shared" si="19"/>
        <v>3</v>
      </c>
      <c r="M73" t="str">
        <f>VLOOKUP(C73,Owners.csv!C:K,9,FALSE)&amp;TEXT(Equipment.csv!L73,"0000")</f>
        <v>EART0003</v>
      </c>
      <c r="N73" t="s">
        <v>5399</v>
      </c>
      <c r="O73" t="s">
        <v>6710</v>
      </c>
      <c r="P73">
        <v>1973</v>
      </c>
      <c r="Q73">
        <v>55</v>
      </c>
      <c r="R73" t="s">
        <v>6660</v>
      </c>
      <c r="S73" s="1">
        <v>38527</v>
      </c>
      <c r="T73" s="1">
        <v>38539</v>
      </c>
      <c r="U73" t="str">
        <f t="shared" ca="1" si="20"/>
        <v>rg:False</v>
      </c>
      <c r="V73" t="str">
        <f t="shared" ca="1" si="21"/>
        <v>rg:None</v>
      </c>
      <c r="W73" t="s">
        <v>7100</v>
      </c>
      <c r="X73" t="s">
        <v>76</v>
      </c>
      <c r="Y73" t="s">
        <v>76</v>
      </c>
      <c r="Z73" t="s">
        <v>76</v>
      </c>
      <c r="AA73" t="s">
        <v>7447</v>
      </c>
      <c r="AB73" t="s">
        <v>7295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24"/>
        <v>451.08333333333331</v>
      </c>
      <c r="AH73" s="4">
        <f t="shared" si="25"/>
        <v>10.736111111111111</v>
      </c>
      <c r="AI73">
        <f t="shared" ca="1" si="26"/>
        <v>154</v>
      </c>
      <c r="AJ73">
        <f t="shared" ca="1" si="27"/>
        <v>132</v>
      </c>
      <c r="AK73">
        <f t="shared" ca="1" si="28"/>
        <v>101</v>
      </c>
      <c r="AL73" t="s">
        <v>326</v>
      </c>
      <c r="AO73" t="s">
        <v>76</v>
      </c>
      <c r="AP73" t="s">
        <v>6508</v>
      </c>
      <c r="AQ73" t="s">
        <v>6508</v>
      </c>
      <c r="AR73" t="s">
        <v>6508</v>
      </c>
      <c r="AS73" t="s">
        <v>6508</v>
      </c>
    </row>
    <row r="74" spans="1:45" x14ac:dyDescent="0.3">
      <c r="A74" t="s">
        <v>5628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200076</v>
      </c>
      <c r="F74">
        <f>VLOOKUP(VLOOKUP(E74,LocalAreas.csv!J:L,3,FALSE),ServiceAreas.csv!F:J,5,FALSE)</f>
        <v>10</v>
      </c>
      <c r="G74" t="str">
        <f t="shared" si="17"/>
        <v>rg:{'id': '200076'}</v>
      </c>
      <c r="H74" t="s">
        <v>7684</v>
      </c>
      <c r="I74" t="s">
        <v>5638</v>
      </c>
      <c r="J74">
        <f>VLOOKUP(I74&amp;"-"&amp;F74,DistrictEquipmentTypes.csv!J:K,2,FALSE)</f>
        <v>200002</v>
      </c>
      <c r="K74" t="str">
        <f t="shared" si="18"/>
        <v>rg:{'id': '200002'}</v>
      </c>
      <c r="L74">
        <f t="shared" si="19"/>
        <v>4</v>
      </c>
      <c r="M74" t="str">
        <f>VLOOKUP(C74,Owners.csv!C:K,9,FALSE)&amp;TEXT(Equipment.csv!L74,"0000")</f>
        <v>EART0004</v>
      </c>
      <c r="N74" t="s">
        <v>5399</v>
      </c>
      <c r="O74" t="s">
        <v>6720</v>
      </c>
      <c r="P74">
        <v>1988</v>
      </c>
      <c r="Q74">
        <v>65</v>
      </c>
      <c r="R74" t="s">
        <v>6662</v>
      </c>
      <c r="S74" s="1">
        <v>39444</v>
      </c>
      <c r="T74" s="1">
        <v>39472</v>
      </c>
      <c r="U74" t="str">
        <f t="shared" ca="1" si="20"/>
        <v>rg:False</v>
      </c>
      <c r="V74" t="str">
        <f t="shared" ca="1" si="21"/>
        <v>rg:None</v>
      </c>
      <c r="W74" t="s">
        <v>7110</v>
      </c>
      <c r="X74" t="s">
        <v>76</v>
      </c>
      <c r="Y74" t="s">
        <v>76</v>
      </c>
      <c r="Z74" t="s">
        <v>76</v>
      </c>
      <c r="AA74" t="s">
        <v>7457</v>
      </c>
      <c r="AB74" t="s">
        <v>7302</v>
      </c>
      <c r="AC74">
        <v>0</v>
      </c>
      <c r="AD74" t="str">
        <f t="shared" ca="1" si="22"/>
        <v>rg:True</v>
      </c>
      <c r="AE74" t="str">
        <f t="shared" ca="1" si="23"/>
        <v>Seniority overridden to test things</v>
      </c>
      <c r="AF74" s="1">
        <v>42481</v>
      </c>
      <c r="AG74" s="4">
        <f t="shared" ca="1" si="24"/>
        <v>317.83333333333331</v>
      </c>
      <c r="AH74" s="4">
        <f t="shared" si="25"/>
        <v>8.1833333333333336</v>
      </c>
      <c r="AI74">
        <f t="shared" ca="1" si="26"/>
        <v>0</v>
      </c>
      <c r="AJ74">
        <f t="shared" ca="1" si="27"/>
        <v>22</v>
      </c>
      <c r="AK74">
        <f t="shared" ca="1" si="28"/>
        <v>195</v>
      </c>
      <c r="AL74" t="s">
        <v>326</v>
      </c>
      <c r="AO74" t="s">
        <v>76</v>
      </c>
      <c r="AP74" t="s">
        <v>6508</v>
      </c>
      <c r="AQ74" t="s">
        <v>6508</v>
      </c>
      <c r="AR74" t="s">
        <v>6508</v>
      </c>
      <c r="AS74" t="s">
        <v>6508</v>
      </c>
    </row>
    <row r="75" spans="1:45" x14ac:dyDescent="0.3">
      <c r="A75" t="s">
        <v>5628</v>
      </c>
      <c r="B75">
        <f t="shared" si="15"/>
        <v>200073</v>
      </c>
      <c r="C75">
        <v>200023</v>
      </c>
      <c r="D75" t="str">
        <f t="shared" si="16"/>
        <v>rg:{'id': '200023'}</v>
      </c>
      <c r="E75">
        <f>VLOOKUP(C75,Owners.csv!C:J,6,FALSE)</f>
        <v>200076</v>
      </c>
      <c r="F75">
        <f>VLOOKUP(VLOOKUP(E75,LocalAreas.csv!J:L,3,FALSE),ServiceAreas.csv!F:J,5,FALSE)</f>
        <v>10</v>
      </c>
      <c r="G75" t="str">
        <f t="shared" si="17"/>
        <v>rg:{'id': '200076'}</v>
      </c>
      <c r="H75" t="s">
        <v>7692</v>
      </c>
      <c r="I75" t="s">
        <v>5649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5</v>
      </c>
      <c r="M75" t="str">
        <f>VLOOKUP(C75,Owners.csv!C:K,9,FALSE)&amp;TEXT(Equipment.csv!L75,"0000")</f>
        <v>EART0005</v>
      </c>
      <c r="N75" t="s">
        <v>5399</v>
      </c>
      <c r="O75" t="s">
        <v>6728</v>
      </c>
      <c r="P75">
        <v>1991</v>
      </c>
      <c r="Q75">
        <v>73</v>
      </c>
      <c r="R75" t="s">
        <v>6660</v>
      </c>
      <c r="S75" s="1">
        <v>41775</v>
      </c>
      <c r="T75" s="1">
        <v>41782</v>
      </c>
      <c r="U75" t="str">
        <f t="shared" ca="1" si="20"/>
        <v>rg:False</v>
      </c>
      <c r="V75" t="str">
        <f t="shared" ca="1" si="21"/>
        <v>rg:None</v>
      </c>
      <c r="W75" t="s">
        <v>7118</v>
      </c>
      <c r="X75" t="s">
        <v>76</v>
      </c>
      <c r="Y75" t="s">
        <v>76</v>
      </c>
      <c r="Z75" t="s">
        <v>76</v>
      </c>
      <c r="AA75" t="s">
        <v>7465</v>
      </c>
      <c r="AB75" t="s">
        <v>7275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24"/>
        <v>132.66666666666669</v>
      </c>
      <c r="AH75" s="4">
        <f t="shared" si="25"/>
        <v>1.8555555555555556</v>
      </c>
      <c r="AI75">
        <f t="shared" ca="1" si="26"/>
        <v>64</v>
      </c>
      <c r="AJ75">
        <f t="shared" ca="1" si="27"/>
        <v>0</v>
      </c>
      <c r="AK75">
        <f t="shared" ca="1" si="28"/>
        <v>0</v>
      </c>
      <c r="AL75" t="s">
        <v>326</v>
      </c>
      <c r="AO75" t="s">
        <v>76</v>
      </c>
      <c r="AP75" t="s">
        <v>6508</v>
      </c>
      <c r="AQ75" t="s">
        <v>6508</v>
      </c>
      <c r="AR75" t="s">
        <v>6508</v>
      </c>
      <c r="AS75" t="s">
        <v>6508</v>
      </c>
    </row>
    <row r="76" spans="1:45" x14ac:dyDescent="0.3">
      <c r="A76" t="s">
        <v>5628</v>
      </c>
      <c r="B76">
        <f t="shared" si="15"/>
        <v>200074</v>
      </c>
      <c r="C76">
        <v>200023</v>
      </c>
      <c r="D76" t="str">
        <f t="shared" si="16"/>
        <v>rg:{'id': '200023'}</v>
      </c>
      <c r="E76">
        <f>VLOOKUP(C76,Owners.csv!C:J,6,FALSE)</f>
        <v>200076</v>
      </c>
      <c r="F76">
        <f>VLOOKUP(VLOOKUP(E76,LocalAreas.csv!J:L,3,FALSE),ServiceAreas.csv!F:J,5,FALSE)</f>
        <v>10</v>
      </c>
      <c r="G76" t="str">
        <f t="shared" si="17"/>
        <v>rg:{'id': '200076'}</v>
      </c>
      <c r="H76" t="s">
        <v>7676</v>
      </c>
      <c r="I76" t="s">
        <v>5649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6</v>
      </c>
      <c r="M76" t="str">
        <f>VLOOKUP(C76,Owners.csv!C:K,9,FALSE)&amp;TEXT(Equipment.csv!L76,"0000")</f>
        <v>EART0006</v>
      </c>
      <c r="N76" t="s">
        <v>5399</v>
      </c>
      <c r="O76" t="s">
        <v>6748</v>
      </c>
      <c r="P76">
        <v>1996</v>
      </c>
      <c r="Q76">
        <v>93</v>
      </c>
      <c r="R76" t="s">
        <v>6660</v>
      </c>
      <c r="S76" s="1">
        <v>40890</v>
      </c>
      <c r="T76" s="1">
        <v>40893</v>
      </c>
      <c r="U76" t="str">
        <f t="shared" ca="1" si="20"/>
        <v>rg:False</v>
      </c>
      <c r="V76" t="str">
        <f t="shared" ca="1" si="21"/>
        <v>rg:None</v>
      </c>
      <c r="W76" t="s">
        <v>7138</v>
      </c>
      <c r="X76" t="s">
        <v>76</v>
      </c>
      <c r="Y76" t="s">
        <v>76</v>
      </c>
      <c r="Z76" t="s">
        <v>76</v>
      </c>
      <c r="AA76" t="s">
        <v>7485</v>
      </c>
      <c r="AB76" t="s">
        <v>7323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24"/>
        <v>310.16666666666669</v>
      </c>
      <c r="AH76" s="4">
        <f t="shared" si="25"/>
        <v>4.291666666666667</v>
      </c>
      <c r="AI76">
        <f t="shared" ca="1" si="26"/>
        <v>51</v>
      </c>
      <c r="AJ76">
        <f t="shared" ca="1" si="27"/>
        <v>42</v>
      </c>
      <c r="AK76">
        <f t="shared" ca="1" si="28"/>
        <v>65</v>
      </c>
      <c r="AL76" t="s">
        <v>326</v>
      </c>
      <c r="AO76" t="s">
        <v>76</v>
      </c>
      <c r="AP76" t="s">
        <v>6508</v>
      </c>
      <c r="AQ76" t="s">
        <v>6508</v>
      </c>
      <c r="AR76" t="s">
        <v>6508</v>
      </c>
      <c r="AS76" t="s">
        <v>6508</v>
      </c>
    </row>
    <row r="77" spans="1:45" x14ac:dyDescent="0.3">
      <c r="A77" t="s">
        <v>5628</v>
      </c>
      <c r="B77">
        <f t="shared" si="15"/>
        <v>200075</v>
      </c>
      <c r="C77">
        <v>200023</v>
      </c>
      <c r="D77" t="str">
        <f t="shared" si="16"/>
        <v>rg:{'id': '200023'}</v>
      </c>
      <c r="E77">
        <f>VLOOKUP(C77,Owners.csv!C:J,6,FALSE)</f>
        <v>200076</v>
      </c>
      <c r="F77">
        <f>VLOOKUP(VLOOKUP(E77,LocalAreas.csv!J:L,3,FALSE),ServiceAreas.csv!F:J,5,FALSE)</f>
        <v>10</v>
      </c>
      <c r="G77" t="str">
        <f t="shared" si="17"/>
        <v>rg:{'id': '200076'}</v>
      </c>
      <c r="H77" t="s">
        <v>7710</v>
      </c>
      <c r="I77" t="s">
        <v>5635</v>
      </c>
      <c r="J77">
        <f>VLOOKUP(I77&amp;"-"&amp;F77,DistrictEquipmentTypes.csv!J:K,2,FALSE)</f>
        <v>200001</v>
      </c>
      <c r="K77" t="str">
        <f t="shared" si="18"/>
        <v>rg:{'id': '200001'}</v>
      </c>
      <c r="L77">
        <f t="shared" si="19"/>
        <v>7</v>
      </c>
      <c r="M77" t="str">
        <f>VLOOKUP(C77,Owners.csv!C:K,9,FALSE)&amp;TEXT(Equipment.csv!L77,"0000")</f>
        <v>EART0007</v>
      </c>
      <c r="N77" t="s">
        <v>5399</v>
      </c>
      <c r="O77" t="s">
        <v>6768</v>
      </c>
      <c r="P77">
        <v>2005</v>
      </c>
      <c r="Q77">
        <v>113</v>
      </c>
      <c r="R77" t="s">
        <v>6660</v>
      </c>
      <c r="S77" s="1">
        <v>39237</v>
      </c>
      <c r="T77" s="1">
        <v>39258</v>
      </c>
      <c r="U77" t="str">
        <f t="shared" ca="1" si="20"/>
        <v>rg:False</v>
      </c>
      <c r="V77" t="str">
        <f t="shared" ca="1" si="21"/>
        <v>rg:None</v>
      </c>
      <c r="W77" t="s">
        <v>7158</v>
      </c>
      <c r="X77" t="s">
        <v>76</v>
      </c>
      <c r="Y77" t="s">
        <v>76</v>
      </c>
      <c r="Z77" t="s">
        <v>76</v>
      </c>
      <c r="AA77" t="s">
        <v>7505</v>
      </c>
      <c r="AB77" t="s">
        <v>7339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24"/>
        <v>360.66666666666669</v>
      </c>
      <c r="AH77" s="4">
        <f t="shared" si="25"/>
        <v>8.7666666666666675</v>
      </c>
      <c r="AI77">
        <f t="shared" ca="1" si="26"/>
        <v>146</v>
      </c>
      <c r="AJ77">
        <f t="shared" ca="1" si="27"/>
        <v>113</v>
      </c>
      <c r="AK77">
        <f t="shared" ca="1" si="28"/>
        <v>34</v>
      </c>
      <c r="AL77" t="s">
        <v>326</v>
      </c>
      <c r="AO77" t="s">
        <v>76</v>
      </c>
      <c r="AP77" t="s">
        <v>6508</v>
      </c>
      <c r="AQ77" t="s">
        <v>6508</v>
      </c>
      <c r="AR77" t="s">
        <v>6508</v>
      </c>
      <c r="AS77" t="s">
        <v>6508</v>
      </c>
    </row>
    <row r="78" spans="1:45" x14ac:dyDescent="0.3">
      <c r="A78" t="s">
        <v>5628</v>
      </c>
      <c r="B78">
        <f t="shared" si="15"/>
        <v>200076</v>
      </c>
      <c r="C78">
        <v>200023</v>
      </c>
      <c r="D78" t="str">
        <f t="shared" si="16"/>
        <v>rg:{'id': '200023'}</v>
      </c>
      <c r="E78">
        <f>VLOOKUP(C78,Owners.csv!C:J,6,FALSE)</f>
        <v>200076</v>
      </c>
      <c r="F78">
        <f>VLOOKUP(VLOOKUP(E78,LocalAreas.csv!J:L,3,FALSE),ServiceAreas.csv!F:J,5,FALSE)</f>
        <v>10</v>
      </c>
      <c r="G78" t="str">
        <f t="shared" si="17"/>
        <v>rg:{'id': '200076'}</v>
      </c>
      <c r="H78" t="s">
        <v>7725</v>
      </c>
      <c r="I78" t="s">
        <v>5534</v>
      </c>
      <c r="J78">
        <f>VLOOKUP(I78&amp;"-"&amp;F78,DistrictEquipmentTypes.csv!J:K,2,FALSE)</f>
        <v>200000</v>
      </c>
      <c r="K78" t="str">
        <f t="shared" si="18"/>
        <v>rg:{'id': '200000'}</v>
      </c>
      <c r="L78">
        <f t="shared" si="19"/>
        <v>8</v>
      </c>
      <c r="M78" t="str">
        <f>VLOOKUP(C78,Owners.csv!C:K,9,FALSE)&amp;TEXT(Equipment.csv!L78,"0000")</f>
        <v>EART0008</v>
      </c>
      <c r="N78" t="s">
        <v>5399</v>
      </c>
      <c r="O78" t="s">
        <v>6783</v>
      </c>
      <c r="P78">
        <v>2000</v>
      </c>
      <c r="Q78">
        <v>128</v>
      </c>
      <c r="R78" t="s">
        <v>6660</v>
      </c>
      <c r="S78" s="1">
        <v>40569</v>
      </c>
      <c r="T78" s="1">
        <v>40575</v>
      </c>
      <c r="U78" t="str">
        <f t="shared" ca="1" si="20"/>
        <v>rg:False</v>
      </c>
      <c r="V78" t="str">
        <f t="shared" ca="1" si="21"/>
        <v>rg:None</v>
      </c>
      <c r="W78" t="s">
        <v>7173</v>
      </c>
      <c r="X78" t="s">
        <v>76</v>
      </c>
      <c r="Y78" t="s">
        <v>76</v>
      </c>
      <c r="Z78" t="s">
        <v>76</v>
      </c>
      <c r="AA78" t="s">
        <v>7520</v>
      </c>
      <c r="AB78" t="s">
        <v>7350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24"/>
        <v>225.66666666666669</v>
      </c>
      <c r="AH78" s="4">
        <f t="shared" si="25"/>
        <v>5.166666666666667</v>
      </c>
      <c r="AI78">
        <f t="shared" ca="1" si="26"/>
        <v>5</v>
      </c>
      <c r="AJ78">
        <f t="shared" ca="1" si="27"/>
        <v>113</v>
      </c>
      <c r="AK78">
        <f t="shared" ca="1" si="28"/>
        <v>94</v>
      </c>
      <c r="AL78" t="s">
        <v>326</v>
      </c>
      <c r="AO78" t="s">
        <v>76</v>
      </c>
      <c r="AP78" t="s">
        <v>6508</v>
      </c>
      <c r="AQ78" t="s">
        <v>6508</v>
      </c>
      <c r="AR78" t="s">
        <v>6508</v>
      </c>
      <c r="AS78" t="s">
        <v>6508</v>
      </c>
    </row>
    <row r="79" spans="1:45" x14ac:dyDescent="0.3">
      <c r="A79" t="s">
        <v>5628</v>
      </c>
      <c r="B79">
        <f t="shared" si="15"/>
        <v>200077</v>
      </c>
      <c r="C79">
        <v>200024</v>
      </c>
      <c r="D79" t="str">
        <f t="shared" si="16"/>
        <v>rg:{'id': '200024'}</v>
      </c>
      <c r="E79">
        <f>VLOOKUP(C79,Owners.csv!C:J,6,FALSE)</f>
        <v>200076</v>
      </c>
      <c r="F79">
        <f>VLOOKUP(VLOOKUP(E79,LocalAreas.csv!J:L,3,FALSE),ServiceAreas.csv!F:J,5,FALSE)</f>
        <v>10</v>
      </c>
      <c r="G79" t="str">
        <f t="shared" si="17"/>
        <v>rg:{'id': '200076'}</v>
      </c>
      <c r="H79" t="s">
        <v>7637</v>
      </c>
      <c r="I79" t="s">
        <v>5640</v>
      </c>
      <c r="J79">
        <f>VLOOKUP(I79&amp;"-"&amp;F79,DistrictEquipmentTypes.csv!J:K,2,FALSE)</f>
        <v>200004</v>
      </c>
      <c r="K79" t="str">
        <f t="shared" si="18"/>
        <v>rg:{'id': '200004'}</v>
      </c>
      <c r="L79">
        <f t="shared" si="19"/>
        <v>1</v>
      </c>
      <c r="M79" t="str">
        <f>VLOOKUP(C79,Owners.csv!C:K,9,FALSE)&amp;TEXT(Equipment.csv!L79,"0000")</f>
        <v>EDWA0001</v>
      </c>
      <c r="N79" t="s">
        <v>5399</v>
      </c>
      <c r="O79" t="s">
        <v>6691</v>
      </c>
      <c r="P79">
        <v>1998</v>
      </c>
      <c r="Q79">
        <v>36</v>
      </c>
      <c r="R79" t="s">
        <v>6661</v>
      </c>
      <c r="S79" s="1">
        <v>39443</v>
      </c>
      <c r="T79" s="1">
        <v>39458</v>
      </c>
      <c r="U79" t="str">
        <f t="shared" ca="1" si="20"/>
        <v>rg:False</v>
      </c>
      <c r="V79" t="str">
        <f t="shared" ca="1" si="21"/>
        <v>rg:None</v>
      </c>
      <c r="W79" t="s">
        <v>7081</v>
      </c>
      <c r="X79" t="s">
        <v>76</v>
      </c>
      <c r="Y79" t="s">
        <v>76</v>
      </c>
      <c r="Z79" t="s">
        <v>76</v>
      </c>
      <c r="AA79" t="s">
        <v>7428</v>
      </c>
      <c r="AB79" t="s">
        <v>7278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42480</v>
      </c>
      <c r="AG79" s="4">
        <f t="shared" ca="1" si="24"/>
        <v>347.99999999999994</v>
      </c>
      <c r="AH79" s="4">
        <f t="shared" si="25"/>
        <v>8.2222222222222214</v>
      </c>
      <c r="AI79">
        <f t="shared" ca="1" si="26"/>
        <v>84</v>
      </c>
      <c r="AJ79">
        <f t="shared" ca="1" si="27"/>
        <v>199</v>
      </c>
      <c r="AK79">
        <f t="shared" ca="1" si="28"/>
        <v>21</v>
      </c>
      <c r="AL79" t="s">
        <v>326</v>
      </c>
      <c r="AO79" t="s">
        <v>76</v>
      </c>
      <c r="AP79" t="s">
        <v>6508</v>
      </c>
      <c r="AQ79" t="s">
        <v>6508</v>
      </c>
      <c r="AR79" t="s">
        <v>6508</v>
      </c>
      <c r="AS79" t="s">
        <v>6508</v>
      </c>
    </row>
    <row r="80" spans="1:45" x14ac:dyDescent="0.3">
      <c r="A80" t="s">
        <v>5628</v>
      </c>
      <c r="B80">
        <f t="shared" si="15"/>
        <v>200078</v>
      </c>
      <c r="C80">
        <v>200024</v>
      </c>
      <c r="D80" t="str">
        <f t="shared" si="16"/>
        <v>rg:{'id': '200024'}</v>
      </c>
      <c r="E80">
        <f>VLOOKUP(C80,Owners.csv!C:J,6,FALSE)</f>
        <v>200076</v>
      </c>
      <c r="F80">
        <f>VLOOKUP(VLOOKUP(E80,LocalAreas.csv!J:L,3,FALSE),ServiceAreas.csv!F:J,5,FALSE)</f>
        <v>10</v>
      </c>
      <c r="G80" t="str">
        <f t="shared" si="17"/>
        <v>rg:{'id': '200076'}</v>
      </c>
      <c r="H80" t="s">
        <v>7670</v>
      </c>
      <c r="I80" t="s">
        <v>5640</v>
      </c>
      <c r="J80">
        <f>VLOOKUP(I80&amp;"-"&amp;F80,DistrictEquipmentTypes.csv!J:K,2,FALSE)</f>
        <v>200004</v>
      </c>
      <c r="K80" t="str">
        <f t="shared" si="18"/>
        <v>rg:{'id': '200004'}</v>
      </c>
      <c r="L80">
        <f t="shared" si="19"/>
        <v>2</v>
      </c>
      <c r="M80" t="str">
        <f>VLOOKUP(C80,Owners.csv!C:K,9,FALSE)&amp;TEXT(Equipment.csv!L80,"0000")</f>
        <v>EDWA0002</v>
      </c>
      <c r="N80" t="s">
        <v>5399</v>
      </c>
      <c r="O80" t="s">
        <v>6701</v>
      </c>
      <c r="P80">
        <v>1997</v>
      </c>
      <c r="Q80">
        <v>46</v>
      </c>
      <c r="R80" t="s">
        <v>6660</v>
      </c>
      <c r="S80" s="1">
        <v>41589</v>
      </c>
      <c r="T80" s="1">
        <v>41603</v>
      </c>
      <c r="U80" t="str">
        <f t="shared" ca="1" si="20"/>
        <v>rg:False</v>
      </c>
      <c r="V80" t="str">
        <f t="shared" ca="1" si="21"/>
        <v>rg:None</v>
      </c>
      <c r="W80" t="s">
        <v>7091</v>
      </c>
      <c r="X80" t="s">
        <v>76</v>
      </c>
      <c r="Y80" t="s">
        <v>76</v>
      </c>
      <c r="Z80" t="s">
        <v>76</v>
      </c>
      <c r="AA80" t="s">
        <v>7438</v>
      </c>
      <c r="AB80" t="s">
        <v>7288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24"/>
        <v>98.833333333333329</v>
      </c>
      <c r="AH80" s="4">
        <f t="shared" si="25"/>
        <v>2.35</v>
      </c>
      <c r="AI80">
        <f t="shared" ca="1" si="26"/>
        <v>72</v>
      </c>
      <c r="AJ80">
        <f t="shared" ca="1" si="27"/>
        <v>13</v>
      </c>
      <c r="AK80">
        <f t="shared" ca="1" si="28"/>
        <v>0</v>
      </c>
      <c r="AL80" t="s">
        <v>326</v>
      </c>
      <c r="AO80" t="s">
        <v>76</v>
      </c>
      <c r="AP80" t="s">
        <v>6508</v>
      </c>
      <c r="AQ80" t="s">
        <v>6508</v>
      </c>
      <c r="AR80" t="s">
        <v>6508</v>
      </c>
      <c r="AS80" t="s">
        <v>6508</v>
      </c>
    </row>
    <row r="81" spans="1:45" x14ac:dyDescent="0.3">
      <c r="A81" t="s">
        <v>5628</v>
      </c>
      <c r="B81">
        <f t="shared" si="15"/>
        <v>200079</v>
      </c>
      <c r="C81">
        <v>200024</v>
      </c>
      <c r="D81" t="str">
        <f t="shared" si="16"/>
        <v>rg:{'id': '200024'}</v>
      </c>
      <c r="E81">
        <f>VLOOKUP(C81,Owners.csv!C:J,6,FALSE)</f>
        <v>200076</v>
      </c>
      <c r="F81">
        <f>VLOOKUP(VLOOKUP(E81,LocalAreas.csv!J:L,3,FALSE),ServiceAreas.csv!F:J,5,FALSE)</f>
        <v>10</v>
      </c>
      <c r="G81" t="str">
        <f t="shared" si="17"/>
        <v>rg:{'id': '200076'}</v>
      </c>
      <c r="H81" t="s">
        <v>7677</v>
      </c>
      <c r="I81" t="s">
        <v>5638</v>
      </c>
      <c r="J81">
        <f>VLOOKUP(I81&amp;"-"&amp;F81,DistrictEquipmentTypes.csv!J:K,2,FALSE)</f>
        <v>200002</v>
      </c>
      <c r="K81" t="str">
        <f t="shared" si="18"/>
        <v>rg:{'id': '200002'}</v>
      </c>
      <c r="L81">
        <f t="shared" si="19"/>
        <v>3</v>
      </c>
      <c r="M81" t="str">
        <f>VLOOKUP(C81,Owners.csv!C:K,9,FALSE)&amp;TEXT(Equipment.csv!L81,"0000")</f>
        <v>EDWA0003</v>
      </c>
      <c r="N81" t="s">
        <v>5399</v>
      </c>
      <c r="O81" t="s">
        <v>6711</v>
      </c>
      <c r="P81">
        <v>2014</v>
      </c>
      <c r="Q81">
        <v>56</v>
      </c>
      <c r="R81" t="s">
        <v>6660</v>
      </c>
      <c r="S81" s="1">
        <v>41744</v>
      </c>
      <c r="T81" s="1">
        <v>41751</v>
      </c>
      <c r="U81" t="str">
        <f t="shared" ca="1" si="20"/>
        <v>rg:False</v>
      </c>
      <c r="V81" t="str">
        <f t="shared" ca="1" si="21"/>
        <v>rg:None</v>
      </c>
      <c r="W81" t="s">
        <v>7101</v>
      </c>
      <c r="X81" t="s">
        <v>76</v>
      </c>
      <c r="Y81" t="s">
        <v>76</v>
      </c>
      <c r="Z81" t="s">
        <v>76</v>
      </c>
      <c r="AA81" t="s">
        <v>7448</v>
      </c>
      <c r="AB81" t="s">
        <v>7296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24"/>
        <v>88.916666666666671</v>
      </c>
      <c r="AH81" s="4">
        <f t="shared" si="25"/>
        <v>1.9416666666666667</v>
      </c>
      <c r="AI81">
        <f t="shared" ca="1" si="26"/>
        <v>92</v>
      </c>
      <c r="AJ81">
        <f t="shared" ca="1" si="27"/>
        <v>0</v>
      </c>
      <c r="AK81">
        <f t="shared" ca="1" si="28"/>
        <v>0</v>
      </c>
      <c r="AL81" t="s">
        <v>5687</v>
      </c>
      <c r="AM81" t="s">
        <v>6880</v>
      </c>
      <c r="AN81" s="1">
        <v>42423</v>
      </c>
      <c r="AO81" t="s">
        <v>76</v>
      </c>
      <c r="AP81" t="s">
        <v>6508</v>
      </c>
      <c r="AQ81" t="s">
        <v>6508</v>
      </c>
      <c r="AR81" t="s">
        <v>6508</v>
      </c>
      <c r="AS81" t="s">
        <v>6508</v>
      </c>
    </row>
    <row r="82" spans="1:45" x14ac:dyDescent="0.3">
      <c r="A82" t="s">
        <v>5628</v>
      </c>
      <c r="B82">
        <f t="shared" si="15"/>
        <v>200080</v>
      </c>
      <c r="C82">
        <v>200024</v>
      </c>
      <c r="D82" t="str">
        <f t="shared" si="16"/>
        <v>rg:{'id': '200024'}</v>
      </c>
      <c r="E82">
        <f>VLOOKUP(C82,Owners.csv!C:J,6,FALSE)</f>
        <v>200076</v>
      </c>
      <c r="F82">
        <f>VLOOKUP(VLOOKUP(E82,LocalAreas.csv!J:L,3,FALSE),ServiceAreas.csv!F:J,5,FALSE)</f>
        <v>10</v>
      </c>
      <c r="G82" t="str">
        <f t="shared" si="17"/>
        <v>rg:{'id': '200076'}</v>
      </c>
      <c r="H82" t="s">
        <v>7685</v>
      </c>
      <c r="I82" t="s">
        <v>5638</v>
      </c>
      <c r="J82">
        <f>VLOOKUP(I82&amp;"-"&amp;F82,DistrictEquipmentTypes.csv!J:K,2,FALSE)</f>
        <v>200002</v>
      </c>
      <c r="K82" t="str">
        <f t="shared" si="18"/>
        <v>rg:{'id': '200002'}</v>
      </c>
      <c r="L82">
        <f t="shared" si="19"/>
        <v>4</v>
      </c>
      <c r="M82" t="str">
        <f>VLOOKUP(C82,Owners.csv!C:K,9,FALSE)&amp;TEXT(Equipment.csv!L82,"0000")</f>
        <v>EDWA0004</v>
      </c>
      <c r="N82" t="s">
        <v>5399</v>
      </c>
      <c r="O82" t="s">
        <v>6721</v>
      </c>
      <c r="P82">
        <v>2013</v>
      </c>
      <c r="Q82">
        <v>66</v>
      </c>
      <c r="R82" t="s">
        <v>6660</v>
      </c>
      <c r="S82" s="1">
        <v>38273</v>
      </c>
      <c r="T82" s="1">
        <v>38277</v>
      </c>
      <c r="U82" t="str">
        <f t="shared" ca="1" si="20"/>
        <v>rg:False</v>
      </c>
      <c r="V82" t="str">
        <f t="shared" ca="1" si="21"/>
        <v>rg:None</v>
      </c>
      <c r="W82" t="s">
        <v>7111</v>
      </c>
      <c r="X82" t="s">
        <v>76</v>
      </c>
      <c r="Y82" t="s">
        <v>76</v>
      </c>
      <c r="Z82" t="s">
        <v>76</v>
      </c>
      <c r="AA82" t="s">
        <v>7458</v>
      </c>
      <c r="AB82" t="s">
        <v>7303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24"/>
        <v>369.66666666666669</v>
      </c>
      <c r="AH82" s="4">
        <f t="shared" si="25"/>
        <v>11.455555555555556</v>
      </c>
      <c r="AI82">
        <f t="shared" ca="1" si="26"/>
        <v>44</v>
      </c>
      <c r="AJ82">
        <f t="shared" ca="1" si="27"/>
        <v>0</v>
      </c>
      <c r="AK82">
        <f t="shared" ca="1" si="28"/>
        <v>34</v>
      </c>
      <c r="AL82" t="s">
        <v>326</v>
      </c>
      <c r="AO82" t="s">
        <v>76</v>
      </c>
      <c r="AP82" t="s">
        <v>6508</v>
      </c>
      <c r="AQ82" t="s">
        <v>6508</v>
      </c>
      <c r="AR82" t="s">
        <v>6508</v>
      </c>
      <c r="AS82" t="s">
        <v>6508</v>
      </c>
    </row>
    <row r="83" spans="1:45" x14ac:dyDescent="0.3">
      <c r="A83" t="s">
        <v>5628</v>
      </c>
      <c r="B83">
        <f t="shared" si="15"/>
        <v>200081</v>
      </c>
      <c r="C83">
        <v>200024</v>
      </c>
      <c r="D83" t="str">
        <f t="shared" si="16"/>
        <v>rg:{'id': '200024'}</v>
      </c>
      <c r="E83">
        <f>VLOOKUP(C83,Owners.csv!C:J,6,FALSE)</f>
        <v>200076</v>
      </c>
      <c r="F83">
        <f>VLOOKUP(VLOOKUP(E83,LocalAreas.csv!J:L,3,FALSE),ServiceAreas.csv!F:J,5,FALSE)</f>
        <v>10</v>
      </c>
      <c r="G83" t="str">
        <f t="shared" si="17"/>
        <v>rg:{'id': '200076'}</v>
      </c>
      <c r="H83" t="s">
        <v>7693</v>
      </c>
      <c r="I83" t="s">
        <v>5649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5</v>
      </c>
      <c r="M83" t="str">
        <f>VLOOKUP(C83,Owners.csv!C:K,9,FALSE)&amp;TEXT(Equipment.csv!L83,"0000")</f>
        <v>EDWA0005</v>
      </c>
      <c r="N83" t="s">
        <v>5399</v>
      </c>
      <c r="O83" t="s">
        <v>6729</v>
      </c>
      <c r="P83">
        <v>2007</v>
      </c>
      <c r="Q83">
        <v>74</v>
      </c>
      <c r="R83" t="s">
        <v>6660</v>
      </c>
      <c r="S83" s="1">
        <v>40622</v>
      </c>
      <c r="T83" s="1">
        <v>40645</v>
      </c>
      <c r="U83" t="str">
        <f t="shared" ca="1" si="20"/>
        <v>rg:False</v>
      </c>
      <c r="V83" t="str">
        <f t="shared" ca="1" si="21"/>
        <v>rg:None</v>
      </c>
      <c r="W83" t="s">
        <v>7119</v>
      </c>
      <c r="X83" t="s">
        <v>76</v>
      </c>
      <c r="Y83" t="s">
        <v>76</v>
      </c>
      <c r="Z83" t="s">
        <v>76</v>
      </c>
      <c r="AA83" t="s">
        <v>7466</v>
      </c>
      <c r="AB83" t="s">
        <v>7308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24"/>
        <v>405.16666666666663</v>
      </c>
      <c r="AH83" s="4">
        <f t="shared" si="25"/>
        <v>4.9694444444444441</v>
      </c>
      <c r="AI83">
        <f t="shared" ca="1" si="26"/>
        <v>93</v>
      </c>
      <c r="AJ83">
        <f t="shared" ca="1" si="27"/>
        <v>198</v>
      </c>
      <c r="AK83">
        <f t="shared" ca="1" si="28"/>
        <v>30</v>
      </c>
      <c r="AL83" t="s">
        <v>326</v>
      </c>
      <c r="AO83" t="s">
        <v>76</v>
      </c>
      <c r="AP83" t="s">
        <v>6508</v>
      </c>
      <c r="AQ83" t="s">
        <v>6508</v>
      </c>
      <c r="AR83" t="s">
        <v>6508</v>
      </c>
      <c r="AS83" t="s">
        <v>6508</v>
      </c>
    </row>
    <row r="84" spans="1:45" x14ac:dyDescent="0.3">
      <c r="A84" t="s">
        <v>5628</v>
      </c>
      <c r="B84">
        <f t="shared" si="15"/>
        <v>200082</v>
      </c>
      <c r="C84">
        <v>200024</v>
      </c>
      <c r="D84" t="str">
        <f t="shared" si="16"/>
        <v>rg:{'id': '200024'}</v>
      </c>
      <c r="E84">
        <f>VLOOKUP(C84,Owners.csv!C:J,6,FALSE)</f>
        <v>200076</v>
      </c>
      <c r="F84">
        <f>VLOOKUP(VLOOKUP(E84,LocalAreas.csv!J:L,3,FALSE),ServiceAreas.csv!F:J,5,FALSE)</f>
        <v>10</v>
      </c>
      <c r="G84" t="str">
        <f t="shared" si="17"/>
        <v>rg:{'id': '200076'}</v>
      </c>
      <c r="H84" t="s">
        <v>7704</v>
      </c>
      <c r="I84" t="s">
        <v>5649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6</v>
      </c>
      <c r="M84" t="str">
        <f>VLOOKUP(C84,Owners.csv!C:K,9,FALSE)&amp;TEXT(Equipment.csv!L84,"0000")</f>
        <v>EDWA0006</v>
      </c>
      <c r="N84" t="s">
        <v>5399</v>
      </c>
      <c r="O84" t="s">
        <v>6749</v>
      </c>
      <c r="P84">
        <v>1999</v>
      </c>
      <c r="Q84">
        <v>94</v>
      </c>
      <c r="R84" t="s">
        <v>6660</v>
      </c>
      <c r="S84" s="1">
        <v>40433</v>
      </c>
      <c r="T84" s="1">
        <v>40451</v>
      </c>
      <c r="U84" t="str">
        <f t="shared" ca="1" si="20"/>
        <v>rg:False</v>
      </c>
      <c r="V84" t="str">
        <f t="shared" ca="1" si="21"/>
        <v>rg:None</v>
      </c>
      <c r="W84" t="s">
        <v>7139</v>
      </c>
      <c r="X84" t="s">
        <v>76</v>
      </c>
      <c r="Y84" t="s">
        <v>76</v>
      </c>
      <c r="Z84" t="s">
        <v>76</v>
      </c>
      <c r="AA84" t="s">
        <v>7486</v>
      </c>
      <c r="AB84" t="s">
        <v>7289</v>
      </c>
      <c r="AC84">
        <v>0</v>
      </c>
      <c r="AD84" t="str">
        <f t="shared" ca="1" si="22"/>
        <v>rg:True</v>
      </c>
      <c r="AE84" t="str">
        <f t="shared" ca="1" si="23"/>
        <v>Seniority overridden to test things</v>
      </c>
      <c r="AF84" s="1">
        <v>42481</v>
      </c>
      <c r="AG84" s="4">
        <f t="shared" ca="1" si="24"/>
        <v>427.16666666666669</v>
      </c>
      <c r="AH84" s="4">
        <f t="shared" si="25"/>
        <v>5.5027777777777782</v>
      </c>
      <c r="AI84">
        <f t="shared" ca="1" si="26"/>
        <v>104</v>
      </c>
      <c r="AJ84">
        <f t="shared" ca="1" si="27"/>
        <v>64</v>
      </c>
      <c r="AK84">
        <f t="shared" ca="1" si="28"/>
        <v>123</v>
      </c>
      <c r="AL84" t="s">
        <v>326</v>
      </c>
      <c r="AO84" t="s">
        <v>76</v>
      </c>
      <c r="AP84" t="s">
        <v>6508</v>
      </c>
      <c r="AQ84" t="s">
        <v>6508</v>
      </c>
      <c r="AR84" t="s">
        <v>6508</v>
      </c>
      <c r="AS84" t="s">
        <v>6508</v>
      </c>
    </row>
    <row r="85" spans="1:45" x14ac:dyDescent="0.3">
      <c r="A85" t="s">
        <v>5628</v>
      </c>
      <c r="B85">
        <f t="shared" si="15"/>
        <v>200083</v>
      </c>
      <c r="C85">
        <v>200024</v>
      </c>
      <c r="D85" t="str">
        <f t="shared" si="16"/>
        <v>rg:{'id': '200024'}</v>
      </c>
      <c r="E85">
        <f>VLOOKUP(C85,Owners.csv!C:J,6,FALSE)</f>
        <v>200076</v>
      </c>
      <c r="F85">
        <f>VLOOKUP(VLOOKUP(E85,LocalAreas.csv!J:L,3,FALSE),ServiceAreas.csv!F:J,5,FALSE)</f>
        <v>10</v>
      </c>
      <c r="G85" t="str">
        <f t="shared" si="17"/>
        <v>rg:{'id': '200076'}</v>
      </c>
      <c r="H85" t="s">
        <v>7717</v>
      </c>
      <c r="I85" t="s">
        <v>5635</v>
      </c>
      <c r="J85">
        <f>VLOOKUP(I85&amp;"-"&amp;F85,DistrictEquipmentTypes.csv!J:K,2,FALSE)</f>
        <v>200001</v>
      </c>
      <c r="K85" t="str">
        <f t="shared" si="18"/>
        <v>rg:{'id': '200001'}</v>
      </c>
      <c r="L85">
        <f t="shared" si="19"/>
        <v>7</v>
      </c>
      <c r="M85" t="str">
        <f>VLOOKUP(C85,Owners.csv!C:K,9,FALSE)&amp;TEXT(Equipment.csv!L85,"0000")</f>
        <v>EDWA0007</v>
      </c>
      <c r="N85" t="s">
        <v>5399</v>
      </c>
      <c r="O85" t="s">
        <v>6769</v>
      </c>
      <c r="P85">
        <v>1991</v>
      </c>
      <c r="Q85">
        <v>114</v>
      </c>
      <c r="R85" t="s">
        <v>6660</v>
      </c>
      <c r="S85" s="1">
        <v>38596</v>
      </c>
      <c r="T85" s="1">
        <v>38608</v>
      </c>
      <c r="U85" t="str">
        <f t="shared" ca="1" si="20"/>
        <v>rg:False</v>
      </c>
      <c r="V85" t="str">
        <f t="shared" ca="1" si="21"/>
        <v>rg:None</v>
      </c>
      <c r="W85" t="s">
        <v>7159</v>
      </c>
      <c r="X85" t="s">
        <v>76</v>
      </c>
      <c r="Y85" t="s">
        <v>76</v>
      </c>
      <c r="Z85" t="s">
        <v>76</v>
      </c>
      <c r="AA85" t="s">
        <v>7506</v>
      </c>
      <c r="AB85" t="s">
        <v>7267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24"/>
        <v>382.16666666666669</v>
      </c>
      <c r="AH85" s="4">
        <f t="shared" si="25"/>
        <v>10.55</v>
      </c>
      <c r="AI85">
        <f t="shared" ca="1" si="26"/>
        <v>44</v>
      </c>
      <c r="AJ85">
        <f t="shared" ca="1" si="27"/>
        <v>48</v>
      </c>
      <c r="AK85">
        <f t="shared" ca="1" si="28"/>
        <v>105</v>
      </c>
      <c r="AL85" t="s">
        <v>326</v>
      </c>
      <c r="AO85" t="s">
        <v>76</v>
      </c>
      <c r="AP85" t="s">
        <v>6508</v>
      </c>
      <c r="AQ85" t="s">
        <v>6508</v>
      </c>
      <c r="AR85" t="s">
        <v>6508</v>
      </c>
      <c r="AS85" t="s">
        <v>6508</v>
      </c>
    </row>
    <row r="86" spans="1:45" x14ac:dyDescent="0.3">
      <c r="A86" t="s">
        <v>5628</v>
      </c>
      <c r="B86">
        <f t="shared" si="15"/>
        <v>200084</v>
      </c>
      <c r="C86">
        <v>200024</v>
      </c>
      <c r="D86" t="str">
        <f t="shared" si="16"/>
        <v>rg:{'id': '200024'}</v>
      </c>
      <c r="E86">
        <f>VLOOKUP(C86,Owners.csv!C:J,6,FALSE)</f>
        <v>200076</v>
      </c>
      <c r="F86">
        <f>VLOOKUP(VLOOKUP(E86,LocalAreas.csv!J:L,3,FALSE),ServiceAreas.csv!F:J,5,FALSE)</f>
        <v>10</v>
      </c>
      <c r="G86" t="str">
        <f t="shared" si="17"/>
        <v>rg:{'id': '200076'}</v>
      </c>
      <c r="H86" t="s">
        <v>7726</v>
      </c>
      <c r="I86" t="s">
        <v>5534</v>
      </c>
      <c r="J86">
        <f>VLOOKUP(I86&amp;"-"&amp;F86,DistrictEquipmentTypes.csv!J:K,2,FALSE)</f>
        <v>200000</v>
      </c>
      <c r="K86" t="str">
        <f t="shared" si="18"/>
        <v>rg:{'id': '200000'}</v>
      </c>
      <c r="L86">
        <f t="shared" si="19"/>
        <v>8</v>
      </c>
      <c r="M86" t="str">
        <f>VLOOKUP(C86,Owners.csv!C:K,9,FALSE)&amp;TEXT(Equipment.csv!L86,"0000")</f>
        <v>EDWA0008</v>
      </c>
      <c r="N86" t="s">
        <v>5399</v>
      </c>
      <c r="O86" t="s">
        <v>6784</v>
      </c>
      <c r="P86">
        <v>1977</v>
      </c>
      <c r="Q86">
        <v>129</v>
      </c>
      <c r="R86" t="s">
        <v>6660</v>
      </c>
      <c r="S86" s="1">
        <v>39643</v>
      </c>
      <c r="T86" s="1">
        <v>39655</v>
      </c>
      <c r="U86" t="str">
        <f t="shared" ca="1" si="20"/>
        <v>rg:False</v>
      </c>
      <c r="V86" t="str">
        <f t="shared" ca="1" si="21"/>
        <v>rg:None</v>
      </c>
      <c r="W86" t="s">
        <v>7174</v>
      </c>
      <c r="X86" t="s">
        <v>76</v>
      </c>
      <c r="Y86" t="s">
        <v>76</v>
      </c>
      <c r="Z86" t="s">
        <v>76</v>
      </c>
      <c r="AA86" t="s">
        <v>7521</v>
      </c>
      <c r="AB86" t="s">
        <v>7294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24"/>
        <v>345.08333333333331</v>
      </c>
      <c r="AH86" s="4">
        <f t="shared" si="25"/>
        <v>7.6805555555555554</v>
      </c>
      <c r="AI86">
        <f t="shared" ca="1" si="26"/>
        <v>37</v>
      </c>
      <c r="AJ86">
        <f t="shared" ca="1" si="27"/>
        <v>113</v>
      </c>
      <c r="AK86">
        <f t="shared" ca="1" si="28"/>
        <v>194</v>
      </c>
      <c r="AL86" t="s">
        <v>326</v>
      </c>
      <c r="AO86" t="s">
        <v>76</v>
      </c>
      <c r="AP86" t="s">
        <v>6508</v>
      </c>
      <c r="AQ86" t="s">
        <v>6508</v>
      </c>
      <c r="AR86" t="s">
        <v>6508</v>
      </c>
      <c r="AS86" t="s">
        <v>6508</v>
      </c>
    </row>
    <row r="87" spans="1:45" x14ac:dyDescent="0.3">
      <c r="A87" t="s">
        <v>5628</v>
      </c>
      <c r="B87">
        <f t="shared" si="15"/>
        <v>200085</v>
      </c>
      <c r="C87">
        <v>200025</v>
      </c>
      <c r="D87" t="str">
        <f t="shared" si="16"/>
        <v>rg:{'id': '200025'}</v>
      </c>
      <c r="E87">
        <f>VLOOKUP(C87,Owners.csv!C:J,6,FALSE)</f>
        <v>200076</v>
      </c>
      <c r="F87">
        <f>VLOOKUP(VLOOKUP(E87,LocalAreas.csv!J:L,3,FALSE),ServiceAreas.csv!F:J,5,FALSE)</f>
        <v>10</v>
      </c>
      <c r="G87" t="str">
        <f t="shared" si="17"/>
        <v>rg:{'id': '200076'}</v>
      </c>
      <c r="H87" t="s">
        <v>7664</v>
      </c>
      <c r="I87" t="s">
        <v>5640</v>
      </c>
      <c r="J87">
        <f>VLOOKUP(I87&amp;"-"&amp;F87,DistrictEquipmentTypes.csv!J:K,2,FALSE)</f>
        <v>200004</v>
      </c>
      <c r="K87" t="str">
        <f t="shared" si="18"/>
        <v>rg:{'id': '200004'}</v>
      </c>
      <c r="L87">
        <f t="shared" si="19"/>
        <v>1</v>
      </c>
      <c r="M87" t="str">
        <f>VLOOKUP(C87,Owners.csv!C:K,9,FALSE)&amp;TEXT(Equipment.csv!L87,"0000")</f>
        <v>ENVI0001</v>
      </c>
      <c r="N87" t="s">
        <v>5399</v>
      </c>
      <c r="O87" t="s">
        <v>6692</v>
      </c>
      <c r="P87">
        <v>1987</v>
      </c>
      <c r="Q87">
        <v>37</v>
      </c>
      <c r="R87" t="s">
        <v>6660</v>
      </c>
      <c r="S87" s="1">
        <v>41219</v>
      </c>
      <c r="T87" s="1">
        <v>41236</v>
      </c>
      <c r="U87" t="str">
        <f t="shared" ca="1" si="20"/>
        <v>rg:False</v>
      </c>
      <c r="V87" t="str">
        <f t="shared" ca="1" si="21"/>
        <v>rg:None</v>
      </c>
      <c r="W87" t="s">
        <v>7082</v>
      </c>
      <c r="X87" t="s">
        <v>76</v>
      </c>
      <c r="Y87" t="s">
        <v>76</v>
      </c>
      <c r="Z87" t="s">
        <v>76</v>
      </c>
      <c r="AA87" t="s">
        <v>7429</v>
      </c>
      <c r="AB87" t="s">
        <v>7279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24"/>
        <v>191.66666666666669</v>
      </c>
      <c r="AH87" s="4">
        <f t="shared" si="25"/>
        <v>3.3555555555555556</v>
      </c>
      <c r="AI87">
        <f t="shared" ca="1" si="26"/>
        <v>46</v>
      </c>
      <c r="AJ87">
        <f t="shared" ca="1" si="27"/>
        <v>154</v>
      </c>
      <c r="AK87">
        <f t="shared" ca="1" si="28"/>
        <v>73</v>
      </c>
      <c r="AL87" t="s">
        <v>326</v>
      </c>
      <c r="AO87" t="s">
        <v>76</v>
      </c>
      <c r="AP87" t="s">
        <v>6508</v>
      </c>
      <c r="AQ87" t="s">
        <v>6508</v>
      </c>
      <c r="AR87" t="s">
        <v>6508</v>
      </c>
      <c r="AS87" t="s">
        <v>6508</v>
      </c>
    </row>
    <row r="88" spans="1:45" x14ac:dyDescent="0.3">
      <c r="A88" t="s">
        <v>5628</v>
      </c>
      <c r="B88">
        <f t="shared" si="15"/>
        <v>200086</v>
      </c>
      <c r="C88">
        <v>200025</v>
      </c>
      <c r="D88" t="str">
        <f t="shared" si="16"/>
        <v>rg:{'id': '200025'}</v>
      </c>
      <c r="E88">
        <f>VLOOKUP(C88,Owners.csv!C:J,6,FALSE)</f>
        <v>200076</v>
      </c>
      <c r="F88">
        <f>VLOOKUP(VLOOKUP(E88,LocalAreas.csv!J:L,3,FALSE),ServiceAreas.csv!F:J,5,FALSE)</f>
        <v>10</v>
      </c>
      <c r="G88" t="str">
        <f t="shared" si="17"/>
        <v>rg:{'id': '200076'}</v>
      </c>
      <c r="H88" t="s">
        <v>7671</v>
      </c>
      <c r="I88" t="s">
        <v>5640</v>
      </c>
      <c r="J88">
        <f>VLOOKUP(I88&amp;"-"&amp;F88,DistrictEquipmentTypes.csv!J:K,2,FALSE)</f>
        <v>200004</v>
      </c>
      <c r="K88" t="str">
        <f t="shared" si="18"/>
        <v>rg:{'id': '200004'}</v>
      </c>
      <c r="L88">
        <f t="shared" si="19"/>
        <v>2</v>
      </c>
      <c r="M88" t="str">
        <f>VLOOKUP(C88,Owners.csv!C:K,9,FALSE)&amp;TEXT(Equipment.csv!L88,"0000")</f>
        <v>ENVI0002</v>
      </c>
      <c r="N88" t="s">
        <v>5399</v>
      </c>
      <c r="O88" t="s">
        <v>6702</v>
      </c>
      <c r="P88">
        <v>1996</v>
      </c>
      <c r="Q88">
        <v>47</v>
      </c>
      <c r="R88" t="s">
        <v>6660</v>
      </c>
      <c r="S88" s="1">
        <v>38590</v>
      </c>
      <c r="T88" s="1">
        <v>38595</v>
      </c>
      <c r="U88" t="str">
        <f t="shared" ca="1" si="20"/>
        <v>rg:False</v>
      </c>
      <c r="V88" t="str">
        <f t="shared" ca="1" si="21"/>
        <v>rg:None</v>
      </c>
      <c r="W88" t="s">
        <v>7092</v>
      </c>
      <c r="X88" t="s">
        <v>76</v>
      </c>
      <c r="Y88" t="s">
        <v>76</v>
      </c>
      <c r="Z88" t="s">
        <v>76</v>
      </c>
      <c r="AA88" t="s">
        <v>7439</v>
      </c>
      <c r="AB88" t="s">
        <v>7258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42480</v>
      </c>
      <c r="AG88" s="4">
        <f t="shared" ca="1" si="24"/>
        <v>355.58333333333331</v>
      </c>
      <c r="AH88" s="4">
        <f t="shared" si="25"/>
        <v>10.58611111111111</v>
      </c>
      <c r="AI88">
        <f t="shared" ca="1" si="26"/>
        <v>1</v>
      </c>
      <c r="AJ88">
        <f t="shared" ca="1" si="27"/>
        <v>107</v>
      </c>
      <c r="AK88">
        <f t="shared" ca="1" si="28"/>
        <v>6</v>
      </c>
      <c r="AL88" t="s">
        <v>326</v>
      </c>
      <c r="AO88" t="s">
        <v>76</v>
      </c>
      <c r="AP88" t="s">
        <v>6508</v>
      </c>
      <c r="AQ88" t="s">
        <v>6508</v>
      </c>
      <c r="AR88" t="s">
        <v>6508</v>
      </c>
      <c r="AS88" t="s">
        <v>6508</v>
      </c>
    </row>
    <row r="89" spans="1:45" x14ac:dyDescent="0.3">
      <c r="A89" t="s">
        <v>5628</v>
      </c>
      <c r="B89">
        <f t="shared" si="15"/>
        <v>200087</v>
      </c>
      <c r="C89">
        <v>200025</v>
      </c>
      <c r="D89" t="str">
        <f t="shared" si="16"/>
        <v>rg:{'id': '200025'}</v>
      </c>
      <c r="E89">
        <f>VLOOKUP(C89,Owners.csv!C:J,6,FALSE)</f>
        <v>200076</v>
      </c>
      <c r="F89">
        <f>VLOOKUP(VLOOKUP(E89,LocalAreas.csv!J:L,3,FALSE),ServiceAreas.csv!F:J,5,FALSE)</f>
        <v>10</v>
      </c>
      <c r="G89" t="str">
        <f t="shared" si="17"/>
        <v>rg:{'id': '200076'}</v>
      </c>
      <c r="H89" t="s">
        <v>7678</v>
      </c>
      <c r="I89" t="s">
        <v>5638</v>
      </c>
      <c r="J89">
        <f>VLOOKUP(I89&amp;"-"&amp;F89,DistrictEquipmentTypes.csv!J:K,2,FALSE)</f>
        <v>200002</v>
      </c>
      <c r="K89" t="str">
        <f t="shared" si="18"/>
        <v>rg:{'id': '200002'}</v>
      </c>
      <c r="L89">
        <f t="shared" si="19"/>
        <v>3</v>
      </c>
      <c r="M89" t="str">
        <f>VLOOKUP(C89,Owners.csv!C:K,9,FALSE)&amp;TEXT(Equipment.csv!L89,"0000")</f>
        <v>ENVI0003</v>
      </c>
      <c r="N89" t="s">
        <v>5399</v>
      </c>
      <c r="O89" t="s">
        <v>6712</v>
      </c>
      <c r="P89">
        <v>2013</v>
      </c>
      <c r="Q89">
        <v>57</v>
      </c>
      <c r="R89" t="s">
        <v>6660</v>
      </c>
      <c r="S89" s="1">
        <v>39217</v>
      </c>
      <c r="T89" s="1">
        <v>39246</v>
      </c>
      <c r="U89" t="str">
        <f t="shared" ca="1" si="20"/>
        <v>rg:False</v>
      </c>
      <c r="V89" t="str">
        <f t="shared" ca="1" si="21"/>
        <v>rg:None</v>
      </c>
      <c r="W89" t="s">
        <v>7102</v>
      </c>
      <c r="X89" t="s">
        <v>76</v>
      </c>
      <c r="Y89" t="s">
        <v>76</v>
      </c>
      <c r="Z89" t="s">
        <v>76</v>
      </c>
      <c r="AA89" t="s">
        <v>7449</v>
      </c>
      <c r="AB89" t="s">
        <v>7297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24"/>
        <v>335.33333333333331</v>
      </c>
      <c r="AH89" s="4">
        <f t="shared" si="25"/>
        <v>8.8000000000000007</v>
      </c>
      <c r="AI89">
        <f t="shared" ca="1" si="26"/>
        <v>59</v>
      </c>
      <c r="AJ89">
        <f t="shared" ca="1" si="27"/>
        <v>144</v>
      </c>
      <c r="AK89">
        <f t="shared" ca="1" si="28"/>
        <v>11</v>
      </c>
      <c r="AL89" t="s">
        <v>326</v>
      </c>
      <c r="AO89" t="s">
        <v>76</v>
      </c>
      <c r="AP89" t="s">
        <v>6508</v>
      </c>
      <c r="AQ89" t="s">
        <v>6508</v>
      </c>
      <c r="AR89" t="s">
        <v>6508</v>
      </c>
      <c r="AS89" t="s">
        <v>6508</v>
      </c>
    </row>
    <row r="90" spans="1:45" x14ac:dyDescent="0.3">
      <c r="A90" t="s">
        <v>5628</v>
      </c>
      <c r="B90">
        <f t="shared" si="15"/>
        <v>200088</v>
      </c>
      <c r="C90">
        <v>200025</v>
      </c>
      <c r="D90" t="str">
        <f t="shared" si="16"/>
        <v>rg:{'id': '200025'}</v>
      </c>
      <c r="E90">
        <f>VLOOKUP(C90,Owners.csv!C:J,6,FALSE)</f>
        <v>200076</v>
      </c>
      <c r="F90">
        <f>VLOOKUP(VLOOKUP(E90,LocalAreas.csv!J:L,3,FALSE),ServiceAreas.csv!F:J,5,FALSE)</f>
        <v>10</v>
      </c>
      <c r="G90" t="str">
        <f t="shared" si="17"/>
        <v>rg:{'id': '200076'}</v>
      </c>
      <c r="H90" t="s">
        <v>7686</v>
      </c>
      <c r="I90" t="s">
        <v>5638</v>
      </c>
      <c r="J90">
        <f>VLOOKUP(I90&amp;"-"&amp;F90,DistrictEquipmentTypes.csv!J:K,2,FALSE)</f>
        <v>200002</v>
      </c>
      <c r="K90" t="str">
        <f t="shared" si="18"/>
        <v>rg:{'id': '200002'}</v>
      </c>
      <c r="L90">
        <f t="shared" si="19"/>
        <v>4</v>
      </c>
      <c r="M90" t="str">
        <f>VLOOKUP(C90,Owners.csv!C:K,9,FALSE)&amp;TEXT(Equipment.csv!L90,"0000")</f>
        <v>ENVI0004</v>
      </c>
      <c r="N90" t="s">
        <v>5399</v>
      </c>
      <c r="O90" t="s">
        <v>6722</v>
      </c>
      <c r="P90">
        <v>1982</v>
      </c>
      <c r="Q90">
        <v>67</v>
      </c>
      <c r="R90" t="s">
        <v>6660</v>
      </c>
      <c r="S90" s="1">
        <v>38606</v>
      </c>
      <c r="T90" s="1">
        <v>38629</v>
      </c>
      <c r="U90" t="str">
        <f t="shared" ca="1" si="20"/>
        <v>rg:False</v>
      </c>
      <c r="V90" t="str">
        <f t="shared" ca="1" si="21"/>
        <v>rg:None</v>
      </c>
      <c r="W90" t="s">
        <v>7112</v>
      </c>
      <c r="X90" t="s">
        <v>76</v>
      </c>
      <c r="Y90" t="s">
        <v>76</v>
      </c>
      <c r="Z90" t="s">
        <v>76</v>
      </c>
      <c r="AA90" t="s">
        <v>7459</v>
      </c>
      <c r="AB90" t="s">
        <v>7304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24"/>
        <v>360.08333333333331</v>
      </c>
      <c r="AH90" s="4">
        <f t="shared" si="25"/>
        <v>10.491666666666667</v>
      </c>
      <c r="AI90">
        <f t="shared" ca="1" si="26"/>
        <v>63</v>
      </c>
      <c r="AJ90">
        <f t="shared" ca="1" si="27"/>
        <v>15</v>
      </c>
      <c r="AK90">
        <f t="shared" ca="1" si="28"/>
        <v>58</v>
      </c>
      <c r="AL90" t="s">
        <v>326</v>
      </c>
      <c r="AO90" t="s">
        <v>76</v>
      </c>
      <c r="AP90" t="s">
        <v>6508</v>
      </c>
      <c r="AQ90" t="s">
        <v>6508</v>
      </c>
      <c r="AR90" t="s">
        <v>6508</v>
      </c>
      <c r="AS90" t="s">
        <v>6508</v>
      </c>
    </row>
    <row r="91" spans="1:45" x14ac:dyDescent="0.3">
      <c r="A91" t="s">
        <v>5628</v>
      </c>
      <c r="B91">
        <f t="shared" si="15"/>
        <v>200089</v>
      </c>
      <c r="C91">
        <v>200025</v>
      </c>
      <c r="D91" t="str">
        <f t="shared" si="16"/>
        <v>rg:{'id': '200025'}</v>
      </c>
      <c r="E91">
        <f>VLOOKUP(C91,Owners.csv!C:J,6,FALSE)</f>
        <v>200076</v>
      </c>
      <c r="F91">
        <f>VLOOKUP(VLOOKUP(E91,LocalAreas.csv!J:L,3,FALSE),ServiceAreas.csv!F:J,5,FALSE)</f>
        <v>10</v>
      </c>
      <c r="G91" t="str">
        <f t="shared" si="17"/>
        <v>rg:{'id': '200076'}</v>
      </c>
      <c r="H91" t="s">
        <v>7639</v>
      </c>
      <c r="I91" t="s">
        <v>5649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5</v>
      </c>
      <c r="M91" t="str">
        <f>VLOOKUP(C91,Owners.csv!C:K,9,FALSE)&amp;TEXT(Equipment.csv!L91,"0000")</f>
        <v>ENVI0005</v>
      </c>
      <c r="N91" t="s">
        <v>5399</v>
      </c>
      <c r="O91" t="s">
        <v>6730</v>
      </c>
      <c r="P91">
        <v>1980</v>
      </c>
      <c r="Q91">
        <v>75</v>
      </c>
      <c r="R91" t="s">
        <v>6660</v>
      </c>
      <c r="S91" s="1">
        <v>40141</v>
      </c>
      <c r="T91" s="1">
        <v>40169</v>
      </c>
      <c r="U91" t="str">
        <f t="shared" ca="1" si="20"/>
        <v>rg:False</v>
      </c>
      <c r="V91" t="str">
        <f t="shared" ca="1" si="21"/>
        <v>rg:None</v>
      </c>
      <c r="W91" t="s">
        <v>7120</v>
      </c>
      <c r="X91" t="s">
        <v>76</v>
      </c>
      <c r="Y91" t="s">
        <v>76</v>
      </c>
      <c r="Z91" t="s">
        <v>76</v>
      </c>
      <c r="AA91" t="s">
        <v>7467</v>
      </c>
      <c r="AB91" t="s">
        <v>7309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24"/>
        <v>445.83333333333331</v>
      </c>
      <c r="AH91" s="4">
        <f t="shared" si="25"/>
        <v>6.2750000000000004</v>
      </c>
      <c r="AI91">
        <f t="shared" ca="1" si="26"/>
        <v>67</v>
      </c>
      <c r="AJ91">
        <f t="shared" ca="1" si="27"/>
        <v>30</v>
      </c>
      <c r="AK91">
        <f t="shared" ca="1" si="28"/>
        <v>111</v>
      </c>
      <c r="AL91" t="s">
        <v>326</v>
      </c>
      <c r="AO91" t="s">
        <v>76</v>
      </c>
      <c r="AP91" t="s">
        <v>6508</v>
      </c>
      <c r="AQ91" t="s">
        <v>6508</v>
      </c>
      <c r="AR91" t="s">
        <v>6508</v>
      </c>
      <c r="AS91" t="s">
        <v>6508</v>
      </c>
    </row>
    <row r="92" spans="1:45" x14ac:dyDescent="0.3">
      <c r="A92" t="s">
        <v>5628</v>
      </c>
      <c r="B92">
        <f t="shared" si="15"/>
        <v>200090</v>
      </c>
      <c r="C92">
        <v>200025</v>
      </c>
      <c r="D92" t="str">
        <f t="shared" si="16"/>
        <v>rg:{'id': '200025'}</v>
      </c>
      <c r="E92">
        <f>VLOOKUP(C92,Owners.csv!C:J,6,FALSE)</f>
        <v>200076</v>
      </c>
      <c r="F92">
        <f>VLOOKUP(VLOOKUP(E92,LocalAreas.csv!J:L,3,FALSE),ServiceAreas.csv!F:J,5,FALSE)</f>
        <v>10</v>
      </c>
      <c r="G92" t="str">
        <f t="shared" si="17"/>
        <v>rg:{'id': '200076'}</v>
      </c>
      <c r="H92" t="s">
        <v>7705</v>
      </c>
      <c r="I92" t="s">
        <v>5649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6</v>
      </c>
      <c r="M92" t="str">
        <f>VLOOKUP(C92,Owners.csv!C:K,9,FALSE)&amp;TEXT(Equipment.csv!L92,"0000")</f>
        <v>ENVI0006</v>
      </c>
      <c r="N92" t="s">
        <v>5399</v>
      </c>
      <c r="O92" t="s">
        <v>6750</v>
      </c>
      <c r="P92">
        <v>1978</v>
      </c>
      <c r="Q92">
        <v>95</v>
      </c>
      <c r="R92" t="s">
        <v>6660</v>
      </c>
      <c r="S92" s="1">
        <v>39052</v>
      </c>
      <c r="T92" s="1">
        <v>39079</v>
      </c>
      <c r="U92" t="str">
        <f t="shared" ca="1" si="20"/>
        <v>rg:False</v>
      </c>
      <c r="V92" t="str">
        <f t="shared" ca="1" si="21"/>
        <v>rg:None</v>
      </c>
      <c r="W92" t="s">
        <v>7140</v>
      </c>
      <c r="X92" t="s">
        <v>76</v>
      </c>
      <c r="Y92" t="s">
        <v>76</v>
      </c>
      <c r="Z92" t="s">
        <v>76</v>
      </c>
      <c r="AA92" t="s">
        <v>7487</v>
      </c>
      <c r="AB92" t="s">
        <v>7324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24"/>
        <v>603.83333333333337</v>
      </c>
      <c r="AH92" s="4">
        <f t="shared" si="25"/>
        <v>9.2583333333333329</v>
      </c>
      <c r="AI92">
        <f t="shared" ca="1" si="26"/>
        <v>29</v>
      </c>
      <c r="AJ92">
        <f t="shared" ca="1" si="27"/>
        <v>112</v>
      </c>
      <c r="AK92">
        <f t="shared" ca="1" si="28"/>
        <v>4</v>
      </c>
      <c r="AL92" t="s">
        <v>326</v>
      </c>
      <c r="AO92" t="s">
        <v>76</v>
      </c>
      <c r="AP92" t="s">
        <v>6508</v>
      </c>
      <c r="AQ92" t="s">
        <v>6508</v>
      </c>
      <c r="AR92" t="s">
        <v>6508</v>
      </c>
      <c r="AS92" t="s">
        <v>6508</v>
      </c>
    </row>
    <row r="93" spans="1:45" x14ac:dyDescent="0.3">
      <c r="A93" t="s">
        <v>5628</v>
      </c>
      <c r="B93">
        <f t="shared" si="15"/>
        <v>200091</v>
      </c>
      <c r="C93">
        <v>200025</v>
      </c>
      <c r="D93" t="str">
        <f t="shared" si="16"/>
        <v>rg:{'id': '200025'}</v>
      </c>
      <c r="E93">
        <f>VLOOKUP(C93,Owners.csv!C:J,6,FALSE)</f>
        <v>200076</v>
      </c>
      <c r="F93">
        <f>VLOOKUP(VLOOKUP(E93,LocalAreas.csv!J:L,3,FALSE),ServiceAreas.csv!F:J,5,FALSE)</f>
        <v>10</v>
      </c>
      <c r="G93" t="str">
        <f t="shared" si="17"/>
        <v>rg:{'id': '200076'}</v>
      </c>
      <c r="H93" t="s">
        <v>7658</v>
      </c>
      <c r="I93" t="s">
        <v>5635</v>
      </c>
      <c r="J93">
        <f>VLOOKUP(I93&amp;"-"&amp;F93,DistrictEquipmentTypes.csv!J:K,2,FALSE)</f>
        <v>200001</v>
      </c>
      <c r="K93" t="str">
        <f t="shared" si="18"/>
        <v>rg:{'id': '200001'}</v>
      </c>
      <c r="L93">
        <f t="shared" si="19"/>
        <v>7</v>
      </c>
      <c r="M93" t="str">
        <f>VLOOKUP(C93,Owners.csv!C:K,9,FALSE)&amp;TEXT(Equipment.csv!L93,"0000")</f>
        <v>ENVI0007</v>
      </c>
      <c r="N93" t="s">
        <v>5399</v>
      </c>
      <c r="O93" t="s">
        <v>6770</v>
      </c>
      <c r="P93">
        <v>1989</v>
      </c>
      <c r="Q93">
        <v>115</v>
      </c>
      <c r="R93" t="s">
        <v>6660</v>
      </c>
      <c r="S93" s="1">
        <v>41134</v>
      </c>
      <c r="T93" s="1">
        <v>41142</v>
      </c>
      <c r="U93" t="str">
        <f t="shared" ca="1" si="20"/>
        <v>rg:False</v>
      </c>
      <c r="V93" t="str">
        <f t="shared" ca="1" si="21"/>
        <v>rg:None</v>
      </c>
      <c r="W93" t="s">
        <v>7160</v>
      </c>
      <c r="X93" t="s">
        <v>76</v>
      </c>
      <c r="Y93" t="s">
        <v>76</v>
      </c>
      <c r="Z93" t="s">
        <v>76</v>
      </c>
      <c r="AA93" t="s">
        <v>7507</v>
      </c>
      <c r="AB93" t="s">
        <v>7340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24"/>
        <v>186</v>
      </c>
      <c r="AH93" s="4">
        <f t="shared" si="25"/>
        <v>3.6111111111111112</v>
      </c>
      <c r="AI93">
        <f t="shared" ca="1" si="26"/>
        <v>71</v>
      </c>
      <c r="AJ93">
        <f t="shared" ca="1" si="27"/>
        <v>64</v>
      </c>
      <c r="AK93">
        <f t="shared" ca="1" si="28"/>
        <v>98</v>
      </c>
      <c r="AL93" t="s">
        <v>326</v>
      </c>
      <c r="AO93" t="s">
        <v>76</v>
      </c>
      <c r="AP93" t="s">
        <v>6508</v>
      </c>
      <c r="AQ93" t="s">
        <v>6508</v>
      </c>
      <c r="AR93" t="s">
        <v>6508</v>
      </c>
      <c r="AS93" t="s">
        <v>6508</v>
      </c>
    </row>
    <row r="94" spans="1:45" x14ac:dyDescent="0.3">
      <c r="A94" t="s">
        <v>5628</v>
      </c>
      <c r="B94">
        <f t="shared" si="15"/>
        <v>200092</v>
      </c>
      <c r="C94">
        <v>200025</v>
      </c>
      <c r="D94" t="str">
        <f t="shared" si="16"/>
        <v>rg:{'id': '200025'}</v>
      </c>
      <c r="E94">
        <f>VLOOKUP(C94,Owners.csv!C:J,6,FALSE)</f>
        <v>200076</v>
      </c>
      <c r="F94">
        <f>VLOOKUP(VLOOKUP(E94,LocalAreas.csv!J:L,3,FALSE),ServiceAreas.csv!F:J,5,FALSE)</f>
        <v>10</v>
      </c>
      <c r="G94" t="str">
        <f t="shared" si="17"/>
        <v>rg:{'id': '200076'}</v>
      </c>
      <c r="H94" t="s">
        <v>7680</v>
      </c>
      <c r="I94" t="s">
        <v>5534</v>
      </c>
      <c r="J94">
        <f>VLOOKUP(I94&amp;"-"&amp;F94,DistrictEquipmentTypes.csv!J:K,2,FALSE)</f>
        <v>200000</v>
      </c>
      <c r="K94" t="str">
        <f t="shared" si="18"/>
        <v>rg:{'id': '200000'}</v>
      </c>
      <c r="L94">
        <f t="shared" si="19"/>
        <v>8</v>
      </c>
      <c r="M94" t="str">
        <f>VLOOKUP(C94,Owners.csv!C:K,9,FALSE)&amp;TEXT(Equipment.csv!L94,"0000")</f>
        <v>ENVI0008</v>
      </c>
      <c r="N94" t="s">
        <v>5399</v>
      </c>
      <c r="O94" t="s">
        <v>6785</v>
      </c>
      <c r="P94">
        <v>1982</v>
      </c>
      <c r="Q94">
        <v>130</v>
      </c>
      <c r="R94" t="s">
        <v>6660</v>
      </c>
      <c r="S94" s="1">
        <v>42335</v>
      </c>
      <c r="T94" s="1">
        <v>42363</v>
      </c>
      <c r="U94" t="str">
        <f t="shared" ca="1" si="20"/>
        <v>rg:True</v>
      </c>
      <c r="V94" t="str">
        <f t="shared" ca="1" si="21"/>
        <v>This equipment should be archived</v>
      </c>
      <c r="W94" t="s">
        <v>7175</v>
      </c>
      <c r="X94" t="s">
        <v>76</v>
      </c>
      <c r="Y94" t="s">
        <v>76</v>
      </c>
      <c r="Z94" t="s">
        <v>76</v>
      </c>
      <c r="AA94" t="s">
        <v>7522</v>
      </c>
      <c r="AB94" t="s">
        <v>7351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24"/>
        <v>8</v>
      </c>
      <c r="AH94" s="4">
        <f t="shared" si="25"/>
        <v>0.26666666666666666</v>
      </c>
      <c r="AI94">
        <f t="shared" ca="1" si="26"/>
        <v>0</v>
      </c>
      <c r="AJ94">
        <f t="shared" ca="1" si="27"/>
        <v>0</v>
      </c>
      <c r="AK94">
        <f t="shared" ca="1" si="28"/>
        <v>0</v>
      </c>
      <c r="AL94" t="s">
        <v>326</v>
      </c>
      <c r="AO94" t="s">
        <v>76</v>
      </c>
      <c r="AP94" t="s">
        <v>6508</v>
      </c>
      <c r="AQ94" t="s">
        <v>6508</v>
      </c>
      <c r="AR94" t="s">
        <v>6508</v>
      </c>
      <c r="AS94" t="s">
        <v>6508</v>
      </c>
    </row>
    <row r="95" spans="1:45" x14ac:dyDescent="0.3">
      <c r="A95" t="s">
        <v>5628</v>
      </c>
      <c r="B95">
        <f t="shared" si="15"/>
        <v>200093</v>
      </c>
      <c r="C95">
        <v>200026</v>
      </c>
      <c r="D95" t="str">
        <f t="shared" si="16"/>
        <v>rg:{'id': '200026'}</v>
      </c>
      <c r="E95">
        <f>VLOOKUP(C95,Owners.csv!C:J,6,FALSE)</f>
        <v>200076</v>
      </c>
      <c r="F95">
        <f>VLOOKUP(VLOOKUP(E95,LocalAreas.csv!J:L,3,FALSE),ServiceAreas.csv!F:J,5,FALSE)</f>
        <v>10</v>
      </c>
      <c r="G95" t="str">
        <f t="shared" si="17"/>
        <v>rg:{'id': '200076'}</v>
      </c>
      <c r="H95" t="s">
        <v>7665</v>
      </c>
      <c r="I95" t="s">
        <v>5640</v>
      </c>
      <c r="J95">
        <f>VLOOKUP(I95&amp;"-"&amp;F95,DistrictEquipmentTypes.csv!J:K,2,FALSE)</f>
        <v>200004</v>
      </c>
      <c r="K95" t="str">
        <f t="shared" si="18"/>
        <v>rg:{'id': '200004'}</v>
      </c>
      <c r="L95">
        <f t="shared" si="19"/>
        <v>1</v>
      </c>
      <c r="M95" t="str">
        <f>VLOOKUP(C95,Owners.csv!C:K,9,FALSE)&amp;TEXT(Equipment.csv!L95,"0000")</f>
        <v>FAMI0001</v>
      </c>
      <c r="N95" t="s">
        <v>5399</v>
      </c>
      <c r="O95" t="s">
        <v>6693</v>
      </c>
      <c r="P95">
        <v>2005</v>
      </c>
      <c r="Q95">
        <v>38</v>
      </c>
      <c r="R95" t="s">
        <v>6660</v>
      </c>
      <c r="S95" s="1">
        <v>42519</v>
      </c>
      <c r="T95" s="1">
        <v>42538</v>
      </c>
      <c r="U95" t="str">
        <f t="shared" ca="1" si="20"/>
        <v>rg:False</v>
      </c>
      <c r="V95" t="str">
        <f t="shared" ca="1" si="21"/>
        <v>rg:None</v>
      </c>
      <c r="W95" t="s">
        <v>7083</v>
      </c>
      <c r="X95" t="s">
        <v>76</v>
      </c>
      <c r="Y95" t="s">
        <v>76</v>
      </c>
      <c r="Z95" t="s">
        <v>76</v>
      </c>
      <c r="AA95" t="s">
        <v>7430</v>
      </c>
      <c r="AB95" t="s">
        <v>7280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42480</v>
      </c>
      <c r="AG95" s="4">
        <f t="shared" ca="1" si="24"/>
        <v>6.333333333333333</v>
      </c>
      <c r="AH95" s="4">
        <f t="shared" si="25"/>
        <v>0.21111111111111111</v>
      </c>
      <c r="AI95">
        <f t="shared" ca="1" si="26"/>
        <v>0</v>
      </c>
      <c r="AJ95">
        <f t="shared" ca="1" si="27"/>
        <v>0</v>
      </c>
      <c r="AK95">
        <f t="shared" ca="1" si="28"/>
        <v>0</v>
      </c>
      <c r="AL95" t="s">
        <v>326</v>
      </c>
      <c r="AO95" t="s">
        <v>76</v>
      </c>
      <c r="AP95" t="s">
        <v>6508</v>
      </c>
      <c r="AQ95" t="s">
        <v>6508</v>
      </c>
      <c r="AR95" t="s">
        <v>6508</v>
      </c>
      <c r="AS95" t="s">
        <v>6508</v>
      </c>
    </row>
    <row r="96" spans="1:45" x14ac:dyDescent="0.3">
      <c r="A96" t="s">
        <v>5628</v>
      </c>
      <c r="B96">
        <f t="shared" si="15"/>
        <v>200094</v>
      </c>
      <c r="C96">
        <v>200026</v>
      </c>
      <c r="D96" t="str">
        <f t="shared" si="16"/>
        <v>rg:{'id': '200026'}</v>
      </c>
      <c r="E96">
        <f>VLOOKUP(C96,Owners.csv!C:J,6,FALSE)</f>
        <v>200076</v>
      </c>
      <c r="F96">
        <f>VLOOKUP(VLOOKUP(E96,LocalAreas.csv!J:L,3,FALSE),ServiceAreas.csv!F:J,5,FALSE)</f>
        <v>10</v>
      </c>
      <c r="G96" t="str">
        <f t="shared" si="17"/>
        <v>rg:{'id': '200076'}</v>
      </c>
      <c r="H96" t="s">
        <v>7635</v>
      </c>
      <c r="I96" t="s">
        <v>5640</v>
      </c>
      <c r="J96">
        <f>VLOOKUP(I96&amp;"-"&amp;F96,DistrictEquipmentTypes.csv!J:K,2,FALSE)</f>
        <v>200004</v>
      </c>
      <c r="K96" t="str">
        <f t="shared" si="18"/>
        <v>rg:{'id': '200004'}</v>
      </c>
      <c r="L96">
        <f t="shared" si="19"/>
        <v>2</v>
      </c>
      <c r="M96" t="str">
        <f>VLOOKUP(C96,Owners.csv!C:K,9,FALSE)&amp;TEXT(Equipment.csv!L96,"0000")</f>
        <v>FAMI0002</v>
      </c>
      <c r="N96" t="s">
        <v>5399</v>
      </c>
      <c r="O96" t="s">
        <v>6703</v>
      </c>
      <c r="P96">
        <v>2009</v>
      </c>
      <c r="Q96">
        <v>48</v>
      </c>
      <c r="R96" t="s">
        <v>6660</v>
      </c>
      <c r="S96" s="1">
        <v>40209</v>
      </c>
      <c r="T96" s="1">
        <v>40211</v>
      </c>
      <c r="U96" t="str">
        <f t="shared" ca="1" si="20"/>
        <v>rg:False</v>
      </c>
      <c r="V96" t="str">
        <f t="shared" ca="1" si="21"/>
        <v>rg:None</v>
      </c>
      <c r="W96" t="s">
        <v>7093</v>
      </c>
      <c r="X96" t="s">
        <v>76</v>
      </c>
      <c r="Y96" t="s">
        <v>76</v>
      </c>
      <c r="Z96" t="s">
        <v>76</v>
      </c>
      <c r="AA96" t="s">
        <v>7440</v>
      </c>
      <c r="AB96" t="s">
        <v>7289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42461</v>
      </c>
      <c r="AG96" s="4">
        <f t="shared" ca="1" si="24"/>
        <v>310.58333333333331</v>
      </c>
      <c r="AH96" s="4">
        <f t="shared" si="25"/>
        <v>6.1638888888888888</v>
      </c>
      <c r="AI96">
        <f t="shared" ca="1" si="26"/>
        <v>25</v>
      </c>
      <c r="AJ96">
        <f t="shared" ca="1" si="27"/>
        <v>180</v>
      </c>
      <c r="AK96">
        <f t="shared" ca="1" si="28"/>
        <v>172</v>
      </c>
      <c r="AL96" t="s">
        <v>326</v>
      </c>
      <c r="AO96" t="s">
        <v>76</v>
      </c>
      <c r="AP96" t="s">
        <v>6508</v>
      </c>
      <c r="AQ96" t="s">
        <v>6508</v>
      </c>
      <c r="AR96" t="s">
        <v>6508</v>
      </c>
      <c r="AS96" t="s">
        <v>6508</v>
      </c>
    </row>
    <row r="97" spans="1:45" x14ac:dyDescent="0.3">
      <c r="A97" t="s">
        <v>5628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200076</v>
      </c>
      <c r="F97">
        <f>VLOOKUP(VLOOKUP(E97,LocalAreas.csv!J:L,3,FALSE),ServiceAreas.csv!F:J,5,FALSE)</f>
        <v>10</v>
      </c>
      <c r="G97" t="str">
        <f t="shared" si="17"/>
        <v>rg:{'id': '200076'}</v>
      </c>
      <c r="H97" t="s">
        <v>7679</v>
      </c>
      <c r="I97" t="s">
        <v>5638</v>
      </c>
      <c r="J97">
        <f>VLOOKUP(I97&amp;"-"&amp;F97,DistrictEquipmentTypes.csv!J:K,2,FALSE)</f>
        <v>200002</v>
      </c>
      <c r="K97" t="str">
        <f t="shared" si="18"/>
        <v>rg:{'id': '200002'}</v>
      </c>
      <c r="L97">
        <f t="shared" si="19"/>
        <v>3</v>
      </c>
      <c r="M97" t="str">
        <f>VLOOKUP(C97,Owners.csv!C:K,9,FALSE)&amp;TEXT(Equipment.csv!L97,"0000")</f>
        <v>FAMI0003</v>
      </c>
      <c r="N97" t="s">
        <v>5399</v>
      </c>
      <c r="O97" t="s">
        <v>6713</v>
      </c>
      <c r="P97">
        <v>1980</v>
      </c>
      <c r="Q97">
        <v>58</v>
      </c>
      <c r="R97" t="s">
        <v>6660</v>
      </c>
      <c r="S97" s="1">
        <v>40016</v>
      </c>
      <c r="T97" s="1">
        <v>40032</v>
      </c>
      <c r="U97" t="str">
        <f t="shared" ca="1" si="20"/>
        <v>rg:False</v>
      </c>
      <c r="V97" t="str">
        <f t="shared" ca="1" si="21"/>
        <v>rg:None</v>
      </c>
      <c r="W97" t="s">
        <v>7103</v>
      </c>
      <c r="X97" t="s">
        <v>76</v>
      </c>
      <c r="Y97" t="s">
        <v>76</v>
      </c>
      <c r="Z97" t="s">
        <v>76</v>
      </c>
      <c r="AA97" t="s">
        <v>7450</v>
      </c>
      <c r="AB97" t="s">
        <v>7244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24"/>
        <v>366.16666666666663</v>
      </c>
      <c r="AH97" s="4">
        <f t="shared" si="25"/>
        <v>6.65</v>
      </c>
      <c r="AI97">
        <f t="shared" ca="1" si="26"/>
        <v>139</v>
      </c>
      <c r="AJ97">
        <f t="shared" ca="1" si="27"/>
        <v>161</v>
      </c>
      <c r="AK97">
        <f t="shared" ca="1" si="28"/>
        <v>200</v>
      </c>
      <c r="AL97" t="s">
        <v>326</v>
      </c>
      <c r="AO97" t="s">
        <v>76</v>
      </c>
      <c r="AP97" t="s">
        <v>6508</v>
      </c>
      <c r="AQ97" t="s">
        <v>6508</v>
      </c>
      <c r="AR97" t="s">
        <v>6508</v>
      </c>
      <c r="AS97" t="s">
        <v>6508</v>
      </c>
    </row>
    <row r="98" spans="1:45" x14ac:dyDescent="0.3">
      <c r="A98" t="s">
        <v>5628</v>
      </c>
      <c r="B98">
        <f t="shared" si="15"/>
        <v>200096</v>
      </c>
      <c r="C98">
        <v>200026</v>
      </c>
      <c r="D98" t="str">
        <f t="shared" si="16"/>
        <v>rg:{'id': '200026'}</v>
      </c>
      <c r="E98">
        <f>VLOOKUP(C98,Owners.csv!C:J,6,FALSE)</f>
        <v>200076</v>
      </c>
      <c r="F98">
        <f>VLOOKUP(VLOOKUP(E98,LocalAreas.csv!J:L,3,FALSE),ServiceAreas.csv!F:J,5,FALSE)</f>
        <v>10</v>
      </c>
      <c r="G98" t="str">
        <f t="shared" si="17"/>
        <v>rg:{'id': '200076'}</v>
      </c>
      <c r="H98" t="s">
        <v>7694</v>
      </c>
      <c r="I98" t="s">
        <v>5649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4</v>
      </c>
      <c r="M98" t="str">
        <f>VLOOKUP(C98,Owners.csv!C:K,9,FALSE)&amp;TEXT(Equipment.csv!L98,"0000")</f>
        <v>FAMI0004</v>
      </c>
      <c r="N98" t="s">
        <v>5399</v>
      </c>
      <c r="O98" t="s">
        <v>6731</v>
      </c>
      <c r="P98">
        <v>2013</v>
      </c>
      <c r="Q98">
        <v>76</v>
      </c>
      <c r="R98" t="s">
        <v>6660</v>
      </c>
      <c r="S98" s="1">
        <v>41573</v>
      </c>
      <c r="T98" s="1">
        <v>41593</v>
      </c>
      <c r="U98" t="str">
        <f t="shared" ca="1" si="20"/>
        <v>rg:False</v>
      </c>
      <c r="V98" t="str">
        <f t="shared" ca="1" si="21"/>
        <v>rg:None</v>
      </c>
      <c r="W98" t="s">
        <v>7121</v>
      </c>
      <c r="X98" t="s">
        <v>76</v>
      </c>
      <c r="Y98" t="s">
        <v>76</v>
      </c>
      <c r="Z98" t="s">
        <v>76</v>
      </c>
      <c r="AA98" t="s">
        <v>7468</v>
      </c>
      <c r="AB98" t="s">
        <v>7310</v>
      </c>
      <c r="AC98">
        <v>0</v>
      </c>
      <c r="AD98" t="str">
        <f t="shared" ca="1" si="22"/>
        <v>rg:False</v>
      </c>
      <c r="AE98" t="str">
        <f t="shared" ref="AE98:AE129" ca="1" si="29">IF(AD98="rg:True","Seniority overridden to test things","rg:None")</f>
        <v>rg:None</v>
      </c>
      <c r="AF98" s="1">
        <v>42481</v>
      </c>
      <c r="AG98" s="4">
        <f t="shared" ca="1" si="24"/>
        <v>175.33333333333331</v>
      </c>
      <c r="AH98" s="4">
        <f t="shared" si="25"/>
        <v>2.3777777777777778</v>
      </c>
      <c r="AI98">
        <f t="shared" ca="1" si="26"/>
        <v>41</v>
      </c>
      <c r="AJ98">
        <f t="shared" ca="1" si="27"/>
        <v>57</v>
      </c>
      <c r="AK98">
        <f t="shared" ca="1" si="28"/>
        <v>0</v>
      </c>
      <c r="AL98" t="s">
        <v>326</v>
      </c>
      <c r="AO98" t="s">
        <v>76</v>
      </c>
      <c r="AP98" t="s">
        <v>6508</v>
      </c>
      <c r="AQ98" t="s">
        <v>6508</v>
      </c>
      <c r="AR98" t="s">
        <v>6508</v>
      </c>
      <c r="AS98" t="s">
        <v>6508</v>
      </c>
    </row>
    <row r="99" spans="1:45" x14ac:dyDescent="0.3">
      <c r="A99" t="s">
        <v>5628</v>
      </c>
      <c r="B99">
        <f t="shared" si="15"/>
        <v>200097</v>
      </c>
      <c r="C99">
        <v>200026</v>
      </c>
      <c r="D99" t="str">
        <f t="shared" si="16"/>
        <v>rg:{'id': '200026'}</v>
      </c>
      <c r="E99">
        <f>VLOOKUP(C99,Owners.csv!C:J,6,FALSE)</f>
        <v>200076</v>
      </c>
      <c r="F99">
        <f>VLOOKUP(VLOOKUP(E99,LocalAreas.csv!J:L,3,FALSE),ServiceAreas.csv!F:J,5,FALSE)</f>
        <v>10</v>
      </c>
      <c r="G99" t="str">
        <f t="shared" si="17"/>
        <v>rg:{'id': '200076'}</v>
      </c>
      <c r="H99" t="s">
        <v>7651</v>
      </c>
      <c r="I99" t="s">
        <v>5649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5</v>
      </c>
      <c r="M99" t="str">
        <f>VLOOKUP(C99,Owners.csv!C:K,9,FALSE)&amp;TEXT(Equipment.csv!L99,"0000")</f>
        <v>FAMI0005</v>
      </c>
      <c r="N99" t="s">
        <v>5399</v>
      </c>
      <c r="O99" t="s">
        <v>6751</v>
      </c>
      <c r="P99">
        <v>1988</v>
      </c>
      <c r="Q99">
        <v>96</v>
      </c>
      <c r="R99" t="s">
        <v>6660</v>
      </c>
      <c r="S99" s="1">
        <v>41606</v>
      </c>
      <c r="T99" s="1">
        <v>41637</v>
      </c>
      <c r="U99" t="str">
        <f t="shared" ca="1" si="20"/>
        <v>rg:False</v>
      </c>
      <c r="V99" t="str">
        <f t="shared" ca="1" si="21"/>
        <v>rg:None</v>
      </c>
      <c r="W99" t="s">
        <v>7141</v>
      </c>
      <c r="X99" t="s">
        <v>76</v>
      </c>
      <c r="Y99" t="s">
        <v>76</v>
      </c>
      <c r="Z99" t="s">
        <v>76</v>
      </c>
      <c r="AA99" t="s">
        <v>7488</v>
      </c>
      <c r="AB99" t="s">
        <v>7325</v>
      </c>
      <c r="AC99">
        <v>0</v>
      </c>
      <c r="AD99" t="str">
        <f t="shared" ca="1" si="22"/>
        <v>rg:False</v>
      </c>
      <c r="AE99" t="str">
        <f t="shared" ca="1" si="29"/>
        <v>rg:None</v>
      </c>
      <c r="AF99" s="1">
        <v>42481</v>
      </c>
      <c r="AG99" s="4">
        <f t="shared" ca="1" si="24"/>
        <v>158.66666666666669</v>
      </c>
      <c r="AH99" s="4">
        <f t="shared" si="25"/>
        <v>2.2555555555555555</v>
      </c>
      <c r="AI99">
        <f t="shared" ca="1" si="26"/>
        <v>2</v>
      </c>
      <c r="AJ99">
        <f t="shared" ca="1" si="27"/>
        <v>68</v>
      </c>
      <c r="AK99">
        <f t="shared" ca="1" si="28"/>
        <v>0</v>
      </c>
      <c r="AL99" t="s">
        <v>326</v>
      </c>
      <c r="AO99" t="s">
        <v>76</v>
      </c>
      <c r="AP99" t="s">
        <v>6508</v>
      </c>
      <c r="AQ99" t="s">
        <v>6508</v>
      </c>
      <c r="AR99" t="s">
        <v>6508</v>
      </c>
      <c r="AS99" t="s">
        <v>6508</v>
      </c>
    </row>
    <row r="100" spans="1:45" x14ac:dyDescent="0.3">
      <c r="A100" t="s">
        <v>5628</v>
      </c>
      <c r="B100">
        <f t="shared" si="15"/>
        <v>200098</v>
      </c>
      <c r="C100">
        <v>200026</v>
      </c>
      <c r="D100" t="str">
        <f t="shared" si="16"/>
        <v>rg:{'id': '200026'}</v>
      </c>
      <c r="E100">
        <f>VLOOKUP(C100,Owners.csv!C:J,6,FALSE)</f>
        <v>200076</v>
      </c>
      <c r="F100">
        <f>VLOOKUP(VLOOKUP(E100,LocalAreas.csv!J:L,3,FALSE),ServiceAreas.csv!F:J,5,FALSE)</f>
        <v>10</v>
      </c>
      <c r="G100" t="str">
        <f t="shared" si="17"/>
        <v>rg:{'id': '200076'}</v>
      </c>
      <c r="H100" t="s">
        <v>7718</v>
      </c>
      <c r="I100" t="s">
        <v>5635</v>
      </c>
      <c r="J100">
        <f>VLOOKUP(I100&amp;"-"&amp;F100,DistrictEquipmentTypes.csv!J:K,2,FALSE)</f>
        <v>200001</v>
      </c>
      <c r="K100" t="str">
        <f t="shared" si="18"/>
        <v>rg:{'id': '200001'}</v>
      </c>
      <c r="L100">
        <f t="shared" si="19"/>
        <v>6</v>
      </c>
      <c r="M100" t="str">
        <f>VLOOKUP(C100,Owners.csv!C:K,9,FALSE)&amp;TEXT(Equipment.csv!L100,"0000")</f>
        <v>FAMI0006</v>
      </c>
      <c r="N100" t="s">
        <v>5399</v>
      </c>
      <c r="O100" t="s">
        <v>6771</v>
      </c>
      <c r="P100">
        <v>1976</v>
      </c>
      <c r="Q100">
        <v>116</v>
      </c>
      <c r="R100" t="s">
        <v>6660</v>
      </c>
      <c r="S100" s="1">
        <v>39955</v>
      </c>
      <c r="T100" s="1">
        <v>39962</v>
      </c>
      <c r="U100" t="str">
        <f t="shared" ca="1" si="20"/>
        <v>rg:False</v>
      </c>
      <c r="V100" t="str">
        <f t="shared" ca="1" si="21"/>
        <v>rg:None</v>
      </c>
      <c r="W100" t="s">
        <v>7161</v>
      </c>
      <c r="X100" t="s">
        <v>76</v>
      </c>
      <c r="Y100" t="s">
        <v>76</v>
      </c>
      <c r="Z100" t="s">
        <v>76</v>
      </c>
      <c r="AA100" t="s">
        <v>7508</v>
      </c>
      <c r="AB100" t="s">
        <v>7341</v>
      </c>
      <c r="AC100">
        <v>0</v>
      </c>
      <c r="AD100" t="str">
        <f t="shared" ca="1" si="22"/>
        <v>rg:False</v>
      </c>
      <c r="AE100" t="str">
        <f t="shared" ca="1" si="29"/>
        <v>rg:None</v>
      </c>
      <c r="AF100" s="1">
        <v>42481</v>
      </c>
      <c r="AG100" s="4">
        <f t="shared" ca="1" si="24"/>
        <v>354.83333333333331</v>
      </c>
      <c r="AH100" s="4">
        <f t="shared" si="25"/>
        <v>6.8388888888888886</v>
      </c>
      <c r="AI100">
        <f t="shared" ca="1" si="26"/>
        <v>170</v>
      </c>
      <c r="AJ100">
        <f t="shared" ca="1" si="27"/>
        <v>166</v>
      </c>
      <c r="AK100">
        <f t="shared" ca="1" si="28"/>
        <v>113</v>
      </c>
      <c r="AL100" t="s">
        <v>326</v>
      </c>
      <c r="AO100" t="s">
        <v>76</v>
      </c>
      <c r="AP100" t="s">
        <v>6508</v>
      </c>
      <c r="AQ100" t="s">
        <v>6508</v>
      </c>
      <c r="AR100" t="s">
        <v>6508</v>
      </c>
      <c r="AS100" t="s">
        <v>6508</v>
      </c>
    </row>
    <row r="101" spans="1:45" x14ac:dyDescent="0.3">
      <c r="A101" t="s">
        <v>5628</v>
      </c>
      <c r="B101">
        <f t="shared" si="15"/>
        <v>200099</v>
      </c>
      <c r="C101">
        <v>200026</v>
      </c>
      <c r="D101" t="str">
        <f t="shared" si="16"/>
        <v>rg:{'id': '200026'}</v>
      </c>
      <c r="E101">
        <f>VLOOKUP(C101,Owners.csv!C:J,6,FALSE)</f>
        <v>200076</v>
      </c>
      <c r="F101">
        <f>VLOOKUP(VLOOKUP(E101,LocalAreas.csv!J:L,3,FALSE),ServiceAreas.csv!F:J,5,FALSE)</f>
        <v>10</v>
      </c>
      <c r="G101" t="str">
        <f t="shared" si="17"/>
        <v>rg:{'id': '200076'}</v>
      </c>
      <c r="H101" t="s">
        <v>7686</v>
      </c>
      <c r="I101" t="s">
        <v>5534</v>
      </c>
      <c r="J101">
        <f>VLOOKUP(I101&amp;"-"&amp;F101,DistrictEquipmentTypes.csv!J:K,2,FALSE)</f>
        <v>200000</v>
      </c>
      <c r="K101" t="str">
        <f t="shared" si="18"/>
        <v>rg:{'id': '200000'}</v>
      </c>
      <c r="L101">
        <f t="shared" si="19"/>
        <v>7</v>
      </c>
      <c r="M101" t="str">
        <f>VLOOKUP(C101,Owners.csv!C:K,9,FALSE)&amp;TEXT(Equipment.csv!L101,"0000")</f>
        <v>FAMI0007</v>
      </c>
      <c r="N101" t="s">
        <v>5399</v>
      </c>
      <c r="O101" t="s">
        <v>6786</v>
      </c>
      <c r="P101">
        <v>1989</v>
      </c>
      <c r="Q101">
        <v>131</v>
      </c>
      <c r="R101" t="s">
        <v>6660</v>
      </c>
      <c r="S101" s="1">
        <v>42575</v>
      </c>
      <c r="T101" s="1">
        <v>42603</v>
      </c>
      <c r="U101" t="str">
        <f t="shared" ca="1" si="20"/>
        <v>rg:False</v>
      </c>
      <c r="V101" t="str">
        <f t="shared" ca="1" si="21"/>
        <v>rg:None</v>
      </c>
      <c r="W101" t="s">
        <v>7176</v>
      </c>
      <c r="X101" t="s">
        <v>76</v>
      </c>
      <c r="Y101" t="s">
        <v>76</v>
      </c>
      <c r="Z101" t="s">
        <v>76</v>
      </c>
      <c r="AA101" t="s">
        <v>7523</v>
      </c>
      <c r="AB101" t="s">
        <v>7249</v>
      </c>
      <c r="AC101">
        <v>0</v>
      </c>
      <c r="AD101" t="str">
        <f t="shared" ca="1" si="22"/>
        <v>rg:False</v>
      </c>
      <c r="AE101" t="str">
        <f t="shared" ca="1" si="29"/>
        <v>rg:None</v>
      </c>
      <c r="AF101" s="1">
        <v>42481</v>
      </c>
      <c r="AG101" s="4">
        <f t="shared" ca="1" si="24"/>
        <v>11.666666666666666</v>
      </c>
      <c r="AH101" s="4">
        <f t="shared" si="25"/>
        <v>0.3888888888888889</v>
      </c>
      <c r="AI101">
        <f t="shared" ca="1" si="26"/>
        <v>0</v>
      </c>
      <c r="AJ101">
        <f t="shared" ca="1" si="27"/>
        <v>0</v>
      </c>
      <c r="AK101">
        <f t="shared" ca="1" si="28"/>
        <v>0</v>
      </c>
      <c r="AL101" t="s">
        <v>326</v>
      </c>
      <c r="AO101" t="s">
        <v>76</v>
      </c>
      <c r="AP101" t="s">
        <v>6508</v>
      </c>
      <c r="AQ101" t="s">
        <v>6508</v>
      </c>
      <c r="AR101" t="s">
        <v>6508</v>
      </c>
      <c r="AS101" t="s">
        <v>6508</v>
      </c>
    </row>
    <row r="102" spans="1:45" x14ac:dyDescent="0.3">
      <c r="A102" t="s">
        <v>5628</v>
      </c>
      <c r="B102">
        <f t="shared" si="15"/>
        <v>200100</v>
      </c>
      <c r="C102">
        <v>200027</v>
      </c>
      <c r="D102" t="str">
        <f t="shared" si="16"/>
        <v>rg:{'id': '200027'}</v>
      </c>
      <c r="E102">
        <f>VLOOKUP(C102,Owners.csv!C:J,6,FALSE)</f>
        <v>200076</v>
      </c>
      <c r="F102">
        <f>VLOOKUP(VLOOKUP(E102,LocalAreas.csv!J:L,3,FALSE),ServiceAreas.csv!F:J,5,FALSE)</f>
        <v>10</v>
      </c>
      <c r="G102" t="str">
        <f t="shared" si="17"/>
        <v>rg:{'id': '200076'}</v>
      </c>
      <c r="H102" t="s">
        <v>7666</v>
      </c>
      <c r="I102" t="s">
        <v>5640</v>
      </c>
      <c r="J102">
        <f>VLOOKUP(I102&amp;"-"&amp;F102,DistrictEquipmentTypes.csv!J:K,2,FALSE)</f>
        <v>200004</v>
      </c>
      <c r="K102" t="str">
        <f t="shared" si="18"/>
        <v>rg:{'id': '200004'}</v>
      </c>
      <c r="L102">
        <f t="shared" si="19"/>
        <v>1</v>
      </c>
      <c r="M102" t="str">
        <f>VLOOKUP(C102,Owners.csv!C:K,9,FALSE)&amp;TEXT(Equipment.csv!L102,"0000")</f>
        <v>FIRS0001</v>
      </c>
      <c r="N102" t="s">
        <v>5399</v>
      </c>
      <c r="O102" t="s">
        <v>6694</v>
      </c>
      <c r="P102">
        <v>1984</v>
      </c>
      <c r="Q102">
        <v>39</v>
      </c>
      <c r="R102" t="s">
        <v>6660</v>
      </c>
      <c r="S102" s="1">
        <v>41019</v>
      </c>
      <c r="T102" s="1">
        <v>41022</v>
      </c>
      <c r="U102" t="str">
        <f t="shared" ca="1" si="20"/>
        <v>rg:False</v>
      </c>
      <c r="V102" t="str">
        <f t="shared" ca="1" si="21"/>
        <v>rg:None</v>
      </c>
      <c r="W102" t="s">
        <v>7084</v>
      </c>
      <c r="X102" t="s">
        <v>76</v>
      </c>
      <c r="Y102" t="s">
        <v>76</v>
      </c>
      <c r="Z102" t="s">
        <v>76</v>
      </c>
      <c r="AA102" t="s">
        <v>7431</v>
      </c>
      <c r="AB102" t="s">
        <v>7281</v>
      </c>
      <c r="AC102">
        <v>0</v>
      </c>
      <c r="AD102" t="str">
        <f t="shared" ca="1" si="22"/>
        <v>rg:False</v>
      </c>
      <c r="AE102" t="str">
        <f t="shared" ca="1" si="29"/>
        <v>rg:None</v>
      </c>
      <c r="AF102" s="1">
        <v>42461</v>
      </c>
      <c r="AG102" s="4">
        <f t="shared" ca="1" si="24"/>
        <v>187.83333333333334</v>
      </c>
      <c r="AH102" s="4">
        <f t="shared" si="25"/>
        <v>3.9388888888888891</v>
      </c>
      <c r="AI102">
        <f t="shared" ca="1" si="26"/>
        <v>46</v>
      </c>
      <c r="AJ102">
        <f t="shared" ca="1" si="27"/>
        <v>130</v>
      </c>
      <c r="AK102">
        <f t="shared" ca="1" si="28"/>
        <v>33</v>
      </c>
      <c r="AL102" t="s">
        <v>326</v>
      </c>
      <c r="AO102" t="s">
        <v>76</v>
      </c>
      <c r="AP102" t="s">
        <v>6508</v>
      </c>
      <c r="AQ102" t="s">
        <v>6508</v>
      </c>
      <c r="AR102" t="s">
        <v>6508</v>
      </c>
      <c r="AS102" t="s">
        <v>6508</v>
      </c>
    </row>
    <row r="103" spans="1:45" x14ac:dyDescent="0.3">
      <c r="A103" t="s">
        <v>5628</v>
      </c>
      <c r="B103">
        <f t="shared" si="15"/>
        <v>200101</v>
      </c>
      <c r="C103">
        <v>200027</v>
      </c>
      <c r="D103" t="str">
        <f t="shared" si="16"/>
        <v>rg:{'id': '200027'}</v>
      </c>
      <c r="E103">
        <f>VLOOKUP(C103,Owners.csv!C:J,6,FALSE)</f>
        <v>200076</v>
      </c>
      <c r="F103">
        <f>VLOOKUP(VLOOKUP(E103,LocalAreas.csv!J:L,3,FALSE),ServiceAreas.csv!F:J,5,FALSE)</f>
        <v>10</v>
      </c>
      <c r="G103" t="str">
        <f t="shared" si="17"/>
        <v>rg:{'id': '200076'}</v>
      </c>
      <c r="H103" t="s">
        <v>7672</v>
      </c>
      <c r="I103" t="s">
        <v>5640</v>
      </c>
      <c r="J103">
        <f>VLOOKUP(I103&amp;"-"&amp;F103,DistrictEquipmentTypes.csv!J:K,2,FALSE)</f>
        <v>200004</v>
      </c>
      <c r="K103" t="str">
        <f t="shared" si="18"/>
        <v>rg:{'id': '200004'}</v>
      </c>
      <c r="L103">
        <f t="shared" si="19"/>
        <v>2</v>
      </c>
      <c r="M103" t="str">
        <f>VLOOKUP(C103,Owners.csv!C:K,9,FALSE)&amp;TEXT(Equipment.csv!L103,"0000")</f>
        <v>FIRS0002</v>
      </c>
      <c r="N103" t="s">
        <v>5399</v>
      </c>
      <c r="O103" t="s">
        <v>6704</v>
      </c>
      <c r="P103">
        <v>1981</v>
      </c>
      <c r="Q103">
        <v>49</v>
      </c>
      <c r="R103" t="s">
        <v>6660</v>
      </c>
      <c r="S103" s="1">
        <v>42240</v>
      </c>
      <c r="T103" s="1">
        <v>42246</v>
      </c>
      <c r="U103" t="str">
        <f t="shared" ca="1" si="20"/>
        <v>rg:False</v>
      </c>
      <c r="V103" t="str">
        <f t="shared" ca="1" si="21"/>
        <v>rg:None</v>
      </c>
      <c r="W103" t="s">
        <v>7094</v>
      </c>
      <c r="X103" t="s">
        <v>76</v>
      </c>
      <c r="Y103" t="s">
        <v>76</v>
      </c>
      <c r="Z103" t="s">
        <v>76</v>
      </c>
      <c r="AA103" t="s">
        <v>7441</v>
      </c>
      <c r="AB103" t="s">
        <v>7290</v>
      </c>
      <c r="AC103">
        <v>0</v>
      </c>
      <c r="AD103" t="str">
        <f t="shared" ca="1" si="22"/>
        <v>rg:False</v>
      </c>
      <c r="AE103" t="str">
        <f t="shared" ca="1" si="29"/>
        <v>rg:None</v>
      </c>
      <c r="AF103" s="1">
        <v>42481</v>
      </c>
      <c r="AG103" s="4">
        <f t="shared" ca="1" si="24"/>
        <v>17.583333333333336</v>
      </c>
      <c r="AH103" s="4">
        <f t="shared" si="25"/>
        <v>0.58611111111111114</v>
      </c>
      <c r="AI103">
        <f t="shared" ca="1" si="26"/>
        <v>0</v>
      </c>
      <c r="AJ103">
        <f t="shared" ca="1" si="27"/>
        <v>0</v>
      </c>
      <c r="AK103">
        <f t="shared" ca="1" si="28"/>
        <v>0</v>
      </c>
      <c r="AL103" t="s">
        <v>326</v>
      </c>
      <c r="AO103" t="s">
        <v>76</v>
      </c>
      <c r="AP103" t="s">
        <v>6508</v>
      </c>
      <c r="AQ103" t="s">
        <v>6508</v>
      </c>
      <c r="AR103" t="s">
        <v>6508</v>
      </c>
      <c r="AS103" t="s">
        <v>6508</v>
      </c>
    </row>
    <row r="104" spans="1:45" x14ac:dyDescent="0.3">
      <c r="A104" t="s">
        <v>5628</v>
      </c>
      <c r="B104">
        <f t="shared" si="15"/>
        <v>200102</v>
      </c>
      <c r="C104">
        <v>200027</v>
      </c>
      <c r="D104" t="str">
        <f t="shared" si="16"/>
        <v>rg:{'id': '200027'}</v>
      </c>
      <c r="E104">
        <f>VLOOKUP(C104,Owners.csv!C:J,6,FALSE)</f>
        <v>200076</v>
      </c>
      <c r="F104">
        <f>VLOOKUP(VLOOKUP(E104,LocalAreas.csv!J:L,3,FALSE),ServiceAreas.csv!F:J,5,FALSE)</f>
        <v>10</v>
      </c>
      <c r="G104" t="str">
        <f t="shared" si="17"/>
        <v>rg:{'id': '200076'}</v>
      </c>
      <c r="H104" t="s">
        <v>7680</v>
      </c>
      <c r="I104" t="s">
        <v>5638</v>
      </c>
      <c r="J104">
        <f>VLOOKUP(I104&amp;"-"&amp;F104,DistrictEquipmentTypes.csv!J:K,2,FALSE)</f>
        <v>200002</v>
      </c>
      <c r="K104" t="str">
        <f t="shared" si="18"/>
        <v>rg:{'id': '200002'}</v>
      </c>
      <c r="L104">
        <f t="shared" si="19"/>
        <v>3</v>
      </c>
      <c r="M104" t="str">
        <f>VLOOKUP(C104,Owners.csv!C:K,9,FALSE)&amp;TEXT(Equipment.csv!L104,"0000")</f>
        <v>FIRS0003</v>
      </c>
      <c r="N104" t="s">
        <v>5399</v>
      </c>
      <c r="O104" t="s">
        <v>6714</v>
      </c>
      <c r="P104">
        <v>1977</v>
      </c>
      <c r="Q104">
        <v>59</v>
      </c>
      <c r="R104" t="s">
        <v>6660</v>
      </c>
      <c r="S104" s="1">
        <v>40658</v>
      </c>
      <c r="T104" s="1">
        <v>40683</v>
      </c>
      <c r="U104" t="str">
        <f t="shared" ca="1" si="20"/>
        <v>rg:False</v>
      </c>
      <c r="V104" t="str">
        <f t="shared" ca="1" si="21"/>
        <v>rg:None</v>
      </c>
      <c r="W104" t="s">
        <v>7104</v>
      </c>
      <c r="X104" t="s">
        <v>76</v>
      </c>
      <c r="Y104" t="s">
        <v>76</v>
      </c>
      <c r="Z104" t="s">
        <v>76</v>
      </c>
      <c r="AA104" t="s">
        <v>7451</v>
      </c>
      <c r="AB104" t="s">
        <v>7298</v>
      </c>
      <c r="AC104">
        <v>0</v>
      </c>
      <c r="AD104" t="str">
        <f t="shared" ca="1" si="22"/>
        <v>rg:False</v>
      </c>
      <c r="AE104" t="str">
        <f t="shared" ca="1" si="29"/>
        <v>rg:None</v>
      </c>
      <c r="AF104" s="1">
        <v>42481</v>
      </c>
      <c r="AG104" s="4">
        <f t="shared" ca="1" si="24"/>
        <v>296.25</v>
      </c>
      <c r="AH104" s="4">
        <f t="shared" si="25"/>
        <v>4.8638888888888889</v>
      </c>
      <c r="AI104">
        <f t="shared" ca="1" si="26"/>
        <v>162</v>
      </c>
      <c r="AJ104">
        <f t="shared" ca="1" si="27"/>
        <v>200</v>
      </c>
      <c r="AK104">
        <f t="shared" ca="1" si="28"/>
        <v>89</v>
      </c>
      <c r="AL104" t="s">
        <v>326</v>
      </c>
      <c r="AO104" t="s">
        <v>76</v>
      </c>
      <c r="AP104" t="s">
        <v>6508</v>
      </c>
      <c r="AQ104" t="s">
        <v>6508</v>
      </c>
      <c r="AR104" t="s">
        <v>6508</v>
      </c>
      <c r="AS104" t="s">
        <v>6508</v>
      </c>
    </row>
    <row r="105" spans="1:45" x14ac:dyDescent="0.3">
      <c r="A105" t="s">
        <v>5628</v>
      </c>
      <c r="B105">
        <f t="shared" si="15"/>
        <v>200103</v>
      </c>
      <c r="C105">
        <v>200027</v>
      </c>
      <c r="D105" t="str">
        <f t="shared" si="16"/>
        <v>rg:{'id': '200027'}</v>
      </c>
      <c r="E105">
        <f>VLOOKUP(C105,Owners.csv!C:J,6,FALSE)</f>
        <v>200076</v>
      </c>
      <c r="F105">
        <f>VLOOKUP(VLOOKUP(E105,LocalAreas.csv!J:L,3,FALSE),ServiceAreas.csv!F:J,5,FALSE)</f>
        <v>10</v>
      </c>
      <c r="G105" t="str">
        <f t="shared" si="17"/>
        <v>rg:{'id': '200076'}</v>
      </c>
      <c r="H105" t="s">
        <v>7666</v>
      </c>
      <c r="I105" t="s">
        <v>5649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4</v>
      </c>
      <c r="M105" t="str">
        <f>VLOOKUP(C105,Owners.csv!C:K,9,FALSE)&amp;TEXT(Equipment.csv!L105,"0000")</f>
        <v>FIRS0004</v>
      </c>
      <c r="N105" t="s">
        <v>5399</v>
      </c>
      <c r="O105" t="s">
        <v>6732</v>
      </c>
      <c r="P105">
        <v>2012</v>
      </c>
      <c r="Q105">
        <v>77</v>
      </c>
      <c r="R105" t="s">
        <v>6660</v>
      </c>
      <c r="S105" s="1">
        <v>42050</v>
      </c>
      <c r="T105" s="1">
        <v>42051</v>
      </c>
      <c r="U105" t="str">
        <f t="shared" ca="1" si="20"/>
        <v>rg:False</v>
      </c>
      <c r="V105" t="str">
        <f t="shared" ca="1" si="21"/>
        <v>rg:None</v>
      </c>
      <c r="W105" t="s">
        <v>7122</v>
      </c>
      <c r="X105" t="s">
        <v>76</v>
      </c>
      <c r="Y105" t="s">
        <v>76</v>
      </c>
      <c r="Z105" t="s">
        <v>76</v>
      </c>
      <c r="AA105" t="s">
        <v>7469</v>
      </c>
      <c r="AB105" t="s">
        <v>7311</v>
      </c>
      <c r="AC105">
        <v>0</v>
      </c>
      <c r="AD105" t="str">
        <f t="shared" ca="1" si="22"/>
        <v>rg:False</v>
      </c>
      <c r="AE105" t="str">
        <f t="shared" ca="1" si="29"/>
        <v>rg:None</v>
      </c>
      <c r="AF105" s="1">
        <v>42481</v>
      </c>
      <c r="AG105" s="4">
        <f t="shared" ca="1" si="24"/>
        <v>86.166666666666671</v>
      </c>
      <c r="AH105" s="4">
        <f t="shared" si="25"/>
        <v>1.125</v>
      </c>
      <c r="AI105">
        <f t="shared" ca="1" si="26"/>
        <v>56</v>
      </c>
      <c r="AJ105">
        <f t="shared" ca="1" si="27"/>
        <v>0</v>
      </c>
      <c r="AK105">
        <f t="shared" ca="1" si="28"/>
        <v>0</v>
      </c>
      <c r="AL105" t="s">
        <v>326</v>
      </c>
      <c r="AO105" t="s">
        <v>76</v>
      </c>
      <c r="AP105" t="s">
        <v>6508</v>
      </c>
      <c r="AQ105" t="s">
        <v>6508</v>
      </c>
      <c r="AR105" t="s">
        <v>6508</v>
      </c>
      <c r="AS105" t="s">
        <v>6508</v>
      </c>
    </row>
    <row r="106" spans="1:45" x14ac:dyDescent="0.3">
      <c r="A106" t="s">
        <v>5628</v>
      </c>
      <c r="B106">
        <f t="shared" si="15"/>
        <v>200104</v>
      </c>
      <c r="C106">
        <v>200027</v>
      </c>
      <c r="D106" t="str">
        <f t="shared" si="16"/>
        <v>rg:{'id': '200027'}</v>
      </c>
      <c r="E106">
        <f>VLOOKUP(C106,Owners.csv!C:J,6,FALSE)</f>
        <v>200076</v>
      </c>
      <c r="F106">
        <f>VLOOKUP(VLOOKUP(E106,LocalAreas.csv!J:L,3,FALSE),ServiceAreas.csv!F:J,5,FALSE)</f>
        <v>10</v>
      </c>
      <c r="G106" t="str">
        <f t="shared" si="17"/>
        <v>rg:{'id': '200076'}</v>
      </c>
      <c r="H106" t="s">
        <v>7706</v>
      </c>
      <c r="I106" t="s">
        <v>5649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5</v>
      </c>
      <c r="M106" t="str">
        <f>VLOOKUP(C106,Owners.csv!C:K,9,FALSE)&amp;TEXT(Equipment.csv!L106,"0000")</f>
        <v>FIRS0005</v>
      </c>
      <c r="N106" t="s">
        <v>5399</v>
      </c>
      <c r="O106" t="s">
        <v>6752</v>
      </c>
      <c r="P106">
        <v>1990</v>
      </c>
      <c r="Q106">
        <v>97</v>
      </c>
      <c r="R106" t="s">
        <v>6660</v>
      </c>
      <c r="S106" s="1">
        <v>39576</v>
      </c>
      <c r="T106" s="1">
        <v>39599</v>
      </c>
      <c r="U106" t="str">
        <f t="shared" ca="1" si="20"/>
        <v>rg:False</v>
      </c>
      <c r="V106" t="str">
        <f t="shared" ca="1" si="21"/>
        <v>rg:None</v>
      </c>
      <c r="W106" t="s">
        <v>7142</v>
      </c>
      <c r="X106" t="s">
        <v>76</v>
      </c>
      <c r="Y106" t="s">
        <v>76</v>
      </c>
      <c r="Z106" t="s">
        <v>76</v>
      </c>
      <c r="AA106" t="s">
        <v>7489</v>
      </c>
      <c r="AB106" t="s">
        <v>7326</v>
      </c>
      <c r="AC106">
        <v>0</v>
      </c>
      <c r="AD106" t="str">
        <f t="shared" ca="1" si="22"/>
        <v>rg:False</v>
      </c>
      <c r="AE106" t="str">
        <f t="shared" ca="1" si="29"/>
        <v>rg:None</v>
      </c>
      <c r="AF106" s="1">
        <v>42481</v>
      </c>
      <c r="AG106" s="4">
        <f t="shared" ca="1" si="24"/>
        <v>564.5</v>
      </c>
      <c r="AH106" s="4">
        <f t="shared" si="25"/>
        <v>7.8361111111111112</v>
      </c>
      <c r="AI106">
        <f t="shared" ca="1" si="26"/>
        <v>85</v>
      </c>
      <c r="AJ106">
        <f t="shared" ca="1" si="27"/>
        <v>126</v>
      </c>
      <c r="AK106">
        <f t="shared" ca="1" si="28"/>
        <v>72</v>
      </c>
      <c r="AL106" t="s">
        <v>326</v>
      </c>
      <c r="AO106" t="s">
        <v>76</v>
      </c>
      <c r="AP106" t="s">
        <v>6508</v>
      </c>
      <c r="AQ106" t="s">
        <v>6508</v>
      </c>
      <c r="AR106" t="s">
        <v>6508</v>
      </c>
      <c r="AS106" t="s">
        <v>6508</v>
      </c>
    </row>
    <row r="107" spans="1:45" x14ac:dyDescent="0.3">
      <c r="A107" t="s">
        <v>5628</v>
      </c>
      <c r="B107">
        <f t="shared" si="15"/>
        <v>200105</v>
      </c>
      <c r="C107">
        <v>200027</v>
      </c>
      <c r="D107" t="str">
        <f t="shared" si="16"/>
        <v>rg:{'id': '200027'}</v>
      </c>
      <c r="E107">
        <f>VLOOKUP(C107,Owners.csv!C:J,6,FALSE)</f>
        <v>200076</v>
      </c>
      <c r="F107">
        <f>VLOOKUP(VLOOKUP(E107,LocalAreas.csv!J:L,3,FALSE),ServiceAreas.csv!F:J,5,FALSE)</f>
        <v>10</v>
      </c>
      <c r="G107" t="str">
        <f t="shared" si="17"/>
        <v>rg:{'id': '200076'}</v>
      </c>
      <c r="H107" t="s">
        <v>7697</v>
      </c>
      <c r="I107" t="s">
        <v>5635</v>
      </c>
      <c r="J107">
        <f>VLOOKUP(I107&amp;"-"&amp;F107,DistrictEquipmentTypes.csv!J:K,2,FALSE)</f>
        <v>200001</v>
      </c>
      <c r="K107" t="str">
        <f t="shared" si="18"/>
        <v>rg:{'id': '200001'}</v>
      </c>
      <c r="L107">
        <f t="shared" si="19"/>
        <v>6</v>
      </c>
      <c r="M107" t="str">
        <f>VLOOKUP(C107,Owners.csv!C:K,9,FALSE)&amp;TEXT(Equipment.csv!L107,"0000")</f>
        <v>FIRS0006</v>
      </c>
      <c r="N107" t="s">
        <v>5399</v>
      </c>
      <c r="O107" t="s">
        <v>6772</v>
      </c>
      <c r="P107">
        <v>2009</v>
      </c>
      <c r="Q107">
        <v>117</v>
      </c>
      <c r="R107" t="s">
        <v>6660</v>
      </c>
      <c r="S107" s="1">
        <v>41270</v>
      </c>
      <c r="T107" s="1">
        <v>41272</v>
      </c>
      <c r="U107" t="str">
        <f t="shared" ca="1" si="20"/>
        <v>rg:False</v>
      </c>
      <c r="V107" t="str">
        <f t="shared" ca="1" si="21"/>
        <v>rg:None</v>
      </c>
      <c r="W107" t="s">
        <v>7162</v>
      </c>
      <c r="X107" t="s">
        <v>76</v>
      </c>
      <c r="Y107" t="s">
        <v>76</v>
      </c>
      <c r="Z107" t="s">
        <v>76</v>
      </c>
      <c r="AA107" t="s">
        <v>7509</v>
      </c>
      <c r="AB107" t="s">
        <v>7342</v>
      </c>
      <c r="AC107">
        <v>0</v>
      </c>
      <c r="AD107" t="str">
        <f t="shared" ca="1" si="22"/>
        <v>rg:False</v>
      </c>
      <c r="AE107" t="str">
        <f t="shared" ca="1" si="29"/>
        <v>rg:None</v>
      </c>
      <c r="AF107" s="1">
        <v>42481</v>
      </c>
      <c r="AG107" s="4">
        <f t="shared" ca="1" si="24"/>
        <v>219</v>
      </c>
      <c r="AH107" s="4">
        <f t="shared" si="25"/>
        <v>3.2555555555555555</v>
      </c>
      <c r="AI107">
        <f t="shared" ca="1" si="26"/>
        <v>146</v>
      </c>
      <c r="AJ107">
        <f t="shared" ca="1" si="27"/>
        <v>38</v>
      </c>
      <c r="AK107">
        <f t="shared" ca="1" si="28"/>
        <v>180</v>
      </c>
      <c r="AL107" t="s">
        <v>326</v>
      </c>
      <c r="AO107" t="s">
        <v>76</v>
      </c>
      <c r="AP107" t="s">
        <v>6508</v>
      </c>
      <c r="AQ107" t="s">
        <v>6508</v>
      </c>
      <c r="AR107" t="s">
        <v>6508</v>
      </c>
      <c r="AS107" t="s">
        <v>6508</v>
      </c>
    </row>
    <row r="108" spans="1:45" x14ac:dyDescent="0.3">
      <c r="A108" t="s">
        <v>5628</v>
      </c>
      <c r="B108">
        <f t="shared" si="15"/>
        <v>200106</v>
      </c>
      <c r="C108">
        <v>200027</v>
      </c>
      <c r="D108" t="str">
        <f t="shared" si="16"/>
        <v>rg:{'id': '200027'}</v>
      </c>
      <c r="E108">
        <f>VLOOKUP(C108,Owners.csv!C:J,6,FALSE)</f>
        <v>200076</v>
      </c>
      <c r="F108">
        <f>VLOOKUP(VLOOKUP(E108,LocalAreas.csv!J:L,3,FALSE),ServiceAreas.csv!F:J,5,FALSE)</f>
        <v>10</v>
      </c>
      <c r="G108" t="str">
        <f t="shared" si="17"/>
        <v>rg:{'id': '200076'}</v>
      </c>
      <c r="H108" t="s">
        <v>7638</v>
      </c>
      <c r="I108" t="s">
        <v>5534</v>
      </c>
      <c r="J108">
        <f>VLOOKUP(I108&amp;"-"&amp;F108,DistrictEquipmentTypes.csv!J:K,2,FALSE)</f>
        <v>200000</v>
      </c>
      <c r="K108" t="str">
        <f t="shared" si="18"/>
        <v>rg:{'id': '200000'}</v>
      </c>
      <c r="L108">
        <f t="shared" si="19"/>
        <v>7</v>
      </c>
      <c r="M108" t="str">
        <f>VLOOKUP(C108,Owners.csv!C:K,9,FALSE)&amp;TEXT(Equipment.csv!L108,"0000")</f>
        <v>FIRS0007</v>
      </c>
      <c r="N108" t="s">
        <v>5399</v>
      </c>
      <c r="O108" t="s">
        <v>6787</v>
      </c>
      <c r="P108">
        <v>1980</v>
      </c>
      <c r="Q108">
        <v>132</v>
      </c>
      <c r="R108" t="s">
        <v>6660</v>
      </c>
      <c r="S108" s="1">
        <v>39750</v>
      </c>
      <c r="T108" s="1">
        <v>39761</v>
      </c>
      <c r="U108" t="str">
        <f t="shared" ca="1" si="20"/>
        <v>rg:False</v>
      </c>
      <c r="V108" t="str">
        <f t="shared" ca="1" si="21"/>
        <v>rg:None</v>
      </c>
      <c r="W108" t="s">
        <v>7177</v>
      </c>
      <c r="X108" t="s">
        <v>76</v>
      </c>
      <c r="Y108" t="s">
        <v>76</v>
      </c>
      <c r="Z108" t="s">
        <v>76</v>
      </c>
      <c r="AA108" t="s">
        <v>7524</v>
      </c>
      <c r="AB108" t="s">
        <v>7352</v>
      </c>
      <c r="AC108">
        <v>0</v>
      </c>
      <c r="AD108" t="str">
        <f t="shared" ca="1" si="22"/>
        <v>rg:False</v>
      </c>
      <c r="AE108" t="str">
        <f t="shared" ca="1" si="29"/>
        <v>rg:None</v>
      </c>
      <c r="AF108" s="1">
        <v>42481</v>
      </c>
      <c r="AG108" s="4">
        <f t="shared" ca="1" si="24"/>
        <v>293.83333333333337</v>
      </c>
      <c r="AH108" s="4">
        <f t="shared" si="25"/>
        <v>7.3944444444444448</v>
      </c>
      <c r="AI108">
        <f t="shared" ca="1" si="26"/>
        <v>50</v>
      </c>
      <c r="AJ108">
        <f t="shared" ca="1" si="27"/>
        <v>132</v>
      </c>
      <c r="AK108">
        <f t="shared" ca="1" si="28"/>
        <v>34</v>
      </c>
      <c r="AL108" t="s">
        <v>326</v>
      </c>
      <c r="AO108" t="s">
        <v>76</v>
      </c>
      <c r="AP108" t="s">
        <v>6508</v>
      </c>
      <c r="AQ108" t="s">
        <v>6508</v>
      </c>
      <c r="AR108" t="s">
        <v>6508</v>
      </c>
      <c r="AS108" t="s">
        <v>6508</v>
      </c>
    </row>
    <row r="109" spans="1:45" x14ac:dyDescent="0.3">
      <c r="A109" t="s">
        <v>5628</v>
      </c>
      <c r="B109">
        <f t="shared" si="15"/>
        <v>200107</v>
      </c>
      <c r="C109">
        <v>200028</v>
      </c>
      <c r="D109" t="str">
        <f t="shared" si="16"/>
        <v>rg:{'id': '200028'}</v>
      </c>
      <c r="E109">
        <f>VLOOKUP(C109,Owners.csv!C:J,6,FALSE)</f>
        <v>200076</v>
      </c>
      <c r="F109">
        <f>VLOOKUP(VLOOKUP(E109,LocalAreas.csv!J:L,3,FALSE),ServiceAreas.csv!F:J,5,FALSE)</f>
        <v>10</v>
      </c>
      <c r="G109" t="str">
        <f t="shared" si="17"/>
        <v>rg:{'id': '200076'}</v>
      </c>
      <c r="H109" t="s">
        <v>7683</v>
      </c>
      <c r="I109" t="s">
        <v>5649</v>
      </c>
      <c r="J109">
        <f>VLOOKUP(I109&amp;"-"&amp;F109,DistrictEquipmentTypes.csv!J:K,2,FALSE)</f>
        <v>200006</v>
      </c>
      <c r="K109" t="str">
        <f t="shared" si="18"/>
        <v>rg:{'id': '200006'}</v>
      </c>
      <c r="L109">
        <f t="shared" si="19"/>
        <v>1</v>
      </c>
      <c r="M109" t="str">
        <f>VLOOKUP(C109,Owners.csv!C:K,9,FALSE)&amp;TEXT(Equipment.csv!L109,"0000")</f>
        <v>FISH0001</v>
      </c>
      <c r="N109" t="s">
        <v>5399</v>
      </c>
      <c r="O109" t="s">
        <v>6733</v>
      </c>
      <c r="P109">
        <v>2008</v>
      </c>
      <c r="Q109">
        <v>78</v>
      </c>
      <c r="R109" t="s">
        <v>6660</v>
      </c>
      <c r="S109" s="1">
        <v>42575</v>
      </c>
      <c r="T109" s="1">
        <v>42586</v>
      </c>
      <c r="U109" t="str">
        <f t="shared" ca="1" si="20"/>
        <v>rg:False</v>
      </c>
      <c r="V109" t="str">
        <f t="shared" ca="1" si="21"/>
        <v>rg:None</v>
      </c>
      <c r="W109" t="s">
        <v>7123</v>
      </c>
      <c r="X109" t="s">
        <v>76</v>
      </c>
      <c r="Y109" t="s">
        <v>76</v>
      </c>
      <c r="Z109" t="s">
        <v>76</v>
      </c>
      <c r="AA109" t="s">
        <v>7470</v>
      </c>
      <c r="AB109" t="s">
        <v>7312</v>
      </c>
      <c r="AC109">
        <v>0</v>
      </c>
      <c r="AD109" t="str">
        <f t="shared" ca="1" si="22"/>
        <v>rg:False</v>
      </c>
      <c r="AE109" t="str">
        <f t="shared" ca="1" si="29"/>
        <v>rg:None</v>
      </c>
      <c r="AF109" s="1">
        <v>42481</v>
      </c>
      <c r="AG109" s="4">
        <f t="shared" ca="1" si="24"/>
        <v>20.5</v>
      </c>
      <c r="AH109" s="4">
        <f t="shared" si="25"/>
        <v>0.34166666666666667</v>
      </c>
      <c r="AI109">
        <f t="shared" ca="1" si="26"/>
        <v>0</v>
      </c>
      <c r="AJ109">
        <f t="shared" ca="1" si="27"/>
        <v>0</v>
      </c>
      <c r="AK109">
        <f t="shared" ca="1" si="28"/>
        <v>0</v>
      </c>
      <c r="AL109" t="s">
        <v>326</v>
      </c>
      <c r="AO109" t="s">
        <v>76</v>
      </c>
      <c r="AP109" t="s">
        <v>6508</v>
      </c>
      <c r="AQ109" t="s">
        <v>6508</v>
      </c>
      <c r="AR109" t="s">
        <v>6508</v>
      </c>
      <c r="AS109" t="s">
        <v>6508</v>
      </c>
    </row>
    <row r="110" spans="1:45" x14ac:dyDescent="0.3">
      <c r="A110" t="s">
        <v>5628</v>
      </c>
      <c r="B110">
        <f t="shared" si="15"/>
        <v>200108</v>
      </c>
      <c r="C110">
        <v>200028</v>
      </c>
      <c r="D110" t="str">
        <f t="shared" si="16"/>
        <v>rg:{'id': '200028'}</v>
      </c>
      <c r="E110">
        <f>VLOOKUP(C110,Owners.csv!C:J,6,FALSE)</f>
        <v>200076</v>
      </c>
      <c r="F110">
        <f>VLOOKUP(VLOOKUP(E110,LocalAreas.csv!J:L,3,FALSE),ServiceAreas.csv!F:J,5,FALSE)</f>
        <v>10</v>
      </c>
      <c r="G110" t="str">
        <f t="shared" si="17"/>
        <v>rg:{'id': '200076'}</v>
      </c>
      <c r="H110" t="s">
        <v>7707</v>
      </c>
      <c r="I110" t="s">
        <v>5649</v>
      </c>
      <c r="J110">
        <f>VLOOKUP(I110&amp;"-"&amp;F110,DistrictEquipmentTypes.csv!J:K,2,FALSE)</f>
        <v>200006</v>
      </c>
      <c r="K110" t="str">
        <f t="shared" si="18"/>
        <v>rg:{'id': '200006'}</v>
      </c>
      <c r="L110">
        <f t="shared" si="19"/>
        <v>2</v>
      </c>
      <c r="M110" t="str">
        <f>VLOOKUP(C110,Owners.csv!C:K,9,FALSE)&amp;TEXT(Equipment.csv!L110,"0000")</f>
        <v>FISH0002</v>
      </c>
      <c r="N110" t="s">
        <v>5399</v>
      </c>
      <c r="O110" t="s">
        <v>6753</v>
      </c>
      <c r="P110">
        <v>2013</v>
      </c>
      <c r="Q110">
        <v>98</v>
      </c>
      <c r="R110" t="s">
        <v>6660</v>
      </c>
      <c r="S110" s="1">
        <v>40320</v>
      </c>
      <c r="T110" s="1">
        <v>40342</v>
      </c>
      <c r="U110" t="str">
        <f t="shared" ca="1" si="20"/>
        <v>rg:False</v>
      </c>
      <c r="V110" t="str">
        <f t="shared" ca="1" si="21"/>
        <v>rg:None</v>
      </c>
      <c r="W110" t="s">
        <v>7143</v>
      </c>
      <c r="X110" t="s">
        <v>76</v>
      </c>
      <c r="Y110" t="s">
        <v>76</v>
      </c>
      <c r="Z110" t="s">
        <v>76</v>
      </c>
      <c r="AA110" t="s">
        <v>7490</v>
      </c>
      <c r="AB110" t="s">
        <v>7327</v>
      </c>
      <c r="AC110">
        <v>0</v>
      </c>
      <c r="AD110" t="str">
        <f t="shared" ca="1" si="22"/>
        <v>rg:False</v>
      </c>
      <c r="AE110" t="str">
        <f t="shared" ca="1" si="29"/>
        <v>rg:None</v>
      </c>
      <c r="AF110" s="1">
        <v>42481</v>
      </c>
      <c r="AG110" s="4">
        <f t="shared" ca="1" si="24"/>
        <v>437</v>
      </c>
      <c r="AH110" s="4">
        <f t="shared" si="25"/>
        <v>5.8</v>
      </c>
      <c r="AI110">
        <f t="shared" ca="1" si="26"/>
        <v>63</v>
      </c>
      <c r="AJ110">
        <f t="shared" ca="1" si="27"/>
        <v>46</v>
      </c>
      <c r="AK110">
        <f t="shared" ca="1" si="28"/>
        <v>158</v>
      </c>
      <c r="AL110" t="s">
        <v>326</v>
      </c>
      <c r="AO110" t="s">
        <v>76</v>
      </c>
      <c r="AP110" t="s">
        <v>6508</v>
      </c>
      <c r="AQ110" t="s">
        <v>6508</v>
      </c>
      <c r="AR110" t="s">
        <v>6508</v>
      </c>
      <c r="AS110" t="s">
        <v>6508</v>
      </c>
    </row>
    <row r="111" spans="1:45" x14ac:dyDescent="0.3">
      <c r="A111" t="s">
        <v>5628</v>
      </c>
      <c r="B111">
        <f t="shared" si="15"/>
        <v>200109</v>
      </c>
      <c r="C111">
        <v>200028</v>
      </c>
      <c r="D111" t="str">
        <f t="shared" si="16"/>
        <v>rg:{'id': '200028'}</v>
      </c>
      <c r="E111">
        <f>VLOOKUP(C111,Owners.csv!C:J,6,FALSE)</f>
        <v>200076</v>
      </c>
      <c r="F111">
        <f>VLOOKUP(VLOOKUP(E111,LocalAreas.csv!J:L,3,FALSE),ServiceAreas.csv!F:J,5,FALSE)</f>
        <v>10</v>
      </c>
      <c r="G111" t="str">
        <f t="shared" si="17"/>
        <v>rg:{'id': '200076'}</v>
      </c>
      <c r="H111" t="s">
        <v>7638</v>
      </c>
      <c r="I111" t="s">
        <v>5635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3</v>
      </c>
      <c r="M111" t="str">
        <f>VLOOKUP(C111,Owners.csv!C:K,9,FALSE)&amp;TEXT(Equipment.csv!L111,"0000")</f>
        <v>FISH0003</v>
      </c>
      <c r="N111" t="s">
        <v>5399</v>
      </c>
      <c r="O111" t="s">
        <v>6773</v>
      </c>
      <c r="P111">
        <v>1985</v>
      </c>
      <c r="Q111">
        <v>118</v>
      </c>
      <c r="R111" t="s">
        <v>6660</v>
      </c>
      <c r="S111" s="1">
        <v>38269</v>
      </c>
      <c r="T111" s="1">
        <v>38271</v>
      </c>
      <c r="U111" t="str">
        <f t="shared" ca="1" si="20"/>
        <v>rg:True</v>
      </c>
      <c r="V111" t="str">
        <f t="shared" ca="1" si="21"/>
        <v>This equipment should be archived</v>
      </c>
      <c r="W111" t="s">
        <v>7163</v>
      </c>
      <c r="X111" t="s">
        <v>76</v>
      </c>
      <c r="Y111" t="s">
        <v>76</v>
      </c>
      <c r="Z111" t="s">
        <v>76</v>
      </c>
      <c r="AA111" t="s">
        <v>7510</v>
      </c>
      <c r="AB111" t="s">
        <v>7343</v>
      </c>
      <c r="AC111">
        <v>0</v>
      </c>
      <c r="AD111" t="str">
        <f t="shared" ca="1" si="22"/>
        <v>rg:False</v>
      </c>
      <c r="AE111" t="str">
        <f t="shared" ca="1" si="29"/>
        <v>rg:None</v>
      </c>
      <c r="AF111" s="1">
        <v>42481</v>
      </c>
      <c r="AG111" s="4">
        <f t="shared" ca="1" si="24"/>
        <v>456.83333333333331</v>
      </c>
      <c r="AH111" s="4">
        <f t="shared" si="25"/>
        <v>11.472222222222221</v>
      </c>
      <c r="AI111">
        <f t="shared" ca="1" si="26"/>
        <v>13</v>
      </c>
      <c r="AJ111">
        <f t="shared" ca="1" si="27"/>
        <v>198</v>
      </c>
      <c r="AK111">
        <f t="shared" ca="1" si="28"/>
        <v>127</v>
      </c>
      <c r="AL111" t="s">
        <v>326</v>
      </c>
      <c r="AO111" t="s">
        <v>76</v>
      </c>
      <c r="AP111" t="s">
        <v>6508</v>
      </c>
      <c r="AQ111" t="s">
        <v>6508</v>
      </c>
      <c r="AR111" t="s">
        <v>6508</v>
      </c>
      <c r="AS111" t="s">
        <v>6508</v>
      </c>
    </row>
    <row r="112" spans="1:45" x14ac:dyDescent="0.3">
      <c r="A112" t="s">
        <v>5628</v>
      </c>
      <c r="B112">
        <f t="shared" si="15"/>
        <v>200110</v>
      </c>
      <c r="C112">
        <v>200028</v>
      </c>
      <c r="D112" t="str">
        <f t="shared" si="16"/>
        <v>rg:{'id': '200028'}</v>
      </c>
      <c r="E112">
        <f>VLOOKUP(C112,Owners.csv!C:J,6,FALSE)</f>
        <v>200076</v>
      </c>
      <c r="F112">
        <f>VLOOKUP(VLOOKUP(E112,LocalAreas.csv!J:L,3,FALSE),ServiceAreas.csv!F:J,5,FALSE)</f>
        <v>10</v>
      </c>
      <c r="G112" t="str">
        <f t="shared" si="17"/>
        <v>rg:{'id': '200076'}</v>
      </c>
      <c r="H112" t="s">
        <v>7713</v>
      </c>
      <c r="I112" t="s">
        <v>5534</v>
      </c>
      <c r="J112">
        <f>VLOOKUP(I112&amp;"-"&amp;F112,DistrictEquipmentTypes.csv!J:K,2,FALSE)</f>
        <v>200000</v>
      </c>
      <c r="K112" t="str">
        <f t="shared" si="18"/>
        <v>rg:{'id': '200000'}</v>
      </c>
      <c r="L112">
        <f t="shared" si="19"/>
        <v>4</v>
      </c>
      <c r="M112" t="str">
        <f>VLOOKUP(C112,Owners.csv!C:K,9,FALSE)&amp;TEXT(Equipment.csv!L112,"0000")</f>
        <v>FISH0004</v>
      </c>
      <c r="N112" t="s">
        <v>5399</v>
      </c>
      <c r="O112" t="s">
        <v>6788</v>
      </c>
      <c r="P112">
        <v>2004</v>
      </c>
      <c r="Q112">
        <v>133</v>
      </c>
      <c r="R112" t="s">
        <v>6660</v>
      </c>
      <c r="S112" s="1">
        <v>40482</v>
      </c>
      <c r="T112" s="1">
        <v>40493</v>
      </c>
      <c r="U112" t="str">
        <f t="shared" ca="1" si="20"/>
        <v>rg:False</v>
      </c>
      <c r="V112" t="str">
        <f t="shared" ca="1" si="21"/>
        <v>rg:None</v>
      </c>
      <c r="W112" t="s">
        <v>7178</v>
      </c>
      <c r="X112" t="s">
        <v>76</v>
      </c>
      <c r="Y112" t="s">
        <v>76</v>
      </c>
      <c r="Z112" t="s">
        <v>76</v>
      </c>
      <c r="AA112" t="s">
        <v>7525</v>
      </c>
      <c r="AB112" t="s">
        <v>7353</v>
      </c>
      <c r="AC112">
        <v>0</v>
      </c>
      <c r="AD112" t="str">
        <f t="shared" ca="1" si="22"/>
        <v>rg:False</v>
      </c>
      <c r="AE112" t="str">
        <f t="shared" ca="1" si="29"/>
        <v>rg:None</v>
      </c>
      <c r="AF112" s="1">
        <v>42481</v>
      </c>
      <c r="AG112" s="4">
        <f t="shared" ca="1" si="24"/>
        <v>306.66666666666669</v>
      </c>
      <c r="AH112" s="4">
        <f t="shared" si="25"/>
        <v>5.3888888888888893</v>
      </c>
      <c r="AI112">
        <f t="shared" ca="1" si="26"/>
        <v>198</v>
      </c>
      <c r="AJ112">
        <f t="shared" ca="1" si="27"/>
        <v>168</v>
      </c>
      <c r="AK112">
        <f t="shared" ca="1" si="28"/>
        <v>69</v>
      </c>
      <c r="AL112" t="s">
        <v>326</v>
      </c>
      <c r="AO112" t="s">
        <v>76</v>
      </c>
      <c r="AP112" t="s">
        <v>6508</v>
      </c>
      <c r="AQ112" t="s">
        <v>6508</v>
      </c>
      <c r="AR112" t="s">
        <v>6508</v>
      </c>
      <c r="AS112" t="s">
        <v>6508</v>
      </c>
    </row>
    <row r="113" spans="1:45" x14ac:dyDescent="0.3">
      <c r="A113" t="s">
        <v>5628</v>
      </c>
      <c r="B113">
        <f t="shared" si="15"/>
        <v>200111</v>
      </c>
      <c r="C113">
        <v>200029</v>
      </c>
      <c r="D113" t="str">
        <f t="shared" si="16"/>
        <v>rg:{'id': '200029'}</v>
      </c>
      <c r="E113">
        <f>VLOOKUP(C113,Owners.csv!C:J,6,FALSE)</f>
        <v>200076</v>
      </c>
      <c r="F113">
        <f>VLOOKUP(VLOOKUP(E113,LocalAreas.csv!J:L,3,FALSE),ServiceAreas.csv!F:J,5,FALSE)</f>
        <v>10</v>
      </c>
      <c r="G113" t="str">
        <f t="shared" si="17"/>
        <v>rg:{'id': '200076'}</v>
      </c>
      <c r="H113" t="s">
        <v>7260</v>
      </c>
      <c r="I113" t="s">
        <v>5649</v>
      </c>
      <c r="J113">
        <f>VLOOKUP(I113&amp;"-"&amp;F113,DistrictEquipmentTypes.csv!J:K,2,FALSE)</f>
        <v>200006</v>
      </c>
      <c r="K113" t="str">
        <f t="shared" si="18"/>
        <v>rg:{'id': '200006'}</v>
      </c>
      <c r="L113">
        <f t="shared" si="19"/>
        <v>1</v>
      </c>
      <c r="M113" t="str">
        <f>VLOOKUP(C113,Owners.csv!C:K,9,FALSE)&amp;TEXT(Equipment.csv!L113,"0000")</f>
        <v>FOOT0001</v>
      </c>
      <c r="N113" t="s">
        <v>5399</v>
      </c>
      <c r="O113" t="s">
        <v>6734</v>
      </c>
      <c r="P113">
        <v>1988</v>
      </c>
      <c r="Q113">
        <v>79</v>
      </c>
      <c r="R113" t="s">
        <v>6660</v>
      </c>
      <c r="S113" s="1">
        <v>40857</v>
      </c>
      <c r="T113" s="1">
        <v>40877</v>
      </c>
      <c r="U113" t="str">
        <f t="shared" ca="1" si="20"/>
        <v>rg:False</v>
      </c>
      <c r="V113" t="str">
        <f t="shared" ca="1" si="21"/>
        <v>rg:None</v>
      </c>
      <c r="W113" t="s">
        <v>7124</v>
      </c>
      <c r="X113" t="s">
        <v>76</v>
      </c>
      <c r="Y113" t="s">
        <v>76</v>
      </c>
      <c r="Z113" t="s">
        <v>76</v>
      </c>
      <c r="AA113" t="s">
        <v>7471</v>
      </c>
      <c r="AB113" t="s">
        <v>7313</v>
      </c>
      <c r="AC113">
        <v>0</v>
      </c>
      <c r="AD113" t="str">
        <f t="shared" ca="1" si="22"/>
        <v>rg:False</v>
      </c>
      <c r="AE113" t="str">
        <f t="shared" ca="1" si="29"/>
        <v>rg:None</v>
      </c>
      <c r="AF113" s="1">
        <v>42481</v>
      </c>
      <c r="AG113" s="4">
        <f t="shared" ca="1" si="24"/>
        <v>413.16666666666669</v>
      </c>
      <c r="AH113" s="4">
        <f t="shared" si="25"/>
        <v>4.3361111111111112</v>
      </c>
      <c r="AI113">
        <f t="shared" ca="1" si="26"/>
        <v>136</v>
      </c>
      <c r="AJ113">
        <f t="shared" ca="1" si="27"/>
        <v>159</v>
      </c>
      <c r="AK113">
        <f t="shared" ca="1" si="28"/>
        <v>164</v>
      </c>
      <c r="AL113" t="s">
        <v>326</v>
      </c>
      <c r="AO113" t="s">
        <v>76</v>
      </c>
      <c r="AP113" t="s">
        <v>6508</v>
      </c>
      <c r="AQ113" t="s">
        <v>6508</v>
      </c>
      <c r="AR113" t="s">
        <v>6508</v>
      </c>
      <c r="AS113" t="s">
        <v>6508</v>
      </c>
    </row>
    <row r="114" spans="1:45" x14ac:dyDescent="0.3">
      <c r="A114" t="s">
        <v>5628</v>
      </c>
      <c r="B114">
        <f t="shared" si="15"/>
        <v>200112</v>
      </c>
      <c r="C114">
        <v>200029</v>
      </c>
      <c r="D114" t="str">
        <f t="shared" si="16"/>
        <v>rg:{'id': '200029'}</v>
      </c>
      <c r="E114">
        <f>VLOOKUP(C114,Owners.csv!C:J,6,FALSE)</f>
        <v>200076</v>
      </c>
      <c r="F114">
        <f>VLOOKUP(VLOOKUP(E114,LocalAreas.csv!J:L,3,FALSE),ServiceAreas.csv!F:J,5,FALSE)</f>
        <v>10</v>
      </c>
      <c r="G114" t="str">
        <f t="shared" si="17"/>
        <v>rg:{'id': '200076'}</v>
      </c>
      <c r="H114" t="s">
        <v>7708</v>
      </c>
      <c r="I114" t="s">
        <v>5649</v>
      </c>
      <c r="J114">
        <f>VLOOKUP(I114&amp;"-"&amp;F114,DistrictEquipmentTypes.csv!J:K,2,FALSE)</f>
        <v>200006</v>
      </c>
      <c r="K114" t="str">
        <f t="shared" si="18"/>
        <v>rg:{'id': '200006'}</v>
      </c>
      <c r="L114">
        <f t="shared" si="19"/>
        <v>2</v>
      </c>
      <c r="M114" t="str">
        <f>VLOOKUP(C114,Owners.csv!C:K,9,FALSE)&amp;TEXT(Equipment.csv!L114,"0000")</f>
        <v>FOOT0002</v>
      </c>
      <c r="N114" t="s">
        <v>5399</v>
      </c>
      <c r="O114" t="s">
        <v>6754</v>
      </c>
      <c r="P114">
        <v>2005</v>
      </c>
      <c r="Q114">
        <v>99</v>
      </c>
      <c r="R114" t="s">
        <v>6660</v>
      </c>
      <c r="S114" s="1">
        <v>41275</v>
      </c>
      <c r="T114" s="1">
        <v>41280</v>
      </c>
      <c r="U114" t="str">
        <f t="shared" ca="1" si="20"/>
        <v>rg:False</v>
      </c>
      <c r="V114" t="str">
        <f t="shared" ca="1" si="21"/>
        <v>rg:None</v>
      </c>
      <c r="W114" t="s">
        <v>7144</v>
      </c>
      <c r="X114" t="s">
        <v>76</v>
      </c>
      <c r="Y114" t="s">
        <v>76</v>
      </c>
      <c r="Z114" t="s">
        <v>76</v>
      </c>
      <c r="AA114" t="s">
        <v>7491</v>
      </c>
      <c r="AB114" t="s">
        <v>7328</v>
      </c>
      <c r="AC114">
        <v>0</v>
      </c>
      <c r="AD114" t="str">
        <f t="shared" ca="1" si="22"/>
        <v>rg:False</v>
      </c>
      <c r="AE114" t="str">
        <f t="shared" ca="1" si="29"/>
        <v>rg:None</v>
      </c>
      <c r="AF114" s="1">
        <v>42481</v>
      </c>
      <c r="AG114" s="4">
        <f t="shared" ca="1" si="24"/>
        <v>331.83333333333331</v>
      </c>
      <c r="AH114" s="4">
        <f t="shared" si="25"/>
        <v>3.2361111111111112</v>
      </c>
      <c r="AI114">
        <f t="shared" ca="1" si="26"/>
        <v>100</v>
      </c>
      <c r="AJ114">
        <f t="shared" ca="1" si="27"/>
        <v>154</v>
      </c>
      <c r="AK114">
        <f t="shared" ca="1" si="28"/>
        <v>159</v>
      </c>
      <c r="AL114" t="s">
        <v>326</v>
      </c>
      <c r="AO114" t="s">
        <v>76</v>
      </c>
      <c r="AP114" t="s">
        <v>6508</v>
      </c>
      <c r="AQ114" t="s">
        <v>6508</v>
      </c>
      <c r="AR114" t="s">
        <v>6508</v>
      </c>
      <c r="AS114" t="s">
        <v>6508</v>
      </c>
    </row>
    <row r="115" spans="1:45" x14ac:dyDescent="0.3">
      <c r="A115" t="s">
        <v>5628</v>
      </c>
      <c r="B115">
        <f t="shared" si="15"/>
        <v>200113</v>
      </c>
      <c r="C115">
        <v>200029</v>
      </c>
      <c r="D115" t="str">
        <f t="shared" si="16"/>
        <v>rg:{'id': '200029'}</v>
      </c>
      <c r="E115">
        <f>VLOOKUP(C115,Owners.csv!C:J,6,FALSE)</f>
        <v>200076</v>
      </c>
      <c r="F115">
        <f>VLOOKUP(VLOOKUP(E115,LocalAreas.csv!J:L,3,FALSE),ServiceAreas.csv!F:J,5,FALSE)</f>
        <v>10</v>
      </c>
      <c r="G115" t="str">
        <f t="shared" si="17"/>
        <v>rg:{'id': '200076'}</v>
      </c>
      <c r="H115" t="s">
        <v>7719</v>
      </c>
      <c r="I115" t="s">
        <v>5635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3</v>
      </c>
      <c r="M115" t="str">
        <f>VLOOKUP(C115,Owners.csv!C:K,9,FALSE)&amp;TEXT(Equipment.csv!L115,"0000")</f>
        <v>FOOT0003</v>
      </c>
      <c r="N115" t="s">
        <v>5399</v>
      </c>
      <c r="O115" t="s">
        <v>6774</v>
      </c>
      <c r="P115">
        <v>1970</v>
      </c>
      <c r="Q115">
        <v>119</v>
      </c>
      <c r="R115" t="s">
        <v>6660</v>
      </c>
      <c r="S115" s="1">
        <v>40252</v>
      </c>
      <c r="T115" s="1">
        <v>40267</v>
      </c>
      <c r="U115" t="str">
        <f t="shared" ca="1" si="20"/>
        <v>rg:True</v>
      </c>
      <c r="V115" t="str">
        <f t="shared" ca="1" si="21"/>
        <v>This equipment should be archived</v>
      </c>
      <c r="W115" t="s">
        <v>7164</v>
      </c>
      <c r="X115" t="s">
        <v>76</v>
      </c>
      <c r="Y115" t="s">
        <v>76</v>
      </c>
      <c r="Z115" t="s">
        <v>76</v>
      </c>
      <c r="AA115" t="s">
        <v>7511</v>
      </c>
      <c r="AB115" t="s">
        <v>7344</v>
      </c>
      <c r="AC115">
        <v>0</v>
      </c>
      <c r="AD115" t="str">
        <f t="shared" ca="1" si="22"/>
        <v>rg:False</v>
      </c>
      <c r="AE115" t="str">
        <f t="shared" ca="1" si="29"/>
        <v>rg:None</v>
      </c>
      <c r="AF115" s="1">
        <v>42481</v>
      </c>
      <c r="AG115" s="4">
        <f t="shared" ca="1" si="24"/>
        <v>295.41666666666669</v>
      </c>
      <c r="AH115" s="4">
        <f t="shared" si="25"/>
        <v>6.0027777777777782</v>
      </c>
      <c r="AI115">
        <f t="shared" ca="1" si="26"/>
        <v>26</v>
      </c>
      <c r="AJ115">
        <f t="shared" ca="1" si="27"/>
        <v>166</v>
      </c>
      <c r="AK115">
        <f t="shared" ca="1" si="28"/>
        <v>154</v>
      </c>
      <c r="AL115" t="s">
        <v>326</v>
      </c>
      <c r="AO115" t="s">
        <v>76</v>
      </c>
      <c r="AP115" t="s">
        <v>6508</v>
      </c>
      <c r="AQ115" t="s">
        <v>6508</v>
      </c>
      <c r="AR115" t="s">
        <v>6508</v>
      </c>
      <c r="AS115" t="s">
        <v>6508</v>
      </c>
    </row>
    <row r="116" spans="1:45" x14ac:dyDescent="0.3">
      <c r="A116" t="s">
        <v>5628</v>
      </c>
      <c r="B116">
        <f t="shared" si="15"/>
        <v>200114</v>
      </c>
      <c r="C116">
        <v>200029</v>
      </c>
      <c r="D116" t="str">
        <f t="shared" si="16"/>
        <v>rg:{'id': '200029'}</v>
      </c>
      <c r="E116">
        <f>VLOOKUP(C116,Owners.csv!C:J,6,FALSE)</f>
        <v>200076</v>
      </c>
      <c r="F116">
        <f>VLOOKUP(VLOOKUP(E116,LocalAreas.csv!J:L,3,FALSE),ServiceAreas.csv!F:J,5,FALSE)</f>
        <v>10</v>
      </c>
      <c r="G116" t="str">
        <f t="shared" si="17"/>
        <v>rg:{'id': '200076'}</v>
      </c>
      <c r="H116" t="s">
        <v>7699</v>
      </c>
      <c r="I116" t="s">
        <v>5534</v>
      </c>
      <c r="J116">
        <f>VLOOKUP(I116&amp;"-"&amp;F116,DistrictEquipmentTypes.csv!J:K,2,FALSE)</f>
        <v>200000</v>
      </c>
      <c r="K116" t="str">
        <f t="shared" si="18"/>
        <v>rg:{'id': '200000'}</v>
      </c>
      <c r="L116">
        <f t="shared" si="19"/>
        <v>4</v>
      </c>
      <c r="M116" t="str">
        <f>VLOOKUP(C116,Owners.csv!C:K,9,FALSE)&amp;TEXT(Equipment.csv!L116,"0000")</f>
        <v>FOOT0004</v>
      </c>
      <c r="N116" t="s">
        <v>5399</v>
      </c>
      <c r="O116" t="s">
        <v>6789</v>
      </c>
      <c r="P116">
        <v>2014</v>
      </c>
      <c r="Q116">
        <v>134</v>
      </c>
      <c r="R116" t="s">
        <v>6660</v>
      </c>
      <c r="S116" s="1">
        <v>37921</v>
      </c>
      <c r="T116" s="1">
        <v>37922</v>
      </c>
      <c r="U116" t="str">
        <f t="shared" ca="1" si="20"/>
        <v>rg:False</v>
      </c>
      <c r="V116" t="str">
        <f t="shared" ca="1" si="21"/>
        <v>rg:None</v>
      </c>
      <c r="W116" t="s">
        <v>7179</v>
      </c>
      <c r="X116" t="s">
        <v>76</v>
      </c>
      <c r="Y116" t="s">
        <v>76</v>
      </c>
      <c r="Z116" t="s">
        <v>76</v>
      </c>
      <c r="AA116" t="s">
        <v>7526</v>
      </c>
      <c r="AB116" t="s">
        <v>7312</v>
      </c>
      <c r="AC116">
        <v>0</v>
      </c>
      <c r="AD116" t="str">
        <f t="shared" ca="1" si="22"/>
        <v>rg:False</v>
      </c>
      <c r="AE116" t="str">
        <f t="shared" ca="1" si="29"/>
        <v>rg:None</v>
      </c>
      <c r="AF116" s="1">
        <v>42481</v>
      </c>
      <c r="AG116" s="4">
        <f t="shared" ca="1" si="24"/>
        <v>488.08333333333331</v>
      </c>
      <c r="AH116" s="4">
        <f t="shared" si="25"/>
        <v>12.425000000000001</v>
      </c>
      <c r="AI116">
        <f t="shared" ca="1" si="26"/>
        <v>107</v>
      </c>
      <c r="AJ116">
        <f t="shared" ca="1" si="27"/>
        <v>79</v>
      </c>
      <c r="AK116">
        <f t="shared" ca="1" si="28"/>
        <v>160</v>
      </c>
      <c r="AL116" t="s">
        <v>326</v>
      </c>
      <c r="AO116" t="s">
        <v>76</v>
      </c>
      <c r="AP116" t="s">
        <v>6508</v>
      </c>
      <c r="AQ116" t="s">
        <v>6508</v>
      </c>
      <c r="AR116" t="s">
        <v>6508</v>
      </c>
      <c r="AS116" t="s">
        <v>6508</v>
      </c>
    </row>
    <row r="117" spans="1:45" x14ac:dyDescent="0.3">
      <c r="A117" t="s">
        <v>5628</v>
      </c>
      <c r="B117">
        <f t="shared" si="15"/>
        <v>200115</v>
      </c>
      <c r="C117">
        <v>200030</v>
      </c>
      <c r="D117" t="str">
        <f t="shared" si="16"/>
        <v>rg:{'id': '200030'}</v>
      </c>
      <c r="E117">
        <f>VLOOKUP(C117,Owners.csv!C:J,6,FALSE)</f>
        <v>200076</v>
      </c>
      <c r="F117">
        <f>VLOOKUP(VLOOKUP(E117,LocalAreas.csv!J:L,3,FALSE),ServiceAreas.csv!F:J,5,FALSE)</f>
        <v>10</v>
      </c>
      <c r="G117" t="str">
        <f t="shared" si="17"/>
        <v>rg:{'id': '200076'}</v>
      </c>
      <c r="H117" t="s">
        <v>7695</v>
      </c>
      <c r="I117" t="s">
        <v>5649</v>
      </c>
      <c r="J117">
        <f>VLOOKUP(I117&amp;"-"&amp;F117,DistrictEquipmentTypes.csv!J:K,2,FALSE)</f>
        <v>200006</v>
      </c>
      <c r="K117" t="str">
        <f t="shared" si="18"/>
        <v>rg:{'id': '200006'}</v>
      </c>
      <c r="L117">
        <f t="shared" si="19"/>
        <v>1</v>
      </c>
      <c r="M117" t="str">
        <f>VLOOKUP(C117,Owners.csv!C:K,9,FALSE)&amp;TEXT(Equipment.csv!L117,"0000")</f>
        <v>GAMM0001</v>
      </c>
      <c r="N117" t="s">
        <v>5399</v>
      </c>
      <c r="O117" t="s">
        <v>6735</v>
      </c>
      <c r="P117">
        <v>1987</v>
      </c>
      <c r="Q117">
        <v>80</v>
      </c>
      <c r="R117" t="s">
        <v>6660</v>
      </c>
      <c r="S117" s="1">
        <v>39772</v>
      </c>
      <c r="T117" s="1">
        <v>39799</v>
      </c>
      <c r="U117" t="str">
        <f t="shared" ca="1" si="20"/>
        <v>rg:False</v>
      </c>
      <c r="V117" t="str">
        <f t="shared" ca="1" si="21"/>
        <v>rg:None</v>
      </c>
      <c r="W117" t="s">
        <v>7125</v>
      </c>
      <c r="X117" t="s">
        <v>76</v>
      </c>
      <c r="Y117" t="s">
        <v>76</v>
      </c>
      <c r="Z117" t="s">
        <v>76</v>
      </c>
      <c r="AA117" t="s">
        <v>7472</v>
      </c>
      <c r="AB117" t="s">
        <v>7256</v>
      </c>
      <c r="AC117">
        <v>0</v>
      </c>
      <c r="AD117" t="str">
        <f t="shared" ca="1" si="22"/>
        <v>rg:False</v>
      </c>
      <c r="AE117" t="str">
        <f t="shared" ca="1" si="29"/>
        <v>rg:None</v>
      </c>
      <c r="AF117" s="1">
        <v>42481</v>
      </c>
      <c r="AG117" s="4">
        <f t="shared" ca="1" si="24"/>
        <v>543.33333333333326</v>
      </c>
      <c r="AH117" s="4">
        <f t="shared" si="25"/>
        <v>7.2888888888888888</v>
      </c>
      <c r="AI117">
        <f t="shared" ca="1" si="26"/>
        <v>135</v>
      </c>
      <c r="AJ117">
        <f t="shared" ca="1" si="27"/>
        <v>73</v>
      </c>
      <c r="AK117">
        <f t="shared" ca="1" si="28"/>
        <v>110</v>
      </c>
      <c r="AL117" t="s">
        <v>326</v>
      </c>
      <c r="AO117" t="s">
        <v>76</v>
      </c>
      <c r="AP117" t="s">
        <v>6508</v>
      </c>
      <c r="AQ117" t="s">
        <v>6508</v>
      </c>
      <c r="AR117" t="s">
        <v>6508</v>
      </c>
      <c r="AS117" t="s">
        <v>6508</v>
      </c>
    </row>
    <row r="118" spans="1:45" x14ac:dyDescent="0.3">
      <c r="A118" t="s">
        <v>5628</v>
      </c>
      <c r="B118">
        <f t="shared" si="15"/>
        <v>200116</v>
      </c>
      <c r="C118">
        <v>200030</v>
      </c>
      <c r="D118" t="str">
        <f t="shared" si="16"/>
        <v>rg:{'id': '200030'}</v>
      </c>
      <c r="E118">
        <f>VLOOKUP(C118,Owners.csv!C:J,6,FALSE)</f>
        <v>200076</v>
      </c>
      <c r="F118">
        <f>VLOOKUP(VLOOKUP(E118,LocalAreas.csv!J:L,3,FALSE),ServiceAreas.csv!F:J,5,FALSE)</f>
        <v>10</v>
      </c>
      <c r="G118" t="str">
        <f t="shared" si="17"/>
        <v>rg:{'id': '200076'}</v>
      </c>
      <c r="H118" t="s">
        <v>7656</v>
      </c>
      <c r="I118" t="s">
        <v>5649</v>
      </c>
      <c r="J118">
        <f>VLOOKUP(I118&amp;"-"&amp;F118,DistrictEquipmentTypes.csv!J:K,2,FALSE)</f>
        <v>200006</v>
      </c>
      <c r="K118" t="str">
        <f t="shared" si="18"/>
        <v>rg:{'id': '200006'}</v>
      </c>
      <c r="L118">
        <f t="shared" si="19"/>
        <v>2</v>
      </c>
      <c r="M118" t="str">
        <f>VLOOKUP(C118,Owners.csv!C:K,9,FALSE)&amp;TEXT(Equipment.csv!L118,"0000")</f>
        <v>GAMM0002</v>
      </c>
      <c r="N118" t="s">
        <v>5399</v>
      </c>
      <c r="O118" t="s">
        <v>6755</v>
      </c>
      <c r="P118">
        <v>1999</v>
      </c>
      <c r="Q118">
        <v>100</v>
      </c>
      <c r="R118" t="s">
        <v>6660</v>
      </c>
      <c r="S118" s="1">
        <v>38948</v>
      </c>
      <c r="T118" s="1">
        <v>38955</v>
      </c>
      <c r="U118" t="str">
        <f t="shared" ca="1" si="20"/>
        <v>rg:False</v>
      </c>
      <c r="V118" t="str">
        <f t="shared" ca="1" si="21"/>
        <v>rg:None</v>
      </c>
      <c r="W118" t="s">
        <v>7145</v>
      </c>
      <c r="X118" t="s">
        <v>76</v>
      </c>
      <c r="Y118" t="s">
        <v>76</v>
      </c>
      <c r="Z118" t="s">
        <v>76</v>
      </c>
      <c r="AA118" t="s">
        <v>7492</v>
      </c>
      <c r="AB118" t="s">
        <v>7329</v>
      </c>
      <c r="AC118">
        <v>0</v>
      </c>
      <c r="AD118" t="str">
        <f t="shared" ca="1" si="22"/>
        <v>rg:False</v>
      </c>
      <c r="AE118" t="str">
        <f t="shared" ca="1" si="29"/>
        <v>rg:None</v>
      </c>
      <c r="AF118" s="1">
        <v>42481</v>
      </c>
      <c r="AG118" s="4">
        <f t="shared" ca="1" si="24"/>
        <v>719.49999999999989</v>
      </c>
      <c r="AH118" s="4">
        <f t="shared" si="25"/>
        <v>9.5972222222222214</v>
      </c>
      <c r="AI118">
        <f t="shared" ca="1" si="26"/>
        <v>72</v>
      </c>
      <c r="AJ118">
        <f t="shared" ca="1" si="27"/>
        <v>182</v>
      </c>
      <c r="AK118">
        <f t="shared" ca="1" si="28"/>
        <v>177</v>
      </c>
      <c r="AL118" t="s">
        <v>326</v>
      </c>
      <c r="AO118" t="s">
        <v>76</v>
      </c>
      <c r="AP118" t="s">
        <v>6508</v>
      </c>
      <c r="AQ118" t="s">
        <v>6508</v>
      </c>
      <c r="AR118" t="s">
        <v>6508</v>
      </c>
      <c r="AS118" t="s">
        <v>6508</v>
      </c>
    </row>
    <row r="119" spans="1:45" x14ac:dyDescent="0.3">
      <c r="A119" t="s">
        <v>5628</v>
      </c>
      <c r="B119">
        <f t="shared" si="15"/>
        <v>200117</v>
      </c>
      <c r="C119">
        <v>200030</v>
      </c>
      <c r="D119" t="str">
        <f t="shared" si="16"/>
        <v>rg:{'id': '200030'}</v>
      </c>
      <c r="E119">
        <f>VLOOKUP(C119,Owners.csv!C:J,6,FALSE)</f>
        <v>200076</v>
      </c>
      <c r="F119">
        <f>VLOOKUP(VLOOKUP(E119,LocalAreas.csv!J:L,3,FALSE),ServiceAreas.csv!F:J,5,FALSE)</f>
        <v>10</v>
      </c>
      <c r="G119" t="str">
        <f t="shared" si="17"/>
        <v>rg:{'id': '200076'}</v>
      </c>
      <c r="H119" t="s">
        <v>7720</v>
      </c>
      <c r="I119" t="s">
        <v>5635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3</v>
      </c>
      <c r="M119" t="str">
        <f>VLOOKUP(C119,Owners.csv!C:K,9,FALSE)&amp;TEXT(Equipment.csv!L119,"0000")</f>
        <v>GAMM0003</v>
      </c>
      <c r="N119" t="s">
        <v>5399</v>
      </c>
      <c r="O119" t="s">
        <v>6775</v>
      </c>
      <c r="P119">
        <v>1996</v>
      </c>
      <c r="Q119">
        <v>120</v>
      </c>
      <c r="R119" t="s">
        <v>6660</v>
      </c>
      <c r="S119" s="1">
        <v>40652</v>
      </c>
      <c r="T119" s="1">
        <v>40674</v>
      </c>
      <c r="U119" t="str">
        <f t="shared" ca="1" si="20"/>
        <v>rg:False</v>
      </c>
      <c r="V119" t="str">
        <f t="shared" ca="1" si="21"/>
        <v>rg:None</v>
      </c>
      <c r="W119" t="s">
        <v>7165</v>
      </c>
      <c r="X119" t="s">
        <v>76</v>
      </c>
      <c r="Y119" t="s">
        <v>76</v>
      </c>
      <c r="Z119" t="s">
        <v>76</v>
      </c>
      <c r="AA119" t="s">
        <v>7512</v>
      </c>
      <c r="AB119" t="s">
        <v>7345</v>
      </c>
      <c r="AC119">
        <v>0</v>
      </c>
      <c r="AD119" t="str">
        <f t="shared" ca="1" si="22"/>
        <v>rg:True</v>
      </c>
      <c r="AE119" t="str">
        <f t="shared" ca="1" si="29"/>
        <v>Seniority overridden to test things</v>
      </c>
      <c r="AF119" s="1">
        <v>42481</v>
      </c>
      <c r="AG119" s="4">
        <f t="shared" ca="1" si="24"/>
        <v>227.66666666666669</v>
      </c>
      <c r="AH119" s="4">
        <f t="shared" si="25"/>
        <v>4.8888888888888893</v>
      </c>
      <c r="AI119">
        <f t="shared" ca="1" si="26"/>
        <v>48</v>
      </c>
      <c r="AJ119">
        <f t="shared" ca="1" si="27"/>
        <v>56</v>
      </c>
      <c r="AK119">
        <f t="shared" ca="1" si="28"/>
        <v>139</v>
      </c>
      <c r="AL119" t="s">
        <v>326</v>
      </c>
      <c r="AO119" t="s">
        <v>76</v>
      </c>
      <c r="AP119" t="s">
        <v>6508</v>
      </c>
      <c r="AQ119" t="s">
        <v>6508</v>
      </c>
      <c r="AR119" t="s">
        <v>6508</v>
      </c>
      <c r="AS119" t="s">
        <v>6508</v>
      </c>
    </row>
    <row r="120" spans="1:45" x14ac:dyDescent="0.3">
      <c r="A120" t="s">
        <v>5628</v>
      </c>
      <c r="B120">
        <f t="shared" si="15"/>
        <v>200118</v>
      </c>
      <c r="C120">
        <v>200030</v>
      </c>
      <c r="D120" t="str">
        <f t="shared" si="16"/>
        <v>rg:{'id': '200030'}</v>
      </c>
      <c r="E120">
        <f>VLOOKUP(C120,Owners.csv!C:J,6,FALSE)</f>
        <v>200076</v>
      </c>
      <c r="F120">
        <f>VLOOKUP(VLOOKUP(E120,LocalAreas.csv!J:L,3,FALSE),ServiceAreas.csv!F:J,5,FALSE)</f>
        <v>10</v>
      </c>
      <c r="G120" t="str">
        <f t="shared" si="17"/>
        <v>rg:{'id': '200076'}</v>
      </c>
      <c r="H120" t="s">
        <v>7727</v>
      </c>
      <c r="I120" t="s">
        <v>5534</v>
      </c>
      <c r="J120">
        <f>VLOOKUP(I120&amp;"-"&amp;F120,DistrictEquipmentTypes.csv!J:K,2,FALSE)</f>
        <v>200000</v>
      </c>
      <c r="K120" t="str">
        <f t="shared" si="18"/>
        <v>rg:{'id': '200000'}</v>
      </c>
      <c r="L120">
        <f t="shared" si="19"/>
        <v>4</v>
      </c>
      <c r="M120" t="str">
        <f>VLOOKUP(C120,Owners.csv!C:K,9,FALSE)&amp;TEXT(Equipment.csv!L120,"0000")</f>
        <v>GAMM0004</v>
      </c>
      <c r="N120" t="s">
        <v>5399</v>
      </c>
      <c r="O120" t="s">
        <v>6790</v>
      </c>
      <c r="P120">
        <v>1991</v>
      </c>
      <c r="Q120">
        <v>135</v>
      </c>
      <c r="R120" t="s">
        <v>6660</v>
      </c>
      <c r="S120" s="1">
        <v>42321</v>
      </c>
      <c r="T120" s="1">
        <v>42351</v>
      </c>
      <c r="U120" t="str">
        <f t="shared" ca="1" si="20"/>
        <v>rg:False</v>
      </c>
      <c r="V120" t="str">
        <f t="shared" ca="1" si="21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7354</v>
      </c>
      <c r="AC120">
        <v>0</v>
      </c>
      <c r="AD120" t="str">
        <f t="shared" ca="1" si="22"/>
        <v>rg:False</v>
      </c>
      <c r="AE120" t="str">
        <f t="shared" ca="1" si="29"/>
        <v>rg:None</v>
      </c>
      <c r="AF120" s="1">
        <v>42481</v>
      </c>
      <c r="AG120" s="4">
        <f t="shared" ca="1" si="24"/>
        <v>9</v>
      </c>
      <c r="AH120" s="4">
        <f t="shared" si="25"/>
        <v>0.3</v>
      </c>
      <c r="AI120">
        <f t="shared" ca="1" si="26"/>
        <v>0</v>
      </c>
      <c r="AJ120">
        <f t="shared" ca="1" si="27"/>
        <v>0</v>
      </c>
      <c r="AK120">
        <f t="shared" ca="1" si="28"/>
        <v>0</v>
      </c>
      <c r="AL120" t="s">
        <v>326</v>
      </c>
      <c r="AO120" t="s">
        <v>76</v>
      </c>
      <c r="AP120" t="s">
        <v>6508</v>
      </c>
      <c r="AQ120" t="s">
        <v>6508</v>
      </c>
      <c r="AR120" t="s">
        <v>6508</v>
      </c>
      <c r="AS120" t="s">
        <v>6508</v>
      </c>
    </row>
    <row r="121" spans="1:45" x14ac:dyDescent="0.3">
      <c r="A121" t="s">
        <v>5628</v>
      </c>
      <c r="B121">
        <f t="shared" si="15"/>
        <v>200119</v>
      </c>
      <c r="C121">
        <v>200031</v>
      </c>
      <c r="D121" t="str">
        <f t="shared" si="16"/>
        <v>rg:{'id': '200031'}</v>
      </c>
      <c r="E121">
        <f>VLOOKUP(C121,Owners.csv!C:J,6,FALSE)</f>
        <v>200076</v>
      </c>
      <c r="F121">
        <f>VLOOKUP(VLOOKUP(E121,LocalAreas.csv!J:L,3,FALSE),ServiceAreas.csv!F:J,5,FALSE)</f>
        <v>10</v>
      </c>
      <c r="G121" t="str">
        <f t="shared" si="17"/>
        <v>rg:{'id': '200076'}</v>
      </c>
      <c r="H121" t="s">
        <v>7650</v>
      </c>
      <c r="I121" t="s">
        <v>5649</v>
      </c>
      <c r="J121">
        <f>VLOOKUP(I121&amp;"-"&amp;F121,DistrictEquipmentTypes.csv!J:K,2,FALSE)</f>
        <v>200006</v>
      </c>
      <c r="K121" t="str">
        <f t="shared" si="18"/>
        <v>rg:{'id': '200006'}</v>
      </c>
      <c r="L121">
        <f t="shared" si="19"/>
        <v>1</v>
      </c>
      <c r="M121" t="str">
        <f>VLOOKUP(C121,Owners.csv!C:K,9,FALSE)&amp;TEXT(Equipment.csv!L121,"0000")</f>
        <v>GARD0001</v>
      </c>
      <c r="N121" t="s">
        <v>5399</v>
      </c>
      <c r="O121" t="s">
        <v>6736</v>
      </c>
      <c r="P121">
        <v>2001</v>
      </c>
      <c r="Q121">
        <v>81</v>
      </c>
      <c r="R121" t="s">
        <v>6660</v>
      </c>
      <c r="S121" s="1">
        <v>42101</v>
      </c>
      <c r="T121" s="1">
        <v>42109</v>
      </c>
      <c r="U121" t="str">
        <f t="shared" ca="1" si="20"/>
        <v>rg:False</v>
      </c>
      <c r="V121" t="str">
        <f t="shared" ca="1" si="21"/>
        <v>rg:None</v>
      </c>
      <c r="W121" t="s">
        <v>7126</v>
      </c>
      <c r="X121" t="s">
        <v>76</v>
      </c>
      <c r="Y121" t="s">
        <v>76</v>
      </c>
      <c r="Z121" t="s">
        <v>76</v>
      </c>
      <c r="AA121" t="s">
        <v>7473</v>
      </c>
      <c r="AB121" t="s">
        <v>7314</v>
      </c>
      <c r="AC121">
        <v>0</v>
      </c>
      <c r="AD121" t="str">
        <f t="shared" ca="1" si="22"/>
        <v>rg:False</v>
      </c>
      <c r="AE121" t="str">
        <f t="shared" ca="1" si="29"/>
        <v>rg:None</v>
      </c>
      <c r="AF121" s="1">
        <v>42481</v>
      </c>
      <c r="AG121" s="4">
        <f t="shared" ca="1" si="24"/>
        <v>57.666666666666671</v>
      </c>
      <c r="AH121" s="4">
        <f t="shared" si="25"/>
        <v>0.96111111111111114</v>
      </c>
      <c r="AI121">
        <f t="shared" ca="1" si="26"/>
        <v>0</v>
      </c>
      <c r="AJ121">
        <f t="shared" ca="1" si="27"/>
        <v>0</v>
      </c>
      <c r="AK121">
        <f t="shared" ca="1" si="28"/>
        <v>0</v>
      </c>
      <c r="AL121" t="s">
        <v>326</v>
      </c>
      <c r="AO121" t="s">
        <v>76</v>
      </c>
      <c r="AP121" t="s">
        <v>6508</v>
      </c>
      <c r="AQ121" t="s">
        <v>6508</v>
      </c>
      <c r="AR121" t="s">
        <v>6508</v>
      </c>
      <c r="AS121" t="s">
        <v>6508</v>
      </c>
    </row>
    <row r="122" spans="1:45" x14ac:dyDescent="0.3">
      <c r="A122" t="s">
        <v>5628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200076</v>
      </c>
      <c r="F122">
        <f>VLOOKUP(VLOOKUP(E122,LocalAreas.csv!J:L,3,FALSE),ServiceAreas.csv!F:J,5,FALSE)</f>
        <v>10</v>
      </c>
      <c r="G122" t="str">
        <f t="shared" si="17"/>
        <v>rg:{'id': '200076'}</v>
      </c>
      <c r="H122" t="s">
        <v>7709</v>
      </c>
      <c r="I122" t="s">
        <v>5649</v>
      </c>
      <c r="J122">
        <f>VLOOKUP(I122&amp;"-"&amp;F122,DistrictEquipmentTypes.csv!J:K,2,FALSE)</f>
        <v>200006</v>
      </c>
      <c r="K122" t="str">
        <f t="shared" si="18"/>
        <v>rg:{'id': '200006'}</v>
      </c>
      <c r="L122">
        <f t="shared" si="19"/>
        <v>2</v>
      </c>
      <c r="M122" t="str">
        <f>VLOOKUP(C122,Owners.csv!C:K,9,FALSE)&amp;TEXT(Equipment.csv!L122,"0000")</f>
        <v>GARD0002</v>
      </c>
      <c r="N122" t="s">
        <v>5399</v>
      </c>
      <c r="O122" t="s">
        <v>6756</v>
      </c>
      <c r="P122">
        <v>1982</v>
      </c>
      <c r="Q122">
        <v>101</v>
      </c>
      <c r="R122" t="s">
        <v>6660</v>
      </c>
      <c r="S122" s="1">
        <v>39213</v>
      </c>
      <c r="T122" s="1">
        <v>39222</v>
      </c>
      <c r="U122" t="str">
        <f t="shared" ca="1" si="20"/>
        <v>rg:False</v>
      </c>
      <c r="V122" t="str">
        <f t="shared" ca="1" si="21"/>
        <v>rg:None</v>
      </c>
      <c r="W122" t="s">
        <v>7146</v>
      </c>
      <c r="X122" t="s">
        <v>76</v>
      </c>
      <c r="Y122" t="s">
        <v>76</v>
      </c>
      <c r="Z122" t="s">
        <v>76</v>
      </c>
      <c r="AA122" t="s">
        <v>7493</v>
      </c>
      <c r="AB122" t="s">
        <v>7274</v>
      </c>
      <c r="AC122">
        <v>0</v>
      </c>
      <c r="AD122" t="str">
        <f t="shared" ca="1" si="22"/>
        <v>rg:False</v>
      </c>
      <c r="AE122" t="str">
        <f t="shared" ca="1" si="29"/>
        <v>rg:None</v>
      </c>
      <c r="AF122" s="1">
        <v>42481</v>
      </c>
      <c r="AG122" s="4">
        <f t="shared" ca="1" si="24"/>
        <v>677.83333333333337</v>
      </c>
      <c r="AH122" s="4">
        <f t="shared" si="25"/>
        <v>8.8638888888888889</v>
      </c>
      <c r="AI122">
        <f t="shared" ca="1" si="26"/>
        <v>71</v>
      </c>
      <c r="AJ122">
        <f t="shared" ca="1" si="27"/>
        <v>171</v>
      </c>
      <c r="AK122">
        <f t="shared" ca="1" si="28"/>
        <v>196</v>
      </c>
      <c r="AL122" t="s">
        <v>326</v>
      </c>
      <c r="AO122" t="s">
        <v>76</v>
      </c>
      <c r="AP122" t="s">
        <v>6508</v>
      </c>
      <c r="AQ122" t="s">
        <v>6508</v>
      </c>
      <c r="AR122" t="s">
        <v>6508</v>
      </c>
      <c r="AS122" t="s">
        <v>6508</v>
      </c>
    </row>
    <row r="123" spans="1:45" x14ac:dyDescent="0.3">
      <c r="A123" t="s">
        <v>5628</v>
      </c>
      <c r="B123">
        <f t="shared" si="15"/>
        <v>200121</v>
      </c>
      <c r="C123">
        <v>200031</v>
      </c>
      <c r="D123" t="str">
        <f t="shared" si="16"/>
        <v>rg:{'id': '200031'}</v>
      </c>
      <c r="E123">
        <f>VLOOKUP(C123,Owners.csv!C:J,6,FALSE)</f>
        <v>200076</v>
      </c>
      <c r="F123">
        <f>VLOOKUP(VLOOKUP(E123,LocalAreas.csv!J:L,3,FALSE),ServiceAreas.csv!F:J,5,FALSE)</f>
        <v>10</v>
      </c>
      <c r="G123" t="str">
        <f t="shared" si="17"/>
        <v>rg:{'id': '200076'}</v>
      </c>
      <c r="H123" t="s">
        <v>7655</v>
      </c>
      <c r="I123" t="s">
        <v>5635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3</v>
      </c>
      <c r="M123" t="str">
        <f>VLOOKUP(C123,Owners.csv!C:K,9,FALSE)&amp;TEXT(Equipment.csv!L123,"0000")</f>
        <v>GARD0003</v>
      </c>
      <c r="N123" t="s">
        <v>5399</v>
      </c>
      <c r="O123" t="s">
        <v>6776</v>
      </c>
      <c r="P123">
        <v>1997</v>
      </c>
      <c r="Q123">
        <v>121</v>
      </c>
      <c r="R123" t="s">
        <v>6660</v>
      </c>
      <c r="S123" s="1">
        <v>40479</v>
      </c>
      <c r="T123" s="1">
        <v>40480</v>
      </c>
      <c r="U123" t="str">
        <f t="shared" ca="1" si="20"/>
        <v>rg:True</v>
      </c>
      <c r="V123" t="str">
        <f t="shared" ca="1" si="21"/>
        <v>This equipment should be archived</v>
      </c>
      <c r="W123" t="s">
        <v>7166</v>
      </c>
      <c r="X123" t="s">
        <v>76</v>
      </c>
      <c r="Y123" t="s">
        <v>76</v>
      </c>
      <c r="Z123" t="s">
        <v>76</v>
      </c>
      <c r="AA123" t="s">
        <v>7513</v>
      </c>
      <c r="AB123" t="s">
        <v>7346</v>
      </c>
      <c r="AC123">
        <v>0</v>
      </c>
      <c r="AD123" t="str">
        <f t="shared" ca="1" si="22"/>
        <v>rg:False</v>
      </c>
      <c r="AE123" t="str">
        <f t="shared" ca="1" si="29"/>
        <v>rg:None</v>
      </c>
      <c r="AF123" s="1">
        <v>42481</v>
      </c>
      <c r="AG123" s="4">
        <f t="shared" ca="1" si="24"/>
        <v>240.33333333333337</v>
      </c>
      <c r="AH123" s="4">
        <f t="shared" si="25"/>
        <v>5.4222222222222225</v>
      </c>
      <c r="AI123">
        <f t="shared" ca="1" si="26"/>
        <v>35</v>
      </c>
      <c r="AJ123">
        <f t="shared" ca="1" si="27"/>
        <v>22</v>
      </c>
      <c r="AK123">
        <f t="shared" ca="1" si="28"/>
        <v>176</v>
      </c>
      <c r="AL123" t="s">
        <v>326</v>
      </c>
      <c r="AO123" t="s">
        <v>76</v>
      </c>
      <c r="AP123" t="s">
        <v>6508</v>
      </c>
      <c r="AQ123" t="s">
        <v>6508</v>
      </c>
      <c r="AR123" t="s">
        <v>6508</v>
      </c>
      <c r="AS123" t="s">
        <v>6508</v>
      </c>
    </row>
    <row r="124" spans="1:45" x14ac:dyDescent="0.3">
      <c r="A124" t="s">
        <v>5628</v>
      </c>
      <c r="B124">
        <f t="shared" si="15"/>
        <v>200122</v>
      </c>
      <c r="C124">
        <v>200031</v>
      </c>
      <c r="D124" t="str">
        <f t="shared" si="16"/>
        <v>rg:{'id': '200031'}</v>
      </c>
      <c r="E124">
        <f>VLOOKUP(C124,Owners.csv!C:J,6,FALSE)</f>
        <v>200076</v>
      </c>
      <c r="F124">
        <f>VLOOKUP(VLOOKUP(E124,LocalAreas.csv!J:L,3,FALSE),ServiceAreas.csv!F:J,5,FALSE)</f>
        <v>10</v>
      </c>
      <c r="G124" t="str">
        <f t="shared" si="17"/>
        <v>rg:{'id': '200076'}</v>
      </c>
      <c r="H124" t="s">
        <v>7728</v>
      </c>
      <c r="I124" t="s">
        <v>5534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4</v>
      </c>
      <c r="M124" t="str">
        <f>VLOOKUP(C124,Owners.csv!C:K,9,FALSE)&amp;TEXT(Equipment.csv!L124,"0000")</f>
        <v>GARD0004</v>
      </c>
      <c r="N124" t="s">
        <v>5399</v>
      </c>
      <c r="O124" t="s">
        <v>6791</v>
      </c>
      <c r="P124">
        <v>2012</v>
      </c>
      <c r="Q124">
        <v>136</v>
      </c>
      <c r="R124" t="s">
        <v>6660</v>
      </c>
      <c r="S124" s="1">
        <v>39653</v>
      </c>
      <c r="T124" s="1">
        <v>39658</v>
      </c>
      <c r="U124" t="str">
        <f t="shared" ca="1" si="20"/>
        <v>rg:False</v>
      </c>
      <c r="V124" t="str">
        <f t="shared" ca="1" si="21"/>
        <v>rg:None</v>
      </c>
      <c r="W124" t="s">
        <v>7181</v>
      </c>
      <c r="X124" t="s">
        <v>76</v>
      </c>
      <c r="Y124" t="s">
        <v>76</v>
      </c>
      <c r="Z124" t="s">
        <v>76</v>
      </c>
      <c r="AA124" t="s">
        <v>7528</v>
      </c>
      <c r="AB124" t="s">
        <v>7305</v>
      </c>
      <c r="AC124">
        <v>0</v>
      </c>
      <c r="AD124" t="str">
        <f t="shared" ca="1" si="22"/>
        <v>rg:False</v>
      </c>
      <c r="AE124" t="str">
        <f t="shared" ca="1" si="29"/>
        <v>rg:None</v>
      </c>
      <c r="AF124" s="1">
        <v>42481</v>
      </c>
      <c r="AG124" s="4">
        <f t="shared" ca="1" si="24"/>
        <v>281.5</v>
      </c>
      <c r="AH124" s="4">
        <f t="shared" si="25"/>
        <v>7.6722222222222225</v>
      </c>
      <c r="AI124">
        <f t="shared" ca="1" si="26"/>
        <v>22</v>
      </c>
      <c r="AJ124">
        <f t="shared" ca="1" si="27"/>
        <v>36</v>
      </c>
      <c r="AK124">
        <f t="shared" ca="1" si="28"/>
        <v>96</v>
      </c>
      <c r="AL124" t="s">
        <v>326</v>
      </c>
      <c r="AO124" t="s">
        <v>76</v>
      </c>
      <c r="AP124" t="s">
        <v>6508</v>
      </c>
      <c r="AQ124" t="s">
        <v>6508</v>
      </c>
      <c r="AR124" t="s">
        <v>6508</v>
      </c>
      <c r="AS124" t="s">
        <v>6508</v>
      </c>
    </row>
    <row r="125" spans="1:45" x14ac:dyDescent="0.3">
      <c r="A125" t="s">
        <v>5628</v>
      </c>
      <c r="B125">
        <f t="shared" si="15"/>
        <v>200123</v>
      </c>
      <c r="C125">
        <v>200032</v>
      </c>
      <c r="D125" t="str">
        <f t="shared" si="16"/>
        <v>rg:{'id': '200032'}</v>
      </c>
      <c r="E125">
        <f>VLOOKUP(C125,Owners.csv!C:J,6,FALSE)</f>
        <v>200077</v>
      </c>
      <c r="F125">
        <f>VLOOKUP(VLOOKUP(E125,LocalAreas.csv!J:L,3,FALSE),ServiceAreas.csv!F:J,5,FALSE)</f>
        <v>10</v>
      </c>
      <c r="G125" t="str">
        <f t="shared" si="17"/>
        <v>rg:{'id': '200077'}</v>
      </c>
      <c r="H125" t="s">
        <v>7696</v>
      </c>
      <c r="I125" t="s">
        <v>5649</v>
      </c>
      <c r="J125">
        <f>VLOOKUP(I125&amp;"-"&amp;F125,DistrictEquipmentTypes.csv!J:K,2,FALSE)</f>
        <v>200006</v>
      </c>
      <c r="K125" t="str">
        <f t="shared" si="18"/>
        <v>rg:{'id': '200006'}</v>
      </c>
      <c r="L125">
        <f t="shared" si="19"/>
        <v>1</v>
      </c>
      <c r="M125" t="str">
        <f>VLOOKUP(C125,Owners.csv!C:K,9,FALSE)&amp;TEXT(Equipment.csv!L125,"0000")</f>
        <v>GASD0001</v>
      </c>
      <c r="N125" t="s">
        <v>5399</v>
      </c>
      <c r="O125" t="s">
        <v>6737</v>
      </c>
      <c r="P125">
        <v>2009</v>
      </c>
      <c r="Q125">
        <v>82</v>
      </c>
      <c r="R125" t="s">
        <v>6660</v>
      </c>
      <c r="S125" s="1">
        <v>42245</v>
      </c>
      <c r="T125" s="1">
        <v>42258</v>
      </c>
      <c r="U125" t="str">
        <f t="shared" ca="1" si="20"/>
        <v>rg:False</v>
      </c>
      <c r="V125" t="str">
        <f t="shared" ca="1" si="21"/>
        <v>rg:None</v>
      </c>
      <c r="W125" t="s">
        <v>7127</v>
      </c>
      <c r="X125" t="s">
        <v>76</v>
      </c>
      <c r="Y125" t="s">
        <v>76</v>
      </c>
      <c r="Z125" t="s">
        <v>76</v>
      </c>
      <c r="AA125" t="s">
        <v>7474</v>
      </c>
      <c r="AB125" t="s">
        <v>7315</v>
      </c>
      <c r="AC125">
        <v>0</v>
      </c>
      <c r="AD125" t="str">
        <f t="shared" ca="1" si="22"/>
        <v>rg:False</v>
      </c>
      <c r="AE125" t="str">
        <f t="shared" ca="1" si="29"/>
        <v>rg:None</v>
      </c>
      <c r="AF125" s="1">
        <v>42481</v>
      </c>
      <c r="AG125" s="4">
        <f t="shared" ca="1" si="24"/>
        <v>33.333333333333336</v>
      </c>
      <c r="AH125" s="4">
        <f t="shared" si="25"/>
        <v>0.55555555555555558</v>
      </c>
      <c r="AI125">
        <f t="shared" ca="1" si="26"/>
        <v>0</v>
      </c>
      <c r="AJ125">
        <f t="shared" ca="1" si="27"/>
        <v>0</v>
      </c>
      <c r="AK125">
        <f t="shared" ca="1" si="28"/>
        <v>0</v>
      </c>
      <c r="AL125" t="s">
        <v>326</v>
      </c>
      <c r="AO125" t="s">
        <v>76</v>
      </c>
      <c r="AP125" t="s">
        <v>6508</v>
      </c>
      <c r="AQ125" t="s">
        <v>6508</v>
      </c>
      <c r="AR125" t="s">
        <v>6508</v>
      </c>
      <c r="AS125" t="s">
        <v>6508</v>
      </c>
    </row>
    <row r="126" spans="1:45" x14ac:dyDescent="0.3">
      <c r="A126" t="s">
        <v>5628</v>
      </c>
      <c r="B126">
        <f t="shared" si="15"/>
        <v>200124</v>
      </c>
      <c r="C126">
        <v>200032</v>
      </c>
      <c r="D126" t="str">
        <f t="shared" si="16"/>
        <v>rg:{'id': '200032'}</v>
      </c>
      <c r="E126">
        <f>VLOOKUP(C126,Owners.csv!C:J,6,FALSE)</f>
        <v>200077</v>
      </c>
      <c r="F126">
        <f>VLOOKUP(VLOOKUP(E126,LocalAreas.csv!J:L,3,FALSE),ServiceAreas.csv!F:J,5,FALSE)</f>
        <v>10</v>
      </c>
      <c r="G126" t="str">
        <f t="shared" si="17"/>
        <v>rg:{'id': '200077'}</v>
      </c>
      <c r="H126" t="s">
        <v>7648</v>
      </c>
      <c r="I126" t="s">
        <v>5649</v>
      </c>
      <c r="J126">
        <f>VLOOKUP(I126&amp;"-"&amp;F126,DistrictEquipmentTypes.csv!J:K,2,FALSE)</f>
        <v>200006</v>
      </c>
      <c r="K126" t="str">
        <f t="shared" si="18"/>
        <v>rg:{'id': '200006'}</v>
      </c>
      <c r="L126">
        <f t="shared" si="19"/>
        <v>2</v>
      </c>
      <c r="M126" t="str">
        <f>VLOOKUP(C126,Owners.csv!C:K,9,FALSE)&amp;TEXT(Equipment.csv!L126,"0000")</f>
        <v>GASD0002</v>
      </c>
      <c r="N126" t="s">
        <v>5399</v>
      </c>
      <c r="O126" t="s">
        <v>6757</v>
      </c>
      <c r="P126">
        <v>1982</v>
      </c>
      <c r="Q126">
        <v>102</v>
      </c>
      <c r="R126" t="s">
        <v>6660</v>
      </c>
      <c r="S126" s="1">
        <v>39905</v>
      </c>
      <c r="T126" s="1">
        <v>39930</v>
      </c>
      <c r="U126" t="str">
        <f t="shared" ca="1" si="20"/>
        <v>rg:False</v>
      </c>
      <c r="V126" t="str">
        <f t="shared" ca="1" si="21"/>
        <v>rg:None</v>
      </c>
      <c r="W126" t="s">
        <v>7147</v>
      </c>
      <c r="X126" t="s">
        <v>76</v>
      </c>
      <c r="Y126" t="s">
        <v>76</v>
      </c>
      <c r="Z126" t="s">
        <v>76</v>
      </c>
      <c r="AA126" t="s">
        <v>7494</v>
      </c>
      <c r="AB126" t="s">
        <v>7330</v>
      </c>
      <c r="AC126">
        <v>0</v>
      </c>
      <c r="AD126" t="str">
        <f t="shared" ca="1" si="22"/>
        <v>rg:False</v>
      </c>
      <c r="AE126" t="str">
        <f t="shared" ca="1" si="29"/>
        <v>rg:None</v>
      </c>
      <c r="AF126" s="1">
        <v>42481</v>
      </c>
      <c r="AG126" s="4">
        <f t="shared" ca="1" si="24"/>
        <v>501</v>
      </c>
      <c r="AH126" s="4">
        <f t="shared" si="25"/>
        <v>6.927777777777778</v>
      </c>
      <c r="AI126">
        <f t="shared" ca="1" si="26"/>
        <v>122</v>
      </c>
      <c r="AJ126">
        <f t="shared" ca="1" si="27"/>
        <v>124</v>
      </c>
      <c r="AK126">
        <f t="shared" ca="1" si="28"/>
        <v>10</v>
      </c>
      <c r="AL126" t="s">
        <v>326</v>
      </c>
      <c r="AO126" t="s">
        <v>76</v>
      </c>
      <c r="AP126" t="s">
        <v>6508</v>
      </c>
      <c r="AQ126" t="s">
        <v>6508</v>
      </c>
      <c r="AR126" t="s">
        <v>6508</v>
      </c>
      <c r="AS126" t="s">
        <v>6508</v>
      </c>
    </row>
    <row r="127" spans="1:45" x14ac:dyDescent="0.3">
      <c r="A127" t="s">
        <v>5628</v>
      </c>
      <c r="B127">
        <f t="shared" si="15"/>
        <v>200125</v>
      </c>
      <c r="C127">
        <v>200032</v>
      </c>
      <c r="D127" t="str">
        <f t="shared" si="16"/>
        <v>rg:{'id': '200032'}</v>
      </c>
      <c r="E127">
        <f>VLOOKUP(C127,Owners.csv!C:J,6,FALSE)</f>
        <v>200077</v>
      </c>
      <c r="F127">
        <f>VLOOKUP(VLOOKUP(E127,LocalAreas.csv!J:L,3,FALSE),ServiceAreas.csv!F:J,5,FALSE)</f>
        <v>10</v>
      </c>
      <c r="G127" t="str">
        <f t="shared" si="17"/>
        <v>rg:{'id': '200077'}</v>
      </c>
      <c r="H127" t="s">
        <v>7662</v>
      </c>
      <c r="I127" t="s">
        <v>5635</v>
      </c>
      <c r="J127">
        <f>VLOOKUP(I127&amp;"-"&amp;F127,DistrictEquipmentTypes.csv!J:K,2,FALSE)</f>
        <v>200001</v>
      </c>
      <c r="K127" t="str">
        <f t="shared" si="18"/>
        <v>rg:{'id': '200001'}</v>
      </c>
      <c r="L127">
        <f t="shared" si="19"/>
        <v>3</v>
      </c>
      <c r="M127" t="str">
        <f>VLOOKUP(C127,Owners.csv!C:K,9,FALSE)&amp;TEXT(Equipment.csv!L127,"0000")</f>
        <v>GASD0003</v>
      </c>
      <c r="N127" t="s">
        <v>5399</v>
      </c>
      <c r="O127" t="s">
        <v>6777</v>
      </c>
      <c r="P127">
        <v>2016</v>
      </c>
      <c r="Q127">
        <v>122</v>
      </c>
      <c r="R127" t="s">
        <v>6660</v>
      </c>
      <c r="S127" s="1">
        <v>41406</v>
      </c>
      <c r="T127" s="1">
        <v>41429</v>
      </c>
      <c r="U127" t="str">
        <f t="shared" ca="1" si="20"/>
        <v>rg:False</v>
      </c>
      <c r="V127" t="str">
        <f t="shared" ca="1" si="21"/>
        <v>rg:None</v>
      </c>
      <c r="W127" t="s">
        <v>7167</v>
      </c>
      <c r="X127" t="s">
        <v>76</v>
      </c>
      <c r="Y127" t="s">
        <v>76</v>
      </c>
      <c r="Z127" t="s">
        <v>76</v>
      </c>
      <c r="AA127" t="s">
        <v>7514</v>
      </c>
      <c r="AB127" t="s">
        <v>7324</v>
      </c>
      <c r="AC127">
        <v>0</v>
      </c>
      <c r="AD127" t="str">
        <f t="shared" ca="1" si="22"/>
        <v>rg:False</v>
      </c>
      <c r="AE127" t="str">
        <f t="shared" ca="1" si="29"/>
        <v>rg:None</v>
      </c>
      <c r="AF127" s="1">
        <v>42481</v>
      </c>
      <c r="AG127" s="4">
        <f t="shared" ca="1" si="24"/>
        <v>144.41666666666666</v>
      </c>
      <c r="AH127" s="4">
        <f t="shared" si="25"/>
        <v>2.8250000000000002</v>
      </c>
      <c r="AI127">
        <f t="shared" ca="1" si="26"/>
        <v>31</v>
      </c>
      <c r="AJ127">
        <f t="shared" ca="1" si="27"/>
        <v>148</v>
      </c>
      <c r="AK127">
        <f t="shared" ca="1" si="28"/>
        <v>0</v>
      </c>
      <c r="AL127" t="s">
        <v>326</v>
      </c>
      <c r="AO127" t="s">
        <v>76</v>
      </c>
      <c r="AP127" t="s">
        <v>6508</v>
      </c>
      <c r="AQ127" t="s">
        <v>6508</v>
      </c>
      <c r="AR127" t="s">
        <v>6508</v>
      </c>
      <c r="AS127" t="s">
        <v>6508</v>
      </c>
    </row>
    <row r="128" spans="1:45" x14ac:dyDescent="0.3">
      <c r="A128" t="s">
        <v>5628</v>
      </c>
      <c r="B128">
        <f t="shared" si="15"/>
        <v>200126</v>
      </c>
      <c r="C128">
        <v>200032</v>
      </c>
      <c r="D128" t="str">
        <f t="shared" si="16"/>
        <v>rg:{'id': '200032'}</v>
      </c>
      <c r="E128">
        <f>VLOOKUP(C128,Owners.csv!C:J,6,FALSE)</f>
        <v>200077</v>
      </c>
      <c r="F128">
        <f>VLOOKUP(VLOOKUP(E128,LocalAreas.csv!J:L,3,FALSE),ServiceAreas.csv!F:J,5,FALSE)</f>
        <v>10</v>
      </c>
      <c r="G128" t="str">
        <f t="shared" si="17"/>
        <v>rg:{'id': '200077'}</v>
      </c>
      <c r="H128" t="s">
        <v>7656</v>
      </c>
      <c r="I128" t="s">
        <v>5534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4</v>
      </c>
      <c r="M128" t="str">
        <f>VLOOKUP(C128,Owners.csv!C:K,9,FALSE)&amp;TEXT(Equipment.csv!L128,"0000")</f>
        <v>GASD0004</v>
      </c>
      <c r="N128" t="s">
        <v>5399</v>
      </c>
      <c r="O128" t="s">
        <v>6792</v>
      </c>
      <c r="P128">
        <v>1975</v>
      </c>
      <c r="Q128">
        <v>137</v>
      </c>
      <c r="R128" t="s">
        <v>6660</v>
      </c>
      <c r="S128" s="1">
        <v>39032</v>
      </c>
      <c r="T128" s="1">
        <v>39035</v>
      </c>
      <c r="U128" t="str">
        <f t="shared" ca="1" si="20"/>
        <v>rg:False</v>
      </c>
      <c r="V128" t="str">
        <f t="shared" ca="1" si="21"/>
        <v>rg:None</v>
      </c>
      <c r="W128" t="s">
        <v>7182</v>
      </c>
      <c r="X128" t="s">
        <v>76</v>
      </c>
      <c r="Y128" t="s">
        <v>76</v>
      </c>
      <c r="Z128" t="s">
        <v>76</v>
      </c>
      <c r="AA128" t="s">
        <v>7529</v>
      </c>
      <c r="AB128" t="s">
        <v>7355</v>
      </c>
      <c r="AC128">
        <v>0</v>
      </c>
      <c r="AD128" t="str">
        <f t="shared" ca="1" si="22"/>
        <v>rg:False</v>
      </c>
      <c r="AE128" t="str">
        <f t="shared" ca="1" si="29"/>
        <v>rg:None</v>
      </c>
      <c r="AF128" s="1">
        <v>42481</v>
      </c>
      <c r="AG128" s="4">
        <f t="shared" ca="1" si="24"/>
        <v>382.75</v>
      </c>
      <c r="AH128" s="4">
        <f t="shared" si="25"/>
        <v>9.3805555555555564</v>
      </c>
      <c r="AI128">
        <f t="shared" ca="1" si="26"/>
        <v>65</v>
      </c>
      <c r="AJ128">
        <f t="shared" ca="1" si="27"/>
        <v>65</v>
      </c>
      <c r="AK128">
        <f t="shared" ca="1" si="28"/>
        <v>174</v>
      </c>
      <c r="AL128" t="s">
        <v>326</v>
      </c>
      <c r="AO128" t="s">
        <v>76</v>
      </c>
      <c r="AP128" t="s">
        <v>6508</v>
      </c>
      <c r="AQ128" t="s">
        <v>6508</v>
      </c>
      <c r="AR128" t="s">
        <v>6508</v>
      </c>
      <c r="AS128" t="s">
        <v>6508</v>
      </c>
    </row>
    <row r="129" spans="1:45" x14ac:dyDescent="0.3">
      <c r="A129" t="s">
        <v>5628</v>
      </c>
      <c r="B129">
        <f t="shared" si="15"/>
        <v>200127</v>
      </c>
      <c r="C129">
        <v>200033</v>
      </c>
      <c r="D129" t="str">
        <f t="shared" si="16"/>
        <v>rg:{'id': '200033'}</v>
      </c>
      <c r="E129">
        <f>VLOOKUP(C129,Owners.csv!C:J,6,FALSE)</f>
        <v>200077</v>
      </c>
      <c r="F129">
        <f>VLOOKUP(VLOOKUP(E129,LocalAreas.csv!J:L,3,FALSE),ServiceAreas.csv!F:J,5,FALSE)</f>
        <v>10</v>
      </c>
      <c r="G129" t="str">
        <f t="shared" si="17"/>
        <v>rg:{'id': '200077'}</v>
      </c>
      <c r="H129" t="s">
        <v>7697</v>
      </c>
      <c r="I129" t="s">
        <v>5649</v>
      </c>
      <c r="J129">
        <f>VLOOKUP(I129&amp;"-"&amp;F129,DistrictEquipmentTypes.csv!J:K,2,FALSE)</f>
        <v>200006</v>
      </c>
      <c r="K129" t="str">
        <f t="shared" si="18"/>
        <v>rg:{'id': '200006'}</v>
      </c>
      <c r="L129">
        <f t="shared" si="19"/>
        <v>1</v>
      </c>
      <c r="M129" t="str">
        <f>VLOOKUP(C129,Owners.csv!C:K,9,FALSE)&amp;TEXT(Equipment.csv!L129,"0000")</f>
        <v>GERI0001</v>
      </c>
      <c r="N129" t="s">
        <v>5399</v>
      </c>
      <c r="O129" t="s">
        <v>6738</v>
      </c>
      <c r="P129">
        <v>2003</v>
      </c>
      <c r="Q129">
        <v>83</v>
      </c>
      <c r="R129" t="s">
        <v>6660</v>
      </c>
      <c r="S129" s="1">
        <v>41663</v>
      </c>
      <c r="T129" s="1">
        <v>41682</v>
      </c>
      <c r="U129" t="str">
        <f t="shared" ca="1" si="20"/>
        <v>rg:False</v>
      </c>
      <c r="V129" t="str">
        <f t="shared" ca="1" si="21"/>
        <v>rg:None</v>
      </c>
      <c r="W129" t="s">
        <v>7128</v>
      </c>
      <c r="X129" t="s">
        <v>76</v>
      </c>
      <c r="Y129" t="s">
        <v>76</v>
      </c>
      <c r="Z129" t="s">
        <v>76</v>
      </c>
      <c r="AA129" t="s">
        <v>7475</v>
      </c>
      <c r="AB129" t="s">
        <v>7316</v>
      </c>
      <c r="AC129">
        <v>0</v>
      </c>
      <c r="AD129" t="str">
        <f t="shared" ca="1" si="22"/>
        <v>rg:False</v>
      </c>
      <c r="AE129" t="str">
        <f t="shared" ca="1" si="29"/>
        <v>rg:None</v>
      </c>
      <c r="AF129" s="1">
        <v>42481</v>
      </c>
      <c r="AG129" s="4">
        <f t="shared" ca="1" si="24"/>
        <v>161.5</v>
      </c>
      <c r="AH129" s="4">
        <f t="shared" si="25"/>
        <v>2.1361111111111111</v>
      </c>
      <c r="AI129">
        <f t="shared" ca="1" si="26"/>
        <v>64</v>
      </c>
      <c r="AJ129">
        <f t="shared" ca="1" si="27"/>
        <v>36</v>
      </c>
      <c r="AK129">
        <f t="shared" ca="1" si="28"/>
        <v>0</v>
      </c>
      <c r="AL129" t="s">
        <v>326</v>
      </c>
      <c r="AO129" t="s">
        <v>76</v>
      </c>
      <c r="AP129" t="s">
        <v>6508</v>
      </c>
      <c r="AQ129" t="s">
        <v>6508</v>
      </c>
      <c r="AR129" t="s">
        <v>6508</v>
      </c>
      <c r="AS129" t="s">
        <v>6508</v>
      </c>
    </row>
    <row r="130" spans="1:45" x14ac:dyDescent="0.3">
      <c r="A130" t="s">
        <v>5628</v>
      </c>
      <c r="B130">
        <f t="shared" ref="B130:B193" si="30">IF(ISNUMBER(B129),B129+1,200000)</f>
        <v>200128</v>
      </c>
      <c r="C130">
        <v>200033</v>
      </c>
      <c r="D130" t="str">
        <f t="shared" ref="D130:D193" si="31">"rg:{'id': '"&amp;C130&amp;"'}"</f>
        <v>rg:{'id': '200033'}</v>
      </c>
      <c r="E130">
        <f>VLOOKUP(C130,Owners.csv!C:J,6,FALSE)</f>
        <v>200077</v>
      </c>
      <c r="F130">
        <f>VLOOKUP(VLOOKUP(E130,LocalAreas.csv!J:L,3,FALSE),ServiceAreas.csv!F:J,5,FALSE)</f>
        <v>10</v>
      </c>
      <c r="G130" t="str">
        <f t="shared" ref="G130:G193" si="32">"rg:{'id': '"&amp;E130&amp;"'}"</f>
        <v>rg:{'id': '200077'}</v>
      </c>
      <c r="H130" t="s">
        <v>7710</v>
      </c>
      <c r="I130" t="s">
        <v>5649</v>
      </c>
      <c r="J130">
        <f>VLOOKUP(I130&amp;"-"&amp;F130,DistrictEquipmentTypes.csv!J:K,2,FALSE)</f>
        <v>200006</v>
      </c>
      <c r="K130" t="str">
        <f t="shared" ref="K130:K193" si="33">"rg:{'id': '"&amp;J130&amp;"'}"</f>
        <v>rg:{'id': '200006'}</v>
      </c>
      <c r="L130">
        <f t="shared" ref="L130:L193" si="34">IF(C130=C129,L129+1,1)</f>
        <v>2</v>
      </c>
      <c r="M130" t="str">
        <f>VLOOKUP(C130,Owners.csv!C:K,9,FALSE)&amp;TEXT(Equipment.csv!L130,"0000")</f>
        <v>GERI0002</v>
      </c>
      <c r="N130" t="s">
        <v>5399</v>
      </c>
      <c r="O130" t="s">
        <v>6758</v>
      </c>
      <c r="P130">
        <v>1997</v>
      </c>
      <c r="Q130">
        <v>103</v>
      </c>
      <c r="R130" t="s">
        <v>6660</v>
      </c>
      <c r="S130" s="1">
        <v>40478</v>
      </c>
      <c r="T130" s="1">
        <v>40479</v>
      </c>
      <c r="U130" t="str">
        <f t="shared" ref="U130:U193" ca="1" si="35">IF(RANDBETWEEN(1,10)&gt;1,"rg:False","rg:True")</f>
        <v>rg:False</v>
      </c>
      <c r="V130" t="str">
        <f t="shared" ref="V130:V193" ca="1" si="36">IF(U130="rg:True","This equipment should be archived","rg:None")</f>
        <v>rg:None</v>
      </c>
      <c r="W130" t="s">
        <v>7148</v>
      </c>
      <c r="X130" t="s">
        <v>76</v>
      </c>
      <c r="Y130" t="s">
        <v>76</v>
      </c>
      <c r="Z130" t="s">
        <v>76</v>
      </c>
      <c r="AA130" t="s">
        <v>7495</v>
      </c>
      <c r="AB130" t="s">
        <v>7331</v>
      </c>
      <c r="AC130">
        <v>0</v>
      </c>
      <c r="AD130" t="str">
        <f t="shared" ref="AD130:AD193" ca="1" si="37">IF(RANDBETWEEN(1,20)&gt;1,"rg:False","rg:True")</f>
        <v>rg:False</v>
      </c>
      <c r="AE130" t="str">
        <f t="shared" ref="AE130:AE161" ca="1" si="38">IF(AD130="rg:True","Seniority overridden to test things","rg:None")</f>
        <v>rg:None</v>
      </c>
      <c r="AF130" s="1">
        <v>42481</v>
      </c>
      <c r="AG130" s="4">
        <f t="shared" ref="AG130:AG193" ca="1" si="39">IF(I130="Dump Truck",60,30)*AH130+(AVERAGE(AI130:AK130))</f>
        <v>449.5</v>
      </c>
      <c r="AH130" s="4">
        <f t="shared" ref="AH130:AH193" si="40">YEARFRAC(DATE("2016","4","1"),T130)</f>
        <v>5.4249999999999998</v>
      </c>
      <c r="AI130">
        <f t="shared" ref="AI130:AI193" ca="1" si="41">IF(AH130&lt;1,0,RANDBETWEEN(0,200))</f>
        <v>115</v>
      </c>
      <c r="AJ130">
        <f t="shared" ref="AJ130:AJ193" ca="1" si="42">IF(AH130&lt;2,0,RANDBETWEEN(0,200))</f>
        <v>75</v>
      </c>
      <c r="AK130">
        <f t="shared" ref="AK130:AK193" ca="1" si="43">IF(AH130&lt;3,0,RANDBETWEEN(0,200))</f>
        <v>182</v>
      </c>
      <c r="AL130" t="s">
        <v>326</v>
      </c>
      <c r="AO130" t="s">
        <v>76</v>
      </c>
      <c r="AP130" t="s">
        <v>6508</v>
      </c>
      <c r="AQ130" t="s">
        <v>6508</v>
      </c>
      <c r="AR130" t="s">
        <v>6508</v>
      </c>
      <c r="AS130" t="s">
        <v>6508</v>
      </c>
    </row>
    <row r="131" spans="1:45" x14ac:dyDescent="0.3">
      <c r="A131" t="s">
        <v>5628</v>
      </c>
      <c r="B131">
        <f t="shared" si="30"/>
        <v>200129</v>
      </c>
      <c r="C131">
        <v>200034</v>
      </c>
      <c r="D131" t="str">
        <f t="shared" si="31"/>
        <v>rg:{'id': '200034'}</v>
      </c>
      <c r="E131">
        <f>VLOOKUP(C131,Owners.csv!C:J,6,FALSE)</f>
        <v>200077</v>
      </c>
      <c r="F131">
        <f>VLOOKUP(VLOOKUP(E131,LocalAreas.csv!J:L,3,FALSE),ServiceAreas.csv!F:J,5,FALSE)</f>
        <v>10</v>
      </c>
      <c r="G131" t="str">
        <f t="shared" si="32"/>
        <v>rg:{'id': '200077'}</v>
      </c>
      <c r="H131" t="s">
        <v>7668</v>
      </c>
      <c r="I131" t="s">
        <v>5649</v>
      </c>
      <c r="J131">
        <f>VLOOKUP(I131&amp;"-"&amp;F131,DistrictEquipmentTypes.csv!J:K,2,FALSE)</f>
        <v>200006</v>
      </c>
      <c r="K131" t="str">
        <f t="shared" si="33"/>
        <v>rg:{'id': '200006'}</v>
      </c>
      <c r="L131">
        <f t="shared" si="34"/>
        <v>1</v>
      </c>
      <c r="M131" t="str">
        <f>VLOOKUP(C131,Owners.csv!C:K,9,FALSE)&amp;TEXT(Equipment.csv!L131,"0000")</f>
        <v>GRAS0001</v>
      </c>
      <c r="N131" t="s">
        <v>5399</v>
      </c>
      <c r="O131" t="s">
        <v>6739</v>
      </c>
      <c r="P131">
        <v>2012</v>
      </c>
      <c r="Q131">
        <v>84</v>
      </c>
      <c r="R131" t="s">
        <v>6660</v>
      </c>
      <c r="S131" s="1">
        <v>38931</v>
      </c>
      <c r="T131" s="1">
        <v>38940</v>
      </c>
      <c r="U131" t="str">
        <f t="shared" ca="1" si="35"/>
        <v>rg:False</v>
      </c>
      <c r="V131" t="str">
        <f t="shared" ca="1" si="36"/>
        <v>rg:None</v>
      </c>
      <c r="W131" t="s">
        <v>7129</v>
      </c>
      <c r="X131" t="s">
        <v>76</v>
      </c>
      <c r="Y131" t="s">
        <v>76</v>
      </c>
      <c r="Z131" t="s">
        <v>76</v>
      </c>
      <c r="AA131" t="s">
        <v>7476</v>
      </c>
      <c r="AB131" t="s">
        <v>7317</v>
      </c>
      <c r="AC131">
        <v>0</v>
      </c>
      <c r="AD131" t="str">
        <f t="shared" ca="1" si="37"/>
        <v>rg:False</v>
      </c>
      <c r="AE131" t="str">
        <f t="shared" ca="1" si="38"/>
        <v>rg:None</v>
      </c>
      <c r="AF131" s="1">
        <v>42481</v>
      </c>
      <c r="AG131" s="4">
        <f t="shared" ca="1" si="39"/>
        <v>685</v>
      </c>
      <c r="AH131" s="4">
        <f t="shared" si="40"/>
        <v>9.6388888888888893</v>
      </c>
      <c r="AI131">
        <f t="shared" ca="1" si="41"/>
        <v>153</v>
      </c>
      <c r="AJ131">
        <f t="shared" ca="1" si="42"/>
        <v>166</v>
      </c>
      <c r="AK131">
        <f t="shared" ca="1" si="43"/>
        <v>1</v>
      </c>
      <c r="AL131" t="s">
        <v>326</v>
      </c>
      <c r="AO131" t="s">
        <v>76</v>
      </c>
      <c r="AP131" t="s">
        <v>6508</v>
      </c>
      <c r="AQ131" t="s">
        <v>6508</v>
      </c>
      <c r="AR131" t="s">
        <v>6508</v>
      </c>
      <c r="AS131" t="s">
        <v>6508</v>
      </c>
    </row>
    <row r="132" spans="1:45" x14ac:dyDescent="0.3">
      <c r="A132" t="s">
        <v>5628</v>
      </c>
      <c r="B132">
        <f t="shared" si="30"/>
        <v>200130</v>
      </c>
      <c r="C132">
        <v>200034</v>
      </c>
      <c r="D132" t="str">
        <f t="shared" si="31"/>
        <v>rg:{'id': '200034'}</v>
      </c>
      <c r="E132">
        <f>VLOOKUP(C132,Owners.csv!C:J,6,FALSE)</f>
        <v>200077</v>
      </c>
      <c r="F132">
        <f>VLOOKUP(VLOOKUP(E132,LocalAreas.csv!J:L,3,FALSE),ServiceAreas.csv!F:J,5,FALSE)</f>
        <v>10</v>
      </c>
      <c r="G132" t="str">
        <f t="shared" si="32"/>
        <v>rg:{'id': '200077'}</v>
      </c>
      <c r="H132" t="s">
        <v>7711</v>
      </c>
      <c r="I132" t="s">
        <v>5649</v>
      </c>
      <c r="J132">
        <f>VLOOKUP(I132&amp;"-"&amp;F132,DistrictEquipmentTypes.csv!J:K,2,FALSE)</f>
        <v>200006</v>
      </c>
      <c r="K132" t="str">
        <f t="shared" si="33"/>
        <v>rg:{'id': '200006'}</v>
      </c>
      <c r="L132">
        <f t="shared" si="34"/>
        <v>2</v>
      </c>
      <c r="M132" t="str">
        <f>VLOOKUP(C132,Owners.csv!C:K,9,FALSE)&amp;TEXT(Equipment.csv!L132,"0000")</f>
        <v>GRAS0002</v>
      </c>
      <c r="N132" t="s">
        <v>5399</v>
      </c>
      <c r="O132" t="s">
        <v>6759</v>
      </c>
      <c r="P132">
        <v>2006</v>
      </c>
      <c r="Q132">
        <v>104</v>
      </c>
      <c r="R132" t="s">
        <v>6660</v>
      </c>
      <c r="S132" s="1">
        <v>37953</v>
      </c>
      <c r="T132" s="1">
        <v>37961</v>
      </c>
      <c r="U132" t="str">
        <f t="shared" ca="1" si="35"/>
        <v>rg:False</v>
      </c>
      <c r="V132" t="str">
        <f t="shared" ca="1" si="36"/>
        <v>rg:None</v>
      </c>
      <c r="W132" t="s">
        <v>7149</v>
      </c>
      <c r="X132" t="s">
        <v>76</v>
      </c>
      <c r="Y132" t="s">
        <v>76</v>
      </c>
      <c r="Z132" t="s">
        <v>76</v>
      </c>
      <c r="AA132" t="s">
        <v>7496</v>
      </c>
      <c r="AB132" t="s">
        <v>7332</v>
      </c>
      <c r="AC132">
        <v>0</v>
      </c>
      <c r="AD132" t="str">
        <f t="shared" ca="1" si="37"/>
        <v>rg:False</v>
      </c>
      <c r="AE132" t="str">
        <f t="shared" ca="1" si="38"/>
        <v>rg:None</v>
      </c>
      <c r="AF132" s="1">
        <v>42481</v>
      </c>
      <c r="AG132" s="4">
        <f t="shared" ca="1" si="39"/>
        <v>839.83333333333326</v>
      </c>
      <c r="AH132" s="4">
        <f t="shared" si="40"/>
        <v>12.319444444444445</v>
      </c>
      <c r="AI132">
        <f t="shared" ca="1" si="41"/>
        <v>133</v>
      </c>
      <c r="AJ132">
        <f t="shared" ca="1" si="42"/>
        <v>149</v>
      </c>
      <c r="AK132">
        <f t="shared" ca="1" si="43"/>
        <v>20</v>
      </c>
      <c r="AL132" t="s">
        <v>326</v>
      </c>
      <c r="AO132" t="s">
        <v>76</v>
      </c>
      <c r="AP132" t="s">
        <v>6508</v>
      </c>
      <c r="AQ132" t="s">
        <v>6508</v>
      </c>
      <c r="AR132" t="s">
        <v>6508</v>
      </c>
      <c r="AS132" t="s">
        <v>6508</v>
      </c>
    </row>
    <row r="133" spans="1:45" x14ac:dyDescent="0.3">
      <c r="A133" t="s">
        <v>5628</v>
      </c>
      <c r="B133">
        <f t="shared" si="30"/>
        <v>200131</v>
      </c>
      <c r="C133">
        <v>200035</v>
      </c>
      <c r="D133" t="str">
        <f t="shared" si="31"/>
        <v>rg:{'id': '200035'}</v>
      </c>
      <c r="E133">
        <f>VLOOKUP(C133,Owners.csv!C:J,6,FALSE)</f>
        <v>200077</v>
      </c>
      <c r="F133">
        <f>VLOOKUP(VLOOKUP(E133,LocalAreas.csv!J:L,3,FALSE),ServiceAreas.csv!F:J,5,FALSE)</f>
        <v>10</v>
      </c>
      <c r="G133" t="str">
        <f t="shared" si="32"/>
        <v>rg:{'id': '200077'}</v>
      </c>
      <c r="H133" t="s">
        <v>7698</v>
      </c>
      <c r="I133" t="s">
        <v>5649</v>
      </c>
      <c r="J133">
        <f>VLOOKUP(I133&amp;"-"&amp;F133,DistrictEquipmentTypes.csv!J:K,2,FALSE)</f>
        <v>200006</v>
      </c>
      <c r="K133" t="str">
        <f t="shared" si="33"/>
        <v>rg:{'id': '200006'}</v>
      </c>
      <c r="L133">
        <f t="shared" si="34"/>
        <v>1</v>
      </c>
      <c r="M133" t="str">
        <f>VLOOKUP(C133,Owners.csv!C:K,9,FALSE)&amp;TEXT(Equipment.csv!L133,"0000")</f>
        <v>GREA0001</v>
      </c>
      <c r="N133" t="s">
        <v>5399</v>
      </c>
      <c r="O133" t="s">
        <v>6740</v>
      </c>
      <c r="P133">
        <v>1982</v>
      </c>
      <c r="Q133">
        <v>85</v>
      </c>
      <c r="R133" t="s">
        <v>6660</v>
      </c>
      <c r="S133" s="1">
        <v>39211</v>
      </c>
      <c r="T133" s="1">
        <v>39222</v>
      </c>
      <c r="U133" t="str">
        <f t="shared" ca="1" si="35"/>
        <v>rg:False</v>
      </c>
      <c r="V133" t="str">
        <f t="shared" ca="1" si="36"/>
        <v>rg:None</v>
      </c>
      <c r="W133" t="s">
        <v>7130</v>
      </c>
      <c r="X133" t="s">
        <v>76</v>
      </c>
      <c r="Y133" t="s">
        <v>76</v>
      </c>
      <c r="Z133" t="s">
        <v>76</v>
      </c>
      <c r="AA133" t="s">
        <v>7477</v>
      </c>
      <c r="AB133" t="s">
        <v>7318</v>
      </c>
      <c r="AC133">
        <v>0</v>
      </c>
      <c r="AD133" t="str">
        <f t="shared" ca="1" si="37"/>
        <v>rg:False</v>
      </c>
      <c r="AE133" t="str">
        <f t="shared" ca="1" si="38"/>
        <v>rg:None</v>
      </c>
      <c r="AF133" s="1">
        <v>42481</v>
      </c>
      <c r="AG133" s="4">
        <f t="shared" ca="1" si="39"/>
        <v>632.16666666666674</v>
      </c>
      <c r="AH133" s="4">
        <f t="shared" si="40"/>
        <v>8.8638888888888889</v>
      </c>
      <c r="AI133">
        <f t="shared" ca="1" si="41"/>
        <v>107</v>
      </c>
      <c r="AJ133">
        <f t="shared" ca="1" si="42"/>
        <v>23</v>
      </c>
      <c r="AK133">
        <f t="shared" ca="1" si="43"/>
        <v>171</v>
      </c>
      <c r="AL133" t="s">
        <v>326</v>
      </c>
      <c r="AO133" t="s">
        <v>76</v>
      </c>
      <c r="AP133" t="s">
        <v>6508</v>
      </c>
      <c r="AQ133" t="s">
        <v>6508</v>
      </c>
      <c r="AR133" t="s">
        <v>6508</v>
      </c>
      <c r="AS133" t="s">
        <v>6508</v>
      </c>
    </row>
    <row r="134" spans="1:45" x14ac:dyDescent="0.3">
      <c r="A134" t="s">
        <v>5628</v>
      </c>
      <c r="B134">
        <f t="shared" si="30"/>
        <v>200132</v>
      </c>
      <c r="C134">
        <v>200035</v>
      </c>
      <c r="D134" t="str">
        <f t="shared" si="31"/>
        <v>rg:{'id': '200035'}</v>
      </c>
      <c r="E134">
        <f>VLOOKUP(C134,Owners.csv!C:J,6,FALSE)</f>
        <v>200077</v>
      </c>
      <c r="F134">
        <f>VLOOKUP(VLOOKUP(E134,LocalAreas.csv!J:L,3,FALSE),ServiceAreas.csv!F:J,5,FALSE)</f>
        <v>10</v>
      </c>
      <c r="G134" t="str">
        <f t="shared" si="32"/>
        <v>rg:{'id': '200077'}</v>
      </c>
      <c r="H134" t="s">
        <v>7712</v>
      </c>
      <c r="I134" t="s">
        <v>5649</v>
      </c>
      <c r="J134">
        <f>VLOOKUP(I134&amp;"-"&amp;F134,DistrictEquipmentTypes.csv!J:K,2,FALSE)</f>
        <v>200006</v>
      </c>
      <c r="K134" t="str">
        <f t="shared" si="33"/>
        <v>rg:{'id': '200006'}</v>
      </c>
      <c r="L134">
        <f t="shared" si="34"/>
        <v>2</v>
      </c>
      <c r="M134" t="str">
        <f>VLOOKUP(C134,Owners.csv!C:K,9,FALSE)&amp;TEXT(Equipment.csv!L134,"0000")</f>
        <v>GREA0002</v>
      </c>
      <c r="N134" t="s">
        <v>5399</v>
      </c>
      <c r="O134" t="s">
        <v>6760</v>
      </c>
      <c r="P134">
        <v>1992</v>
      </c>
      <c r="Q134">
        <v>105</v>
      </c>
      <c r="R134" t="s">
        <v>6660</v>
      </c>
      <c r="S134" s="1">
        <v>39654</v>
      </c>
      <c r="T134" s="1">
        <v>39671</v>
      </c>
      <c r="U134" t="str">
        <f t="shared" ca="1" si="35"/>
        <v>rg:True</v>
      </c>
      <c r="V134" t="str">
        <f t="shared" ca="1" si="36"/>
        <v>This equipment should be archived</v>
      </c>
      <c r="W134" t="s">
        <v>7150</v>
      </c>
      <c r="X134" t="s">
        <v>76</v>
      </c>
      <c r="Y134" t="s">
        <v>76</v>
      </c>
      <c r="Z134" t="s">
        <v>76</v>
      </c>
      <c r="AA134" t="s">
        <v>7497</v>
      </c>
      <c r="AB134" t="s">
        <v>7333</v>
      </c>
      <c r="AC134">
        <v>0</v>
      </c>
      <c r="AD134" t="str">
        <f t="shared" ca="1" si="37"/>
        <v>rg:False</v>
      </c>
      <c r="AE134" t="str">
        <f t="shared" ca="1" si="38"/>
        <v>rg:None</v>
      </c>
      <c r="AF134" s="1">
        <v>42481</v>
      </c>
      <c r="AG134" s="4">
        <f t="shared" ca="1" si="39"/>
        <v>564.33333333333337</v>
      </c>
      <c r="AH134" s="4">
        <f t="shared" si="40"/>
        <v>7.6388888888888893</v>
      </c>
      <c r="AI134">
        <f t="shared" ca="1" si="41"/>
        <v>73</v>
      </c>
      <c r="AJ134">
        <f t="shared" ca="1" si="42"/>
        <v>194</v>
      </c>
      <c r="AK134">
        <f t="shared" ca="1" si="43"/>
        <v>51</v>
      </c>
      <c r="AL134" t="s">
        <v>326</v>
      </c>
      <c r="AO134" t="s">
        <v>76</v>
      </c>
      <c r="AP134" t="s">
        <v>6508</v>
      </c>
      <c r="AQ134" t="s">
        <v>6508</v>
      </c>
      <c r="AR134" t="s">
        <v>6508</v>
      </c>
      <c r="AS134" t="s">
        <v>6508</v>
      </c>
    </row>
    <row r="135" spans="1:45" x14ac:dyDescent="0.3">
      <c r="A135" t="s">
        <v>5628</v>
      </c>
      <c r="B135">
        <f t="shared" si="30"/>
        <v>200133</v>
      </c>
      <c r="C135">
        <v>200036</v>
      </c>
      <c r="D135" t="str">
        <f t="shared" si="31"/>
        <v>rg:{'id': '200036'}</v>
      </c>
      <c r="E135">
        <f>VLOOKUP(C135,Owners.csv!C:J,6,FALSE)</f>
        <v>200077</v>
      </c>
      <c r="F135">
        <f>VLOOKUP(VLOOKUP(E135,LocalAreas.csv!J:L,3,FALSE),ServiceAreas.csv!F:J,5,FALSE)</f>
        <v>10</v>
      </c>
      <c r="G135" t="str">
        <f t="shared" si="32"/>
        <v>rg:{'id': '200077'}</v>
      </c>
      <c r="H135" t="s">
        <v>7699</v>
      </c>
      <c r="I135" t="s">
        <v>5649</v>
      </c>
      <c r="J135">
        <f>VLOOKUP(I135&amp;"-"&amp;F135,DistrictEquipmentTypes.csv!J:K,2,FALSE)</f>
        <v>200006</v>
      </c>
      <c r="K135" t="str">
        <f t="shared" si="33"/>
        <v>rg:{'id': '200006'}</v>
      </c>
      <c r="L135">
        <f t="shared" si="34"/>
        <v>1</v>
      </c>
      <c r="M135" t="str">
        <f>VLOOKUP(C135,Owners.csv!C:K,9,FALSE)&amp;TEXT(Equipment.csv!L135,"0000")</f>
        <v>HAPP0001</v>
      </c>
      <c r="N135" t="s">
        <v>5399</v>
      </c>
      <c r="O135" t="s">
        <v>6741</v>
      </c>
      <c r="P135">
        <v>2017</v>
      </c>
      <c r="Q135">
        <v>86</v>
      </c>
      <c r="R135" t="s">
        <v>6660</v>
      </c>
      <c r="S135" s="1">
        <v>40437</v>
      </c>
      <c r="T135" s="1">
        <v>40458</v>
      </c>
      <c r="U135" t="str">
        <f t="shared" ca="1" si="35"/>
        <v>rg:False</v>
      </c>
      <c r="V135" t="str">
        <f t="shared" ca="1" si="36"/>
        <v>rg:None</v>
      </c>
      <c r="W135" t="s">
        <v>7131</v>
      </c>
      <c r="X135" t="s">
        <v>76</v>
      </c>
      <c r="Y135" t="s">
        <v>76</v>
      </c>
      <c r="Z135" t="s">
        <v>76</v>
      </c>
      <c r="AA135" t="s">
        <v>7478</v>
      </c>
      <c r="AB135" t="s">
        <v>7319</v>
      </c>
      <c r="AC135">
        <v>0</v>
      </c>
      <c r="AD135" t="str">
        <f t="shared" ca="1" si="37"/>
        <v>rg:False</v>
      </c>
      <c r="AE135" t="str">
        <f t="shared" ca="1" si="38"/>
        <v>rg:None</v>
      </c>
      <c r="AF135" s="1">
        <v>42481</v>
      </c>
      <c r="AG135" s="4">
        <f t="shared" ca="1" si="39"/>
        <v>466</v>
      </c>
      <c r="AH135" s="4">
        <f t="shared" si="40"/>
        <v>5.4833333333333334</v>
      </c>
      <c r="AI135">
        <f t="shared" ca="1" si="41"/>
        <v>39</v>
      </c>
      <c r="AJ135">
        <f t="shared" ca="1" si="42"/>
        <v>187</v>
      </c>
      <c r="AK135">
        <f t="shared" ca="1" si="43"/>
        <v>185</v>
      </c>
      <c r="AL135" t="s">
        <v>326</v>
      </c>
      <c r="AO135" t="s">
        <v>76</v>
      </c>
      <c r="AP135" t="s">
        <v>6508</v>
      </c>
      <c r="AQ135" t="s">
        <v>6508</v>
      </c>
      <c r="AR135" t="s">
        <v>6508</v>
      </c>
      <c r="AS135" t="s">
        <v>6508</v>
      </c>
    </row>
    <row r="136" spans="1:45" x14ac:dyDescent="0.3">
      <c r="A136" t="s">
        <v>5628</v>
      </c>
      <c r="B136">
        <f t="shared" si="30"/>
        <v>200134</v>
      </c>
      <c r="C136">
        <v>200036</v>
      </c>
      <c r="D136" t="str">
        <f t="shared" si="31"/>
        <v>rg:{'id': '200036'}</v>
      </c>
      <c r="E136">
        <f>VLOOKUP(C136,Owners.csv!C:J,6,FALSE)</f>
        <v>200077</v>
      </c>
      <c r="F136">
        <f>VLOOKUP(VLOOKUP(E136,LocalAreas.csv!J:L,3,FALSE),ServiceAreas.csv!F:J,5,FALSE)</f>
        <v>10</v>
      </c>
      <c r="G136" t="str">
        <f t="shared" si="32"/>
        <v>rg:{'id': '200077'}</v>
      </c>
      <c r="H136" t="s">
        <v>7671</v>
      </c>
      <c r="I136" t="s">
        <v>5649</v>
      </c>
      <c r="J136">
        <f>VLOOKUP(I136&amp;"-"&amp;F136,DistrictEquipmentTypes.csv!J:K,2,FALSE)</f>
        <v>200006</v>
      </c>
      <c r="K136" t="str">
        <f t="shared" si="33"/>
        <v>rg:{'id': '200006'}</v>
      </c>
      <c r="L136">
        <f t="shared" si="34"/>
        <v>2</v>
      </c>
      <c r="M136" t="str">
        <f>VLOOKUP(C136,Owners.csv!C:K,9,FALSE)&amp;TEXT(Equipment.csv!L136,"0000")</f>
        <v>HAPP0002</v>
      </c>
      <c r="N136" t="s">
        <v>5399</v>
      </c>
      <c r="O136" t="s">
        <v>6761</v>
      </c>
      <c r="P136">
        <v>1998</v>
      </c>
      <c r="Q136">
        <v>106</v>
      </c>
      <c r="R136" t="s">
        <v>6660</v>
      </c>
      <c r="S136" s="1">
        <v>41073</v>
      </c>
      <c r="T136" s="1">
        <v>41084</v>
      </c>
      <c r="U136" t="str">
        <f t="shared" ca="1" si="35"/>
        <v>rg:False</v>
      </c>
      <c r="V136" t="str">
        <f t="shared" ca="1" si="36"/>
        <v>rg:None</v>
      </c>
      <c r="W136" t="s">
        <v>7151</v>
      </c>
      <c r="X136" t="s">
        <v>76</v>
      </c>
      <c r="Y136" t="s">
        <v>76</v>
      </c>
      <c r="Z136" t="s">
        <v>76</v>
      </c>
      <c r="AA136" t="s">
        <v>7498</v>
      </c>
      <c r="AB136" t="s">
        <v>7319</v>
      </c>
      <c r="AC136">
        <v>0</v>
      </c>
      <c r="AD136" t="str">
        <f t="shared" ca="1" si="37"/>
        <v>rg:False</v>
      </c>
      <c r="AE136" t="str">
        <f t="shared" ca="1" si="38"/>
        <v>rg:None</v>
      </c>
      <c r="AF136" s="1">
        <v>42481</v>
      </c>
      <c r="AG136" s="4">
        <f t="shared" ca="1" si="39"/>
        <v>298.5</v>
      </c>
      <c r="AH136" s="4">
        <f t="shared" si="40"/>
        <v>3.7694444444444444</v>
      </c>
      <c r="AI136">
        <f t="shared" ca="1" si="41"/>
        <v>21</v>
      </c>
      <c r="AJ136">
        <f t="shared" ca="1" si="42"/>
        <v>24</v>
      </c>
      <c r="AK136">
        <f t="shared" ca="1" si="43"/>
        <v>172</v>
      </c>
      <c r="AL136" t="s">
        <v>326</v>
      </c>
      <c r="AO136" t="s">
        <v>76</v>
      </c>
      <c r="AP136" t="s">
        <v>6508</v>
      </c>
      <c r="AQ136" t="s">
        <v>6508</v>
      </c>
      <c r="AR136" t="s">
        <v>6508</v>
      </c>
      <c r="AS136" t="s">
        <v>6508</v>
      </c>
    </row>
    <row r="137" spans="1:45" x14ac:dyDescent="0.3">
      <c r="A137" t="s">
        <v>5628</v>
      </c>
      <c r="B137">
        <f t="shared" si="30"/>
        <v>200135</v>
      </c>
      <c r="C137">
        <v>200037</v>
      </c>
      <c r="D137" t="str">
        <f t="shared" si="31"/>
        <v>rg:{'id': '200037'}</v>
      </c>
      <c r="E137">
        <f>VLOOKUP(C137,Owners.csv!C:J,6,FALSE)</f>
        <v>200077</v>
      </c>
      <c r="F137">
        <f>VLOOKUP(VLOOKUP(E137,LocalAreas.csv!J:L,3,FALSE),ServiceAreas.csv!F:J,5,FALSE)</f>
        <v>10</v>
      </c>
      <c r="G137" t="str">
        <f t="shared" si="32"/>
        <v>rg:{'id': '200077'}</v>
      </c>
      <c r="H137" t="s">
        <v>7700</v>
      </c>
      <c r="I137" t="s">
        <v>5649</v>
      </c>
      <c r="J137">
        <f>VLOOKUP(I137&amp;"-"&amp;F137,DistrictEquipmentTypes.csv!J:K,2,FALSE)</f>
        <v>200006</v>
      </c>
      <c r="K137" t="str">
        <f t="shared" si="33"/>
        <v>rg:{'id': '200006'}</v>
      </c>
      <c r="L137">
        <f t="shared" si="34"/>
        <v>1</v>
      </c>
      <c r="M137" t="str">
        <f>VLOOKUP(C137,Owners.csv!C:K,9,FALSE)&amp;TEXT(Equipment.csv!L137,"0000")</f>
        <v>HARO0001</v>
      </c>
      <c r="N137" t="s">
        <v>5399</v>
      </c>
      <c r="O137" t="s">
        <v>6742</v>
      </c>
      <c r="P137">
        <v>1989</v>
      </c>
      <c r="Q137">
        <v>87</v>
      </c>
      <c r="R137" t="s">
        <v>6660</v>
      </c>
      <c r="S137" s="1">
        <v>39387</v>
      </c>
      <c r="T137" s="1">
        <v>39410</v>
      </c>
      <c r="U137" t="str">
        <f t="shared" ca="1" si="35"/>
        <v>rg:False</v>
      </c>
      <c r="V137" t="str">
        <f t="shared" ca="1" si="36"/>
        <v>rg:None</v>
      </c>
      <c r="W137" t="s">
        <v>7132</v>
      </c>
      <c r="X137" t="s">
        <v>76</v>
      </c>
      <c r="Y137" t="s">
        <v>76</v>
      </c>
      <c r="Z137" t="s">
        <v>76</v>
      </c>
      <c r="AA137" t="s">
        <v>7479</v>
      </c>
      <c r="AB137" t="s">
        <v>7320</v>
      </c>
      <c r="AC137">
        <v>0</v>
      </c>
      <c r="AD137" t="str">
        <f t="shared" ca="1" si="37"/>
        <v>rg:False</v>
      </c>
      <c r="AE137" t="str">
        <f t="shared" ca="1" si="38"/>
        <v>rg:None</v>
      </c>
      <c r="AF137" s="1">
        <v>42481</v>
      </c>
      <c r="AG137" s="4">
        <f t="shared" ca="1" si="39"/>
        <v>597.5</v>
      </c>
      <c r="AH137" s="4">
        <f t="shared" si="40"/>
        <v>8.3527777777777779</v>
      </c>
      <c r="AI137">
        <f t="shared" ca="1" si="41"/>
        <v>124</v>
      </c>
      <c r="AJ137">
        <f t="shared" ca="1" si="42"/>
        <v>95</v>
      </c>
      <c r="AK137">
        <f t="shared" ca="1" si="43"/>
        <v>70</v>
      </c>
      <c r="AL137" t="s">
        <v>5687</v>
      </c>
      <c r="AM137" t="s">
        <v>6880</v>
      </c>
      <c r="AN137" s="1">
        <v>42452</v>
      </c>
      <c r="AO137" t="s">
        <v>76</v>
      </c>
      <c r="AP137" t="s">
        <v>6508</v>
      </c>
      <c r="AQ137" t="s">
        <v>6508</v>
      </c>
      <c r="AR137" t="s">
        <v>6508</v>
      </c>
      <c r="AS137" t="s">
        <v>6508</v>
      </c>
    </row>
    <row r="138" spans="1:45" x14ac:dyDescent="0.3">
      <c r="A138" t="s">
        <v>5628</v>
      </c>
      <c r="B138">
        <f t="shared" si="30"/>
        <v>200136</v>
      </c>
      <c r="C138">
        <v>200037</v>
      </c>
      <c r="D138" t="str">
        <f t="shared" si="31"/>
        <v>rg:{'id': '200037'}</v>
      </c>
      <c r="E138">
        <f>VLOOKUP(C138,Owners.csv!C:J,6,FALSE)</f>
        <v>200077</v>
      </c>
      <c r="F138">
        <f>VLOOKUP(VLOOKUP(E138,LocalAreas.csv!J:L,3,FALSE),ServiceAreas.csv!F:J,5,FALSE)</f>
        <v>10</v>
      </c>
      <c r="G138" t="str">
        <f t="shared" si="32"/>
        <v>rg:{'id': '200077'}</v>
      </c>
      <c r="H138" t="s">
        <v>7663</v>
      </c>
      <c r="I138" t="s">
        <v>5649</v>
      </c>
      <c r="J138">
        <f>VLOOKUP(I138&amp;"-"&amp;F138,DistrictEquipmentTypes.csv!J:K,2,FALSE)</f>
        <v>200006</v>
      </c>
      <c r="K138" t="str">
        <f t="shared" si="33"/>
        <v>rg:{'id': '200006'}</v>
      </c>
      <c r="L138">
        <f t="shared" si="34"/>
        <v>2</v>
      </c>
      <c r="M138" t="str">
        <f>VLOOKUP(C138,Owners.csv!C:K,9,FALSE)&amp;TEXT(Equipment.csv!L138,"0000")</f>
        <v>HARO0002</v>
      </c>
      <c r="N138" t="s">
        <v>5399</v>
      </c>
      <c r="O138" t="s">
        <v>6762</v>
      </c>
      <c r="P138">
        <v>1976</v>
      </c>
      <c r="Q138">
        <v>107</v>
      </c>
      <c r="R138" t="s">
        <v>6660</v>
      </c>
      <c r="S138" s="1">
        <v>40716</v>
      </c>
      <c r="T138" s="1">
        <v>40722</v>
      </c>
      <c r="U138" t="str">
        <f t="shared" ca="1" si="35"/>
        <v>rg:False</v>
      </c>
      <c r="V138" t="str">
        <f t="shared" ca="1" si="36"/>
        <v>rg:None</v>
      </c>
      <c r="W138" t="s">
        <v>7152</v>
      </c>
      <c r="X138" t="s">
        <v>76</v>
      </c>
      <c r="Y138" t="s">
        <v>76</v>
      </c>
      <c r="Z138" t="s">
        <v>76</v>
      </c>
      <c r="AA138" t="s">
        <v>7499</v>
      </c>
      <c r="AB138" t="s">
        <v>7330</v>
      </c>
      <c r="AC138">
        <v>0</v>
      </c>
      <c r="AD138" t="str">
        <f t="shared" ca="1" si="37"/>
        <v>rg:False</v>
      </c>
      <c r="AE138" t="str">
        <f t="shared" ca="1" si="38"/>
        <v>rg:None</v>
      </c>
      <c r="AF138" s="1">
        <v>42481</v>
      </c>
      <c r="AG138" s="4">
        <f t="shared" ca="1" si="39"/>
        <v>385.83333333333331</v>
      </c>
      <c r="AH138" s="4">
        <f t="shared" si="40"/>
        <v>4.7583333333333337</v>
      </c>
      <c r="AI138">
        <f t="shared" ca="1" si="41"/>
        <v>136</v>
      </c>
      <c r="AJ138">
        <f t="shared" ca="1" si="42"/>
        <v>131</v>
      </c>
      <c r="AK138">
        <f t="shared" ca="1" si="43"/>
        <v>34</v>
      </c>
      <c r="AL138" t="s">
        <v>326</v>
      </c>
      <c r="AO138" t="s">
        <v>76</v>
      </c>
      <c r="AP138" t="s">
        <v>6508</v>
      </c>
      <c r="AQ138" t="s">
        <v>6508</v>
      </c>
      <c r="AR138" t="s">
        <v>6508</v>
      </c>
      <c r="AS138" t="s">
        <v>6508</v>
      </c>
    </row>
    <row r="139" spans="1:45" x14ac:dyDescent="0.3">
      <c r="A139" t="s">
        <v>5628</v>
      </c>
      <c r="B139">
        <f t="shared" si="30"/>
        <v>200137</v>
      </c>
      <c r="C139">
        <v>200038</v>
      </c>
      <c r="D139" t="str">
        <f t="shared" si="31"/>
        <v>rg:{'id': '200038'}</v>
      </c>
      <c r="E139">
        <f>VLOOKUP(C139,Owners.csv!C:J,6,FALSE)</f>
        <v>200077</v>
      </c>
      <c r="F139">
        <f>VLOOKUP(VLOOKUP(E139,LocalAreas.csv!J:L,3,FALSE),ServiceAreas.csv!F:J,5,FALSE)</f>
        <v>10</v>
      </c>
      <c r="G139" t="str">
        <f t="shared" si="32"/>
        <v>rg:{'id': '200077'}</v>
      </c>
      <c r="H139" t="s">
        <v>7726</v>
      </c>
      <c r="I139" t="s">
        <v>5649</v>
      </c>
      <c r="J139">
        <f>VLOOKUP(I139&amp;"-"&amp;F139,DistrictEquipmentTypes.csv!J:K,2,FALSE)</f>
        <v>200006</v>
      </c>
      <c r="K139" t="str">
        <f t="shared" si="33"/>
        <v>rg:{'id': '200006'}</v>
      </c>
      <c r="L139">
        <f t="shared" si="34"/>
        <v>1</v>
      </c>
      <c r="M139" t="str">
        <f>VLOOKUP(C139,Owners.csv!C:K,9,FALSE)&amp;TEXT(Equipment.csv!L139,"0000")</f>
        <v>HENR0001</v>
      </c>
      <c r="N139" t="s">
        <v>5399</v>
      </c>
      <c r="O139" t="s">
        <v>6793</v>
      </c>
      <c r="P139">
        <v>1978</v>
      </c>
      <c r="Q139">
        <v>138</v>
      </c>
      <c r="R139" t="s">
        <v>6660</v>
      </c>
      <c r="S139" s="1">
        <v>40831</v>
      </c>
      <c r="T139" s="1">
        <v>40836</v>
      </c>
      <c r="U139" t="str">
        <f t="shared" ca="1" si="35"/>
        <v>rg:False</v>
      </c>
      <c r="V139" t="str">
        <f t="shared" ca="1" si="36"/>
        <v>rg:None</v>
      </c>
      <c r="W139" t="s">
        <v>7183</v>
      </c>
      <c r="X139" t="s">
        <v>76</v>
      </c>
      <c r="Y139" t="s">
        <v>76</v>
      </c>
      <c r="Z139" t="s">
        <v>76</v>
      </c>
      <c r="AA139" t="s">
        <v>7530</v>
      </c>
      <c r="AB139" t="s">
        <v>7356</v>
      </c>
      <c r="AC139">
        <v>0</v>
      </c>
      <c r="AD139" t="str">
        <f t="shared" ca="1" si="37"/>
        <v>rg:False</v>
      </c>
      <c r="AE139" t="str">
        <f t="shared" ca="1" si="38"/>
        <v>rg:None</v>
      </c>
      <c r="AF139" s="1">
        <v>42481</v>
      </c>
      <c r="AG139" s="4">
        <f t="shared" ca="1" si="39"/>
        <v>392.5</v>
      </c>
      <c r="AH139" s="4">
        <f t="shared" si="40"/>
        <v>4.447222222222222</v>
      </c>
      <c r="AI139">
        <f t="shared" ca="1" si="41"/>
        <v>198</v>
      </c>
      <c r="AJ139">
        <f t="shared" ca="1" si="42"/>
        <v>21</v>
      </c>
      <c r="AK139">
        <f t="shared" ca="1" si="43"/>
        <v>158</v>
      </c>
      <c r="AL139" t="s">
        <v>326</v>
      </c>
      <c r="AO139" t="s">
        <v>76</v>
      </c>
      <c r="AP139" t="s">
        <v>6508</v>
      </c>
      <c r="AQ139" t="s">
        <v>6508</v>
      </c>
      <c r="AR139" t="s">
        <v>6508</v>
      </c>
      <c r="AS139" t="s">
        <v>6508</v>
      </c>
    </row>
    <row r="140" spans="1:45" x14ac:dyDescent="0.3">
      <c r="A140" t="s">
        <v>5628</v>
      </c>
      <c r="B140">
        <f t="shared" si="30"/>
        <v>200138</v>
      </c>
      <c r="C140">
        <v>200038</v>
      </c>
      <c r="D140" t="str">
        <f t="shared" si="31"/>
        <v>rg:{'id': '200038'}</v>
      </c>
      <c r="E140">
        <f>VLOOKUP(C140,Owners.csv!C:J,6,FALSE)</f>
        <v>200077</v>
      </c>
      <c r="F140">
        <f>VLOOKUP(VLOOKUP(E140,LocalAreas.csv!J:L,3,FALSE),ServiceAreas.csv!F:J,5,FALSE)</f>
        <v>10</v>
      </c>
      <c r="G140" t="str">
        <f t="shared" si="32"/>
        <v>rg:{'id': '200077'}</v>
      </c>
      <c r="H140" t="s">
        <v>7738</v>
      </c>
      <c r="I140" t="s">
        <v>5649</v>
      </c>
      <c r="J140">
        <f>VLOOKUP(I140&amp;"-"&amp;F140,DistrictEquipmentTypes.csv!J:K,2,FALSE)</f>
        <v>200006</v>
      </c>
      <c r="K140" t="str">
        <f t="shared" si="33"/>
        <v>rg:{'id': '200006'}</v>
      </c>
      <c r="L140">
        <f t="shared" si="34"/>
        <v>2</v>
      </c>
      <c r="M140" t="str">
        <f>VLOOKUP(C140,Owners.csv!C:K,9,FALSE)&amp;TEXT(Equipment.csv!L140,"0000")</f>
        <v>HENR0002</v>
      </c>
      <c r="N140" t="s">
        <v>5399</v>
      </c>
      <c r="O140" t="s">
        <v>6813</v>
      </c>
      <c r="P140">
        <v>1993</v>
      </c>
      <c r="Q140">
        <v>158</v>
      </c>
      <c r="R140" t="s">
        <v>6660</v>
      </c>
      <c r="S140" s="1">
        <v>39402</v>
      </c>
      <c r="T140" s="1">
        <v>39414</v>
      </c>
      <c r="U140" t="str">
        <f t="shared" ca="1" si="35"/>
        <v>rg:False</v>
      </c>
      <c r="V140" t="str">
        <f t="shared" ca="1" si="36"/>
        <v>rg:None</v>
      </c>
      <c r="W140" t="s">
        <v>7203</v>
      </c>
      <c r="X140" t="s">
        <v>76</v>
      </c>
      <c r="Y140" t="s">
        <v>76</v>
      </c>
      <c r="Z140" t="s">
        <v>76</v>
      </c>
      <c r="AA140" t="s">
        <v>7550</v>
      </c>
      <c r="AB140" t="s">
        <v>7370</v>
      </c>
      <c r="AC140">
        <v>0</v>
      </c>
      <c r="AD140" t="str">
        <f t="shared" ca="1" si="37"/>
        <v>rg:False</v>
      </c>
      <c r="AE140" t="str">
        <f t="shared" ca="1" si="38"/>
        <v>rg:None</v>
      </c>
      <c r="AF140" s="1">
        <v>42481</v>
      </c>
      <c r="AG140" s="4">
        <f t="shared" ca="1" si="39"/>
        <v>569.83333333333337</v>
      </c>
      <c r="AH140" s="4">
        <f t="shared" si="40"/>
        <v>8.3416666666666668</v>
      </c>
      <c r="AI140">
        <f t="shared" ca="1" si="41"/>
        <v>59</v>
      </c>
      <c r="AJ140">
        <f t="shared" ca="1" si="42"/>
        <v>51</v>
      </c>
      <c r="AK140">
        <f t="shared" ca="1" si="43"/>
        <v>98</v>
      </c>
      <c r="AL140" t="s">
        <v>326</v>
      </c>
      <c r="AO140" t="s">
        <v>76</v>
      </c>
      <c r="AP140" t="s">
        <v>6508</v>
      </c>
      <c r="AQ140" t="s">
        <v>6508</v>
      </c>
      <c r="AR140" t="s">
        <v>6508</v>
      </c>
      <c r="AS140" t="s">
        <v>6508</v>
      </c>
    </row>
    <row r="141" spans="1:45" x14ac:dyDescent="0.3">
      <c r="A141" t="s">
        <v>5628</v>
      </c>
      <c r="B141">
        <f t="shared" si="30"/>
        <v>200139</v>
      </c>
      <c r="C141">
        <v>200038</v>
      </c>
      <c r="D141" t="str">
        <f t="shared" si="31"/>
        <v>rg:{'id': '200038'}</v>
      </c>
      <c r="E141">
        <f>VLOOKUP(C141,Owners.csv!C:J,6,FALSE)</f>
        <v>200077</v>
      </c>
      <c r="F141">
        <f>VLOOKUP(VLOOKUP(E141,LocalAreas.csv!J:L,3,FALSE),ServiceAreas.csv!F:J,5,FALSE)</f>
        <v>10</v>
      </c>
      <c r="G141" t="str">
        <f t="shared" si="32"/>
        <v>rg:{'id': '200077'}</v>
      </c>
      <c r="H141" t="s">
        <v>7722</v>
      </c>
      <c r="I141" t="s">
        <v>5635</v>
      </c>
      <c r="J141">
        <f>VLOOKUP(I141&amp;"-"&amp;F141,DistrictEquipmentTypes.csv!J:K,2,FALSE)</f>
        <v>200001</v>
      </c>
      <c r="K141" t="str">
        <f t="shared" si="33"/>
        <v>rg:{'id': '200001'}</v>
      </c>
      <c r="L141">
        <f t="shared" si="34"/>
        <v>3</v>
      </c>
      <c r="M141" t="str">
        <f>VLOOKUP(C141,Owners.csv!C:K,9,FALSE)&amp;TEXT(Equipment.csv!L141,"0000")</f>
        <v>HENR0003</v>
      </c>
      <c r="N141" t="s">
        <v>5399</v>
      </c>
      <c r="O141" t="s">
        <v>6819</v>
      </c>
      <c r="P141">
        <v>2016</v>
      </c>
      <c r="Q141">
        <v>164</v>
      </c>
      <c r="R141" t="s">
        <v>6660</v>
      </c>
      <c r="S141" s="1">
        <v>42270</v>
      </c>
      <c r="T141" s="1">
        <v>42274</v>
      </c>
      <c r="U141" t="str">
        <f t="shared" ca="1" si="35"/>
        <v>rg:False</v>
      </c>
      <c r="V141" t="str">
        <f t="shared" ca="1" si="36"/>
        <v>rg:None</v>
      </c>
      <c r="W141" t="s">
        <v>7209</v>
      </c>
      <c r="X141" t="s">
        <v>76</v>
      </c>
      <c r="Y141" t="s">
        <v>76</v>
      </c>
      <c r="Z141" t="s">
        <v>76</v>
      </c>
      <c r="AA141" t="s">
        <v>7556</v>
      </c>
      <c r="AB141" t="s">
        <v>7374</v>
      </c>
      <c r="AC141">
        <v>0</v>
      </c>
      <c r="AD141" t="str">
        <f t="shared" ca="1" si="37"/>
        <v>rg:False</v>
      </c>
      <c r="AE141" t="str">
        <f t="shared" ca="1" si="38"/>
        <v>rg:None</v>
      </c>
      <c r="AF141" s="1">
        <v>42481</v>
      </c>
      <c r="AG141" s="4">
        <f t="shared" ca="1" si="39"/>
        <v>15.333333333333332</v>
      </c>
      <c r="AH141" s="4">
        <f t="shared" si="40"/>
        <v>0.51111111111111107</v>
      </c>
      <c r="AI141">
        <f t="shared" ca="1" si="41"/>
        <v>0</v>
      </c>
      <c r="AJ141">
        <f t="shared" ca="1" si="42"/>
        <v>0</v>
      </c>
      <c r="AK141">
        <f t="shared" ca="1" si="43"/>
        <v>0</v>
      </c>
      <c r="AL141" t="s">
        <v>326</v>
      </c>
      <c r="AO141" t="s">
        <v>76</v>
      </c>
      <c r="AP141" t="s">
        <v>6508</v>
      </c>
      <c r="AQ141" t="s">
        <v>6508</v>
      </c>
      <c r="AR141" t="s">
        <v>6508</v>
      </c>
      <c r="AS141" t="s">
        <v>6508</v>
      </c>
    </row>
    <row r="142" spans="1:45" x14ac:dyDescent="0.3">
      <c r="A142" t="s">
        <v>5628</v>
      </c>
      <c r="B142">
        <f t="shared" si="30"/>
        <v>200140</v>
      </c>
      <c r="C142">
        <v>200038</v>
      </c>
      <c r="D142" t="str">
        <f t="shared" si="31"/>
        <v>rg:{'id': '200038'}</v>
      </c>
      <c r="E142">
        <f>VLOOKUP(C142,Owners.csv!C:J,6,FALSE)</f>
        <v>200077</v>
      </c>
      <c r="F142">
        <f>VLOOKUP(VLOOKUP(E142,LocalAreas.csv!J:L,3,FALSE),ServiceAreas.csv!F:J,5,FALSE)</f>
        <v>10</v>
      </c>
      <c r="G142" t="str">
        <f t="shared" si="32"/>
        <v>rg:{'id': '200077'}</v>
      </c>
      <c r="H142" t="s">
        <v>7746</v>
      </c>
      <c r="I142" t="s">
        <v>5534</v>
      </c>
      <c r="J142">
        <f>VLOOKUP(I142&amp;"-"&amp;F142,DistrictEquipmentTypes.csv!J:K,2,FALSE)</f>
        <v>200000</v>
      </c>
      <c r="K142" t="str">
        <f t="shared" si="33"/>
        <v>rg:{'id': '200000'}</v>
      </c>
      <c r="L142">
        <f t="shared" si="34"/>
        <v>4</v>
      </c>
      <c r="M142" t="str">
        <f>VLOOKUP(C142,Owners.csv!C:K,9,FALSE)&amp;TEXT(Equipment.csv!L142,"0000")</f>
        <v>HENR0004</v>
      </c>
      <c r="N142" t="s">
        <v>5399</v>
      </c>
      <c r="O142" t="s">
        <v>6839</v>
      </c>
      <c r="P142">
        <v>1977</v>
      </c>
      <c r="Q142">
        <v>184</v>
      </c>
      <c r="R142" t="s">
        <v>6660</v>
      </c>
      <c r="S142" s="1">
        <v>41447</v>
      </c>
      <c r="T142" s="1">
        <v>41473</v>
      </c>
      <c r="U142" t="str">
        <f t="shared" ca="1" si="35"/>
        <v>rg:False</v>
      </c>
      <c r="V142" t="str">
        <f t="shared" ca="1" si="36"/>
        <v>rg:None</v>
      </c>
      <c r="W142" t="s">
        <v>7229</v>
      </c>
      <c r="X142" t="s">
        <v>76</v>
      </c>
      <c r="Y142" t="s">
        <v>76</v>
      </c>
      <c r="Z142" t="s">
        <v>76</v>
      </c>
      <c r="AA142" t="s">
        <v>7576</v>
      </c>
      <c r="AB142" t="s">
        <v>7383</v>
      </c>
      <c r="AC142">
        <v>0</v>
      </c>
      <c r="AD142" t="str">
        <f t="shared" ca="1" si="37"/>
        <v>rg:False</v>
      </c>
      <c r="AE142" t="str">
        <f t="shared" ca="1" si="38"/>
        <v>rg:None</v>
      </c>
      <c r="AF142" s="1">
        <v>42481</v>
      </c>
      <c r="AG142" s="4">
        <f t="shared" ca="1" si="39"/>
        <v>139.75</v>
      </c>
      <c r="AH142" s="4">
        <f t="shared" si="40"/>
        <v>2.7027777777777779</v>
      </c>
      <c r="AI142">
        <f t="shared" ca="1" si="41"/>
        <v>73</v>
      </c>
      <c r="AJ142">
        <f t="shared" ca="1" si="42"/>
        <v>103</v>
      </c>
      <c r="AK142">
        <f t="shared" ca="1" si="43"/>
        <v>0</v>
      </c>
      <c r="AL142" t="s">
        <v>326</v>
      </c>
      <c r="AO142" t="s">
        <v>76</v>
      </c>
      <c r="AP142" t="s">
        <v>6508</v>
      </c>
      <c r="AQ142" t="s">
        <v>6508</v>
      </c>
      <c r="AR142" t="s">
        <v>6508</v>
      </c>
      <c r="AS142" t="s">
        <v>6508</v>
      </c>
    </row>
    <row r="143" spans="1:45" x14ac:dyDescent="0.3">
      <c r="A143" t="s">
        <v>5628</v>
      </c>
      <c r="B143">
        <f t="shared" si="30"/>
        <v>200141</v>
      </c>
      <c r="C143">
        <v>200039</v>
      </c>
      <c r="D143" t="str">
        <f t="shared" si="31"/>
        <v>rg:{'id': '200039'}</v>
      </c>
      <c r="E143">
        <f>VLOOKUP(C143,Owners.csv!C:J,6,FALSE)</f>
        <v>200077</v>
      </c>
      <c r="F143">
        <f>VLOOKUP(VLOOKUP(E143,LocalAreas.csv!J:L,3,FALSE),ServiceAreas.csv!F:J,5,FALSE)</f>
        <v>10</v>
      </c>
      <c r="G143" t="str">
        <f t="shared" si="32"/>
        <v>rg:{'id': '200077'}</v>
      </c>
      <c r="H143" t="s">
        <v>7729</v>
      </c>
      <c r="I143" t="s">
        <v>5649</v>
      </c>
      <c r="J143">
        <f>VLOOKUP(I143&amp;"-"&amp;F143,DistrictEquipmentTypes.csv!J:K,2,FALSE)</f>
        <v>200006</v>
      </c>
      <c r="K143" t="str">
        <f t="shared" si="33"/>
        <v>rg:{'id': '200006'}</v>
      </c>
      <c r="L143">
        <f t="shared" si="34"/>
        <v>1</v>
      </c>
      <c r="M143" t="str">
        <f>VLOOKUP(C143,Owners.csv!C:K,9,FALSE)&amp;TEXT(Equipment.csv!L143,"0000")</f>
        <v>HIGH0001</v>
      </c>
      <c r="N143" t="s">
        <v>5399</v>
      </c>
      <c r="O143" t="s">
        <v>6794</v>
      </c>
      <c r="P143">
        <v>2008</v>
      </c>
      <c r="Q143">
        <v>139</v>
      </c>
      <c r="R143" t="s">
        <v>6660</v>
      </c>
      <c r="S143" s="1">
        <v>40224</v>
      </c>
      <c r="T143" s="1">
        <v>40255</v>
      </c>
      <c r="U143" t="str">
        <f t="shared" ca="1" si="35"/>
        <v>rg:True</v>
      </c>
      <c r="V143" t="str">
        <f t="shared" ca="1" si="36"/>
        <v>This equipment should be archived</v>
      </c>
      <c r="W143" t="s">
        <v>7184</v>
      </c>
      <c r="X143" t="s">
        <v>76</v>
      </c>
      <c r="Y143" t="s">
        <v>76</v>
      </c>
      <c r="Z143" t="s">
        <v>76</v>
      </c>
      <c r="AA143" t="s">
        <v>7531</v>
      </c>
      <c r="AB143" t="s">
        <v>7357</v>
      </c>
      <c r="AC143">
        <v>0</v>
      </c>
      <c r="AD143" t="str">
        <f t="shared" ca="1" si="37"/>
        <v>rg:False</v>
      </c>
      <c r="AE143" t="str">
        <f t="shared" ca="1" si="38"/>
        <v>rg:None</v>
      </c>
      <c r="AF143" s="1">
        <v>42481</v>
      </c>
      <c r="AG143" s="4">
        <f t="shared" ca="1" si="39"/>
        <v>475.5</v>
      </c>
      <c r="AH143" s="4">
        <f t="shared" si="40"/>
        <v>6.0361111111111114</v>
      </c>
      <c r="AI143">
        <f t="shared" ca="1" si="41"/>
        <v>16</v>
      </c>
      <c r="AJ143">
        <f t="shared" ca="1" si="42"/>
        <v>182</v>
      </c>
      <c r="AK143">
        <f t="shared" ca="1" si="43"/>
        <v>142</v>
      </c>
      <c r="AL143" t="s">
        <v>326</v>
      </c>
      <c r="AO143" t="s">
        <v>76</v>
      </c>
      <c r="AP143" t="s">
        <v>6508</v>
      </c>
      <c r="AQ143" t="s">
        <v>6508</v>
      </c>
      <c r="AR143" t="s">
        <v>6508</v>
      </c>
      <c r="AS143" t="s">
        <v>6508</v>
      </c>
    </row>
    <row r="144" spans="1:45" x14ac:dyDescent="0.3">
      <c r="A144" t="s">
        <v>5628</v>
      </c>
      <c r="B144">
        <f t="shared" si="30"/>
        <v>200142</v>
      </c>
      <c r="C144">
        <v>200039</v>
      </c>
      <c r="D144" t="str">
        <f t="shared" si="31"/>
        <v>rg:{'id': '200039'}</v>
      </c>
      <c r="E144">
        <f>VLOOKUP(C144,Owners.csv!C:J,6,FALSE)</f>
        <v>200077</v>
      </c>
      <c r="F144">
        <f>VLOOKUP(VLOOKUP(E144,LocalAreas.csv!J:L,3,FALSE),ServiceAreas.csv!F:J,5,FALSE)</f>
        <v>10</v>
      </c>
      <c r="G144" t="str">
        <f t="shared" si="32"/>
        <v>rg:{'id': '200077'}</v>
      </c>
      <c r="H144" t="s">
        <v>7689</v>
      </c>
      <c r="I144" t="s">
        <v>5649</v>
      </c>
      <c r="J144">
        <f>VLOOKUP(I144&amp;"-"&amp;F144,DistrictEquipmentTypes.csv!J:K,2,FALSE)</f>
        <v>200006</v>
      </c>
      <c r="K144" t="str">
        <f t="shared" si="33"/>
        <v>rg:{'id': '200006'}</v>
      </c>
      <c r="L144">
        <f t="shared" si="34"/>
        <v>2</v>
      </c>
      <c r="M144" t="str">
        <f>VLOOKUP(C144,Owners.csv!C:K,9,FALSE)&amp;TEXT(Equipment.csv!L144,"0000")</f>
        <v>HIGH0002</v>
      </c>
      <c r="N144" t="s">
        <v>5399</v>
      </c>
      <c r="O144" t="s">
        <v>6814</v>
      </c>
      <c r="P144">
        <v>1999</v>
      </c>
      <c r="Q144">
        <v>159</v>
      </c>
      <c r="R144" t="s">
        <v>6660</v>
      </c>
      <c r="S144" s="1">
        <v>39540</v>
      </c>
      <c r="T144" s="1">
        <v>39567</v>
      </c>
      <c r="U144" t="str">
        <f t="shared" ca="1" si="35"/>
        <v>rg:False</v>
      </c>
      <c r="V144" t="str">
        <f t="shared" ca="1" si="36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7296</v>
      </c>
      <c r="AC144">
        <v>0</v>
      </c>
      <c r="AD144" t="str">
        <f t="shared" ca="1" si="37"/>
        <v>rg:False</v>
      </c>
      <c r="AE144" t="str">
        <f t="shared" ca="1" si="38"/>
        <v>rg:None</v>
      </c>
      <c r="AF144" s="1">
        <v>42481</v>
      </c>
      <c r="AG144" s="4">
        <f t="shared" ca="1" si="39"/>
        <v>600</v>
      </c>
      <c r="AH144" s="4">
        <f t="shared" si="40"/>
        <v>7.9222222222222225</v>
      </c>
      <c r="AI144">
        <f t="shared" ca="1" si="41"/>
        <v>179</v>
      </c>
      <c r="AJ144">
        <f t="shared" ca="1" si="42"/>
        <v>174</v>
      </c>
      <c r="AK144">
        <f t="shared" ca="1" si="43"/>
        <v>21</v>
      </c>
      <c r="AL144" t="s">
        <v>326</v>
      </c>
      <c r="AO144" t="s">
        <v>76</v>
      </c>
      <c r="AP144" t="s">
        <v>6508</v>
      </c>
      <c r="AQ144" t="s">
        <v>6508</v>
      </c>
      <c r="AR144" t="s">
        <v>6508</v>
      </c>
      <c r="AS144" t="s">
        <v>6508</v>
      </c>
    </row>
    <row r="145" spans="1:45" x14ac:dyDescent="0.3">
      <c r="A145" t="s">
        <v>5628</v>
      </c>
      <c r="B145">
        <f t="shared" si="30"/>
        <v>200143</v>
      </c>
      <c r="C145">
        <v>200039</v>
      </c>
      <c r="D145" t="str">
        <f t="shared" si="31"/>
        <v>rg:{'id': '200039'}</v>
      </c>
      <c r="E145">
        <f>VLOOKUP(C145,Owners.csv!C:J,6,FALSE)</f>
        <v>200077</v>
      </c>
      <c r="F145">
        <f>VLOOKUP(VLOOKUP(E145,LocalAreas.csv!J:L,3,FALSE),ServiceAreas.csv!F:J,5,FALSE)</f>
        <v>10</v>
      </c>
      <c r="G145" t="str">
        <f t="shared" si="32"/>
        <v>rg:{'id': '200077'}</v>
      </c>
      <c r="H145" t="s">
        <v>7726</v>
      </c>
      <c r="I145" t="s">
        <v>5635</v>
      </c>
      <c r="J145">
        <f>VLOOKUP(I145&amp;"-"&amp;F145,DistrictEquipmentTypes.csv!J:K,2,FALSE)</f>
        <v>200001</v>
      </c>
      <c r="K145" t="str">
        <f t="shared" si="33"/>
        <v>rg:{'id': '200001'}</v>
      </c>
      <c r="L145">
        <f t="shared" si="34"/>
        <v>3</v>
      </c>
      <c r="M145" t="str">
        <f>VLOOKUP(C145,Owners.csv!C:K,9,FALSE)&amp;TEXT(Equipment.csv!L145,"0000")</f>
        <v>HIGH0003</v>
      </c>
      <c r="N145" t="s">
        <v>5399</v>
      </c>
      <c r="O145" t="s">
        <v>6820</v>
      </c>
      <c r="P145">
        <v>1994</v>
      </c>
      <c r="Q145">
        <v>165</v>
      </c>
      <c r="R145" t="s">
        <v>6660</v>
      </c>
      <c r="S145" s="1">
        <v>38445</v>
      </c>
      <c r="T145" s="1">
        <v>38459</v>
      </c>
      <c r="U145" t="str">
        <f t="shared" ca="1" si="35"/>
        <v>rg:False</v>
      </c>
      <c r="V145" t="str">
        <f t="shared" ca="1" si="36"/>
        <v>rg:None</v>
      </c>
      <c r="W145" t="s">
        <v>7210</v>
      </c>
      <c r="X145" t="s">
        <v>76</v>
      </c>
      <c r="Y145" t="s">
        <v>76</v>
      </c>
      <c r="Z145" t="s">
        <v>76</v>
      </c>
      <c r="AA145" t="s">
        <v>7557</v>
      </c>
      <c r="AB145" t="s">
        <v>7272</v>
      </c>
      <c r="AC145">
        <v>0</v>
      </c>
      <c r="AD145" t="str">
        <f t="shared" ca="1" si="37"/>
        <v>rg:False</v>
      </c>
      <c r="AE145" t="str">
        <f t="shared" ca="1" si="38"/>
        <v>rg:None</v>
      </c>
      <c r="AF145" s="1">
        <v>42481</v>
      </c>
      <c r="AG145" s="4">
        <f t="shared" ca="1" si="39"/>
        <v>443.66666666666669</v>
      </c>
      <c r="AH145" s="4">
        <f t="shared" si="40"/>
        <v>10.955555555555556</v>
      </c>
      <c r="AI145">
        <f t="shared" ca="1" si="41"/>
        <v>192</v>
      </c>
      <c r="AJ145">
        <f t="shared" ca="1" si="42"/>
        <v>11</v>
      </c>
      <c r="AK145">
        <f t="shared" ca="1" si="43"/>
        <v>142</v>
      </c>
      <c r="AL145" t="s">
        <v>326</v>
      </c>
      <c r="AO145" t="s">
        <v>76</v>
      </c>
      <c r="AP145" t="s">
        <v>6508</v>
      </c>
      <c r="AQ145" t="s">
        <v>6508</v>
      </c>
      <c r="AR145" t="s">
        <v>6508</v>
      </c>
      <c r="AS145" t="s">
        <v>6508</v>
      </c>
    </row>
    <row r="146" spans="1:45" x14ac:dyDescent="0.3">
      <c r="A146" t="s">
        <v>5628</v>
      </c>
      <c r="B146">
        <f t="shared" si="30"/>
        <v>200144</v>
      </c>
      <c r="C146">
        <v>200039</v>
      </c>
      <c r="D146" t="str">
        <f t="shared" si="31"/>
        <v>rg:{'id': '200039'}</v>
      </c>
      <c r="E146">
        <f>VLOOKUP(C146,Owners.csv!C:J,6,FALSE)</f>
        <v>200077</v>
      </c>
      <c r="F146">
        <f>VLOOKUP(VLOOKUP(E146,LocalAreas.csv!J:L,3,FALSE),ServiceAreas.csv!F:J,5,FALSE)</f>
        <v>10</v>
      </c>
      <c r="G146" t="str">
        <f t="shared" si="32"/>
        <v>rg:{'id': '200077'}</v>
      </c>
      <c r="H146" t="s">
        <v>7747</v>
      </c>
      <c r="I146" t="s">
        <v>5534</v>
      </c>
      <c r="J146">
        <f>VLOOKUP(I146&amp;"-"&amp;F146,DistrictEquipmentTypes.csv!J:K,2,FALSE)</f>
        <v>200000</v>
      </c>
      <c r="K146" t="str">
        <f t="shared" si="33"/>
        <v>rg:{'id': '200000'}</v>
      </c>
      <c r="L146">
        <f t="shared" si="34"/>
        <v>4</v>
      </c>
      <c r="M146" t="str">
        <f>VLOOKUP(C146,Owners.csv!C:K,9,FALSE)&amp;TEXT(Equipment.csv!L146,"0000")</f>
        <v>HIGH0004</v>
      </c>
      <c r="N146" t="s">
        <v>5399</v>
      </c>
      <c r="O146" t="s">
        <v>6840</v>
      </c>
      <c r="P146">
        <v>2004</v>
      </c>
      <c r="Q146">
        <v>185</v>
      </c>
      <c r="R146" t="s">
        <v>6660</v>
      </c>
      <c r="S146" s="1">
        <v>41678</v>
      </c>
      <c r="T146" s="1">
        <v>41691</v>
      </c>
      <c r="U146" t="str">
        <f t="shared" ca="1" si="35"/>
        <v>rg:True</v>
      </c>
      <c r="V146" t="str">
        <f t="shared" ca="1" si="36"/>
        <v>This equipment should be archived</v>
      </c>
      <c r="W146" t="s">
        <v>7230</v>
      </c>
      <c r="X146" t="s">
        <v>76</v>
      </c>
      <c r="Y146" t="s">
        <v>76</v>
      </c>
      <c r="Z146" t="s">
        <v>76</v>
      </c>
      <c r="AA146" t="s">
        <v>7577</v>
      </c>
      <c r="AB146" t="s">
        <v>7268</v>
      </c>
      <c r="AC146">
        <v>0</v>
      </c>
      <c r="AD146" t="str">
        <f t="shared" ca="1" si="37"/>
        <v>rg:False</v>
      </c>
      <c r="AE146" t="str">
        <f t="shared" ca="1" si="38"/>
        <v>rg:None</v>
      </c>
      <c r="AF146" s="1">
        <v>42481</v>
      </c>
      <c r="AG146" s="4">
        <f t="shared" ca="1" si="39"/>
        <v>189</v>
      </c>
      <c r="AH146" s="4">
        <f t="shared" si="40"/>
        <v>2.1111111111111112</v>
      </c>
      <c r="AI146">
        <f t="shared" ca="1" si="41"/>
        <v>185</v>
      </c>
      <c r="AJ146">
        <f t="shared" ca="1" si="42"/>
        <v>192</v>
      </c>
      <c r="AK146">
        <f t="shared" ca="1" si="43"/>
        <v>0</v>
      </c>
      <c r="AL146" t="s">
        <v>326</v>
      </c>
      <c r="AO146" t="s">
        <v>76</v>
      </c>
      <c r="AP146" t="s">
        <v>6508</v>
      </c>
      <c r="AQ146" t="s">
        <v>6508</v>
      </c>
      <c r="AR146" t="s">
        <v>6508</v>
      </c>
      <c r="AS146" t="s">
        <v>6508</v>
      </c>
    </row>
    <row r="147" spans="1:45" x14ac:dyDescent="0.3">
      <c r="A147" t="s">
        <v>5628</v>
      </c>
      <c r="B147">
        <f t="shared" si="30"/>
        <v>200145</v>
      </c>
      <c r="C147">
        <v>200040</v>
      </c>
      <c r="D147" t="str">
        <f t="shared" si="31"/>
        <v>rg:{'id': '200040'}</v>
      </c>
      <c r="E147">
        <f>VLOOKUP(C147,Owners.csv!C:J,6,FALSE)</f>
        <v>200077</v>
      </c>
      <c r="F147">
        <f>VLOOKUP(VLOOKUP(E147,LocalAreas.csv!J:L,3,FALSE),ServiceAreas.csv!F:J,5,FALSE)</f>
        <v>10</v>
      </c>
      <c r="G147" t="str">
        <f t="shared" si="32"/>
        <v>rg:{'id': '200077'}</v>
      </c>
      <c r="H147" t="s">
        <v>7730</v>
      </c>
      <c r="I147" t="s">
        <v>5649</v>
      </c>
      <c r="J147">
        <f>VLOOKUP(I147&amp;"-"&amp;F147,DistrictEquipmentTypes.csv!J:K,2,FALSE)</f>
        <v>200006</v>
      </c>
      <c r="K147" t="str">
        <f t="shared" si="33"/>
        <v>rg:{'id': '200006'}</v>
      </c>
      <c r="L147">
        <f t="shared" si="34"/>
        <v>1</v>
      </c>
      <c r="M147" t="str">
        <f>VLOOKUP(C147,Owners.csv!C:K,9,FALSE)&amp;TEXT(Equipment.csv!L147,"0000")</f>
        <v>HUGH0001</v>
      </c>
      <c r="N147" t="s">
        <v>5399</v>
      </c>
      <c r="O147" t="s">
        <v>6795</v>
      </c>
      <c r="P147">
        <v>2017</v>
      </c>
      <c r="Q147">
        <v>140</v>
      </c>
      <c r="R147" t="s">
        <v>6660</v>
      </c>
      <c r="S147" s="1">
        <v>40500</v>
      </c>
      <c r="T147" s="1">
        <v>40505</v>
      </c>
      <c r="U147" t="str">
        <f t="shared" ca="1" si="35"/>
        <v>rg:False</v>
      </c>
      <c r="V147" t="str">
        <f t="shared" ca="1" si="36"/>
        <v>rg:None</v>
      </c>
      <c r="W147" t="s">
        <v>7185</v>
      </c>
      <c r="X147" t="s">
        <v>76</v>
      </c>
      <c r="Y147" t="s">
        <v>76</v>
      </c>
      <c r="Z147" t="s">
        <v>76</v>
      </c>
      <c r="AA147" t="s">
        <v>7532</v>
      </c>
      <c r="AB147" t="s">
        <v>7249</v>
      </c>
      <c r="AC147">
        <v>0</v>
      </c>
      <c r="AD147" t="str">
        <f t="shared" ca="1" si="37"/>
        <v>rg:True</v>
      </c>
      <c r="AE147" t="str">
        <f t="shared" ca="1" si="38"/>
        <v>Seniority overridden to test things</v>
      </c>
      <c r="AF147" s="1">
        <v>42481</v>
      </c>
      <c r="AG147" s="4">
        <f t="shared" ca="1" si="39"/>
        <v>446</v>
      </c>
      <c r="AH147" s="4">
        <f t="shared" si="40"/>
        <v>5.3555555555555552</v>
      </c>
      <c r="AI147">
        <f t="shared" ca="1" si="41"/>
        <v>194</v>
      </c>
      <c r="AJ147">
        <f t="shared" ca="1" si="42"/>
        <v>89</v>
      </c>
      <c r="AK147">
        <f t="shared" ca="1" si="43"/>
        <v>91</v>
      </c>
      <c r="AL147" t="s">
        <v>326</v>
      </c>
      <c r="AO147" t="s">
        <v>76</v>
      </c>
      <c r="AP147" t="s">
        <v>6508</v>
      </c>
      <c r="AQ147" t="s">
        <v>6508</v>
      </c>
      <c r="AR147" t="s">
        <v>6508</v>
      </c>
      <c r="AS147" t="s">
        <v>6508</v>
      </c>
    </row>
    <row r="148" spans="1:45" x14ac:dyDescent="0.3">
      <c r="A148" t="s">
        <v>5628</v>
      </c>
      <c r="B148">
        <f t="shared" si="30"/>
        <v>200146</v>
      </c>
      <c r="C148">
        <v>200040</v>
      </c>
      <c r="D148" t="str">
        <f t="shared" si="31"/>
        <v>rg:{'id': '200040'}</v>
      </c>
      <c r="E148">
        <f>VLOOKUP(C148,Owners.csv!C:J,6,FALSE)</f>
        <v>200077</v>
      </c>
      <c r="F148">
        <f>VLOOKUP(VLOOKUP(E148,LocalAreas.csv!J:L,3,FALSE),ServiceAreas.csv!F:J,5,FALSE)</f>
        <v>10</v>
      </c>
      <c r="G148" t="str">
        <f t="shared" si="32"/>
        <v>rg:{'id': '200077'}</v>
      </c>
      <c r="H148" t="s">
        <v>7696</v>
      </c>
      <c r="I148" t="s">
        <v>5649</v>
      </c>
      <c r="J148">
        <f>VLOOKUP(I148&amp;"-"&amp;F148,DistrictEquipmentTypes.csv!J:K,2,FALSE)</f>
        <v>200006</v>
      </c>
      <c r="K148" t="str">
        <f t="shared" si="33"/>
        <v>rg:{'id': '200006'}</v>
      </c>
      <c r="L148">
        <f t="shared" si="34"/>
        <v>2</v>
      </c>
      <c r="M148" t="str">
        <f>VLOOKUP(C148,Owners.csv!C:K,9,FALSE)&amp;TEXT(Equipment.csv!L148,"0000")</f>
        <v>HUGH0002</v>
      </c>
      <c r="N148" t="s">
        <v>5399</v>
      </c>
      <c r="O148" t="s">
        <v>6815</v>
      </c>
      <c r="P148">
        <v>2004</v>
      </c>
      <c r="Q148">
        <v>160</v>
      </c>
      <c r="R148" t="s">
        <v>6660</v>
      </c>
      <c r="S148" s="1">
        <v>39866</v>
      </c>
      <c r="T148" s="1">
        <v>39883</v>
      </c>
      <c r="U148" t="str">
        <f t="shared" ca="1" si="35"/>
        <v>rg:False</v>
      </c>
      <c r="V148" t="str">
        <f t="shared" ca="1" si="36"/>
        <v>rg:None</v>
      </c>
      <c r="W148" t="s">
        <v>7205</v>
      </c>
      <c r="X148" t="s">
        <v>76</v>
      </c>
      <c r="Y148" t="s">
        <v>76</v>
      </c>
      <c r="Z148" t="s">
        <v>76</v>
      </c>
      <c r="AA148" t="s">
        <v>7552</v>
      </c>
      <c r="AB148" t="s">
        <v>7371</v>
      </c>
      <c r="AC148">
        <v>0</v>
      </c>
      <c r="AD148" t="str">
        <f t="shared" ca="1" si="37"/>
        <v>rg:False</v>
      </c>
      <c r="AE148" t="str">
        <f t="shared" ca="1" si="38"/>
        <v>rg:None</v>
      </c>
      <c r="AF148" s="1">
        <v>42481</v>
      </c>
      <c r="AG148" s="4">
        <f t="shared" ca="1" si="39"/>
        <v>451.33333333333331</v>
      </c>
      <c r="AH148" s="4">
        <f t="shared" si="40"/>
        <v>7.0555555555555554</v>
      </c>
      <c r="AI148">
        <f t="shared" ca="1" si="41"/>
        <v>78</v>
      </c>
      <c r="AJ148">
        <f t="shared" ca="1" si="42"/>
        <v>6</v>
      </c>
      <c r="AK148">
        <f t="shared" ca="1" si="43"/>
        <v>0</v>
      </c>
      <c r="AL148" t="s">
        <v>326</v>
      </c>
      <c r="AO148" t="s">
        <v>76</v>
      </c>
      <c r="AP148" t="s">
        <v>6508</v>
      </c>
      <c r="AQ148" t="s">
        <v>6508</v>
      </c>
      <c r="AR148" t="s">
        <v>6508</v>
      </c>
      <c r="AS148" t="s">
        <v>6508</v>
      </c>
    </row>
    <row r="149" spans="1:45" x14ac:dyDescent="0.3">
      <c r="A149" t="s">
        <v>5628</v>
      </c>
      <c r="B149">
        <f t="shared" si="30"/>
        <v>200147</v>
      </c>
      <c r="C149">
        <v>200040</v>
      </c>
      <c r="D149" t="str">
        <f t="shared" si="31"/>
        <v>rg:{'id': '200040'}</v>
      </c>
      <c r="E149">
        <f>VLOOKUP(C149,Owners.csv!C:J,6,FALSE)</f>
        <v>200077</v>
      </c>
      <c r="F149">
        <f>VLOOKUP(VLOOKUP(E149,LocalAreas.csv!J:L,3,FALSE),ServiceAreas.csv!F:J,5,FALSE)</f>
        <v>10</v>
      </c>
      <c r="G149" t="str">
        <f t="shared" si="32"/>
        <v>rg:{'id': '200077'}</v>
      </c>
      <c r="H149" t="s">
        <v>7725</v>
      </c>
      <c r="I149" t="s">
        <v>5635</v>
      </c>
      <c r="J149">
        <f>VLOOKUP(I149&amp;"-"&amp;F149,DistrictEquipmentTypes.csv!J:K,2,FALSE)</f>
        <v>200001</v>
      </c>
      <c r="K149" t="str">
        <f t="shared" si="33"/>
        <v>rg:{'id': '200001'}</v>
      </c>
      <c r="L149">
        <f t="shared" si="34"/>
        <v>3</v>
      </c>
      <c r="M149" t="str">
        <f>VLOOKUP(C149,Owners.csv!C:K,9,FALSE)&amp;TEXT(Equipment.csv!L149,"0000")</f>
        <v>HUGH0003</v>
      </c>
      <c r="N149" t="s">
        <v>5399</v>
      </c>
      <c r="O149" t="s">
        <v>6821</v>
      </c>
      <c r="P149">
        <v>2010</v>
      </c>
      <c r="Q149">
        <v>166</v>
      </c>
      <c r="R149" t="s">
        <v>6660</v>
      </c>
      <c r="S149" s="1">
        <v>38450</v>
      </c>
      <c r="T149" s="1">
        <v>38472</v>
      </c>
      <c r="U149" t="str">
        <f t="shared" ca="1" si="35"/>
        <v>rg:False</v>
      </c>
      <c r="V149" t="str">
        <f t="shared" ca="1" si="36"/>
        <v>rg:None</v>
      </c>
      <c r="W149" t="s">
        <v>7211</v>
      </c>
      <c r="X149" t="s">
        <v>76</v>
      </c>
      <c r="Y149" t="s">
        <v>76</v>
      </c>
      <c r="Z149" t="s">
        <v>76</v>
      </c>
      <c r="AA149" t="s">
        <v>7558</v>
      </c>
      <c r="AB149" t="s">
        <v>7313</v>
      </c>
      <c r="AC149">
        <v>0</v>
      </c>
      <c r="AD149" t="str">
        <f t="shared" ca="1" si="37"/>
        <v>rg:False</v>
      </c>
      <c r="AE149" t="str">
        <f t="shared" ca="1" si="38"/>
        <v>rg:None</v>
      </c>
      <c r="AF149" s="1">
        <v>42481</v>
      </c>
      <c r="AG149" s="4">
        <f t="shared" ca="1" si="39"/>
        <v>384.58333333333331</v>
      </c>
      <c r="AH149" s="4">
        <f t="shared" si="40"/>
        <v>10.919444444444444</v>
      </c>
      <c r="AI149">
        <f t="shared" ca="1" si="41"/>
        <v>29</v>
      </c>
      <c r="AJ149">
        <f t="shared" ca="1" si="42"/>
        <v>64</v>
      </c>
      <c r="AK149">
        <f t="shared" ca="1" si="43"/>
        <v>78</v>
      </c>
      <c r="AL149" t="s">
        <v>326</v>
      </c>
      <c r="AO149" t="s">
        <v>76</v>
      </c>
      <c r="AP149" t="s">
        <v>6508</v>
      </c>
      <c r="AQ149" t="s">
        <v>6508</v>
      </c>
      <c r="AR149" t="s">
        <v>6508</v>
      </c>
      <c r="AS149" t="s">
        <v>6508</v>
      </c>
    </row>
    <row r="150" spans="1:45" x14ac:dyDescent="0.3">
      <c r="A150" t="s">
        <v>5628</v>
      </c>
      <c r="B150">
        <f t="shared" si="30"/>
        <v>200148</v>
      </c>
      <c r="C150">
        <v>200040</v>
      </c>
      <c r="D150" t="str">
        <f t="shared" si="31"/>
        <v>rg:{'id': '200040'}</v>
      </c>
      <c r="E150">
        <f>VLOOKUP(C150,Owners.csv!C:J,6,FALSE)</f>
        <v>200077</v>
      </c>
      <c r="F150">
        <f>VLOOKUP(VLOOKUP(E150,LocalAreas.csv!J:L,3,FALSE),ServiceAreas.csv!F:J,5,FALSE)</f>
        <v>10</v>
      </c>
      <c r="G150" t="str">
        <f t="shared" si="32"/>
        <v>rg:{'id': '200077'}</v>
      </c>
      <c r="H150" t="s">
        <v>7748</v>
      </c>
      <c r="I150" t="s">
        <v>5534</v>
      </c>
      <c r="J150">
        <f>VLOOKUP(I150&amp;"-"&amp;F150,DistrictEquipmentTypes.csv!J:K,2,FALSE)</f>
        <v>200000</v>
      </c>
      <c r="K150" t="str">
        <f t="shared" si="33"/>
        <v>rg:{'id': '200000'}</v>
      </c>
      <c r="L150">
        <f t="shared" si="34"/>
        <v>4</v>
      </c>
      <c r="M150" t="str">
        <f>VLOOKUP(C150,Owners.csv!C:K,9,FALSE)&amp;TEXT(Equipment.csv!L150,"0000")</f>
        <v>HUGH0004</v>
      </c>
      <c r="N150" t="s">
        <v>5399</v>
      </c>
      <c r="O150" t="s">
        <v>6841</v>
      </c>
      <c r="P150">
        <v>2001</v>
      </c>
      <c r="Q150">
        <v>186</v>
      </c>
      <c r="R150" t="s">
        <v>6660</v>
      </c>
      <c r="S150" s="1">
        <v>38147</v>
      </c>
      <c r="T150" s="1">
        <v>38150</v>
      </c>
      <c r="U150" t="str">
        <f t="shared" ca="1" si="35"/>
        <v>rg:False</v>
      </c>
      <c r="V150" t="str">
        <f t="shared" ca="1" si="36"/>
        <v>rg:None</v>
      </c>
      <c r="W150" t="s">
        <v>7231</v>
      </c>
      <c r="X150" t="s">
        <v>76</v>
      </c>
      <c r="Y150" t="s">
        <v>76</v>
      </c>
      <c r="Z150" t="s">
        <v>76</v>
      </c>
      <c r="AA150" t="s">
        <v>7578</v>
      </c>
      <c r="AB150" t="s">
        <v>7384</v>
      </c>
      <c r="AC150">
        <v>0</v>
      </c>
      <c r="AD150" t="str">
        <f t="shared" ca="1" si="37"/>
        <v>rg:False</v>
      </c>
      <c r="AE150" t="str">
        <f t="shared" ca="1" si="38"/>
        <v>rg:None</v>
      </c>
      <c r="AF150" s="1">
        <v>42481</v>
      </c>
      <c r="AG150" s="4">
        <f t="shared" ca="1" si="39"/>
        <v>453.41666666666663</v>
      </c>
      <c r="AH150" s="4">
        <f t="shared" si="40"/>
        <v>11.802777777777777</v>
      </c>
      <c r="AI150">
        <f t="shared" ca="1" si="41"/>
        <v>62</v>
      </c>
      <c r="AJ150">
        <f t="shared" ca="1" si="42"/>
        <v>142</v>
      </c>
      <c r="AK150">
        <f t="shared" ca="1" si="43"/>
        <v>94</v>
      </c>
      <c r="AL150" t="s">
        <v>326</v>
      </c>
      <c r="AO150" t="s">
        <v>76</v>
      </c>
      <c r="AP150" t="s">
        <v>6508</v>
      </c>
      <c r="AQ150" t="s">
        <v>6508</v>
      </c>
      <c r="AR150" t="s">
        <v>6508</v>
      </c>
      <c r="AS150" t="s">
        <v>6508</v>
      </c>
    </row>
    <row r="151" spans="1:45" x14ac:dyDescent="0.3">
      <c r="A151" t="s">
        <v>5628</v>
      </c>
      <c r="B151">
        <f t="shared" si="30"/>
        <v>200149</v>
      </c>
      <c r="C151">
        <v>200041</v>
      </c>
      <c r="D151" t="str">
        <f t="shared" si="31"/>
        <v>rg:{'id': '200041'}</v>
      </c>
      <c r="E151">
        <f>VLOOKUP(C151,Owners.csv!C:J,6,FALSE)</f>
        <v>200077</v>
      </c>
      <c r="F151">
        <f>VLOOKUP(VLOOKUP(E151,LocalAreas.csv!J:L,3,FALSE),ServiceAreas.csv!F:J,5,FALSE)</f>
        <v>10</v>
      </c>
      <c r="G151" t="str">
        <f t="shared" si="32"/>
        <v>rg:{'id': '200077'}</v>
      </c>
      <c r="H151" t="s">
        <v>7714</v>
      </c>
      <c r="I151" t="s">
        <v>5649</v>
      </c>
      <c r="J151">
        <f>VLOOKUP(I151&amp;"-"&amp;F151,DistrictEquipmentTypes.csv!J:K,2,FALSE)</f>
        <v>200006</v>
      </c>
      <c r="K151" t="str">
        <f t="shared" si="33"/>
        <v>rg:{'id': '200006'}</v>
      </c>
      <c r="L151">
        <f t="shared" si="34"/>
        <v>1</v>
      </c>
      <c r="M151" t="str">
        <f>VLOOKUP(C151,Owners.csv!C:K,9,FALSE)&amp;TEXT(Equipment.csv!L151,"0000")</f>
        <v>HUGH0001</v>
      </c>
      <c r="N151" t="s">
        <v>5399</v>
      </c>
      <c r="O151" t="s">
        <v>6796</v>
      </c>
      <c r="P151">
        <v>2008</v>
      </c>
      <c r="Q151">
        <v>141</v>
      </c>
      <c r="R151" t="s">
        <v>6660</v>
      </c>
      <c r="S151" s="1">
        <v>40901</v>
      </c>
      <c r="T151" s="1">
        <v>40927</v>
      </c>
      <c r="U151" t="str">
        <f t="shared" ca="1" si="35"/>
        <v>rg:False</v>
      </c>
      <c r="V151" t="str">
        <f t="shared" ca="1" si="36"/>
        <v>rg:None</v>
      </c>
      <c r="W151" t="s">
        <v>7186</v>
      </c>
      <c r="X151" t="s">
        <v>76</v>
      </c>
      <c r="Y151" t="s">
        <v>76</v>
      </c>
      <c r="Z151" t="s">
        <v>76</v>
      </c>
      <c r="AA151" t="s">
        <v>7533</v>
      </c>
      <c r="AB151" t="s">
        <v>7358</v>
      </c>
      <c r="AC151">
        <v>0</v>
      </c>
      <c r="AD151" t="str">
        <f t="shared" ca="1" si="37"/>
        <v>rg:True</v>
      </c>
      <c r="AE151" t="str">
        <f t="shared" ca="1" si="38"/>
        <v>Seniority overridden to test things</v>
      </c>
      <c r="AF151" s="1">
        <v>42481</v>
      </c>
      <c r="AG151" s="4">
        <f t="shared" ca="1" si="39"/>
        <v>346.33333333333331</v>
      </c>
      <c r="AH151" s="4">
        <f t="shared" si="40"/>
        <v>4.2</v>
      </c>
      <c r="AI151">
        <f t="shared" ca="1" si="41"/>
        <v>90</v>
      </c>
      <c r="AJ151">
        <f t="shared" ca="1" si="42"/>
        <v>176</v>
      </c>
      <c r="AK151">
        <f t="shared" ca="1" si="43"/>
        <v>17</v>
      </c>
      <c r="AL151" t="s">
        <v>326</v>
      </c>
      <c r="AO151" t="s">
        <v>76</v>
      </c>
      <c r="AP151" t="s">
        <v>6508</v>
      </c>
      <c r="AQ151" t="s">
        <v>6508</v>
      </c>
      <c r="AR151" t="s">
        <v>6508</v>
      </c>
      <c r="AS151" t="s">
        <v>6508</v>
      </c>
    </row>
    <row r="152" spans="1:45" x14ac:dyDescent="0.3">
      <c r="A152" t="s">
        <v>5628</v>
      </c>
      <c r="B152">
        <f t="shared" si="30"/>
        <v>200150</v>
      </c>
      <c r="C152">
        <v>200041</v>
      </c>
      <c r="D152" t="str">
        <f t="shared" si="31"/>
        <v>rg:{'id': '200041'}</v>
      </c>
      <c r="E152">
        <f>VLOOKUP(C152,Owners.csv!C:J,6,FALSE)</f>
        <v>200077</v>
      </c>
      <c r="F152">
        <f>VLOOKUP(VLOOKUP(E152,LocalAreas.csv!J:L,3,FALSE),ServiceAreas.csv!F:J,5,FALSE)</f>
        <v>10</v>
      </c>
      <c r="G152" t="str">
        <f t="shared" si="32"/>
        <v>rg:{'id': '200077'}</v>
      </c>
      <c r="H152" t="s">
        <v>7669</v>
      </c>
      <c r="I152" t="s">
        <v>5649</v>
      </c>
      <c r="J152">
        <f>VLOOKUP(I152&amp;"-"&amp;F152,DistrictEquipmentTypes.csv!J:K,2,FALSE)</f>
        <v>200006</v>
      </c>
      <c r="K152" t="str">
        <f t="shared" si="33"/>
        <v>rg:{'id': '200006'}</v>
      </c>
      <c r="L152">
        <f t="shared" si="34"/>
        <v>2</v>
      </c>
      <c r="M152" t="str">
        <f>VLOOKUP(C152,Owners.csv!C:K,9,FALSE)&amp;TEXT(Equipment.csv!L152,"0000")</f>
        <v>HUGH0002</v>
      </c>
      <c r="N152" t="s">
        <v>5399</v>
      </c>
      <c r="O152" t="s">
        <v>6816</v>
      </c>
      <c r="P152">
        <v>1981</v>
      </c>
      <c r="Q152">
        <v>161</v>
      </c>
      <c r="R152" t="s">
        <v>6660</v>
      </c>
      <c r="S152" s="1">
        <v>40054</v>
      </c>
      <c r="T152" s="1">
        <v>40085</v>
      </c>
      <c r="U152" t="str">
        <f t="shared" ca="1" si="35"/>
        <v>rg:True</v>
      </c>
      <c r="V152" t="str">
        <f t="shared" ca="1" si="36"/>
        <v>This equipment should be archived</v>
      </c>
      <c r="W152" t="s">
        <v>7206</v>
      </c>
      <c r="X152" t="s">
        <v>76</v>
      </c>
      <c r="Y152" t="s">
        <v>76</v>
      </c>
      <c r="Z152" t="s">
        <v>76</v>
      </c>
      <c r="AA152" t="s">
        <v>7553</v>
      </c>
      <c r="AB152" t="s">
        <v>7372</v>
      </c>
      <c r="AC152">
        <v>0</v>
      </c>
      <c r="AD152" t="str">
        <f t="shared" ca="1" si="37"/>
        <v>rg:False</v>
      </c>
      <c r="AE152" t="str">
        <f t="shared" ca="1" si="38"/>
        <v>rg:None</v>
      </c>
      <c r="AF152" s="1">
        <v>42481</v>
      </c>
      <c r="AG152" s="4">
        <f t="shared" ca="1" si="39"/>
        <v>470.33333333333331</v>
      </c>
      <c r="AH152" s="4">
        <f t="shared" si="40"/>
        <v>6.5055555555555555</v>
      </c>
      <c r="AI152">
        <f t="shared" ca="1" si="41"/>
        <v>20</v>
      </c>
      <c r="AJ152">
        <f t="shared" ca="1" si="42"/>
        <v>103</v>
      </c>
      <c r="AK152">
        <f t="shared" ca="1" si="43"/>
        <v>117</v>
      </c>
      <c r="AL152" t="s">
        <v>326</v>
      </c>
      <c r="AO152" t="s">
        <v>76</v>
      </c>
      <c r="AP152" t="s">
        <v>6508</v>
      </c>
      <c r="AQ152" t="s">
        <v>6508</v>
      </c>
      <c r="AR152" t="s">
        <v>6508</v>
      </c>
      <c r="AS152" t="s">
        <v>6508</v>
      </c>
    </row>
    <row r="153" spans="1:45" x14ac:dyDescent="0.3">
      <c r="A153" t="s">
        <v>5628</v>
      </c>
      <c r="B153">
        <f t="shared" si="30"/>
        <v>200151</v>
      </c>
      <c r="C153">
        <v>200041</v>
      </c>
      <c r="D153" t="str">
        <f t="shared" si="31"/>
        <v>rg:{'id': '200041'}</v>
      </c>
      <c r="E153">
        <f>VLOOKUP(C153,Owners.csv!C:J,6,FALSE)</f>
        <v>200077</v>
      </c>
      <c r="F153">
        <f>VLOOKUP(VLOOKUP(E153,LocalAreas.csv!J:L,3,FALSE),ServiceAreas.csv!F:J,5,FALSE)</f>
        <v>10</v>
      </c>
      <c r="G153" t="str">
        <f t="shared" si="32"/>
        <v>rg:{'id': '200077'}</v>
      </c>
      <c r="H153" t="s">
        <v>7711</v>
      </c>
      <c r="I153" t="s">
        <v>5635</v>
      </c>
      <c r="J153">
        <f>VLOOKUP(I153&amp;"-"&amp;F153,DistrictEquipmentTypes.csv!J:K,2,FALSE)</f>
        <v>200001</v>
      </c>
      <c r="K153" t="str">
        <f t="shared" si="33"/>
        <v>rg:{'id': '200001'}</v>
      </c>
      <c r="L153">
        <f t="shared" si="34"/>
        <v>3</v>
      </c>
      <c r="M153" t="str">
        <f>VLOOKUP(C153,Owners.csv!C:K,9,FALSE)&amp;TEXT(Equipment.csv!L153,"0000")</f>
        <v>HUGH0003</v>
      </c>
      <c r="N153" t="s">
        <v>5399</v>
      </c>
      <c r="O153" t="s">
        <v>6822</v>
      </c>
      <c r="P153">
        <v>2014</v>
      </c>
      <c r="Q153">
        <v>167</v>
      </c>
      <c r="R153" t="s">
        <v>6660</v>
      </c>
      <c r="S153" s="1">
        <v>40734</v>
      </c>
      <c r="T153" s="1">
        <v>40735</v>
      </c>
      <c r="U153" t="str">
        <f t="shared" ca="1" si="35"/>
        <v>rg:False</v>
      </c>
      <c r="V153" t="str">
        <f t="shared" ca="1" si="36"/>
        <v>rg:None</v>
      </c>
      <c r="W153" t="s">
        <v>7212</v>
      </c>
      <c r="X153" t="s">
        <v>76</v>
      </c>
      <c r="Y153" t="s">
        <v>76</v>
      </c>
      <c r="Z153" t="s">
        <v>76</v>
      </c>
      <c r="AA153" t="s">
        <v>7559</v>
      </c>
      <c r="AB153" t="s">
        <v>7375</v>
      </c>
      <c r="AC153">
        <v>0</v>
      </c>
      <c r="AD153" t="str">
        <f t="shared" ca="1" si="37"/>
        <v>rg:False</v>
      </c>
      <c r="AE153" t="str">
        <f t="shared" ca="1" si="38"/>
        <v>rg:None</v>
      </c>
      <c r="AF153" s="1">
        <v>42481</v>
      </c>
      <c r="AG153" s="4">
        <f t="shared" ca="1" si="39"/>
        <v>235.33333333333331</v>
      </c>
      <c r="AH153" s="4">
        <f t="shared" si="40"/>
        <v>4.7222222222222223</v>
      </c>
      <c r="AI153">
        <f t="shared" ca="1" si="41"/>
        <v>110</v>
      </c>
      <c r="AJ153">
        <f t="shared" ca="1" si="42"/>
        <v>8</v>
      </c>
      <c r="AK153">
        <f t="shared" ca="1" si="43"/>
        <v>163</v>
      </c>
      <c r="AL153" t="s">
        <v>326</v>
      </c>
      <c r="AO153" t="s">
        <v>76</v>
      </c>
      <c r="AP153" t="s">
        <v>6508</v>
      </c>
      <c r="AQ153" t="s">
        <v>6508</v>
      </c>
      <c r="AR153" t="s">
        <v>6508</v>
      </c>
      <c r="AS153" t="s">
        <v>6508</v>
      </c>
    </row>
    <row r="154" spans="1:45" x14ac:dyDescent="0.3">
      <c r="A154" t="s">
        <v>5628</v>
      </c>
      <c r="B154">
        <f t="shared" si="30"/>
        <v>200152</v>
      </c>
      <c r="C154">
        <v>200041</v>
      </c>
      <c r="D154" t="str">
        <f t="shared" si="31"/>
        <v>rg:{'id': '200041'}</v>
      </c>
      <c r="E154">
        <f>VLOOKUP(C154,Owners.csv!C:J,6,FALSE)</f>
        <v>200077</v>
      </c>
      <c r="F154">
        <f>VLOOKUP(VLOOKUP(E154,LocalAreas.csv!J:L,3,FALSE),ServiceAreas.csv!F:J,5,FALSE)</f>
        <v>10</v>
      </c>
      <c r="G154" t="str">
        <f t="shared" si="32"/>
        <v>rg:{'id': '200077'}</v>
      </c>
      <c r="H154" t="s">
        <v>7749</v>
      </c>
      <c r="I154" t="s">
        <v>5534</v>
      </c>
      <c r="J154">
        <f>VLOOKUP(I154&amp;"-"&amp;F154,DistrictEquipmentTypes.csv!J:K,2,FALSE)</f>
        <v>200000</v>
      </c>
      <c r="K154" t="str">
        <f t="shared" si="33"/>
        <v>rg:{'id': '200000'}</v>
      </c>
      <c r="L154">
        <f t="shared" si="34"/>
        <v>4</v>
      </c>
      <c r="M154" t="str">
        <f>VLOOKUP(C154,Owners.csv!C:K,9,FALSE)&amp;TEXT(Equipment.csv!L154,"0000")</f>
        <v>HUGH0004</v>
      </c>
      <c r="N154" t="s">
        <v>5399</v>
      </c>
      <c r="O154" t="s">
        <v>6842</v>
      </c>
      <c r="P154">
        <v>1985</v>
      </c>
      <c r="Q154">
        <v>187</v>
      </c>
      <c r="R154" t="s">
        <v>6660</v>
      </c>
      <c r="S154" s="1">
        <v>40540</v>
      </c>
      <c r="T154" s="1">
        <v>40547</v>
      </c>
      <c r="U154" t="str">
        <f t="shared" ca="1" si="35"/>
        <v>rg:False</v>
      </c>
      <c r="V154" t="str">
        <f t="shared" ca="1" si="36"/>
        <v>rg:None</v>
      </c>
      <c r="W154" t="s">
        <v>7232</v>
      </c>
      <c r="X154" t="s">
        <v>76</v>
      </c>
      <c r="Y154" t="s">
        <v>76</v>
      </c>
      <c r="Z154" t="s">
        <v>76</v>
      </c>
      <c r="AA154" t="s">
        <v>7579</v>
      </c>
      <c r="AB154" t="s">
        <v>7385</v>
      </c>
      <c r="AC154">
        <v>0</v>
      </c>
      <c r="AD154" t="str">
        <f t="shared" ca="1" si="37"/>
        <v>rg:False</v>
      </c>
      <c r="AE154" t="str">
        <f t="shared" ca="1" si="38"/>
        <v>rg:None</v>
      </c>
      <c r="AF154" s="1">
        <v>42481</v>
      </c>
      <c r="AG154" s="4">
        <f t="shared" ca="1" si="39"/>
        <v>218.58333333333334</v>
      </c>
      <c r="AH154" s="4">
        <f t="shared" si="40"/>
        <v>5.2416666666666663</v>
      </c>
      <c r="AI154">
        <f t="shared" ca="1" si="41"/>
        <v>72</v>
      </c>
      <c r="AJ154">
        <f t="shared" ca="1" si="42"/>
        <v>94</v>
      </c>
      <c r="AK154">
        <f t="shared" ca="1" si="43"/>
        <v>18</v>
      </c>
      <c r="AL154" t="s">
        <v>326</v>
      </c>
      <c r="AO154" t="s">
        <v>76</v>
      </c>
      <c r="AP154" t="s">
        <v>6508</v>
      </c>
      <c r="AQ154" t="s">
        <v>6508</v>
      </c>
      <c r="AR154" t="s">
        <v>6508</v>
      </c>
      <c r="AS154" t="s">
        <v>6508</v>
      </c>
    </row>
    <row r="155" spans="1:45" x14ac:dyDescent="0.3">
      <c r="A155" t="s">
        <v>5628</v>
      </c>
      <c r="B155">
        <f t="shared" si="30"/>
        <v>200153</v>
      </c>
      <c r="C155">
        <v>200042</v>
      </c>
      <c r="D155" t="str">
        <f t="shared" si="31"/>
        <v>rg:{'id': '200042'}</v>
      </c>
      <c r="E155">
        <f>VLOOKUP(C155,Owners.csv!C:J,6,FALSE)</f>
        <v>200077</v>
      </c>
      <c r="F155">
        <f>VLOOKUP(VLOOKUP(E155,LocalAreas.csv!J:L,3,FALSE),ServiceAreas.csv!F:J,5,FALSE)</f>
        <v>10</v>
      </c>
      <c r="G155" t="str">
        <f t="shared" si="32"/>
        <v>rg:{'id': '200077'}</v>
      </c>
      <c r="H155" t="s">
        <v>7730</v>
      </c>
      <c r="I155" t="s">
        <v>5649</v>
      </c>
      <c r="J155">
        <f>VLOOKUP(I155&amp;"-"&amp;F155,DistrictEquipmentTypes.csv!J:K,2,FALSE)</f>
        <v>200006</v>
      </c>
      <c r="K155" t="str">
        <f t="shared" si="33"/>
        <v>rg:{'id': '200006'}</v>
      </c>
      <c r="L155">
        <f t="shared" si="34"/>
        <v>1</v>
      </c>
      <c r="M155" t="str">
        <f>VLOOKUP(C155,Owners.csv!C:K,9,FALSE)&amp;TEXT(Equipment.csv!L155,"0000")</f>
        <v>INDI0001</v>
      </c>
      <c r="N155" t="s">
        <v>5399</v>
      </c>
      <c r="O155" t="s">
        <v>6797</v>
      </c>
      <c r="P155">
        <v>1989</v>
      </c>
      <c r="Q155">
        <v>142</v>
      </c>
      <c r="R155" t="s">
        <v>6660</v>
      </c>
      <c r="S155" s="1">
        <v>42386</v>
      </c>
      <c r="T155" s="1">
        <v>42413</v>
      </c>
      <c r="U155" t="str">
        <f t="shared" ca="1" si="35"/>
        <v>rg:False</v>
      </c>
      <c r="V155" t="str">
        <f t="shared" ca="1" si="36"/>
        <v>rg:None</v>
      </c>
      <c r="W155" t="s">
        <v>7187</v>
      </c>
      <c r="X155" t="s">
        <v>76</v>
      </c>
      <c r="Y155" t="s">
        <v>76</v>
      </c>
      <c r="Z155" t="s">
        <v>76</v>
      </c>
      <c r="AA155" t="s">
        <v>7534</v>
      </c>
      <c r="AB155" t="s">
        <v>7359</v>
      </c>
      <c r="AC155">
        <v>0</v>
      </c>
      <c r="AD155" t="str">
        <f t="shared" ca="1" si="37"/>
        <v>rg:False</v>
      </c>
      <c r="AE155" t="str">
        <f t="shared" ca="1" si="38"/>
        <v>rg:None</v>
      </c>
      <c r="AF155" s="1">
        <v>42481</v>
      </c>
      <c r="AG155" s="4">
        <f t="shared" ca="1" si="39"/>
        <v>8</v>
      </c>
      <c r="AH155" s="4">
        <f t="shared" si="40"/>
        <v>0.13333333333333333</v>
      </c>
      <c r="AI155">
        <f t="shared" ca="1" si="41"/>
        <v>0</v>
      </c>
      <c r="AJ155">
        <f t="shared" ca="1" si="42"/>
        <v>0</v>
      </c>
      <c r="AK155">
        <f t="shared" ca="1" si="43"/>
        <v>0</v>
      </c>
      <c r="AL155" t="s">
        <v>326</v>
      </c>
      <c r="AO155" t="s">
        <v>76</v>
      </c>
      <c r="AP155" t="s">
        <v>6508</v>
      </c>
      <c r="AQ155" t="s">
        <v>6508</v>
      </c>
      <c r="AR155" t="s">
        <v>6508</v>
      </c>
      <c r="AS155" t="s">
        <v>6508</v>
      </c>
    </row>
    <row r="156" spans="1:45" x14ac:dyDescent="0.3">
      <c r="A156" t="s">
        <v>5628</v>
      </c>
      <c r="B156">
        <f t="shared" si="30"/>
        <v>200154</v>
      </c>
      <c r="C156">
        <v>200042</v>
      </c>
      <c r="D156" t="str">
        <f t="shared" si="31"/>
        <v>rg:{'id': '200042'}</v>
      </c>
      <c r="E156">
        <f>VLOOKUP(C156,Owners.csv!C:J,6,FALSE)</f>
        <v>200077</v>
      </c>
      <c r="F156">
        <f>VLOOKUP(VLOOKUP(E156,LocalAreas.csv!J:L,3,FALSE),ServiceAreas.csv!F:J,5,FALSE)</f>
        <v>10</v>
      </c>
      <c r="G156" t="str">
        <f t="shared" si="32"/>
        <v>rg:{'id': '200077'}</v>
      </c>
      <c r="H156" t="s">
        <v>7739</v>
      </c>
      <c r="I156" t="s">
        <v>5649</v>
      </c>
      <c r="J156">
        <f>VLOOKUP(I156&amp;"-"&amp;F156,DistrictEquipmentTypes.csv!J:K,2,FALSE)</f>
        <v>200006</v>
      </c>
      <c r="K156" t="str">
        <f t="shared" si="33"/>
        <v>rg:{'id': '200006'}</v>
      </c>
      <c r="L156">
        <f t="shared" si="34"/>
        <v>2</v>
      </c>
      <c r="M156" t="str">
        <f>VLOOKUP(C156,Owners.csv!C:K,9,FALSE)&amp;TEXT(Equipment.csv!L156,"0000")</f>
        <v>INDI0002</v>
      </c>
      <c r="N156" t="s">
        <v>5399</v>
      </c>
      <c r="O156" t="s">
        <v>6817</v>
      </c>
      <c r="P156">
        <v>2001</v>
      </c>
      <c r="Q156">
        <v>162</v>
      </c>
      <c r="R156" t="s">
        <v>6660</v>
      </c>
      <c r="S156" s="1">
        <v>40216</v>
      </c>
      <c r="T156" s="1">
        <v>40237</v>
      </c>
      <c r="U156" t="str">
        <f t="shared" ca="1" si="35"/>
        <v>rg:False</v>
      </c>
      <c r="V156" t="str">
        <f t="shared" ca="1" si="36"/>
        <v>rg:None</v>
      </c>
      <c r="W156" t="s">
        <v>7207</v>
      </c>
      <c r="X156" t="s">
        <v>76</v>
      </c>
      <c r="Y156" t="s">
        <v>76</v>
      </c>
      <c r="Z156" t="s">
        <v>76</v>
      </c>
      <c r="AA156" t="s">
        <v>7554</v>
      </c>
      <c r="AB156" t="s">
        <v>7373</v>
      </c>
      <c r="AC156">
        <v>0</v>
      </c>
      <c r="AD156" t="str">
        <f t="shared" ca="1" si="37"/>
        <v>rg:False</v>
      </c>
      <c r="AE156" t="str">
        <f t="shared" ca="1" si="38"/>
        <v>rg:None</v>
      </c>
      <c r="AF156" s="1">
        <v>42481</v>
      </c>
      <c r="AG156" s="4">
        <f t="shared" ca="1" si="39"/>
        <v>509.5</v>
      </c>
      <c r="AH156" s="4">
        <f t="shared" si="40"/>
        <v>6.0861111111111112</v>
      </c>
      <c r="AI156">
        <f t="shared" ca="1" si="41"/>
        <v>188</v>
      </c>
      <c r="AJ156">
        <f t="shared" ca="1" si="42"/>
        <v>187</v>
      </c>
      <c r="AK156">
        <f t="shared" ca="1" si="43"/>
        <v>58</v>
      </c>
      <c r="AL156" t="s">
        <v>326</v>
      </c>
      <c r="AO156" t="s">
        <v>76</v>
      </c>
      <c r="AP156" t="s">
        <v>6508</v>
      </c>
      <c r="AQ156" t="s">
        <v>6508</v>
      </c>
      <c r="AR156" t="s">
        <v>6508</v>
      </c>
      <c r="AS156" t="s">
        <v>6508</v>
      </c>
    </row>
    <row r="157" spans="1:45" x14ac:dyDescent="0.3">
      <c r="A157" t="s">
        <v>5628</v>
      </c>
      <c r="B157">
        <f t="shared" si="30"/>
        <v>200155</v>
      </c>
      <c r="C157">
        <v>200042</v>
      </c>
      <c r="D157" t="str">
        <f t="shared" si="31"/>
        <v>rg:{'id': '200042'}</v>
      </c>
      <c r="E157">
        <f>VLOOKUP(C157,Owners.csv!C:J,6,FALSE)</f>
        <v>200077</v>
      </c>
      <c r="F157">
        <f>VLOOKUP(VLOOKUP(E157,LocalAreas.csv!J:L,3,FALSE),ServiceAreas.csv!F:J,5,FALSE)</f>
        <v>10</v>
      </c>
      <c r="G157" t="str">
        <f t="shared" si="32"/>
        <v>rg:{'id': '200077'}</v>
      </c>
      <c r="H157" t="s">
        <v>7740</v>
      </c>
      <c r="I157" t="s">
        <v>5635</v>
      </c>
      <c r="J157">
        <f>VLOOKUP(I157&amp;"-"&amp;F157,DistrictEquipmentTypes.csv!J:K,2,FALSE)</f>
        <v>200001</v>
      </c>
      <c r="K157" t="str">
        <f t="shared" si="33"/>
        <v>rg:{'id': '200001'}</v>
      </c>
      <c r="L157">
        <f t="shared" si="34"/>
        <v>3</v>
      </c>
      <c r="M157" t="str">
        <f>VLOOKUP(C157,Owners.csv!C:K,9,FALSE)&amp;TEXT(Equipment.csv!L157,"0000")</f>
        <v>INDI0003</v>
      </c>
      <c r="N157" t="s">
        <v>5399</v>
      </c>
      <c r="O157" t="s">
        <v>6823</v>
      </c>
      <c r="P157">
        <v>1997</v>
      </c>
      <c r="Q157">
        <v>168</v>
      </c>
      <c r="R157" t="s">
        <v>6660</v>
      </c>
      <c r="S157" s="1">
        <v>40265</v>
      </c>
      <c r="T157" s="1">
        <v>40290</v>
      </c>
      <c r="U157" t="str">
        <f t="shared" ca="1" si="35"/>
        <v>rg:False</v>
      </c>
      <c r="V157" t="str">
        <f t="shared" ca="1" si="36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7376</v>
      </c>
      <c r="AC157">
        <v>0</v>
      </c>
      <c r="AD157" t="str">
        <f t="shared" ca="1" si="37"/>
        <v>rg:False</v>
      </c>
      <c r="AE157" t="str">
        <f t="shared" ca="1" si="38"/>
        <v>rg:None</v>
      </c>
      <c r="AF157" s="1">
        <v>42481</v>
      </c>
      <c r="AG157" s="4">
        <f t="shared" ca="1" si="39"/>
        <v>311.58333333333337</v>
      </c>
      <c r="AH157" s="4">
        <f t="shared" si="40"/>
        <v>5.9416666666666664</v>
      </c>
      <c r="AI157">
        <f t="shared" ca="1" si="41"/>
        <v>141</v>
      </c>
      <c r="AJ157">
        <f t="shared" ca="1" si="42"/>
        <v>78</v>
      </c>
      <c r="AK157">
        <f t="shared" ca="1" si="43"/>
        <v>181</v>
      </c>
      <c r="AL157" t="s">
        <v>5687</v>
      </c>
      <c r="AM157" t="s">
        <v>6879</v>
      </c>
      <c r="AN157" s="1">
        <v>42483</v>
      </c>
      <c r="AO157" t="s">
        <v>76</v>
      </c>
      <c r="AP157" t="s">
        <v>6508</v>
      </c>
      <c r="AQ157" t="s">
        <v>6508</v>
      </c>
      <c r="AR157" t="s">
        <v>6508</v>
      </c>
      <c r="AS157" t="s">
        <v>6508</v>
      </c>
    </row>
    <row r="158" spans="1:45" x14ac:dyDescent="0.3">
      <c r="A158" t="s">
        <v>5628</v>
      </c>
      <c r="B158">
        <f t="shared" si="30"/>
        <v>200156</v>
      </c>
      <c r="C158">
        <v>200042</v>
      </c>
      <c r="D158" t="str">
        <f t="shared" si="31"/>
        <v>rg:{'id': '200042'}</v>
      </c>
      <c r="E158">
        <f>VLOOKUP(C158,Owners.csv!C:J,6,FALSE)</f>
        <v>200077</v>
      </c>
      <c r="F158">
        <f>VLOOKUP(VLOOKUP(E158,LocalAreas.csv!J:L,3,FALSE),ServiceAreas.csv!F:J,5,FALSE)</f>
        <v>10</v>
      </c>
      <c r="G158" t="str">
        <f t="shared" si="32"/>
        <v>rg:{'id': '200077'}</v>
      </c>
      <c r="H158" t="s">
        <v>7750</v>
      </c>
      <c r="I158" t="s">
        <v>5534</v>
      </c>
      <c r="J158">
        <f>VLOOKUP(I158&amp;"-"&amp;F158,DistrictEquipmentTypes.csv!J:K,2,FALSE)</f>
        <v>200000</v>
      </c>
      <c r="K158" t="str">
        <f t="shared" si="33"/>
        <v>rg:{'id': '200000'}</v>
      </c>
      <c r="L158">
        <f t="shared" si="34"/>
        <v>4</v>
      </c>
      <c r="M158" t="str">
        <f>VLOOKUP(C158,Owners.csv!C:K,9,FALSE)&amp;TEXT(Equipment.csv!L158,"0000")</f>
        <v>INDI0004</v>
      </c>
      <c r="N158" t="s">
        <v>5399</v>
      </c>
      <c r="O158" t="s">
        <v>6843</v>
      </c>
      <c r="P158">
        <v>1975</v>
      </c>
      <c r="Q158">
        <v>188</v>
      </c>
      <c r="R158" t="s">
        <v>6660</v>
      </c>
      <c r="S158" s="1">
        <v>40453</v>
      </c>
      <c r="T158" s="1">
        <v>40481</v>
      </c>
      <c r="U158" t="str">
        <f t="shared" ca="1" si="35"/>
        <v>rg:False</v>
      </c>
      <c r="V158" t="str">
        <f t="shared" ca="1" si="36"/>
        <v>rg:None</v>
      </c>
      <c r="W158" t="s">
        <v>7233</v>
      </c>
      <c r="X158" t="s">
        <v>76</v>
      </c>
      <c r="Y158" t="s">
        <v>76</v>
      </c>
      <c r="Z158" t="s">
        <v>76</v>
      </c>
      <c r="AA158" t="s">
        <v>7580</v>
      </c>
      <c r="AB158" t="s">
        <v>7308</v>
      </c>
      <c r="AC158">
        <v>0</v>
      </c>
      <c r="AD158" t="str">
        <f t="shared" ca="1" si="37"/>
        <v>rg:False</v>
      </c>
      <c r="AE158" t="str">
        <f t="shared" ca="1" si="38"/>
        <v>rg:None</v>
      </c>
      <c r="AF158" s="1">
        <v>42481</v>
      </c>
      <c r="AG158" s="4">
        <f t="shared" ca="1" si="39"/>
        <v>252.25</v>
      </c>
      <c r="AH158" s="4">
        <f t="shared" si="40"/>
        <v>5.4194444444444443</v>
      </c>
      <c r="AI158">
        <f t="shared" ca="1" si="41"/>
        <v>13</v>
      </c>
      <c r="AJ158">
        <f t="shared" ca="1" si="42"/>
        <v>159</v>
      </c>
      <c r="AK158">
        <f t="shared" ca="1" si="43"/>
        <v>97</v>
      </c>
      <c r="AL158" t="s">
        <v>326</v>
      </c>
      <c r="AO158" t="s">
        <v>76</v>
      </c>
      <c r="AP158" t="s">
        <v>6508</v>
      </c>
      <c r="AQ158" t="s">
        <v>6508</v>
      </c>
      <c r="AR158" t="s">
        <v>6508</v>
      </c>
      <c r="AS158" t="s">
        <v>6508</v>
      </c>
    </row>
    <row r="159" spans="1:45" x14ac:dyDescent="0.3">
      <c r="A159" t="s">
        <v>5628</v>
      </c>
      <c r="B159">
        <f t="shared" si="30"/>
        <v>200157</v>
      </c>
      <c r="C159">
        <v>200043</v>
      </c>
      <c r="D159" t="str">
        <f t="shared" si="31"/>
        <v>rg:{'id': '200043'}</v>
      </c>
      <c r="E159">
        <f>VLOOKUP(C159,Owners.csv!C:J,6,FALSE)</f>
        <v>200077</v>
      </c>
      <c r="F159">
        <f>VLOOKUP(VLOOKUP(E159,LocalAreas.csv!J:L,3,FALSE),ServiceAreas.csv!F:J,5,FALSE)</f>
        <v>10</v>
      </c>
      <c r="G159" t="str">
        <f t="shared" si="32"/>
        <v>rg:{'id': '200077'}</v>
      </c>
      <c r="H159" t="s">
        <v>7731</v>
      </c>
      <c r="I159" t="s">
        <v>5649</v>
      </c>
      <c r="J159">
        <f>VLOOKUP(I159&amp;"-"&amp;F159,DistrictEquipmentTypes.csv!J:K,2,FALSE)</f>
        <v>200006</v>
      </c>
      <c r="K159" t="str">
        <f t="shared" si="33"/>
        <v>rg:{'id': '200006'}</v>
      </c>
      <c r="L159">
        <f t="shared" si="34"/>
        <v>1</v>
      </c>
      <c r="M159" t="str">
        <f>VLOOKUP(C159,Owners.csv!C:K,9,FALSE)&amp;TEXT(Equipment.csv!L159,"0000")</f>
        <v>JBRA0001</v>
      </c>
      <c r="N159" t="s">
        <v>5399</v>
      </c>
      <c r="O159" t="s">
        <v>6798</v>
      </c>
      <c r="P159">
        <v>1986</v>
      </c>
      <c r="Q159">
        <v>143</v>
      </c>
      <c r="R159" t="s">
        <v>6660</v>
      </c>
      <c r="S159" s="1">
        <v>39864</v>
      </c>
      <c r="T159" s="1">
        <v>39877</v>
      </c>
      <c r="U159" t="str">
        <f t="shared" ca="1" si="35"/>
        <v>rg:False</v>
      </c>
      <c r="V159" t="str">
        <f t="shared" ca="1" si="36"/>
        <v>rg:None</v>
      </c>
      <c r="W159" t="s">
        <v>7188</v>
      </c>
      <c r="X159" t="s">
        <v>76</v>
      </c>
      <c r="Y159" t="s">
        <v>76</v>
      </c>
      <c r="Z159" t="s">
        <v>76</v>
      </c>
      <c r="AA159" t="s">
        <v>7535</v>
      </c>
      <c r="AB159" t="s">
        <v>7347</v>
      </c>
      <c r="AC159">
        <v>0</v>
      </c>
      <c r="AD159" t="str">
        <f t="shared" ca="1" si="37"/>
        <v>rg:False</v>
      </c>
      <c r="AE159" t="str">
        <f t="shared" ca="1" si="38"/>
        <v>rg:None</v>
      </c>
      <c r="AF159" s="1">
        <v>42481</v>
      </c>
      <c r="AG159" s="4">
        <f t="shared" ca="1" si="39"/>
        <v>454</v>
      </c>
      <c r="AH159" s="4">
        <f t="shared" si="40"/>
        <v>7.072222222222222</v>
      </c>
      <c r="AI159">
        <f t="shared" ca="1" si="41"/>
        <v>23</v>
      </c>
      <c r="AJ159">
        <f t="shared" ca="1" si="42"/>
        <v>60</v>
      </c>
      <c r="AK159">
        <f t="shared" ca="1" si="43"/>
        <v>6</v>
      </c>
      <c r="AL159" t="s">
        <v>326</v>
      </c>
      <c r="AO159" t="s">
        <v>76</v>
      </c>
      <c r="AP159" t="s">
        <v>6508</v>
      </c>
      <c r="AQ159" t="s">
        <v>6508</v>
      </c>
      <c r="AR159" t="s">
        <v>6508</v>
      </c>
      <c r="AS159" t="s">
        <v>6508</v>
      </c>
    </row>
    <row r="160" spans="1:45" x14ac:dyDescent="0.3">
      <c r="A160" t="s">
        <v>5628</v>
      </c>
      <c r="B160">
        <f t="shared" si="30"/>
        <v>200158</v>
      </c>
      <c r="C160">
        <v>200043</v>
      </c>
      <c r="D160" t="str">
        <f t="shared" si="31"/>
        <v>rg:{'id': '200043'}</v>
      </c>
      <c r="E160">
        <f>VLOOKUP(C160,Owners.csv!C:J,6,FALSE)</f>
        <v>200077</v>
      </c>
      <c r="F160">
        <f>VLOOKUP(VLOOKUP(E160,LocalAreas.csv!J:L,3,FALSE),ServiceAreas.csv!F:J,5,FALSE)</f>
        <v>10</v>
      </c>
      <c r="G160" t="str">
        <f t="shared" si="32"/>
        <v>rg:{'id': '200077'}</v>
      </c>
      <c r="H160" t="s">
        <v>7724</v>
      </c>
      <c r="I160" t="s">
        <v>5649</v>
      </c>
      <c r="J160">
        <f>VLOOKUP(I160&amp;"-"&amp;F160,DistrictEquipmentTypes.csv!J:K,2,FALSE)</f>
        <v>200006</v>
      </c>
      <c r="K160" t="str">
        <f t="shared" si="33"/>
        <v>rg:{'id': '200006'}</v>
      </c>
      <c r="L160">
        <f t="shared" si="34"/>
        <v>2</v>
      </c>
      <c r="M160" t="str">
        <f>VLOOKUP(C160,Owners.csv!C:K,9,FALSE)&amp;TEXT(Equipment.csv!L160,"0000")</f>
        <v>JBRA0002</v>
      </c>
      <c r="N160" t="s">
        <v>5399</v>
      </c>
      <c r="O160" t="s">
        <v>6818</v>
      </c>
      <c r="P160">
        <v>2001</v>
      </c>
      <c r="Q160">
        <v>163</v>
      </c>
      <c r="R160" t="s">
        <v>6660</v>
      </c>
      <c r="S160" s="1">
        <v>41394</v>
      </c>
      <c r="T160" s="1">
        <v>41395</v>
      </c>
      <c r="U160" t="str">
        <f t="shared" ca="1" si="35"/>
        <v>rg:False</v>
      </c>
      <c r="V160" t="str">
        <f t="shared" ca="1" si="36"/>
        <v>rg:None</v>
      </c>
      <c r="W160" t="s">
        <v>7208</v>
      </c>
      <c r="X160" t="s">
        <v>76</v>
      </c>
      <c r="Y160" t="s">
        <v>76</v>
      </c>
      <c r="Z160" t="s">
        <v>76</v>
      </c>
      <c r="AA160" t="s">
        <v>7555</v>
      </c>
      <c r="AB160" t="s">
        <v>7301</v>
      </c>
      <c r="AC160">
        <v>0</v>
      </c>
      <c r="AD160" t="str">
        <f t="shared" ca="1" si="37"/>
        <v>rg:False</v>
      </c>
      <c r="AE160" t="str">
        <f t="shared" ca="1" si="38"/>
        <v>rg:None</v>
      </c>
      <c r="AF160" s="1">
        <v>42481</v>
      </c>
      <c r="AG160" s="4">
        <f t="shared" ca="1" si="39"/>
        <v>195.66666666666666</v>
      </c>
      <c r="AH160" s="4">
        <f t="shared" si="40"/>
        <v>2.9166666666666665</v>
      </c>
      <c r="AI160">
        <f t="shared" ca="1" si="41"/>
        <v>56</v>
      </c>
      <c r="AJ160">
        <f t="shared" ca="1" si="42"/>
        <v>6</v>
      </c>
      <c r="AK160">
        <f t="shared" ca="1" si="43"/>
        <v>0</v>
      </c>
      <c r="AL160" t="s">
        <v>326</v>
      </c>
      <c r="AO160" t="s">
        <v>76</v>
      </c>
      <c r="AP160" t="s">
        <v>6508</v>
      </c>
      <c r="AQ160" t="s">
        <v>6508</v>
      </c>
      <c r="AR160" t="s">
        <v>6508</v>
      </c>
      <c r="AS160" t="s">
        <v>6508</v>
      </c>
    </row>
    <row r="161" spans="1:45" x14ac:dyDescent="0.3">
      <c r="A161" t="s">
        <v>5628</v>
      </c>
      <c r="B161">
        <f t="shared" si="30"/>
        <v>200159</v>
      </c>
      <c r="C161">
        <v>200043</v>
      </c>
      <c r="D161" t="str">
        <f t="shared" si="31"/>
        <v>rg:{'id': '200043'}</v>
      </c>
      <c r="E161">
        <f>VLOOKUP(C161,Owners.csv!C:J,6,FALSE)</f>
        <v>200077</v>
      </c>
      <c r="F161">
        <f>VLOOKUP(VLOOKUP(E161,LocalAreas.csv!J:L,3,FALSE),ServiceAreas.csv!F:J,5,FALSE)</f>
        <v>10</v>
      </c>
      <c r="G161" t="str">
        <f t="shared" si="32"/>
        <v>rg:{'id': '200077'}</v>
      </c>
      <c r="H161" t="s">
        <v>7711</v>
      </c>
      <c r="I161" t="s">
        <v>5635</v>
      </c>
      <c r="J161">
        <f>VLOOKUP(I161&amp;"-"&amp;F161,DistrictEquipmentTypes.csv!J:K,2,FALSE)</f>
        <v>200001</v>
      </c>
      <c r="K161" t="str">
        <f t="shared" si="33"/>
        <v>rg:{'id': '200001'}</v>
      </c>
      <c r="L161">
        <f t="shared" si="34"/>
        <v>3</v>
      </c>
      <c r="M161" t="str">
        <f>VLOOKUP(C161,Owners.csv!C:K,9,FALSE)&amp;TEXT(Equipment.csv!L161,"0000")</f>
        <v>JBRA0003</v>
      </c>
      <c r="N161" t="s">
        <v>5399</v>
      </c>
      <c r="O161" t="s">
        <v>6824</v>
      </c>
      <c r="P161">
        <v>1973</v>
      </c>
      <c r="Q161">
        <v>169</v>
      </c>
      <c r="R161" t="s">
        <v>6660</v>
      </c>
      <c r="S161" s="1">
        <v>38181</v>
      </c>
      <c r="T161" s="1">
        <v>38198</v>
      </c>
      <c r="U161" t="str">
        <f t="shared" ca="1" si="35"/>
        <v>rg:False</v>
      </c>
      <c r="V161" t="str">
        <f t="shared" ca="1" si="36"/>
        <v>rg:None</v>
      </c>
      <c r="W161" t="s">
        <v>7214</v>
      </c>
      <c r="X161" t="s">
        <v>76</v>
      </c>
      <c r="Y161" t="s">
        <v>76</v>
      </c>
      <c r="Z161" t="s">
        <v>76</v>
      </c>
      <c r="AA161" t="s">
        <v>7561</v>
      </c>
      <c r="AB161" t="s">
        <v>7359</v>
      </c>
      <c r="AC161">
        <v>0</v>
      </c>
      <c r="AD161" t="str">
        <f t="shared" ca="1" si="37"/>
        <v>rg:False</v>
      </c>
      <c r="AE161" t="str">
        <f t="shared" ca="1" si="38"/>
        <v>rg:None</v>
      </c>
      <c r="AF161" s="1">
        <v>42481</v>
      </c>
      <c r="AG161" s="4">
        <f t="shared" ca="1" si="39"/>
        <v>476.41666666666663</v>
      </c>
      <c r="AH161" s="4">
        <f t="shared" si="40"/>
        <v>11.669444444444444</v>
      </c>
      <c r="AI161">
        <f t="shared" ca="1" si="41"/>
        <v>158</v>
      </c>
      <c r="AJ161">
        <f t="shared" ca="1" si="42"/>
        <v>61</v>
      </c>
      <c r="AK161">
        <f t="shared" ca="1" si="43"/>
        <v>160</v>
      </c>
      <c r="AL161" t="s">
        <v>326</v>
      </c>
      <c r="AO161" t="s">
        <v>76</v>
      </c>
      <c r="AP161" t="s">
        <v>6508</v>
      </c>
      <c r="AQ161" t="s">
        <v>6508</v>
      </c>
      <c r="AR161" t="s">
        <v>6508</v>
      </c>
      <c r="AS161" t="s">
        <v>6508</v>
      </c>
    </row>
    <row r="162" spans="1:45" x14ac:dyDescent="0.3">
      <c r="A162" t="s">
        <v>5628</v>
      </c>
      <c r="B162">
        <f t="shared" si="30"/>
        <v>200160</v>
      </c>
      <c r="C162">
        <v>200043</v>
      </c>
      <c r="D162" t="str">
        <f t="shared" si="31"/>
        <v>rg:{'id': '200043'}</v>
      </c>
      <c r="E162">
        <f>VLOOKUP(C162,Owners.csv!C:J,6,FALSE)</f>
        <v>200077</v>
      </c>
      <c r="F162">
        <f>VLOOKUP(VLOOKUP(E162,LocalAreas.csv!J:L,3,FALSE),ServiceAreas.csv!F:J,5,FALSE)</f>
        <v>10</v>
      </c>
      <c r="G162" t="str">
        <f t="shared" si="32"/>
        <v>rg:{'id': '200077'}</v>
      </c>
      <c r="H162" t="s">
        <v>7645</v>
      </c>
      <c r="I162" t="s">
        <v>5534</v>
      </c>
      <c r="J162">
        <f>VLOOKUP(I162&amp;"-"&amp;F162,DistrictEquipmentTypes.csv!J:K,2,FALSE)</f>
        <v>200000</v>
      </c>
      <c r="K162" t="str">
        <f t="shared" si="33"/>
        <v>rg:{'id': '200000'}</v>
      </c>
      <c r="L162">
        <f t="shared" si="34"/>
        <v>4</v>
      </c>
      <c r="M162" t="str">
        <f>VLOOKUP(C162,Owners.csv!C:K,9,FALSE)&amp;TEXT(Equipment.csv!L162,"0000")</f>
        <v>JBRA0004</v>
      </c>
      <c r="N162" t="s">
        <v>5399</v>
      </c>
      <c r="O162" t="s">
        <v>6844</v>
      </c>
      <c r="P162">
        <v>1997</v>
      </c>
      <c r="Q162">
        <v>189</v>
      </c>
      <c r="R162" t="s">
        <v>6660</v>
      </c>
      <c r="S162" s="1">
        <v>42116</v>
      </c>
      <c r="T162" s="1">
        <v>42144</v>
      </c>
      <c r="U162" t="str">
        <f t="shared" ca="1" si="35"/>
        <v>rg:True</v>
      </c>
      <c r="V162" t="str">
        <f t="shared" ca="1" si="36"/>
        <v>This equipment should be archived</v>
      </c>
      <c r="W162" t="s">
        <v>7234</v>
      </c>
      <c r="X162" t="s">
        <v>76</v>
      </c>
      <c r="Y162" t="s">
        <v>76</v>
      </c>
      <c r="Z162" t="s">
        <v>76</v>
      </c>
      <c r="AA162" t="s">
        <v>7581</v>
      </c>
      <c r="AB162" t="s">
        <v>7386</v>
      </c>
      <c r="AC162">
        <v>0</v>
      </c>
      <c r="AD162" t="str">
        <f t="shared" ca="1" si="37"/>
        <v>rg:False</v>
      </c>
      <c r="AE162" t="str">
        <f t="shared" ref="AE162:AE193" ca="1" si="44">IF(AD162="rg:True","Seniority overridden to test things","rg:None")</f>
        <v>rg:None</v>
      </c>
      <c r="AF162" s="1">
        <v>42481</v>
      </c>
      <c r="AG162" s="4">
        <f t="shared" ca="1" si="39"/>
        <v>25.916666666666668</v>
      </c>
      <c r="AH162" s="4">
        <f t="shared" si="40"/>
        <v>0.86388888888888893</v>
      </c>
      <c r="AI162">
        <f t="shared" ca="1" si="41"/>
        <v>0</v>
      </c>
      <c r="AJ162">
        <f t="shared" ca="1" si="42"/>
        <v>0</v>
      </c>
      <c r="AK162">
        <f t="shared" ca="1" si="43"/>
        <v>0</v>
      </c>
      <c r="AL162" t="s">
        <v>326</v>
      </c>
      <c r="AO162" t="s">
        <v>76</v>
      </c>
      <c r="AP162" t="s">
        <v>6508</v>
      </c>
      <c r="AQ162" t="s">
        <v>6508</v>
      </c>
      <c r="AR162" t="s">
        <v>6508</v>
      </c>
      <c r="AS162" t="s">
        <v>6508</v>
      </c>
    </row>
    <row r="163" spans="1:45" x14ac:dyDescent="0.3">
      <c r="A163" t="s">
        <v>5628</v>
      </c>
      <c r="B163">
        <f t="shared" si="30"/>
        <v>200161</v>
      </c>
      <c r="C163">
        <v>200044</v>
      </c>
      <c r="D163" t="str">
        <f t="shared" si="31"/>
        <v>rg:{'id': '200044'}</v>
      </c>
      <c r="E163">
        <f>VLOOKUP(C163,Owners.csv!C:J,6,FALSE)</f>
        <v>200077</v>
      </c>
      <c r="F163">
        <f>VLOOKUP(VLOOKUP(E163,LocalAreas.csv!J:L,3,FALSE),ServiceAreas.csv!F:J,5,FALSE)</f>
        <v>10</v>
      </c>
      <c r="G163" t="str">
        <f t="shared" si="32"/>
        <v>rg:{'id': '200077'}</v>
      </c>
      <c r="H163" t="s">
        <v>7638</v>
      </c>
      <c r="I163" t="s">
        <v>5649</v>
      </c>
      <c r="J163">
        <f>VLOOKUP(I163&amp;"-"&amp;F163,DistrictEquipmentTypes.csv!J:K,2,FALSE)</f>
        <v>200006</v>
      </c>
      <c r="K163" t="str">
        <f t="shared" si="33"/>
        <v>rg:{'id': '200006'}</v>
      </c>
      <c r="L163">
        <f t="shared" si="34"/>
        <v>1</v>
      </c>
      <c r="M163" t="str">
        <f>VLOOKUP(C163,Owners.csv!C:K,9,FALSE)&amp;TEXT(Equipment.csv!L163,"0000")</f>
        <v>JEAN0001</v>
      </c>
      <c r="N163" t="s">
        <v>5399</v>
      </c>
      <c r="O163" t="s">
        <v>6799</v>
      </c>
      <c r="P163">
        <v>2003</v>
      </c>
      <c r="Q163">
        <v>144</v>
      </c>
      <c r="R163" t="s">
        <v>6660</v>
      </c>
      <c r="S163" s="1">
        <v>41573</v>
      </c>
      <c r="T163" s="1">
        <v>41591</v>
      </c>
      <c r="U163" t="str">
        <f t="shared" ca="1" si="35"/>
        <v>rg:False</v>
      </c>
      <c r="V163" t="str">
        <f t="shared" ca="1" si="36"/>
        <v>rg:None</v>
      </c>
      <c r="W163" t="s">
        <v>7189</v>
      </c>
      <c r="X163" t="s">
        <v>76</v>
      </c>
      <c r="Y163" t="s">
        <v>76</v>
      </c>
      <c r="Z163" t="s">
        <v>76</v>
      </c>
      <c r="AA163" t="s">
        <v>7536</v>
      </c>
      <c r="AB163" t="s">
        <v>7360</v>
      </c>
      <c r="AC163">
        <v>0</v>
      </c>
      <c r="AD163" t="str">
        <f t="shared" ca="1" si="37"/>
        <v>rg:False</v>
      </c>
      <c r="AE163" t="str">
        <f t="shared" ca="1" si="44"/>
        <v>rg:None</v>
      </c>
      <c r="AF163" s="1">
        <v>42481</v>
      </c>
      <c r="AG163" s="4">
        <f t="shared" ca="1" si="39"/>
        <v>151</v>
      </c>
      <c r="AH163" s="4">
        <f t="shared" si="40"/>
        <v>2.3833333333333333</v>
      </c>
      <c r="AI163">
        <f t="shared" ca="1" si="41"/>
        <v>1</v>
      </c>
      <c r="AJ163">
        <f t="shared" ca="1" si="42"/>
        <v>23</v>
      </c>
      <c r="AK163">
        <f t="shared" ca="1" si="43"/>
        <v>0</v>
      </c>
      <c r="AL163" t="s">
        <v>326</v>
      </c>
      <c r="AO163" t="s">
        <v>76</v>
      </c>
      <c r="AP163" t="s">
        <v>6508</v>
      </c>
      <c r="AQ163" t="s">
        <v>6508</v>
      </c>
      <c r="AR163" t="s">
        <v>6508</v>
      </c>
      <c r="AS163" t="s">
        <v>6508</v>
      </c>
    </row>
    <row r="164" spans="1:45" x14ac:dyDescent="0.3">
      <c r="A164" t="s">
        <v>5628</v>
      </c>
      <c r="B164">
        <f t="shared" si="30"/>
        <v>200162</v>
      </c>
      <c r="C164">
        <v>200044</v>
      </c>
      <c r="D164" t="str">
        <f t="shared" si="31"/>
        <v>rg:{'id': '200044'}</v>
      </c>
      <c r="E164">
        <f>VLOOKUP(C164,Owners.csv!C:J,6,FALSE)</f>
        <v>200077</v>
      </c>
      <c r="F164">
        <f>VLOOKUP(VLOOKUP(E164,LocalAreas.csv!J:L,3,FALSE),ServiceAreas.csv!F:J,5,FALSE)</f>
        <v>10</v>
      </c>
      <c r="G164" t="str">
        <f t="shared" si="32"/>
        <v>rg:{'id': '200077'}</v>
      </c>
      <c r="H164" t="s">
        <v>7666</v>
      </c>
      <c r="I164" t="s">
        <v>5635</v>
      </c>
      <c r="J164">
        <f>VLOOKUP(I164&amp;"-"&amp;F164,DistrictEquipmentTypes.csv!J:K,2,FALSE)</f>
        <v>200001</v>
      </c>
      <c r="K164" t="str">
        <f t="shared" si="33"/>
        <v>rg:{'id': '200001'}</v>
      </c>
      <c r="L164">
        <f t="shared" si="34"/>
        <v>2</v>
      </c>
      <c r="M164" t="str">
        <f>VLOOKUP(C164,Owners.csv!C:K,9,FALSE)&amp;TEXT(Equipment.csv!L164,"0000")</f>
        <v>JEAN0002</v>
      </c>
      <c r="N164" t="s">
        <v>5399</v>
      </c>
      <c r="O164" t="s">
        <v>6825</v>
      </c>
      <c r="P164">
        <v>2007</v>
      </c>
      <c r="Q164">
        <v>170</v>
      </c>
      <c r="R164" t="s">
        <v>6660</v>
      </c>
      <c r="S164" s="1">
        <v>40054</v>
      </c>
      <c r="T164" s="1">
        <v>40077</v>
      </c>
      <c r="U164" t="str">
        <f t="shared" ca="1" si="35"/>
        <v>rg:False</v>
      </c>
      <c r="V164" t="str">
        <f t="shared" ca="1" si="36"/>
        <v>rg:None</v>
      </c>
      <c r="W164" t="s">
        <v>7215</v>
      </c>
      <c r="X164" t="s">
        <v>76</v>
      </c>
      <c r="Y164" t="s">
        <v>76</v>
      </c>
      <c r="Z164" t="s">
        <v>76</v>
      </c>
      <c r="AA164" t="s">
        <v>7562</v>
      </c>
      <c r="AB164" t="s">
        <v>7326</v>
      </c>
      <c r="AC164">
        <v>0</v>
      </c>
      <c r="AD164" t="str">
        <f t="shared" ca="1" si="37"/>
        <v>rg:False</v>
      </c>
      <c r="AE164" t="str">
        <f t="shared" ca="1" si="44"/>
        <v>rg:None</v>
      </c>
      <c r="AF164" s="1">
        <v>42481</v>
      </c>
      <c r="AG164" s="4">
        <f t="shared" ca="1" si="39"/>
        <v>305.83333333333337</v>
      </c>
      <c r="AH164" s="4">
        <f t="shared" si="40"/>
        <v>6.5277777777777777</v>
      </c>
      <c r="AI164">
        <f t="shared" ca="1" si="41"/>
        <v>175</v>
      </c>
      <c r="AJ164">
        <f t="shared" ca="1" si="42"/>
        <v>119</v>
      </c>
      <c r="AK164">
        <f t="shared" ca="1" si="43"/>
        <v>36</v>
      </c>
      <c r="AL164" t="s">
        <v>326</v>
      </c>
      <c r="AO164" t="s">
        <v>76</v>
      </c>
      <c r="AP164" t="s">
        <v>6508</v>
      </c>
      <c r="AQ164" t="s">
        <v>6508</v>
      </c>
      <c r="AR164" t="s">
        <v>6508</v>
      </c>
      <c r="AS164" t="s">
        <v>6508</v>
      </c>
    </row>
    <row r="165" spans="1:45" x14ac:dyDescent="0.3">
      <c r="A165" t="s">
        <v>5628</v>
      </c>
      <c r="B165">
        <f t="shared" si="30"/>
        <v>200163</v>
      </c>
      <c r="C165">
        <v>200044</v>
      </c>
      <c r="D165" t="str">
        <f t="shared" si="31"/>
        <v>rg:{'id': '200044'}</v>
      </c>
      <c r="E165">
        <f>VLOOKUP(C165,Owners.csv!C:J,6,FALSE)</f>
        <v>200077</v>
      </c>
      <c r="F165">
        <f>VLOOKUP(VLOOKUP(E165,LocalAreas.csv!J:L,3,FALSE),ServiceAreas.csv!F:J,5,FALSE)</f>
        <v>10</v>
      </c>
      <c r="G165" t="str">
        <f t="shared" si="32"/>
        <v>rg:{'id': '200077'}</v>
      </c>
      <c r="H165" t="s">
        <v>7694</v>
      </c>
      <c r="I165" t="s">
        <v>5534</v>
      </c>
      <c r="J165">
        <f>VLOOKUP(I165&amp;"-"&amp;F165,DistrictEquipmentTypes.csv!J:K,2,FALSE)</f>
        <v>200000</v>
      </c>
      <c r="K165" t="str">
        <f t="shared" si="33"/>
        <v>rg:{'id': '200000'}</v>
      </c>
      <c r="L165">
        <f t="shared" si="34"/>
        <v>3</v>
      </c>
      <c r="M165" t="str">
        <f>VLOOKUP(C165,Owners.csv!C:K,9,FALSE)&amp;TEXT(Equipment.csv!L165,"0000")</f>
        <v>JEAN0003</v>
      </c>
      <c r="N165" t="s">
        <v>5399</v>
      </c>
      <c r="O165" t="s">
        <v>6845</v>
      </c>
      <c r="P165">
        <v>2017</v>
      </c>
      <c r="Q165">
        <v>190</v>
      </c>
      <c r="R165" t="s">
        <v>6660</v>
      </c>
      <c r="S165" s="1">
        <v>37871</v>
      </c>
      <c r="T165" s="1">
        <v>37883</v>
      </c>
      <c r="U165" t="str">
        <f t="shared" ca="1" si="35"/>
        <v>rg:True</v>
      </c>
      <c r="V165" t="str">
        <f t="shared" ca="1" si="36"/>
        <v>This equipment should be archived</v>
      </c>
      <c r="W165" t="s">
        <v>7235</v>
      </c>
      <c r="X165" t="s">
        <v>76</v>
      </c>
      <c r="Y165" t="s">
        <v>76</v>
      </c>
      <c r="Z165" t="s">
        <v>76</v>
      </c>
      <c r="AA165" t="s">
        <v>7582</v>
      </c>
      <c r="AB165" t="s">
        <v>7378</v>
      </c>
      <c r="AC165">
        <v>0</v>
      </c>
      <c r="AD165" t="str">
        <f t="shared" ca="1" si="37"/>
        <v>rg:True</v>
      </c>
      <c r="AE165" t="str">
        <f t="shared" ca="1" si="44"/>
        <v>Seniority overridden to test things</v>
      </c>
      <c r="AF165" s="1">
        <v>42481</v>
      </c>
      <c r="AG165" s="4">
        <f t="shared" ca="1" si="39"/>
        <v>444.66666666666669</v>
      </c>
      <c r="AH165" s="4">
        <f t="shared" si="40"/>
        <v>12.533333333333333</v>
      </c>
      <c r="AI165">
        <f t="shared" ca="1" si="41"/>
        <v>36</v>
      </c>
      <c r="AJ165">
        <f t="shared" ca="1" si="42"/>
        <v>165</v>
      </c>
      <c r="AK165">
        <f t="shared" ca="1" si="43"/>
        <v>5</v>
      </c>
      <c r="AL165" t="s">
        <v>326</v>
      </c>
      <c r="AO165" t="s">
        <v>76</v>
      </c>
      <c r="AP165" t="s">
        <v>6508</v>
      </c>
      <c r="AQ165" t="s">
        <v>6508</v>
      </c>
      <c r="AR165" t="s">
        <v>6508</v>
      </c>
      <c r="AS165" t="s">
        <v>6508</v>
      </c>
    </row>
    <row r="166" spans="1:45" x14ac:dyDescent="0.3">
      <c r="A166" t="s">
        <v>5628</v>
      </c>
      <c r="B166">
        <f t="shared" si="30"/>
        <v>200164</v>
      </c>
      <c r="C166">
        <v>200045</v>
      </c>
      <c r="D166" t="str">
        <f t="shared" si="31"/>
        <v>rg:{'id': '200045'}</v>
      </c>
      <c r="E166">
        <f>VLOOKUP(C166,Owners.csv!C:J,6,FALSE)</f>
        <v>200077</v>
      </c>
      <c r="F166">
        <f>VLOOKUP(VLOOKUP(E166,LocalAreas.csv!J:L,3,FALSE),ServiceAreas.csv!F:J,5,FALSE)</f>
        <v>10</v>
      </c>
      <c r="G166" t="str">
        <f t="shared" si="32"/>
        <v>rg:{'id': '200077'}</v>
      </c>
      <c r="H166" t="s">
        <v>7634</v>
      </c>
      <c r="I166" t="s">
        <v>5649</v>
      </c>
      <c r="J166">
        <f>VLOOKUP(I166&amp;"-"&amp;F166,DistrictEquipmentTypes.csv!J:K,2,FALSE)</f>
        <v>200006</v>
      </c>
      <c r="K166" t="str">
        <f t="shared" si="33"/>
        <v>rg:{'id': '200006'}</v>
      </c>
      <c r="L166">
        <f t="shared" si="34"/>
        <v>1</v>
      </c>
      <c r="M166" t="str">
        <f>VLOOKUP(C166,Owners.csv!C:K,9,FALSE)&amp;TEXT(Equipment.csv!L166,"0000")</f>
        <v>KBTO0001</v>
      </c>
      <c r="N166" t="s">
        <v>5399</v>
      </c>
      <c r="O166" t="s">
        <v>6800</v>
      </c>
      <c r="P166">
        <v>2002</v>
      </c>
      <c r="Q166">
        <v>145</v>
      </c>
      <c r="R166" t="s">
        <v>6660</v>
      </c>
      <c r="S166" s="1">
        <v>42134</v>
      </c>
      <c r="T166" s="1">
        <v>42141</v>
      </c>
      <c r="U166" t="str">
        <f t="shared" ca="1" si="35"/>
        <v>rg:False</v>
      </c>
      <c r="V166" t="str">
        <f t="shared" ca="1" si="36"/>
        <v>rg:None</v>
      </c>
      <c r="W166" t="s">
        <v>7190</v>
      </c>
      <c r="X166" t="s">
        <v>76</v>
      </c>
      <c r="Y166" t="s">
        <v>76</v>
      </c>
      <c r="Z166" t="s">
        <v>76</v>
      </c>
      <c r="AA166" t="s">
        <v>7537</v>
      </c>
      <c r="AB166" t="s">
        <v>7274</v>
      </c>
      <c r="AC166">
        <v>0</v>
      </c>
      <c r="AD166" t="str">
        <f t="shared" ca="1" si="37"/>
        <v>rg:True</v>
      </c>
      <c r="AE166" t="str">
        <f t="shared" ca="1" si="44"/>
        <v>Seniority overridden to test things</v>
      </c>
      <c r="AF166" s="1">
        <v>42481</v>
      </c>
      <c r="AG166" s="4">
        <f t="shared" ca="1" si="39"/>
        <v>52.333333333333336</v>
      </c>
      <c r="AH166" s="4">
        <f t="shared" si="40"/>
        <v>0.87222222222222223</v>
      </c>
      <c r="AI166">
        <f t="shared" ca="1" si="41"/>
        <v>0</v>
      </c>
      <c r="AJ166">
        <f t="shared" ca="1" si="42"/>
        <v>0</v>
      </c>
      <c r="AK166">
        <f t="shared" ca="1" si="43"/>
        <v>0</v>
      </c>
      <c r="AL166" t="s">
        <v>326</v>
      </c>
      <c r="AO166" t="s">
        <v>76</v>
      </c>
      <c r="AP166" t="s">
        <v>6508</v>
      </c>
      <c r="AQ166" t="s">
        <v>6508</v>
      </c>
      <c r="AR166" t="s">
        <v>6508</v>
      </c>
      <c r="AS166" t="s">
        <v>6508</v>
      </c>
    </row>
    <row r="167" spans="1:45" x14ac:dyDescent="0.3">
      <c r="A167" t="s">
        <v>5628</v>
      </c>
      <c r="B167">
        <f t="shared" si="30"/>
        <v>200165</v>
      </c>
      <c r="C167">
        <v>200045</v>
      </c>
      <c r="D167" t="str">
        <f t="shared" si="31"/>
        <v>rg:{'id': '200045'}</v>
      </c>
      <c r="E167">
        <f>VLOOKUP(C167,Owners.csv!C:J,6,FALSE)</f>
        <v>200077</v>
      </c>
      <c r="F167">
        <f>VLOOKUP(VLOOKUP(E167,LocalAreas.csv!J:L,3,FALSE),ServiceAreas.csv!F:J,5,FALSE)</f>
        <v>10</v>
      </c>
      <c r="G167" t="str">
        <f t="shared" si="32"/>
        <v>rg:{'id': '200077'}</v>
      </c>
      <c r="H167" t="s">
        <v>7682</v>
      </c>
      <c r="I167" t="s">
        <v>5635</v>
      </c>
      <c r="J167">
        <f>VLOOKUP(I167&amp;"-"&amp;F167,DistrictEquipmentTypes.csv!J:K,2,FALSE)</f>
        <v>200001</v>
      </c>
      <c r="K167" t="str">
        <f t="shared" si="33"/>
        <v>rg:{'id': '200001'}</v>
      </c>
      <c r="L167">
        <f t="shared" si="34"/>
        <v>2</v>
      </c>
      <c r="M167" t="str">
        <f>VLOOKUP(C167,Owners.csv!C:K,9,FALSE)&amp;TEXT(Equipment.csv!L167,"0000")</f>
        <v>KBTO0002</v>
      </c>
      <c r="N167" t="s">
        <v>5399</v>
      </c>
      <c r="O167" t="s">
        <v>6826</v>
      </c>
      <c r="P167">
        <v>1986</v>
      </c>
      <c r="Q167">
        <v>171</v>
      </c>
      <c r="R167" t="s">
        <v>6660</v>
      </c>
      <c r="S167" s="1">
        <v>42233</v>
      </c>
      <c r="T167" s="1">
        <v>42262</v>
      </c>
      <c r="U167" t="str">
        <f t="shared" ca="1" si="35"/>
        <v>rg:False</v>
      </c>
      <c r="V167" t="str">
        <f t="shared" ca="1" si="36"/>
        <v>rg:None</v>
      </c>
      <c r="W167" t="s">
        <v>7216</v>
      </c>
      <c r="X167" t="s">
        <v>76</v>
      </c>
      <c r="Y167" t="s">
        <v>76</v>
      </c>
      <c r="Z167" t="s">
        <v>76</v>
      </c>
      <c r="AA167" t="s">
        <v>7563</v>
      </c>
      <c r="AB167" t="s">
        <v>7377</v>
      </c>
      <c r="AC167">
        <v>0</v>
      </c>
      <c r="AD167" t="str">
        <f t="shared" ca="1" si="37"/>
        <v>rg:False</v>
      </c>
      <c r="AE167" t="str">
        <f t="shared" ca="1" si="44"/>
        <v>rg:None</v>
      </c>
      <c r="AF167" s="1">
        <v>42481</v>
      </c>
      <c r="AG167" s="4">
        <f t="shared" ca="1" si="39"/>
        <v>16.333333333333332</v>
      </c>
      <c r="AH167" s="4">
        <f t="shared" si="40"/>
        <v>0.5444444444444444</v>
      </c>
      <c r="AI167">
        <f t="shared" ca="1" si="41"/>
        <v>0</v>
      </c>
      <c r="AJ167">
        <f t="shared" ca="1" si="42"/>
        <v>0</v>
      </c>
      <c r="AK167">
        <f t="shared" ca="1" si="43"/>
        <v>0</v>
      </c>
      <c r="AL167" t="s">
        <v>326</v>
      </c>
      <c r="AO167" t="s">
        <v>76</v>
      </c>
      <c r="AP167" t="s">
        <v>6508</v>
      </c>
      <c r="AQ167" t="s">
        <v>6508</v>
      </c>
      <c r="AR167" t="s">
        <v>6508</v>
      </c>
      <c r="AS167" t="s">
        <v>6508</v>
      </c>
    </row>
    <row r="168" spans="1:45" x14ac:dyDescent="0.3">
      <c r="A168" t="s">
        <v>5628</v>
      </c>
      <c r="B168">
        <f t="shared" si="30"/>
        <v>200166</v>
      </c>
      <c r="C168">
        <v>200045</v>
      </c>
      <c r="D168" t="str">
        <f t="shared" si="31"/>
        <v>rg:{'id': '200045'}</v>
      </c>
      <c r="E168">
        <f>VLOOKUP(C168,Owners.csv!C:J,6,FALSE)</f>
        <v>200077</v>
      </c>
      <c r="F168">
        <f>VLOOKUP(VLOOKUP(E168,LocalAreas.csv!J:L,3,FALSE),ServiceAreas.csv!F:J,5,FALSE)</f>
        <v>10</v>
      </c>
      <c r="G168" t="str">
        <f t="shared" si="32"/>
        <v>rg:{'id': '200077'}</v>
      </c>
      <c r="H168" t="s">
        <v>7653</v>
      </c>
      <c r="I168" t="s">
        <v>5534</v>
      </c>
      <c r="J168">
        <f>VLOOKUP(I168&amp;"-"&amp;F168,DistrictEquipmentTypes.csv!J:K,2,FALSE)</f>
        <v>200000</v>
      </c>
      <c r="K168" t="str">
        <f t="shared" si="33"/>
        <v>rg:{'id': '200000'}</v>
      </c>
      <c r="L168">
        <f t="shared" si="34"/>
        <v>3</v>
      </c>
      <c r="M168" t="str">
        <f>VLOOKUP(C168,Owners.csv!C:K,9,FALSE)&amp;TEXT(Equipment.csv!L168,"0000")</f>
        <v>KBTO0003</v>
      </c>
      <c r="N168" t="s">
        <v>5399</v>
      </c>
      <c r="O168" t="s">
        <v>6846</v>
      </c>
      <c r="P168">
        <v>1973</v>
      </c>
      <c r="Q168">
        <v>191</v>
      </c>
      <c r="R168" t="s">
        <v>6660</v>
      </c>
      <c r="S168" s="1">
        <v>38749</v>
      </c>
      <c r="T168" s="1">
        <v>38770</v>
      </c>
      <c r="U168" t="str">
        <f t="shared" ca="1" si="35"/>
        <v>rg:False</v>
      </c>
      <c r="V168" t="str">
        <f t="shared" ca="1" si="36"/>
        <v>rg:None</v>
      </c>
      <c r="W168" t="s">
        <v>7236</v>
      </c>
      <c r="X168" t="s">
        <v>76</v>
      </c>
      <c r="Y168" t="s">
        <v>76</v>
      </c>
      <c r="Z168" t="s">
        <v>76</v>
      </c>
      <c r="AA168" t="s">
        <v>7583</v>
      </c>
      <c r="AB168" t="s">
        <v>7348</v>
      </c>
      <c r="AC168">
        <v>0</v>
      </c>
      <c r="AD168" t="str">
        <f t="shared" ca="1" si="37"/>
        <v>rg:False</v>
      </c>
      <c r="AE168" t="str">
        <f t="shared" ca="1" si="44"/>
        <v>rg:None</v>
      </c>
      <c r="AF168" s="1">
        <v>42481</v>
      </c>
      <c r="AG168" s="4">
        <f t="shared" ca="1" si="39"/>
        <v>405.25</v>
      </c>
      <c r="AH168" s="4">
        <f t="shared" si="40"/>
        <v>10.108333333333333</v>
      </c>
      <c r="AI168">
        <f t="shared" ca="1" si="41"/>
        <v>151</v>
      </c>
      <c r="AJ168">
        <f t="shared" ca="1" si="42"/>
        <v>79</v>
      </c>
      <c r="AK168">
        <f t="shared" ca="1" si="43"/>
        <v>76</v>
      </c>
      <c r="AL168" t="s">
        <v>326</v>
      </c>
      <c r="AO168" t="s">
        <v>76</v>
      </c>
      <c r="AP168" t="s">
        <v>6508</v>
      </c>
      <c r="AQ168" t="s">
        <v>6508</v>
      </c>
      <c r="AR168" t="s">
        <v>6508</v>
      </c>
      <c r="AS168" t="s">
        <v>6508</v>
      </c>
    </row>
    <row r="169" spans="1:45" x14ac:dyDescent="0.3">
      <c r="A169" t="s">
        <v>5628</v>
      </c>
      <c r="B169">
        <f t="shared" si="30"/>
        <v>200167</v>
      </c>
      <c r="C169">
        <v>200046</v>
      </c>
      <c r="D169" t="str">
        <f t="shared" si="31"/>
        <v>rg:{'id': '200046'}</v>
      </c>
      <c r="E169">
        <f>VLOOKUP(C169,Owners.csv!C:J,6,FALSE)</f>
        <v>200077</v>
      </c>
      <c r="F169">
        <f>VLOOKUP(VLOOKUP(E169,LocalAreas.csv!J:L,3,FALSE),ServiceAreas.csv!F:J,5,FALSE)</f>
        <v>10</v>
      </c>
      <c r="G169" t="str">
        <f t="shared" si="32"/>
        <v>rg:{'id': '200077'}</v>
      </c>
      <c r="H169" t="s">
        <v>7640</v>
      </c>
      <c r="I169" t="s">
        <v>5649</v>
      </c>
      <c r="J169">
        <f>VLOOKUP(I169&amp;"-"&amp;F169,DistrictEquipmentTypes.csv!J:K,2,FALSE)</f>
        <v>200006</v>
      </c>
      <c r="K169" t="str">
        <f t="shared" si="33"/>
        <v>rg:{'id': '200006'}</v>
      </c>
      <c r="L169">
        <f t="shared" si="34"/>
        <v>1</v>
      </c>
      <c r="M169" t="str">
        <f>VLOOKUP(C169,Owners.csv!C:K,9,FALSE)&amp;TEXT(Equipment.csv!L169,"0000")</f>
        <v>KIDS0001</v>
      </c>
      <c r="N169" t="s">
        <v>5399</v>
      </c>
      <c r="O169" t="s">
        <v>6801</v>
      </c>
      <c r="P169">
        <v>2014</v>
      </c>
      <c r="Q169">
        <v>146</v>
      </c>
      <c r="R169" t="s">
        <v>6660</v>
      </c>
      <c r="S169" s="1">
        <v>39292</v>
      </c>
      <c r="T169" s="1">
        <v>39310</v>
      </c>
      <c r="U169" t="str">
        <f t="shared" ca="1" si="35"/>
        <v>rg:False</v>
      </c>
      <c r="V169" t="str">
        <f t="shared" ca="1" si="36"/>
        <v>rg:None</v>
      </c>
      <c r="W169" t="s">
        <v>7191</v>
      </c>
      <c r="X169" t="s">
        <v>76</v>
      </c>
      <c r="Y169" t="s">
        <v>76</v>
      </c>
      <c r="Z169" t="s">
        <v>76</v>
      </c>
      <c r="AA169" t="s">
        <v>7538</v>
      </c>
      <c r="AB169" t="s">
        <v>7361</v>
      </c>
      <c r="AC169">
        <v>0</v>
      </c>
      <c r="AD169" t="str">
        <f t="shared" ca="1" si="37"/>
        <v>rg:False</v>
      </c>
      <c r="AE169" t="str">
        <f t="shared" ca="1" si="44"/>
        <v>rg:None</v>
      </c>
      <c r="AF169" s="1">
        <v>42481</v>
      </c>
      <c r="AG169" s="4">
        <f t="shared" ca="1" si="39"/>
        <v>546.16666666666663</v>
      </c>
      <c r="AH169" s="4">
        <f t="shared" si="40"/>
        <v>8.625</v>
      </c>
      <c r="AI169">
        <f t="shared" ca="1" si="41"/>
        <v>57</v>
      </c>
      <c r="AJ169">
        <f t="shared" ca="1" si="42"/>
        <v>5</v>
      </c>
      <c r="AK169">
        <f t="shared" ca="1" si="43"/>
        <v>24</v>
      </c>
      <c r="AL169" t="s">
        <v>326</v>
      </c>
      <c r="AO169" t="s">
        <v>76</v>
      </c>
      <c r="AP169" t="s">
        <v>6508</v>
      </c>
      <c r="AQ169" t="s">
        <v>6508</v>
      </c>
      <c r="AR169" t="s">
        <v>6508</v>
      </c>
      <c r="AS169" t="s">
        <v>6508</v>
      </c>
    </row>
    <row r="170" spans="1:45" x14ac:dyDescent="0.3">
      <c r="A170" t="s">
        <v>5628</v>
      </c>
      <c r="B170">
        <f t="shared" si="30"/>
        <v>200168</v>
      </c>
      <c r="C170">
        <v>200046</v>
      </c>
      <c r="D170" t="str">
        <f t="shared" si="31"/>
        <v>rg:{'id': '200046'}</v>
      </c>
      <c r="E170">
        <f>VLOOKUP(C170,Owners.csv!C:J,6,FALSE)</f>
        <v>200077</v>
      </c>
      <c r="F170">
        <f>VLOOKUP(VLOOKUP(E170,LocalAreas.csv!J:L,3,FALSE),ServiceAreas.csv!F:J,5,FALSE)</f>
        <v>10</v>
      </c>
      <c r="G170" t="str">
        <f t="shared" si="32"/>
        <v>rg:{'id': '200077'}</v>
      </c>
      <c r="H170" t="s">
        <v>7741</v>
      </c>
      <c r="I170" t="s">
        <v>5635</v>
      </c>
      <c r="J170">
        <f>VLOOKUP(I170&amp;"-"&amp;F170,DistrictEquipmentTypes.csv!J:K,2,FALSE)</f>
        <v>200001</v>
      </c>
      <c r="K170" t="str">
        <f t="shared" si="33"/>
        <v>rg:{'id': '200001'}</v>
      </c>
      <c r="L170">
        <f t="shared" si="34"/>
        <v>2</v>
      </c>
      <c r="M170" t="str">
        <f>VLOOKUP(C170,Owners.csv!C:K,9,FALSE)&amp;TEXT(Equipment.csv!L170,"0000")</f>
        <v>KIDS0002</v>
      </c>
      <c r="N170" t="s">
        <v>5399</v>
      </c>
      <c r="O170" t="s">
        <v>6827</v>
      </c>
      <c r="P170">
        <v>1992</v>
      </c>
      <c r="Q170">
        <v>172</v>
      </c>
      <c r="R170" t="s">
        <v>6660</v>
      </c>
      <c r="S170" s="1">
        <v>39235</v>
      </c>
      <c r="T170" s="1">
        <v>39240</v>
      </c>
      <c r="U170" t="str">
        <f t="shared" ca="1" si="35"/>
        <v>rg:False</v>
      </c>
      <c r="V170" t="str">
        <f t="shared" ca="1" si="36"/>
        <v>rg:None</v>
      </c>
      <c r="W170" t="s">
        <v>7217</v>
      </c>
      <c r="X170" t="s">
        <v>76</v>
      </c>
      <c r="Y170" t="s">
        <v>76</v>
      </c>
      <c r="Z170" t="s">
        <v>76</v>
      </c>
      <c r="AA170" t="s">
        <v>7564</v>
      </c>
      <c r="AB170" t="s">
        <v>7357</v>
      </c>
      <c r="AC170">
        <v>0</v>
      </c>
      <c r="AD170" t="str">
        <f t="shared" ca="1" si="37"/>
        <v>rg:True</v>
      </c>
      <c r="AE170" t="str">
        <f t="shared" ca="1" si="44"/>
        <v>Seniority overridden to test things</v>
      </c>
      <c r="AF170" s="1">
        <v>42481</v>
      </c>
      <c r="AG170" s="4">
        <f t="shared" ca="1" si="39"/>
        <v>388.5</v>
      </c>
      <c r="AH170" s="4">
        <f t="shared" si="40"/>
        <v>8.8166666666666664</v>
      </c>
      <c r="AI170">
        <f t="shared" ca="1" si="41"/>
        <v>192</v>
      </c>
      <c r="AJ170">
        <f t="shared" ca="1" si="42"/>
        <v>32</v>
      </c>
      <c r="AK170">
        <f t="shared" ca="1" si="43"/>
        <v>148</v>
      </c>
      <c r="AL170" t="s">
        <v>5687</v>
      </c>
      <c r="AM170" t="s">
        <v>6882</v>
      </c>
      <c r="AN170" s="1">
        <v>42513</v>
      </c>
      <c r="AO170" t="s">
        <v>76</v>
      </c>
      <c r="AP170" t="s">
        <v>6508</v>
      </c>
      <c r="AQ170" t="s">
        <v>6508</v>
      </c>
      <c r="AR170" t="s">
        <v>6508</v>
      </c>
      <c r="AS170" t="s">
        <v>6508</v>
      </c>
    </row>
    <row r="171" spans="1:45" x14ac:dyDescent="0.3">
      <c r="A171" t="s">
        <v>5628</v>
      </c>
      <c r="B171">
        <f t="shared" si="30"/>
        <v>200169</v>
      </c>
      <c r="C171">
        <v>200046</v>
      </c>
      <c r="D171" t="str">
        <f t="shared" si="31"/>
        <v>rg:{'id': '200046'}</v>
      </c>
      <c r="E171">
        <f>VLOOKUP(C171,Owners.csv!C:J,6,FALSE)</f>
        <v>200077</v>
      </c>
      <c r="F171">
        <f>VLOOKUP(VLOOKUP(E171,LocalAreas.csv!J:L,3,FALSE),ServiceAreas.csv!F:J,5,FALSE)</f>
        <v>10</v>
      </c>
      <c r="G171" t="str">
        <f t="shared" si="32"/>
        <v>rg:{'id': '200077'}</v>
      </c>
      <c r="H171" t="s">
        <v>7654</v>
      </c>
      <c r="I171" t="s">
        <v>5534</v>
      </c>
      <c r="J171">
        <f>VLOOKUP(I171&amp;"-"&amp;F171,DistrictEquipmentTypes.csv!J:K,2,FALSE)</f>
        <v>200000</v>
      </c>
      <c r="K171" t="str">
        <f t="shared" si="33"/>
        <v>rg:{'id': '200000'}</v>
      </c>
      <c r="L171">
        <f t="shared" si="34"/>
        <v>3</v>
      </c>
      <c r="M171" t="str">
        <f>VLOOKUP(C171,Owners.csv!C:K,9,FALSE)&amp;TEXT(Equipment.csv!L171,"0000")</f>
        <v>KIDS0003</v>
      </c>
      <c r="N171" t="s">
        <v>5399</v>
      </c>
      <c r="O171" t="s">
        <v>6847</v>
      </c>
      <c r="P171">
        <v>1978</v>
      </c>
      <c r="Q171">
        <v>192</v>
      </c>
      <c r="R171" t="s">
        <v>6660</v>
      </c>
      <c r="S171" s="1">
        <v>37913</v>
      </c>
      <c r="T171" s="1">
        <v>37933</v>
      </c>
      <c r="U171" t="str">
        <f t="shared" ca="1" si="35"/>
        <v>rg:False</v>
      </c>
      <c r="V171" t="str">
        <f t="shared" ca="1" si="36"/>
        <v>rg:None</v>
      </c>
      <c r="W171" t="s">
        <v>7237</v>
      </c>
      <c r="X171" t="s">
        <v>76</v>
      </c>
      <c r="Y171" t="s">
        <v>76</v>
      </c>
      <c r="Z171" t="s">
        <v>76</v>
      </c>
      <c r="AA171" t="s">
        <v>7584</v>
      </c>
      <c r="AB171" t="s">
        <v>7387</v>
      </c>
      <c r="AC171">
        <v>0</v>
      </c>
      <c r="AD171" t="str">
        <f t="shared" ca="1" si="37"/>
        <v>rg:False</v>
      </c>
      <c r="AE171" t="str">
        <f t="shared" ca="1" si="44"/>
        <v>rg:None</v>
      </c>
      <c r="AF171" s="1">
        <v>42482</v>
      </c>
      <c r="AG171" s="4">
        <f t="shared" ca="1" si="39"/>
        <v>478.25</v>
      </c>
      <c r="AH171" s="4">
        <f t="shared" si="40"/>
        <v>12.397222222222222</v>
      </c>
      <c r="AI171">
        <f t="shared" ca="1" si="41"/>
        <v>59</v>
      </c>
      <c r="AJ171">
        <f t="shared" ca="1" si="42"/>
        <v>171</v>
      </c>
      <c r="AK171">
        <f t="shared" ca="1" si="43"/>
        <v>89</v>
      </c>
      <c r="AL171" t="s">
        <v>326</v>
      </c>
      <c r="AO171" t="s">
        <v>76</v>
      </c>
      <c r="AP171" t="s">
        <v>6508</v>
      </c>
      <c r="AQ171" t="s">
        <v>6508</v>
      </c>
      <c r="AR171" t="s">
        <v>6508</v>
      </c>
      <c r="AS171" t="s">
        <v>6508</v>
      </c>
    </row>
    <row r="172" spans="1:45" x14ac:dyDescent="0.3">
      <c r="A172" t="s">
        <v>5628</v>
      </c>
      <c r="B172">
        <f t="shared" si="30"/>
        <v>200170</v>
      </c>
      <c r="C172">
        <v>200047</v>
      </c>
      <c r="D172" t="str">
        <f t="shared" si="31"/>
        <v>rg:{'id': '200047'}</v>
      </c>
      <c r="E172">
        <f>VLOOKUP(C172,Owners.csv!C:J,6,FALSE)</f>
        <v>200077</v>
      </c>
      <c r="F172">
        <f>VLOOKUP(VLOOKUP(E172,LocalAreas.csv!J:L,3,FALSE),ServiceAreas.csv!F:J,5,FALSE)</f>
        <v>10</v>
      </c>
      <c r="G172" t="str">
        <f t="shared" si="32"/>
        <v>rg:{'id': '200077'}</v>
      </c>
      <c r="H172" t="s">
        <v>7705</v>
      </c>
      <c r="I172" t="s">
        <v>5649</v>
      </c>
      <c r="J172">
        <f>VLOOKUP(I172&amp;"-"&amp;F172,DistrictEquipmentTypes.csv!J:K,2,FALSE)</f>
        <v>200006</v>
      </c>
      <c r="K172" t="str">
        <f t="shared" si="33"/>
        <v>rg:{'id': '200006'}</v>
      </c>
      <c r="L172">
        <f t="shared" si="34"/>
        <v>1</v>
      </c>
      <c r="M172" t="str">
        <f>VLOOKUP(C172,Owners.csv!C:K,9,FALSE)&amp;TEXT(Equipment.csv!L172,"0000")</f>
        <v>KINN0001</v>
      </c>
      <c r="N172" t="s">
        <v>5399</v>
      </c>
      <c r="O172" t="s">
        <v>6802</v>
      </c>
      <c r="P172">
        <v>2009</v>
      </c>
      <c r="Q172">
        <v>147</v>
      </c>
      <c r="R172" t="s">
        <v>6660</v>
      </c>
      <c r="S172" s="1">
        <v>40870</v>
      </c>
      <c r="T172" s="1">
        <v>40880</v>
      </c>
      <c r="U172" t="str">
        <f t="shared" ca="1" si="35"/>
        <v>rg:False</v>
      </c>
      <c r="V172" t="str">
        <f t="shared" ca="1" si="36"/>
        <v>rg:None</v>
      </c>
      <c r="W172" t="s">
        <v>7192</v>
      </c>
      <c r="X172" t="s">
        <v>76</v>
      </c>
      <c r="Y172" t="s">
        <v>76</v>
      </c>
      <c r="Z172" t="s">
        <v>76</v>
      </c>
      <c r="AA172" t="s">
        <v>7539</v>
      </c>
      <c r="AB172" t="s">
        <v>7284</v>
      </c>
      <c r="AC172">
        <v>0</v>
      </c>
      <c r="AD172" t="str">
        <f t="shared" ca="1" si="37"/>
        <v>rg:False</v>
      </c>
      <c r="AE172" t="str">
        <f t="shared" ca="1" si="44"/>
        <v>rg:None</v>
      </c>
      <c r="AF172" s="1">
        <v>42481</v>
      </c>
      <c r="AG172" s="4">
        <f t="shared" ca="1" si="39"/>
        <v>315.33333333333331</v>
      </c>
      <c r="AH172" s="4">
        <f t="shared" si="40"/>
        <v>4.3277777777777775</v>
      </c>
      <c r="AI172">
        <f t="shared" ca="1" si="41"/>
        <v>37</v>
      </c>
      <c r="AJ172">
        <f t="shared" ca="1" si="42"/>
        <v>100</v>
      </c>
      <c r="AK172">
        <f t="shared" ca="1" si="43"/>
        <v>30</v>
      </c>
      <c r="AL172" t="s">
        <v>326</v>
      </c>
      <c r="AO172" t="s">
        <v>76</v>
      </c>
      <c r="AP172" t="s">
        <v>6508</v>
      </c>
      <c r="AQ172" t="s">
        <v>6508</v>
      </c>
      <c r="AR172" t="s">
        <v>6508</v>
      </c>
      <c r="AS172" t="s">
        <v>6508</v>
      </c>
    </row>
    <row r="173" spans="1:45" x14ac:dyDescent="0.3">
      <c r="A173" t="s">
        <v>5628</v>
      </c>
      <c r="B173">
        <f t="shared" si="30"/>
        <v>200171</v>
      </c>
      <c r="C173">
        <v>200047</v>
      </c>
      <c r="D173" t="str">
        <f t="shared" si="31"/>
        <v>rg:{'id': '200047'}</v>
      </c>
      <c r="E173">
        <f>VLOOKUP(C173,Owners.csv!C:J,6,FALSE)</f>
        <v>200077</v>
      </c>
      <c r="F173">
        <f>VLOOKUP(VLOOKUP(E173,LocalAreas.csv!J:L,3,FALSE),ServiceAreas.csv!F:J,5,FALSE)</f>
        <v>10</v>
      </c>
      <c r="G173" t="str">
        <f t="shared" si="32"/>
        <v>rg:{'id': '200077'}</v>
      </c>
      <c r="H173" t="s">
        <v>7638</v>
      </c>
      <c r="I173" t="s">
        <v>5635</v>
      </c>
      <c r="J173">
        <f>VLOOKUP(I173&amp;"-"&amp;F173,DistrictEquipmentTypes.csv!J:K,2,FALSE)</f>
        <v>200001</v>
      </c>
      <c r="K173" t="str">
        <f t="shared" si="33"/>
        <v>rg:{'id': '200001'}</v>
      </c>
      <c r="L173">
        <f t="shared" si="34"/>
        <v>2</v>
      </c>
      <c r="M173" t="str">
        <f>VLOOKUP(C173,Owners.csv!C:K,9,FALSE)&amp;TEXT(Equipment.csv!L173,"0000")</f>
        <v>KINN0002</v>
      </c>
      <c r="N173" t="s">
        <v>5399</v>
      </c>
      <c r="O173" t="s">
        <v>6828</v>
      </c>
      <c r="P173">
        <v>1995</v>
      </c>
      <c r="Q173">
        <v>173</v>
      </c>
      <c r="R173" t="s">
        <v>6660</v>
      </c>
      <c r="S173" s="1">
        <v>37893</v>
      </c>
      <c r="T173" s="1">
        <v>37902</v>
      </c>
      <c r="U173" t="str">
        <f t="shared" ca="1" si="35"/>
        <v>rg:False</v>
      </c>
      <c r="V173" t="str">
        <f t="shared" ca="1" si="36"/>
        <v>rg:None</v>
      </c>
      <c r="W173" t="s">
        <v>7218</v>
      </c>
      <c r="X173" t="s">
        <v>76</v>
      </c>
      <c r="Y173" t="s">
        <v>76</v>
      </c>
      <c r="Z173" t="s">
        <v>76</v>
      </c>
      <c r="AA173" t="s">
        <v>7565</v>
      </c>
      <c r="AB173" t="s">
        <v>7262</v>
      </c>
      <c r="AC173">
        <v>0</v>
      </c>
      <c r="AD173" t="str">
        <f t="shared" ca="1" si="37"/>
        <v>rg:False</v>
      </c>
      <c r="AE173" t="str">
        <f t="shared" ca="1" si="44"/>
        <v>rg:None</v>
      </c>
      <c r="AF173" s="1">
        <v>42481</v>
      </c>
      <c r="AG173" s="4">
        <f t="shared" ca="1" si="39"/>
        <v>498.08333333333337</v>
      </c>
      <c r="AH173" s="4">
        <f t="shared" si="40"/>
        <v>12.480555555555556</v>
      </c>
      <c r="AI173">
        <f t="shared" ca="1" si="41"/>
        <v>52</v>
      </c>
      <c r="AJ173">
        <f t="shared" ca="1" si="42"/>
        <v>182</v>
      </c>
      <c r="AK173">
        <f t="shared" ca="1" si="43"/>
        <v>137</v>
      </c>
      <c r="AL173" t="s">
        <v>326</v>
      </c>
      <c r="AO173" t="s">
        <v>76</v>
      </c>
      <c r="AP173" t="s">
        <v>6508</v>
      </c>
      <c r="AQ173" t="s">
        <v>6508</v>
      </c>
      <c r="AR173" t="s">
        <v>6508</v>
      </c>
      <c r="AS173" t="s">
        <v>6508</v>
      </c>
    </row>
    <row r="174" spans="1:45" x14ac:dyDescent="0.3">
      <c r="A174" t="s">
        <v>5628</v>
      </c>
      <c r="B174">
        <f t="shared" si="30"/>
        <v>200172</v>
      </c>
      <c r="C174">
        <v>200047</v>
      </c>
      <c r="D174" t="str">
        <f t="shared" si="31"/>
        <v>rg:{'id': '200047'}</v>
      </c>
      <c r="E174">
        <f>VLOOKUP(C174,Owners.csv!C:J,6,FALSE)</f>
        <v>200077</v>
      </c>
      <c r="F174">
        <f>VLOOKUP(VLOOKUP(E174,LocalAreas.csv!J:L,3,FALSE),ServiceAreas.csv!F:J,5,FALSE)</f>
        <v>10</v>
      </c>
      <c r="G174" t="str">
        <f t="shared" si="32"/>
        <v>rg:{'id': '200077'}</v>
      </c>
      <c r="H174" t="s">
        <v>7639</v>
      </c>
      <c r="I174" t="s">
        <v>5534</v>
      </c>
      <c r="J174">
        <f>VLOOKUP(I174&amp;"-"&amp;F174,DistrictEquipmentTypes.csv!J:K,2,FALSE)</f>
        <v>200000</v>
      </c>
      <c r="K174" t="str">
        <f t="shared" si="33"/>
        <v>rg:{'id': '200000'}</v>
      </c>
      <c r="L174">
        <f t="shared" si="34"/>
        <v>3</v>
      </c>
      <c r="M174" t="str">
        <f>VLOOKUP(C174,Owners.csv!C:K,9,FALSE)&amp;TEXT(Equipment.csv!L174,"0000")</f>
        <v>KINN0003</v>
      </c>
      <c r="N174" t="s">
        <v>5399</v>
      </c>
      <c r="O174" t="s">
        <v>6848</v>
      </c>
      <c r="P174">
        <v>1999</v>
      </c>
      <c r="Q174">
        <v>193</v>
      </c>
      <c r="R174" t="s">
        <v>6660</v>
      </c>
      <c r="S174" s="1">
        <v>38286</v>
      </c>
      <c r="T174" s="1">
        <v>38312</v>
      </c>
      <c r="U174" t="str">
        <f t="shared" ca="1" si="35"/>
        <v>rg:False</v>
      </c>
      <c r="V174" t="str">
        <f t="shared" ca="1" si="36"/>
        <v>rg:None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7388</v>
      </c>
      <c r="AC174">
        <v>0</v>
      </c>
      <c r="AD174" t="str">
        <f t="shared" ca="1" si="37"/>
        <v>rg:False</v>
      </c>
      <c r="AE174" t="str">
        <f t="shared" ca="1" si="44"/>
        <v>rg:None</v>
      </c>
      <c r="AF174" s="1">
        <v>42483</v>
      </c>
      <c r="AG174" s="4">
        <f t="shared" ca="1" si="39"/>
        <v>433.5</v>
      </c>
      <c r="AH174" s="4">
        <f t="shared" si="40"/>
        <v>11.361111111111111</v>
      </c>
      <c r="AI174">
        <f t="shared" ca="1" si="41"/>
        <v>33</v>
      </c>
      <c r="AJ174">
        <f t="shared" ca="1" si="42"/>
        <v>132</v>
      </c>
      <c r="AK174">
        <f t="shared" ca="1" si="43"/>
        <v>113</v>
      </c>
      <c r="AL174" t="s">
        <v>326</v>
      </c>
      <c r="AO174" t="s">
        <v>76</v>
      </c>
      <c r="AP174" t="s">
        <v>6508</v>
      </c>
      <c r="AQ174" t="s">
        <v>6508</v>
      </c>
      <c r="AR174" t="s">
        <v>6508</v>
      </c>
      <c r="AS174" t="s">
        <v>6508</v>
      </c>
    </row>
    <row r="175" spans="1:45" x14ac:dyDescent="0.3">
      <c r="A175" t="s">
        <v>5628</v>
      </c>
      <c r="B175">
        <f t="shared" si="30"/>
        <v>200173</v>
      </c>
      <c r="C175">
        <v>200048</v>
      </c>
      <c r="D175" t="str">
        <f t="shared" si="31"/>
        <v>rg:{'id': '200048'}</v>
      </c>
      <c r="E175">
        <f>VLOOKUP(C175,Owners.csv!C:J,6,FALSE)</f>
        <v>200073</v>
      </c>
      <c r="F175">
        <f>VLOOKUP(VLOOKUP(E175,LocalAreas.csv!J:L,3,FALSE),ServiceAreas.csv!F:J,5,FALSE)</f>
        <v>10</v>
      </c>
      <c r="G175" t="str">
        <f t="shared" si="32"/>
        <v>rg:{'id': '200073'}</v>
      </c>
      <c r="H175" t="s">
        <v>7732</v>
      </c>
      <c r="I175" t="s">
        <v>5649</v>
      </c>
      <c r="J175">
        <f>VLOOKUP(I175&amp;"-"&amp;F175,DistrictEquipmentTypes.csv!J:K,2,FALSE)</f>
        <v>200006</v>
      </c>
      <c r="K175" t="str">
        <f t="shared" si="33"/>
        <v>rg:{'id': '200006'}</v>
      </c>
      <c r="L175">
        <f t="shared" si="34"/>
        <v>1</v>
      </c>
      <c r="M175" t="str">
        <f>VLOOKUP(C175,Owners.csv!C:K,9,FALSE)&amp;TEXT(Equipment.csv!L175,"0000")</f>
        <v>KNOX0001</v>
      </c>
      <c r="N175" t="s">
        <v>5399</v>
      </c>
      <c r="O175" t="s">
        <v>6803</v>
      </c>
      <c r="P175">
        <v>2006</v>
      </c>
      <c r="Q175">
        <v>148</v>
      </c>
      <c r="R175" t="s">
        <v>6660</v>
      </c>
      <c r="S175" s="1">
        <v>39012</v>
      </c>
      <c r="T175" s="1">
        <v>39030</v>
      </c>
      <c r="U175" t="str">
        <f t="shared" ca="1" si="35"/>
        <v>rg:False</v>
      </c>
      <c r="V175" t="str">
        <f t="shared" ca="1" si="36"/>
        <v>rg:None</v>
      </c>
      <c r="W175" t="s">
        <v>7193</v>
      </c>
      <c r="X175" t="s">
        <v>76</v>
      </c>
      <c r="Y175" t="s">
        <v>76</v>
      </c>
      <c r="Z175" t="s">
        <v>76</v>
      </c>
      <c r="AA175" t="s">
        <v>7540</v>
      </c>
      <c r="AB175" t="s">
        <v>7362</v>
      </c>
      <c r="AC175">
        <v>0</v>
      </c>
      <c r="AD175" t="str">
        <f t="shared" ca="1" si="37"/>
        <v>rg:False</v>
      </c>
      <c r="AE175" t="str">
        <f t="shared" ca="1" si="44"/>
        <v>rg:None</v>
      </c>
      <c r="AF175" s="1">
        <v>42481</v>
      </c>
      <c r="AG175" s="4">
        <f t="shared" ca="1" si="39"/>
        <v>643.33333333333326</v>
      </c>
      <c r="AH175" s="4">
        <f t="shared" si="40"/>
        <v>9.3944444444444439</v>
      </c>
      <c r="AI175">
        <f t="shared" ca="1" si="41"/>
        <v>25</v>
      </c>
      <c r="AJ175">
        <f t="shared" ca="1" si="42"/>
        <v>43</v>
      </c>
      <c r="AK175">
        <f t="shared" ca="1" si="43"/>
        <v>171</v>
      </c>
      <c r="AL175" t="s">
        <v>326</v>
      </c>
      <c r="AO175" t="s">
        <v>76</v>
      </c>
      <c r="AP175" t="s">
        <v>6508</v>
      </c>
      <c r="AQ175" t="s">
        <v>6508</v>
      </c>
      <c r="AR175" t="s">
        <v>6508</v>
      </c>
      <c r="AS175" t="s">
        <v>6508</v>
      </c>
    </row>
    <row r="176" spans="1:45" x14ac:dyDescent="0.3">
      <c r="A176" t="s">
        <v>5628</v>
      </c>
      <c r="B176">
        <f t="shared" si="30"/>
        <v>200174</v>
      </c>
      <c r="C176">
        <v>200048</v>
      </c>
      <c r="D176" t="str">
        <f t="shared" si="31"/>
        <v>rg:{'id': '200048'}</v>
      </c>
      <c r="E176">
        <f>VLOOKUP(C176,Owners.csv!C:J,6,FALSE)</f>
        <v>200073</v>
      </c>
      <c r="F176">
        <f>VLOOKUP(VLOOKUP(E176,LocalAreas.csv!J:L,3,FALSE),ServiceAreas.csv!F:J,5,FALSE)</f>
        <v>10</v>
      </c>
      <c r="G176" t="str">
        <f t="shared" si="32"/>
        <v>rg:{'id': '200073'}</v>
      </c>
      <c r="H176" t="s">
        <v>7742</v>
      </c>
      <c r="I176" t="s">
        <v>5635</v>
      </c>
      <c r="J176">
        <f>VLOOKUP(I176&amp;"-"&amp;F176,DistrictEquipmentTypes.csv!J:K,2,FALSE)</f>
        <v>200001</v>
      </c>
      <c r="K176" t="str">
        <f t="shared" si="33"/>
        <v>rg:{'id': '200001'}</v>
      </c>
      <c r="L176">
        <f t="shared" si="34"/>
        <v>2</v>
      </c>
      <c r="M176" t="str">
        <f>VLOOKUP(C176,Owners.csv!C:K,9,FALSE)&amp;TEXT(Equipment.csv!L176,"0000")</f>
        <v>KNOX0002</v>
      </c>
      <c r="N176" t="s">
        <v>5399</v>
      </c>
      <c r="O176" t="s">
        <v>6829</v>
      </c>
      <c r="P176">
        <v>1971</v>
      </c>
      <c r="Q176">
        <v>174</v>
      </c>
      <c r="R176" t="s">
        <v>6660</v>
      </c>
      <c r="S176" s="1">
        <v>39476</v>
      </c>
      <c r="T176" s="1">
        <v>39491</v>
      </c>
      <c r="U176" t="str">
        <f t="shared" ca="1" si="35"/>
        <v>rg:False</v>
      </c>
      <c r="V176" t="str">
        <f t="shared" ca="1" si="36"/>
        <v>rg:None</v>
      </c>
      <c r="W176" t="s">
        <v>7219</v>
      </c>
      <c r="X176" t="s">
        <v>76</v>
      </c>
      <c r="Y176" t="s">
        <v>76</v>
      </c>
      <c r="Z176" t="s">
        <v>76</v>
      </c>
      <c r="AA176" t="s">
        <v>7566</v>
      </c>
      <c r="AB176" t="s">
        <v>7279</v>
      </c>
      <c r="AC176">
        <v>0</v>
      </c>
      <c r="AD176" t="str">
        <f t="shared" ca="1" si="37"/>
        <v>rg:False</v>
      </c>
      <c r="AE176" t="str">
        <f t="shared" ca="1" si="44"/>
        <v>rg:None</v>
      </c>
      <c r="AF176" s="1">
        <v>42481</v>
      </c>
      <c r="AG176" s="4">
        <f t="shared" ca="1" si="39"/>
        <v>337.33333333333331</v>
      </c>
      <c r="AH176" s="4">
        <f t="shared" si="40"/>
        <v>8.1333333333333329</v>
      </c>
      <c r="AI176">
        <f t="shared" ca="1" si="41"/>
        <v>173</v>
      </c>
      <c r="AJ176">
        <f t="shared" ca="1" si="42"/>
        <v>7</v>
      </c>
      <c r="AK176">
        <f t="shared" ca="1" si="43"/>
        <v>100</v>
      </c>
      <c r="AL176" t="s">
        <v>326</v>
      </c>
      <c r="AO176" t="s">
        <v>76</v>
      </c>
      <c r="AP176" t="s">
        <v>6508</v>
      </c>
      <c r="AQ176" t="s">
        <v>6508</v>
      </c>
      <c r="AR176" t="s">
        <v>6508</v>
      </c>
      <c r="AS176" t="s">
        <v>6508</v>
      </c>
    </row>
    <row r="177" spans="1:45" x14ac:dyDescent="0.3">
      <c r="A177" t="s">
        <v>5628</v>
      </c>
      <c r="B177">
        <f t="shared" si="30"/>
        <v>200175</v>
      </c>
      <c r="C177">
        <v>200048</v>
      </c>
      <c r="D177" t="str">
        <f t="shared" si="31"/>
        <v>rg:{'id': '200048'}</v>
      </c>
      <c r="E177">
        <f>VLOOKUP(C177,Owners.csv!C:J,6,FALSE)</f>
        <v>200073</v>
      </c>
      <c r="F177">
        <f>VLOOKUP(VLOOKUP(E177,LocalAreas.csv!J:L,3,FALSE),ServiceAreas.csv!F:J,5,FALSE)</f>
        <v>10</v>
      </c>
      <c r="G177" t="str">
        <f t="shared" si="32"/>
        <v>rg:{'id': '200073'}</v>
      </c>
      <c r="H177" t="s">
        <v>7751</v>
      </c>
      <c r="I177" t="s">
        <v>5534</v>
      </c>
      <c r="J177">
        <f>VLOOKUP(I177&amp;"-"&amp;F177,DistrictEquipmentTypes.csv!J:K,2,FALSE)</f>
        <v>200000</v>
      </c>
      <c r="K177" t="str">
        <f t="shared" si="33"/>
        <v>rg:{'id': '200000'}</v>
      </c>
      <c r="L177">
        <f t="shared" si="34"/>
        <v>3</v>
      </c>
      <c r="M177" t="str">
        <f>VLOOKUP(C177,Owners.csv!C:K,9,FALSE)&amp;TEXT(Equipment.csv!L177,"0000")</f>
        <v>KNOX0003</v>
      </c>
      <c r="N177" t="s">
        <v>5399</v>
      </c>
      <c r="O177" t="s">
        <v>6849</v>
      </c>
      <c r="P177">
        <v>1997</v>
      </c>
      <c r="Q177">
        <v>194</v>
      </c>
      <c r="R177" t="s">
        <v>6660</v>
      </c>
      <c r="S177" s="1">
        <v>39547</v>
      </c>
      <c r="T177" s="1">
        <v>39572</v>
      </c>
      <c r="U177" t="str">
        <f t="shared" ca="1" si="35"/>
        <v>rg:False</v>
      </c>
      <c r="V177" t="str">
        <f t="shared" ca="1" si="36"/>
        <v>rg:None</v>
      </c>
      <c r="W177" t="s">
        <v>7239</v>
      </c>
      <c r="X177" t="s">
        <v>76</v>
      </c>
      <c r="Y177" t="s">
        <v>76</v>
      </c>
      <c r="Z177" t="s">
        <v>76</v>
      </c>
      <c r="AA177" t="s">
        <v>7586</v>
      </c>
      <c r="AB177" t="s">
        <v>7389</v>
      </c>
      <c r="AC177">
        <v>0</v>
      </c>
      <c r="AD177" t="str">
        <f t="shared" ca="1" si="37"/>
        <v>rg:False</v>
      </c>
      <c r="AE177" t="str">
        <f t="shared" ca="1" si="44"/>
        <v>rg:None</v>
      </c>
      <c r="AF177" s="1">
        <v>42484</v>
      </c>
      <c r="AG177" s="4">
        <f t="shared" ca="1" si="39"/>
        <v>342.58333333333331</v>
      </c>
      <c r="AH177" s="4">
        <f t="shared" si="40"/>
        <v>7.9083333333333332</v>
      </c>
      <c r="AI177">
        <f t="shared" ca="1" si="41"/>
        <v>169</v>
      </c>
      <c r="AJ177">
        <f t="shared" ca="1" si="42"/>
        <v>124</v>
      </c>
      <c r="AK177">
        <f t="shared" ca="1" si="43"/>
        <v>23</v>
      </c>
      <c r="AL177" t="s">
        <v>326</v>
      </c>
      <c r="AO177" t="s">
        <v>76</v>
      </c>
      <c r="AP177" t="s">
        <v>6508</v>
      </c>
      <c r="AQ177" t="s">
        <v>6508</v>
      </c>
      <c r="AR177" t="s">
        <v>6508</v>
      </c>
      <c r="AS177" t="s">
        <v>6508</v>
      </c>
    </row>
    <row r="178" spans="1:45" x14ac:dyDescent="0.3">
      <c r="A178" t="s">
        <v>5628</v>
      </c>
      <c r="B178">
        <f t="shared" si="30"/>
        <v>200176</v>
      </c>
      <c r="C178">
        <v>200049</v>
      </c>
      <c r="D178" t="str">
        <f t="shared" si="31"/>
        <v>rg:{'id': '200049'}</v>
      </c>
      <c r="E178">
        <f>VLOOKUP(C178,Owners.csv!C:J,6,FALSE)</f>
        <v>200073</v>
      </c>
      <c r="F178">
        <f>VLOOKUP(VLOOKUP(E178,LocalAreas.csv!J:L,3,FALSE),ServiceAreas.csv!F:J,5,FALSE)</f>
        <v>10</v>
      </c>
      <c r="G178" t="str">
        <f t="shared" si="32"/>
        <v>rg:{'id': '200073'}</v>
      </c>
      <c r="H178" t="s">
        <v>7691</v>
      </c>
      <c r="I178" t="s">
        <v>5649</v>
      </c>
      <c r="J178">
        <f>VLOOKUP(I178&amp;"-"&amp;F178,DistrictEquipmentTypes.csv!J:K,2,FALSE)</f>
        <v>200006</v>
      </c>
      <c r="K178" t="str">
        <f t="shared" si="33"/>
        <v>rg:{'id': '200006'}</v>
      </c>
      <c r="L178">
        <f t="shared" si="34"/>
        <v>1</v>
      </c>
      <c r="M178" t="str">
        <f>VLOOKUP(C178,Owners.csv!C:K,9,FALSE)&amp;TEXT(Equipment.csv!L178,"0000")</f>
        <v>LAWN0001</v>
      </c>
      <c r="N178" t="s">
        <v>5399</v>
      </c>
      <c r="O178" t="s">
        <v>6804</v>
      </c>
      <c r="P178">
        <v>1975</v>
      </c>
      <c r="Q178">
        <v>149</v>
      </c>
      <c r="R178" t="s">
        <v>6660</v>
      </c>
      <c r="S178" s="1">
        <v>38163</v>
      </c>
      <c r="T178" s="1">
        <v>38179</v>
      </c>
      <c r="U178" t="str">
        <f t="shared" ca="1" si="35"/>
        <v>rg:False</v>
      </c>
      <c r="V178" t="str">
        <f t="shared" ca="1" si="36"/>
        <v>rg:None</v>
      </c>
      <c r="W178" t="s">
        <v>7194</v>
      </c>
      <c r="X178" t="s">
        <v>76</v>
      </c>
      <c r="Y178" t="s">
        <v>76</v>
      </c>
      <c r="Z178" t="s">
        <v>76</v>
      </c>
      <c r="AA178" t="s">
        <v>7541</v>
      </c>
      <c r="AB178" t="s">
        <v>7294</v>
      </c>
      <c r="AC178">
        <v>0</v>
      </c>
      <c r="AD178" t="str">
        <f t="shared" ca="1" si="37"/>
        <v>rg:False</v>
      </c>
      <c r="AE178" t="str">
        <f t="shared" ca="1" si="44"/>
        <v>rg:None</v>
      </c>
      <c r="AF178" s="1">
        <v>42481</v>
      </c>
      <c r="AG178" s="4">
        <f t="shared" ca="1" si="39"/>
        <v>816.33333333333326</v>
      </c>
      <c r="AH178" s="4">
        <f t="shared" si="40"/>
        <v>11.722222222222221</v>
      </c>
      <c r="AI178">
        <f t="shared" ca="1" si="41"/>
        <v>167</v>
      </c>
      <c r="AJ178">
        <f t="shared" ca="1" si="42"/>
        <v>72</v>
      </c>
      <c r="AK178">
        <f t="shared" ca="1" si="43"/>
        <v>100</v>
      </c>
      <c r="AL178" t="s">
        <v>326</v>
      </c>
      <c r="AO178" t="s">
        <v>76</v>
      </c>
      <c r="AP178" t="s">
        <v>6508</v>
      </c>
      <c r="AQ178" t="s">
        <v>6508</v>
      </c>
      <c r="AR178" t="s">
        <v>6508</v>
      </c>
      <c r="AS178" t="s">
        <v>6508</v>
      </c>
    </row>
    <row r="179" spans="1:45" x14ac:dyDescent="0.3">
      <c r="A179" t="s">
        <v>5628</v>
      </c>
      <c r="B179">
        <f t="shared" si="30"/>
        <v>200177</v>
      </c>
      <c r="C179">
        <v>200049</v>
      </c>
      <c r="D179" t="str">
        <f t="shared" si="31"/>
        <v>rg:{'id': '200049'}</v>
      </c>
      <c r="E179">
        <f>VLOOKUP(C179,Owners.csv!C:J,6,FALSE)</f>
        <v>200073</v>
      </c>
      <c r="F179">
        <f>VLOOKUP(VLOOKUP(E179,LocalAreas.csv!J:L,3,FALSE),ServiceAreas.csv!F:J,5,FALSE)</f>
        <v>10</v>
      </c>
      <c r="G179" t="str">
        <f t="shared" si="32"/>
        <v>rg:{'id': '200073'}</v>
      </c>
      <c r="H179" t="s">
        <v>7702</v>
      </c>
      <c r="I179" t="s">
        <v>5635</v>
      </c>
      <c r="J179">
        <f>VLOOKUP(I179&amp;"-"&amp;F179,DistrictEquipmentTypes.csv!J:K,2,FALSE)</f>
        <v>200001</v>
      </c>
      <c r="K179" t="str">
        <f t="shared" si="33"/>
        <v>rg:{'id': '200001'}</v>
      </c>
      <c r="L179">
        <f t="shared" si="34"/>
        <v>2</v>
      </c>
      <c r="M179" t="str">
        <f>VLOOKUP(C179,Owners.csv!C:K,9,FALSE)&amp;TEXT(Equipment.csv!L179,"0000")</f>
        <v>LAWN0002</v>
      </c>
      <c r="N179" t="s">
        <v>5399</v>
      </c>
      <c r="O179" t="s">
        <v>6830</v>
      </c>
      <c r="P179">
        <v>2012</v>
      </c>
      <c r="Q179">
        <v>175</v>
      </c>
      <c r="R179" t="s">
        <v>6660</v>
      </c>
      <c r="S179" s="1">
        <v>39043</v>
      </c>
      <c r="T179" s="1">
        <v>39069</v>
      </c>
      <c r="U179" t="str">
        <f t="shared" ca="1" si="35"/>
        <v>rg:False</v>
      </c>
      <c r="V179" t="str">
        <f t="shared" ca="1" si="36"/>
        <v>rg:None</v>
      </c>
      <c r="W179" t="s">
        <v>7220</v>
      </c>
      <c r="X179" t="s">
        <v>76</v>
      </c>
      <c r="Y179" t="s">
        <v>76</v>
      </c>
      <c r="Z179" t="s">
        <v>76</v>
      </c>
      <c r="AA179" t="s">
        <v>7567</v>
      </c>
      <c r="AB179" t="s">
        <v>7378</v>
      </c>
      <c r="AC179">
        <v>0</v>
      </c>
      <c r="AD179" t="str">
        <f t="shared" ca="1" si="37"/>
        <v>rg:True</v>
      </c>
      <c r="AE179" t="str">
        <f t="shared" ca="1" si="44"/>
        <v>Seniority overridden to test things</v>
      </c>
      <c r="AF179" s="1">
        <v>42481</v>
      </c>
      <c r="AG179" s="4">
        <f t="shared" ca="1" si="39"/>
        <v>407.25</v>
      </c>
      <c r="AH179" s="4">
        <f t="shared" si="40"/>
        <v>9.2861111111111114</v>
      </c>
      <c r="AI179">
        <f t="shared" ca="1" si="41"/>
        <v>161</v>
      </c>
      <c r="AJ179">
        <f t="shared" ca="1" si="42"/>
        <v>58</v>
      </c>
      <c r="AK179">
        <f t="shared" ca="1" si="43"/>
        <v>167</v>
      </c>
      <c r="AL179" t="s">
        <v>326</v>
      </c>
      <c r="AO179" t="s">
        <v>76</v>
      </c>
      <c r="AP179" t="s">
        <v>6508</v>
      </c>
      <c r="AQ179" t="s">
        <v>6508</v>
      </c>
      <c r="AR179" t="s">
        <v>6508</v>
      </c>
      <c r="AS179" t="s">
        <v>6508</v>
      </c>
    </row>
    <row r="180" spans="1:45" x14ac:dyDescent="0.3">
      <c r="A180" t="s">
        <v>5628</v>
      </c>
      <c r="B180">
        <f t="shared" si="30"/>
        <v>200178</v>
      </c>
      <c r="C180">
        <v>200049</v>
      </c>
      <c r="D180" t="str">
        <f t="shared" si="31"/>
        <v>rg:{'id': '200049'}</v>
      </c>
      <c r="E180">
        <f>VLOOKUP(C180,Owners.csv!C:J,6,FALSE)</f>
        <v>200073</v>
      </c>
      <c r="F180">
        <f>VLOOKUP(VLOOKUP(E180,LocalAreas.csv!J:L,3,FALSE),ServiceAreas.csv!F:J,5,FALSE)</f>
        <v>10</v>
      </c>
      <c r="G180" t="str">
        <f t="shared" si="32"/>
        <v>rg:{'id': '200073'}</v>
      </c>
      <c r="H180" t="s">
        <v>7745</v>
      </c>
      <c r="I180" t="s">
        <v>5534</v>
      </c>
      <c r="J180">
        <f>VLOOKUP(I180&amp;"-"&amp;F180,DistrictEquipmentTypes.csv!J:K,2,FALSE)</f>
        <v>200000</v>
      </c>
      <c r="K180" t="str">
        <f t="shared" si="33"/>
        <v>rg:{'id': '200000'}</v>
      </c>
      <c r="L180">
        <f t="shared" si="34"/>
        <v>3</v>
      </c>
      <c r="M180" t="str">
        <f>VLOOKUP(C180,Owners.csv!C:K,9,FALSE)&amp;TEXT(Equipment.csv!L180,"0000")</f>
        <v>LAWN0003</v>
      </c>
      <c r="N180" t="s">
        <v>5399</v>
      </c>
      <c r="O180" t="s">
        <v>6850</v>
      </c>
      <c r="P180">
        <v>1997</v>
      </c>
      <c r="Q180">
        <v>195</v>
      </c>
      <c r="R180" t="s">
        <v>6660</v>
      </c>
      <c r="S180" s="1">
        <v>40725</v>
      </c>
      <c r="T180" s="1">
        <v>40726</v>
      </c>
      <c r="U180" t="str">
        <f t="shared" ca="1" si="35"/>
        <v>rg:False</v>
      </c>
      <c r="V180" t="str">
        <f t="shared" ca="1" si="36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7390</v>
      </c>
      <c r="AC180">
        <v>0</v>
      </c>
      <c r="AD180" t="str">
        <f t="shared" ca="1" si="37"/>
        <v>rg:False</v>
      </c>
      <c r="AE180" t="str">
        <f t="shared" ca="1" si="44"/>
        <v>rg:None</v>
      </c>
      <c r="AF180" s="1">
        <v>42485</v>
      </c>
      <c r="AG180" s="4">
        <f t="shared" ca="1" si="39"/>
        <v>215.08333333333331</v>
      </c>
      <c r="AH180" s="4">
        <f t="shared" si="40"/>
        <v>4.7472222222222218</v>
      </c>
      <c r="AI180">
        <f t="shared" ca="1" si="41"/>
        <v>97</v>
      </c>
      <c r="AJ180">
        <f t="shared" ca="1" si="42"/>
        <v>118</v>
      </c>
      <c r="AK180">
        <f t="shared" ca="1" si="43"/>
        <v>3</v>
      </c>
      <c r="AL180" t="s">
        <v>326</v>
      </c>
      <c r="AO180" t="s">
        <v>76</v>
      </c>
      <c r="AP180" t="s">
        <v>6508</v>
      </c>
      <c r="AQ180" t="s">
        <v>6508</v>
      </c>
      <c r="AR180" t="s">
        <v>6508</v>
      </c>
      <c r="AS180" t="s">
        <v>6508</v>
      </c>
    </row>
    <row r="181" spans="1:45" x14ac:dyDescent="0.3">
      <c r="A181" t="s">
        <v>5628</v>
      </c>
      <c r="B181">
        <f t="shared" si="30"/>
        <v>200179</v>
      </c>
      <c r="C181">
        <v>200050</v>
      </c>
      <c r="D181" t="str">
        <f t="shared" si="31"/>
        <v>rg:{'id': '200050'}</v>
      </c>
      <c r="E181">
        <f>VLOOKUP(C181,Owners.csv!C:J,6,FALSE)</f>
        <v>200073</v>
      </c>
      <c r="F181">
        <f>VLOOKUP(VLOOKUP(E181,LocalAreas.csv!J:L,3,FALSE),ServiceAreas.csv!F:J,5,FALSE)</f>
        <v>10</v>
      </c>
      <c r="G181" t="str">
        <f t="shared" si="32"/>
        <v>rg:{'id': '200073'}</v>
      </c>
      <c r="H181" t="s">
        <v>7718</v>
      </c>
      <c r="I181" t="s">
        <v>5649</v>
      </c>
      <c r="J181">
        <f>VLOOKUP(I181&amp;"-"&amp;F181,DistrictEquipmentTypes.csv!J:K,2,FALSE)</f>
        <v>200006</v>
      </c>
      <c r="K181" t="str">
        <f t="shared" si="33"/>
        <v>rg:{'id': '200006'}</v>
      </c>
      <c r="L181">
        <f t="shared" si="34"/>
        <v>1</v>
      </c>
      <c r="M181" t="str">
        <f>VLOOKUP(C181,Owners.csv!C:K,9,FALSE)&amp;TEXT(Equipment.csv!L181,"0000")</f>
        <v>LIND0001</v>
      </c>
      <c r="N181" t="s">
        <v>5399</v>
      </c>
      <c r="O181" t="s">
        <v>6805</v>
      </c>
      <c r="P181">
        <v>1983</v>
      </c>
      <c r="Q181">
        <v>150</v>
      </c>
      <c r="R181" t="s">
        <v>6660</v>
      </c>
      <c r="S181" s="1">
        <v>41555</v>
      </c>
      <c r="T181" s="1">
        <v>41586</v>
      </c>
      <c r="U181" t="str">
        <f t="shared" ca="1" si="35"/>
        <v>rg:False</v>
      </c>
      <c r="V181" t="str">
        <f t="shared" ca="1" si="36"/>
        <v>rg:None</v>
      </c>
      <c r="W181" t="s">
        <v>7195</v>
      </c>
      <c r="X181" t="s">
        <v>76</v>
      </c>
      <c r="Y181" t="s">
        <v>76</v>
      </c>
      <c r="Z181" t="s">
        <v>76</v>
      </c>
      <c r="AA181" t="s">
        <v>7542</v>
      </c>
      <c r="AB181" t="s">
        <v>7251</v>
      </c>
      <c r="AC181">
        <v>0</v>
      </c>
      <c r="AD181" t="str">
        <f t="shared" ca="1" si="37"/>
        <v>rg:False</v>
      </c>
      <c r="AE181" t="str">
        <f t="shared" ca="1" si="44"/>
        <v>rg:None</v>
      </c>
      <c r="AF181" s="1">
        <v>42481</v>
      </c>
      <c r="AG181" s="4">
        <f t="shared" ca="1" si="39"/>
        <v>196.49999999999997</v>
      </c>
      <c r="AH181" s="4">
        <f t="shared" si="40"/>
        <v>2.3972222222222221</v>
      </c>
      <c r="AI181">
        <f t="shared" ca="1" si="41"/>
        <v>30</v>
      </c>
      <c r="AJ181">
        <f t="shared" ca="1" si="42"/>
        <v>128</v>
      </c>
      <c r="AK181">
        <f t="shared" ca="1" si="43"/>
        <v>0</v>
      </c>
      <c r="AL181" t="s">
        <v>326</v>
      </c>
      <c r="AO181" t="s">
        <v>76</v>
      </c>
      <c r="AP181" t="s">
        <v>6508</v>
      </c>
      <c r="AQ181" t="s">
        <v>6508</v>
      </c>
      <c r="AR181" t="s">
        <v>6508</v>
      </c>
      <c r="AS181" t="s">
        <v>6508</v>
      </c>
    </row>
    <row r="182" spans="1:45" x14ac:dyDescent="0.3">
      <c r="A182" t="s">
        <v>5628</v>
      </c>
      <c r="B182">
        <f t="shared" si="30"/>
        <v>200180</v>
      </c>
      <c r="C182">
        <v>200050</v>
      </c>
      <c r="D182" t="str">
        <f t="shared" si="31"/>
        <v>rg:{'id': '200050'}</v>
      </c>
      <c r="E182">
        <f>VLOOKUP(C182,Owners.csv!C:J,6,FALSE)</f>
        <v>200073</v>
      </c>
      <c r="F182">
        <f>VLOOKUP(VLOOKUP(E182,LocalAreas.csv!J:L,3,FALSE),ServiceAreas.csv!F:J,5,FALSE)</f>
        <v>10</v>
      </c>
      <c r="G182" t="str">
        <f t="shared" si="32"/>
        <v>rg:{'id': '200073'}</v>
      </c>
      <c r="H182" t="s">
        <v>7743</v>
      </c>
      <c r="I182" t="s">
        <v>5635</v>
      </c>
      <c r="J182">
        <f>VLOOKUP(I182&amp;"-"&amp;F182,DistrictEquipmentTypes.csv!J:K,2,FALSE)</f>
        <v>200001</v>
      </c>
      <c r="K182" t="str">
        <f t="shared" si="33"/>
        <v>rg:{'id': '200001'}</v>
      </c>
      <c r="L182">
        <f t="shared" si="34"/>
        <v>2</v>
      </c>
      <c r="M182" t="str">
        <f>VLOOKUP(C182,Owners.csv!C:K,9,FALSE)&amp;TEXT(Equipment.csv!L182,"0000")</f>
        <v>LIND0002</v>
      </c>
      <c r="N182" t="s">
        <v>5399</v>
      </c>
      <c r="O182" t="s">
        <v>6831</v>
      </c>
      <c r="P182">
        <v>1988</v>
      </c>
      <c r="Q182">
        <v>176</v>
      </c>
      <c r="R182" t="s">
        <v>6660</v>
      </c>
      <c r="S182" s="1">
        <v>37879</v>
      </c>
      <c r="T182" s="1">
        <v>37909</v>
      </c>
      <c r="U182" t="str">
        <f t="shared" ca="1" si="35"/>
        <v>rg:False</v>
      </c>
      <c r="V182" t="str">
        <f t="shared" ca="1" si="36"/>
        <v>rg:None</v>
      </c>
      <c r="W182" t="s">
        <v>7221</v>
      </c>
      <c r="X182" t="s">
        <v>76</v>
      </c>
      <c r="Y182" t="s">
        <v>76</v>
      </c>
      <c r="Z182" t="s">
        <v>76</v>
      </c>
      <c r="AA182" t="s">
        <v>7568</v>
      </c>
      <c r="AB182" t="s">
        <v>7277</v>
      </c>
      <c r="AC182">
        <v>0</v>
      </c>
      <c r="AD182" t="str">
        <f t="shared" ca="1" si="37"/>
        <v>rg:False</v>
      </c>
      <c r="AE182" t="str">
        <f t="shared" ca="1" si="44"/>
        <v>rg:None</v>
      </c>
      <c r="AF182" s="1">
        <v>42481</v>
      </c>
      <c r="AG182" s="4">
        <f t="shared" ca="1" si="39"/>
        <v>470.83333333333331</v>
      </c>
      <c r="AH182" s="4">
        <f t="shared" si="40"/>
        <v>12.46111111111111</v>
      </c>
      <c r="AI182">
        <f t="shared" ca="1" si="41"/>
        <v>37</v>
      </c>
      <c r="AJ182">
        <f t="shared" ca="1" si="42"/>
        <v>190</v>
      </c>
      <c r="AK182">
        <f t="shared" ca="1" si="43"/>
        <v>64</v>
      </c>
      <c r="AL182" t="s">
        <v>326</v>
      </c>
      <c r="AO182" t="s">
        <v>76</v>
      </c>
      <c r="AP182" t="s">
        <v>6508</v>
      </c>
      <c r="AQ182" t="s">
        <v>6508</v>
      </c>
      <c r="AR182" t="s">
        <v>6508</v>
      </c>
      <c r="AS182" t="s">
        <v>6508</v>
      </c>
    </row>
    <row r="183" spans="1:45" x14ac:dyDescent="0.3">
      <c r="A183" t="s">
        <v>5628</v>
      </c>
      <c r="B183">
        <f t="shared" si="30"/>
        <v>200181</v>
      </c>
      <c r="C183">
        <v>200050</v>
      </c>
      <c r="D183" t="str">
        <f t="shared" si="31"/>
        <v>rg:{'id': '200050'}</v>
      </c>
      <c r="E183">
        <f>VLOOKUP(C183,Owners.csv!C:J,6,FALSE)</f>
        <v>200073</v>
      </c>
      <c r="F183">
        <f>VLOOKUP(VLOOKUP(E183,LocalAreas.csv!J:L,3,FALSE),ServiceAreas.csv!F:J,5,FALSE)</f>
        <v>10</v>
      </c>
      <c r="G183" t="str">
        <f t="shared" si="32"/>
        <v>rg:{'id': '200073'}</v>
      </c>
      <c r="H183" t="s">
        <v>7752</v>
      </c>
      <c r="I183" t="s">
        <v>5534</v>
      </c>
      <c r="J183">
        <f>VLOOKUP(I183&amp;"-"&amp;F183,DistrictEquipmentTypes.csv!J:K,2,FALSE)</f>
        <v>200000</v>
      </c>
      <c r="K183" t="str">
        <f t="shared" si="33"/>
        <v>rg:{'id': '200000'}</v>
      </c>
      <c r="L183">
        <f t="shared" si="34"/>
        <v>3</v>
      </c>
      <c r="M183" t="str">
        <f>VLOOKUP(C183,Owners.csv!C:K,9,FALSE)&amp;TEXT(Equipment.csv!L183,"0000")</f>
        <v>LIND0003</v>
      </c>
      <c r="N183" t="s">
        <v>5399</v>
      </c>
      <c r="O183" t="s">
        <v>6851</v>
      </c>
      <c r="P183">
        <v>1994</v>
      </c>
      <c r="Q183">
        <v>196</v>
      </c>
      <c r="R183" t="s">
        <v>6660</v>
      </c>
      <c r="S183" s="1">
        <v>38957</v>
      </c>
      <c r="T183" s="1">
        <v>38962</v>
      </c>
      <c r="U183" t="str">
        <f t="shared" ca="1" si="35"/>
        <v>rg:False</v>
      </c>
      <c r="V183" t="str">
        <f t="shared" ca="1" si="36"/>
        <v>rg:None</v>
      </c>
      <c r="W183" t="s">
        <v>7241</v>
      </c>
      <c r="X183" t="s">
        <v>76</v>
      </c>
      <c r="Y183" t="s">
        <v>76</v>
      </c>
      <c r="Z183" t="s">
        <v>76</v>
      </c>
      <c r="AA183" t="s">
        <v>7588</v>
      </c>
      <c r="AB183" t="s">
        <v>7378</v>
      </c>
      <c r="AC183">
        <v>0</v>
      </c>
      <c r="AD183" t="str">
        <f t="shared" ca="1" si="37"/>
        <v>rg:False</v>
      </c>
      <c r="AE183" t="str">
        <f t="shared" ca="1" si="44"/>
        <v>rg:None</v>
      </c>
      <c r="AF183" s="1">
        <v>42486</v>
      </c>
      <c r="AG183" s="4">
        <f t="shared" ca="1" si="39"/>
        <v>362.08333333333337</v>
      </c>
      <c r="AH183" s="4">
        <f t="shared" si="40"/>
        <v>9.5805555555555557</v>
      </c>
      <c r="AI183">
        <f t="shared" ca="1" si="41"/>
        <v>97</v>
      </c>
      <c r="AJ183">
        <f t="shared" ca="1" si="42"/>
        <v>41</v>
      </c>
      <c r="AK183">
        <f t="shared" ca="1" si="43"/>
        <v>86</v>
      </c>
      <c r="AL183" t="s">
        <v>326</v>
      </c>
      <c r="AO183" t="s">
        <v>76</v>
      </c>
      <c r="AP183" t="s">
        <v>6508</v>
      </c>
      <c r="AQ183" t="s">
        <v>6508</v>
      </c>
      <c r="AR183" t="s">
        <v>6508</v>
      </c>
      <c r="AS183" t="s">
        <v>6508</v>
      </c>
    </row>
    <row r="184" spans="1:45" x14ac:dyDescent="0.3">
      <c r="A184" t="s">
        <v>5628</v>
      </c>
      <c r="B184">
        <f t="shared" si="30"/>
        <v>200182</v>
      </c>
      <c r="C184">
        <v>200051</v>
      </c>
      <c r="D184" t="str">
        <f t="shared" si="31"/>
        <v>rg:{'id': '200051'}</v>
      </c>
      <c r="E184">
        <f>VLOOKUP(C184,Owners.csv!C:J,6,FALSE)</f>
        <v>200073</v>
      </c>
      <c r="F184">
        <f>VLOOKUP(VLOOKUP(E184,LocalAreas.csv!J:L,3,FALSE),ServiceAreas.csv!F:J,5,FALSE)</f>
        <v>10</v>
      </c>
      <c r="G184" t="str">
        <f t="shared" si="32"/>
        <v>rg:{'id': '200073'}</v>
      </c>
      <c r="H184" t="s">
        <v>7733</v>
      </c>
      <c r="I184" t="s">
        <v>5649</v>
      </c>
      <c r="J184">
        <f>VLOOKUP(I184&amp;"-"&amp;F184,DistrictEquipmentTypes.csv!J:K,2,FALSE)</f>
        <v>200006</v>
      </c>
      <c r="K184" t="str">
        <f t="shared" si="33"/>
        <v>rg:{'id': '200006'}</v>
      </c>
      <c r="L184">
        <f t="shared" si="34"/>
        <v>1</v>
      </c>
      <c r="M184" t="str">
        <f>VLOOKUP(C184,Owners.csv!C:K,9,FALSE)&amp;TEXT(Equipment.csv!L184,"0000")</f>
        <v>LION0001</v>
      </c>
      <c r="N184" t="s">
        <v>5399</v>
      </c>
      <c r="O184" t="s">
        <v>6806</v>
      </c>
      <c r="P184">
        <v>2005</v>
      </c>
      <c r="Q184">
        <v>151</v>
      </c>
      <c r="R184" t="s">
        <v>6660</v>
      </c>
      <c r="S184" s="1">
        <v>39630</v>
      </c>
      <c r="T184" s="1">
        <v>39659</v>
      </c>
      <c r="U184" t="str">
        <f t="shared" ca="1" si="35"/>
        <v>rg:True</v>
      </c>
      <c r="V184" t="str">
        <f t="shared" ca="1" si="36"/>
        <v>This equipment should be archived</v>
      </c>
      <c r="W184" t="s">
        <v>7196</v>
      </c>
      <c r="X184" t="s">
        <v>76</v>
      </c>
      <c r="Y184" t="s">
        <v>76</v>
      </c>
      <c r="Z184" t="s">
        <v>76</v>
      </c>
      <c r="AA184" t="s">
        <v>7543</v>
      </c>
      <c r="AB184" t="s">
        <v>7363</v>
      </c>
      <c r="AC184">
        <v>0</v>
      </c>
      <c r="AD184" t="str">
        <f t="shared" ca="1" si="37"/>
        <v>rg:False</v>
      </c>
      <c r="AE184" t="str">
        <f t="shared" ca="1" si="44"/>
        <v>rg:None</v>
      </c>
      <c r="AF184" s="1">
        <v>42481</v>
      </c>
      <c r="AG184" s="4">
        <f t="shared" ca="1" si="39"/>
        <v>514.16666666666663</v>
      </c>
      <c r="AH184" s="4">
        <f t="shared" si="40"/>
        <v>7.6694444444444443</v>
      </c>
      <c r="AI184">
        <f t="shared" ca="1" si="41"/>
        <v>38</v>
      </c>
      <c r="AJ184">
        <f t="shared" ca="1" si="42"/>
        <v>116</v>
      </c>
      <c r="AK184">
        <f t="shared" ca="1" si="43"/>
        <v>8</v>
      </c>
      <c r="AL184" t="s">
        <v>326</v>
      </c>
      <c r="AO184" t="s">
        <v>76</v>
      </c>
      <c r="AP184" t="s">
        <v>6508</v>
      </c>
      <c r="AQ184" t="s">
        <v>6508</v>
      </c>
      <c r="AR184" t="s">
        <v>6508</v>
      </c>
      <c r="AS184" t="s">
        <v>6508</v>
      </c>
    </row>
    <row r="185" spans="1:45" x14ac:dyDescent="0.3">
      <c r="A185" t="s">
        <v>5628</v>
      </c>
      <c r="B185">
        <f t="shared" si="30"/>
        <v>200183</v>
      </c>
      <c r="C185">
        <v>200051</v>
      </c>
      <c r="D185" t="str">
        <f t="shared" si="31"/>
        <v>rg:{'id': '200051'}</v>
      </c>
      <c r="E185">
        <f>VLOOKUP(C185,Owners.csv!C:J,6,FALSE)</f>
        <v>200073</v>
      </c>
      <c r="F185">
        <f>VLOOKUP(VLOOKUP(E185,LocalAreas.csv!J:L,3,FALSE),ServiceAreas.csv!F:J,5,FALSE)</f>
        <v>10</v>
      </c>
      <c r="G185" t="str">
        <f t="shared" si="32"/>
        <v>rg:{'id': '200073'}</v>
      </c>
      <c r="H185" t="s">
        <v>7719</v>
      </c>
      <c r="I185" t="s">
        <v>5635</v>
      </c>
      <c r="J185">
        <f>VLOOKUP(I185&amp;"-"&amp;F185,DistrictEquipmentTypes.csv!J:K,2,FALSE)</f>
        <v>200001</v>
      </c>
      <c r="K185" t="str">
        <f t="shared" si="33"/>
        <v>rg:{'id': '200001'}</v>
      </c>
      <c r="L185">
        <f t="shared" si="34"/>
        <v>2</v>
      </c>
      <c r="M185" t="str">
        <f>VLOOKUP(C185,Owners.csv!C:K,9,FALSE)&amp;TEXT(Equipment.csv!L185,"0000")</f>
        <v>LION0002</v>
      </c>
      <c r="N185" t="s">
        <v>5399</v>
      </c>
      <c r="O185" t="s">
        <v>6832</v>
      </c>
      <c r="P185">
        <v>2003</v>
      </c>
      <c r="Q185">
        <v>177</v>
      </c>
      <c r="R185" t="s">
        <v>6660</v>
      </c>
      <c r="S185" s="1">
        <v>40663</v>
      </c>
      <c r="T185" s="1">
        <v>40680</v>
      </c>
      <c r="U185" t="str">
        <f t="shared" ca="1" si="35"/>
        <v>rg:False</v>
      </c>
      <c r="V185" t="str">
        <f t="shared" ca="1" si="36"/>
        <v>rg:None</v>
      </c>
      <c r="W185" t="s">
        <v>7222</v>
      </c>
      <c r="X185" t="s">
        <v>76</v>
      </c>
      <c r="Y185" t="s">
        <v>76</v>
      </c>
      <c r="Z185" t="s">
        <v>76</v>
      </c>
      <c r="AA185" t="s">
        <v>7569</v>
      </c>
      <c r="AB185" t="s">
        <v>7379</v>
      </c>
      <c r="AC185">
        <v>0</v>
      </c>
      <c r="AD185" t="str">
        <f t="shared" ca="1" si="37"/>
        <v>rg:False</v>
      </c>
      <c r="AE185" t="str">
        <f t="shared" ca="1" si="44"/>
        <v>rg:None</v>
      </c>
      <c r="AF185" s="1">
        <v>42481</v>
      </c>
      <c r="AG185" s="4">
        <f t="shared" ca="1" si="39"/>
        <v>268.16666666666663</v>
      </c>
      <c r="AH185" s="4">
        <f t="shared" si="40"/>
        <v>4.8722222222222218</v>
      </c>
      <c r="AI185">
        <f t="shared" ca="1" si="41"/>
        <v>111</v>
      </c>
      <c r="AJ185">
        <f t="shared" ca="1" si="42"/>
        <v>108</v>
      </c>
      <c r="AK185">
        <f t="shared" ca="1" si="43"/>
        <v>147</v>
      </c>
      <c r="AL185" t="s">
        <v>326</v>
      </c>
      <c r="AO185" t="s">
        <v>76</v>
      </c>
      <c r="AP185" t="s">
        <v>6508</v>
      </c>
      <c r="AQ185" t="s">
        <v>6508</v>
      </c>
      <c r="AR185" t="s">
        <v>6508</v>
      </c>
      <c r="AS185" t="s">
        <v>6508</v>
      </c>
    </row>
    <row r="186" spans="1:45" x14ac:dyDescent="0.3">
      <c r="A186" t="s">
        <v>5628</v>
      </c>
      <c r="B186">
        <f t="shared" si="30"/>
        <v>200184</v>
      </c>
      <c r="C186">
        <v>200051</v>
      </c>
      <c r="D186" t="str">
        <f t="shared" si="31"/>
        <v>rg:{'id': '200051'}</v>
      </c>
      <c r="E186">
        <f>VLOOKUP(C186,Owners.csv!C:J,6,FALSE)</f>
        <v>200073</v>
      </c>
      <c r="F186">
        <f>VLOOKUP(VLOOKUP(E186,LocalAreas.csv!J:L,3,FALSE),ServiceAreas.csv!F:J,5,FALSE)</f>
        <v>10</v>
      </c>
      <c r="G186" t="str">
        <f t="shared" si="32"/>
        <v>rg:{'id': '200073'}</v>
      </c>
      <c r="H186" t="s">
        <v>7668</v>
      </c>
      <c r="I186" t="s">
        <v>5534</v>
      </c>
      <c r="J186">
        <f>VLOOKUP(I186&amp;"-"&amp;F186,DistrictEquipmentTypes.csv!J:K,2,FALSE)</f>
        <v>200000</v>
      </c>
      <c r="K186" t="str">
        <f t="shared" si="33"/>
        <v>rg:{'id': '200000'}</v>
      </c>
      <c r="L186">
        <f t="shared" si="34"/>
        <v>3</v>
      </c>
      <c r="M186" t="str">
        <f>VLOOKUP(C186,Owners.csv!C:K,9,FALSE)&amp;TEXT(Equipment.csv!L186,"0000")</f>
        <v>LION0003</v>
      </c>
      <c r="N186" t="s">
        <v>5399</v>
      </c>
      <c r="O186" t="s">
        <v>6852</v>
      </c>
      <c r="P186">
        <v>1994</v>
      </c>
      <c r="Q186">
        <v>197</v>
      </c>
      <c r="R186" t="s">
        <v>6660</v>
      </c>
      <c r="S186" s="1">
        <v>40088</v>
      </c>
      <c r="T186" s="1">
        <v>40107</v>
      </c>
      <c r="U186" t="str">
        <f t="shared" ca="1" si="35"/>
        <v>rg:True</v>
      </c>
      <c r="V186" t="str">
        <f t="shared" ca="1" si="36"/>
        <v>This equipment should be archived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7391</v>
      </c>
      <c r="AC186">
        <v>0</v>
      </c>
      <c r="AD186" t="str">
        <f t="shared" ca="1" si="37"/>
        <v>rg:False</v>
      </c>
      <c r="AE186" t="str">
        <f t="shared" ca="1" si="44"/>
        <v>rg:None</v>
      </c>
      <c r="AF186" s="1">
        <v>42487</v>
      </c>
      <c r="AG186" s="4">
        <f t="shared" ca="1" si="39"/>
        <v>297.33333333333337</v>
      </c>
      <c r="AH186" s="4">
        <f t="shared" si="40"/>
        <v>6.4444444444444446</v>
      </c>
      <c r="AI186">
        <f t="shared" ca="1" si="41"/>
        <v>139</v>
      </c>
      <c r="AJ186">
        <f t="shared" ca="1" si="42"/>
        <v>91</v>
      </c>
      <c r="AK186">
        <f t="shared" ca="1" si="43"/>
        <v>82</v>
      </c>
      <c r="AL186" t="s">
        <v>326</v>
      </c>
      <c r="AO186" t="s">
        <v>76</v>
      </c>
      <c r="AP186" t="s">
        <v>6508</v>
      </c>
      <c r="AQ186" t="s">
        <v>6508</v>
      </c>
      <c r="AR186" t="s">
        <v>6508</v>
      </c>
      <c r="AS186" t="s">
        <v>6508</v>
      </c>
    </row>
    <row r="187" spans="1:45" x14ac:dyDescent="0.3">
      <c r="A187" t="s">
        <v>5628</v>
      </c>
      <c r="B187">
        <f t="shared" si="30"/>
        <v>200185</v>
      </c>
      <c r="C187">
        <v>200052</v>
      </c>
      <c r="D187" t="str">
        <f t="shared" si="31"/>
        <v>rg:{'id': '200052'}</v>
      </c>
      <c r="E187">
        <f>VLOOKUP(C187,Owners.csv!C:J,6,FALSE)</f>
        <v>200073</v>
      </c>
      <c r="F187">
        <f>VLOOKUP(VLOOKUP(E187,LocalAreas.csv!J:L,3,FALSE),ServiceAreas.csv!F:J,5,FALSE)</f>
        <v>10</v>
      </c>
      <c r="G187" t="str">
        <f t="shared" si="32"/>
        <v>rg:{'id': '200073'}</v>
      </c>
      <c r="H187" t="s">
        <v>7734</v>
      </c>
      <c r="I187" t="s">
        <v>5649</v>
      </c>
      <c r="J187">
        <f>VLOOKUP(I187&amp;"-"&amp;F187,DistrictEquipmentTypes.csv!J:K,2,FALSE)</f>
        <v>200006</v>
      </c>
      <c r="K187" t="str">
        <f t="shared" si="33"/>
        <v>rg:{'id': '200006'}</v>
      </c>
      <c r="L187">
        <f t="shared" si="34"/>
        <v>1</v>
      </c>
      <c r="M187" t="str">
        <f>VLOOKUP(C187,Owners.csv!C:K,9,FALSE)&amp;TEXT(Equipment.csv!L187,"0000")</f>
        <v>LITT0001</v>
      </c>
      <c r="N187" t="s">
        <v>5399</v>
      </c>
      <c r="O187" t="s">
        <v>6807</v>
      </c>
      <c r="P187">
        <v>1999</v>
      </c>
      <c r="Q187">
        <v>152</v>
      </c>
      <c r="R187" t="s">
        <v>6660</v>
      </c>
      <c r="S187" s="1">
        <v>41160</v>
      </c>
      <c r="T187" s="1">
        <v>41181</v>
      </c>
      <c r="U187" t="str">
        <f t="shared" ca="1" si="35"/>
        <v>rg:False</v>
      </c>
      <c r="V187" t="str">
        <f t="shared" ca="1" si="36"/>
        <v>rg:None</v>
      </c>
      <c r="W187" t="s">
        <v>7197</v>
      </c>
      <c r="X187" t="s">
        <v>76</v>
      </c>
      <c r="Y187" t="s">
        <v>76</v>
      </c>
      <c r="Z187" t="s">
        <v>76</v>
      </c>
      <c r="AA187" t="s">
        <v>7544</v>
      </c>
      <c r="AB187" t="s">
        <v>7364</v>
      </c>
      <c r="AC187">
        <v>0</v>
      </c>
      <c r="AD187" t="str">
        <f t="shared" ca="1" si="37"/>
        <v>rg:False</v>
      </c>
      <c r="AE187" t="str">
        <f t="shared" ca="1" si="44"/>
        <v>rg:None</v>
      </c>
      <c r="AF187" s="1">
        <v>42481</v>
      </c>
      <c r="AG187" s="4">
        <f t="shared" ca="1" si="39"/>
        <v>298.66666666666669</v>
      </c>
      <c r="AH187" s="4">
        <f t="shared" si="40"/>
        <v>3.5055555555555555</v>
      </c>
      <c r="AI187">
        <f t="shared" ca="1" si="41"/>
        <v>122</v>
      </c>
      <c r="AJ187">
        <f t="shared" ca="1" si="42"/>
        <v>45</v>
      </c>
      <c r="AK187">
        <f t="shared" ca="1" si="43"/>
        <v>98</v>
      </c>
      <c r="AL187" t="s">
        <v>326</v>
      </c>
      <c r="AO187" t="s">
        <v>76</v>
      </c>
      <c r="AP187" t="s">
        <v>6508</v>
      </c>
      <c r="AQ187" t="s">
        <v>6508</v>
      </c>
      <c r="AR187" t="s">
        <v>6508</v>
      </c>
      <c r="AS187" t="s">
        <v>6508</v>
      </c>
    </row>
    <row r="188" spans="1:45" x14ac:dyDescent="0.3">
      <c r="A188" t="s">
        <v>5628</v>
      </c>
      <c r="B188">
        <f t="shared" si="30"/>
        <v>200186</v>
      </c>
      <c r="C188">
        <v>200052</v>
      </c>
      <c r="D188" t="str">
        <f t="shared" si="31"/>
        <v>rg:{'id': '200052'}</v>
      </c>
      <c r="E188">
        <f>VLOOKUP(C188,Owners.csv!C:J,6,FALSE)</f>
        <v>200073</v>
      </c>
      <c r="F188">
        <f>VLOOKUP(VLOOKUP(E188,LocalAreas.csv!J:L,3,FALSE),ServiceAreas.csv!F:J,5,FALSE)</f>
        <v>10</v>
      </c>
      <c r="G188" t="str">
        <f t="shared" si="32"/>
        <v>rg:{'id': '200073'}</v>
      </c>
      <c r="H188" t="s">
        <v>7744</v>
      </c>
      <c r="I188" t="s">
        <v>5635</v>
      </c>
      <c r="J188">
        <f>VLOOKUP(I188&amp;"-"&amp;F188,DistrictEquipmentTypes.csv!J:K,2,FALSE)</f>
        <v>200001</v>
      </c>
      <c r="K188" t="str">
        <f t="shared" si="33"/>
        <v>rg:{'id': '200001'}</v>
      </c>
      <c r="L188">
        <f t="shared" si="34"/>
        <v>2</v>
      </c>
      <c r="M188" t="str">
        <f>VLOOKUP(C188,Owners.csv!C:K,9,FALSE)&amp;TEXT(Equipment.csv!L188,"0000")</f>
        <v>LITT0002</v>
      </c>
      <c r="N188" t="s">
        <v>5399</v>
      </c>
      <c r="O188" t="s">
        <v>6833</v>
      </c>
      <c r="P188">
        <v>1995</v>
      </c>
      <c r="Q188">
        <v>178</v>
      </c>
      <c r="R188" t="s">
        <v>6660</v>
      </c>
      <c r="S188" s="1">
        <v>42192</v>
      </c>
      <c r="T188" s="1">
        <v>42194</v>
      </c>
      <c r="U188" t="str">
        <f t="shared" ca="1" si="35"/>
        <v>rg:False</v>
      </c>
      <c r="V188" t="str">
        <f t="shared" ca="1" si="36"/>
        <v>rg:None</v>
      </c>
      <c r="W188" t="s">
        <v>7223</v>
      </c>
      <c r="X188" t="s">
        <v>76</v>
      </c>
      <c r="Y188" t="s">
        <v>76</v>
      </c>
      <c r="Z188" t="s">
        <v>76</v>
      </c>
      <c r="AA188" t="s">
        <v>7570</v>
      </c>
      <c r="AB188" t="s">
        <v>7380</v>
      </c>
      <c r="AC188">
        <v>0</v>
      </c>
      <c r="AD188" t="str">
        <f t="shared" ca="1" si="37"/>
        <v>rg:False</v>
      </c>
      <c r="AE188" t="str">
        <f t="shared" ca="1" si="44"/>
        <v>rg:None</v>
      </c>
      <c r="AF188" s="1">
        <v>42481</v>
      </c>
      <c r="AG188" s="4">
        <f t="shared" ca="1" si="39"/>
        <v>21.833333333333332</v>
      </c>
      <c r="AH188" s="4">
        <f t="shared" si="40"/>
        <v>0.72777777777777775</v>
      </c>
      <c r="AI188">
        <f t="shared" ca="1" si="41"/>
        <v>0</v>
      </c>
      <c r="AJ188">
        <f t="shared" ca="1" si="42"/>
        <v>0</v>
      </c>
      <c r="AK188">
        <f t="shared" ca="1" si="43"/>
        <v>0</v>
      </c>
      <c r="AL188" t="s">
        <v>326</v>
      </c>
      <c r="AO188" t="s">
        <v>76</v>
      </c>
      <c r="AP188" t="s">
        <v>6508</v>
      </c>
      <c r="AQ188" t="s">
        <v>6508</v>
      </c>
      <c r="AR188" t="s">
        <v>6508</v>
      </c>
      <c r="AS188" t="s">
        <v>6508</v>
      </c>
    </row>
    <row r="189" spans="1:45" x14ac:dyDescent="0.3">
      <c r="A189" t="s">
        <v>5628</v>
      </c>
      <c r="B189">
        <f t="shared" si="30"/>
        <v>200187</v>
      </c>
      <c r="C189">
        <v>200052</v>
      </c>
      <c r="D189" t="str">
        <f t="shared" si="31"/>
        <v>rg:{'id': '200052'}</v>
      </c>
      <c r="E189">
        <f>VLOOKUP(C189,Owners.csv!C:J,6,FALSE)</f>
        <v>200073</v>
      </c>
      <c r="F189">
        <f>VLOOKUP(VLOOKUP(E189,LocalAreas.csv!J:L,3,FALSE),ServiceAreas.csv!F:J,5,FALSE)</f>
        <v>10</v>
      </c>
      <c r="G189" t="str">
        <f t="shared" si="32"/>
        <v>rg:{'id': '200073'}</v>
      </c>
      <c r="H189" t="s">
        <v>7753</v>
      </c>
      <c r="I189" t="s">
        <v>5534</v>
      </c>
      <c r="J189">
        <f>VLOOKUP(I189&amp;"-"&amp;F189,DistrictEquipmentTypes.csv!J:K,2,FALSE)</f>
        <v>200000</v>
      </c>
      <c r="K189" t="str">
        <f t="shared" si="33"/>
        <v>rg:{'id': '200000'}</v>
      </c>
      <c r="L189">
        <f t="shared" si="34"/>
        <v>3</v>
      </c>
      <c r="M189" t="str">
        <f>VLOOKUP(C189,Owners.csv!C:K,9,FALSE)&amp;TEXT(Equipment.csv!L189,"0000")</f>
        <v>LITT0003</v>
      </c>
      <c r="N189" t="s">
        <v>5399</v>
      </c>
      <c r="O189" t="s">
        <v>6853</v>
      </c>
      <c r="P189">
        <v>2002</v>
      </c>
      <c r="Q189">
        <v>198</v>
      </c>
      <c r="R189" t="s">
        <v>6660</v>
      </c>
      <c r="S189" s="1">
        <v>40388</v>
      </c>
      <c r="T189" s="1">
        <v>40408</v>
      </c>
      <c r="U189" t="str">
        <f t="shared" ca="1" si="35"/>
        <v>rg:False</v>
      </c>
      <c r="V189" t="str">
        <f t="shared" ca="1" si="36"/>
        <v>rg:None</v>
      </c>
      <c r="W189" t="s">
        <v>7243</v>
      </c>
      <c r="X189" t="s">
        <v>76</v>
      </c>
      <c r="Y189" t="s">
        <v>76</v>
      </c>
      <c r="Z189" t="s">
        <v>76</v>
      </c>
      <c r="AA189" t="s">
        <v>7590</v>
      </c>
      <c r="AB189" t="s">
        <v>7392</v>
      </c>
      <c r="AC189">
        <v>0</v>
      </c>
      <c r="AD189" t="str">
        <f t="shared" ca="1" si="37"/>
        <v>rg:False</v>
      </c>
      <c r="AE189" t="str">
        <f t="shared" ca="1" si="44"/>
        <v>rg:None</v>
      </c>
      <c r="AF189" s="1">
        <v>42488</v>
      </c>
      <c r="AG189" s="4">
        <f t="shared" ca="1" si="39"/>
        <v>318.25</v>
      </c>
      <c r="AH189" s="4">
        <f t="shared" si="40"/>
        <v>5.6194444444444445</v>
      </c>
      <c r="AI189">
        <f t="shared" ca="1" si="41"/>
        <v>151</v>
      </c>
      <c r="AJ189">
        <f t="shared" ca="1" si="42"/>
        <v>195</v>
      </c>
      <c r="AK189">
        <f t="shared" ca="1" si="43"/>
        <v>103</v>
      </c>
      <c r="AL189" t="s">
        <v>326</v>
      </c>
      <c r="AO189" t="s">
        <v>76</v>
      </c>
      <c r="AP189" t="s">
        <v>6508</v>
      </c>
      <c r="AQ189" t="s">
        <v>6508</v>
      </c>
      <c r="AR189" t="s">
        <v>6508</v>
      </c>
      <c r="AS189" t="s">
        <v>6508</v>
      </c>
    </row>
    <row r="190" spans="1:45" x14ac:dyDescent="0.3">
      <c r="A190" t="s">
        <v>5628</v>
      </c>
      <c r="B190">
        <f t="shared" si="30"/>
        <v>200188</v>
      </c>
      <c r="C190">
        <v>200053</v>
      </c>
      <c r="D190" t="str">
        <f t="shared" si="31"/>
        <v>rg:{'id': '200053'}</v>
      </c>
      <c r="E190">
        <f>VLOOKUP(C190,Owners.csv!C:J,6,FALSE)</f>
        <v>200074</v>
      </c>
      <c r="F190">
        <f>VLOOKUP(VLOOKUP(E190,LocalAreas.csv!J:L,3,FALSE),ServiceAreas.csv!F:J,5,FALSE)</f>
        <v>10</v>
      </c>
      <c r="G190" t="str">
        <f t="shared" si="32"/>
        <v>rg:{'id': '200074'}</v>
      </c>
      <c r="H190" t="s">
        <v>7735</v>
      </c>
      <c r="I190" t="s">
        <v>5649</v>
      </c>
      <c r="J190">
        <f>VLOOKUP(I190&amp;"-"&amp;F190,DistrictEquipmentTypes.csv!J:K,2,FALSE)</f>
        <v>200006</v>
      </c>
      <c r="K190" t="str">
        <f t="shared" si="33"/>
        <v>rg:{'id': '200006'}</v>
      </c>
      <c r="L190">
        <f t="shared" si="34"/>
        <v>1</v>
      </c>
      <c r="M190" t="str">
        <f>VLOOKUP(C190,Owners.csv!C:K,9,FALSE)&amp;TEXT(Equipment.csv!L190,"0000")</f>
        <v>MAGI0001</v>
      </c>
      <c r="N190" t="s">
        <v>5399</v>
      </c>
      <c r="O190" t="s">
        <v>6808</v>
      </c>
      <c r="P190">
        <v>2005</v>
      </c>
      <c r="Q190">
        <v>153</v>
      </c>
      <c r="R190" t="s">
        <v>6660</v>
      </c>
      <c r="S190" s="1">
        <v>40417</v>
      </c>
      <c r="T190" s="1">
        <v>40436</v>
      </c>
      <c r="U190" t="str">
        <f t="shared" ca="1" si="35"/>
        <v>rg:False</v>
      </c>
      <c r="V190" t="str">
        <f t="shared" ca="1" si="36"/>
        <v>rg:None</v>
      </c>
      <c r="W190" t="s">
        <v>7198</v>
      </c>
      <c r="X190" t="s">
        <v>76</v>
      </c>
      <c r="Y190" t="s">
        <v>76</v>
      </c>
      <c r="Z190" t="s">
        <v>76</v>
      </c>
      <c r="AA190" t="s">
        <v>7545</v>
      </c>
      <c r="AB190" t="s">
        <v>7365</v>
      </c>
      <c r="AC190">
        <v>0</v>
      </c>
      <c r="AD190" t="str">
        <f t="shared" ca="1" si="37"/>
        <v>rg:False</v>
      </c>
      <c r="AE190" t="str">
        <f t="shared" ca="1" si="44"/>
        <v>rg:None</v>
      </c>
      <c r="AF190" s="1">
        <v>42481</v>
      </c>
      <c r="AG190" s="4">
        <f t="shared" ca="1" si="39"/>
        <v>443.33333333333331</v>
      </c>
      <c r="AH190" s="4">
        <f t="shared" si="40"/>
        <v>5.5444444444444443</v>
      </c>
      <c r="AI190">
        <f t="shared" ca="1" si="41"/>
        <v>174</v>
      </c>
      <c r="AJ190">
        <f t="shared" ca="1" si="42"/>
        <v>36</v>
      </c>
      <c r="AK190">
        <f t="shared" ca="1" si="43"/>
        <v>122</v>
      </c>
      <c r="AL190" t="s">
        <v>326</v>
      </c>
      <c r="AO190" t="s">
        <v>76</v>
      </c>
      <c r="AP190" t="s">
        <v>6508</v>
      </c>
      <c r="AQ190" t="s">
        <v>6508</v>
      </c>
      <c r="AR190" t="s">
        <v>6508</v>
      </c>
      <c r="AS190" t="s">
        <v>6508</v>
      </c>
    </row>
    <row r="191" spans="1:45" x14ac:dyDescent="0.3">
      <c r="A191" t="s">
        <v>5628</v>
      </c>
      <c r="B191">
        <f t="shared" si="30"/>
        <v>200189</v>
      </c>
      <c r="C191">
        <v>200053</v>
      </c>
      <c r="D191" t="str">
        <f t="shared" si="31"/>
        <v>rg:{'id': '200053'}</v>
      </c>
      <c r="E191">
        <f>VLOOKUP(C191,Owners.csv!C:J,6,FALSE)</f>
        <v>200074</v>
      </c>
      <c r="F191">
        <f>VLOOKUP(VLOOKUP(E191,LocalAreas.csv!J:L,3,FALSE),ServiceAreas.csv!F:J,5,FALSE)</f>
        <v>10</v>
      </c>
      <c r="G191" t="str">
        <f t="shared" si="32"/>
        <v>rg:{'id': '200074'}</v>
      </c>
      <c r="H191" t="s">
        <v>7712</v>
      </c>
      <c r="I191" t="s">
        <v>5635</v>
      </c>
      <c r="J191">
        <f>VLOOKUP(I191&amp;"-"&amp;F191,DistrictEquipmentTypes.csv!J:K,2,FALSE)</f>
        <v>200001</v>
      </c>
      <c r="K191" t="str">
        <f t="shared" si="33"/>
        <v>rg:{'id': '200001'}</v>
      </c>
      <c r="L191">
        <f t="shared" si="34"/>
        <v>2</v>
      </c>
      <c r="M191" t="str">
        <f>VLOOKUP(C191,Owners.csv!C:K,9,FALSE)&amp;TEXT(Equipment.csv!L191,"0000")</f>
        <v>MAGI0002</v>
      </c>
      <c r="N191" t="s">
        <v>5399</v>
      </c>
      <c r="O191" t="s">
        <v>6834</v>
      </c>
      <c r="P191">
        <v>2002</v>
      </c>
      <c r="Q191">
        <v>179</v>
      </c>
      <c r="R191" t="s">
        <v>6660</v>
      </c>
      <c r="S191" s="1">
        <v>42225</v>
      </c>
      <c r="T191" s="1">
        <v>42242</v>
      </c>
      <c r="U191" t="str">
        <f t="shared" ca="1" si="35"/>
        <v>rg:False</v>
      </c>
      <c r="V191" t="str">
        <f t="shared" ca="1" si="36"/>
        <v>rg:None</v>
      </c>
      <c r="W191" t="s">
        <v>7224</v>
      </c>
      <c r="X191" t="s">
        <v>76</v>
      </c>
      <c r="Y191" t="s">
        <v>76</v>
      </c>
      <c r="Z191" t="s">
        <v>76</v>
      </c>
      <c r="AA191" t="s">
        <v>7571</v>
      </c>
      <c r="AB191" t="s">
        <v>7258</v>
      </c>
      <c r="AC191">
        <v>0</v>
      </c>
      <c r="AD191" t="str">
        <f t="shared" ca="1" si="37"/>
        <v>rg:False</v>
      </c>
      <c r="AE191" t="str">
        <f t="shared" ca="1" si="44"/>
        <v>rg:None</v>
      </c>
      <c r="AF191" s="1">
        <v>42481</v>
      </c>
      <c r="AG191" s="4">
        <f t="shared" ca="1" si="39"/>
        <v>17.916666666666668</v>
      </c>
      <c r="AH191" s="4">
        <f t="shared" si="40"/>
        <v>0.59722222222222221</v>
      </c>
      <c r="AI191">
        <f t="shared" ca="1" si="41"/>
        <v>0</v>
      </c>
      <c r="AJ191">
        <f t="shared" ca="1" si="42"/>
        <v>0</v>
      </c>
      <c r="AK191">
        <f t="shared" ca="1" si="43"/>
        <v>0</v>
      </c>
      <c r="AL191" t="s">
        <v>326</v>
      </c>
      <c r="AO191" t="s">
        <v>76</v>
      </c>
      <c r="AP191" t="s">
        <v>6508</v>
      </c>
      <c r="AQ191" t="s">
        <v>6508</v>
      </c>
      <c r="AR191" t="s">
        <v>6508</v>
      </c>
      <c r="AS191" t="s">
        <v>6508</v>
      </c>
    </row>
    <row r="192" spans="1:45" x14ac:dyDescent="0.3">
      <c r="A192" t="s">
        <v>5628</v>
      </c>
      <c r="B192">
        <f t="shared" si="30"/>
        <v>200190</v>
      </c>
      <c r="C192">
        <v>200053</v>
      </c>
      <c r="D192" t="str">
        <f t="shared" si="31"/>
        <v>rg:{'id': '200053'}</v>
      </c>
      <c r="E192">
        <f>VLOOKUP(C192,Owners.csv!C:J,6,FALSE)</f>
        <v>200074</v>
      </c>
      <c r="F192">
        <f>VLOOKUP(VLOOKUP(E192,LocalAreas.csv!J:L,3,FALSE),ServiceAreas.csv!F:J,5,FALSE)</f>
        <v>10</v>
      </c>
      <c r="G192" t="str">
        <f t="shared" si="32"/>
        <v>rg:{'id': '200074'}</v>
      </c>
      <c r="H192" t="s">
        <v>7352</v>
      </c>
      <c r="I192" t="s">
        <v>5534</v>
      </c>
      <c r="J192">
        <f>VLOOKUP(I192&amp;"-"&amp;F192,DistrictEquipmentTypes.csv!J:K,2,FALSE)</f>
        <v>200000</v>
      </c>
      <c r="K192" t="str">
        <f t="shared" si="33"/>
        <v>rg:{'id': '200000'}</v>
      </c>
      <c r="L192">
        <f t="shared" si="34"/>
        <v>3</v>
      </c>
      <c r="M192" t="str">
        <f>VLOOKUP(C192,Owners.csv!C:K,9,FALSE)&amp;TEXT(Equipment.csv!L192,"0000")</f>
        <v>MAGI0003</v>
      </c>
      <c r="N192" t="s">
        <v>5656</v>
      </c>
      <c r="O192">
        <v>303</v>
      </c>
      <c r="P192">
        <v>1989</v>
      </c>
      <c r="Q192">
        <v>400</v>
      </c>
      <c r="R192" t="s">
        <v>6660</v>
      </c>
      <c r="S192" s="1">
        <v>40274</v>
      </c>
      <c r="T192" s="1">
        <v>39491</v>
      </c>
      <c r="U192" t="str">
        <f t="shared" ca="1" si="35"/>
        <v>rg:False</v>
      </c>
      <c r="V192" t="str">
        <f t="shared" ca="1" si="36"/>
        <v>rg:None</v>
      </c>
      <c r="W192" t="s">
        <v>7621</v>
      </c>
      <c r="X192" t="s">
        <v>76</v>
      </c>
      <c r="Y192" t="s">
        <v>76</v>
      </c>
      <c r="Z192" t="s">
        <v>76</v>
      </c>
      <c r="AA192" t="s">
        <v>7623</v>
      </c>
      <c r="AB192" s="1">
        <v>43042</v>
      </c>
      <c r="AC192">
        <v>0</v>
      </c>
      <c r="AD192" t="str">
        <f t="shared" ca="1" si="37"/>
        <v>rg:False</v>
      </c>
      <c r="AE192" t="str">
        <f t="shared" ca="1" si="44"/>
        <v>rg:None</v>
      </c>
      <c r="AF192" s="1">
        <v>42489</v>
      </c>
      <c r="AG192" s="4">
        <f t="shared" ca="1" si="39"/>
        <v>370.66666666666669</v>
      </c>
      <c r="AH192" s="4">
        <f t="shared" si="40"/>
        <v>8.1333333333333329</v>
      </c>
      <c r="AI192">
        <f t="shared" ca="1" si="41"/>
        <v>128</v>
      </c>
      <c r="AJ192">
        <f t="shared" ca="1" si="42"/>
        <v>189</v>
      </c>
      <c r="AK192">
        <f t="shared" ca="1" si="43"/>
        <v>63</v>
      </c>
      <c r="AL192" t="s">
        <v>326</v>
      </c>
      <c r="AO192" t="s">
        <v>76</v>
      </c>
      <c r="AP192" t="s">
        <v>6508</v>
      </c>
      <c r="AQ192" t="s">
        <v>6508</v>
      </c>
      <c r="AR192" t="s">
        <v>6508</v>
      </c>
      <c r="AS192" t="s">
        <v>6508</v>
      </c>
    </row>
    <row r="193" spans="1:45" x14ac:dyDescent="0.3">
      <c r="A193" t="s">
        <v>5628</v>
      </c>
      <c r="B193">
        <f t="shared" si="30"/>
        <v>200191</v>
      </c>
      <c r="C193">
        <v>200054</v>
      </c>
      <c r="D193" t="str">
        <f t="shared" si="31"/>
        <v>rg:{'id': '200054'}</v>
      </c>
      <c r="E193">
        <f>VLOOKUP(C193,Owners.csv!C:J,6,FALSE)</f>
        <v>200074</v>
      </c>
      <c r="F193">
        <f>VLOOKUP(VLOOKUP(E193,LocalAreas.csv!J:L,3,FALSE),ServiceAreas.csv!F:J,5,FALSE)</f>
        <v>10</v>
      </c>
      <c r="G193" t="str">
        <f t="shared" si="32"/>
        <v>rg:{'id': '200074'}</v>
      </c>
      <c r="H193" t="s">
        <v>7736</v>
      </c>
      <c r="I193" t="s">
        <v>5649</v>
      </c>
      <c r="J193">
        <f>VLOOKUP(I193&amp;"-"&amp;F193,DistrictEquipmentTypes.csv!J:K,2,FALSE)</f>
        <v>200006</v>
      </c>
      <c r="K193" t="str">
        <f t="shared" si="33"/>
        <v>rg:{'id': '200006'}</v>
      </c>
      <c r="L193">
        <f t="shared" si="34"/>
        <v>1</v>
      </c>
      <c r="M193" t="str">
        <f>VLOOKUP(C193,Owners.csv!C:K,9,FALSE)&amp;TEXT(Equipment.csv!L193,"0000")</f>
        <v>MANC0001</v>
      </c>
      <c r="N193" t="s">
        <v>5399</v>
      </c>
      <c r="O193" t="s">
        <v>6809</v>
      </c>
      <c r="P193">
        <v>1996</v>
      </c>
      <c r="Q193">
        <v>154</v>
      </c>
      <c r="R193" t="s">
        <v>6660</v>
      </c>
      <c r="S193" s="1">
        <v>40602</v>
      </c>
      <c r="T193" s="1">
        <v>40604</v>
      </c>
      <c r="U193" t="str">
        <f t="shared" ca="1" si="35"/>
        <v>rg:True</v>
      </c>
      <c r="V193" t="str">
        <f t="shared" ca="1" si="36"/>
        <v>This equipment should be archived</v>
      </c>
      <c r="W193" t="s">
        <v>7199</v>
      </c>
      <c r="X193" t="s">
        <v>76</v>
      </c>
      <c r="Y193" t="s">
        <v>76</v>
      </c>
      <c r="Z193" t="s">
        <v>76</v>
      </c>
      <c r="AA193" t="s">
        <v>7546</v>
      </c>
      <c r="AB193" t="s">
        <v>7366</v>
      </c>
      <c r="AC193">
        <v>0</v>
      </c>
      <c r="AD193" t="str">
        <f t="shared" ca="1" si="37"/>
        <v>rg:False</v>
      </c>
      <c r="AE193" t="str">
        <f t="shared" ca="1" si="44"/>
        <v>rg:None</v>
      </c>
      <c r="AF193" s="1">
        <v>42481</v>
      </c>
      <c r="AG193" s="4">
        <f t="shared" ca="1" si="39"/>
        <v>399.83333333333337</v>
      </c>
      <c r="AH193" s="4">
        <f t="shared" si="40"/>
        <v>5.0805555555555557</v>
      </c>
      <c r="AI193">
        <f t="shared" ca="1" si="41"/>
        <v>130</v>
      </c>
      <c r="AJ193">
        <f t="shared" ca="1" si="42"/>
        <v>141</v>
      </c>
      <c r="AK193">
        <f t="shared" ca="1" si="43"/>
        <v>14</v>
      </c>
      <c r="AL193" t="s">
        <v>326</v>
      </c>
      <c r="AO193" t="s">
        <v>76</v>
      </c>
      <c r="AP193" t="s">
        <v>6508</v>
      </c>
      <c r="AQ193" t="s">
        <v>6508</v>
      </c>
      <c r="AR193" t="s">
        <v>6508</v>
      </c>
      <c r="AS193" t="s">
        <v>6508</v>
      </c>
    </row>
    <row r="194" spans="1:45" x14ac:dyDescent="0.3">
      <c r="A194" t="s">
        <v>5628</v>
      </c>
      <c r="B194">
        <f t="shared" ref="B194:B204" si="45">IF(ISNUMBER(B193),B193+1,200000)</f>
        <v>200192</v>
      </c>
      <c r="C194">
        <v>200054</v>
      </c>
      <c r="D194" t="str">
        <f t="shared" ref="D194:D204" si="46">"rg:{'id': '"&amp;C194&amp;"'}"</f>
        <v>rg:{'id': '200054'}</v>
      </c>
      <c r="E194">
        <f>VLOOKUP(C194,Owners.csv!C:J,6,FALSE)</f>
        <v>200074</v>
      </c>
      <c r="F194">
        <f>VLOOKUP(VLOOKUP(E194,LocalAreas.csv!J:L,3,FALSE),ServiceAreas.csv!F:J,5,FALSE)</f>
        <v>10</v>
      </c>
      <c r="G194" t="str">
        <f t="shared" ref="G194:G204" si="47">"rg:{'id': '"&amp;E194&amp;"'}"</f>
        <v>rg:{'id': '200074'}</v>
      </c>
      <c r="H194" t="s">
        <v>7732</v>
      </c>
      <c r="I194" t="s">
        <v>5635</v>
      </c>
      <c r="J194">
        <f>VLOOKUP(I194&amp;"-"&amp;F194,DistrictEquipmentTypes.csv!J:K,2,FALSE)</f>
        <v>200001</v>
      </c>
      <c r="K194" t="str">
        <f t="shared" ref="K194:K204" si="48">"rg:{'id': '"&amp;J194&amp;"'}"</f>
        <v>rg:{'id': '200001'}</v>
      </c>
      <c r="L194">
        <f t="shared" ref="L194:L204" si="49">IF(C194=C193,L193+1,1)</f>
        <v>2</v>
      </c>
      <c r="M194" t="str">
        <f>VLOOKUP(C194,Owners.csv!C:K,9,FALSE)&amp;TEXT(Equipment.csv!L194,"0000")</f>
        <v>MANC0002</v>
      </c>
      <c r="N194" t="s">
        <v>5399</v>
      </c>
      <c r="O194" t="s">
        <v>6835</v>
      </c>
      <c r="P194">
        <v>1990</v>
      </c>
      <c r="Q194">
        <v>180</v>
      </c>
      <c r="R194" t="s">
        <v>6660</v>
      </c>
      <c r="S194" s="1">
        <v>40978</v>
      </c>
      <c r="T194" s="1">
        <v>40995</v>
      </c>
      <c r="U194" t="str">
        <f t="shared" ref="U194:U204" ca="1" si="50">IF(RANDBETWEEN(1,10)&gt;1,"rg:False","rg:True")</f>
        <v>rg:False</v>
      </c>
      <c r="V194" t="str">
        <f t="shared" ref="V194:V204" ca="1" si="51">IF(U194="rg:True","This equipment should be archived","rg:None")</f>
        <v>rg:None</v>
      </c>
      <c r="W194" t="s">
        <v>7225</v>
      </c>
      <c r="X194" t="s">
        <v>76</v>
      </c>
      <c r="Y194" t="s">
        <v>76</v>
      </c>
      <c r="Z194" t="s">
        <v>76</v>
      </c>
      <c r="AA194" t="s">
        <v>7572</v>
      </c>
      <c r="AB194" t="s">
        <v>7381</v>
      </c>
      <c r="AC194">
        <v>0</v>
      </c>
      <c r="AD194" t="str">
        <f t="shared" ref="AD194:AD204" ca="1" si="52">IF(RANDBETWEEN(1,20)&gt;1,"rg:False","rg:True")</f>
        <v>rg:False</v>
      </c>
      <c r="AE194" t="str">
        <f t="shared" ref="AE194:AE197" ca="1" si="53">IF(AD194="rg:True","Seniority overridden to test things","rg:None")</f>
        <v>rg:None</v>
      </c>
      <c r="AF194" s="1">
        <v>42481</v>
      </c>
      <c r="AG194" s="4">
        <f t="shared" ref="AG194:AG204" ca="1" si="54">IF(I194="Dump Truck",60,30)*AH194+(AVERAGE(AI194:AK194))</f>
        <v>227.66666666666666</v>
      </c>
      <c r="AH194" s="4">
        <f t="shared" ref="AH194:AH204" si="55">YEARFRAC(DATE("2016","4","1"),T194)</f>
        <v>4.0111111111111111</v>
      </c>
      <c r="AI194">
        <f t="shared" ref="AI194:AI204" ca="1" si="56">IF(AH194&lt;1,0,RANDBETWEEN(0,200))</f>
        <v>47</v>
      </c>
      <c r="AJ194">
        <f t="shared" ref="AJ194:AJ204" ca="1" si="57">IF(AH194&lt;2,0,RANDBETWEEN(0,200))</f>
        <v>129</v>
      </c>
      <c r="AK194">
        <f t="shared" ref="AK194:AK204" ca="1" si="58">IF(AH194&lt;3,0,RANDBETWEEN(0,200))</f>
        <v>146</v>
      </c>
      <c r="AL194" t="s">
        <v>326</v>
      </c>
      <c r="AO194" t="s">
        <v>76</v>
      </c>
      <c r="AP194" t="s">
        <v>6508</v>
      </c>
      <c r="AQ194" t="s">
        <v>6508</v>
      </c>
      <c r="AR194" t="s">
        <v>6508</v>
      </c>
      <c r="AS194" t="s">
        <v>6508</v>
      </c>
    </row>
    <row r="195" spans="1:45" x14ac:dyDescent="0.3">
      <c r="A195" t="s">
        <v>5628</v>
      </c>
      <c r="B195">
        <f t="shared" si="45"/>
        <v>200193</v>
      </c>
      <c r="C195">
        <v>200054</v>
      </c>
      <c r="D195" t="str">
        <f t="shared" si="46"/>
        <v>rg:{'id': '200054'}</v>
      </c>
      <c r="E195">
        <f>VLOOKUP(C195,Owners.csv!C:J,6,FALSE)</f>
        <v>200074</v>
      </c>
      <c r="F195">
        <f>VLOOKUP(VLOOKUP(E195,LocalAreas.csv!J:L,3,FALSE),ServiceAreas.csv!F:J,5,FALSE)</f>
        <v>10</v>
      </c>
      <c r="G195" t="str">
        <f t="shared" si="47"/>
        <v>rg:{'id': '200074'}</v>
      </c>
      <c r="H195" t="s">
        <v>7689</v>
      </c>
      <c r="I195" t="s">
        <v>5534</v>
      </c>
      <c r="J195">
        <f>VLOOKUP(I195&amp;"-"&amp;F195,DistrictEquipmentTypes.csv!J:K,2,FALSE)</f>
        <v>200000</v>
      </c>
      <c r="K195" t="str">
        <f t="shared" si="48"/>
        <v>rg:{'id': '200000'}</v>
      </c>
      <c r="L195">
        <f t="shared" si="49"/>
        <v>3</v>
      </c>
      <c r="M195" t="str">
        <f>VLOOKUP(C195,Owners.csv!C:K,9,FALSE)&amp;TEXT(Equipment.csv!L195,"0000")</f>
        <v>MANC0003</v>
      </c>
      <c r="N195" t="s">
        <v>5656</v>
      </c>
      <c r="O195" t="s">
        <v>7620</v>
      </c>
      <c r="P195">
        <v>2008</v>
      </c>
      <c r="Q195">
        <v>700</v>
      </c>
      <c r="R195" t="s">
        <v>6660</v>
      </c>
      <c r="S195" s="1">
        <v>41493</v>
      </c>
      <c r="T195" s="1">
        <v>39069</v>
      </c>
      <c r="U195" t="str">
        <f t="shared" ca="1" si="50"/>
        <v>rg:False</v>
      </c>
      <c r="V195" t="str">
        <f t="shared" ca="1" si="51"/>
        <v>rg:None</v>
      </c>
      <c r="W195" t="s">
        <v>7622</v>
      </c>
      <c r="X195" t="s">
        <v>76</v>
      </c>
      <c r="Y195" t="s">
        <v>76</v>
      </c>
      <c r="Z195" t="s">
        <v>76</v>
      </c>
      <c r="AA195">
        <v>123.456</v>
      </c>
      <c r="AB195" s="1">
        <v>43056</v>
      </c>
      <c r="AC195">
        <v>0</v>
      </c>
      <c r="AD195" t="str">
        <f t="shared" ca="1" si="52"/>
        <v>rg:False</v>
      </c>
      <c r="AE195" t="str">
        <f t="shared" ca="1" si="53"/>
        <v>rg:None</v>
      </c>
      <c r="AF195" s="1">
        <v>42490</v>
      </c>
      <c r="AG195" s="4">
        <f t="shared" ca="1" si="54"/>
        <v>352.58333333333337</v>
      </c>
      <c r="AH195" s="4">
        <f t="shared" si="55"/>
        <v>9.2861111111111114</v>
      </c>
      <c r="AI195">
        <f t="shared" ca="1" si="56"/>
        <v>11</v>
      </c>
      <c r="AJ195">
        <f t="shared" ca="1" si="57"/>
        <v>145</v>
      </c>
      <c r="AK195">
        <f t="shared" ca="1" si="58"/>
        <v>66</v>
      </c>
      <c r="AL195" t="s">
        <v>326</v>
      </c>
      <c r="AO195" t="s">
        <v>76</v>
      </c>
      <c r="AP195" t="s">
        <v>6508</v>
      </c>
      <c r="AQ195" t="s">
        <v>6508</v>
      </c>
      <c r="AR195" t="s">
        <v>6508</v>
      </c>
      <c r="AS195" t="s">
        <v>6508</v>
      </c>
    </row>
    <row r="196" spans="1:45" x14ac:dyDescent="0.3">
      <c r="A196" t="s">
        <v>5628</v>
      </c>
      <c r="B196">
        <f t="shared" si="45"/>
        <v>200194</v>
      </c>
      <c r="C196">
        <v>200055</v>
      </c>
      <c r="D196" t="str">
        <f t="shared" si="46"/>
        <v>rg:{'id': '200055'}</v>
      </c>
      <c r="E196">
        <f>VLOOKUP(C196,Owners.csv!C:J,6,FALSE)</f>
        <v>200074</v>
      </c>
      <c r="F196">
        <f>VLOOKUP(VLOOKUP(E196,LocalAreas.csv!J:L,3,FALSE),ServiceAreas.csv!F:J,5,FALSE)</f>
        <v>10</v>
      </c>
      <c r="G196" t="str">
        <f t="shared" si="47"/>
        <v>rg:{'id': '200074'}</v>
      </c>
      <c r="H196" t="s">
        <v>7639</v>
      </c>
      <c r="I196" t="s">
        <v>5649</v>
      </c>
      <c r="J196">
        <f>VLOOKUP(I196&amp;"-"&amp;F196,DistrictEquipmentTypes.csv!J:K,2,FALSE)</f>
        <v>200006</v>
      </c>
      <c r="K196" t="str">
        <f t="shared" si="48"/>
        <v>rg:{'id': '200006'}</v>
      </c>
      <c r="L196">
        <f t="shared" si="49"/>
        <v>1</v>
      </c>
      <c r="M196" t="str">
        <f>VLOOKUP(C196,Owners.csv!C:K,9,FALSE)&amp;TEXT(Equipment.csv!L196,"0000")</f>
        <v>MCDU0001</v>
      </c>
      <c r="N196" t="s">
        <v>5399</v>
      </c>
      <c r="O196" t="s">
        <v>6810</v>
      </c>
      <c r="P196">
        <v>1984</v>
      </c>
      <c r="Q196">
        <v>155</v>
      </c>
      <c r="R196" t="s">
        <v>6660</v>
      </c>
      <c r="S196" s="1">
        <v>40236</v>
      </c>
      <c r="T196" s="1">
        <v>40251</v>
      </c>
      <c r="U196" t="str">
        <f t="shared" ca="1" si="50"/>
        <v>rg:False</v>
      </c>
      <c r="V196" t="str">
        <f t="shared" ca="1" si="51"/>
        <v>rg:None</v>
      </c>
      <c r="W196" t="s">
        <v>7200</v>
      </c>
      <c r="X196" t="s">
        <v>76</v>
      </c>
      <c r="Y196" t="s">
        <v>76</v>
      </c>
      <c r="Z196" t="s">
        <v>76</v>
      </c>
      <c r="AA196" t="s">
        <v>7547</v>
      </c>
      <c r="AB196" t="s">
        <v>7367</v>
      </c>
      <c r="AC196">
        <v>0</v>
      </c>
      <c r="AD196" t="str">
        <f t="shared" ca="1" si="52"/>
        <v>rg:False</v>
      </c>
      <c r="AE196" t="str">
        <f t="shared" ca="1" si="53"/>
        <v>rg:None</v>
      </c>
      <c r="AF196" s="1">
        <v>42481</v>
      </c>
      <c r="AG196" s="4">
        <f t="shared" ca="1" si="54"/>
        <v>417.83333333333337</v>
      </c>
      <c r="AH196" s="4">
        <f t="shared" si="55"/>
        <v>6.0472222222222225</v>
      </c>
      <c r="AI196">
        <f t="shared" ca="1" si="56"/>
        <v>43</v>
      </c>
      <c r="AJ196">
        <f t="shared" ca="1" si="57"/>
        <v>22</v>
      </c>
      <c r="AK196">
        <f t="shared" ca="1" si="58"/>
        <v>100</v>
      </c>
      <c r="AL196" t="s">
        <v>326</v>
      </c>
      <c r="AO196" t="s">
        <v>76</v>
      </c>
      <c r="AP196" t="s">
        <v>6508</v>
      </c>
      <c r="AQ196" t="s">
        <v>6508</v>
      </c>
      <c r="AR196" t="s">
        <v>6508</v>
      </c>
      <c r="AS196" t="s">
        <v>6508</v>
      </c>
    </row>
    <row r="197" spans="1:45" x14ac:dyDescent="0.3">
      <c r="A197" t="s">
        <v>5628</v>
      </c>
      <c r="B197">
        <f t="shared" si="45"/>
        <v>200195</v>
      </c>
      <c r="C197">
        <v>200055</v>
      </c>
      <c r="D197" t="str">
        <f t="shared" si="46"/>
        <v>rg:{'id': '200055'}</v>
      </c>
      <c r="E197">
        <f>VLOOKUP(C197,Owners.csv!C:J,6,FALSE)</f>
        <v>200074</v>
      </c>
      <c r="F197">
        <f>VLOOKUP(VLOOKUP(E197,LocalAreas.csv!J:L,3,FALSE),ServiceAreas.csv!F:J,5,FALSE)</f>
        <v>10</v>
      </c>
      <c r="G197" t="str">
        <f t="shared" si="47"/>
        <v>rg:{'id': '200074'}</v>
      </c>
      <c r="H197" t="s">
        <v>7745</v>
      </c>
      <c r="I197" t="s">
        <v>5635</v>
      </c>
      <c r="J197">
        <f>VLOOKUP(I197&amp;"-"&amp;F197,DistrictEquipmentTypes.csv!J:K,2,FALSE)</f>
        <v>200001</v>
      </c>
      <c r="K197" t="str">
        <f t="shared" si="48"/>
        <v>rg:{'id': '200001'}</v>
      </c>
      <c r="L197">
        <f t="shared" si="49"/>
        <v>2</v>
      </c>
      <c r="M197" t="str">
        <f>VLOOKUP(C197,Owners.csv!C:K,9,FALSE)&amp;TEXT(Equipment.csv!L197,"0000")</f>
        <v>MCDU0002</v>
      </c>
      <c r="N197" t="s">
        <v>5399</v>
      </c>
      <c r="O197" t="s">
        <v>6836</v>
      </c>
      <c r="P197">
        <v>1978</v>
      </c>
      <c r="Q197">
        <v>181</v>
      </c>
      <c r="R197" t="s">
        <v>6660</v>
      </c>
      <c r="S197" s="1">
        <v>40190</v>
      </c>
      <c r="T197" s="1">
        <v>40217</v>
      </c>
      <c r="U197" t="str">
        <f t="shared" ca="1" si="50"/>
        <v>rg:False</v>
      </c>
      <c r="V197" t="str">
        <f t="shared" ca="1" si="51"/>
        <v>rg:None</v>
      </c>
      <c r="W197" t="s">
        <v>7226</v>
      </c>
      <c r="X197" t="s">
        <v>76</v>
      </c>
      <c r="Y197" t="s">
        <v>76</v>
      </c>
      <c r="Z197" t="s">
        <v>76</v>
      </c>
      <c r="AA197" t="s">
        <v>7573</v>
      </c>
      <c r="AB197" t="s">
        <v>7382</v>
      </c>
      <c r="AC197">
        <v>0</v>
      </c>
      <c r="AD197" t="str">
        <f t="shared" ca="1" si="52"/>
        <v>rg:False</v>
      </c>
      <c r="AE197" t="str">
        <f t="shared" ca="1" si="53"/>
        <v>rg:None</v>
      </c>
      <c r="AF197" s="1">
        <v>42481</v>
      </c>
      <c r="AG197" s="4">
        <f t="shared" ca="1" si="54"/>
        <v>331.75</v>
      </c>
      <c r="AH197" s="4">
        <f t="shared" si="55"/>
        <v>6.1472222222222221</v>
      </c>
      <c r="AI197">
        <f t="shared" ca="1" si="56"/>
        <v>172</v>
      </c>
      <c r="AJ197">
        <f t="shared" ca="1" si="57"/>
        <v>139</v>
      </c>
      <c r="AK197">
        <f t="shared" ca="1" si="58"/>
        <v>131</v>
      </c>
      <c r="AL197" t="s">
        <v>326</v>
      </c>
      <c r="AO197" t="s">
        <v>76</v>
      </c>
      <c r="AP197" t="s">
        <v>6508</v>
      </c>
      <c r="AQ197" t="s">
        <v>6508</v>
      </c>
      <c r="AR197" t="s">
        <v>6508</v>
      </c>
      <c r="AS197" t="s">
        <v>6508</v>
      </c>
    </row>
    <row r="198" spans="1:45" x14ac:dyDescent="0.3">
      <c r="A198" t="s">
        <v>5628</v>
      </c>
      <c r="B198">
        <f t="shared" si="45"/>
        <v>200196</v>
      </c>
      <c r="C198">
        <v>200055</v>
      </c>
      <c r="D198" t="str">
        <f t="shared" si="46"/>
        <v>rg:{'id': '200055'}</v>
      </c>
      <c r="E198">
        <f>VLOOKUP(C198,Owners.csv!C:J,6,FALSE)</f>
        <v>200074</v>
      </c>
      <c r="F198">
        <f>VLOOKUP(VLOOKUP(E198,LocalAreas.csv!J:L,3,FALSE),ServiceAreas.csv!F:J,5,FALSE)</f>
        <v>10</v>
      </c>
      <c r="G198" t="str">
        <f t="shared" si="47"/>
        <v>rg:{'id': '200074'}</v>
      </c>
      <c r="H198" t="s">
        <v>7709</v>
      </c>
      <c r="I198" t="s">
        <v>5534</v>
      </c>
      <c r="J198">
        <f>VLOOKUP(I198&amp;"-"&amp;F198,DistrictEquipmentTypes.csv!J:K,2,FALSE)</f>
        <v>200000</v>
      </c>
      <c r="K198" t="str">
        <f t="shared" si="48"/>
        <v>rg:{'id': '200000'}</v>
      </c>
      <c r="L198">
        <f t="shared" si="49"/>
        <v>3</v>
      </c>
      <c r="M198" t="str">
        <f>VLOOKUP(C198,Owners.csv!C:K,9,FALSE)&amp;TEXT(Equipment.csv!L198,"0000")</f>
        <v>MCDU0003</v>
      </c>
      <c r="N198" t="s">
        <v>5656</v>
      </c>
      <c r="O198" t="s">
        <v>7625</v>
      </c>
      <c r="P198">
        <v>1977</v>
      </c>
      <c r="Q198">
        <v>10</v>
      </c>
      <c r="R198" t="s">
        <v>6660</v>
      </c>
      <c r="S198" s="1">
        <v>39711</v>
      </c>
      <c r="T198" s="1">
        <v>37909</v>
      </c>
      <c r="U198" t="str">
        <f t="shared" ca="1" si="50"/>
        <v>rg:False</v>
      </c>
      <c r="V198" t="str">
        <f t="shared" ca="1" si="51"/>
        <v>rg:None</v>
      </c>
      <c r="W198" t="s">
        <v>7627</v>
      </c>
      <c r="X198" t="s">
        <v>76</v>
      </c>
      <c r="Y198" t="s">
        <v>76</v>
      </c>
      <c r="Z198" t="s">
        <v>76</v>
      </c>
      <c r="AA198" t="s">
        <v>7631</v>
      </c>
      <c r="AB198" t="s">
        <v>7251</v>
      </c>
      <c r="AC198">
        <v>0</v>
      </c>
      <c r="AD198" t="str">
        <f t="shared" ca="1" si="52"/>
        <v>rg:False</v>
      </c>
      <c r="AE198" t="s">
        <v>76</v>
      </c>
      <c r="AF198" s="1">
        <v>42491</v>
      </c>
      <c r="AG198" s="4">
        <f t="shared" ca="1" si="54"/>
        <v>529.16666666666663</v>
      </c>
      <c r="AH198" s="4">
        <f t="shared" si="55"/>
        <v>12.46111111111111</v>
      </c>
      <c r="AI198">
        <f t="shared" ca="1" si="56"/>
        <v>179</v>
      </c>
      <c r="AJ198">
        <f t="shared" ca="1" si="57"/>
        <v>143</v>
      </c>
      <c r="AK198">
        <f t="shared" ca="1" si="58"/>
        <v>144</v>
      </c>
      <c r="AL198" t="s">
        <v>326</v>
      </c>
      <c r="AO198" t="s">
        <v>76</v>
      </c>
      <c r="AP198" t="s">
        <v>6508</v>
      </c>
      <c r="AQ198" t="s">
        <v>6508</v>
      </c>
      <c r="AR198" t="s">
        <v>6508</v>
      </c>
      <c r="AS198" t="s">
        <v>6508</v>
      </c>
    </row>
    <row r="199" spans="1:45" x14ac:dyDescent="0.3">
      <c r="A199" t="s">
        <v>5628</v>
      </c>
      <c r="B199">
        <f t="shared" si="45"/>
        <v>200197</v>
      </c>
      <c r="C199">
        <v>200056</v>
      </c>
      <c r="D199" t="str">
        <f t="shared" si="46"/>
        <v>rg:{'id': '200056'}</v>
      </c>
      <c r="E199">
        <f>VLOOKUP(C199,Owners.csv!C:J,6,FALSE)</f>
        <v>200074</v>
      </c>
      <c r="F199">
        <f>VLOOKUP(VLOOKUP(E199,LocalAreas.csv!J:L,3,FALSE),ServiceAreas.csv!F:J,5,FALSE)</f>
        <v>10</v>
      </c>
      <c r="G199" t="str">
        <f t="shared" si="47"/>
        <v>rg:{'id': '200074'}</v>
      </c>
      <c r="H199" t="s">
        <v>7737</v>
      </c>
      <c r="I199" t="s">
        <v>5649</v>
      </c>
      <c r="J199">
        <f>VLOOKUP(I199&amp;"-"&amp;F199,DistrictEquipmentTypes.csv!J:K,2,FALSE)</f>
        <v>200006</v>
      </c>
      <c r="K199" t="str">
        <f t="shared" si="48"/>
        <v>rg:{'id': '200006'}</v>
      </c>
      <c r="L199">
        <f t="shared" si="49"/>
        <v>1</v>
      </c>
      <c r="M199" t="str">
        <f>VLOOKUP(C199,Owners.csv!C:K,9,FALSE)&amp;TEXT(Equipment.csv!L199,"0000")</f>
        <v>MEGA0001</v>
      </c>
      <c r="N199" t="s">
        <v>5399</v>
      </c>
      <c r="O199" t="s">
        <v>6811</v>
      </c>
      <c r="P199">
        <v>1991</v>
      </c>
      <c r="Q199">
        <v>156</v>
      </c>
      <c r="R199" t="s">
        <v>6660</v>
      </c>
      <c r="S199" s="1">
        <v>41091</v>
      </c>
      <c r="T199" s="1">
        <v>41110</v>
      </c>
      <c r="U199" t="str">
        <f t="shared" ca="1" si="50"/>
        <v>rg:False</v>
      </c>
      <c r="V199" t="str">
        <f t="shared" ca="1" si="51"/>
        <v>rg:None</v>
      </c>
      <c r="W199" t="s">
        <v>7201</v>
      </c>
      <c r="X199" t="s">
        <v>76</v>
      </c>
      <c r="Y199" t="s">
        <v>76</v>
      </c>
      <c r="Z199" t="s">
        <v>76</v>
      </c>
      <c r="AA199" t="s">
        <v>7548</v>
      </c>
      <c r="AB199" t="s">
        <v>7368</v>
      </c>
      <c r="AC199">
        <v>0</v>
      </c>
      <c r="AD199" t="str">
        <f t="shared" ca="1" si="52"/>
        <v>rg:False</v>
      </c>
      <c r="AE199" t="str">
        <f ca="1">IF(AD199="rg:True","Seniority overridden to test things","rg:None")</f>
        <v>rg:None</v>
      </c>
      <c r="AF199" s="1">
        <v>42481</v>
      </c>
      <c r="AG199" s="4">
        <f t="shared" ca="1" si="54"/>
        <v>267.83333333333337</v>
      </c>
      <c r="AH199" s="4">
        <f t="shared" si="55"/>
        <v>3.6972222222222224</v>
      </c>
      <c r="AI199">
        <f t="shared" ca="1" si="56"/>
        <v>104</v>
      </c>
      <c r="AJ199">
        <f t="shared" ca="1" si="57"/>
        <v>11</v>
      </c>
      <c r="AK199">
        <f t="shared" ca="1" si="58"/>
        <v>23</v>
      </c>
      <c r="AL199" t="s">
        <v>326</v>
      </c>
      <c r="AO199" t="s">
        <v>76</v>
      </c>
      <c r="AP199" t="s">
        <v>6508</v>
      </c>
      <c r="AQ199" t="s">
        <v>6508</v>
      </c>
      <c r="AR199" t="s">
        <v>6508</v>
      </c>
      <c r="AS199" t="s">
        <v>6508</v>
      </c>
    </row>
    <row r="200" spans="1:45" x14ac:dyDescent="0.3">
      <c r="A200" t="s">
        <v>5628</v>
      </c>
      <c r="B200">
        <f t="shared" si="45"/>
        <v>200198</v>
      </c>
      <c r="C200">
        <v>200056</v>
      </c>
      <c r="D200" t="str">
        <f t="shared" si="46"/>
        <v>rg:{'id': '200056'}</v>
      </c>
      <c r="E200">
        <f>VLOOKUP(C200,Owners.csv!C:J,6,FALSE)</f>
        <v>200074</v>
      </c>
      <c r="F200">
        <f>VLOOKUP(VLOOKUP(E200,LocalAreas.csv!J:L,3,FALSE),ServiceAreas.csv!F:J,5,FALSE)</f>
        <v>10</v>
      </c>
      <c r="G200" t="str">
        <f t="shared" si="47"/>
        <v>rg:{'id': '200074'}</v>
      </c>
      <c r="H200" t="s">
        <v>7654</v>
      </c>
      <c r="I200" t="s">
        <v>5635</v>
      </c>
      <c r="J200">
        <f>VLOOKUP(I200&amp;"-"&amp;F200,DistrictEquipmentTypes.csv!J:K,2,FALSE)</f>
        <v>200001</v>
      </c>
      <c r="K200" t="str">
        <f t="shared" si="48"/>
        <v>rg:{'id': '200001'}</v>
      </c>
      <c r="L200">
        <f t="shared" si="49"/>
        <v>2</v>
      </c>
      <c r="M200" t="str">
        <f>VLOOKUP(C200,Owners.csv!C:K,9,FALSE)&amp;TEXT(Equipment.csv!L200,"0000")</f>
        <v>MEGA0002</v>
      </c>
      <c r="N200" t="s">
        <v>5399</v>
      </c>
      <c r="O200" t="s">
        <v>6837</v>
      </c>
      <c r="P200">
        <v>1975</v>
      </c>
      <c r="Q200">
        <v>182</v>
      </c>
      <c r="R200" t="s">
        <v>6660</v>
      </c>
      <c r="S200" s="1">
        <v>40019</v>
      </c>
      <c r="T200" s="1">
        <v>40041</v>
      </c>
      <c r="U200" t="str">
        <f t="shared" ca="1" si="50"/>
        <v>rg:False</v>
      </c>
      <c r="V200" t="str">
        <f t="shared" ca="1" si="51"/>
        <v>rg:None</v>
      </c>
      <c r="W200" t="s">
        <v>7227</v>
      </c>
      <c r="X200" t="s">
        <v>76</v>
      </c>
      <c r="Y200" t="s">
        <v>76</v>
      </c>
      <c r="Z200" t="s">
        <v>76</v>
      </c>
      <c r="AA200" t="s">
        <v>7574</v>
      </c>
      <c r="AB200" t="s">
        <v>7360</v>
      </c>
      <c r="AC200">
        <v>0</v>
      </c>
      <c r="AD200" t="str">
        <f t="shared" ca="1" si="52"/>
        <v>rg:False</v>
      </c>
      <c r="AE200" t="str">
        <f ca="1">IF(AD200="rg:True","Seniority overridden to test things","rg:None")</f>
        <v>rg:None</v>
      </c>
      <c r="AF200" s="1">
        <v>42481</v>
      </c>
      <c r="AG200" s="4">
        <f t="shared" ca="1" si="54"/>
        <v>352.08333333333337</v>
      </c>
      <c r="AH200" s="4">
        <f t="shared" si="55"/>
        <v>6.625</v>
      </c>
      <c r="AI200">
        <f t="shared" ca="1" si="56"/>
        <v>143</v>
      </c>
      <c r="AJ200">
        <f t="shared" ca="1" si="57"/>
        <v>160</v>
      </c>
      <c r="AK200">
        <f t="shared" ca="1" si="58"/>
        <v>157</v>
      </c>
      <c r="AL200" t="s">
        <v>326</v>
      </c>
      <c r="AO200" t="s">
        <v>76</v>
      </c>
      <c r="AP200" t="s">
        <v>6508</v>
      </c>
      <c r="AQ200" t="s">
        <v>6508</v>
      </c>
      <c r="AR200" t="s">
        <v>6508</v>
      </c>
      <c r="AS200" t="s">
        <v>6508</v>
      </c>
    </row>
    <row r="201" spans="1:45" x14ac:dyDescent="0.3">
      <c r="A201" t="s">
        <v>5628</v>
      </c>
      <c r="B201">
        <f t="shared" si="45"/>
        <v>200199</v>
      </c>
      <c r="C201">
        <v>200056</v>
      </c>
      <c r="D201" t="str">
        <f t="shared" si="46"/>
        <v>rg:{'id': '200056'}</v>
      </c>
      <c r="E201">
        <f>VLOOKUP(C201,Owners.csv!C:J,6,FALSE)</f>
        <v>200074</v>
      </c>
      <c r="F201">
        <f>VLOOKUP(VLOOKUP(E201,LocalAreas.csv!J:L,3,FALSE),ServiceAreas.csv!F:J,5,FALSE)</f>
        <v>10</v>
      </c>
      <c r="G201" t="str">
        <f t="shared" si="47"/>
        <v>rg:{'id': '200074'}</v>
      </c>
      <c r="H201" t="s">
        <v>7726</v>
      </c>
      <c r="I201" t="s">
        <v>5534</v>
      </c>
      <c r="J201">
        <f>VLOOKUP(I201&amp;"-"&amp;F201,DistrictEquipmentTypes.csv!J:K,2,FALSE)</f>
        <v>200000</v>
      </c>
      <c r="K201" t="str">
        <f t="shared" si="48"/>
        <v>rg:{'id': '200000'}</v>
      </c>
      <c r="L201">
        <f t="shared" si="49"/>
        <v>3</v>
      </c>
      <c r="M201" t="str">
        <f>VLOOKUP(C201,Owners.csv!C:K,9,FALSE)&amp;TEXT(Equipment.csv!L201,"0000")</f>
        <v>MEGA0003</v>
      </c>
      <c r="N201" t="s">
        <v>5465</v>
      </c>
      <c r="O201" t="s">
        <v>5650</v>
      </c>
      <c r="P201">
        <v>1983</v>
      </c>
      <c r="Q201">
        <v>10</v>
      </c>
      <c r="R201" t="s">
        <v>6660</v>
      </c>
      <c r="S201" s="1">
        <v>41447</v>
      </c>
      <c r="T201" s="1">
        <v>40680</v>
      </c>
      <c r="U201" t="str">
        <f t="shared" ca="1" si="50"/>
        <v>rg:False</v>
      </c>
      <c r="V201" t="str">
        <f t="shared" ca="1" si="51"/>
        <v>rg:None</v>
      </c>
      <c r="W201" t="s">
        <v>7629</v>
      </c>
      <c r="X201" t="s">
        <v>76</v>
      </c>
      <c r="Y201" t="s">
        <v>76</v>
      </c>
      <c r="Z201" t="s">
        <v>76</v>
      </c>
      <c r="AA201" t="s">
        <v>7630</v>
      </c>
      <c r="AB201" t="s">
        <v>7251</v>
      </c>
      <c r="AC201">
        <v>0</v>
      </c>
      <c r="AD201" t="str">
        <f t="shared" ca="1" si="52"/>
        <v>rg:False</v>
      </c>
      <c r="AE201" t="s">
        <v>76</v>
      </c>
      <c r="AF201" s="1">
        <v>42492</v>
      </c>
      <c r="AG201" s="4">
        <f t="shared" ca="1" si="54"/>
        <v>219.16666666666666</v>
      </c>
      <c r="AH201" s="4">
        <f t="shared" si="55"/>
        <v>4.8722222222222218</v>
      </c>
      <c r="AI201">
        <f t="shared" ca="1" si="56"/>
        <v>85</v>
      </c>
      <c r="AJ201">
        <f t="shared" ca="1" si="57"/>
        <v>42</v>
      </c>
      <c r="AK201">
        <f t="shared" ca="1" si="58"/>
        <v>92</v>
      </c>
      <c r="AL201" t="s">
        <v>326</v>
      </c>
      <c r="AO201" t="s">
        <v>76</v>
      </c>
      <c r="AP201" t="s">
        <v>6508</v>
      </c>
      <c r="AQ201" t="s">
        <v>6508</v>
      </c>
      <c r="AR201" t="s">
        <v>6508</v>
      </c>
      <c r="AS201" t="s">
        <v>6508</v>
      </c>
    </row>
    <row r="202" spans="1:45" x14ac:dyDescent="0.3">
      <c r="A202" t="s">
        <v>5628</v>
      </c>
      <c r="B202">
        <f t="shared" si="45"/>
        <v>200200</v>
      </c>
      <c r="C202">
        <v>200057</v>
      </c>
      <c r="D202" t="str">
        <f t="shared" si="46"/>
        <v>rg:{'id': '200057'}</v>
      </c>
      <c r="E202">
        <f>VLOOKUP(C202,Owners.csv!C:J,6,FALSE)</f>
        <v>200074</v>
      </c>
      <c r="F202">
        <f>VLOOKUP(VLOOKUP(E202,LocalAreas.csv!J:L,3,FALSE),ServiceAreas.csv!F:J,5,FALSE)</f>
        <v>10</v>
      </c>
      <c r="G202" t="str">
        <f t="shared" si="47"/>
        <v>rg:{'id': '200074'}</v>
      </c>
      <c r="H202" t="s">
        <v>7728</v>
      </c>
      <c r="I202" t="s">
        <v>5649</v>
      </c>
      <c r="J202">
        <f>VLOOKUP(I202&amp;"-"&amp;F202,DistrictEquipmentTypes.csv!J:K,2,FALSE)</f>
        <v>200006</v>
      </c>
      <c r="K202" t="str">
        <f t="shared" si="48"/>
        <v>rg:{'id': '200006'}</v>
      </c>
      <c r="L202">
        <f t="shared" si="49"/>
        <v>1</v>
      </c>
      <c r="M202" t="str">
        <f>VLOOKUP(C202,Owners.csv!C:K,9,FALSE)&amp;TEXT(Equipment.csv!L202,"0000")</f>
        <v>MERV0001</v>
      </c>
      <c r="N202" t="s">
        <v>5399</v>
      </c>
      <c r="O202" t="s">
        <v>6812</v>
      </c>
      <c r="P202">
        <v>2014</v>
      </c>
      <c r="Q202">
        <v>157</v>
      </c>
      <c r="R202" t="s">
        <v>6660</v>
      </c>
      <c r="S202" s="1">
        <v>41329</v>
      </c>
      <c r="T202" s="1">
        <v>41360</v>
      </c>
      <c r="U202" t="str">
        <f t="shared" ca="1" si="50"/>
        <v>rg:False</v>
      </c>
      <c r="V202" t="str">
        <f t="shared" ca="1" si="51"/>
        <v>rg:None</v>
      </c>
      <c r="W202" t="s">
        <v>7202</v>
      </c>
      <c r="X202" t="s">
        <v>76</v>
      </c>
      <c r="Y202" t="s">
        <v>76</v>
      </c>
      <c r="Z202" t="s">
        <v>76</v>
      </c>
      <c r="AA202" t="s">
        <v>7549</v>
      </c>
      <c r="AB202" t="s">
        <v>7369</v>
      </c>
      <c r="AC202">
        <v>0</v>
      </c>
      <c r="AD202" t="str">
        <f t="shared" ca="1" si="52"/>
        <v>rg:False</v>
      </c>
      <c r="AE202" t="str">
        <f ca="1">IF(AD202="rg:True","Seniority overridden to test things","rg:None")</f>
        <v>rg:None</v>
      </c>
      <c r="AF202" s="1">
        <v>42481</v>
      </c>
      <c r="AG202" s="4">
        <f t="shared" ca="1" si="54"/>
        <v>284</v>
      </c>
      <c r="AH202" s="4">
        <f t="shared" si="55"/>
        <v>3.0111111111111111</v>
      </c>
      <c r="AI202">
        <f t="shared" ca="1" si="56"/>
        <v>171</v>
      </c>
      <c r="AJ202">
        <f t="shared" ca="1" si="57"/>
        <v>78</v>
      </c>
      <c r="AK202">
        <f t="shared" ca="1" si="58"/>
        <v>61</v>
      </c>
      <c r="AL202" t="s">
        <v>326</v>
      </c>
      <c r="AO202" t="s">
        <v>76</v>
      </c>
      <c r="AP202" t="s">
        <v>6508</v>
      </c>
      <c r="AQ202" t="s">
        <v>6508</v>
      </c>
      <c r="AR202" t="s">
        <v>6508</v>
      </c>
      <c r="AS202" t="s">
        <v>6508</v>
      </c>
    </row>
    <row r="203" spans="1:45" x14ac:dyDescent="0.3">
      <c r="A203" t="s">
        <v>5628</v>
      </c>
      <c r="B203">
        <f t="shared" si="45"/>
        <v>200201</v>
      </c>
      <c r="C203">
        <v>200057</v>
      </c>
      <c r="D203" t="str">
        <f t="shared" si="46"/>
        <v>rg:{'id': '200057'}</v>
      </c>
      <c r="E203">
        <f>VLOOKUP(C203,Owners.csv!C:J,6,FALSE)</f>
        <v>200074</v>
      </c>
      <c r="F203">
        <f>VLOOKUP(VLOOKUP(E203,LocalAreas.csv!J:L,3,FALSE),ServiceAreas.csv!F:J,5,FALSE)</f>
        <v>10</v>
      </c>
      <c r="G203" t="str">
        <f t="shared" si="47"/>
        <v>rg:{'id': '200074'}</v>
      </c>
      <c r="H203" t="s">
        <v>7715</v>
      </c>
      <c r="I203" t="s">
        <v>5635</v>
      </c>
      <c r="J203">
        <f>VLOOKUP(I203&amp;"-"&amp;F203,DistrictEquipmentTypes.csv!J:K,2,FALSE)</f>
        <v>200001</v>
      </c>
      <c r="K203" t="str">
        <f t="shared" si="48"/>
        <v>rg:{'id': '200001'}</v>
      </c>
      <c r="L203">
        <f t="shared" si="49"/>
        <v>2</v>
      </c>
      <c r="M203" t="str">
        <f>VLOOKUP(C203,Owners.csv!C:K,9,FALSE)&amp;TEXT(Equipment.csv!L203,"0000")</f>
        <v>MERV0002</v>
      </c>
      <c r="N203" t="s">
        <v>5399</v>
      </c>
      <c r="O203" t="s">
        <v>6838</v>
      </c>
      <c r="P203">
        <v>2012</v>
      </c>
      <c r="Q203">
        <v>183</v>
      </c>
      <c r="R203" t="s">
        <v>6660</v>
      </c>
      <c r="S203" s="1">
        <v>39711</v>
      </c>
      <c r="T203" s="1">
        <v>39721</v>
      </c>
      <c r="U203" t="str">
        <f t="shared" ca="1" si="50"/>
        <v>rg:False</v>
      </c>
      <c r="V203" t="str">
        <f t="shared" ca="1" si="51"/>
        <v>rg:None</v>
      </c>
      <c r="W203" t="s">
        <v>7228</v>
      </c>
      <c r="X203" t="s">
        <v>76</v>
      </c>
      <c r="Y203" t="s">
        <v>76</v>
      </c>
      <c r="Z203" t="s">
        <v>76</v>
      </c>
      <c r="AA203" t="s">
        <v>7575</v>
      </c>
      <c r="AB203" t="s">
        <v>7337</v>
      </c>
      <c r="AC203">
        <v>0</v>
      </c>
      <c r="AD203" t="str">
        <f t="shared" ca="1" si="52"/>
        <v>rg:False</v>
      </c>
      <c r="AE203" t="str">
        <f ca="1">IF(AD203="rg:True","Seniority overridden to test things","rg:None")</f>
        <v>rg:None</v>
      </c>
      <c r="AF203" s="1">
        <v>42481</v>
      </c>
      <c r="AG203" s="4">
        <f t="shared" ca="1" si="54"/>
        <v>339.75</v>
      </c>
      <c r="AH203" s="4">
        <f t="shared" si="55"/>
        <v>7.5027777777777782</v>
      </c>
      <c r="AI203">
        <f t="shared" ca="1" si="56"/>
        <v>119</v>
      </c>
      <c r="AJ203">
        <f t="shared" ca="1" si="57"/>
        <v>170</v>
      </c>
      <c r="AK203">
        <f t="shared" ca="1" si="58"/>
        <v>55</v>
      </c>
      <c r="AL203" t="s">
        <v>326</v>
      </c>
      <c r="AO203" t="s">
        <v>76</v>
      </c>
      <c r="AP203" t="s">
        <v>6508</v>
      </c>
      <c r="AQ203" t="s">
        <v>6508</v>
      </c>
      <c r="AR203" t="s">
        <v>6508</v>
      </c>
      <c r="AS203" t="s">
        <v>6508</v>
      </c>
    </row>
    <row r="204" spans="1:45" x14ac:dyDescent="0.3">
      <c r="A204" t="s">
        <v>5628</v>
      </c>
      <c r="B204">
        <f t="shared" si="45"/>
        <v>200202</v>
      </c>
      <c r="C204">
        <v>200057</v>
      </c>
      <c r="D204" t="str">
        <f t="shared" si="46"/>
        <v>rg:{'id': '200057'}</v>
      </c>
      <c r="E204">
        <f>VLOOKUP(C204,Owners.csv!C:J,6,FALSE)</f>
        <v>200074</v>
      </c>
      <c r="F204">
        <f>VLOOKUP(VLOOKUP(E204,LocalAreas.csv!J:L,3,FALSE),ServiceAreas.csv!F:J,5,FALSE)</f>
        <v>10</v>
      </c>
      <c r="G204" t="str">
        <f t="shared" si="47"/>
        <v>rg:{'id': '200074'}</v>
      </c>
      <c r="H204" t="s">
        <v>7254</v>
      </c>
      <c r="I204" t="s">
        <v>5534</v>
      </c>
      <c r="J204">
        <f>VLOOKUP(I204&amp;"-"&amp;F204,DistrictEquipmentTypes.csv!J:K,2,FALSE)</f>
        <v>200000</v>
      </c>
      <c r="K204" t="str">
        <f t="shared" si="48"/>
        <v>rg:{'id': '200000'}</v>
      </c>
      <c r="L204">
        <f t="shared" si="49"/>
        <v>3</v>
      </c>
      <c r="M204" t="str">
        <f>VLOOKUP(C204,Owners.csv!C:K,9,FALSE)&amp;TEXT(Equipment.csv!L204,"0000")</f>
        <v>MERV0003</v>
      </c>
      <c r="N204" t="s">
        <v>7624</v>
      </c>
      <c r="O204" t="s">
        <v>7626</v>
      </c>
      <c r="P204">
        <v>1996</v>
      </c>
      <c r="Q204">
        <v>10</v>
      </c>
      <c r="R204" t="s">
        <v>6660</v>
      </c>
      <c r="S204" s="1">
        <v>41678</v>
      </c>
      <c r="T204" s="1">
        <v>42194</v>
      </c>
      <c r="U204" t="str">
        <f t="shared" ca="1" si="50"/>
        <v>rg:False</v>
      </c>
      <c r="V204" t="str">
        <f t="shared" ca="1" si="51"/>
        <v>rg:None</v>
      </c>
      <c r="W204" t="s">
        <v>7628</v>
      </c>
      <c r="X204" t="s">
        <v>76</v>
      </c>
      <c r="Y204" t="s">
        <v>76</v>
      </c>
      <c r="Z204" t="s">
        <v>76</v>
      </c>
      <c r="AA204">
        <v>6665432</v>
      </c>
      <c r="AB204" t="s">
        <v>7251</v>
      </c>
      <c r="AC204">
        <v>0</v>
      </c>
      <c r="AD204" t="str">
        <f t="shared" ca="1" si="52"/>
        <v>rg:False</v>
      </c>
      <c r="AE204" t="s">
        <v>76</v>
      </c>
      <c r="AF204" s="1">
        <v>42493</v>
      </c>
      <c r="AG204" s="4">
        <f t="shared" ca="1" si="54"/>
        <v>21.833333333333332</v>
      </c>
      <c r="AH204" s="4">
        <f t="shared" si="55"/>
        <v>0.72777777777777775</v>
      </c>
      <c r="AI204">
        <f t="shared" ca="1" si="56"/>
        <v>0</v>
      </c>
      <c r="AJ204">
        <f t="shared" ca="1" si="57"/>
        <v>0</v>
      </c>
      <c r="AK204">
        <f t="shared" ca="1" si="58"/>
        <v>0</v>
      </c>
      <c r="AL204" t="s">
        <v>326</v>
      </c>
      <c r="AO204" t="s">
        <v>76</v>
      </c>
      <c r="AP204" t="s">
        <v>6508</v>
      </c>
      <c r="AQ204" t="s">
        <v>6508</v>
      </c>
      <c r="AR204" t="s">
        <v>6508</v>
      </c>
      <c r="AS204" t="s">
        <v>6508</v>
      </c>
    </row>
  </sheetData>
  <autoFilter ref="A1:AS205" xr:uid="{00000000-0009-0000-0000-000001000000}">
    <sortState ref="A2:AT205">
      <sortCondition ref="C1:C205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Full Guarding Package</v>
      </c>
      <c r="B2" t="s">
        <v>5381</v>
      </c>
      <c r="C2" t="s">
        <v>5382</v>
      </c>
      <c r="E2" t="str">
        <f ca="1">CONCATR(A2:C2,",")</f>
        <v>Full Guarding Package,[Edit],[Del]</v>
      </c>
    </row>
    <row r="3" spans="1:5" x14ac:dyDescent="0.3">
      <c r="A3" t="str">
        <f ca="1">VLOOKUP(RANDBETWEEN(1,10),'Lookups (2)'!A:G,7,FALSE)</f>
        <v>Brush Rake</v>
      </c>
      <c r="B3" t="s">
        <v>5381</v>
      </c>
      <c r="C3" t="s">
        <v>5382</v>
      </c>
      <c r="E3" t="str">
        <f ca="1">CONCATR(A3:C3,",")</f>
        <v>Brush Rake,[Edit],[Del]</v>
      </c>
    </row>
    <row r="4" spans="1:5" x14ac:dyDescent="0.3">
      <c r="A4" t="str">
        <f ca="1">VLOOKUP(RANDBETWEEN(1,10),'Lookups (2)'!A:G,7,FALSE)</f>
        <v>18" Dig Bucket</v>
      </c>
      <c r="B4" t="s">
        <v>5381</v>
      </c>
      <c r="C4" t="s">
        <v>5382</v>
      </c>
      <c r="E4" t="str">
        <f ca="1">CONCATR(A4:C4,",")</f>
        <v>18" Dig Bucket,[Edit],[Del]</v>
      </c>
    </row>
    <row r="5" spans="1:5" x14ac:dyDescent="0.3">
      <c r="A5" t="s">
        <v>5379</v>
      </c>
      <c r="B5" t="s">
        <v>5380</v>
      </c>
      <c r="C5" t="s">
        <v>5383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R155"/>
  <sheetViews>
    <sheetView tabSelected="1" topLeftCell="F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9.77734375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8" x14ac:dyDescent="0.3">
      <c r="A1" t="s">
        <v>68</v>
      </c>
      <c r="B1" t="s">
        <v>7862</v>
      </c>
      <c r="C1" s="11" t="s">
        <v>7875</v>
      </c>
      <c r="D1" s="11" t="s">
        <v>75</v>
      </c>
      <c r="E1" s="10" t="s">
        <v>6930</v>
      </c>
      <c r="F1" s="10" t="s">
        <v>73</v>
      </c>
      <c r="G1" t="s">
        <v>3</v>
      </c>
      <c r="H1" s="6" t="s">
        <v>6667</v>
      </c>
      <c r="I1" s="6" t="s">
        <v>6668</v>
      </c>
      <c r="J1" s="7" t="s">
        <v>6669</v>
      </c>
      <c r="K1" s="10" t="s">
        <v>7619</v>
      </c>
      <c r="L1" s="7" t="s">
        <v>5370</v>
      </c>
      <c r="M1" s="7" t="s">
        <v>5371</v>
      </c>
      <c r="N1" s="7" t="s">
        <v>5325</v>
      </c>
      <c r="O1" s="7" t="s">
        <v>5372</v>
      </c>
      <c r="P1" s="7" t="s">
        <v>5373</v>
      </c>
      <c r="Q1" s="10" t="s">
        <v>7876</v>
      </c>
      <c r="R1" s="10" t="s">
        <v>333</v>
      </c>
    </row>
    <row r="2" spans="1:18" x14ac:dyDescent="0.3">
      <c r="A2" t="s">
        <v>5384</v>
      </c>
      <c r="B2" t="s">
        <v>2955</v>
      </c>
      <c r="C2">
        <f>VLOOKUP(B2,ServiceAreas.csv!B:J,9,FALSE)</f>
        <v>10</v>
      </c>
      <c r="D2" t="str">
        <f>"rg:{'id': '"&amp;C2&amp;"'}"</f>
        <v>rg:{'id': '10'}</v>
      </c>
      <c r="E2" s="1" t="s">
        <v>6907</v>
      </c>
      <c r="F2" s="1" t="s">
        <v>6931</v>
      </c>
      <c r="G2">
        <v>200000</v>
      </c>
      <c r="H2">
        <f>IF(ISNUMBER(H1),H1+1,500000)</f>
        <v>500000</v>
      </c>
      <c r="I2" t="s">
        <v>6684</v>
      </c>
      <c r="J2" t="s">
        <v>6508</v>
      </c>
      <c r="K2">
        <f>IFERROR(VLOOKUP(F2,'Contacts.csv'!C:D,2,FALSE),"")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6508</v>
      </c>
      <c r="O2" t="s">
        <v>6508</v>
      </c>
      <c r="P2" t="s">
        <v>6508</v>
      </c>
      <c r="Q2">
        <f t="shared" ref="Q2:Q33" si="0">C2</f>
        <v>10</v>
      </c>
      <c r="R2" t="str">
        <f>"Active"</f>
        <v>Active</v>
      </c>
    </row>
    <row r="3" spans="1:18" x14ac:dyDescent="0.3">
      <c r="A3" t="s">
        <v>5384</v>
      </c>
      <c r="B3" t="s">
        <v>2955</v>
      </c>
      <c r="C3">
        <f>VLOOKUP(B3,ServiceAreas.csv!B:J,9,FALSE)</f>
        <v>10</v>
      </c>
      <c r="D3" t="str">
        <f t="shared" ref="D3:D66" si="1">"rg:{'id': '"&amp;C3&amp;"'}"</f>
        <v>rg:{'id': '10'}</v>
      </c>
      <c r="E3" s="1" t="s">
        <v>7884</v>
      </c>
      <c r="F3" s="1" t="s">
        <v>6926</v>
      </c>
      <c r="G3">
        <f>G2+1</f>
        <v>200001</v>
      </c>
      <c r="H3">
        <f t="shared" ref="H3:H66" si="2">IF(ISNUMBER(H2),H2+1,500000)</f>
        <v>500001</v>
      </c>
      <c r="I3" t="s">
        <v>6684</v>
      </c>
      <c r="J3" t="s">
        <v>6508</v>
      </c>
      <c r="K3">
        <f>IFERROR(VLOOKUP(F3,'Contacts.csv'!C:D,2,FALSE),"")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6508</v>
      </c>
      <c r="O3" t="s">
        <v>6508</v>
      </c>
      <c r="P3" t="s">
        <v>6508</v>
      </c>
      <c r="Q3">
        <f t="shared" si="0"/>
        <v>10</v>
      </c>
      <c r="R3" t="str">
        <f t="shared" ref="R3:R66" si="5">"Active"</f>
        <v>Active</v>
      </c>
    </row>
    <row r="4" spans="1:18" x14ac:dyDescent="0.3">
      <c r="A4" t="s">
        <v>5384</v>
      </c>
      <c r="B4" t="s">
        <v>2955</v>
      </c>
      <c r="C4">
        <f>VLOOKUP(B4,ServiceAreas.csv!B:J,9,FALSE)</f>
        <v>10</v>
      </c>
      <c r="D4" t="str">
        <f t="shared" si="1"/>
        <v>rg:{'id': '10'}</v>
      </c>
      <c r="E4" s="1" t="s">
        <v>6986</v>
      </c>
      <c r="F4" s="1" t="s">
        <v>6932</v>
      </c>
      <c r="G4">
        <f t="shared" ref="G4:G67" si="6">G3+1</f>
        <v>200002</v>
      </c>
      <c r="H4">
        <f t="shared" si="2"/>
        <v>500002</v>
      </c>
      <c r="I4" t="s">
        <v>6684</v>
      </c>
      <c r="J4" t="s">
        <v>6508</v>
      </c>
      <c r="K4">
        <f>IFERROR(VLOOKUP(F4,'Contacts.csv'!C:D,2,FALSE),"")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6508</v>
      </c>
      <c r="O4" t="s">
        <v>6508</v>
      </c>
      <c r="P4" t="s">
        <v>6508</v>
      </c>
      <c r="Q4">
        <f t="shared" si="0"/>
        <v>10</v>
      </c>
      <c r="R4" t="str">
        <f t="shared" si="5"/>
        <v>Active</v>
      </c>
    </row>
    <row r="5" spans="1:18" x14ac:dyDescent="0.3">
      <c r="A5" t="s">
        <v>5384</v>
      </c>
      <c r="B5" t="s">
        <v>2955</v>
      </c>
      <c r="C5">
        <f>VLOOKUP(B5,ServiceAreas.csv!B:J,9,FALSE)</f>
        <v>10</v>
      </c>
      <c r="D5" t="str">
        <f t="shared" si="1"/>
        <v>rg:{'id': '10'}</v>
      </c>
      <c r="E5" s="1" t="s">
        <v>6923</v>
      </c>
      <c r="F5" s="1" t="s">
        <v>6933</v>
      </c>
      <c r="G5">
        <f t="shared" si="6"/>
        <v>200003</v>
      </c>
      <c r="H5">
        <f t="shared" si="2"/>
        <v>500003</v>
      </c>
      <c r="I5" t="s">
        <v>6684</v>
      </c>
      <c r="J5" t="s">
        <v>6508</v>
      </c>
      <c r="K5">
        <f>IFERROR(VLOOKUP(F5,'Contacts.csv'!C:D,2,FALSE),"")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6508</v>
      </c>
      <c r="O5" t="s">
        <v>6508</v>
      </c>
      <c r="P5" t="s">
        <v>6508</v>
      </c>
      <c r="Q5">
        <f t="shared" si="0"/>
        <v>10</v>
      </c>
      <c r="R5" t="str">
        <f t="shared" si="5"/>
        <v>Active</v>
      </c>
    </row>
    <row r="6" spans="1:18" x14ac:dyDescent="0.3">
      <c r="A6" t="s">
        <v>5384</v>
      </c>
      <c r="B6" t="s">
        <v>2955</v>
      </c>
      <c r="C6">
        <f>VLOOKUP(B6,ServiceAreas.csv!B:J,9,FALSE)</f>
        <v>10</v>
      </c>
      <c r="D6" t="str">
        <f t="shared" si="1"/>
        <v>rg:{'id': '10'}</v>
      </c>
      <c r="E6" s="1" t="s">
        <v>7885</v>
      </c>
      <c r="F6" s="1" t="s">
        <v>6934</v>
      </c>
      <c r="G6">
        <f t="shared" si="6"/>
        <v>200004</v>
      </c>
      <c r="H6">
        <f t="shared" si="2"/>
        <v>500004</v>
      </c>
      <c r="I6" t="s">
        <v>6684</v>
      </c>
      <c r="J6" t="s">
        <v>6508</v>
      </c>
      <c r="K6">
        <f>IFERROR(VLOOKUP(F6,'Contacts.csv'!C:D,2,FALSE),"")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6508</v>
      </c>
      <c r="O6" t="s">
        <v>6508</v>
      </c>
      <c r="P6" t="s">
        <v>6508</v>
      </c>
      <c r="Q6">
        <f t="shared" si="0"/>
        <v>10</v>
      </c>
      <c r="R6" t="str">
        <f t="shared" si="5"/>
        <v>Active</v>
      </c>
    </row>
    <row r="7" spans="1:18" x14ac:dyDescent="0.3">
      <c r="A7" t="s">
        <v>5384</v>
      </c>
      <c r="B7" t="s">
        <v>2955</v>
      </c>
      <c r="C7">
        <f>VLOOKUP(B7,ServiceAreas.csv!B:J,9,FALSE)</f>
        <v>10</v>
      </c>
      <c r="D7" t="str">
        <f t="shared" si="1"/>
        <v>rg:{'id': '10'}</v>
      </c>
      <c r="E7" s="1" t="s">
        <v>7886</v>
      </c>
      <c r="F7" s="1" t="s">
        <v>6935</v>
      </c>
      <c r="G7">
        <f t="shared" si="6"/>
        <v>200005</v>
      </c>
      <c r="H7">
        <f t="shared" si="2"/>
        <v>500005</v>
      </c>
      <c r="I7" t="s">
        <v>6684</v>
      </c>
      <c r="J7" t="s">
        <v>6508</v>
      </c>
      <c r="K7">
        <f>IFERROR(VLOOKUP(F7,'Contacts.csv'!C:D,2,FALSE),"")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6508</v>
      </c>
      <c r="O7" t="s">
        <v>6508</v>
      </c>
      <c r="P7" t="s">
        <v>6508</v>
      </c>
      <c r="Q7">
        <f t="shared" si="0"/>
        <v>10</v>
      </c>
      <c r="R7" t="str">
        <f t="shared" si="5"/>
        <v>Active</v>
      </c>
    </row>
    <row r="8" spans="1:18" x14ac:dyDescent="0.3">
      <c r="A8" t="s">
        <v>5384</v>
      </c>
      <c r="B8" t="s">
        <v>2955</v>
      </c>
      <c r="C8">
        <f>VLOOKUP(B8,ServiceAreas.csv!B:J,9,FALSE)</f>
        <v>10</v>
      </c>
      <c r="D8" t="str">
        <f t="shared" si="1"/>
        <v>rg:{'id': '10'}</v>
      </c>
      <c r="E8" s="1" t="s">
        <v>6936</v>
      </c>
      <c r="F8" s="1" t="s">
        <v>6936</v>
      </c>
      <c r="G8">
        <f t="shared" si="6"/>
        <v>200006</v>
      </c>
      <c r="H8">
        <f t="shared" si="2"/>
        <v>500006</v>
      </c>
      <c r="I8" t="s">
        <v>6684</v>
      </c>
      <c r="J8" t="s">
        <v>6508</v>
      </c>
      <c r="K8">
        <f>IFERROR(VLOOKUP(F8,'Contacts.csv'!C:D,2,FALSE),"")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6508</v>
      </c>
      <c r="O8" t="s">
        <v>6508</v>
      </c>
      <c r="P8" t="s">
        <v>6508</v>
      </c>
      <c r="Q8">
        <f t="shared" si="0"/>
        <v>10</v>
      </c>
      <c r="R8" t="str">
        <f t="shared" si="5"/>
        <v>Active</v>
      </c>
    </row>
    <row r="9" spans="1:18" x14ac:dyDescent="0.3">
      <c r="A9" t="s">
        <v>5384</v>
      </c>
      <c r="B9" t="s">
        <v>2955</v>
      </c>
      <c r="C9">
        <f>VLOOKUP(B9,ServiceAreas.csv!B:J,9,FALSE)</f>
        <v>10</v>
      </c>
      <c r="D9" t="str">
        <f t="shared" si="1"/>
        <v>rg:{'id': '10'}</v>
      </c>
      <c r="E9" s="1" t="s">
        <v>6916</v>
      </c>
      <c r="F9" s="1" t="s">
        <v>6916</v>
      </c>
      <c r="G9">
        <f t="shared" si="6"/>
        <v>200007</v>
      </c>
      <c r="H9">
        <f t="shared" si="2"/>
        <v>500007</v>
      </c>
      <c r="I9" t="s">
        <v>6684</v>
      </c>
      <c r="J9" t="s">
        <v>6508</v>
      </c>
      <c r="K9">
        <f>IFERROR(VLOOKUP(F9,'Contacts.csv'!C:D,2,FALSE),"")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6508</v>
      </c>
      <c r="O9" t="s">
        <v>6508</v>
      </c>
      <c r="P9" t="s">
        <v>6508</v>
      </c>
      <c r="Q9">
        <f t="shared" si="0"/>
        <v>10</v>
      </c>
      <c r="R9" t="str">
        <f t="shared" si="5"/>
        <v>Active</v>
      </c>
    </row>
    <row r="10" spans="1:18" x14ac:dyDescent="0.3">
      <c r="A10" t="s">
        <v>5384</v>
      </c>
      <c r="B10" t="s">
        <v>2955</v>
      </c>
      <c r="C10">
        <f>VLOOKUP(B10,ServiceAreas.csv!B:J,9,FALSE)</f>
        <v>10</v>
      </c>
      <c r="D10" t="str">
        <f t="shared" si="1"/>
        <v>rg:{'id': '10'}</v>
      </c>
      <c r="E10" s="1" t="s">
        <v>7022</v>
      </c>
      <c r="F10" s="1" t="s">
        <v>6937</v>
      </c>
      <c r="G10">
        <f t="shared" si="6"/>
        <v>200008</v>
      </c>
      <c r="H10">
        <f t="shared" si="2"/>
        <v>500008</v>
      </c>
      <c r="I10" t="s">
        <v>6684</v>
      </c>
      <c r="J10" t="s">
        <v>6508</v>
      </c>
      <c r="K10">
        <f>IFERROR(VLOOKUP(F10,'Contacts.csv'!C:D,2,FALSE),"")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6508</v>
      </c>
      <c r="O10" t="s">
        <v>6508</v>
      </c>
      <c r="P10" t="s">
        <v>6508</v>
      </c>
      <c r="Q10">
        <f t="shared" si="0"/>
        <v>10</v>
      </c>
      <c r="R10" t="str">
        <f t="shared" si="5"/>
        <v>Active</v>
      </c>
    </row>
    <row r="11" spans="1:18" x14ac:dyDescent="0.3">
      <c r="A11" t="s">
        <v>5384</v>
      </c>
      <c r="B11" t="s">
        <v>2955</v>
      </c>
      <c r="C11">
        <f>VLOOKUP(B11,ServiceAreas.csv!B:J,9,FALSE)</f>
        <v>10</v>
      </c>
      <c r="D11" t="str">
        <f t="shared" si="1"/>
        <v>rg:{'id': '10'}</v>
      </c>
      <c r="E11" s="1" t="s">
        <v>7887</v>
      </c>
      <c r="F11" s="1" t="s">
        <v>6894</v>
      </c>
      <c r="G11">
        <f t="shared" si="6"/>
        <v>200009</v>
      </c>
      <c r="H11">
        <f t="shared" si="2"/>
        <v>500009</v>
      </c>
      <c r="I11" t="s">
        <v>6684</v>
      </c>
      <c r="J11" t="s">
        <v>6508</v>
      </c>
      <c r="K11">
        <f>IFERROR(VLOOKUP(F11,'Contacts.csv'!C:D,2,FALSE),"")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6508</v>
      </c>
      <c r="O11" t="s">
        <v>6508</v>
      </c>
      <c r="P11" t="s">
        <v>6508</v>
      </c>
      <c r="Q11">
        <f t="shared" si="0"/>
        <v>10</v>
      </c>
      <c r="R11" t="str">
        <f t="shared" si="5"/>
        <v>Active</v>
      </c>
    </row>
    <row r="12" spans="1:18" x14ac:dyDescent="0.3">
      <c r="A12" t="s">
        <v>5384</v>
      </c>
      <c r="B12" t="s">
        <v>2955</v>
      </c>
      <c r="C12">
        <f>VLOOKUP(B12,ServiceAreas.csv!B:J,9,FALSE)</f>
        <v>10</v>
      </c>
      <c r="D12" t="str">
        <f t="shared" si="1"/>
        <v>rg:{'id': '10'}</v>
      </c>
      <c r="E12" s="1" t="s">
        <v>7888</v>
      </c>
      <c r="F12" s="1" t="s">
        <v>6938</v>
      </c>
      <c r="G12">
        <f t="shared" si="6"/>
        <v>200010</v>
      </c>
      <c r="H12">
        <f t="shared" si="2"/>
        <v>500010</v>
      </c>
      <c r="I12" t="s">
        <v>6684</v>
      </c>
      <c r="J12" t="s">
        <v>6508</v>
      </c>
      <c r="K12">
        <f>IFERROR(VLOOKUP(F12,'Contacts.csv'!C:D,2,FALSE),"")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6508</v>
      </c>
      <c r="O12" t="s">
        <v>6508</v>
      </c>
      <c r="P12" t="s">
        <v>6508</v>
      </c>
      <c r="Q12">
        <f t="shared" si="0"/>
        <v>10</v>
      </c>
      <c r="R12" t="str">
        <f t="shared" si="5"/>
        <v>Active</v>
      </c>
    </row>
    <row r="13" spans="1:18" x14ac:dyDescent="0.3">
      <c r="A13" t="s">
        <v>5384</v>
      </c>
      <c r="B13" t="s">
        <v>2955</v>
      </c>
      <c r="C13">
        <f>VLOOKUP(B13,ServiceAreas.csv!B:J,9,FALSE)</f>
        <v>10</v>
      </c>
      <c r="D13" t="str">
        <f t="shared" si="1"/>
        <v>rg:{'id': '10'}</v>
      </c>
      <c r="E13" s="1" t="s">
        <v>6934</v>
      </c>
      <c r="F13" s="1" t="s">
        <v>6939</v>
      </c>
      <c r="G13">
        <f t="shared" si="6"/>
        <v>200011</v>
      </c>
      <c r="H13">
        <f t="shared" si="2"/>
        <v>500011</v>
      </c>
      <c r="I13" t="s">
        <v>6684</v>
      </c>
      <c r="J13" t="s">
        <v>6508</v>
      </c>
      <c r="K13">
        <f>IFERROR(VLOOKUP(F13,'Contacts.csv'!C:D,2,FALSE),"")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6508</v>
      </c>
      <c r="O13" t="s">
        <v>6508</v>
      </c>
      <c r="P13" t="s">
        <v>6508</v>
      </c>
      <c r="Q13">
        <f t="shared" si="0"/>
        <v>10</v>
      </c>
      <c r="R13" t="str">
        <f t="shared" si="5"/>
        <v>Active</v>
      </c>
    </row>
    <row r="14" spans="1:18" x14ac:dyDescent="0.3">
      <c r="A14" t="s">
        <v>5384</v>
      </c>
      <c r="B14" t="s">
        <v>2955</v>
      </c>
      <c r="C14">
        <f>VLOOKUP(B14,ServiceAreas.csv!B:J,9,FALSE)</f>
        <v>10</v>
      </c>
      <c r="D14" t="str">
        <f t="shared" si="1"/>
        <v>rg:{'id': '10'}</v>
      </c>
      <c r="E14" s="1" t="s">
        <v>7889</v>
      </c>
      <c r="F14" s="1" t="s">
        <v>6940</v>
      </c>
      <c r="G14">
        <f t="shared" si="6"/>
        <v>200012</v>
      </c>
      <c r="H14">
        <f t="shared" si="2"/>
        <v>500012</v>
      </c>
      <c r="I14" t="s">
        <v>6684</v>
      </c>
      <c r="J14" t="s">
        <v>6508</v>
      </c>
      <c r="K14">
        <f>IFERROR(VLOOKUP(F14,'Contacts.csv'!C:D,2,FALSE),"")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6508</v>
      </c>
      <c r="O14" t="s">
        <v>6508</v>
      </c>
      <c r="P14" t="s">
        <v>6508</v>
      </c>
      <c r="Q14">
        <f t="shared" si="0"/>
        <v>10</v>
      </c>
      <c r="R14" t="str">
        <f t="shared" si="5"/>
        <v>Active</v>
      </c>
    </row>
    <row r="15" spans="1:18" x14ac:dyDescent="0.3">
      <c r="A15" t="s">
        <v>5384</v>
      </c>
      <c r="B15" t="s">
        <v>2955</v>
      </c>
      <c r="C15">
        <f>VLOOKUP(B15,ServiceAreas.csv!B:J,9,FALSE)</f>
        <v>10</v>
      </c>
      <c r="D15" t="str">
        <f t="shared" si="1"/>
        <v>rg:{'id': '10'}</v>
      </c>
      <c r="E15" s="1" t="s">
        <v>7890</v>
      </c>
      <c r="F15" s="1" t="s">
        <v>6941</v>
      </c>
      <c r="G15">
        <f t="shared" si="6"/>
        <v>200013</v>
      </c>
      <c r="H15">
        <f t="shared" si="2"/>
        <v>500013</v>
      </c>
      <c r="I15" t="s">
        <v>6684</v>
      </c>
      <c r="J15" t="s">
        <v>6508</v>
      </c>
      <c r="K15">
        <f>IFERROR(VLOOKUP(F15,'Contacts.csv'!C:D,2,FALSE),"")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6508</v>
      </c>
      <c r="O15" t="s">
        <v>6508</v>
      </c>
      <c r="P15" t="s">
        <v>6508</v>
      </c>
      <c r="Q15">
        <f t="shared" si="0"/>
        <v>10</v>
      </c>
      <c r="R15" t="str">
        <f t="shared" si="5"/>
        <v>Active</v>
      </c>
    </row>
    <row r="16" spans="1:18" x14ac:dyDescent="0.3">
      <c r="A16" t="s">
        <v>5384</v>
      </c>
      <c r="B16" t="s">
        <v>2955</v>
      </c>
      <c r="C16">
        <f>VLOOKUP(B16,ServiceAreas.csv!B:J,9,FALSE)</f>
        <v>10</v>
      </c>
      <c r="D16" t="str">
        <f t="shared" si="1"/>
        <v>rg:{'id': '10'}</v>
      </c>
      <c r="E16" s="1" t="s">
        <v>7891</v>
      </c>
      <c r="F16" s="1" t="s">
        <v>6928</v>
      </c>
      <c r="G16">
        <f t="shared" si="6"/>
        <v>200014</v>
      </c>
      <c r="H16">
        <f t="shared" si="2"/>
        <v>500014</v>
      </c>
      <c r="I16" t="s">
        <v>6684</v>
      </c>
      <c r="J16" t="s">
        <v>6508</v>
      </c>
      <c r="K16">
        <f>IFERROR(VLOOKUP(F16,'Contacts.csv'!C:D,2,FALSE),"")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6508</v>
      </c>
      <c r="O16" t="s">
        <v>6508</v>
      </c>
      <c r="P16" t="s">
        <v>6508</v>
      </c>
      <c r="Q16">
        <f t="shared" si="0"/>
        <v>10</v>
      </c>
      <c r="R16" t="str">
        <f t="shared" si="5"/>
        <v>Active</v>
      </c>
    </row>
    <row r="17" spans="1:18" x14ac:dyDescent="0.3">
      <c r="A17" t="s">
        <v>5384</v>
      </c>
      <c r="B17" t="s">
        <v>2955</v>
      </c>
      <c r="C17">
        <f>VLOOKUP(B17,ServiceAreas.csv!B:J,9,FALSE)</f>
        <v>10</v>
      </c>
      <c r="D17" t="str">
        <f t="shared" si="1"/>
        <v>rg:{'id': '10'}</v>
      </c>
      <c r="E17" s="1" t="s">
        <v>7892</v>
      </c>
      <c r="F17" s="1" t="s">
        <v>6942</v>
      </c>
      <c r="G17">
        <f t="shared" si="6"/>
        <v>200015</v>
      </c>
      <c r="H17">
        <f t="shared" si="2"/>
        <v>500015</v>
      </c>
      <c r="I17" t="s">
        <v>6684</v>
      </c>
      <c r="J17" t="s">
        <v>6508</v>
      </c>
      <c r="K17">
        <f>IFERROR(VLOOKUP(F17,'Contacts.csv'!C:D,2,FALSE),"")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6508</v>
      </c>
      <c r="O17" t="s">
        <v>6508</v>
      </c>
      <c r="P17" t="s">
        <v>6508</v>
      </c>
      <c r="Q17">
        <f t="shared" si="0"/>
        <v>10</v>
      </c>
      <c r="R17" t="str">
        <f t="shared" si="5"/>
        <v>Active</v>
      </c>
    </row>
    <row r="18" spans="1:18" x14ac:dyDescent="0.3">
      <c r="A18" t="s">
        <v>5384</v>
      </c>
      <c r="B18" t="s">
        <v>2955</v>
      </c>
      <c r="C18">
        <f>VLOOKUP(B18,ServiceAreas.csv!B:J,9,FALSE)</f>
        <v>10</v>
      </c>
      <c r="D18" t="str">
        <f t="shared" si="1"/>
        <v>rg:{'id': '10'}</v>
      </c>
      <c r="E18" s="1" t="s">
        <v>7893</v>
      </c>
      <c r="F18" s="1" t="s">
        <v>6912</v>
      </c>
      <c r="G18">
        <f t="shared" si="6"/>
        <v>200016</v>
      </c>
      <c r="H18">
        <f t="shared" si="2"/>
        <v>500016</v>
      </c>
      <c r="I18" t="s">
        <v>6684</v>
      </c>
      <c r="J18" t="s">
        <v>6508</v>
      </c>
      <c r="K18">
        <f>IFERROR(VLOOKUP(F18,'Contacts.csv'!C:D,2,FALSE),"")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6508</v>
      </c>
      <c r="O18" t="s">
        <v>6508</v>
      </c>
      <c r="P18" t="s">
        <v>6508</v>
      </c>
      <c r="Q18">
        <f t="shared" si="0"/>
        <v>10</v>
      </c>
      <c r="R18" t="str">
        <f t="shared" si="5"/>
        <v>Active</v>
      </c>
    </row>
    <row r="19" spans="1:18" x14ac:dyDescent="0.3">
      <c r="A19" t="s">
        <v>5384</v>
      </c>
      <c r="B19" t="s">
        <v>2955</v>
      </c>
      <c r="C19">
        <f>VLOOKUP(B19,ServiceAreas.csv!B:J,9,FALSE)</f>
        <v>10</v>
      </c>
      <c r="D19" t="str">
        <f t="shared" si="1"/>
        <v>rg:{'id': '10'}</v>
      </c>
      <c r="E19" s="1" t="s">
        <v>7894</v>
      </c>
      <c r="F19" s="1" t="s">
        <v>6943</v>
      </c>
      <c r="G19">
        <f t="shared" si="6"/>
        <v>200017</v>
      </c>
      <c r="H19">
        <f t="shared" si="2"/>
        <v>500017</v>
      </c>
      <c r="I19" t="s">
        <v>6684</v>
      </c>
      <c r="J19" t="s">
        <v>6508</v>
      </c>
      <c r="K19">
        <f>IFERROR(VLOOKUP(F19,'Contacts.csv'!C:D,2,FALSE),"")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6508</v>
      </c>
      <c r="O19" t="s">
        <v>6508</v>
      </c>
      <c r="P19" t="s">
        <v>6508</v>
      </c>
      <c r="Q19">
        <f t="shared" si="0"/>
        <v>10</v>
      </c>
      <c r="R19" t="str">
        <f t="shared" si="5"/>
        <v>Active</v>
      </c>
    </row>
    <row r="20" spans="1:18" x14ac:dyDescent="0.3">
      <c r="A20" t="s">
        <v>5384</v>
      </c>
      <c r="B20" t="s">
        <v>2955</v>
      </c>
      <c r="C20">
        <f>VLOOKUP(B20,ServiceAreas.csv!B:J,9,FALSE)</f>
        <v>10</v>
      </c>
      <c r="D20" t="str">
        <f t="shared" si="1"/>
        <v>rg:{'id': '10'}</v>
      </c>
      <c r="E20" s="1" t="s">
        <v>7895</v>
      </c>
      <c r="F20" s="1" t="s">
        <v>6889</v>
      </c>
      <c r="G20">
        <f t="shared" si="6"/>
        <v>200018</v>
      </c>
      <c r="H20">
        <f t="shared" si="2"/>
        <v>500018</v>
      </c>
      <c r="I20" t="s">
        <v>6684</v>
      </c>
      <c r="J20" t="s">
        <v>6508</v>
      </c>
      <c r="K20">
        <f>IFERROR(VLOOKUP(F20,'Contacts.csv'!C:D,2,FALSE),"")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6508</v>
      </c>
      <c r="O20" t="s">
        <v>6508</v>
      </c>
      <c r="P20" t="s">
        <v>6508</v>
      </c>
      <c r="Q20">
        <f t="shared" si="0"/>
        <v>10</v>
      </c>
      <c r="R20" t="str">
        <f t="shared" si="5"/>
        <v>Active</v>
      </c>
    </row>
    <row r="21" spans="1:18" x14ac:dyDescent="0.3">
      <c r="A21" t="s">
        <v>5384</v>
      </c>
      <c r="B21" t="s">
        <v>2955</v>
      </c>
      <c r="C21">
        <f>VLOOKUP(B21,ServiceAreas.csv!B:J,9,FALSE)</f>
        <v>10</v>
      </c>
      <c r="D21" t="str">
        <f t="shared" si="1"/>
        <v>rg:{'id': '10'}</v>
      </c>
      <c r="E21" s="1" t="s">
        <v>7896</v>
      </c>
      <c r="F21" s="1" t="s">
        <v>6944</v>
      </c>
      <c r="G21">
        <f t="shared" si="6"/>
        <v>200019</v>
      </c>
      <c r="H21">
        <f t="shared" si="2"/>
        <v>500019</v>
      </c>
      <c r="I21" t="s">
        <v>6684</v>
      </c>
      <c r="J21" t="s">
        <v>6508</v>
      </c>
      <c r="K21">
        <f>IFERROR(VLOOKUP(F21,'Contacts.csv'!C:D,2,FALSE),"")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6508</v>
      </c>
      <c r="O21" t="s">
        <v>6508</v>
      </c>
      <c r="P21" t="s">
        <v>6508</v>
      </c>
      <c r="Q21">
        <f t="shared" si="0"/>
        <v>10</v>
      </c>
      <c r="R21" t="str">
        <f t="shared" si="5"/>
        <v>Active</v>
      </c>
    </row>
    <row r="22" spans="1:18" x14ac:dyDescent="0.3">
      <c r="A22" t="s">
        <v>5384</v>
      </c>
      <c r="B22" t="s">
        <v>2955</v>
      </c>
      <c r="C22">
        <f>VLOOKUP(B22,ServiceAreas.csv!B:J,9,FALSE)</f>
        <v>10</v>
      </c>
      <c r="D22" t="str">
        <f t="shared" si="1"/>
        <v>rg:{'id': '10'}</v>
      </c>
      <c r="E22" s="1" t="s">
        <v>7897</v>
      </c>
      <c r="F22" s="1" t="s">
        <v>6896</v>
      </c>
      <c r="G22">
        <f t="shared" si="6"/>
        <v>200020</v>
      </c>
      <c r="H22">
        <f t="shared" si="2"/>
        <v>500020</v>
      </c>
      <c r="I22" t="s">
        <v>6684</v>
      </c>
      <c r="J22" t="s">
        <v>6508</v>
      </c>
      <c r="K22">
        <f>IFERROR(VLOOKUP(F22,'Contacts.csv'!C:D,2,FALSE),"")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6508</v>
      </c>
      <c r="O22" t="s">
        <v>6508</v>
      </c>
      <c r="P22" t="s">
        <v>6508</v>
      </c>
      <c r="Q22">
        <f t="shared" si="0"/>
        <v>10</v>
      </c>
      <c r="R22" t="str">
        <f t="shared" si="5"/>
        <v>Active</v>
      </c>
    </row>
    <row r="23" spans="1:18" x14ac:dyDescent="0.3">
      <c r="A23" t="s">
        <v>5384</v>
      </c>
      <c r="B23" t="s">
        <v>2955</v>
      </c>
      <c r="C23">
        <f>VLOOKUP(B23,ServiceAreas.csv!B:J,9,FALSE)</f>
        <v>10</v>
      </c>
      <c r="D23" t="str">
        <f t="shared" si="1"/>
        <v>rg:{'id': '10'}</v>
      </c>
      <c r="E23" s="1" t="s">
        <v>7039</v>
      </c>
      <c r="F23" s="1" t="s">
        <v>6945</v>
      </c>
      <c r="G23">
        <f t="shared" si="6"/>
        <v>200021</v>
      </c>
      <c r="H23">
        <f t="shared" si="2"/>
        <v>500021</v>
      </c>
      <c r="I23" t="s">
        <v>6684</v>
      </c>
      <c r="J23" t="s">
        <v>6508</v>
      </c>
      <c r="K23">
        <f>IFERROR(VLOOKUP(F23,'Contacts.csv'!C:D,2,FALSE),"")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6508</v>
      </c>
      <c r="O23" t="s">
        <v>6508</v>
      </c>
      <c r="P23" t="s">
        <v>6508</v>
      </c>
      <c r="Q23">
        <f t="shared" si="0"/>
        <v>10</v>
      </c>
      <c r="R23" t="str">
        <f t="shared" si="5"/>
        <v>Active</v>
      </c>
    </row>
    <row r="24" spans="1:18" x14ac:dyDescent="0.3">
      <c r="A24" t="s">
        <v>5384</v>
      </c>
      <c r="B24" t="s">
        <v>2955</v>
      </c>
      <c r="C24">
        <f>VLOOKUP(B24,ServiceAreas.csv!B:J,9,FALSE)</f>
        <v>10</v>
      </c>
      <c r="D24" t="str">
        <f t="shared" si="1"/>
        <v>rg:{'id': '10'}</v>
      </c>
      <c r="E24" s="1" t="s">
        <v>6969</v>
      </c>
      <c r="F24" s="1" t="s">
        <v>6888</v>
      </c>
      <c r="G24">
        <f t="shared" si="6"/>
        <v>200022</v>
      </c>
      <c r="H24">
        <f t="shared" si="2"/>
        <v>500022</v>
      </c>
      <c r="I24" t="s">
        <v>6684</v>
      </c>
      <c r="J24" t="s">
        <v>6508</v>
      </c>
      <c r="K24">
        <f>IFERROR(VLOOKUP(F24,'Contacts.csv'!C:D,2,FALSE),"")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6508</v>
      </c>
      <c r="O24" t="s">
        <v>6508</v>
      </c>
      <c r="P24" t="s">
        <v>6508</v>
      </c>
      <c r="Q24">
        <f t="shared" si="0"/>
        <v>10</v>
      </c>
      <c r="R24" t="str">
        <f t="shared" si="5"/>
        <v>Active</v>
      </c>
    </row>
    <row r="25" spans="1:18" x14ac:dyDescent="0.3">
      <c r="A25" t="s">
        <v>5384</v>
      </c>
      <c r="B25" t="s">
        <v>2955</v>
      </c>
      <c r="C25">
        <f>VLOOKUP(B25,ServiceAreas.csv!B:J,9,FALSE)</f>
        <v>10</v>
      </c>
      <c r="D25" t="str">
        <f t="shared" si="1"/>
        <v>rg:{'id': '10'}</v>
      </c>
      <c r="E25" s="1" t="s">
        <v>6946</v>
      </c>
      <c r="F25" s="1" t="s">
        <v>6946</v>
      </c>
      <c r="G25">
        <f t="shared" si="6"/>
        <v>200023</v>
      </c>
      <c r="H25">
        <f t="shared" si="2"/>
        <v>500023</v>
      </c>
      <c r="I25" t="s">
        <v>6684</v>
      </c>
      <c r="J25" t="s">
        <v>6508</v>
      </c>
      <c r="K25">
        <f>IFERROR(VLOOKUP(F25,'Contacts.csv'!C:D,2,FALSE),"")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6508</v>
      </c>
      <c r="O25" t="s">
        <v>6508</v>
      </c>
      <c r="P25" t="s">
        <v>6508</v>
      </c>
      <c r="Q25">
        <f t="shared" si="0"/>
        <v>10</v>
      </c>
      <c r="R25" t="str">
        <f t="shared" si="5"/>
        <v>Active</v>
      </c>
    </row>
    <row r="26" spans="1:18" x14ac:dyDescent="0.3">
      <c r="A26" t="s">
        <v>5384</v>
      </c>
      <c r="B26" t="s">
        <v>2955</v>
      </c>
      <c r="C26">
        <f>VLOOKUP(B26,ServiceAreas.csv!B:J,9,FALSE)</f>
        <v>10</v>
      </c>
      <c r="D26" t="str">
        <f t="shared" si="1"/>
        <v>rg:{'id': '10'}</v>
      </c>
      <c r="E26" s="1" t="s">
        <v>7898</v>
      </c>
      <c r="F26" s="1" t="s">
        <v>6947</v>
      </c>
      <c r="G26">
        <f t="shared" si="6"/>
        <v>200024</v>
      </c>
      <c r="H26">
        <f t="shared" si="2"/>
        <v>500024</v>
      </c>
      <c r="I26" t="s">
        <v>6684</v>
      </c>
      <c r="J26" t="s">
        <v>6508</v>
      </c>
      <c r="K26">
        <f>IFERROR(VLOOKUP(F26,'Contacts.csv'!C:D,2,FALSE),"")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6508</v>
      </c>
      <c r="O26" t="s">
        <v>6508</v>
      </c>
      <c r="P26" t="s">
        <v>6508</v>
      </c>
      <c r="Q26">
        <f t="shared" si="0"/>
        <v>10</v>
      </c>
      <c r="R26" t="str">
        <f t="shared" si="5"/>
        <v>Active</v>
      </c>
    </row>
    <row r="27" spans="1:18" x14ac:dyDescent="0.3">
      <c r="A27" t="s">
        <v>5384</v>
      </c>
      <c r="B27" t="s">
        <v>2955</v>
      </c>
      <c r="C27">
        <f>VLOOKUP(B27,ServiceAreas.csv!B:J,9,FALSE)</f>
        <v>10</v>
      </c>
      <c r="D27" t="str">
        <f t="shared" si="1"/>
        <v>rg:{'id': '10'}</v>
      </c>
      <c r="E27" s="1" t="s">
        <v>7899</v>
      </c>
      <c r="F27" s="1" t="s">
        <v>6907</v>
      </c>
      <c r="G27">
        <f t="shared" si="6"/>
        <v>200025</v>
      </c>
      <c r="H27">
        <f t="shared" si="2"/>
        <v>500025</v>
      </c>
      <c r="I27" t="s">
        <v>6684</v>
      </c>
      <c r="J27" t="s">
        <v>6508</v>
      </c>
      <c r="K27">
        <f>IFERROR(VLOOKUP(F27,'Contacts.csv'!C:D,2,FALSE),"")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6508</v>
      </c>
      <c r="O27" t="s">
        <v>6508</v>
      </c>
      <c r="P27" t="s">
        <v>6508</v>
      </c>
      <c r="Q27">
        <f t="shared" si="0"/>
        <v>10</v>
      </c>
      <c r="R27" t="str">
        <f t="shared" si="5"/>
        <v>Active</v>
      </c>
    </row>
    <row r="28" spans="1:18" x14ac:dyDescent="0.3">
      <c r="A28" t="s">
        <v>5384</v>
      </c>
      <c r="B28" t="s">
        <v>2955</v>
      </c>
      <c r="C28">
        <f>VLOOKUP(B28,ServiceAreas.csv!B:J,9,FALSE)</f>
        <v>10</v>
      </c>
      <c r="D28" t="str">
        <f t="shared" si="1"/>
        <v>rg:{'id': '10'}</v>
      </c>
      <c r="E28" s="1" t="s">
        <v>7900</v>
      </c>
      <c r="F28" s="1" t="s">
        <v>6948</v>
      </c>
      <c r="G28">
        <f t="shared" si="6"/>
        <v>200026</v>
      </c>
      <c r="H28">
        <f t="shared" si="2"/>
        <v>500026</v>
      </c>
      <c r="I28" t="s">
        <v>6684</v>
      </c>
      <c r="J28" t="s">
        <v>6508</v>
      </c>
      <c r="K28">
        <f>IFERROR(VLOOKUP(F28,'Contacts.csv'!C:D,2,FALSE),"")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6508</v>
      </c>
      <c r="O28" t="s">
        <v>6508</v>
      </c>
      <c r="P28" t="s">
        <v>6508</v>
      </c>
      <c r="Q28">
        <f t="shared" si="0"/>
        <v>10</v>
      </c>
      <c r="R28" t="str">
        <f t="shared" si="5"/>
        <v>Active</v>
      </c>
    </row>
    <row r="29" spans="1:18" x14ac:dyDescent="0.3">
      <c r="A29" t="s">
        <v>5384</v>
      </c>
      <c r="B29" t="s">
        <v>2955</v>
      </c>
      <c r="C29">
        <f>VLOOKUP(B29,ServiceAreas.csv!B:J,9,FALSE)</f>
        <v>10</v>
      </c>
      <c r="D29" t="str">
        <f t="shared" si="1"/>
        <v>rg:{'id': '10'}</v>
      </c>
      <c r="E29" s="1" t="s">
        <v>6888</v>
      </c>
      <c r="F29" s="1" t="s">
        <v>6922</v>
      </c>
      <c r="G29">
        <f t="shared" si="6"/>
        <v>200027</v>
      </c>
      <c r="H29">
        <f t="shared" si="2"/>
        <v>500027</v>
      </c>
      <c r="I29" t="s">
        <v>6684</v>
      </c>
      <c r="J29" t="s">
        <v>6508</v>
      </c>
      <c r="K29">
        <f>IFERROR(VLOOKUP(F29,'Contacts.csv'!C:D,2,FALSE),"")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6508</v>
      </c>
      <c r="O29" t="s">
        <v>6508</v>
      </c>
      <c r="P29" t="s">
        <v>6508</v>
      </c>
      <c r="Q29">
        <f t="shared" si="0"/>
        <v>10</v>
      </c>
      <c r="R29" t="str">
        <f t="shared" si="5"/>
        <v>Active</v>
      </c>
    </row>
    <row r="30" spans="1:18" x14ac:dyDescent="0.3">
      <c r="A30" t="s">
        <v>5384</v>
      </c>
      <c r="B30" t="s">
        <v>2955</v>
      </c>
      <c r="C30">
        <f>VLOOKUP(B30,ServiceAreas.csv!B:J,9,FALSE)</f>
        <v>10</v>
      </c>
      <c r="D30" t="str">
        <f t="shared" si="1"/>
        <v>rg:{'id': '10'}</v>
      </c>
      <c r="E30" s="1" t="s">
        <v>7901</v>
      </c>
      <c r="F30" s="1" t="s">
        <v>6949</v>
      </c>
      <c r="G30">
        <f t="shared" si="6"/>
        <v>200028</v>
      </c>
      <c r="H30">
        <f t="shared" si="2"/>
        <v>500028</v>
      </c>
      <c r="I30" t="s">
        <v>6684</v>
      </c>
      <c r="J30" t="s">
        <v>6508</v>
      </c>
      <c r="K30">
        <f>IFERROR(VLOOKUP(F30,'Contacts.csv'!C:D,2,FALSE),"")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6508</v>
      </c>
      <c r="O30" t="s">
        <v>6508</v>
      </c>
      <c r="P30" t="s">
        <v>6508</v>
      </c>
      <c r="Q30">
        <f t="shared" si="0"/>
        <v>10</v>
      </c>
      <c r="R30" t="str">
        <f t="shared" si="5"/>
        <v>Active</v>
      </c>
    </row>
    <row r="31" spans="1:18" x14ac:dyDescent="0.3">
      <c r="A31" t="s">
        <v>5384</v>
      </c>
      <c r="B31" t="s">
        <v>2955</v>
      </c>
      <c r="C31">
        <f>VLOOKUP(B31,ServiceAreas.csv!B:J,9,FALSE)</f>
        <v>10</v>
      </c>
      <c r="D31" t="str">
        <f t="shared" si="1"/>
        <v>rg:{'id': '10'}</v>
      </c>
      <c r="E31" s="1" t="s">
        <v>7902</v>
      </c>
      <c r="F31" s="1" t="s">
        <v>6950</v>
      </c>
      <c r="G31">
        <f t="shared" si="6"/>
        <v>200029</v>
      </c>
      <c r="H31">
        <f t="shared" si="2"/>
        <v>500029</v>
      </c>
      <c r="I31" t="s">
        <v>6684</v>
      </c>
      <c r="J31" t="s">
        <v>6508</v>
      </c>
      <c r="K31">
        <f>IFERROR(VLOOKUP(F31,'Contacts.csv'!C:D,2,FALSE),"")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6508</v>
      </c>
      <c r="O31" t="s">
        <v>6508</v>
      </c>
      <c r="P31" t="s">
        <v>6508</v>
      </c>
      <c r="Q31">
        <f t="shared" si="0"/>
        <v>10</v>
      </c>
      <c r="R31" t="str">
        <f t="shared" si="5"/>
        <v>Active</v>
      </c>
    </row>
    <row r="32" spans="1:18" x14ac:dyDescent="0.3">
      <c r="A32" t="s">
        <v>5384</v>
      </c>
      <c r="B32" t="s">
        <v>2955</v>
      </c>
      <c r="C32">
        <f>VLOOKUP(B32,ServiceAreas.csv!B:J,9,FALSE)</f>
        <v>10</v>
      </c>
      <c r="D32" t="str">
        <f t="shared" si="1"/>
        <v>rg:{'id': '10'}</v>
      </c>
      <c r="E32" s="1" t="s">
        <v>7903</v>
      </c>
      <c r="F32" s="1" t="s">
        <v>6951</v>
      </c>
      <c r="G32">
        <f t="shared" si="6"/>
        <v>200030</v>
      </c>
      <c r="H32">
        <f t="shared" si="2"/>
        <v>500030</v>
      </c>
      <c r="I32" t="s">
        <v>6684</v>
      </c>
      <c r="J32" t="s">
        <v>6508</v>
      </c>
      <c r="K32">
        <f>IFERROR(VLOOKUP(F32,'Contacts.csv'!C:D,2,FALSE),"")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6508</v>
      </c>
      <c r="O32" t="s">
        <v>6508</v>
      </c>
      <c r="P32" t="s">
        <v>6508</v>
      </c>
      <c r="Q32">
        <f t="shared" si="0"/>
        <v>10</v>
      </c>
      <c r="R32" t="str">
        <f t="shared" si="5"/>
        <v>Active</v>
      </c>
    </row>
    <row r="33" spans="1:18" x14ac:dyDescent="0.3">
      <c r="A33" t="s">
        <v>5384</v>
      </c>
      <c r="B33" t="s">
        <v>2955</v>
      </c>
      <c r="C33">
        <f>VLOOKUP(B33,ServiceAreas.csv!B:J,9,FALSE)</f>
        <v>10</v>
      </c>
      <c r="D33" t="str">
        <f t="shared" si="1"/>
        <v>rg:{'id': '10'}</v>
      </c>
      <c r="E33" s="1" t="s">
        <v>7037</v>
      </c>
      <c r="F33" s="1" t="s">
        <v>6952</v>
      </c>
      <c r="G33">
        <f t="shared" si="6"/>
        <v>200031</v>
      </c>
      <c r="H33">
        <f t="shared" si="2"/>
        <v>500031</v>
      </c>
      <c r="I33" t="s">
        <v>6684</v>
      </c>
      <c r="J33" t="s">
        <v>6508</v>
      </c>
      <c r="K33">
        <f>IFERROR(VLOOKUP(F33,'Contacts.csv'!C:D,2,FALSE),"")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6508</v>
      </c>
      <c r="O33" t="s">
        <v>6508</v>
      </c>
      <c r="P33" t="s">
        <v>6508</v>
      </c>
      <c r="Q33">
        <f t="shared" si="0"/>
        <v>10</v>
      </c>
      <c r="R33" t="str">
        <f t="shared" si="5"/>
        <v>Active</v>
      </c>
    </row>
    <row r="34" spans="1:18" x14ac:dyDescent="0.3">
      <c r="A34" t="s">
        <v>5384</v>
      </c>
      <c r="B34" t="s">
        <v>2955</v>
      </c>
      <c r="C34">
        <f>VLOOKUP(B34,ServiceAreas.csv!B:J,9,FALSE)</f>
        <v>10</v>
      </c>
      <c r="D34" t="str">
        <f t="shared" si="1"/>
        <v>rg:{'id': '10'}</v>
      </c>
      <c r="E34" s="1" t="s">
        <v>7904</v>
      </c>
      <c r="F34" s="1" t="s">
        <v>6953</v>
      </c>
      <c r="G34">
        <f t="shared" si="6"/>
        <v>200032</v>
      </c>
      <c r="H34">
        <f t="shared" si="2"/>
        <v>500032</v>
      </c>
      <c r="I34" t="s">
        <v>6684</v>
      </c>
      <c r="J34" t="s">
        <v>6508</v>
      </c>
      <c r="K34">
        <f>IFERROR(VLOOKUP(F34,'Contacts.csv'!C:D,2,FALSE),"")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6508</v>
      </c>
      <c r="O34" t="s">
        <v>6508</v>
      </c>
      <c r="P34" t="s">
        <v>6508</v>
      </c>
      <c r="Q34">
        <f t="shared" ref="Q34:Q65" si="7">C34</f>
        <v>10</v>
      </c>
      <c r="R34" t="str">
        <f t="shared" si="5"/>
        <v>Active</v>
      </c>
    </row>
    <row r="35" spans="1:18" x14ac:dyDescent="0.3">
      <c r="A35" t="s">
        <v>5384</v>
      </c>
      <c r="B35" t="s">
        <v>2955</v>
      </c>
      <c r="C35">
        <f>VLOOKUP(B35,ServiceAreas.csv!B:J,9,FALSE)</f>
        <v>10</v>
      </c>
      <c r="D35" t="str">
        <f t="shared" si="1"/>
        <v>rg:{'id': '10'}</v>
      </c>
      <c r="E35" s="1" t="s">
        <v>6999</v>
      </c>
      <c r="F35" s="1" t="s">
        <v>6898</v>
      </c>
      <c r="G35">
        <f t="shared" si="6"/>
        <v>200033</v>
      </c>
      <c r="H35">
        <f t="shared" si="2"/>
        <v>500033</v>
      </c>
      <c r="I35" t="s">
        <v>6684</v>
      </c>
      <c r="J35" t="s">
        <v>6508</v>
      </c>
      <c r="K35" t="str">
        <f>IFERROR(VLOOKUP(F35,'Contacts.csv'!C:D,2,FALSE),"")</f>
        <v/>
      </c>
      <c r="L35" t="str">
        <f t="shared" si="3"/>
        <v>rg:None</v>
      </c>
      <c r="M35" s="4" t="str">
        <f t="shared" si="4"/>
        <v>rg:[]</v>
      </c>
      <c r="N35" t="s">
        <v>6508</v>
      </c>
      <c r="O35" t="s">
        <v>6508</v>
      </c>
      <c r="P35" t="s">
        <v>6508</v>
      </c>
      <c r="Q35">
        <f t="shared" si="7"/>
        <v>10</v>
      </c>
      <c r="R35" t="str">
        <f t="shared" si="5"/>
        <v>Active</v>
      </c>
    </row>
    <row r="36" spans="1:18" x14ac:dyDescent="0.3">
      <c r="A36" t="s">
        <v>5384</v>
      </c>
      <c r="B36" t="s">
        <v>2955</v>
      </c>
      <c r="C36">
        <f>VLOOKUP(B36,ServiceAreas.csv!B:J,9,FALSE)</f>
        <v>10</v>
      </c>
      <c r="D36" t="str">
        <f t="shared" si="1"/>
        <v>rg:{'id': '10'}</v>
      </c>
      <c r="E36" s="1" t="s">
        <v>7905</v>
      </c>
      <c r="F36" s="1" t="s">
        <v>6904</v>
      </c>
      <c r="G36">
        <f t="shared" si="6"/>
        <v>200034</v>
      </c>
      <c r="H36">
        <f t="shared" si="2"/>
        <v>500034</v>
      </c>
      <c r="I36" t="s">
        <v>6684</v>
      </c>
      <c r="J36" t="s">
        <v>6508</v>
      </c>
      <c r="K36" t="str">
        <f>IFERROR(VLOOKUP(F36,'Contacts.csv'!C:D,2,FALSE),"")</f>
        <v/>
      </c>
      <c r="L36" t="str">
        <f t="shared" si="3"/>
        <v>rg:None</v>
      </c>
      <c r="M36" s="4" t="str">
        <f t="shared" si="4"/>
        <v>rg:[]</v>
      </c>
      <c r="N36" t="s">
        <v>6508</v>
      </c>
      <c r="O36" t="s">
        <v>6508</v>
      </c>
      <c r="P36" t="s">
        <v>6508</v>
      </c>
      <c r="Q36">
        <f t="shared" si="7"/>
        <v>10</v>
      </c>
      <c r="R36" t="str">
        <f t="shared" si="5"/>
        <v>Active</v>
      </c>
    </row>
    <row r="37" spans="1:18" x14ac:dyDescent="0.3">
      <c r="A37" t="s">
        <v>5384</v>
      </c>
      <c r="B37" t="s">
        <v>2955</v>
      </c>
      <c r="C37">
        <f>VLOOKUP(B37,ServiceAreas.csv!B:J,9,FALSE)</f>
        <v>10</v>
      </c>
      <c r="D37" t="str">
        <f t="shared" si="1"/>
        <v>rg:{'id': '10'}</v>
      </c>
      <c r="E37" s="1" t="s">
        <v>7906</v>
      </c>
      <c r="F37" s="1" t="s">
        <v>6954</v>
      </c>
      <c r="G37">
        <f t="shared" si="6"/>
        <v>200035</v>
      </c>
      <c r="H37">
        <f t="shared" si="2"/>
        <v>500035</v>
      </c>
      <c r="I37" t="s">
        <v>6684</v>
      </c>
      <c r="J37" t="s">
        <v>6508</v>
      </c>
      <c r="K37" t="str">
        <f>IFERROR(VLOOKUP(F37,'Contacts.csv'!C:D,2,FALSE),"")</f>
        <v/>
      </c>
      <c r="L37" t="str">
        <f t="shared" si="3"/>
        <v>rg:None</v>
      </c>
      <c r="M37" s="4" t="str">
        <f t="shared" si="4"/>
        <v>rg:[]</v>
      </c>
      <c r="N37" t="s">
        <v>6508</v>
      </c>
      <c r="O37" t="s">
        <v>6508</v>
      </c>
      <c r="P37" t="s">
        <v>6508</v>
      </c>
      <c r="Q37">
        <f t="shared" si="7"/>
        <v>10</v>
      </c>
      <c r="R37" t="str">
        <f t="shared" si="5"/>
        <v>Active</v>
      </c>
    </row>
    <row r="38" spans="1:18" x14ac:dyDescent="0.3">
      <c r="A38" t="s">
        <v>5384</v>
      </c>
      <c r="B38" t="s">
        <v>2955</v>
      </c>
      <c r="C38">
        <f>VLOOKUP(B38,ServiceAreas.csv!B:J,9,FALSE)</f>
        <v>10</v>
      </c>
      <c r="D38" t="str">
        <f t="shared" si="1"/>
        <v>rg:{'id': '10'}</v>
      </c>
      <c r="E38" s="1" t="s">
        <v>6938</v>
      </c>
      <c r="F38" s="1" t="s">
        <v>6955</v>
      </c>
      <c r="G38">
        <f t="shared" si="6"/>
        <v>200036</v>
      </c>
      <c r="H38">
        <f t="shared" si="2"/>
        <v>500036</v>
      </c>
      <c r="I38" t="s">
        <v>6684</v>
      </c>
      <c r="J38" t="s">
        <v>6508</v>
      </c>
      <c r="K38" t="str">
        <f>IFERROR(VLOOKUP(F38,'Contacts.csv'!C:D,2,FALSE),"")</f>
        <v/>
      </c>
      <c r="L38" t="str">
        <f t="shared" si="3"/>
        <v>rg:None</v>
      </c>
      <c r="M38" s="4" t="str">
        <f t="shared" si="4"/>
        <v>rg:[]</v>
      </c>
      <c r="N38" t="s">
        <v>6508</v>
      </c>
      <c r="O38" t="s">
        <v>6508</v>
      </c>
      <c r="P38" t="s">
        <v>6508</v>
      </c>
      <c r="Q38">
        <f t="shared" si="7"/>
        <v>10</v>
      </c>
      <c r="R38" t="str">
        <f t="shared" si="5"/>
        <v>Active</v>
      </c>
    </row>
    <row r="39" spans="1:18" x14ac:dyDescent="0.3">
      <c r="A39" t="s">
        <v>5384</v>
      </c>
      <c r="B39" t="s">
        <v>2955</v>
      </c>
      <c r="C39">
        <f>VLOOKUP(B39,ServiceAreas.csv!B:J,9,FALSE)</f>
        <v>10</v>
      </c>
      <c r="D39" t="str">
        <f t="shared" si="1"/>
        <v>rg:{'id': '10'}</v>
      </c>
      <c r="E39" s="1" t="s">
        <v>6956</v>
      </c>
      <c r="F39" s="1" t="s">
        <v>6956</v>
      </c>
      <c r="G39">
        <f t="shared" si="6"/>
        <v>200037</v>
      </c>
      <c r="H39">
        <f t="shared" si="2"/>
        <v>500037</v>
      </c>
      <c r="I39" t="s">
        <v>6684</v>
      </c>
      <c r="J39" t="s">
        <v>6508</v>
      </c>
      <c r="K39" t="str">
        <f>IFERROR(VLOOKUP(F39,'Contacts.csv'!C:D,2,FALSE),"")</f>
        <v/>
      </c>
      <c r="L39" t="str">
        <f t="shared" si="3"/>
        <v>rg:None</v>
      </c>
      <c r="M39" s="4" t="str">
        <f t="shared" si="4"/>
        <v>rg:[]</v>
      </c>
      <c r="N39" t="s">
        <v>6508</v>
      </c>
      <c r="O39" t="s">
        <v>6508</v>
      </c>
      <c r="P39" t="s">
        <v>6508</v>
      </c>
      <c r="Q39">
        <f t="shared" si="7"/>
        <v>10</v>
      </c>
      <c r="R39" t="str">
        <f t="shared" si="5"/>
        <v>Active</v>
      </c>
    </row>
    <row r="40" spans="1:18" x14ac:dyDescent="0.3">
      <c r="A40" t="s">
        <v>5384</v>
      </c>
      <c r="B40" t="s">
        <v>2955</v>
      </c>
      <c r="C40">
        <f>VLOOKUP(B40,ServiceAreas.csv!B:J,9,FALSE)</f>
        <v>10</v>
      </c>
      <c r="D40" t="str">
        <f t="shared" si="1"/>
        <v>rg:{'id': '10'}</v>
      </c>
      <c r="E40" s="1" t="s">
        <v>6895</v>
      </c>
      <c r="F40" s="1" t="s">
        <v>6923</v>
      </c>
      <c r="G40">
        <f t="shared" si="6"/>
        <v>200038</v>
      </c>
      <c r="H40">
        <f t="shared" si="2"/>
        <v>500038</v>
      </c>
      <c r="I40" t="s">
        <v>6684</v>
      </c>
      <c r="J40" t="s">
        <v>6508</v>
      </c>
      <c r="K40" t="str">
        <f>IFERROR(VLOOKUP(F40,'Contacts.csv'!C:D,2,FALSE),"")</f>
        <v/>
      </c>
      <c r="L40" t="str">
        <f t="shared" si="3"/>
        <v>rg:None</v>
      </c>
      <c r="M40" s="4" t="str">
        <f t="shared" si="4"/>
        <v>rg:[]</v>
      </c>
      <c r="N40" t="s">
        <v>6508</v>
      </c>
      <c r="O40" t="s">
        <v>6508</v>
      </c>
      <c r="P40" t="s">
        <v>6508</v>
      </c>
      <c r="Q40">
        <f t="shared" si="7"/>
        <v>10</v>
      </c>
      <c r="R40" t="str">
        <f t="shared" si="5"/>
        <v>Active</v>
      </c>
    </row>
    <row r="41" spans="1:18" x14ac:dyDescent="0.3">
      <c r="A41" t="s">
        <v>5384</v>
      </c>
      <c r="B41" t="s">
        <v>2955</v>
      </c>
      <c r="C41">
        <f>VLOOKUP(B41,ServiceAreas.csv!B:J,9,FALSE)</f>
        <v>10</v>
      </c>
      <c r="D41" t="str">
        <f t="shared" si="1"/>
        <v>rg:{'id': '10'}</v>
      </c>
      <c r="E41" s="1" t="s">
        <v>7907</v>
      </c>
      <c r="F41" s="1" t="s">
        <v>6919</v>
      </c>
      <c r="G41">
        <f t="shared" si="6"/>
        <v>200039</v>
      </c>
      <c r="H41">
        <f t="shared" si="2"/>
        <v>500039</v>
      </c>
      <c r="I41" t="s">
        <v>6684</v>
      </c>
      <c r="J41" t="s">
        <v>6508</v>
      </c>
      <c r="K41" t="str">
        <f>IFERROR(VLOOKUP(F41,'Contacts.csv'!C:D,2,FALSE),"")</f>
        <v/>
      </c>
      <c r="L41" t="str">
        <f t="shared" si="3"/>
        <v>rg:None</v>
      </c>
      <c r="M41" s="4" t="str">
        <f t="shared" si="4"/>
        <v>rg:[]</v>
      </c>
      <c r="N41" t="s">
        <v>6508</v>
      </c>
      <c r="O41" t="s">
        <v>6508</v>
      </c>
      <c r="P41" t="s">
        <v>6508</v>
      </c>
      <c r="Q41">
        <f t="shared" si="7"/>
        <v>10</v>
      </c>
      <c r="R41" t="str">
        <f t="shared" si="5"/>
        <v>Active</v>
      </c>
    </row>
    <row r="42" spans="1:18" x14ac:dyDescent="0.3">
      <c r="A42" t="s">
        <v>5384</v>
      </c>
      <c r="B42" t="s">
        <v>2955</v>
      </c>
      <c r="C42">
        <f>VLOOKUP(B42,ServiceAreas.csv!B:J,9,FALSE)</f>
        <v>10</v>
      </c>
      <c r="D42" t="str">
        <f t="shared" si="1"/>
        <v>rg:{'id': '10'}</v>
      </c>
      <c r="E42" s="1" t="s">
        <v>7908</v>
      </c>
      <c r="F42" s="1" t="s">
        <v>6925</v>
      </c>
      <c r="G42">
        <f t="shared" si="6"/>
        <v>200040</v>
      </c>
      <c r="H42">
        <f t="shared" si="2"/>
        <v>500040</v>
      </c>
      <c r="I42" t="s">
        <v>6684</v>
      </c>
      <c r="J42" t="s">
        <v>6508</v>
      </c>
      <c r="K42" t="str">
        <f>IFERROR(VLOOKUP(F42,'Contacts.csv'!C:D,2,FALSE),"")</f>
        <v/>
      </c>
      <c r="L42" t="str">
        <f t="shared" si="3"/>
        <v>rg:None</v>
      </c>
      <c r="M42" s="4" t="str">
        <f t="shared" si="4"/>
        <v>rg:[]</v>
      </c>
      <c r="N42" t="s">
        <v>6508</v>
      </c>
      <c r="O42" t="s">
        <v>6508</v>
      </c>
      <c r="P42" t="s">
        <v>6508</v>
      </c>
      <c r="Q42">
        <f t="shared" si="7"/>
        <v>10</v>
      </c>
      <c r="R42" t="str">
        <f t="shared" si="5"/>
        <v>Active</v>
      </c>
    </row>
    <row r="43" spans="1:18" x14ac:dyDescent="0.3">
      <c r="A43" t="s">
        <v>5384</v>
      </c>
      <c r="B43" t="s">
        <v>2955</v>
      </c>
      <c r="C43">
        <f>VLOOKUP(B43,ServiceAreas.csv!B:J,9,FALSE)</f>
        <v>10</v>
      </c>
      <c r="D43" t="str">
        <f t="shared" si="1"/>
        <v>rg:{'id': '10'}</v>
      </c>
      <c r="E43" s="1" t="s">
        <v>6913</v>
      </c>
      <c r="F43" s="1" t="s">
        <v>6957</v>
      </c>
      <c r="G43">
        <f t="shared" si="6"/>
        <v>200041</v>
      </c>
      <c r="H43">
        <f t="shared" si="2"/>
        <v>500041</v>
      </c>
      <c r="I43" t="s">
        <v>6684</v>
      </c>
      <c r="J43" t="s">
        <v>6508</v>
      </c>
      <c r="K43" t="str">
        <f>IFERROR(VLOOKUP(F43,'Contacts.csv'!C:D,2,FALSE),"")</f>
        <v/>
      </c>
      <c r="L43" t="str">
        <f t="shared" si="3"/>
        <v>rg:None</v>
      </c>
      <c r="M43" s="4" t="str">
        <f t="shared" si="4"/>
        <v>rg:[]</v>
      </c>
      <c r="N43" t="s">
        <v>6508</v>
      </c>
      <c r="O43" t="s">
        <v>6508</v>
      </c>
      <c r="P43" t="s">
        <v>6508</v>
      </c>
      <c r="Q43">
        <f t="shared" si="7"/>
        <v>10</v>
      </c>
      <c r="R43" t="str">
        <f t="shared" si="5"/>
        <v>Active</v>
      </c>
    </row>
    <row r="44" spans="1:18" x14ac:dyDescent="0.3">
      <c r="A44" t="s">
        <v>5384</v>
      </c>
      <c r="B44" t="s">
        <v>2955</v>
      </c>
      <c r="C44">
        <f>VLOOKUP(B44,ServiceAreas.csv!B:J,9,FALSE)</f>
        <v>10</v>
      </c>
      <c r="D44" t="str">
        <f t="shared" si="1"/>
        <v>rg:{'id': '10'}</v>
      </c>
      <c r="E44" s="1" t="s">
        <v>7909</v>
      </c>
      <c r="F44" s="1" t="s">
        <v>6909</v>
      </c>
      <c r="G44">
        <f t="shared" si="6"/>
        <v>200042</v>
      </c>
      <c r="H44">
        <f t="shared" si="2"/>
        <v>500042</v>
      </c>
      <c r="I44" t="s">
        <v>6684</v>
      </c>
      <c r="J44" t="s">
        <v>6508</v>
      </c>
      <c r="K44" t="str">
        <f>IFERROR(VLOOKUP(F44,'Contacts.csv'!C:D,2,FALSE),"")</f>
        <v/>
      </c>
      <c r="L44" t="str">
        <f t="shared" si="3"/>
        <v>rg:None</v>
      </c>
      <c r="M44" s="4" t="str">
        <f t="shared" si="4"/>
        <v>rg:[]</v>
      </c>
      <c r="N44" t="s">
        <v>6508</v>
      </c>
      <c r="O44" t="s">
        <v>6508</v>
      </c>
      <c r="P44" t="s">
        <v>6508</v>
      </c>
      <c r="Q44">
        <f t="shared" si="7"/>
        <v>10</v>
      </c>
      <c r="R44" t="str">
        <f t="shared" si="5"/>
        <v>Active</v>
      </c>
    </row>
    <row r="45" spans="1:18" x14ac:dyDescent="0.3">
      <c r="A45" t="s">
        <v>5384</v>
      </c>
      <c r="B45" t="s">
        <v>2955</v>
      </c>
      <c r="C45">
        <f>VLOOKUP(B45,ServiceAreas.csv!B:J,9,FALSE)</f>
        <v>10</v>
      </c>
      <c r="D45" t="str">
        <f t="shared" si="1"/>
        <v>rg:{'id': '10'}</v>
      </c>
      <c r="E45" s="1" t="s">
        <v>6923</v>
      </c>
      <c r="F45" s="1" t="s">
        <v>6958</v>
      </c>
      <c r="G45">
        <f t="shared" si="6"/>
        <v>200043</v>
      </c>
      <c r="H45">
        <f t="shared" si="2"/>
        <v>500043</v>
      </c>
      <c r="I45" t="s">
        <v>6684</v>
      </c>
      <c r="J45" t="s">
        <v>6508</v>
      </c>
      <c r="K45" t="str">
        <f>IFERROR(VLOOKUP(F45,'Contacts.csv'!C:D,2,FALSE),"")</f>
        <v/>
      </c>
      <c r="L45" t="str">
        <f t="shared" si="3"/>
        <v>rg:None</v>
      </c>
      <c r="M45" s="4" t="str">
        <f t="shared" si="4"/>
        <v>rg:[]</v>
      </c>
      <c r="N45" t="s">
        <v>6508</v>
      </c>
      <c r="O45" t="s">
        <v>6508</v>
      </c>
      <c r="P45" t="s">
        <v>6508</v>
      </c>
      <c r="Q45">
        <f t="shared" si="7"/>
        <v>10</v>
      </c>
      <c r="R45" t="str">
        <f t="shared" si="5"/>
        <v>Active</v>
      </c>
    </row>
    <row r="46" spans="1:18" x14ac:dyDescent="0.3">
      <c r="A46" t="s">
        <v>5384</v>
      </c>
      <c r="B46" t="s">
        <v>2955</v>
      </c>
      <c r="C46">
        <f>VLOOKUP(B46,ServiceAreas.csv!B:J,9,FALSE)</f>
        <v>10</v>
      </c>
      <c r="D46" t="str">
        <f t="shared" si="1"/>
        <v>rg:{'id': '10'}</v>
      </c>
      <c r="E46" s="1" t="s">
        <v>7910</v>
      </c>
      <c r="F46" s="1" t="s">
        <v>6959</v>
      </c>
      <c r="G46">
        <f t="shared" si="6"/>
        <v>200044</v>
      </c>
      <c r="H46">
        <f t="shared" si="2"/>
        <v>500044</v>
      </c>
      <c r="I46" t="s">
        <v>6684</v>
      </c>
      <c r="J46" t="s">
        <v>6508</v>
      </c>
      <c r="K46" t="str">
        <f>IFERROR(VLOOKUP(F46,'Contacts.csv'!C:D,2,FALSE),"")</f>
        <v/>
      </c>
      <c r="L46" t="str">
        <f t="shared" si="3"/>
        <v>rg:None</v>
      </c>
      <c r="M46" s="4" t="str">
        <f t="shared" si="4"/>
        <v>rg:[]</v>
      </c>
      <c r="N46" t="s">
        <v>6508</v>
      </c>
      <c r="O46" t="s">
        <v>6508</v>
      </c>
      <c r="P46" t="s">
        <v>6508</v>
      </c>
      <c r="Q46">
        <f t="shared" si="7"/>
        <v>10</v>
      </c>
      <c r="R46" t="str">
        <f t="shared" si="5"/>
        <v>Active</v>
      </c>
    </row>
    <row r="47" spans="1:18" x14ac:dyDescent="0.3">
      <c r="A47" t="s">
        <v>5384</v>
      </c>
      <c r="B47" t="s">
        <v>2955</v>
      </c>
      <c r="C47">
        <f>VLOOKUP(B47,ServiceAreas.csv!B:J,9,FALSE)</f>
        <v>10</v>
      </c>
      <c r="D47" t="str">
        <f t="shared" si="1"/>
        <v>rg:{'id': '10'}</v>
      </c>
      <c r="E47" s="1" t="s">
        <v>7911</v>
      </c>
      <c r="F47" s="1" t="s">
        <v>6960</v>
      </c>
      <c r="G47">
        <f t="shared" si="6"/>
        <v>200045</v>
      </c>
      <c r="H47">
        <f t="shared" si="2"/>
        <v>500045</v>
      </c>
      <c r="I47" t="s">
        <v>6684</v>
      </c>
      <c r="J47" t="s">
        <v>6508</v>
      </c>
      <c r="K47" t="str">
        <f>IFERROR(VLOOKUP(F47,'Contacts.csv'!C:D,2,FALSE),"")</f>
        <v/>
      </c>
      <c r="L47" t="str">
        <f t="shared" si="3"/>
        <v>rg:None</v>
      </c>
      <c r="M47" s="4" t="str">
        <f t="shared" si="4"/>
        <v>rg:[]</v>
      </c>
      <c r="N47" t="s">
        <v>6508</v>
      </c>
      <c r="O47" t="s">
        <v>6508</v>
      </c>
      <c r="P47" t="s">
        <v>6508</v>
      </c>
      <c r="Q47">
        <f t="shared" si="7"/>
        <v>10</v>
      </c>
      <c r="R47" t="str">
        <f t="shared" si="5"/>
        <v>Active</v>
      </c>
    </row>
    <row r="48" spans="1:18" x14ac:dyDescent="0.3">
      <c r="A48" t="s">
        <v>5384</v>
      </c>
      <c r="B48" t="s">
        <v>2955</v>
      </c>
      <c r="C48">
        <f>VLOOKUP(B48,ServiceAreas.csv!B:J,9,FALSE)</f>
        <v>10</v>
      </c>
      <c r="D48" t="str">
        <f t="shared" si="1"/>
        <v>rg:{'id': '10'}</v>
      </c>
      <c r="E48" s="1" t="s">
        <v>6944</v>
      </c>
      <c r="F48" s="1" t="s">
        <v>6961</v>
      </c>
      <c r="G48">
        <f t="shared" si="6"/>
        <v>200046</v>
      </c>
      <c r="H48">
        <f t="shared" si="2"/>
        <v>500046</v>
      </c>
      <c r="I48" t="s">
        <v>6684</v>
      </c>
      <c r="J48" t="s">
        <v>6508</v>
      </c>
      <c r="K48" t="str">
        <f>IFERROR(VLOOKUP(F48,'Contacts.csv'!C:D,2,FALSE),"")</f>
        <v/>
      </c>
      <c r="L48" t="str">
        <f t="shared" si="3"/>
        <v>rg:None</v>
      </c>
      <c r="M48" s="4" t="str">
        <f t="shared" si="4"/>
        <v>rg:[]</v>
      </c>
      <c r="N48" t="s">
        <v>6508</v>
      </c>
      <c r="O48" t="s">
        <v>6508</v>
      </c>
      <c r="P48" t="s">
        <v>6508</v>
      </c>
      <c r="Q48">
        <f t="shared" si="7"/>
        <v>10</v>
      </c>
      <c r="R48" t="str">
        <f t="shared" si="5"/>
        <v>Active</v>
      </c>
    </row>
    <row r="49" spans="1:18" x14ac:dyDescent="0.3">
      <c r="A49" t="s">
        <v>5384</v>
      </c>
      <c r="B49" t="s">
        <v>2955</v>
      </c>
      <c r="C49">
        <f>VLOOKUP(B49,ServiceAreas.csv!B:J,9,FALSE)</f>
        <v>10</v>
      </c>
      <c r="D49" t="str">
        <f t="shared" si="1"/>
        <v>rg:{'id': '10'}</v>
      </c>
      <c r="E49" s="1" t="s">
        <v>6901</v>
      </c>
      <c r="F49" s="1" t="s">
        <v>6901</v>
      </c>
      <c r="G49">
        <f t="shared" si="6"/>
        <v>200047</v>
      </c>
      <c r="H49">
        <f t="shared" si="2"/>
        <v>500047</v>
      </c>
      <c r="I49" t="s">
        <v>6684</v>
      </c>
      <c r="J49" t="s">
        <v>6508</v>
      </c>
      <c r="K49" t="str">
        <f>IFERROR(VLOOKUP(F49,'Contacts.csv'!C:D,2,FALSE),"")</f>
        <v/>
      </c>
      <c r="L49" t="str">
        <f t="shared" si="3"/>
        <v>rg:None</v>
      </c>
      <c r="M49" s="4" t="str">
        <f t="shared" si="4"/>
        <v>rg:[]</v>
      </c>
      <c r="N49" t="s">
        <v>6508</v>
      </c>
      <c r="O49" t="s">
        <v>6508</v>
      </c>
      <c r="P49" t="s">
        <v>6508</v>
      </c>
      <c r="Q49">
        <f t="shared" si="7"/>
        <v>10</v>
      </c>
      <c r="R49" t="str">
        <f t="shared" si="5"/>
        <v>Active</v>
      </c>
    </row>
    <row r="50" spans="1:18" x14ac:dyDescent="0.3">
      <c r="A50" t="s">
        <v>5384</v>
      </c>
      <c r="B50" t="s">
        <v>2955</v>
      </c>
      <c r="C50">
        <f>VLOOKUP(B50,ServiceAreas.csv!B:J,9,FALSE)</f>
        <v>10</v>
      </c>
      <c r="D50" t="str">
        <f t="shared" si="1"/>
        <v>rg:{'id': '10'}</v>
      </c>
      <c r="E50" s="1" t="s">
        <v>7912</v>
      </c>
      <c r="F50" s="1" t="s">
        <v>6962</v>
      </c>
      <c r="G50">
        <f t="shared" si="6"/>
        <v>200048</v>
      </c>
      <c r="H50">
        <f t="shared" si="2"/>
        <v>500048</v>
      </c>
      <c r="I50" t="s">
        <v>6684</v>
      </c>
      <c r="J50" t="s">
        <v>6508</v>
      </c>
      <c r="K50" t="str">
        <f>IFERROR(VLOOKUP(F50,'Contacts.csv'!C:D,2,FALSE),"")</f>
        <v/>
      </c>
      <c r="L50" t="str">
        <f t="shared" si="3"/>
        <v>rg:None</v>
      </c>
      <c r="M50" s="4" t="str">
        <f t="shared" si="4"/>
        <v>rg:[]</v>
      </c>
      <c r="N50" t="s">
        <v>6508</v>
      </c>
      <c r="O50" t="s">
        <v>6508</v>
      </c>
      <c r="P50" t="s">
        <v>6508</v>
      </c>
      <c r="Q50">
        <f t="shared" si="7"/>
        <v>10</v>
      </c>
      <c r="R50" t="str">
        <f t="shared" si="5"/>
        <v>Active</v>
      </c>
    </row>
    <row r="51" spans="1:18" x14ac:dyDescent="0.3">
      <c r="A51" t="s">
        <v>5384</v>
      </c>
      <c r="B51" t="s">
        <v>2955</v>
      </c>
      <c r="C51">
        <f>VLOOKUP(B51,ServiceAreas.csv!B:J,9,FALSE)</f>
        <v>10</v>
      </c>
      <c r="D51" t="str">
        <f t="shared" si="1"/>
        <v>rg:{'id': '10'}</v>
      </c>
      <c r="E51" s="1" t="s">
        <v>6960</v>
      </c>
      <c r="F51" s="1" t="s">
        <v>6963</v>
      </c>
      <c r="G51">
        <f t="shared" si="6"/>
        <v>200049</v>
      </c>
      <c r="H51">
        <f t="shared" si="2"/>
        <v>500049</v>
      </c>
      <c r="I51" t="s">
        <v>6684</v>
      </c>
      <c r="J51" t="s">
        <v>6508</v>
      </c>
      <c r="K51" t="str">
        <f>IFERROR(VLOOKUP(F51,'Contacts.csv'!C:D,2,FALSE),"")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6508</v>
      </c>
      <c r="O51" t="s">
        <v>6508</v>
      </c>
      <c r="P51" t="s">
        <v>6508</v>
      </c>
      <c r="Q51">
        <f t="shared" si="7"/>
        <v>10</v>
      </c>
      <c r="R51" t="str">
        <f t="shared" si="5"/>
        <v>Active</v>
      </c>
    </row>
    <row r="52" spans="1:18" x14ac:dyDescent="0.3">
      <c r="A52" t="s">
        <v>5384</v>
      </c>
      <c r="B52" t="s">
        <v>2955</v>
      </c>
      <c r="C52">
        <f>VLOOKUP(B52,ServiceAreas.csv!B:J,9,FALSE)</f>
        <v>10</v>
      </c>
      <c r="D52" t="str">
        <f t="shared" si="1"/>
        <v>rg:{'id': '10'}</v>
      </c>
      <c r="E52" s="1" t="s">
        <v>7907</v>
      </c>
      <c r="F52" s="1" t="s">
        <v>6964</v>
      </c>
      <c r="G52">
        <f t="shared" si="6"/>
        <v>200050</v>
      </c>
      <c r="H52">
        <f t="shared" si="2"/>
        <v>500050</v>
      </c>
      <c r="I52" t="s">
        <v>6684</v>
      </c>
      <c r="J52" t="s">
        <v>6508</v>
      </c>
      <c r="K52" t="str">
        <f>IFERROR(VLOOKUP(F52,'Contacts.csv'!C:D,2,FALSE),"")</f>
        <v/>
      </c>
      <c r="L52" t="str">
        <f t="shared" si="8"/>
        <v>rg:None</v>
      </c>
      <c r="M52" s="4" t="str">
        <f t="shared" si="9"/>
        <v>rg:[]</v>
      </c>
      <c r="N52" t="s">
        <v>6508</v>
      </c>
      <c r="O52" t="s">
        <v>6508</v>
      </c>
      <c r="P52" t="s">
        <v>6508</v>
      </c>
      <c r="Q52">
        <f t="shared" si="7"/>
        <v>10</v>
      </c>
      <c r="R52" t="str">
        <f t="shared" si="5"/>
        <v>Active</v>
      </c>
    </row>
    <row r="53" spans="1:18" x14ac:dyDescent="0.3">
      <c r="A53" t="s">
        <v>5384</v>
      </c>
      <c r="B53" t="s">
        <v>2955</v>
      </c>
      <c r="C53">
        <f>VLOOKUP(B53,ServiceAreas.csv!B:J,9,FALSE)</f>
        <v>10</v>
      </c>
      <c r="D53" t="str">
        <f t="shared" si="1"/>
        <v>rg:{'id': '10'}</v>
      </c>
      <c r="E53" s="1" t="s">
        <v>7013</v>
      </c>
      <c r="F53" s="1" t="s">
        <v>6906</v>
      </c>
      <c r="G53">
        <f t="shared" si="6"/>
        <v>200051</v>
      </c>
      <c r="H53">
        <f t="shared" si="2"/>
        <v>500051</v>
      </c>
      <c r="I53" t="s">
        <v>6684</v>
      </c>
      <c r="J53" t="s">
        <v>6508</v>
      </c>
      <c r="K53" t="str">
        <f>IFERROR(VLOOKUP(F53,'Contacts.csv'!C:D,2,FALSE),"")</f>
        <v/>
      </c>
      <c r="L53" t="str">
        <f t="shared" si="8"/>
        <v>rg:None</v>
      </c>
      <c r="M53" s="4" t="str">
        <f t="shared" si="9"/>
        <v>rg:[]</v>
      </c>
      <c r="N53" t="s">
        <v>6508</v>
      </c>
      <c r="O53" t="s">
        <v>6508</v>
      </c>
      <c r="P53" t="s">
        <v>6508</v>
      </c>
      <c r="Q53">
        <f t="shared" si="7"/>
        <v>10</v>
      </c>
      <c r="R53" t="str">
        <f t="shared" si="5"/>
        <v>Active</v>
      </c>
    </row>
    <row r="54" spans="1:18" x14ac:dyDescent="0.3">
      <c r="A54" t="s">
        <v>5384</v>
      </c>
      <c r="B54" t="s">
        <v>2955</v>
      </c>
      <c r="C54">
        <f>VLOOKUP(B54,ServiceAreas.csv!B:J,9,FALSE)</f>
        <v>10</v>
      </c>
      <c r="D54" t="str">
        <f t="shared" si="1"/>
        <v>rg:{'id': '10'}</v>
      </c>
      <c r="E54" s="1" t="s">
        <v>7913</v>
      </c>
      <c r="F54" s="1" t="s">
        <v>6905</v>
      </c>
      <c r="G54">
        <f t="shared" si="6"/>
        <v>200052</v>
      </c>
      <c r="H54">
        <f t="shared" si="2"/>
        <v>500052</v>
      </c>
      <c r="I54" t="s">
        <v>6684</v>
      </c>
      <c r="J54" t="s">
        <v>6508</v>
      </c>
      <c r="K54" t="str">
        <f>IFERROR(VLOOKUP(F54,'Contacts.csv'!C:D,2,FALSE),"")</f>
        <v/>
      </c>
      <c r="L54" t="str">
        <f t="shared" si="8"/>
        <v>rg:None</v>
      </c>
      <c r="M54" s="4" t="str">
        <f t="shared" si="9"/>
        <v>rg:[]</v>
      </c>
      <c r="N54" t="s">
        <v>6508</v>
      </c>
      <c r="O54" t="s">
        <v>6508</v>
      </c>
      <c r="P54" t="s">
        <v>6508</v>
      </c>
      <c r="Q54">
        <f t="shared" si="7"/>
        <v>10</v>
      </c>
      <c r="R54" t="str">
        <f t="shared" si="5"/>
        <v>Active</v>
      </c>
    </row>
    <row r="55" spans="1:18" x14ac:dyDescent="0.3">
      <c r="A55" t="s">
        <v>5384</v>
      </c>
      <c r="B55" t="s">
        <v>2955</v>
      </c>
      <c r="C55">
        <f>VLOOKUP(B55,ServiceAreas.csv!B:J,9,FALSE)</f>
        <v>10</v>
      </c>
      <c r="D55" t="str">
        <f t="shared" si="1"/>
        <v>rg:{'id': '10'}</v>
      </c>
      <c r="E55" s="1" t="s">
        <v>7914</v>
      </c>
      <c r="F55" s="1" t="s">
        <v>6965</v>
      </c>
      <c r="G55">
        <f t="shared" si="6"/>
        <v>200053</v>
      </c>
      <c r="H55">
        <f t="shared" si="2"/>
        <v>500053</v>
      </c>
      <c r="I55" t="s">
        <v>6684</v>
      </c>
      <c r="J55" t="s">
        <v>6508</v>
      </c>
      <c r="K55" t="str">
        <f>IFERROR(VLOOKUP(F55,'Contacts.csv'!C:D,2,FALSE),"")</f>
        <v/>
      </c>
      <c r="L55" t="str">
        <f t="shared" si="8"/>
        <v>rg:None</v>
      </c>
      <c r="M55" s="4" t="str">
        <f t="shared" si="9"/>
        <v>rg:[]</v>
      </c>
      <c r="N55" t="s">
        <v>6508</v>
      </c>
      <c r="O55" t="s">
        <v>6508</v>
      </c>
      <c r="P55" t="s">
        <v>6508</v>
      </c>
      <c r="Q55">
        <f t="shared" si="7"/>
        <v>10</v>
      </c>
      <c r="R55" t="str">
        <f t="shared" si="5"/>
        <v>Active</v>
      </c>
    </row>
    <row r="56" spans="1:18" x14ac:dyDescent="0.3">
      <c r="A56" t="s">
        <v>5384</v>
      </c>
      <c r="B56" t="s">
        <v>2955</v>
      </c>
      <c r="C56">
        <f>VLOOKUP(B56,ServiceAreas.csv!B:J,9,FALSE)</f>
        <v>10</v>
      </c>
      <c r="D56" t="str">
        <f t="shared" si="1"/>
        <v>rg:{'id': '10'}</v>
      </c>
      <c r="E56" s="1" t="s">
        <v>7032</v>
      </c>
      <c r="F56" s="1" t="s">
        <v>6966</v>
      </c>
      <c r="G56">
        <f t="shared" si="6"/>
        <v>200054</v>
      </c>
      <c r="H56">
        <f t="shared" si="2"/>
        <v>500054</v>
      </c>
      <c r="I56" t="s">
        <v>6684</v>
      </c>
      <c r="J56" t="s">
        <v>6508</v>
      </c>
      <c r="K56" t="str">
        <f>IFERROR(VLOOKUP(F56,'Contacts.csv'!C:D,2,FALSE),"")</f>
        <v/>
      </c>
      <c r="L56" t="str">
        <f t="shared" si="8"/>
        <v>rg:None</v>
      </c>
      <c r="M56" s="4" t="str">
        <f t="shared" si="9"/>
        <v>rg:[]</v>
      </c>
      <c r="N56" t="s">
        <v>6508</v>
      </c>
      <c r="O56" t="s">
        <v>6508</v>
      </c>
      <c r="P56" t="s">
        <v>6508</v>
      </c>
      <c r="Q56">
        <f t="shared" si="7"/>
        <v>10</v>
      </c>
      <c r="R56" t="str">
        <f t="shared" si="5"/>
        <v>Active</v>
      </c>
    </row>
    <row r="57" spans="1:18" x14ac:dyDescent="0.3">
      <c r="A57" t="s">
        <v>5384</v>
      </c>
      <c r="B57" t="s">
        <v>2955</v>
      </c>
      <c r="C57">
        <f>VLOOKUP(B57,ServiceAreas.csv!B:J,9,FALSE)</f>
        <v>10</v>
      </c>
      <c r="D57" t="str">
        <f t="shared" si="1"/>
        <v>rg:{'id': '10'}</v>
      </c>
      <c r="E57" s="1" t="s">
        <v>7915</v>
      </c>
      <c r="F57" s="1" t="s">
        <v>6967</v>
      </c>
      <c r="G57">
        <f t="shared" si="6"/>
        <v>200055</v>
      </c>
      <c r="H57">
        <f t="shared" si="2"/>
        <v>500055</v>
      </c>
      <c r="I57" t="s">
        <v>6684</v>
      </c>
      <c r="J57" t="s">
        <v>6508</v>
      </c>
      <c r="K57" t="str">
        <f>IFERROR(VLOOKUP(F57,'Contacts.csv'!C:D,2,FALSE),"")</f>
        <v/>
      </c>
      <c r="L57" t="str">
        <f t="shared" si="8"/>
        <v>rg:None</v>
      </c>
      <c r="M57" s="4" t="str">
        <f t="shared" si="9"/>
        <v>rg:[]</v>
      </c>
      <c r="N57" t="s">
        <v>6508</v>
      </c>
      <c r="O57" t="s">
        <v>6508</v>
      </c>
      <c r="P57" t="s">
        <v>6508</v>
      </c>
      <c r="Q57">
        <f t="shared" si="7"/>
        <v>10</v>
      </c>
      <c r="R57" t="str">
        <f t="shared" si="5"/>
        <v>Active</v>
      </c>
    </row>
    <row r="58" spans="1:18" x14ac:dyDescent="0.3">
      <c r="A58" t="s">
        <v>5384</v>
      </c>
      <c r="B58" t="s">
        <v>2955</v>
      </c>
      <c r="C58">
        <f>VLOOKUP(B58,ServiceAreas.csv!B:J,9,FALSE)</f>
        <v>10</v>
      </c>
      <c r="D58" t="str">
        <f t="shared" si="1"/>
        <v>rg:{'id': '10'}</v>
      </c>
      <c r="E58" s="1" t="s">
        <v>7916</v>
      </c>
      <c r="F58" s="1" t="s">
        <v>6968</v>
      </c>
      <c r="G58">
        <f t="shared" si="6"/>
        <v>200056</v>
      </c>
      <c r="H58">
        <f t="shared" si="2"/>
        <v>500056</v>
      </c>
      <c r="I58" t="s">
        <v>6684</v>
      </c>
      <c r="J58" t="s">
        <v>6508</v>
      </c>
      <c r="K58" t="str">
        <f>IFERROR(VLOOKUP(F58,'Contacts.csv'!C:D,2,FALSE),"")</f>
        <v/>
      </c>
      <c r="L58" t="str">
        <f t="shared" si="8"/>
        <v>rg:None</v>
      </c>
      <c r="M58" s="4" t="str">
        <f t="shared" si="9"/>
        <v>rg:[]</v>
      </c>
      <c r="N58" t="s">
        <v>6508</v>
      </c>
      <c r="O58" t="s">
        <v>6508</v>
      </c>
      <c r="P58" t="s">
        <v>6508</v>
      </c>
      <c r="Q58">
        <f t="shared" si="7"/>
        <v>10</v>
      </c>
      <c r="R58" t="str">
        <f t="shared" si="5"/>
        <v>Active</v>
      </c>
    </row>
    <row r="59" spans="1:18" x14ac:dyDescent="0.3">
      <c r="A59" t="s">
        <v>5384</v>
      </c>
      <c r="B59" t="s">
        <v>2955</v>
      </c>
      <c r="C59">
        <f>VLOOKUP(B59,ServiceAreas.csv!B:J,9,FALSE)</f>
        <v>10</v>
      </c>
      <c r="D59" t="str">
        <f t="shared" si="1"/>
        <v>rg:{'id': '10'}</v>
      </c>
      <c r="E59" s="1" t="s">
        <v>6891</v>
      </c>
      <c r="F59" s="1" t="s">
        <v>6969</v>
      </c>
      <c r="G59">
        <f t="shared" si="6"/>
        <v>200057</v>
      </c>
      <c r="H59">
        <f t="shared" si="2"/>
        <v>500057</v>
      </c>
      <c r="I59" t="s">
        <v>6684</v>
      </c>
      <c r="J59" t="s">
        <v>6508</v>
      </c>
      <c r="K59" t="str">
        <f>IFERROR(VLOOKUP(F59,'Contacts.csv'!C:D,2,FALSE),"")</f>
        <v/>
      </c>
      <c r="L59" t="str">
        <f t="shared" si="8"/>
        <v>rg:None</v>
      </c>
      <c r="M59" s="4" t="str">
        <f t="shared" si="9"/>
        <v>rg:[]</v>
      </c>
      <c r="N59" t="s">
        <v>6508</v>
      </c>
      <c r="O59" t="s">
        <v>6508</v>
      </c>
      <c r="P59" t="s">
        <v>6508</v>
      </c>
      <c r="Q59">
        <f t="shared" si="7"/>
        <v>10</v>
      </c>
      <c r="R59" t="str">
        <f t="shared" si="5"/>
        <v>Active</v>
      </c>
    </row>
    <row r="60" spans="1:18" x14ac:dyDescent="0.3">
      <c r="A60" t="s">
        <v>5384</v>
      </c>
      <c r="B60" t="s">
        <v>2955</v>
      </c>
      <c r="C60">
        <f>VLOOKUP(B60,ServiceAreas.csv!B:J,9,FALSE)</f>
        <v>10</v>
      </c>
      <c r="D60" t="str">
        <f t="shared" si="1"/>
        <v>rg:{'id': '10'}</v>
      </c>
      <c r="E60" s="1" t="s">
        <v>7917</v>
      </c>
      <c r="F60" s="1" t="s">
        <v>6970</v>
      </c>
      <c r="G60">
        <f t="shared" si="6"/>
        <v>200058</v>
      </c>
      <c r="H60">
        <f t="shared" si="2"/>
        <v>500058</v>
      </c>
      <c r="I60" t="s">
        <v>6684</v>
      </c>
      <c r="J60" t="s">
        <v>6508</v>
      </c>
      <c r="K60" t="str">
        <f>IFERROR(VLOOKUP(F60,'Contacts.csv'!C:D,2,FALSE),"")</f>
        <v/>
      </c>
      <c r="L60" t="str">
        <f t="shared" si="8"/>
        <v>rg:None</v>
      </c>
      <c r="M60" s="4" t="str">
        <f t="shared" si="9"/>
        <v>rg:[]</v>
      </c>
      <c r="N60" t="s">
        <v>6508</v>
      </c>
      <c r="O60" t="s">
        <v>6508</v>
      </c>
      <c r="P60" t="s">
        <v>6508</v>
      </c>
      <c r="Q60">
        <f t="shared" si="7"/>
        <v>10</v>
      </c>
      <c r="R60" t="str">
        <f t="shared" si="5"/>
        <v>Active</v>
      </c>
    </row>
    <row r="61" spans="1:18" x14ac:dyDescent="0.3">
      <c r="A61" t="s">
        <v>5384</v>
      </c>
      <c r="B61" t="s">
        <v>2955</v>
      </c>
      <c r="C61">
        <f>VLOOKUP(B61,ServiceAreas.csv!B:J,9,FALSE)</f>
        <v>10</v>
      </c>
      <c r="D61" t="str">
        <f t="shared" si="1"/>
        <v>rg:{'id': '10'}</v>
      </c>
      <c r="E61" s="1" t="s">
        <v>7006</v>
      </c>
      <c r="F61" s="1" t="s">
        <v>6971</v>
      </c>
      <c r="G61">
        <f t="shared" si="6"/>
        <v>200059</v>
      </c>
      <c r="H61">
        <f t="shared" si="2"/>
        <v>500059</v>
      </c>
      <c r="I61" t="s">
        <v>6684</v>
      </c>
      <c r="J61" t="s">
        <v>6508</v>
      </c>
      <c r="K61" t="str">
        <f>IFERROR(VLOOKUP(F61,'Contacts.csv'!C:D,2,FALSE),"")</f>
        <v/>
      </c>
      <c r="L61" t="str">
        <f t="shared" si="8"/>
        <v>rg:None</v>
      </c>
      <c r="M61" s="4" t="str">
        <f t="shared" si="9"/>
        <v>rg:[]</v>
      </c>
      <c r="N61" t="s">
        <v>6508</v>
      </c>
      <c r="O61" t="s">
        <v>6508</v>
      </c>
      <c r="P61" t="s">
        <v>6508</v>
      </c>
      <c r="Q61">
        <f t="shared" si="7"/>
        <v>10</v>
      </c>
      <c r="R61" t="str">
        <f t="shared" si="5"/>
        <v>Active</v>
      </c>
    </row>
    <row r="62" spans="1:18" x14ac:dyDescent="0.3">
      <c r="A62" t="s">
        <v>5384</v>
      </c>
      <c r="B62" t="s">
        <v>2955</v>
      </c>
      <c r="C62">
        <f>VLOOKUP(B62,ServiceAreas.csv!B:J,9,FALSE)</f>
        <v>10</v>
      </c>
      <c r="D62" t="str">
        <f t="shared" si="1"/>
        <v>rg:{'id': '10'}</v>
      </c>
      <c r="E62" s="1" t="s">
        <v>7918</v>
      </c>
      <c r="F62" s="1" t="s">
        <v>6972</v>
      </c>
      <c r="G62">
        <f t="shared" si="6"/>
        <v>200060</v>
      </c>
      <c r="H62">
        <f t="shared" si="2"/>
        <v>500060</v>
      </c>
      <c r="I62" t="s">
        <v>6684</v>
      </c>
      <c r="J62" t="s">
        <v>6508</v>
      </c>
      <c r="K62" t="str">
        <f>IFERROR(VLOOKUP(F62,'Contacts.csv'!C:D,2,FALSE),"")</f>
        <v/>
      </c>
      <c r="L62" t="str">
        <f t="shared" si="8"/>
        <v>rg:None</v>
      </c>
      <c r="M62" s="4" t="str">
        <f t="shared" si="9"/>
        <v>rg:[]</v>
      </c>
      <c r="N62" t="s">
        <v>6508</v>
      </c>
      <c r="O62" t="s">
        <v>6508</v>
      </c>
      <c r="P62" t="s">
        <v>6508</v>
      </c>
      <c r="Q62">
        <f t="shared" si="7"/>
        <v>10</v>
      </c>
      <c r="R62" t="str">
        <f t="shared" si="5"/>
        <v>Active</v>
      </c>
    </row>
    <row r="63" spans="1:18" x14ac:dyDescent="0.3">
      <c r="A63" t="s">
        <v>5384</v>
      </c>
      <c r="B63" t="s">
        <v>2955</v>
      </c>
      <c r="C63">
        <f>VLOOKUP(B63,ServiceAreas.csv!B:J,9,FALSE)</f>
        <v>10</v>
      </c>
      <c r="D63" t="str">
        <f t="shared" si="1"/>
        <v>rg:{'id': '10'}</v>
      </c>
      <c r="E63" s="1" t="s">
        <v>7919</v>
      </c>
      <c r="F63" s="1" t="s">
        <v>6973</v>
      </c>
      <c r="G63">
        <f t="shared" si="6"/>
        <v>200061</v>
      </c>
      <c r="H63">
        <f t="shared" si="2"/>
        <v>500061</v>
      </c>
      <c r="I63" t="s">
        <v>6684</v>
      </c>
      <c r="J63" t="s">
        <v>6508</v>
      </c>
      <c r="K63" t="str">
        <f>IFERROR(VLOOKUP(F63,'Contacts.csv'!C:D,2,FALSE),"")</f>
        <v/>
      </c>
      <c r="L63" t="str">
        <f t="shared" si="8"/>
        <v>rg:None</v>
      </c>
      <c r="M63" s="4" t="str">
        <f t="shared" si="9"/>
        <v>rg:[]</v>
      </c>
      <c r="N63" t="s">
        <v>6508</v>
      </c>
      <c r="O63" t="s">
        <v>6508</v>
      </c>
      <c r="P63" t="s">
        <v>6508</v>
      </c>
      <c r="Q63">
        <f t="shared" si="7"/>
        <v>10</v>
      </c>
      <c r="R63" t="str">
        <f t="shared" si="5"/>
        <v>Active</v>
      </c>
    </row>
    <row r="64" spans="1:18" x14ac:dyDescent="0.3">
      <c r="A64" t="s">
        <v>5384</v>
      </c>
      <c r="B64" t="s">
        <v>2955</v>
      </c>
      <c r="C64">
        <f>VLOOKUP(B64,ServiceAreas.csv!B:J,9,FALSE)</f>
        <v>10</v>
      </c>
      <c r="D64" t="str">
        <f t="shared" si="1"/>
        <v>rg:{'id': '10'}</v>
      </c>
      <c r="E64" s="1" t="s">
        <v>7003</v>
      </c>
      <c r="F64" s="1" t="s">
        <v>6974</v>
      </c>
      <c r="G64">
        <f t="shared" si="6"/>
        <v>200062</v>
      </c>
      <c r="H64">
        <f t="shared" si="2"/>
        <v>500062</v>
      </c>
      <c r="I64" t="s">
        <v>6684</v>
      </c>
      <c r="J64" t="s">
        <v>6508</v>
      </c>
      <c r="K64" t="str">
        <f>IFERROR(VLOOKUP(F64,'Contacts.csv'!C:D,2,FALSE),"")</f>
        <v/>
      </c>
      <c r="L64" t="str">
        <f t="shared" si="8"/>
        <v>rg:None</v>
      </c>
      <c r="M64" s="4" t="str">
        <f t="shared" si="9"/>
        <v>rg:[]</v>
      </c>
      <c r="N64" t="s">
        <v>6508</v>
      </c>
      <c r="O64" t="s">
        <v>6508</v>
      </c>
      <c r="P64" t="s">
        <v>6508</v>
      </c>
      <c r="Q64">
        <f t="shared" si="7"/>
        <v>10</v>
      </c>
      <c r="R64" t="str">
        <f t="shared" si="5"/>
        <v>Active</v>
      </c>
    </row>
    <row r="65" spans="1:18" x14ac:dyDescent="0.3">
      <c r="A65" t="s">
        <v>5384</v>
      </c>
      <c r="B65" t="s">
        <v>2955</v>
      </c>
      <c r="C65">
        <f>VLOOKUP(B65,ServiceAreas.csv!B:J,9,FALSE)</f>
        <v>10</v>
      </c>
      <c r="D65" t="str">
        <f t="shared" si="1"/>
        <v>rg:{'id': '10'}</v>
      </c>
      <c r="E65" s="1" t="s">
        <v>7008</v>
      </c>
      <c r="F65" s="1" t="s">
        <v>6975</v>
      </c>
      <c r="G65">
        <f t="shared" si="6"/>
        <v>200063</v>
      </c>
      <c r="H65">
        <f t="shared" si="2"/>
        <v>500063</v>
      </c>
      <c r="I65" t="s">
        <v>6684</v>
      </c>
      <c r="J65" t="s">
        <v>6508</v>
      </c>
      <c r="K65" t="str">
        <f>IFERROR(VLOOKUP(F65,'Contacts.csv'!C:D,2,FALSE),"")</f>
        <v/>
      </c>
      <c r="L65" t="str">
        <f t="shared" si="8"/>
        <v>rg:None</v>
      </c>
      <c r="M65" s="4" t="str">
        <f t="shared" si="9"/>
        <v>rg:[]</v>
      </c>
      <c r="N65" t="s">
        <v>6508</v>
      </c>
      <c r="O65" t="s">
        <v>6508</v>
      </c>
      <c r="P65" t="s">
        <v>6508</v>
      </c>
      <c r="Q65">
        <f t="shared" si="7"/>
        <v>10</v>
      </c>
      <c r="R65" t="str">
        <f t="shared" si="5"/>
        <v>Active</v>
      </c>
    </row>
    <row r="66" spans="1:18" x14ac:dyDescent="0.3">
      <c r="A66" t="s">
        <v>5384</v>
      </c>
      <c r="B66" t="s">
        <v>2955</v>
      </c>
      <c r="C66">
        <f>VLOOKUP(B66,ServiceAreas.csv!B:J,9,FALSE)</f>
        <v>10</v>
      </c>
      <c r="D66" t="str">
        <f t="shared" si="1"/>
        <v>rg:{'id': '10'}</v>
      </c>
      <c r="E66" s="1" t="s">
        <v>6976</v>
      </c>
      <c r="F66" s="1" t="s">
        <v>6976</v>
      </c>
      <c r="G66">
        <f t="shared" si="6"/>
        <v>200064</v>
      </c>
      <c r="H66">
        <f t="shared" si="2"/>
        <v>500064</v>
      </c>
      <c r="I66" t="s">
        <v>6684</v>
      </c>
      <c r="J66" t="s">
        <v>6508</v>
      </c>
      <c r="K66" t="str">
        <f>IFERROR(VLOOKUP(F66,'Contacts.csv'!C:D,2,FALSE),"")</f>
        <v/>
      </c>
      <c r="L66" t="str">
        <f t="shared" si="8"/>
        <v>rg:None</v>
      </c>
      <c r="M66" s="4" t="str">
        <f t="shared" si="9"/>
        <v>rg:[]</v>
      </c>
      <c r="N66" t="s">
        <v>6508</v>
      </c>
      <c r="O66" t="s">
        <v>6508</v>
      </c>
      <c r="P66" t="s">
        <v>6508</v>
      </c>
      <c r="Q66">
        <f t="shared" ref="Q66:Q97" si="10">C66</f>
        <v>10</v>
      </c>
      <c r="R66" t="str">
        <f t="shared" si="5"/>
        <v>Active</v>
      </c>
    </row>
    <row r="67" spans="1:18" x14ac:dyDescent="0.3">
      <c r="A67" t="s">
        <v>5384</v>
      </c>
      <c r="B67" t="s">
        <v>2955</v>
      </c>
      <c r="C67">
        <f>VLOOKUP(B67,ServiceAreas.csv!B:J,9,FALSE)</f>
        <v>10</v>
      </c>
      <c r="D67" t="str">
        <f t="shared" ref="D67:D130" si="11">"rg:{'id': '"&amp;C67&amp;"'}"</f>
        <v>rg:{'id': '10'}</v>
      </c>
      <c r="E67" s="1" t="s">
        <v>7920</v>
      </c>
      <c r="F67" s="1" t="s">
        <v>6911</v>
      </c>
      <c r="G67">
        <f t="shared" si="6"/>
        <v>200065</v>
      </c>
      <c r="H67">
        <f t="shared" ref="H67:H130" si="12">IF(ISNUMBER(H66),H66+1,500000)</f>
        <v>500065</v>
      </c>
      <c r="I67" t="s">
        <v>6684</v>
      </c>
      <c r="J67" t="s">
        <v>6508</v>
      </c>
      <c r="K67" t="str">
        <f>IFERROR(VLOOKUP(F67,'Contacts.csv'!C:D,2,FALSE),"")</f>
        <v/>
      </c>
      <c r="L67" t="str">
        <f t="shared" si="8"/>
        <v>rg:None</v>
      </c>
      <c r="M67" s="4" t="str">
        <f t="shared" si="9"/>
        <v>rg:[]</v>
      </c>
      <c r="N67" t="s">
        <v>6508</v>
      </c>
      <c r="O67" t="s">
        <v>6508</v>
      </c>
      <c r="P67" t="s">
        <v>6508</v>
      </c>
      <c r="Q67">
        <f t="shared" si="10"/>
        <v>10</v>
      </c>
      <c r="R67" t="str">
        <f t="shared" ref="R67:R130" si="13">"Active"</f>
        <v>Active</v>
      </c>
    </row>
    <row r="68" spans="1:18" x14ac:dyDescent="0.3">
      <c r="A68" t="s">
        <v>5384</v>
      </c>
      <c r="B68" t="s">
        <v>2955</v>
      </c>
      <c r="C68">
        <f>VLOOKUP(B68,ServiceAreas.csv!B:J,9,FALSE)</f>
        <v>10</v>
      </c>
      <c r="D68" t="str">
        <f t="shared" si="11"/>
        <v>rg:{'id': '10'}</v>
      </c>
      <c r="E68" s="1" t="s">
        <v>7921</v>
      </c>
      <c r="F68" s="1" t="s">
        <v>6977</v>
      </c>
      <c r="G68">
        <f t="shared" ref="G68:G131" si="14">G67+1</f>
        <v>200066</v>
      </c>
      <c r="H68">
        <f t="shared" si="12"/>
        <v>500066</v>
      </c>
      <c r="I68" t="s">
        <v>6684</v>
      </c>
      <c r="J68" t="s">
        <v>6508</v>
      </c>
      <c r="K68" t="str">
        <f>IFERROR(VLOOKUP(F68,'Contacts.csv'!C:D,2,FALSE),"")</f>
        <v/>
      </c>
      <c r="L68" t="str">
        <f t="shared" si="8"/>
        <v>rg:None</v>
      </c>
      <c r="M68" s="4" t="str">
        <f t="shared" si="9"/>
        <v>rg:[]</v>
      </c>
      <c r="N68" t="s">
        <v>6508</v>
      </c>
      <c r="O68" t="s">
        <v>6508</v>
      </c>
      <c r="P68" t="s">
        <v>6508</v>
      </c>
      <c r="Q68">
        <f t="shared" si="10"/>
        <v>10</v>
      </c>
      <c r="R68" t="str">
        <f t="shared" si="13"/>
        <v>Active</v>
      </c>
    </row>
    <row r="69" spans="1:18" x14ac:dyDescent="0.3">
      <c r="A69" t="s">
        <v>5384</v>
      </c>
      <c r="B69" t="s">
        <v>2955</v>
      </c>
      <c r="C69">
        <f>VLOOKUP(B69,ServiceAreas.csv!B:J,9,FALSE)</f>
        <v>10</v>
      </c>
      <c r="D69" t="str">
        <f t="shared" si="11"/>
        <v>rg:{'id': '10'}</v>
      </c>
      <c r="E69" s="1" t="s">
        <v>7922</v>
      </c>
      <c r="F69" s="1" t="s">
        <v>6978</v>
      </c>
      <c r="G69">
        <f t="shared" si="14"/>
        <v>200067</v>
      </c>
      <c r="H69">
        <f t="shared" si="12"/>
        <v>500067</v>
      </c>
      <c r="I69" t="s">
        <v>6684</v>
      </c>
      <c r="J69" t="s">
        <v>6508</v>
      </c>
      <c r="K69" t="str">
        <f>IFERROR(VLOOKUP(F69,'Contacts.csv'!C:D,2,FALSE),"")</f>
        <v/>
      </c>
      <c r="L69" t="str">
        <f t="shared" si="8"/>
        <v>rg:None</v>
      </c>
      <c r="M69" s="4" t="str">
        <f t="shared" si="9"/>
        <v>rg:[]</v>
      </c>
      <c r="N69" t="s">
        <v>6508</v>
      </c>
      <c r="O69" t="s">
        <v>6508</v>
      </c>
      <c r="P69" t="s">
        <v>6508</v>
      </c>
      <c r="Q69">
        <f t="shared" si="10"/>
        <v>10</v>
      </c>
      <c r="R69" t="str">
        <f t="shared" si="13"/>
        <v>Active</v>
      </c>
    </row>
    <row r="70" spans="1:18" x14ac:dyDescent="0.3">
      <c r="A70" t="s">
        <v>5384</v>
      </c>
      <c r="B70" t="s">
        <v>2955</v>
      </c>
      <c r="C70">
        <f>VLOOKUP(B70,ServiceAreas.csv!B:J,9,FALSE)</f>
        <v>10</v>
      </c>
      <c r="D70" t="str">
        <f t="shared" si="11"/>
        <v>rg:{'id': '10'}</v>
      </c>
      <c r="E70" s="1" t="s">
        <v>7923</v>
      </c>
      <c r="F70" s="1" t="s">
        <v>6979</v>
      </c>
      <c r="G70">
        <f t="shared" si="14"/>
        <v>200068</v>
      </c>
      <c r="H70">
        <f t="shared" si="12"/>
        <v>500068</v>
      </c>
      <c r="I70" t="s">
        <v>6684</v>
      </c>
      <c r="J70" t="s">
        <v>6508</v>
      </c>
      <c r="K70" t="str">
        <f>IFERROR(VLOOKUP(F70,'Contacts.csv'!C:D,2,FALSE),"")</f>
        <v/>
      </c>
      <c r="L70" t="str">
        <f t="shared" si="8"/>
        <v>rg:None</v>
      </c>
      <c r="M70" s="4" t="str">
        <f t="shared" si="9"/>
        <v>rg:[]</v>
      </c>
      <c r="N70" t="s">
        <v>6508</v>
      </c>
      <c r="O70" t="s">
        <v>6508</v>
      </c>
      <c r="P70" t="s">
        <v>6508</v>
      </c>
      <c r="Q70">
        <f t="shared" si="10"/>
        <v>10</v>
      </c>
      <c r="R70" t="str">
        <f t="shared" si="13"/>
        <v>Active</v>
      </c>
    </row>
    <row r="71" spans="1:18" x14ac:dyDescent="0.3">
      <c r="A71" t="s">
        <v>5384</v>
      </c>
      <c r="B71" t="s">
        <v>2955</v>
      </c>
      <c r="C71">
        <f>VLOOKUP(B71,ServiceAreas.csv!B:J,9,FALSE)</f>
        <v>10</v>
      </c>
      <c r="D71" t="str">
        <f t="shared" si="11"/>
        <v>rg:{'id': '10'}</v>
      </c>
      <c r="E71" s="1" t="s">
        <v>7920</v>
      </c>
      <c r="F71" s="1" t="s">
        <v>6917</v>
      </c>
      <c r="G71">
        <f t="shared" si="14"/>
        <v>200069</v>
      </c>
      <c r="H71">
        <f t="shared" si="12"/>
        <v>500069</v>
      </c>
      <c r="I71" t="s">
        <v>6684</v>
      </c>
      <c r="J71" t="s">
        <v>6508</v>
      </c>
      <c r="K71" t="str">
        <f>IFERROR(VLOOKUP(F71,'Contacts.csv'!C:D,2,FALSE),"")</f>
        <v/>
      </c>
      <c r="L71" t="str">
        <f t="shared" si="8"/>
        <v>rg:None</v>
      </c>
      <c r="M71" s="4" t="str">
        <f t="shared" si="9"/>
        <v>rg:[]</v>
      </c>
      <c r="N71" t="s">
        <v>6508</v>
      </c>
      <c r="O71" t="s">
        <v>6508</v>
      </c>
      <c r="P71" t="s">
        <v>6508</v>
      </c>
      <c r="Q71">
        <f t="shared" si="10"/>
        <v>10</v>
      </c>
      <c r="R71" t="str">
        <f t="shared" si="13"/>
        <v>Active</v>
      </c>
    </row>
    <row r="72" spans="1:18" x14ac:dyDescent="0.3">
      <c r="A72" t="s">
        <v>5384</v>
      </c>
      <c r="B72" t="s">
        <v>2955</v>
      </c>
      <c r="C72">
        <f>VLOOKUP(B72,ServiceAreas.csv!B:J,9,FALSE)</f>
        <v>10</v>
      </c>
      <c r="D72" t="str">
        <f t="shared" si="11"/>
        <v>rg:{'id': '10'}</v>
      </c>
      <c r="E72" s="1" t="s">
        <v>6927</v>
      </c>
      <c r="F72" s="1" t="s">
        <v>6980</v>
      </c>
      <c r="G72">
        <f t="shared" si="14"/>
        <v>200070</v>
      </c>
      <c r="H72">
        <f t="shared" si="12"/>
        <v>500070</v>
      </c>
      <c r="I72" t="s">
        <v>6684</v>
      </c>
      <c r="J72" t="s">
        <v>6508</v>
      </c>
      <c r="K72" t="str">
        <f>IFERROR(VLOOKUP(F72,'Contacts.csv'!C:D,2,FALSE),"")</f>
        <v/>
      </c>
      <c r="L72" t="str">
        <f t="shared" si="8"/>
        <v>rg:None</v>
      </c>
      <c r="M72" s="4" t="str">
        <f t="shared" si="9"/>
        <v>rg:[]</v>
      </c>
      <c r="N72" t="s">
        <v>6508</v>
      </c>
      <c r="O72" t="s">
        <v>6508</v>
      </c>
      <c r="P72" t="s">
        <v>6508</v>
      </c>
      <c r="Q72">
        <f t="shared" si="10"/>
        <v>10</v>
      </c>
      <c r="R72" t="str">
        <f t="shared" si="13"/>
        <v>Active</v>
      </c>
    </row>
    <row r="73" spans="1:18" x14ac:dyDescent="0.3">
      <c r="A73" t="s">
        <v>5384</v>
      </c>
      <c r="B73" t="s">
        <v>2955</v>
      </c>
      <c r="C73">
        <f>VLOOKUP(B73,ServiceAreas.csv!B:J,9,FALSE)</f>
        <v>10</v>
      </c>
      <c r="D73" t="str">
        <f t="shared" si="11"/>
        <v>rg:{'id': '10'}</v>
      </c>
      <c r="E73" s="1" t="s">
        <v>6981</v>
      </c>
      <c r="F73" s="1" t="s">
        <v>6981</v>
      </c>
      <c r="G73">
        <f t="shared" si="14"/>
        <v>200071</v>
      </c>
      <c r="H73">
        <f t="shared" si="12"/>
        <v>500071</v>
      </c>
      <c r="I73" t="s">
        <v>6684</v>
      </c>
      <c r="J73" t="s">
        <v>6508</v>
      </c>
      <c r="K73" t="str">
        <f>IFERROR(VLOOKUP(F73,'Contacts.csv'!C:D,2,FALSE),"")</f>
        <v/>
      </c>
      <c r="L73" t="str">
        <f t="shared" si="8"/>
        <v>rg:None</v>
      </c>
      <c r="M73" s="4" t="str">
        <f t="shared" si="9"/>
        <v>rg:[]</v>
      </c>
      <c r="N73" t="s">
        <v>6508</v>
      </c>
      <c r="O73" t="s">
        <v>6508</v>
      </c>
      <c r="P73" t="s">
        <v>6508</v>
      </c>
      <c r="Q73">
        <f t="shared" si="10"/>
        <v>10</v>
      </c>
      <c r="R73" t="str">
        <f t="shared" si="13"/>
        <v>Active</v>
      </c>
    </row>
    <row r="74" spans="1:18" x14ac:dyDescent="0.3">
      <c r="A74" t="s">
        <v>5384</v>
      </c>
      <c r="B74" t="s">
        <v>2955</v>
      </c>
      <c r="C74">
        <f>VLOOKUP(B74,ServiceAreas.csv!B:J,9,FALSE)</f>
        <v>10</v>
      </c>
      <c r="D74" t="str">
        <f t="shared" si="11"/>
        <v>rg:{'id': '10'}</v>
      </c>
      <c r="E74" s="1" t="s">
        <v>6891</v>
      </c>
      <c r="F74" s="1" t="s">
        <v>6982</v>
      </c>
      <c r="G74">
        <f t="shared" si="14"/>
        <v>200072</v>
      </c>
      <c r="H74">
        <f t="shared" si="12"/>
        <v>500072</v>
      </c>
      <c r="I74" t="s">
        <v>6684</v>
      </c>
      <c r="J74" t="s">
        <v>6508</v>
      </c>
      <c r="K74" t="str">
        <f>IFERROR(VLOOKUP(F74,'Contacts.csv'!C:D,2,FALSE),"")</f>
        <v/>
      </c>
      <c r="L74" t="str">
        <f t="shared" si="8"/>
        <v>rg:None</v>
      </c>
      <c r="M74" s="4" t="str">
        <f t="shared" si="9"/>
        <v>rg:[]</v>
      </c>
      <c r="N74" t="s">
        <v>6508</v>
      </c>
      <c r="O74" t="s">
        <v>6508</v>
      </c>
      <c r="P74" t="s">
        <v>6508</v>
      </c>
      <c r="Q74">
        <f t="shared" si="10"/>
        <v>10</v>
      </c>
      <c r="R74" t="str">
        <f t="shared" si="13"/>
        <v>Active</v>
      </c>
    </row>
    <row r="75" spans="1:18" x14ac:dyDescent="0.3">
      <c r="A75" t="s">
        <v>5384</v>
      </c>
      <c r="B75" t="s">
        <v>2955</v>
      </c>
      <c r="C75">
        <f>VLOOKUP(B75,ServiceAreas.csv!B:J,9,FALSE)</f>
        <v>10</v>
      </c>
      <c r="D75" t="str">
        <f t="shared" si="11"/>
        <v>rg:{'id': '10'}</v>
      </c>
      <c r="E75" s="1" t="s">
        <v>7924</v>
      </c>
      <c r="F75" s="1" t="s">
        <v>6983</v>
      </c>
      <c r="G75">
        <f t="shared" si="14"/>
        <v>200073</v>
      </c>
      <c r="H75">
        <f t="shared" si="12"/>
        <v>500073</v>
      </c>
      <c r="I75" t="s">
        <v>6684</v>
      </c>
      <c r="J75" t="s">
        <v>6508</v>
      </c>
      <c r="K75" t="str">
        <f>IFERROR(VLOOKUP(F75,'Contacts.csv'!C:D,2,FALSE),"")</f>
        <v/>
      </c>
      <c r="L75" t="str">
        <f t="shared" si="8"/>
        <v>rg:None</v>
      </c>
      <c r="M75" s="4" t="str">
        <f t="shared" si="9"/>
        <v>rg:[]</v>
      </c>
      <c r="N75" t="s">
        <v>6508</v>
      </c>
      <c r="O75" t="s">
        <v>6508</v>
      </c>
      <c r="P75" t="s">
        <v>6508</v>
      </c>
      <c r="Q75">
        <f t="shared" si="10"/>
        <v>10</v>
      </c>
      <c r="R75" t="str">
        <f t="shared" si="13"/>
        <v>Active</v>
      </c>
    </row>
    <row r="76" spans="1:18" x14ac:dyDescent="0.3">
      <c r="A76" t="s">
        <v>5384</v>
      </c>
      <c r="B76" t="s">
        <v>2955</v>
      </c>
      <c r="C76">
        <f>VLOOKUP(B76,ServiceAreas.csv!B:J,9,FALSE)</f>
        <v>10</v>
      </c>
      <c r="D76" t="str">
        <f t="shared" si="11"/>
        <v>rg:{'id': '10'}</v>
      </c>
      <c r="E76" s="1" t="s">
        <v>6988</v>
      </c>
      <c r="F76" s="1" t="s">
        <v>6984</v>
      </c>
      <c r="G76">
        <f t="shared" si="14"/>
        <v>200074</v>
      </c>
      <c r="H76">
        <f t="shared" si="12"/>
        <v>500074</v>
      </c>
      <c r="I76" t="s">
        <v>6684</v>
      </c>
      <c r="J76" t="s">
        <v>6508</v>
      </c>
      <c r="K76" t="str">
        <f>IFERROR(VLOOKUP(F76,'Contacts.csv'!C:D,2,FALSE),"")</f>
        <v/>
      </c>
      <c r="L76" t="str">
        <f t="shared" si="8"/>
        <v>rg:None</v>
      </c>
      <c r="M76" s="4" t="str">
        <f t="shared" si="9"/>
        <v>rg:[]</v>
      </c>
      <c r="N76" t="s">
        <v>6508</v>
      </c>
      <c r="O76" t="s">
        <v>6508</v>
      </c>
      <c r="P76" t="s">
        <v>6508</v>
      </c>
      <c r="Q76">
        <f t="shared" si="10"/>
        <v>10</v>
      </c>
      <c r="R76" t="str">
        <f t="shared" si="13"/>
        <v>Active</v>
      </c>
    </row>
    <row r="77" spans="1:18" x14ac:dyDescent="0.3">
      <c r="A77" t="s">
        <v>5384</v>
      </c>
      <c r="B77" t="s">
        <v>2955</v>
      </c>
      <c r="C77">
        <f>VLOOKUP(B77,ServiceAreas.csv!B:J,9,FALSE)</f>
        <v>10</v>
      </c>
      <c r="D77" t="str">
        <f t="shared" si="11"/>
        <v>rg:{'id': '10'}</v>
      </c>
      <c r="E77" s="1" t="s">
        <v>6988</v>
      </c>
      <c r="F77" s="1" t="s">
        <v>6985</v>
      </c>
      <c r="G77">
        <f t="shared" si="14"/>
        <v>200075</v>
      </c>
      <c r="H77">
        <f t="shared" si="12"/>
        <v>500075</v>
      </c>
      <c r="I77" t="s">
        <v>6684</v>
      </c>
      <c r="J77" t="s">
        <v>6508</v>
      </c>
      <c r="K77" t="str">
        <f>IFERROR(VLOOKUP(F77,'Contacts.csv'!C:D,2,FALSE),"")</f>
        <v/>
      </c>
      <c r="L77" t="str">
        <f t="shared" si="8"/>
        <v>rg:None</v>
      </c>
      <c r="M77" s="4" t="str">
        <f t="shared" si="9"/>
        <v>rg:[]</v>
      </c>
      <c r="N77" t="s">
        <v>6508</v>
      </c>
      <c r="O77" t="s">
        <v>6508</v>
      </c>
      <c r="P77" t="s">
        <v>6508</v>
      </c>
      <c r="Q77">
        <f t="shared" si="10"/>
        <v>10</v>
      </c>
      <c r="R77" t="str">
        <f t="shared" si="13"/>
        <v>Active</v>
      </c>
    </row>
    <row r="78" spans="1:18" x14ac:dyDescent="0.3">
      <c r="A78" t="s">
        <v>5384</v>
      </c>
      <c r="B78" t="s">
        <v>2955</v>
      </c>
      <c r="C78">
        <f>VLOOKUP(B78,ServiceAreas.csv!B:J,9,FALSE)</f>
        <v>10</v>
      </c>
      <c r="D78" t="str">
        <f t="shared" si="11"/>
        <v>rg:{'id': '10'}</v>
      </c>
      <c r="E78" s="1" t="s">
        <v>7925</v>
      </c>
      <c r="F78" s="1" t="s">
        <v>6986</v>
      </c>
      <c r="G78">
        <f t="shared" si="14"/>
        <v>200076</v>
      </c>
      <c r="H78">
        <f t="shared" si="12"/>
        <v>500076</v>
      </c>
      <c r="I78" t="s">
        <v>6684</v>
      </c>
      <c r="J78" t="s">
        <v>6508</v>
      </c>
      <c r="K78" t="str">
        <f>IFERROR(VLOOKUP(F78,'Contacts.csv'!C:D,2,FALSE),"")</f>
        <v/>
      </c>
      <c r="L78" t="str">
        <f t="shared" si="8"/>
        <v>rg:None</v>
      </c>
      <c r="M78" s="4" t="str">
        <f t="shared" si="9"/>
        <v>rg:[]</v>
      </c>
      <c r="N78" t="s">
        <v>6508</v>
      </c>
      <c r="O78" t="s">
        <v>6508</v>
      </c>
      <c r="P78" t="s">
        <v>6508</v>
      </c>
      <c r="Q78">
        <f t="shared" si="10"/>
        <v>10</v>
      </c>
      <c r="R78" t="str">
        <f t="shared" si="13"/>
        <v>Active</v>
      </c>
    </row>
    <row r="79" spans="1:18" x14ac:dyDescent="0.3">
      <c r="A79" t="s">
        <v>5384</v>
      </c>
      <c r="B79" t="s">
        <v>2955</v>
      </c>
      <c r="C79">
        <f>VLOOKUP(B79,ServiceAreas.csv!B:J,9,FALSE)</f>
        <v>10</v>
      </c>
      <c r="D79" t="str">
        <f t="shared" si="11"/>
        <v>rg:{'id': '10'}</v>
      </c>
      <c r="E79" s="1" t="s">
        <v>6893</v>
      </c>
      <c r="F79" s="1" t="s">
        <v>6897</v>
      </c>
      <c r="G79">
        <f t="shared" si="14"/>
        <v>200077</v>
      </c>
      <c r="H79">
        <f t="shared" si="12"/>
        <v>500077</v>
      </c>
      <c r="I79" t="s">
        <v>6684</v>
      </c>
      <c r="J79" t="s">
        <v>6508</v>
      </c>
      <c r="K79" t="str">
        <f>IFERROR(VLOOKUP(F79,'Contacts.csv'!C:D,2,FALSE),"")</f>
        <v/>
      </c>
      <c r="L79" t="str">
        <f t="shared" si="8"/>
        <v>rg:None</v>
      </c>
      <c r="M79" s="4" t="str">
        <f t="shared" si="9"/>
        <v>rg:[]</v>
      </c>
      <c r="N79" t="s">
        <v>6508</v>
      </c>
      <c r="O79" t="s">
        <v>6508</v>
      </c>
      <c r="P79" t="s">
        <v>6508</v>
      </c>
      <c r="Q79">
        <f t="shared" si="10"/>
        <v>10</v>
      </c>
      <c r="R79" t="str">
        <f t="shared" si="13"/>
        <v>Active</v>
      </c>
    </row>
    <row r="80" spans="1:18" x14ac:dyDescent="0.3">
      <c r="A80" t="s">
        <v>5384</v>
      </c>
      <c r="B80" t="s">
        <v>2955</v>
      </c>
      <c r="C80">
        <f>VLOOKUP(B80,ServiceAreas.csv!B:J,9,FALSE)</f>
        <v>10</v>
      </c>
      <c r="D80" t="str">
        <f t="shared" si="11"/>
        <v>rg:{'id': '10'}</v>
      </c>
      <c r="E80" s="1" t="s">
        <v>7924</v>
      </c>
      <c r="F80" s="1" t="s">
        <v>6892</v>
      </c>
      <c r="G80">
        <f t="shared" si="14"/>
        <v>200078</v>
      </c>
      <c r="H80">
        <f t="shared" si="12"/>
        <v>500078</v>
      </c>
      <c r="I80" t="s">
        <v>6684</v>
      </c>
      <c r="J80" t="s">
        <v>6508</v>
      </c>
      <c r="K80" t="str">
        <f>IFERROR(VLOOKUP(F80,'Contacts.csv'!C:D,2,FALSE),"")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6508</v>
      </c>
      <c r="O80" t="s">
        <v>6508</v>
      </c>
      <c r="P80" t="s">
        <v>6508</v>
      </c>
      <c r="Q80">
        <f t="shared" si="10"/>
        <v>10</v>
      </c>
      <c r="R80" t="str">
        <f t="shared" si="13"/>
        <v>Active</v>
      </c>
    </row>
    <row r="81" spans="1:18" x14ac:dyDescent="0.3">
      <c r="A81" t="s">
        <v>5384</v>
      </c>
      <c r="B81" t="s">
        <v>2955</v>
      </c>
      <c r="C81">
        <f>VLOOKUP(B81,ServiceAreas.csv!B:J,9,FALSE)</f>
        <v>10</v>
      </c>
      <c r="D81" t="str">
        <f t="shared" si="11"/>
        <v>rg:{'id': '10'}</v>
      </c>
      <c r="E81" s="1" t="s">
        <v>6987</v>
      </c>
      <c r="F81" s="1" t="s">
        <v>6987</v>
      </c>
      <c r="G81">
        <f t="shared" si="14"/>
        <v>200079</v>
      </c>
      <c r="H81">
        <f t="shared" si="12"/>
        <v>500079</v>
      </c>
      <c r="I81" t="s">
        <v>6684</v>
      </c>
      <c r="J81" t="s">
        <v>6508</v>
      </c>
      <c r="K81" t="str">
        <f>IFERROR(VLOOKUP(F81,'Contacts.csv'!C:D,2,FALSE),"")</f>
        <v/>
      </c>
      <c r="L81" t="str">
        <f t="shared" si="15"/>
        <v>rg:None</v>
      </c>
      <c r="M81" s="4" t="str">
        <f t="shared" si="16"/>
        <v>rg:[]</v>
      </c>
      <c r="N81" t="s">
        <v>6508</v>
      </c>
      <c r="O81" t="s">
        <v>6508</v>
      </c>
      <c r="P81" t="s">
        <v>6508</v>
      </c>
      <c r="Q81">
        <f t="shared" si="10"/>
        <v>10</v>
      </c>
      <c r="R81" t="str">
        <f t="shared" si="13"/>
        <v>Active</v>
      </c>
    </row>
    <row r="82" spans="1:18" x14ac:dyDescent="0.3">
      <c r="A82" t="s">
        <v>5384</v>
      </c>
      <c r="B82" t="s">
        <v>2955</v>
      </c>
      <c r="C82">
        <f>VLOOKUP(B82,ServiceAreas.csv!B:J,9,FALSE)</f>
        <v>10</v>
      </c>
      <c r="D82" t="str">
        <f t="shared" si="11"/>
        <v>rg:{'id': '10'}</v>
      </c>
      <c r="E82" s="1" t="s">
        <v>6988</v>
      </c>
      <c r="F82" s="1" t="s">
        <v>6988</v>
      </c>
      <c r="G82">
        <f t="shared" si="14"/>
        <v>200080</v>
      </c>
      <c r="H82">
        <f t="shared" si="12"/>
        <v>500080</v>
      </c>
      <c r="I82" t="s">
        <v>6684</v>
      </c>
      <c r="J82" t="s">
        <v>6508</v>
      </c>
      <c r="K82" t="str">
        <f>IFERROR(VLOOKUP(F82,'Contacts.csv'!C:D,2,FALSE),"")</f>
        <v/>
      </c>
      <c r="L82" t="str">
        <f t="shared" si="15"/>
        <v>rg:None</v>
      </c>
      <c r="M82" s="4" t="str">
        <f t="shared" si="16"/>
        <v>rg:[]</v>
      </c>
      <c r="N82" t="s">
        <v>6508</v>
      </c>
      <c r="O82" t="s">
        <v>6508</v>
      </c>
      <c r="P82" t="s">
        <v>6508</v>
      </c>
      <c r="Q82">
        <f t="shared" si="10"/>
        <v>10</v>
      </c>
      <c r="R82" t="s">
        <v>7044</v>
      </c>
    </row>
    <row r="83" spans="1:18" x14ac:dyDescent="0.3">
      <c r="A83" t="s">
        <v>5384</v>
      </c>
      <c r="B83" t="s">
        <v>2955</v>
      </c>
      <c r="C83">
        <f>VLOOKUP(B83,ServiceAreas.csv!B:J,9,FALSE)</f>
        <v>10</v>
      </c>
      <c r="D83" t="str">
        <f t="shared" si="11"/>
        <v>rg:{'id': '10'}</v>
      </c>
      <c r="E83" s="1" t="s">
        <v>7926</v>
      </c>
      <c r="F83" s="1" t="s">
        <v>6989</v>
      </c>
      <c r="G83">
        <f t="shared" si="14"/>
        <v>200081</v>
      </c>
      <c r="H83">
        <f t="shared" si="12"/>
        <v>500081</v>
      </c>
      <c r="I83" t="s">
        <v>6684</v>
      </c>
      <c r="J83" t="s">
        <v>6508</v>
      </c>
      <c r="K83" t="str">
        <f>IFERROR(VLOOKUP(F83,'Contacts.csv'!C:D,2,FALSE),"")</f>
        <v/>
      </c>
      <c r="L83" t="str">
        <f t="shared" si="15"/>
        <v>rg:None</v>
      </c>
      <c r="M83" s="4" t="str">
        <f t="shared" si="16"/>
        <v>rg:[]</v>
      </c>
      <c r="N83" t="s">
        <v>6508</v>
      </c>
      <c r="O83" t="s">
        <v>6508</v>
      </c>
      <c r="P83" t="s">
        <v>6508</v>
      </c>
      <c r="Q83">
        <f t="shared" si="10"/>
        <v>10</v>
      </c>
      <c r="R83" t="str">
        <f t="shared" si="13"/>
        <v>Active</v>
      </c>
    </row>
    <row r="84" spans="1:18" x14ac:dyDescent="0.3">
      <c r="A84" t="s">
        <v>5384</v>
      </c>
      <c r="B84" t="s">
        <v>2955</v>
      </c>
      <c r="C84">
        <f>VLOOKUP(B84,ServiceAreas.csv!B:J,9,FALSE)</f>
        <v>10</v>
      </c>
      <c r="D84" t="str">
        <f t="shared" si="11"/>
        <v>rg:{'id': '10'}</v>
      </c>
      <c r="E84" s="1" t="s">
        <v>6990</v>
      </c>
      <c r="F84" s="1" t="s">
        <v>6990</v>
      </c>
      <c r="G84">
        <f t="shared" si="14"/>
        <v>200082</v>
      </c>
      <c r="H84">
        <f t="shared" si="12"/>
        <v>500082</v>
      </c>
      <c r="I84" t="s">
        <v>6684</v>
      </c>
      <c r="J84" t="s">
        <v>6508</v>
      </c>
      <c r="K84" t="str">
        <f>IFERROR(VLOOKUP(F84,'Contacts.csv'!C:D,2,FALSE),"")</f>
        <v/>
      </c>
      <c r="L84" t="str">
        <f t="shared" si="15"/>
        <v>rg:None</v>
      </c>
      <c r="M84" s="4" t="str">
        <f t="shared" si="16"/>
        <v>rg:[]</v>
      </c>
      <c r="N84" t="s">
        <v>6508</v>
      </c>
      <c r="O84" t="s">
        <v>6508</v>
      </c>
      <c r="P84" t="s">
        <v>6508</v>
      </c>
      <c r="Q84">
        <f t="shared" si="10"/>
        <v>10</v>
      </c>
      <c r="R84" t="str">
        <f t="shared" si="13"/>
        <v>Active</v>
      </c>
    </row>
    <row r="85" spans="1:18" x14ac:dyDescent="0.3">
      <c r="A85" t="s">
        <v>5384</v>
      </c>
      <c r="B85" t="s">
        <v>2955</v>
      </c>
      <c r="C85">
        <f>VLOOKUP(B85,ServiceAreas.csv!B:J,9,FALSE)</f>
        <v>10</v>
      </c>
      <c r="D85" t="str">
        <f t="shared" si="11"/>
        <v>rg:{'id': '10'}</v>
      </c>
      <c r="E85" s="1" t="s">
        <v>7927</v>
      </c>
      <c r="F85" s="1" t="s">
        <v>6891</v>
      </c>
      <c r="G85">
        <f t="shared" si="14"/>
        <v>200083</v>
      </c>
      <c r="H85">
        <f t="shared" si="12"/>
        <v>500083</v>
      </c>
      <c r="I85" t="s">
        <v>6684</v>
      </c>
      <c r="J85" t="s">
        <v>6508</v>
      </c>
      <c r="K85" t="str">
        <f>IFERROR(VLOOKUP(F85,'Contacts.csv'!C:D,2,FALSE),"")</f>
        <v/>
      </c>
      <c r="L85" t="str">
        <f t="shared" si="15"/>
        <v>rg:None</v>
      </c>
      <c r="M85" s="4" t="str">
        <f t="shared" si="16"/>
        <v>rg:[]</v>
      </c>
      <c r="N85" t="s">
        <v>6508</v>
      </c>
      <c r="O85" t="s">
        <v>6508</v>
      </c>
      <c r="P85" t="s">
        <v>6508</v>
      </c>
      <c r="Q85">
        <f t="shared" si="10"/>
        <v>10</v>
      </c>
      <c r="R85" t="str">
        <f t="shared" si="13"/>
        <v>Active</v>
      </c>
    </row>
    <row r="86" spans="1:18" x14ac:dyDescent="0.3">
      <c r="A86" t="s">
        <v>5384</v>
      </c>
      <c r="B86" t="s">
        <v>2955</v>
      </c>
      <c r="C86">
        <f>VLOOKUP(B86,ServiceAreas.csv!B:J,9,FALSE)</f>
        <v>10</v>
      </c>
      <c r="D86" t="str">
        <f t="shared" si="11"/>
        <v>rg:{'id': '10'}</v>
      </c>
      <c r="E86" s="1" t="s">
        <v>7004</v>
      </c>
      <c r="F86" s="1" t="s">
        <v>6991</v>
      </c>
      <c r="G86">
        <f t="shared" si="14"/>
        <v>200084</v>
      </c>
      <c r="H86">
        <f t="shared" si="12"/>
        <v>500084</v>
      </c>
      <c r="I86" t="s">
        <v>6684</v>
      </c>
      <c r="J86" t="s">
        <v>6508</v>
      </c>
      <c r="K86" t="str">
        <f>IFERROR(VLOOKUP(F86,'Contacts.csv'!C:D,2,FALSE),"")</f>
        <v/>
      </c>
      <c r="L86" t="str">
        <f t="shared" si="15"/>
        <v>rg:None</v>
      </c>
      <c r="M86" s="4" t="str">
        <f t="shared" si="16"/>
        <v>rg:[]</v>
      </c>
      <c r="N86" t="s">
        <v>6508</v>
      </c>
      <c r="O86" t="s">
        <v>6508</v>
      </c>
      <c r="P86" t="s">
        <v>6508</v>
      </c>
      <c r="Q86">
        <f t="shared" si="10"/>
        <v>10</v>
      </c>
      <c r="R86" t="str">
        <f t="shared" si="13"/>
        <v>Active</v>
      </c>
    </row>
    <row r="87" spans="1:18" x14ac:dyDescent="0.3">
      <c r="A87" t="s">
        <v>5384</v>
      </c>
      <c r="B87" t="s">
        <v>2955</v>
      </c>
      <c r="C87">
        <f>VLOOKUP(B87,ServiceAreas.csv!B:J,9,FALSE)</f>
        <v>10</v>
      </c>
      <c r="D87" t="str">
        <f t="shared" si="11"/>
        <v>rg:{'id': '10'}</v>
      </c>
      <c r="E87" s="1" t="s">
        <v>7928</v>
      </c>
      <c r="F87" s="1" t="s">
        <v>6992</v>
      </c>
      <c r="G87">
        <f t="shared" si="14"/>
        <v>200085</v>
      </c>
      <c r="H87">
        <f t="shared" si="12"/>
        <v>500085</v>
      </c>
      <c r="I87" t="s">
        <v>6684</v>
      </c>
      <c r="J87" t="s">
        <v>6508</v>
      </c>
      <c r="K87" t="str">
        <f>IFERROR(VLOOKUP(F87,'Contacts.csv'!C:D,2,FALSE),"")</f>
        <v/>
      </c>
      <c r="L87" t="str">
        <f t="shared" si="15"/>
        <v>rg:None</v>
      </c>
      <c r="M87" s="4" t="str">
        <f t="shared" si="16"/>
        <v>rg:[]</v>
      </c>
      <c r="N87" t="s">
        <v>6508</v>
      </c>
      <c r="O87" t="s">
        <v>6508</v>
      </c>
      <c r="P87" t="s">
        <v>6508</v>
      </c>
      <c r="Q87">
        <f t="shared" si="10"/>
        <v>10</v>
      </c>
      <c r="R87" t="str">
        <f t="shared" si="13"/>
        <v>Active</v>
      </c>
    </row>
    <row r="88" spans="1:18" x14ac:dyDescent="0.3">
      <c r="A88" t="s">
        <v>5384</v>
      </c>
      <c r="B88" t="s">
        <v>2955</v>
      </c>
      <c r="C88">
        <f>VLOOKUP(B88,ServiceAreas.csv!B:J,9,FALSE)</f>
        <v>10</v>
      </c>
      <c r="D88" t="str">
        <f t="shared" si="11"/>
        <v>rg:{'id': '10'}</v>
      </c>
      <c r="E88" s="1" t="s">
        <v>7929</v>
      </c>
      <c r="F88" s="1" t="s">
        <v>6993</v>
      </c>
      <c r="G88">
        <f t="shared" si="14"/>
        <v>200086</v>
      </c>
      <c r="H88">
        <f t="shared" si="12"/>
        <v>500086</v>
      </c>
      <c r="I88" t="s">
        <v>6684</v>
      </c>
      <c r="J88" t="s">
        <v>6508</v>
      </c>
      <c r="K88" t="str">
        <f>IFERROR(VLOOKUP(F88,'Contacts.csv'!C:D,2,FALSE),"")</f>
        <v/>
      </c>
      <c r="L88" t="str">
        <f t="shared" si="15"/>
        <v>rg:None</v>
      </c>
      <c r="M88" s="4" t="str">
        <f t="shared" si="16"/>
        <v>rg:[]</v>
      </c>
      <c r="N88" t="s">
        <v>6508</v>
      </c>
      <c r="O88" t="s">
        <v>6508</v>
      </c>
      <c r="P88" t="s">
        <v>6508</v>
      </c>
      <c r="Q88">
        <f t="shared" si="10"/>
        <v>10</v>
      </c>
      <c r="R88" t="str">
        <f t="shared" si="13"/>
        <v>Active</v>
      </c>
    </row>
    <row r="89" spans="1:18" x14ac:dyDescent="0.3">
      <c r="A89" t="s">
        <v>5384</v>
      </c>
      <c r="B89" t="s">
        <v>2955</v>
      </c>
      <c r="C89">
        <f>VLOOKUP(B89,ServiceAreas.csv!B:J,9,FALSE)</f>
        <v>10</v>
      </c>
      <c r="D89" t="str">
        <f t="shared" si="11"/>
        <v>rg:{'id': '10'}</v>
      </c>
      <c r="E89" s="1" t="s">
        <v>7930</v>
      </c>
      <c r="F89" s="1" t="s">
        <v>6903</v>
      </c>
      <c r="G89">
        <f t="shared" si="14"/>
        <v>200087</v>
      </c>
      <c r="H89">
        <f t="shared" si="12"/>
        <v>500087</v>
      </c>
      <c r="I89" t="s">
        <v>6684</v>
      </c>
      <c r="J89" t="s">
        <v>6508</v>
      </c>
      <c r="K89" t="str">
        <f>IFERROR(VLOOKUP(F89,'Contacts.csv'!C:D,2,FALSE),"")</f>
        <v/>
      </c>
      <c r="L89" t="str">
        <f t="shared" si="15"/>
        <v>rg:None</v>
      </c>
      <c r="M89" s="4" t="str">
        <f t="shared" si="16"/>
        <v>rg:[]</v>
      </c>
      <c r="N89" t="s">
        <v>6508</v>
      </c>
      <c r="O89" t="s">
        <v>6508</v>
      </c>
      <c r="P89" t="s">
        <v>6508</v>
      </c>
      <c r="Q89">
        <f t="shared" si="10"/>
        <v>10</v>
      </c>
      <c r="R89" t="str">
        <f t="shared" si="13"/>
        <v>Active</v>
      </c>
    </row>
    <row r="90" spans="1:18" x14ac:dyDescent="0.3">
      <c r="A90" t="s">
        <v>5384</v>
      </c>
      <c r="B90" t="s">
        <v>2955</v>
      </c>
      <c r="C90">
        <f>VLOOKUP(B90,ServiceAreas.csv!B:J,9,FALSE)</f>
        <v>10</v>
      </c>
      <c r="D90" t="str">
        <f t="shared" si="11"/>
        <v>rg:{'id': '10'}</v>
      </c>
      <c r="E90" s="1" t="s">
        <v>7896</v>
      </c>
      <c r="F90" s="1" t="s">
        <v>6994</v>
      </c>
      <c r="G90">
        <f t="shared" si="14"/>
        <v>200088</v>
      </c>
      <c r="H90">
        <f t="shared" si="12"/>
        <v>500088</v>
      </c>
      <c r="I90" t="s">
        <v>6684</v>
      </c>
      <c r="J90" t="s">
        <v>6508</v>
      </c>
      <c r="K90" t="str">
        <f>IFERROR(VLOOKUP(F90,'Contacts.csv'!C:D,2,FALSE),"")</f>
        <v/>
      </c>
      <c r="L90" t="str">
        <f t="shared" si="15"/>
        <v>rg:None</v>
      </c>
      <c r="M90" s="4" t="str">
        <f t="shared" si="16"/>
        <v>rg:[]</v>
      </c>
      <c r="N90" t="s">
        <v>6508</v>
      </c>
      <c r="O90" t="s">
        <v>6508</v>
      </c>
      <c r="P90" t="s">
        <v>6508</v>
      </c>
      <c r="Q90">
        <f t="shared" si="10"/>
        <v>10</v>
      </c>
      <c r="R90" t="str">
        <f t="shared" si="13"/>
        <v>Active</v>
      </c>
    </row>
    <row r="91" spans="1:18" x14ac:dyDescent="0.3">
      <c r="A91" t="s">
        <v>5384</v>
      </c>
      <c r="B91" t="s">
        <v>2955</v>
      </c>
      <c r="C91">
        <f>VLOOKUP(B91,ServiceAreas.csv!B:J,9,FALSE)</f>
        <v>10</v>
      </c>
      <c r="D91" t="str">
        <f t="shared" si="11"/>
        <v>rg:{'id': '10'}</v>
      </c>
      <c r="E91" s="1" t="s">
        <v>7931</v>
      </c>
      <c r="F91" s="1" t="s">
        <v>6995</v>
      </c>
      <c r="G91">
        <f t="shared" si="14"/>
        <v>200089</v>
      </c>
      <c r="H91">
        <f t="shared" si="12"/>
        <v>500089</v>
      </c>
      <c r="I91" t="s">
        <v>6684</v>
      </c>
      <c r="J91" t="s">
        <v>6508</v>
      </c>
      <c r="K91" t="str">
        <f>IFERROR(VLOOKUP(F91,'Contacts.csv'!C:D,2,FALSE),"")</f>
        <v/>
      </c>
      <c r="L91" t="str">
        <f t="shared" si="15"/>
        <v>rg:None</v>
      </c>
      <c r="M91" s="4" t="str">
        <f t="shared" si="16"/>
        <v>rg:[]</v>
      </c>
      <c r="N91" t="s">
        <v>6508</v>
      </c>
      <c r="O91" t="s">
        <v>6508</v>
      </c>
      <c r="P91" t="s">
        <v>6508</v>
      </c>
      <c r="Q91">
        <f t="shared" si="10"/>
        <v>10</v>
      </c>
      <c r="R91" t="str">
        <f t="shared" si="13"/>
        <v>Active</v>
      </c>
    </row>
    <row r="92" spans="1:18" x14ac:dyDescent="0.3">
      <c r="A92" t="s">
        <v>5384</v>
      </c>
      <c r="B92" t="s">
        <v>2955</v>
      </c>
      <c r="C92">
        <f>VLOOKUP(B92,ServiceAreas.csv!B:J,9,FALSE)</f>
        <v>10</v>
      </c>
      <c r="D92" t="str">
        <f t="shared" si="11"/>
        <v>rg:{'id': '10'}</v>
      </c>
      <c r="E92" s="1" t="s">
        <v>7890</v>
      </c>
      <c r="F92" s="1" t="s">
        <v>6996</v>
      </c>
      <c r="G92">
        <f t="shared" si="14"/>
        <v>200090</v>
      </c>
      <c r="H92">
        <f t="shared" si="12"/>
        <v>500090</v>
      </c>
      <c r="I92" t="s">
        <v>6684</v>
      </c>
      <c r="J92" t="s">
        <v>6508</v>
      </c>
      <c r="K92" t="str">
        <f>IFERROR(VLOOKUP(F92,'Contacts.csv'!C:D,2,FALSE),"")</f>
        <v/>
      </c>
      <c r="L92" t="str">
        <f t="shared" si="15"/>
        <v>rg:None</v>
      </c>
      <c r="M92" s="4" t="str">
        <f t="shared" si="16"/>
        <v>rg:[]</v>
      </c>
      <c r="N92" t="s">
        <v>6508</v>
      </c>
      <c r="O92" t="s">
        <v>6508</v>
      </c>
      <c r="P92" t="s">
        <v>6508</v>
      </c>
      <c r="Q92">
        <f t="shared" si="10"/>
        <v>10</v>
      </c>
      <c r="R92" t="str">
        <f t="shared" si="13"/>
        <v>Active</v>
      </c>
    </row>
    <row r="93" spans="1:18" x14ac:dyDescent="0.3">
      <c r="A93" t="s">
        <v>5384</v>
      </c>
      <c r="B93" t="s">
        <v>2955</v>
      </c>
      <c r="C93">
        <f>VLOOKUP(B93,ServiceAreas.csv!B:J,9,FALSE)</f>
        <v>10</v>
      </c>
      <c r="D93" t="str">
        <f t="shared" si="11"/>
        <v>rg:{'id': '10'}</v>
      </c>
      <c r="E93" s="1" t="s">
        <v>6997</v>
      </c>
      <c r="F93" s="1" t="s">
        <v>6997</v>
      </c>
      <c r="G93">
        <f t="shared" si="14"/>
        <v>200091</v>
      </c>
      <c r="H93">
        <f t="shared" si="12"/>
        <v>500091</v>
      </c>
      <c r="I93" t="s">
        <v>6684</v>
      </c>
      <c r="J93" t="s">
        <v>6508</v>
      </c>
      <c r="K93" t="str">
        <f>IFERROR(VLOOKUP(F93,'Contacts.csv'!C:D,2,FALSE),"")</f>
        <v/>
      </c>
      <c r="L93" t="str">
        <f t="shared" si="15"/>
        <v>rg:None</v>
      </c>
      <c r="M93" s="4" t="str">
        <f t="shared" si="16"/>
        <v>rg:[]</v>
      </c>
      <c r="N93" t="s">
        <v>6508</v>
      </c>
      <c r="O93" t="s">
        <v>6508</v>
      </c>
      <c r="P93" t="s">
        <v>6508</v>
      </c>
      <c r="Q93">
        <f t="shared" si="10"/>
        <v>10</v>
      </c>
      <c r="R93" t="str">
        <f t="shared" si="13"/>
        <v>Active</v>
      </c>
    </row>
    <row r="94" spans="1:18" x14ac:dyDescent="0.3">
      <c r="A94" t="s">
        <v>5384</v>
      </c>
      <c r="B94" t="s">
        <v>2955</v>
      </c>
      <c r="C94">
        <f>VLOOKUP(B94,ServiceAreas.csv!B:J,9,FALSE)</f>
        <v>10</v>
      </c>
      <c r="D94" t="str">
        <f t="shared" si="11"/>
        <v>rg:{'id': '10'}</v>
      </c>
      <c r="E94" s="1" t="s">
        <v>6998</v>
      </c>
      <c r="F94" s="1" t="s">
        <v>6998</v>
      </c>
      <c r="G94">
        <f t="shared" si="14"/>
        <v>200092</v>
      </c>
      <c r="H94">
        <f t="shared" si="12"/>
        <v>500092</v>
      </c>
      <c r="I94" t="s">
        <v>6684</v>
      </c>
      <c r="J94" t="s">
        <v>6508</v>
      </c>
      <c r="K94" t="str">
        <f>IFERROR(VLOOKUP(F94,'Contacts.csv'!C:D,2,FALSE),"")</f>
        <v/>
      </c>
      <c r="L94" t="str">
        <f t="shared" si="15"/>
        <v>rg:None</v>
      </c>
      <c r="M94" s="4" t="str">
        <f t="shared" si="16"/>
        <v>rg:[]</v>
      </c>
      <c r="N94" t="s">
        <v>6508</v>
      </c>
      <c r="O94" t="s">
        <v>6508</v>
      </c>
      <c r="P94" t="s">
        <v>6508</v>
      </c>
      <c r="Q94">
        <f t="shared" si="10"/>
        <v>10</v>
      </c>
      <c r="R94" t="s">
        <v>7044</v>
      </c>
    </row>
    <row r="95" spans="1:18" x14ac:dyDescent="0.3">
      <c r="A95" t="s">
        <v>5384</v>
      </c>
      <c r="B95" t="s">
        <v>2955</v>
      </c>
      <c r="C95">
        <f>VLOOKUP(B95,ServiceAreas.csv!B:J,9,FALSE)</f>
        <v>10</v>
      </c>
      <c r="D95" t="str">
        <f t="shared" si="11"/>
        <v>rg:{'id': '10'}</v>
      </c>
      <c r="E95" s="1" t="s">
        <v>7932</v>
      </c>
      <c r="F95" s="1" t="s">
        <v>6908</v>
      </c>
      <c r="G95">
        <f t="shared" si="14"/>
        <v>200093</v>
      </c>
      <c r="H95">
        <f t="shared" si="12"/>
        <v>500093</v>
      </c>
      <c r="I95" t="s">
        <v>6684</v>
      </c>
      <c r="J95" t="s">
        <v>6508</v>
      </c>
      <c r="K95" t="str">
        <f>IFERROR(VLOOKUP(F95,'Contacts.csv'!C:D,2,FALSE),"")</f>
        <v/>
      </c>
      <c r="L95" t="str">
        <f t="shared" si="15"/>
        <v>rg:None</v>
      </c>
      <c r="M95" s="4" t="str">
        <f t="shared" si="16"/>
        <v>rg:[]</v>
      </c>
      <c r="N95" t="s">
        <v>6508</v>
      </c>
      <c r="O95" t="s">
        <v>6508</v>
      </c>
      <c r="P95" t="s">
        <v>6508</v>
      </c>
      <c r="Q95">
        <f t="shared" si="10"/>
        <v>10</v>
      </c>
      <c r="R95" t="str">
        <f t="shared" si="13"/>
        <v>Active</v>
      </c>
    </row>
    <row r="96" spans="1:18" x14ac:dyDescent="0.3">
      <c r="A96" t="s">
        <v>5384</v>
      </c>
      <c r="B96" t="s">
        <v>2955</v>
      </c>
      <c r="C96">
        <f>VLOOKUP(B96,ServiceAreas.csv!B:J,9,FALSE)</f>
        <v>10</v>
      </c>
      <c r="D96" t="str">
        <f t="shared" si="11"/>
        <v>rg:{'id': '10'}</v>
      </c>
      <c r="E96" s="1" t="s">
        <v>7933</v>
      </c>
      <c r="F96" s="1" t="s">
        <v>6999</v>
      </c>
      <c r="G96">
        <f t="shared" si="14"/>
        <v>200094</v>
      </c>
      <c r="H96">
        <f t="shared" si="12"/>
        <v>500094</v>
      </c>
      <c r="I96" t="s">
        <v>6684</v>
      </c>
      <c r="J96" t="s">
        <v>6508</v>
      </c>
      <c r="K96" t="str">
        <f>IFERROR(VLOOKUP(F96,'Contacts.csv'!C:D,2,FALSE),"")</f>
        <v/>
      </c>
      <c r="L96" t="str">
        <f t="shared" si="15"/>
        <v>rg:None</v>
      </c>
      <c r="M96" s="4" t="str">
        <f t="shared" si="16"/>
        <v>rg:[]</v>
      </c>
      <c r="N96" t="s">
        <v>6508</v>
      </c>
      <c r="O96" t="s">
        <v>6508</v>
      </c>
      <c r="P96" t="s">
        <v>6508</v>
      </c>
      <c r="Q96">
        <f t="shared" si="10"/>
        <v>10</v>
      </c>
      <c r="R96" t="str">
        <f t="shared" si="13"/>
        <v>Active</v>
      </c>
    </row>
    <row r="97" spans="1:18" x14ac:dyDescent="0.3">
      <c r="A97" t="s">
        <v>5384</v>
      </c>
      <c r="B97" t="s">
        <v>2955</v>
      </c>
      <c r="C97">
        <f>VLOOKUP(B97,ServiceAreas.csv!B:J,9,FALSE)</f>
        <v>10</v>
      </c>
      <c r="D97" t="str">
        <f t="shared" si="11"/>
        <v>rg:{'id': '10'}</v>
      </c>
      <c r="E97" s="1" t="s">
        <v>7934</v>
      </c>
      <c r="F97" s="1" t="s">
        <v>7000</v>
      </c>
      <c r="G97">
        <f t="shared" si="14"/>
        <v>200095</v>
      </c>
      <c r="H97">
        <f t="shared" si="12"/>
        <v>500095</v>
      </c>
      <c r="I97" t="s">
        <v>6684</v>
      </c>
      <c r="J97" t="s">
        <v>6508</v>
      </c>
      <c r="K97" t="str">
        <f>IFERROR(VLOOKUP(F97,'Contacts.csv'!C:D,2,FALSE),"")</f>
        <v/>
      </c>
      <c r="L97" t="str">
        <f t="shared" si="15"/>
        <v>rg:None</v>
      </c>
      <c r="M97" s="4" t="str">
        <f t="shared" si="16"/>
        <v>rg:[]</v>
      </c>
      <c r="N97" t="s">
        <v>6508</v>
      </c>
      <c r="O97" t="s">
        <v>6508</v>
      </c>
      <c r="P97" t="s">
        <v>6508</v>
      </c>
      <c r="Q97">
        <f t="shared" si="10"/>
        <v>10</v>
      </c>
      <c r="R97" t="str">
        <f t="shared" si="13"/>
        <v>Active</v>
      </c>
    </row>
    <row r="98" spans="1:18" x14ac:dyDescent="0.3">
      <c r="A98" t="s">
        <v>5384</v>
      </c>
      <c r="B98" t="s">
        <v>2955</v>
      </c>
      <c r="C98">
        <f>VLOOKUP(B98,ServiceAreas.csv!B:J,9,FALSE)</f>
        <v>10</v>
      </c>
      <c r="D98" t="str">
        <f t="shared" si="11"/>
        <v>rg:{'id': '10'}</v>
      </c>
      <c r="E98" s="1" t="s">
        <v>7935</v>
      </c>
      <c r="F98" s="1" t="s">
        <v>7001</v>
      </c>
      <c r="G98">
        <f t="shared" si="14"/>
        <v>200096</v>
      </c>
      <c r="H98">
        <f t="shared" si="12"/>
        <v>500096</v>
      </c>
      <c r="I98" t="s">
        <v>6684</v>
      </c>
      <c r="J98" t="s">
        <v>6508</v>
      </c>
      <c r="K98" t="str">
        <f>IFERROR(VLOOKUP(F98,'Contacts.csv'!C:D,2,FALSE),"")</f>
        <v/>
      </c>
      <c r="L98" t="str">
        <f t="shared" si="15"/>
        <v>rg:None</v>
      </c>
      <c r="M98" s="4" t="str">
        <f t="shared" si="16"/>
        <v>rg:[]</v>
      </c>
      <c r="N98" t="s">
        <v>6508</v>
      </c>
      <c r="O98" t="s">
        <v>6508</v>
      </c>
      <c r="P98" t="s">
        <v>6508</v>
      </c>
      <c r="Q98">
        <f t="shared" ref="Q98:Q129" si="17">C98</f>
        <v>10</v>
      </c>
      <c r="R98" t="str">
        <f t="shared" si="13"/>
        <v>Active</v>
      </c>
    </row>
    <row r="99" spans="1:18" x14ac:dyDescent="0.3">
      <c r="A99" t="s">
        <v>5384</v>
      </c>
      <c r="B99" t="s">
        <v>2955</v>
      </c>
      <c r="C99">
        <f>VLOOKUP(B99,ServiceAreas.csv!B:J,9,FALSE)</f>
        <v>10</v>
      </c>
      <c r="D99" t="str">
        <f t="shared" si="11"/>
        <v>rg:{'id': '10'}</v>
      </c>
      <c r="E99" s="1" t="s">
        <v>7040</v>
      </c>
      <c r="F99" s="1" t="s">
        <v>7002</v>
      </c>
      <c r="G99">
        <f t="shared" si="14"/>
        <v>200097</v>
      </c>
      <c r="H99">
        <f t="shared" si="12"/>
        <v>500097</v>
      </c>
      <c r="I99" t="s">
        <v>6684</v>
      </c>
      <c r="J99" t="s">
        <v>6508</v>
      </c>
      <c r="K99" t="str">
        <f>IFERROR(VLOOKUP(F99,'Contacts.csv'!C:D,2,FALSE),"")</f>
        <v/>
      </c>
      <c r="L99" t="str">
        <f t="shared" si="15"/>
        <v>rg:None</v>
      </c>
      <c r="M99" s="4" t="str">
        <f t="shared" si="16"/>
        <v>rg:[]</v>
      </c>
      <c r="N99" t="s">
        <v>6508</v>
      </c>
      <c r="O99" t="s">
        <v>6508</v>
      </c>
      <c r="P99" t="s">
        <v>6508</v>
      </c>
      <c r="Q99">
        <f t="shared" si="17"/>
        <v>10</v>
      </c>
      <c r="R99" t="str">
        <f t="shared" si="13"/>
        <v>Active</v>
      </c>
    </row>
    <row r="100" spans="1:18" x14ac:dyDescent="0.3">
      <c r="A100" t="s">
        <v>5384</v>
      </c>
      <c r="B100" t="s">
        <v>2955</v>
      </c>
      <c r="C100">
        <f>VLOOKUP(B100,ServiceAreas.csv!B:J,9,FALSE)</f>
        <v>10</v>
      </c>
      <c r="D100" t="str">
        <f t="shared" si="11"/>
        <v>rg:{'id': '10'}</v>
      </c>
      <c r="E100" s="1" t="s">
        <v>7936</v>
      </c>
      <c r="F100" s="1" t="s">
        <v>7003</v>
      </c>
      <c r="G100">
        <f t="shared" si="14"/>
        <v>200098</v>
      </c>
      <c r="H100">
        <f t="shared" si="12"/>
        <v>500098</v>
      </c>
      <c r="I100" t="s">
        <v>6684</v>
      </c>
      <c r="J100" t="s">
        <v>6508</v>
      </c>
      <c r="K100" t="str">
        <f>IFERROR(VLOOKUP(F100,'Contacts.csv'!C:D,2,FALSE),"")</f>
        <v/>
      </c>
      <c r="L100" t="str">
        <f t="shared" si="15"/>
        <v>rg:None</v>
      </c>
      <c r="M100" s="4" t="str">
        <f t="shared" si="16"/>
        <v>rg:[]</v>
      </c>
      <c r="N100" t="s">
        <v>6508</v>
      </c>
      <c r="O100" t="s">
        <v>6508</v>
      </c>
      <c r="P100" t="s">
        <v>6508</v>
      </c>
      <c r="Q100">
        <f t="shared" si="17"/>
        <v>10</v>
      </c>
      <c r="R100" t="str">
        <f t="shared" si="13"/>
        <v>Active</v>
      </c>
    </row>
    <row r="101" spans="1:18" x14ac:dyDescent="0.3">
      <c r="A101" t="s">
        <v>5384</v>
      </c>
      <c r="B101" t="s">
        <v>2955</v>
      </c>
      <c r="C101">
        <f>VLOOKUP(B101,ServiceAreas.csv!B:J,9,FALSE)</f>
        <v>10</v>
      </c>
      <c r="D101" t="str">
        <f t="shared" si="11"/>
        <v>rg:{'id': '10'}</v>
      </c>
      <c r="E101" s="1" t="s">
        <v>7884</v>
      </c>
      <c r="F101" s="1" t="s">
        <v>6915</v>
      </c>
      <c r="G101">
        <f t="shared" si="14"/>
        <v>200099</v>
      </c>
      <c r="H101">
        <f t="shared" si="12"/>
        <v>500099</v>
      </c>
      <c r="I101" t="s">
        <v>6684</v>
      </c>
      <c r="J101" t="s">
        <v>6508</v>
      </c>
      <c r="K101" t="str">
        <f>IFERROR(VLOOKUP(F101,'Contacts.csv'!C:D,2,FALSE),"")</f>
        <v/>
      </c>
      <c r="L101" t="str">
        <f t="shared" si="15"/>
        <v>rg:None</v>
      </c>
      <c r="M101" s="4" t="str">
        <f t="shared" si="16"/>
        <v>rg:[]</v>
      </c>
      <c r="N101" t="s">
        <v>6508</v>
      </c>
      <c r="O101" t="s">
        <v>6508</v>
      </c>
      <c r="P101" t="s">
        <v>6508</v>
      </c>
      <c r="Q101">
        <f t="shared" si="17"/>
        <v>10</v>
      </c>
      <c r="R101" t="str">
        <f t="shared" si="13"/>
        <v>Active</v>
      </c>
    </row>
    <row r="102" spans="1:18" x14ac:dyDescent="0.3">
      <c r="A102" t="s">
        <v>5384</v>
      </c>
      <c r="B102" t="s">
        <v>2955</v>
      </c>
      <c r="C102">
        <f>VLOOKUP(B102,ServiceAreas.csv!B:J,9,FALSE)</f>
        <v>10</v>
      </c>
      <c r="D102" t="str">
        <f t="shared" si="11"/>
        <v>rg:{'id': '10'}</v>
      </c>
      <c r="E102" s="1" t="s">
        <v>6919</v>
      </c>
      <c r="F102" s="1" t="s">
        <v>7004</v>
      </c>
      <c r="G102">
        <f t="shared" si="14"/>
        <v>200100</v>
      </c>
      <c r="H102">
        <f t="shared" si="12"/>
        <v>500100</v>
      </c>
      <c r="I102" t="s">
        <v>6684</v>
      </c>
      <c r="J102" t="s">
        <v>6508</v>
      </c>
      <c r="K102" t="str">
        <f>IFERROR(VLOOKUP(F102,'Contacts.csv'!C:D,2,FALSE),"")</f>
        <v/>
      </c>
      <c r="L102" t="str">
        <f t="shared" si="15"/>
        <v>rg:None</v>
      </c>
      <c r="M102" s="4" t="str">
        <f t="shared" si="16"/>
        <v>rg:[]</v>
      </c>
      <c r="N102" t="s">
        <v>6508</v>
      </c>
      <c r="O102" t="s">
        <v>6508</v>
      </c>
      <c r="P102" t="s">
        <v>6508</v>
      </c>
      <c r="Q102">
        <f t="shared" si="17"/>
        <v>10</v>
      </c>
      <c r="R102" t="str">
        <f t="shared" si="13"/>
        <v>Active</v>
      </c>
    </row>
    <row r="103" spans="1:18" x14ac:dyDescent="0.3">
      <c r="A103" t="s">
        <v>5384</v>
      </c>
      <c r="B103" t="s">
        <v>2955</v>
      </c>
      <c r="C103">
        <f>VLOOKUP(B103,ServiceAreas.csv!B:J,9,FALSE)</f>
        <v>10</v>
      </c>
      <c r="D103" t="str">
        <f t="shared" si="11"/>
        <v>rg:{'id': '10'}</v>
      </c>
      <c r="E103" s="1" t="s">
        <v>6894</v>
      </c>
      <c r="F103" s="1" t="s">
        <v>6899</v>
      </c>
      <c r="G103">
        <f t="shared" si="14"/>
        <v>200101</v>
      </c>
      <c r="H103">
        <f t="shared" si="12"/>
        <v>500101</v>
      </c>
      <c r="I103" t="s">
        <v>6684</v>
      </c>
      <c r="J103" t="s">
        <v>6508</v>
      </c>
      <c r="K103" t="str">
        <f>IFERROR(VLOOKUP(F103,'Contacts.csv'!C:D,2,FALSE),"")</f>
        <v/>
      </c>
      <c r="L103" t="str">
        <f t="shared" si="15"/>
        <v>rg:None</v>
      </c>
      <c r="M103" s="4" t="str">
        <f t="shared" si="16"/>
        <v>rg:[]</v>
      </c>
      <c r="N103" t="s">
        <v>6508</v>
      </c>
      <c r="O103" t="s">
        <v>6508</v>
      </c>
      <c r="P103" t="s">
        <v>6508</v>
      </c>
      <c r="Q103">
        <f t="shared" si="17"/>
        <v>10</v>
      </c>
      <c r="R103" t="str">
        <f t="shared" si="13"/>
        <v>Active</v>
      </c>
    </row>
    <row r="104" spans="1:18" x14ac:dyDescent="0.3">
      <c r="A104" t="s">
        <v>5384</v>
      </c>
      <c r="B104" t="s">
        <v>2955</v>
      </c>
      <c r="C104">
        <f>VLOOKUP(B104,ServiceAreas.csv!B:J,9,FALSE)</f>
        <v>10</v>
      </c>
      <c r="D104" t="str">
        <f t="shared" si="11"/>
        <v>rg:{'id': '10'}</v>
      </c>
      <c r="E104" s="1" t="s">
        <v>7937</v>
      </c>
      <c r="F104" s="1" t="s">
        <v>7005</v>
      </c>
      <c r="G104">
        <f t="shared" si="14"/>
        <v>200102</v>
      </c>
      <c r="H104">
        <f t="shared" si="12"/>
        <v>500102</v>
      </c>
      <c r="I104" t="s">
        <v>6684</v>
      </c>
      <c r="J104" t="s">
        <v>6508</v>
      </c>
      <c r="K104" t="str">
        <f>IFERROR(VLOOKUP(F104,'Contacts.csv'!C:D,2,FALSE),"")</f>
        <v/>
      </c>
      <c r="L104" t="str">
        <f t="shared" si="15"/>
        <v>rg:None</v>
      </c>
      <c r="M104" s="4" t="str">
        <f t="shared" si="16"/>
        <v>rg:[]</v>
      </c>
      <c r="N104" t="s">
        <v>6508</v>
      </c>
      <c r="O104" t="s">
        <v>6508</v>
      </c>
      <c r="P104" t="s">
        <v>6508</v>
      </c>
      <c r="Q104">
        <f t="shared" si="17"/>
        <v>10</v>
      </c>
      <c r="R104" t="str">
        <f t="shared" si="13"/>
        <v>Active</v>
      </c>
    </row>
    <row r="105" spans="1:18" x14ac:dyDescent="0.3">
      <c r="A105" t="s">
        <v>5384</v>
      </c>
      <c r="B105" t="s">
        <v>2955</v>
      </c>
      <c r="C105">
        <f>VLOOKUP(B105,ServiceAreas.csv!B:J,9,FALSE)</f>
        <v>10</v>
      </c>
      <c r="D105" t="str">
        <f t="shared" si="11"/>
        <v>rg:{'id': '10'}</v>
      </c>
      <c r="E105" s="1" t="s">
        <v>7006</v>
      </c>
      <c r="F105" s="1" t="s">
        <v>7006</v>
      </c>
      <c r="G105">
        <f t="shared" si="14"/>
        <v>200103</v>
      </c>
      <c r="H105">
        <f t="shared" si="12"/>
        <v>500103</v>
      </c>
      <c r="I105" t="s">
        <v>6684</v>
      </c>
      <c r="J105" t="s">
        <v>6508</v>
      </c>
      <c r="K105" t="str">
        <f>IFERROR(VLOOKUP(F105,'Contacts.csv'!C:D,2,FALSE),"")</f>
        <v/>
      </c>
      <c r="L105" t="str">
        <f t="shared" si="15"/>
        <v>rg:None</v>
      </c>
      <c r="M105" s="4" t="str">
        <f t="shared" si="16"/>
        <v>rg:[]</v>
      </c>
      <c r="N105" t="s">
        <v>6508</v>
      </c>
      <c r="O105" t="s">
        <v>6508</v>
      </c>
      <c r="P105" t="s">
        <v>6508</v>
      </c>
      <c r="Q105">
        <f t="shared" si="17"/>
        <v>10</v>
      </c>
      <c r="R105" t="str">
        <f t="shared" si="13"/>
        <v>Active</v>
      </c>
    </row>
    <row r="106" spans="1:18" x14ac:dyDescent="0.3">
      <c r="A106" t="s">
        <v>5384</v>
      </c>
      <c r="B106" t="s">
        <v>2955</v>
      </c>
      <c r="C106">
        <f>VLOOKUP(B106,ServiceAreas.csv!B:J,9,FALSE)</f>
        <v>10</v>
      </c>
      <c r="D106" t="str">
        <f t="shared" si="11"/>
        <v>rg:{'id': '10'}</v>
      </c>
      <c r="E106" s="1" t="s">
        <v>7027</v>
      </c>
      <c r="F106" s="1" t="s">
        <v>6929</v>
      </c>
      <c r="G106">
        <f t="shared" si="14"/>
        <v>200104</v>
      </c>
      <c r="H106">
        <f t="shared" si="12"/>
        <v>500104</v>
      </c>
      <c r="I106" t="s">
        <v>6684</v>
      </c>
      <c r="J106" t="s">
        <v>6508</v>
      </c>
      <c r="K106" t="str">
        <f>IFERROR(VLOOKUP(F106,'Contacts.csv'!C:D,2,FALSE),"")</f>
        <v/>
      </c>
      <c r="L106" t="str">
        <f t="shared" si="15"/>
        <v>rg:None</v>
      </c>
      <c r="M106" s="4" t="str">
        <f t="shared" si="16"/>
        <v>rg:[]</v>
      </c>
      <c r="N106" t="s">
        <v>6508</v>
      </c>
      <c r="O106" t="s">
        <v>6508</v>
      </c>
      <c r="P106" t="s">
        <v>6508</v>
      </c>
      <c r="Q106">
        <f t="shared" si="17"/>
        <v>10</v>
      </c>
      <c r="R106" t="str">
        <f t="shared" si="13"/>
        <v>Active</v>
      </c>
    </row>
    <row r="107" spans="1:18" x14ac:dyDescent="0.3">
      <c r="A107" t="s">
        <v>5384</v>
      </c>
      <c r="B107" t="s">
        <v>2955</v>
      </c>
      <c r="C107">
        <f>VLOOKUP(B107,ServiceAreas.csv!B:J,9,FALSE)</f>
        <v>10</v>
      </c>
      <c r="D107" t="str">
        <f t="shared" si="11"/>
        <v>rg:{'id': '10'}</v>
      </c>
      <c r="E107" s="1" t="s">
        <v>7938</v>
      </c>
      <c r="F107" s="1" t="s">
        <v>6900</v>
      </c>
      <c r="G107">
        <f t="shared" si="14"/>
        <v>200105</v>
      </c>
      <c r="H107">
        <f t="shared" si="12"/>
        <v>500105</v>
      </c>
      <c r="I107" t="s">
        <v>6684</v>
      </c>
      <c r="J107" t="s">
        <v>6508</v>
      </c>
      <c r="K107" t="str">
        <f>IFERROR(VLOOKUP(F107,'Contacts.csv'!C:D,2,FALSE),"")</f>
        <v/>
      </c>
      <c r="L107" t="str">
        <f t="shared" si="15"/>
        <v>rg:None</v>
      </c>
      <c r="M107" s="4" t="str">
        <f t="shared" si="16"/>
        <v>rg:[]</v>
      </c>
      <c r="N107" t="s">
        <v>6508</v>
      </c>
      <c r="O107" t="s">
        <v>6508</v>
      </c>
      <c r="P107" t="s">
        <v>6508</v>
      </c>
      <c r="Q107">
        <f t="shared" si="17"/>
        <v>10</v>
      </c>
      <c r="R107" t="str">
        <f t="shared" si="13"/>
        <v>Active</v>
      </c>
    </row>
    <row r="108" spans="1:18" x14ac:dyDescent="0.3">
      <c r="A108" t="s">
        <v>5384</v>
      </c>
      <c r="B108" t="s">
        <v>2955</v>
      </c>
      <c r="C108">
        <f>VLOOKUP(B108,ServiceAreas.csv!B:J,9,FALSE)</f>
        <v>10</v>
      </c>
      <c r="D108" t="str">
        <f t="shared" si="11"/>
        <v>rg:{'id': '10'}</v>
      </c>
      <c r="E108" s="1" t="s">
        <v>7007</v>
      </c>
      <c r="F108" s="1" t="s">
        <v>7007</v>
      </c>
      <c r="G108">
        <f t="shared" si="14"/>
        <v>200106</v>
      </c>
      <c r="H108">
        <f t="shared" si="12"/>
        <v>500106</v>
      </c>
      <c r="I108" t="s">
        <v>6684</v>
      </c>
      <c r="J108" t="s">
        <v>6508</v>
      </c>
      <c r="K108" t="str">
        <f>IFERROR(VLOOKUP(F108,'Contacts.csv'!C:D,2,FALSE),"")</f>
        <v/>
      </c>
      <c r="L108" t="str">
        <f t="shared" si="15"/>
        <v>rg:None</v>
      </c>
      <c r="M108" s="4" t="str">
        <f t="shared" si="16"/>
        <v>rg:[]</v>
      </c>
      <c r="N108" t="s">
        <v>6508</v>
      </c>
      <c r="O108" t="s">
        <v>6508</v>
      </c>
      <c r="P108" t="s">
        <v>6508</v>
      </c>
      <c r="Q108">
        <f t="shared" si="17"/>
        <v>10</v>
      </c>
      <c r="R108" t="str">
        <f t="shared" si="13"/>
        <v>Active</v>
      </c>
    </row>
    <row r="109" spans="1:18" x14ac:dyDescent="0.3">
      <c r="A109" t="s">
        <v>5384</v>
      </c>
      <c r="B109" t="s">
        <v>2955</v>
      </c>
      <c r="C109">
        <f>VLOOKUP(B109,ServiceAreas.csv!B:J,9,FALSE)</f>
        <v>10</v>
      </c>
      <c r="D109" t="str">
        <f t="shared" si="11"/>
        <v>rg:{'id': '10'}</v>
      </c>
      <c r="E109" s="1" t="s">
        <v>7939</v>
      </c>
      <c r="F109" s="1" t="s">
        <v>7008</v>
      </c>
      <c r="G109">
        <f t="shared" si="14"/>
        <v>200107</v>
      </c>
      <c r="H109">
        <f t="shared" si="12"/>
        <v>500107</v>
      </c>
      <c r="I109" t="s">
        <v>6684</v>
      </c>
      <c r="J109" t="s">
        <v>6508</v>
      </c>
      <c r="K109" t="str">
        <f>IFERROR(VLOOKUP(F109,'Contacts.csv'!C:D,2,FALSE),"")</f>
        <v/>
      </c>
      <c r="L109" t="str">
        <f t="shared" si="15"/>
        <v>rg:None</v>
      </c>
      <c r="M109" s="4" t="str">
        <f t="shared" si="16"/>
        <v>rg:[]</v>
      </c>
      <c r="N109" t="s">
        <v>6508</v>
      </c>
      <c r="O109" t="s">
        <v>6508</v>
      </c>
      <c r="P109" t="s">
        <v>6508</v>
      </c>
      <c r="Q109">
        <f t="shared" si="17"/>
        <v>10</v>
      </c>
      <c r="R109" t="str">
        <f t="shared" si="13"/>
        <v>Active</v>
      </c>
    </row>
    <row r="110" spans="1:18" x14ac:dyDescent="0.3">
      <c r="A110" t="s">
        <v>5384</v>
      </c>
      <c r="B110" t="s">
        <v>2955</v>
      </c>
      <c r="C110">
        <f>VLOOKUP(B110,ServiceAreas.csv!B:J,9,FALSE)</f>
        <v>10</v>
      </c>
      <c r="D110" t="str">
        <f t="shared" si="11"/>
        <v>rg:{'id': '10'}</v>
      </c>
      <c r="E110" s="1" t="s">
        <v>7940</v>
      </c>
      <c r="F110" s="1" t="s">
        <v>7009</v>
      </c>
      <c r="G110">
        <f t="shared" si="14"/>
        <v>200108</v>
      </c>
      <c r="H110">
        <f t="shared" si="12"/>
        <v>500108</v>
      </c>
      <c r="I110" t="s">
        <v>6684</v>
      </c>
      <c r="J110" t="s">
        <v>6508</v>
      </c>
      <c r="K110" t="str">
        <f>IFERROR(VLOOKUP(F110,'Contacts.csv'!C:D,2,FALSE),"")</f>
        <v/>
      </c>
      <c r="L110" t="str">
        <f t="shared" si="15"/>
        <v>rg:None</v>
      </c>
      <c r="M110" s="4" t="str">
        <f t="shared" si="16"/>
        <v>rg:[]</v>
      </c>
      <c r="N110" t="s">
        <v>6508</v>
      </c>
      <c r="O110" t="s">
        <v>6508</v>
      </c>
      <c r="P110" t="s">
        <v>6508</v>
      </c>
      <c r="Q110">
        <f t="shared" si="17"/>
        <v>10</v>
      </c>
      <c r="R110" t="str">
        <f t="shared" si="13"/>
        <v>Active</v>
      </c>
    </row>
    <row r="111" spans="1:18" x14ac:dyDescent="0.3">
      <c r="A111" t="s">
        <v>5384</v>
      </c>
      <c r="B111" t="s">
        <v>2955</v>
      </c>
      <c r="C111">
        <f>VLOOKUP(B111,ServiceAreas.csv!B:J,9,FALSE)</f>
        <v>10</v>
      </c>
      <c r="D111" t="str">
        <f t="shared" si="11"/>
        <v>rg:{'id': '10'}</v>
      </c>
      <c r="E111" s="1" t="s">
        <v>7891</v>
      </c>
      <c r="F111" s="1" t="s">
        <v>7010</v>
      </c>
      <c r="G111">
        <f t="shared" si="14"/>
        <v>200109</v>
      </c>
      <c r="H111">
        <f t="shared" si="12"/>
        <v>500109</v>
      </c>
      <c r="I111" t="s">
        <v>6684</v>
      </c>
      <c r="J111" t="s">
        <v>6508</v>
      </c>
      <c r="K111" t="str">
        <f>IFERROR(VLOOKUP(F111,'Contacts.csv'!C:D,2,FALSE),"")</f>
        <v/>
      </c>
      <c r="L111" t="str">
        <f t="shared" si="15"/>
        <v>rg:None</v>
      </c>
      <c r="M111" s="4" t="str">
        <f t="shared" si="16"/>
        <v>rg:[]</v>
      </c>
      <c r="N111" t="s">
        <v>6508</v>
      </c>
      <c r="O111" t="s">
        <v>6508</v>
      </c>
      <c r="P111" t="s">
        <v>6508</v>
      </c>
      <c r="Q111">
        <f t="shared" si="17"/>
        <v>10</v>
      </c>
      <c r="R111" t="str">
        <f t="shared" si="13"/>
        <v>Active</v>
      </c>
    </row>
    <row r="112" spans="1:18" x14ac:dyDescent="0.3">
      <c r="A112" t="s">
        <v>5384</v>
      </c>
      <c r="B112" t="s">
        <v>2955</v>
      </c>
      <c r="C112">
        <f>VLOOKUP(B112,ServiceAreas.csv!B:J,9,FALSE)</f>
        <v>10</v>
      </c>
      <c r="D112" t="str">
        <f t="shared" si="11"/>
        <v>rg:{'id': '10'}</v>
      </c>
      <c r="E112" s="1" t="s">
        <v>7011</v>
      </c>
      <c r="F112" s="1" t="s">
        <v>7011</v>
      </c>
      <c r="G112">
        <f t="shared" si="14"/>
        <v>200110</v>
      </c>
      <c r="H112">
        <f t="shared" si="12"/>
        <v>500110</v>
      </c>
      <c r="I112" t="s">
        <v>6684</v>
      </c>
      <c r="J112" t="s">
        <v>6508</v>
      </c>
      <c r="K112" t="str">
        <f>IFERROR(VLOOKUP(F112,'Contacts.csv'!C:D,2,FALSE),"")</f>
        <v/>
      </c>
      <c r="L112" t="str">
        <f t="shared" si="15"/>
        <v>rg:None</v>
      </c>
      <c r="M112" s="4" t="str">
        <f t="shared" si="16"/>
        <v>rg:[]</v>
      </c>
      <c r="N112" t="s">
        <v>6508</v>
      </c>
      <c r="O112" t="s">
        <v>6508</v>
      </c>
      <c r="P112" t="s">
        <v>6508</v>
      </c>
      <c r="Q112">
        <f t="shared" si="17"/>
        <v>10</v>
      </c>
      <c r="R112" t="str">
        <f t="shared" si="13"/>
        <v>Active</v>
      </c>
    </row>
    <row r="113" spans="1:18" x14ac:dyDescent="0.3">
      <c r="A113" t="s">
        <v>5384</v>
      </c>
      <c r="B113" t="s">
        <v>2955</v>
      </c>
      <c r="C113">
        <f>VLOOKUP(B113,ServiceAreas.csv!B:J,9,FALSE)</f>
        <v>10</v>
      </c>
      <c r="D113" t="str">
        <f t="shared" si="11"/>
        <v>rg:{'id': '10'}</v>
      </c>
      <c r="E113" s="1" t="s">
        <v>7012</v>
      </c>
      <c r="F113" s="1" t="s">
        <v>7012</v>
      </c>
      <c r="G113">
        <f t="shared" si="14"/>
        <v>200111</v>
      </c>
      <c r="H113">
        <f t="shared" si="12"/>
        <v>500111</v>
      </c>
      <c r="I113" t="s">
        <v>6684</v>
      </c>
      <c r="J113" t="s">
        <v>6508</v>
      </c>
      <c r="K113" t="str">
        <f>IFERROR(VLOOKUP(F113,'Contacts.csv'!C:D,2,FALSE),"")</f>
        <v/>
      </c>
      <c r="L113" t="str">
        <f t="shared" ref="L113:L149" si="18">IF(ISNUMBER(K113),"rg:{'id':'" &amp; K113 &amp; "'}","rg:None")</f>
        <v>rg:None</v>
      </c>
      <c r="M113" s="4" t="str">
        <f t="shared" ref="M113:M149" si="19">IF(ISNUMBER(K113),"rg:[{'id':'" &amp; K113 &amp; "'}]","rg:[]")</f>
        <v>rg:[]</v>
      </c>
      <c r="N113" t="s">
        <v>6508</v>
      </c>
      <c r="O113" t="s">
        <v>6508</v>
      </c>
      <c r="P113" t="s">
        <v>6508</v>
      </c>
      <c r="Q113">
        <f t="shared" si="17"/>
        <v>10</v>
      </c>
      <c r="R113" t="str">
        <f t="shared" si="13"/>
        <v>Active</v>
      </c>
    </row>
    <row r="114" spans="1:18" x14ac:dyDescent="0.3">
      <c r="A114" t="s">
        <v>5384</v>
      </c>
      <c r="B114" t="s">
        <v>2955</v>
      </c>
      <c r="C114">
        <f>VLOOKUP(B114,ServiceAreas.csv!B:J,9,FALSE)</f>
        <v>10</v>
      </c>
      <c r="D114" t="str">
        <f t="shared" si="11"/>
        <v>rg:{'id': '10'}</v>
      </c>
      <c r="E114" s="1" t="s">
        <v>7941</v>
      </c>
      <c r="F114" s="1" t="s">
        <v>7013</v>
      </c>
      <c r="G114">
        <f t="shared" si="14"/>
        <v>200112</v>
      </c>
      <c r="H114">
        <f t="shared" si="12"/>
        <v>500112</v>
      </c>
      <c r="I114" t="s">
        <v>6684</v>
      </c>
      <c r="J114" t="s">
        <v>6508</v>
      </c>
      <c r="K114" t="str">
        <f>IFERROR(VLOOKUP(F114,'Contacts.csv'!C:D,2,FALSE),"")</f>
        <v/>
      </c>
      <c r="L114" t="str">
        <f t="shared" si="18"/>
        <v>rg:None</v>
      </c>
      <c r="M114" s="4" t="str">
        <f t="shared" si="19"/>
        <v>rg:[]</v>
      </c>
      <c r="N114" t="s">
        <v>6508</v>
      </c>
      <c r="O114" t="s">
        <v>6508</v>
      </c>
      <c r="P114" t="s">
        <v>6508</v>
      </c>
      <c r="Q114">
        <f t="shared" si="17"/>
        <v>10</v>
      </c>
      <c r="R114" t="str">
        <f t="shared" si="13"/>
        <v>Active</v>
      </c>
    </row>
    <row r="115" spans="1:18" x14ac:dyDescent="0.3">
      <c r="A115" t="s">
        <v>5384</v>
      </c>
      <c r="B115" t="s">
        <v>2955</v>
      </c>
      <c r="C115">
        <f>VLOOKUP(B115,ServiceAreas.csv!B:J,9,FALSE)</f>
        <v>10</v>
      </c>
      <c r="D115" t="str">
        <f t="shared" si="11"/>
        <v>rg:{'id': '10'}</v>
      </c>
      <c r="E115" s="1" t="s">
        <v>7942</v>
      </c>
      <c r="F115" s="1" t="s">
        <v>6893</v>
      </c>
      <c r="G115">
        <f t="shared" si="14"/>
        <v>200113</v>
      </c>
      <c r="H115">
        <f t="shared" si="12"/>
        <v>500113</v>
      </c>
      <c r="I115" t="s">
        <v>6684</v>
      </c>
      <c r="J115" t="s">
        <v>6508</v>
      </c>
      <c r="K115" t="str">
        <f>IFERROR(VLOOKUP(F115,'Contacts.csv'!C:D,2,FALSE),"")</f>
        <v/>
      </c>
      <c r="L115" t="str">
        <f t="shared" si="18"/>
        <v>rg:None</v>
      </c>
      <c r="M115" s="4" t="str">
        <f t="shared" si="19"/>
        <v>rg:[]</v>
      </c>
      <c r="N115" t="s">
        <v>6508</v>
      </c>
      <c r="O115" t="s">
        <v>6508</v>
      </c>
      <c r="P115" t="s">
        <v>6508</v>
      </c>
      <c r="Q115">
        <f t="shared" si="17"/>
        <v>10</v>
      </c>
      <c r="R115" t="str">
        <f t="shared" si="13"/>
        <v>Active</v>
      </c>
    </row>
    <row r="116" spans="1:18" x14ac:dyDescent="0.3">
      <c r="A116" t="s">
        <v>5384</v>
      </c>
      <c r="B116" t="s">
        <v>2955</v>
      </c>
      <c r="C116">
        <f>VLOOKUP(B116,ServiceAreas.csv!B:J,9,FALSE)</f>
        <v>10</v>
      </c>
      <c r="D116" t="str">
        <f t="shared" si="11"/>
        <v>rg:{'id': '10'}</v>
      </c>
      <c r="E116" s="1" t="s">
        <v>6935</v>
      </c>
      <c r="F116" s="1" t="s">
        <v>7014</v>
      </c>
      <c r="G116">
        <f t="shared" si="14"/>
        <v>200114</v>
      </c>
      <c r="H116">
        <f t="shared" si="12"/>
        <v>500114</v>
      </c>
      <c r="I116" t="s">
        <v>6684</v>
      </c>
      <c r="J116" t="s">
        <v>6508</v>
      </c>
      <c r="K116" t="str">
        <f>IFERROR(VLOOKUP(F116,'Contacts.csv'!C:D,2,FALSE),"")</f>
        <v/>
      </c>
      <c r="L116" t="str">
        <f t="shared" si="18"/>
        <v>rg:None</v>
      </c>
      <c r="M116" s="4" t="str">
        <f t="shared" si="19"/>
        <v>rg:[]</v>
      </c>
      <c r="N116" t="s">
        <v>6508</v>
      </c>
      <c r="O116" t="s">
        <v>6508</v>
      </c>
      <c r="P116" t="s">
        <v>6508</v>
      </c>
      <c r="Q116">
        <f t="shared" si="17"/>
        <v>10</v>
      </c>
      <c r="R116" t="str">
        <f t="shared" si="13"/>
        <v>Active</v>
      </c>
    </row>
    <row r="117" spans="1:18" x14ac:dyDescent="0.3">
      <c r="A117" t="s">
        <v>5384</v>
      </c>
      <c r="B117" t="s">
        <v>2955</v>
      </c>
      <c r="C117">
        <f>VLOOKUP(B117,ServiceAreas.csv!B:J,9,FALSE)</f>
        <v>10</v>
      </c>
      <c r="D117" t="str">
        <f t="shared" si="11"/>
        <v>rg:{'id': '10'}</v>
      </c>
      <c r="E117" s="1" t="s">
        <v>7943</v>
      </c>
      <c r="F117" s="1" t="s">
        <v>6920</v>
      </c>
      <c r="G117">
        <f t="shared" si="14"/>
        <v>200115</v>
      </c>
      <c r="H117">
        <f t="shared" si="12"/>
        <v>500115</v>
      </c>
      <c r="I117" t="s">
        <v>6684</v>
      </c>
      <c r="J117" t="s">
        <v>6508</v>
      </c>
      <c r="K117" t="str">
        <f>IFERROR(VLOOKUP(F117,'Contacts.csv'!C:D,2,FALSE),"")</f>
        <v/>
      </c>
      <c r="L117" t="str">
        <f t="shared" si="18"/>
        <v>rg:None</v>
      </c>
      <c r="M117" s="4" t="str">
        <f t="shared" si="19"/>
        <v>rg:[]</v>
      </c>
      <c r="N117" t="s">
        <v>6508</v>
      </c>
      <c r="O117" t="s">
        <v>6508</v>
      </c>
      <c r="P117" t="s">
        <v>6508</v>
      </c>
      <c r="Q117">
        <f t="shared" si="17"/>
        <v>10</v>
      </c>
      <c r="R117" t="str">
        <f t="shared" si="13"/>
        <v>Active</v>
      </c>
    </row>
    <row r="118" spans="1:18" x14ac:dyDescent="0.3">
      <c r="A118" t="s">
        <v>5384</v>
      </c>
      <c r="B118" t="s">
        <v>2955</v>
      </c>
      <c r="C118">
        <f>VLOOKUP(B118,ServiceAreas.csv!B:J,9,FALSE)</f>
        <v>10</v>
      </c>
      <c r="D118" t="str">
        <f t="shared" si="11"/>
        <v>rg:{'id': '10'}</v>
      </c>
      <c r="E118" s="1" t="s">
        <v>6996</v>
      </c>
      <c r="F118" s="1" t="s">
        <v>6914</v>
      </c>
      <c r="G118">
        <f t="shared" si="14"/>
        <v>200116</v>
      </c>
      <c r="H118">
        <f t="shared" si="12"/>
        <v>500116</v>
      </c>
      <c r="I118" t="s">
        <v>6684</v>
      </c>
      <c r="J118" t="s">
        <v>6508</v>
      </c>
      <c r="K118" t="str">
        <f>IFERROR(VLOOKUP(F118,'Contacts.csv'!C:D,2,FALSE),"")</f>
        <v/>
      </c>
      <c r="L118" t="str">
        <f t="shared" si="18"/>
        <v>rg:None</v>
      </c>
      <c r="M118" s="4" t="str">
        <f t="shared" si="19"/>
        <v>rg:[]</v>
      </c>
      <c r="N118" t="s">
        <v>6508</v>
      </c>
      <c r="O118" t="s">
        <v>6508</v>
      </c>
      <c r="P118" t="s">
        <v>6508</v>
      </c>
      <c r="Q118">
        <f t="shared" si="17"/>
        <v>10</v>
      </c>
      <c r="R118" t="str">
        <f t="shared" si="13"/>
        <v>Active</v>
      </c>
    </row>
    <row r="119" spans="1:18" x14ac:dyDescent="0.3">
      <c r="A119" t="s">
        <v>5384</v>
      </c>
      <c r="B119" t="s">
        <v>2955</v>
      </c>
      <c r="C119">
        <f>VLOOKUP(B119,ServiceAreas.csv!B:J,9,FALSE)</f>
        <v>10</v>
      </c>
      <c r="D119" t="str">
        <f t="shared" si="11"/>
        <v>rg:{'id': '10'}</v>
      </c>
      <c r="E119" s="1" t="s">
        <v>6895</v>
      </c>
      <c r="F119" s="1" t="s">
        <v>7015</v>
      </c>
      <c r="G119">
        <f t="shared" si="14"/>
        <v>200117</v>
      </c>
      <c r="H119">
        <f t="shared" si="12"/>
        <v>500117</v>
      </c>
      <c r="I119" t="s">
        <v>6684</v>
      </c>
      <c r="J119" t="s">
        <v>6508</v>
      </c>
      <c r="K119" t="str">
        <f>IFERROR(VLOOKUP(F119,'Contacts.csv'!C:D,2,FALSE),"")</f>
        <v/>
      </c>
      <c r="L119" t="str">
        <f t="shared" si="18"/>
        <v>rg:None</v>
      </c>
      <c r="M119" s="4" t="str">
        <f t="shared" si="19"/>
        <v>rg:[]</v>
      </c>
      <c r="N119" t="s">
        <v>6508</v>
      </c>
      <c r="O119" t="s">
        <v>6508</v>
      </c>
      <c r="P119" t="s">
        <v>6508</v>
      </c>
      <c r="Q119">
        <f t="shared" si="17"/>
        <v>10</v>
      </c>
      <c r="R119" t="str">
        <f t="shared" si="13"/>
        <v>Active</v>
      </c>
    </row>
    <row r="120" spans="1:18" x14ac:dyDescent="0.3">
      <c r="A120" t="s">
        <v>5384</v>
      </c>
      <c r="B120" t="s">
        <v>2955</v>
      </c>
      <c r="C120">
        <f>VLOOKUP(B120,ServiceAreas.csv!B:J,9,FALSE)</f>
        <v>10</v>
      </c>
      <c r="D120" t="str">
        <f t="shared" si="11"/>
        <v>rg:{'id': '10'}</v>
      </c>
      <c r="E120" s="1" t="s">
        <v>7017</v>
      </c>
      <c r="F120" s="1" t="s">
        <v>7016</v>
      </c>
      <c r="G120">
        <f t="shared" si="14"/>
        <v>200118</v>
      </c>
      <c r="H120">
        <f t="shared" si="12"/>
        <v>500118</v>
      </c>
      <c r="I120" t="s">
        <v>6684</v>
      </c>
      <c r="J120" t="s">
        <v>6508</v>
      </c>
      <c r="K120" t="str">
        <f>IFERROR(VLOOKUP(F120,'Contacts.csv'!C:D,2,FALSE),"")</f>
        <v/>
      </c>
      <c r="L120" t="str">
        <f t="shared" si="18"/>
        <v>rg:None</v>
      </c>
      <c r="M120" s="4" t="str">
        <f t="shared" si="19"/>
        <v>rg:[]</v>
      </c>
      <c r="N120" t="s">
        <v>6508</v>
      </c>
      <c r="O120" t="s">
        <v>6508</v>
      </c>
      <c r="P120" t="s">
        <v>6508</v>
      </c>
      <c r="Q120">
        <f t="shared" si="17"/>
        <v>10</v>
      </c>
      <c r="R120" t="str">
        <f t="shared" si="13"/>
        <v>Active</v>
      </c>
    </row>
    <row r="121" spans="1:18" x14ac:dyDescent="0.3">
      <c r="A121" t="s">
        <v>5384</v>
      </c>
      <c r="B121" t="s">
        <v>2955</v>
      </c>
      <c r="C121">
        <f>VLOOKUP(B121,ServiceAreas.csv!B:J,9,FALSE)</f>
        <v>10</v>
      </c>
      <c r="D121" t="str">
        <f t="shared" si="11"/>
        <v>rg:{'id': '10'}</v>
      </c>
      <c r="E121" s="1" t="s">
        <v>6987</v>
      </c>
      <c r="F121" s="1" t="s">
        <v>6902</v>
      </c>
      <c r="G121">
        <f t="shared" si="14"/>
        <v>200119</v>
      </c>
      <c r="H121">
        <f t="shared" si="12"/>
        <v>500119</v>
      </c>
      <c r="I121" t="s">
        <v>6684</v>
      </c>
      <c r="J121" t="s">
        <v>6508</v>
      </c>
      <c r="K121" t="str">
        <f>IFERROR(VLOOKUP(F121,'Contacts.csv'!C:D,2,FALSE),"")</f>
        <v/>
      </c>
      <c r="L121" t="str">
        <f t="shared" si="18"/>
        <v>rg:None</v>
      </c>
      <c r="M121" s="4" t="str">
        <f t="shared" si="19"/>
        <v>rg:[]</v>
      </c>
      <c r="N121" t="s">
        <v>6508</v>
      </c>
      <c r="O121" t="s">
        <v>6508</v>
      </c>
      <c r="P121" t="s">
        <v>6508</v>
      </c>
      <c r="Q121">
        <f t="shared" si="17"/>
        <v>10</v>
      </c>
      <c r="R121" t="str">
        <f t="shared" si="13"/>
        <v>Active</v>
      </c>
    </row>
    <row r="122" spans="1:18" x14ac:dyDescent="0.3">
      <c r="A122" t="s">
        <v>5384</v>
      </c>
      <c r="B122" t="s">
        <v>2955</v>
      </c>
      <c r="C122">
        <f>VLOOKUP(B122,ServiceAreas.csv!B:J,9,FALSE)</f>
        <v>10</v>
      </c>
      <c r="D122" t="str">
        <f t="shared" si="11"/>
        <v>rg:{'id': '10'}</v>
      </c>
      <c r="E122" s="1" t="s">
        <v>7915</v>
      </c>
      <c r="F122" s="1" t="s">
        <v>7017</v>
      </c>
      <c r="G122">
        <f t="shared" si="14"/>
        <v>200120</v>
      </c>
      <c r="H122">
        <f t="shared" si="12"/>
        <v>500120</v>
      </c>
      <c r="I122" t="s">
        <v>6684</v>
      </c>
      <c r="J122" t="s">
        <v>6508</v>
      </c>
      <c r="K122" t="str">
        <f>IFERROR(VLOOKUP(F122,'Contacts.csv'!C:D,2,FALSE),"")</f>
        <v/>
      </c>
      <c r="L122" t="str">
        <f t="shared" si="18"/>
        <v>rg:None</v>
      </c>
      <c r="M122" s="4" t="str">
        <f t="shared" si="19"/>
        <v>rg:[]</v>
      </c>
      <c r="N122" t="s">
        <v>6508</v>
      </c>
      <c r="O122" t="s">
        <v>6508</v>
      </c>
      <c r="P122" t="s">
        <v>6508</v>
      </c>
      <c r="Q122">
        <f t="shared" si="17"/>
        <v>10</v>
      </c>
      <c r="R122" t="str">
        <f t="shared" si="13"/>
        <v>Active</v>
      </c>
    </row>
    <row r="123" spans="1:18" x14ac:dyDescent="0.3">
      <c r="A123" t="s">
        <v>5384</v>
      </c>
      <c r="B123" t="s">
        <v>2955</v>
      </c>
      <c r="C123">
        <f>VLOOKUP(B123,ServiceAreas.csv!B:J,9,FALSE)</f>
        <v>10</v>
      </c>
      <c r="D123" t="str">
        <f t="shared" si="11"/>
        <v>rg:{'id': '10'}</v>
      </c>
      <c r="E123" s="1" t="s">
        <v>6962</v>
      </c>
      <c r="F123" s="1" t="s">
        <v>7018</v>
      </c>
      <c r="G123">
        <f t="shared" si="14"/>
        <v>200121</v>
      </c>
      <c r="H123">
        <f t="shared" si="12"/>
        <v>500121</v>
      </c>
      <c r="I123" t="s">
        <v>6684</v>
      </c>
      <c r="J123" t="s">
        <v>6508</v>
      </c>
      <c r="K123" t="str">
        <f>IFERROR(VLOOKUP(F123,'Contacts.csv'!C:D,2,FALSE),"")</f>
        <v/>
      </c>
      <c r="L123" t="str">
        <f t="shared" si="18"/>
        <v>rg:None</v>
      </c>
      <c r="M123" s="4" t="str">
        <f t="shared" si="19"/>
        <v>rg:[]</v>
      </c>
      <c r="N123" t="s">
        <v>6508</v>
      </c>
      <c r="O123" t="s">
        <v>6508</v>
      </c>
      <c r="P123" t="s">
        <v>6508</v>
      </c>
      <c r="Q123">
        <f t="shared" si="17"/>
        <v>10</v>
      </c>
      <c r="R123" t="str">
        <f t="shared" si="13"/>
        <v>Active</v>
      </c>
    </row>
    <row r="124" spans="1:18" x14ac:dyDescent="0.3">
      <c r="A124" t="s">
        <v>5384</v>
      </c>
      <c r="B124" t="s">
        <v>2955</v>
      </c>
      <c r="C124">
        <f>VLOOKUP(B124,ServiceAreas.csv!B:J,9,FALSE)</f>
        <v>10</v>
      </c>
      <c r="D124" t="str">
        <f t="shared" si="11"/>
        <v>rg:{'id': '10'}</v>
      </c>
      <c r="E124" s="1" t="s">
        <v>6947</v>
      </c>
      <c r="F124" s="1" t="s">
        <v>7019</v>
      </c>
      <c r="G124">
        <f t="shared" si="14"/>
        <v>200122</v>
      </c>
      <c r="H124">
        <f t="shared" si="12"/>
        <v>500122</v>
      </c>
      <c r="I124" t="s">
        <v>6684</v>
      </c>
      <c r="J124" t="s">
        <v>6508</v>
      </c>
      <c r="K124" t="str">
        <f>IFERROR(VLOOKUP(F124,'Contacts.csv'!C:D,2,FALSE),"")</f>
        <v/>
      </c>
      <c r="L124" t="str">
        <f t="shared" si="18"/>
        <v>rg:None</v>
      </c>
      <c r="M124" s="4" t="str">
        <f t="shared" si="19"/>
        <v>rg:[]</v>
      </c>
      <c r="N124" t="s">
        <v>6508</v>
      </c>
      <c r="O124" t="s">
        <v>6508</v>
      </c>
      <c r="P124" t="s">
        <v>6508</v>
      </c>
      <c r="Q124">
        <f t="shared" si="17"/>
        <v>10</v>
      </c>
      <c r="R124" t="str">
        <f t="shared" si="13"/>
        <v>Active</v>
      </c>
    </row>
    <row r="125" spans="1:18" x14ac:dyDescent="0.3">
      <c r="A125" t="s">
        <v>5384</v>
      </c>
      <c r="B125" t="s">
        <v>2955</v>
      </c>
      <c r="C125">
        <f>VLOOKUP(B125,ServiceAreas.csv!B:J,9,FALSE)</f>
        <v>10</v>
      </c>
      <c r="D125" t="str">
        <f t="shared" si="11"/>
        <v>rg:{'id': '10'}</v>
      </c>
      <c r="E125" s="1" t="s">
        <v>7003</v>
      </c>
      <c r="F125" s="1" t="s">
        <v>6918</v>
      </c>
      <c r="G125">
        <f t="shared" si="14"/>
        <v>200123</v>
      </c>
      <c r="H125">
        <f t="shared" si="12"/>
        <v>500123</v>
      </c>
      <c r="I125" t="s">
        <v>6684</v>
      </c>
      <c r="J125" t="s">
        <v>6508</v>
      </c>
      <c r="K125" t="str">
        <f>IFERROR(VLOOKUP(F125,'Contacts.csv'!C:D,2,FALSE),"")</f>
        <v/>
      </c>
      <c r="L125" t="str">
        <f t="shared" si="18"/>
        <v>rg:None</v>
      </c>
      <c r="M125" s="4" t="str">
        <f t="shared" si="19"/>
        <v>rg:[]</v>
      </c>
      <c r="N125" t="s">
        <v>6508</v>
      </c>
      <c r="O125" t="s">
        <v>6508</v>
      </c>
      <c r="P125" t="s">
        <v>6508</v>
      </c>
      <c r="Q125">
        <f t="shared" si="17"/>
        <v>10</v>
      </c>
      <c r="R125" t="str">
        <f t="shared" si="13"/>
        <v>Active</v>
      </c>
    </row>
    <row r="126" spans="1:18" x14ac:dyDescent="0.3">
      <c r="A126" t="s">
        <v>5384</v>
      </c>
      <c r="B126" t="s">
        <v>2955</v>
      </c>
      <c r="C126">
        <f>VLOOKUP(B126,ServiceAreas.csv!B:J,9,FALSE)</f>
        <v>10</v>
      </c>
      <c r="D126" t="str">
        <f t="shared" si="11"/>
        <v>rg:{'id': '10'}</v>
      </c>
      <c r="E126" s="1" t="s">
        <v>7938</v>
      </c>
      <c r="F126" s="1" t="s">
        <v>7020</v>
      </c>
      <c r="G126">
        <f t="shared" si="14"/>
        <v>200124</v>
      </c>
      <c r="H126">
        <f t="shared" si="12"/>
        <v>500124</v>
      </c>
      <c r="I126" t="s">
        <v>6684</v>
      </c>
      <c r="J126" t="s">
        <v>6508</v>
      </c>
      <c r="K126" t="str">
        <f>IFERROR(VLOOKUP(F126,'Contacts.csv'!C:D,2,FALSE),"")</f>
        <v/>
      </c>
      <c r="L126" t="str">
        <f t="shared" si="18"/>
        <v>rg:None</v>
      </c>
      <c r="M126" s="4" t="str">
        <f t="shared" si="19"/>
        <v>rg:[]</v>
      </c>
      <c r="N126" t="s">
        <v>6508</v>
      </c>
      <c r="O126" t="s">
        <v>6508</v>
      </c>
      <c r="P126" t="s">
        <v>6508</v>
      </c>
      <c r="Q126">
        <f t="shared" si="17"/>
        <v>10</v>
      </c>
      <c r="R126" t="str">
        <f t="shared" si="13"/>
        <v>Active</v>
      </c>
    </row>
    <row r="127" spans="1:18" x14ac:dyDescent="0.3">
      <c r="A127" t="s">
        <v>5384</v>
      </c>
      <c r="B127" t="s">
        <v>2955</v>
      </c>
      <c r="C127">
        <f>VLOOKUP(B127,ServiceAreas.csv!B:J,9,FALSE)</f>
        <v>10</v>
      </c>
      <c r="D127" t="str">
        <f t="shared" si="11"/>
        <v>rg:{'id': '10'}</v>
      </c>
      <c r="E127" s="1" t="s">
        <v>7944</v>
      </c>
      <c r="F127" s="1" t="s">
        <v>7021</v>
      </c>
      <c r="G127">
        <f t="shared" si="14"/>
        <v>200125</v>
      </c>
      <c r="H127">
        <f t="shared" si="12"/>
        <v>500125</v>
      </c>
      <c r="I127" t="s">
        <v>6684</v>
      </c>
      <c r="J127" t="s">
        <v>6508</v>
      </c>
      <c r="K127" t="str">
        <f>IFERROR(VLOOKUP(F127,'Contacts.csv'!C:D,2,FALSE),"")</f>
        <v/>
      </c>
      <c r="L127" t="str">
        <f t="shared" si="18"/>
        <v>rg:None</v>
      </c>
      <c r="M127" s="4" t="str">
        <f t="shared" si="19"/>
        <v>rg:[]</v>
      </c>
      <c r="N127" t="s">
        <v>6508</v>
      </c>
      <c r="O127" t="s">
        <v>6508</v>
      </c>
      <c r="P127" t="s">
        <v>6508</v>
      </c>
      <c r="Q127">
        <f t="shared" si="17"/>
        <v>10</v>
      </c>
      <c r="R127" t="str">
        <f t="shared" si="13"/>
        <v>Active</v>
      </c>
    </row>
    <row r="128" spans="1:18" x14ac:dyDescent="0.3">
      <c r="A128" t="s">
        <v>5384</v>
      </c>
      <c r="B128" t="s">
        <v>2955</v>
      </c>
      <c r="C128">
        <f>VLOOKUP(B128,ServiceAreas.csv!B:J,9,FALSE)</f>
        <v>10</v>
      </c>
      <c r="D128" t="str">
        <f t="shared" si="11"/>
        <v>rg:{'id': '10'}</v>
      </c>
      <c r="E128" s="1" t="s">
        <v>7945</v>
      </c>
      <c r="F128" s="1" t="s">
        <v>6924</v>
      </c>
      <c r="G128">
        <f t="shared" si="14"/>
        <v>200126</v>
      </c>
      <c r="H128">
        <f t="shared" si="12"/>
        <v>500126</v>
      </c>
      <c r="I128" t="s">
        <v>6684</v>
      </c>
      <c r="J128" t="s">
        <v>6508</v>
      </c>
      <c r="K128" t="str">
        <f>IFERROR(VLOOKUP(F128,'Contacts.csv'!C:D,2,FALSE),"")</f>
        <v/>
      </c>
      <c r="L128" t="str">
        <f t="shared" si="18"/>
        <v>rg:None</v>
      </c>
      <c r="M128" s="4" t="str">
        <f t="shared" si="19"/>
        <v>rg:[]</v>
      </c>
      <c r="N128" t="s">
        <v>6508</v>
      </c>
      <c r="O128" t="s">
        <v>6508</v>
      </c>
      <c r="P128" t="s">
        <v>6508</v>
      </c>
      <c r="Q128">
        <f t="shared" si="17"/>
        <v>10</v>
      </c>
      <c r="R128" t="str">
        <f t="shared" si="13"/>
        <v>Active</v>
      </c>
    </row>
    <row r="129" spans="1:18" x14ac:dyDescent="0.3">
      <c r="A129" t="s">
        <v>5384</v>
      </c>
      <c r="B129" t="s">
        <v>2955</v>
      </c>
      <c r="C129">
        <f>VLOOKUP(B129,ServiceAreas.csv!B:J,9,FALSE)</f>
        <v>10</v>
      </c>
      <c r="D129" t="str">
        <f t="shared" si="11"/>
        <v>rg:{'id': '10'}</v>
      </c>
      <c r="E129" s="1" t="s">
        <v>6937</v>
      </c>
      <c r="F129" s="1" t="s">
        <v>7022</v>
      </c>
      <c r="G129">
        <f t="shared" si="14"/>
        <v>200127</v>
      </c>
      <c r="H129">
        <f t="shared" si="12"/>
        <v>500127</v>
      </c>
      <c r="I129" t="s">
        <v>6684</v>
      </c>
      <c r="J129" t="s">
        <v>6508</v>
      </c>
      <c r="K129" t="str">
        <f>IFERROR(VLOOKUP(F129,'Contacts.csv'!C:D,2,FALSE),"")</f>
        <v/>
      </c>
      <c r="L129" t="str">
        <f t="shared" si="18"/>
        <v>rg:None</v>
      </c>
      <c r="M129" s="4" t="str">
        <f t="shared" si="19"/>
        <v>rg:[]</v>
      </c>
      <c r="N129" t="s">
        <v>6508</v>
      </c>
      <c r="O129" t="s">
        <v>6508</v>
      </c>
      <c r="P129" t="s">
        <v>6508</v>
      </c>
      <c r="Q129">
        <f t="shared" si="17"/>
        <v>10</v>
      </c>
      <c r="R129" t="str">
        <f t="shared" si="13"/>
        <v>Active</v>
      </c>
    </row>
    <row r="130" spans="1:18" x14ac:dyDescent="0.3">
      <c r="A130" t="s">
        <v>5384</v>
      </c>
      <c r="B130" t="s">
        <v>2955</v>
      </c>
      <c r="C130">
        <f>VLOOKUP(B130,ServiceAreas.csv!B:J,9,FALSE)</f>
        <v>10</v>
      </c>
      <c r="D130" t="str">
        <f t="shared" si="11"/>
        <v>rg:{'id': '10'}</v>
      </c>
      <c r="E130" s="1" t="s">
        <v>6937</v>
      </c>
      <c r="F130" s="1" t="s">
        <v>7023</v>
      </c>
      <c r="G130">
        <f t="shared" si="14"/>
        <v>200128</v>
      </c>
      <c r="H130">
        <f t="shared" si="12"/>
        <v>500128</v>
      </c>
      <c r="I130" t="s">
        <v>6684</v>
      </c>
      <c r="J130" t="s">
        <v>6508</v>
      </c>
      <c r="K130" t="str">
        <f>IFERROR(VLOOKUP(F130,'Contacts.csv'!C:D,2,FALSE),"")</f>
        <v/>
      </c>
      <c r="L130" t="str">
        <f t="shared" si="18"/>
        <v>rg:None</v>
      </c>
      <c r="M130" s="4" t="str">
        <f t="shared" si="19"/>
        <v>rg:[]</v>
      </c>
      <c r="N130" t="s">
        <v>6508</v>
      </c>
      <c r="O130" t="s">
        <v>6508</v>
      </c>
      <c r="P130" t="s">
        <v>6508</v>
      </c>
      <c r="Q130">
        <f t="shared" ref="Q130:Q155" si="20">C130</f>
        <v>10</v>
      </c>
      <c r="R130" t="str">
        <f t="shared" si="13"/>
        <v>Active</v>
      </c>
    </row>
    <row r="131" spans="1:18" x14ac:dyDescent="0.3">
      <c r="A131" t="s">
        <v>5384</v>
      </c>
      <c r="B131" t="s">
        <v>2955</v>
      </c>
      <c r="C131">
        <f>VLOOKUP(B131,ServiceAreas.csv!B:J,9,FALSE)</f>
        <v>10</v>
      </c>
      <c r="D131" t="str">
        <f t="shared" ref="D131:D155" si="21">"rg:{'id': '"&amp;C131&amp;"'}"</f>
        <v>rg:{'id': '10'}</v>
      </c>
      <c r="E131" s="1" t="s">
        <v>7946</v>
      </c>
      <c r="F131" s="1" t="s">
        <v>7024</v>
      </c>
      <c r="G131">
        <f t="shared" si="14"/>
        <v>200129</v>
      </c>
      <c r="H131">
        <f t="shared" ref="H131:H155" si="22">IF(ISNUMBER(H130),H130+1,500000)</f>
        <v>500129</v>
      </c>
      <c r="I131" t="s">
        <v>6684</v>
      </c>
      <c r="J131" t="s">
        <v>6508</v>
      </c>
      <c r="K131" t="str">
        <f>IFERROR(VLOOKUP(F131,'Contacts.csv'!C:D,2,FALSE),"")</f>
        <v/>
      </c>
      <c r="L131" t="str">
        <f t="shared" si="18"/>
        <v>rg:None</v>
      </c>
      <c r="M131" s="4" t="str">
        <f t="shared" si="19"/>
        <v>rg:[]</v>
      </c>
      <c r="N131" t="s">
        <v>6508</v>
      </c>
      <c r="O131" t="s">
        <v>6508</v>
      </c>
      <c r="P131" t="s">
        <v>6508</v>
      </c>
      <c r="Q131">
        <f t="shared" si="20"/>
        <v>10</v>
      </c>
      <c r="R131" t="str">
        <f t="shared" ref="R131:R155" si="23">"Active"</f>
        <v>Active</v>
      </c>
    </row>
    <row r="132" spans="1:18" x14ac:dyDescent="0.3">
      <c r="A132" t="s">
        <v>5384</v>
      </c>
      <c r="B132" t="s">
        <v>2955</v>
      </c>
      <c r="C132">
        <f>VLOOKUP(B132,ServiceAreas.csv!B:J,9,FALSE)</f>
        <v>10</v>
      </c>
      <c r="D132" t="str">
        <f t="shared" si="21"/>
        <v>rg:{'id': '10'}</v>
      </c>
      <c r="E132" s="1" t="s">
        <v>7947</v>
      </c>
      <c r="F132" s="1" t="s">
        <v>7025</v>
      </c>
      <c r="G132">
        <f t="shared" ref="G132:G155" si="24">G131+1</f>
        <v>200130</v>
      </c>
      <c r="H132">
        <f t="shared" si="22"/>
        <v>500130</v>
      </c>
      <c r="I132" t="s">
        <v>6684</v>
      </c>
      <c r="J132" t="s">
        <v>6508</v>
      </c>
      <c r="K132" t="str">
        <f>IFERROR(VLOOKUP(F132,'Contacts.csv'!C:D,2,FALSE),"")</f>
        <v/>
      </c>
      <c r="L132" t="str">
        <f t="shared" si="18"/>
        <v>rg:None</v>
      </c>
      <c r="M132" s="4" t="str">
        <f t="shared" si="19"/>
        <v>rg:[]</v>
      </c>
      <c r="N132" t="s">
        <v>6508</v>
      </c>
      <c r="O132" t="s">
        <v>6508</v>
      </c>
      <c r="P132" t="s">
        <v>6508</v>
      </c>
      <c r="Q132">
        <f t="shared" si="20"/>
        <v>10</v>
      </c>
      <c r="R132" t="str">
        <f t="shared" si="23"/>
        <v>Active</v>
      </c>
    </row>
    <row r="133" spans="1:18" x14ac:dyDescent="0.3">
      <c r="A133" t="s">
        <v>5384</v>
      </c>
      <c r="B133" t="s">
        <v>2955</v>
      </c>
      <c r="C133">
        <f>VLOOKUP(B133,ServiceAreas.csv!B:J,9,FALSE)</f>
        <v>10</v>
      </c>
      <c r="D133" t="str">
        <f t="shared" si="21"/>
        <v>rg:{'id': '10'}</v>
      </c>
      <c r="E133" s="1" t="s">
        <v>7948</v>
      </c>
      <c r="F133" s="1" t="s">
        <v>7026</v>
      </c>
      <c r="G133">
        <f t="shared" si="24"/>
        <v>200131</v>
      </c>
      <c r="H133">
        <f t="shared" si="22"/>
        <v>500131</v>
      </c>
      <c r="I133" t="s">
        <v>6684</v>
      </c>
      <c r="J133" t="s">
        <v>6508</v>
      </c>
      <c r="K133" t="str">
        <f>IFERROR(VLOOKUP(F133,'Contacts.csv'!C:D,2,FALSE),"")</f>
        <v/>
      </c>
      <c r="L133" t="str">
        <f t="shared" si="18"/>
        <v>rg:None</v>
      </c>
      <c r="M133" s="4" t="str">
        <f t="shared" si="19"/>
        <v>rg:[]</v>
      </c>
      <c r="N133" t="s">
        <v>6508</v>
      </c>
      <c r="O133" t="s">
        <v>6508</v>
      </c>
      <c r="P133" t="s">
        <v>6508</v>
      </c>
      <c r="Q133">
        <f t="shared" si="20"/>
        <v>10</v>
      </c>
      <c r="R133" t="str">
        <f t="shared" si="23"/>
        <v>Active</v>
      </c>
    </row>
    <row r="134" spans="1:18" x14ac:dyDescent="0.3">
      <c r="A134" t="s">
        <v>5384</v>
      </c>
      <c r="B134" t="s">
        <v>2953</v>
      </c>
      <c r="C134">
        <f>VLOOKUP(B134,ServiceAreas.csv!B:J,9,FALSE)</f>
        <v>7</v>
      </c>
      <c r="D134" t="str">
        <f t="shared" si="21"/>
        <v>rg:{'id': '7'}</v>
      </c>
      <c r="E134" s="1" t="s">
        <v>7027</v>
      </c>
      <c r="F134" s="1" t="s">
        <v>7027</v>
      </c>
      <c r="G134">
        <f t="shared" si="24"/>
        <v>200132</v>
      </c>
      <c r="H134">
        <f t="shared" si="22"/>
        <v>500132</v>
      </c>
      <c r="I134" t="s">
        <v>6684</v>
      </c>
      <c r="J134" t="s">
        <v>6508</v>
      </c>
      <c r="K134" t="str">
        <f>IFERROR(VLOOKUP(F134,'Contacts.csv'!C:D,2,FALSE),"")</f>
        <v/>
      </c>
      <c r="L134" t="str">
        <f t="shared" si="18"/>
        <v>rg:None</v>
      </c>
      <c r="M134" s="4" t="str">
        <f t="shared" si="19"/>
        <v>rg:[]</v>
      </c>
      <c r="N134" t="s">
        <v>6508</v>
      </c>
      <c r="O134" t="s">
        <v>6508</v>
      </c>
      <c r="P134" t="s">
        <v>6508</v>
      </c>
      <c r="Q134">
        <f t="shared" si="20"/>
        <v>7</v>
      </c>
      <c r="R134" t="str">
        <f t="shared" si="23"/>
        <v>Active</v>
      </c>
    </row>
    <row r="135" spans="1:18" x14ac:dyDescent="0.3">
      <c r="A135" t="s">
        <v>5384</v>
      </c>
      <c r="B135" t="s">
        <v>2953</v>
      </c>
      <c r="C135">
        <f>VLOOKUP(B135,ServiceAreas.csv!B:J,9,FALSE)</f>
        <v>7</v>
      </c>
      <c r="D135" t="str">
        <f t="shared" si="21"/>
        <v>rg:{'id': '7'}</v>
      </c>
      <c r="E135" s="1" t="s">
        <v>7884</v>
      </c>
      <c r="F135" s="1" t="s">
        <v>7028</v>
      </c>
      <c r="G135">
        <f t="shared" si="24"/>
        <v>200133</v>
      </c>
      <c r="H135">
        <f t="shared" si="22"/>
        <v>500133</v>
      </c>
      <c r="I135" t="s">
        <v>6684</v>
      </c>
      <c r="J135" t="s">
        <v>6508</v>
      </c>
      <c r="K135" t="str">
        <f>IFERROR(VLOOKUP(F135,'Contacts.csv'!C:D,2,FALSE),"")</f>
        <v/>
      </c>
      <c r="L135" t="str">
        <f t="shared" si="18"/>
        <v>rg:None</v>
      </c>
      <c r="M135" s="4" t="str">
        <f t="shared" si="19"/>
        <v>rg:[]</v>
      </c>
      <c r="N135" t="s">
        <v>6508</v>
      </c>
      <c r="O135" t="s">
        <v>6508</v>
      </c>
      <c r="P135" t="s">
        <v>6508</v>
      </c>
      <c r="Q135">
        <f t="shared" si="20"/>
        <v>7</v>
      </c>
      <c r="R135" t="str">
        <f t="shared" si="23"/>
        <v>Active</v>
      </c>
    </row>
    <row r="136" spans="1:18" x14ac:dyDescent="0.3">
      <c r="A136" t="s">
        <v>5384</v>
      </c>
      <c r="B136" t="s">
        <v>2953</v>
      </c>
      <c r="C136">
        <f>VLOOKUP(B136,ServiceAreas.csv!B:J,9,FALSE)</f>
        <v>7</v>
      </c>
      <c r="D136" t="str">
        <f t="shared" si="21"/>
        <v>rg:{'id': '7'}</v>
      </c>
      <c r="E136" s="1" t="s">
        <v>7949</v>
      </c>
      <c r="F136" s="1" t="s">
        <v>6890</v>
      </c>
      <c r="G136">
        <f t="shared" si="24"/>
        <v>200134</v>
      </c>
      <c r="H136">
        <f t="shared" si="22"/>
        <v>500134</v>
      </c>
      <c r="I136" t="s">
        <v>6684</v>
      </c>
      <c r="J136" t="s">
        <v>6508</v>
      </c>
      <c r="K136" t="str">
        <f>IFERROR(VLOOKUP(F136,'Contacts.csv'!C:D,2,FALSE),"")</f>
        <v/>
      </c>
      <c r="L136" t="str">
        <f t="shared" si="18"/>
        <v>rg:None</v>
      </c>
      <c r="M136" s="4" t="str">
        <f t="shared" si="19"/>
        <v>rg:[]</v>
      </c>
      <c r="N136" t="s">
        <v>6508</v>
      </c>
      <c r="O136" t="s">
        <v>6508</v>
      </c>
      <c r="P136" t="s">
        <v>6508</v>
      </c>
      <c r="Q136">
        <f t="shared" si="20"/>
        <v>7</v>
      </c>
      <c r="R136" t="str">
        <f t="shared" si="23"/>
        <v>Active</v>
      </c>
    </row>
    <row r="137" spans="1:18" x14ac:dyDescent="0.3">
      <c r="A137" t="s">
        <v>5384</v>
      </c>
      <c r="B137" t="s">
        <v>2953</v>
      </c>
      <c r="C137">
        <f>VLOOKUP(B137,ServiceAreas.csv!B:J,9,FALSE)</f>
        <v>7</v>
      </c>
      <c r="D137" t="str">
        <f t="shared" si="21"/>
        <v>rg:{'id': '7'}</v>
      </c>
      <c r="E137" s="1" t="s">
        <v>7029</v>
      </c>
      <c r="F137" s="1" t="s">
        <v>7029</v>
      </c>
      <c r="G137">
        <f t="shared" si="24"/>
        <v>200135</v>
      </c>
      <c r="H137">
        <f t="shared" si="22"/>
        <v>500135</v>
      </c>
      <c r="I137" t="s">
        <v>6684</v>
      </c>
      <c r="J137" t="s">
        <v>6508</v>
      </c>
      <c r="K137" t="str">
        <f>IFERROR(VLOOKUP(F137,'Contacts.csv'!C:D,2,FALSE),"")</f>
        <v/>
      </c>
      <c r="L137" t="str">
        <f t="shared" si="18"/>
        <v>rg:None</v>
      </c>
      <c r="M137" s="4" t="str">
        <f t="shared" si="19"/>
        <v>rg:[]</v>
      </c>
      <c r="N137" t="s">
        <v>6508</v>
      </c>
      <c r="O137" t="s">
        <v>6508</v>
      </c>
      <c r="P137" t="s">
        <v>6508</v>
      </c>
      <c r="Q137">
        <f t="shared" si="20"/>
        <v>7</v>
      </c>
      <c r="R137" t="str">
        <f t="shared" si="23"/>
        <v>Active</v>
      </c>
    </row>
    <row r="138" spans="1:18" x14ac:dyDescent="0.3">
      <c r="A138" t="s">
        <v>5384</v>
      </c>
      <c r="B138" t="s">
        <v>2953</v>
      </c>
      <c r="C138">
        <f>VLOOKUP(B138,ServiceAreas.csv!B:J,9,FALSE)</f>
        <v>7</v>
      </c>
      <c r="D138" t="str">
        <f t="shared" si="21"/>
        <v>rg:{'id': '7'}</v>
      </c>
      <c r="E138" s="1" t="s">
        <v>7950</v>
      </c>
      <c r="F138" s="1" t="s">
        <v>6927</v>
      </c>
      <c r="G138">
        <f t="shared" si="24"/>
        <v>200136</v>
      </c>
      <c r="H138">
        <f t="shared" si="22"/>
        <v>500136</v>
      </c>
      <c r="I138" t="s">
        <v>6684</v>
      </c>
      <c r="J138" t="s">
        <v>6508</v>
      </c>
      <c r="K138" t="str">
        <f>IFERROR(VLOOKUP(F138,'Contacts.csv'!C:D,2,FALSE),"")</f>
        <v/>
      </c>
      <c r="L138" t="str">
        <f t="shared" si="18"/>
        <v>rg:None</v>
      </c>
      <c r="M138" s="4" t="str">
        <f t="shared" si="19"/>
        <v>rg:[]</v>
      </c>
      <c r="N138" t="s">
        <v>6508</v>
      </c>
      <c r="O138" t="s">
        <v>6508</v>
      </c>
      <c r="P138" t="s">
        <v>6508</v>
      </c>
      <c r="Q138">
        <f t="shared" si="20"/>
        <v>7</v>
      </c>
      <c r="R138" t="str">
        <f t="shared" si="23"/>
        <v>Active</v>
      </c>
    </row>
    <row r="139" spans="1:18" x14ac:dyDescent="0.3">
      <c r="A139" t="s">
        <v>5384</v>
      </c>
      <c r="B139" t="s">
        <v>2953</v>
      </c>
      <c r="C139">
        <f>VLOOKUP(B139,ServiceAreas.csv!B:J,9,FALSE)</f>
        <v>7</v>
      </c>
      <c r="D139" t="str">
        <f t="shared" si="21"/>
        <v>rg:{'id': '7'}</v>
      </c>
      <c r="E139" s="1" t="s">
        <v>6972</v>
      </c>
      <c r="F139" s="1" t="s">
        <v>7030</v>
      </c>
      <c r="G139">
        <f t="shared" si="24"/>
        <v>200137</v>
      </c>
      <c r="H139">
        <f t="shared" si="22"/>
        <v>500137</v>
      </c>
      <c r="I139" t="s">
        <v>6684</v>
      </c>
      <c r="J139" t="s">
        <v>6508</v>
      </c>
      <c r="K139" t="str">
        <f>IFERROR(VLOOKUP(F139,'Contacts.csv'!C:D,2,FALSE),"")</f>
        <v/>
      </c>
      <c r="L139" t="str">
        <f t="shared" si="18"/>
        <v>rg:None</v>
      </c>
      <c r="M139" s="4" t="str">
        <f t="shared" si="19"/>
        <v>rg:[]</v>
      </c>
      <c r="N139" t="s">
        <v>6508</v>
      </c>
      <c r="O139" t="s">
        <v>6508</v>
      </c>
      <c r="P139" t="s">
        <v>6508</v>
      </c>
      <c r="Q139">
        <f t="shared" si="20"/>
        <v>7</v>
      </c>
      <c r="R139" t="str">
        <f t="shared" si="23"/>
        <v>Active</v>
      </c>
    </row>
    <row r="140" spans="1:18" x14ac:dyDescent="0.3">
      <c r="A140" t="s">
        <v>5384</v>
      </c>
      <c r="B140" t="s">
        <v>2953</v>
      </c>
      <c r="C140">
        <f>VLOOKUP(B140,ServiceAreas.csv!B:J,9,FALSE)</f>
        <v>7</v>
      </c>
      <c r="D140" t="str">
        <f t="shared" si="21"/>
        <v>rg:{'id': '7'}</v>
      </c>
      <c r="E140" s="1" t="s">
        <v>7924</v>
      </c>
      <c r="F140" s="1" t="s">
        <v>7031</v>
      </c>
      <c r="G140">
        <f t="shared" si="24"/>
        <v>200138</v>
      </c>
      <c r="H140">
        <f t="shared" si="22"/>
        <v>500138</v>
      </c>
      <c r="I140" t="s">
        <v>6684</v>
      </c>
      <c r="J140" t="s">
        <v>6508</v>
      </c>
      <c r="K140" t="str">
        <f>IFERROR(VLOOKUP(F140,'Contacts.csv'!C:D,2,FALSE),"")</f>
        <v/>
      </c>
      <c r="L140" t="str">
        <f t="shared" si="18"/>
        <v>rg:None</v>
      </c>
      <c r="M140" s="4" t="str">
        <f t="shared" si="19"/>
        <v>rg:[]</v>
      </c>
      <c r="N140" t="s">
        <v>6508</v>
      </c>
      <c r="O140" t="s">
        <v>6508</v>
      </c>
      <c r="P140" t="s">
        <v>6508</v>
      </c>
      <c r="Q140">
        <f t="shared" si="20"/>
        <v>7</v>
      </c>
      <c r="R140" t="str">
        <f t="shared" si="23"/>
        <v>Active</v>
      </c>
    </row>
    <row r="141" spans="1:18" x14ac:dyDescent="0.3">
      <c r="A141" t="s">
        <v>5384</v>
      </c>
      <c r="B141" t="s">
        <v>2953</v>
      </c>
      <c r="C141">
        <f>VLOOKUP(B141,ServiceAreas.csv!B:J,9,FALSE)</f>
        <v>7</v>
      </c>
      <c r="D141" t="str">
        <f t="shared" si="21"/>
        <v>rg:{'id': '7'}</v>
      </c>
      <c r="E141" s="1" t="s">
        <v>6921</v>
      </c>
      <c r="F141" s="1" t="s">
        <v>7032</v>
      </c>
      <c r="G141">
        <f t="shared" si="24"/>
        <v>200139</v>
      </c>
      <c r="H141">
        <f t="shared" si="22"/>
        <v>500139</v>
      </c>
      <c r="I141" t="s">
        <v>6684</v>
      </c>
      <c r="J141" t="s">
        <v>6508</v>
      </c>
      <c r="K141" t="str">
        <f>IFERROR(VLOOKUP(F141,'Contacts.csv'!C:D,2,FALSE),"")</f>
        <v/>
      </c>
      <c r="L141" t="str">
        <f t="shared" si="18"/>
        <v>rg:None</v>
      </c>
      <c r="M141" s="4" t="str">
        <f t="shared" si="19"/>
        <v>rg:[]</v>
      </c>
      <c r="N141" t="s">
        <v>6508</v>
      </c>
      <c r="O141" t="s">
        <v>6508</v>
      </c>
      <c r="P141" t="s">
        <v>6508</v>
      </c>
      <c r="Q141">
        <f t="shared" si="20"/>
        <v>7</v>
      </c>
      <c r="R141" t="str">
        <f t="shared" si="23"/>
        <v>Active</v>
      </c>
    </row>
    <row r="142" spans="1:18" x14ac:dyDescent="0.3">
      <c r="A142" t="s">
        <v>5384</v>
      </c>
      <c r="B142" t="s">
        <v>2953</v>
      </c>
      <c r="C142">
        <f>VLOOKUP(B142,ServiceAreas.csv!B:J,9,FALSE)</f>
        <v>7</v>
      </c>
      <c r="D142" t="str">
        <f t="shared" si="21"/>
        <v>rg:{'id': '7'}</v>
      </c>
      <c r="E142" s="1" t="s">
        <v>7951</v>
      </c>
      <c r="F142" s="1" t="s">
        <v>6921</v>
      </c>
      <c r="G142">
        <f t="shared" si="24"/>
        <v>200140</v>
      </c>
      <c r="H142">
        <f t="shared" si="22"/>
        <v>500140</v>
      </c>
      <c r="I142" t="s">
        <v>6684</v>
      </c>
      <c r="J142" t="s">
        <v>6508</v>
      </c>
      <c r="K142" t="str">
        <f>IFERROR(VLOOKUP(F142,'Contacts.csv'!C:D,2,FALSE),"")</f>
        <v/>
      </c>
      <c r="L142" t="str">
        <f t="shared" si="18"/>
        <v>rg:None</v>
      </c>
      <c r="M142" s="4" t="str">
        <f t="shared" si="19"/>
        <v>rg:[]</v>
      </c>
      <c r="N142" t="s">
        <v>6508</v>
      </c>
      <c r="O142" t="s">
        <v>6508</v>
      </c>
      <c r="P142" t="s">
        <v>6508</v>
      </c>
      <c r="Q142">
        <f t="shared" si="20"/>
        <v>7</v>
      </c>
      <c r="R142" t="str">
        <f t="shared" si="23"/>
        <v>Active</v>
      </c>
    </row>
    <row r="143" spans="1:18" x14ac:dyDescent="0.3">
      <c r="A143" t="s">
        <v>5384</v>
      </c>
      <c r="B143" t="s">
        <v>2953</v>
      </c>
      <c r="C143">
        <f>VLOOKUP(B143,ServiceAreas.csv!B:J,9,FALSE)</f>
        <v>7</v>
      </c>
      <c r="D143" t="str">
        <f t="shared" si="21"/>
        <v>rg:{'id': '7'}</v>
      </c>
      <c r="E143" s="1" t="s">
        <v>6948</v>
      </c>
      <c r="F143" s="1" t="s">
        <v>7033</v>
      </c>
      <c r="G143">
        <f t="shared" si="24"/>
        <v>200141</v>
      </c>
      <c r="H143">
        <f t="shared" si="22"/>
        <v>500141</v>
      </c>
      <c r="I143" t="s">
        <v>6684</v>
      </c>
      <c r="J143" t="s">
        <v>6508</v>
      </c>
      <c r="K143" t="str">
        <f>IFERROR(VLOOKUP(F143,'Contacts.csv'!C:D,2,FALSE),"")</f>
        <v/>
      </c>
      <c r="L143" t="str">
        <f t="shared" si="18"/>
        <v>rg:None</v>
      </c>
      <c r="M143" s="4" t="str">
        <f t="shared" si="19"/>
        <v>rg:[]</v>
      </c>
      <c r="N143" t="s">
        <v>6508</v>
      </c>
      <c r="O143" t="s">
        <v>6508</v>
      </c>
      <c r="P143" t="s">
        <v>6508</v>
      </c>
      <c r="Q143">
        <f t="shared" si="20"/>
        <v>7</v>
      </c>
      <c r="R143" t="str">
        <f t="shared" si="23"/>
        <v>Active</v>
      </c>
    </row>
    <row r="144" spans="1:18" x14ac:dyDescent="0.3">
      <c r="A144" t="s">
        <v>5384</v>
      </c>
      <c r="B144" t="s">
        <v>2953</v>
      </c>
      <c r="C144">
        <f>VLOOKUP(B144,ServiceAreas.csv!B:J,9,FALSE)</f>
        <v>7</v>
      </c>
      <c r="D144" t="str">
        <f t="shared" si="21"/>
        <v>rg:{'id': '7'}</v>
      </c>
      <c r="E144" s="1" t="s">
        <v>7952</v>
      </c>
      <c r="F144" s="1" t="s">
        <v>7034</v>
      </c>
      <c r="G144">
        <f t="shared" si="24"/>
        <v>200142</v>
      </c>
      <c r="H144">
        <f t="shared" si="22"/>
        <v>500142</v>
      </c>
      <c r="I144" t="s">
        <v>6684</v>
      </c>
      <c r="J144" t="s">
        <v>6508</v>
      </c>
      <c r="K144" t="str">
        <f>IFERROR(VLOOKUP(F144,'Contacts.csv'!C:D,2,FALSE),"")</f>
        <v/>
      </c>
      <c r="L144" t="str">
        <f t="shared" si="18"/>
        <v>rg:None</v>
      </c>
      <c r="M144" s="4" t="str">
        <f t="shared" si="19"/>
        <v>rg:[]</v>
      </c>
      <c r="N144" t="s">
        <v>6508</v>
      </c>
      <c r="O144" t="s">
        <v>6508</v>
      </c>
      <c r="P144" t="s">
        <v>6508</v>
      </c>
      <c r="Q144">
        <f t="shared" si="20"/>
        <v>7</v>
      </c>
      <c r="R144" t="str">
        <f t="shared" si="23"/>
        <v>Active</v>
      </c>
    </row>
    <row r="145" spans="1:18" x14ac:dyDescent="0.3">
      <c r="A145" t="s">
        <v>5384</v>
      </c>
      <c r="B145" t="s">
        <v>2953</v>
      </c>
      <c r="C145">
        <f>VLOOKUP(B145,ServiceAreas.csv!B:J,9,FALSE)</f>
        <v>7</v>
      </c>
      <c r="D145" t="str">
        <f t="shared" si="21"/>
        <v>rg:{'id': '7'}</v>
      </c>
      <c r="E145" s="1" t="s">
        <v>7035</v>
      </c>
      <c r="F145" s="1" t="s">
        <v>7035</v>
      </c>
      <c r="G145">
        <f t="shared" si="24"/>
        <v>200143</v>
      </c>
      <c r="H145">
        <f t="shared" si="22"/>
        <v>500143</v>
      </c>
      <c r="I145" t="s">
        <v>6684</v>
      </c>
      <c r="J145" t="s">
        <v>6508</v>
      </c>
      <c r="K145" t="str">
        <f>IFERROR(VLOOKUP(F145,'Contacts.csv'!C:D,2,FALSE),"")</f>
        <v/>
      </c>
      <c r="L145" t="str">
        <f t="shared" si="18"/>
        <v>rg:None</v>
      </c>
      <c r="M145" s="4" t="str">
        <f t="shared" si="19"/>
        <v>rg:[]</v>
      </c>
      <c r="N145" t="s">
        <v>6508</v>
      </c>
      <c r="O145" t="s">
        <v>6508</v>
      </c>
      <c r="P145" t="s">
        <v>6508</v>
      </c>
      <c r="Q145">
        <f t="shared" si="20"/>
        <v>7</v>
      </c>
      <c r="R145" t="str">
        <f t="shared" si="23"/>
        <v>Active</v>
      </c>
    </row>
    <row r="146" spans="1:18" x14ac:dyDescent="0.3">
      <c r="A146" t="s">
        <v>5384</v>
      </c>
      <c r="B146" t="s">
        <v>2953</v>
      </c>
      <c r="C146">
        <f>VLOOKUP(B146,ServiceAreas.csv!B:J,9,FALSE)</f>
        <v>7</v>
      </c>
      <c r="D146" t="str">
        <f t="shared" si="21"/>
        <v>rg:{'id': '7'}</v>
      </c>
      <c r="E146" s="1" t="s">
        <v>7953</v>
      </c>
      <c r="F146" s="1" t="s">
        <v>7036</v>
      </c>
      <c r="G146">
        <f t="shared" si="24"/>
        <v>200144</v>
      </c>
      <c r="H146">
        <f t="shared" si="22"/>
        <v>500144</v>
      </c>
      <c r="I146" t="s">
        <v>6684</v>
      </c>
      <c r="J146" t="s">
        <v>6508</v>
      </c>
      <c r="K146" t="str">
        <f>IFERROR(VLOOKUP(F146,'Contacts.csv'!C:D,2,FALSE),"")</f>
        <v/>
      </c>
      <c r="L146" t="str">
        <f t="shared" si="18"/>
        <v>rg:None</v>
      </c>
      <c r="M146" s="4" t="str">
        <f t="shared" si="19"/>
        <v>rg:[]</v>
      </c>
      <c r="N146" t="s">
        <v>6508</v>
      </c>
      <c r="O146" t="s">
        <v>6508</v>
      </c>
      <c r="P146" t="s">
        <v>6508</v>
      </c>
      <c r="Q146">
        <f t="shared" si="20"/>
        <v>7</v>
      </c>
      <c r="R146" t="str">
        <f t="shared" si="23"/>
        <v>Active</v>
      </c>
    </row>
    <row r="147" spans="1:18" x14ac:dyDescent="0.3">
      <c r="A147" t="s">
        <v>5384</v>
      </c>
      <c r="B147" t="s">
        <v>2953</v>
      </c>
      <c r="C147">
        <f>VLOOKUP(B147,ServiceAreas.csv!B:J,9,FALSE)</f>
        <v>7</v>
      </c>
      <c r="D147" t="str">
        <f t="shared" si="21"/>
        <v>rg:{'id': '7'}</v>
      </c>
      <c r="E147" s="1" t="s">
        <v>7954</v>
      </c>
      <c r="F147" s="1" t="s">
        <v>7037</v>
      </c>
      <c r="G147">
        <f t="shared" si="24"/>
        <v>200145</v>
      </c>
      <c r="H147">
        <f t="shared" si="22"/>
        <v>500145</v>
      </c>
      <c r="I147" t="s">
        <v>6684</v>
      </c>
      <c r="J147" t="s">
        <v>6508</v>
      </c>
      <c r="K147" t="str">
        <f>IFERROR(VLOOKUP(F147,'Contacts.csv'!C:D,2,FALSE),"")</f>
        <v/>
      </c>
      <c r="L147" t="str">
        <f t="shared" si="18"/>
        <v>rg:None</v>
      </c>
      <c r="M147" s="4" t="str">
        <f t="shared" si="19"/>
        <v>rg:[]</v>
      </c>
      <c r="N147" t="s">
        <v>6508</v>
      </c>
      <c r="O147" t="s">
        <v>6508</v>
      </c>
      <c r="P147" t="s">
        <v>6508</v>
      </c>
      <c r="Q147">
        <f t="shared" si="20"/>
        <v>7</v>
      </c>
      <c r="R147" t="str">
        <f t="shared" si="23"/>
        <v>Active</v>
      </c>
    </row>
    <row r="148" spans="1:18" x14ac:dyDescent="0.3">
      <c r="A148" t="s">
        <v>5384</v>
      </c>
      <c r="B148" t="s">
        <v>2949</v>
      </c>
      <c r="C148">
        <f>VLOOKUP(B148,ServiceAreas.csv!B:J,9,FALSE)</f>
        <v>2</v>
      </c>
      <c r="D148" t="str">
        <f t="shared" si="21"/>
        <v>rg:{'id': '2'}</v>
      </c>
      <c r="E148" s="1" t="s">
        <v>7955</v>
      </c>
      <c r="F148" s="1" t="s">
        <v>7038</v>
      </c>
      <c r="G148">
        <f t="shared" si="24"/>
        <v>200146</v>
      </c>
      <c r="H148">
        <f t="shared" si="22"/>
        <v>500146</v>
      </c>
      <c r="I148" t="s">
        <v>6684</v>
      </c>
      <c r="J148" t="s">
        <v>6508</v>
      </c>
      <c r="K148" t="str">
        <f>IFERROR(VLOOKUP(F148,'Contacts.csv'!C:D,2,FALSE),"")</f>
        <v/>
      </c>
      <c r="L148" t="str">
        <f t="shared" si="18"/>
        <v>rg:None</v>
      </c>
      <c r="M148" s="4" t="str">
        <f t="shared" si="19"/>
        <v>rg:[]</v>
      </c>
      <c r="N148" t="s">
        <v>6508</v>
      </c>
      <c r="O148" t="s">
        <v>6508</v>
      </c>
      <c r="P148" t="s">
        <v>6508</v>
      </c>
      <c r="Q148">
        <f t="shared" si="20"/>
        <v>2</v>
      </c>
      <c r="R148" t="str">
        <f t="shared" si="23"/>
        <v>Active</v>
      </c>
    </row>
    <row r="149" spans="1:18" x14ac:dyDescent="0.3">
      <c r="A149" t="s">
        <v>5384</v>
      </c>
      <c r="B149" t="s">
        <v>2949</v>
      </c>
      <c r="C149">
        <f>VLOOKUP(B149,ServiceAreas.csv!B:J,9,FALSE)</f>
        <v>2</v>
      </c>
      <c r="D149" t="str">
        <f t="shared" si="21"/>
        <v>rg:{'id': '2'}</v>
      </c>
      <c r="E149" s="1" t="s">
        <v>7956</v>
      </c>
      <c r="F149" s="1" t="s">
        <v>6910</v>
      </c>
      <c r="G149">
        <f t="shared" si="24"/>
        <v>200147</v>
      </c>
      <c r="H149">
        <f t="shared" si="22"/>
        <v>500147</v>
      </c>
      <c r="I149" t="s">
        <v>6684</v>
      </c>
      <c r="J149" t="s">
        <v>6508</v>
      </c>
      <c r="K149" t="str">
        <f>IFERROR(VLOOKUP(F149,'Contacts.csv'!C:D,2,FALSE),"")</f>
        <v/>
      </c>
      <c r="L149" t="str">
        <f t="shared" si="18"/>
        <v>rg:None</v>
      </c>
      <c r="M149" s="4" t="str">
        <f t="shared" si="19"/>
        <v>rg:[]</v>
      </c>
      <c r="N149" t="s">
        <v>6508</v>
      </c>
      <c r="O149" t="s">
        <v>6508</v>
      </c>
      <c r="P149" t="s">
        <v>6508</v>
      </c>
      <c r="Q149">
        <f t="shared" si="20"/>
        <v>2</v>
      </c>
      <c r="R149" t="str">
        <f t="shared" si="23"/>
        <v>Active</v>
      </c>
    </row>
    <row r="150" spans="1:18" x14ac:dyDescent="0.3">
      <c r="A150" t="s">
        <v>5384</v>
      </c>
      <c r="B150" t="s">
        <v>2949</v>
      </c>
      <c r="C150">
        <f>VLOOKUP(B150,ServiceAreas.csv!B:J,9,FALSE)</f>
        <v>2</v>
      </c>
      <c r="D150" t="str">
        <f t="shared" si="21"/>
        <v>rg:{'id': '2'}</v>
      </c>
      <c r="E150" s="1" t="s">
        <v>7931</v>
      </c>
      <c r="F150" s="1" t="s">
        <v>7039</v>
      </c>
      <c r="G150">
        <f t="shared" si="24"/>
        <v>200148</v>
      </c>
      <c r="H150">
        <f t="shared" si="22"/>
        <v>500148</v>
      </c>
      <c r="I150" t="s">
        <v>6684</v>
      </c>
      <c r="J150" t="s">
        <v>6508</v>
      </c>
      <c r="K150" t="str">
        <f>IFERROR(VLOOKUP(F150,'Contacts.csv'!C:D,2,FALSE),"")</f>
        <v/>
      </c>
      <c r="L150" t="str">
        <f t="shared" ref="L150:L155" si="25">IF(ISNUMBER(K150),"rg:{'id':'" &amp; K150 &amp; "'}","rg:None")</f>
        <v>rg:None</v>
      </c>
      <c r="M150" s="4" t="str">
        <f t="shared" ref="M150:M155" si="26">IF(ISNUMBER(K150),"rg:[{'id':'" &amp; K150 &amp; "'}]","rg:[]")</f>
        <v>rg:[]</v>
      </c>
      <c r="N150" t="s">
        <v>6508</v>
      </c>
      <c r="O150" t="s">
        <v>6508</v>
      </c>
      <c r="P150" t="s">
        <v>6508</v>
      </c>
      <c r="Q150">
        <f t="shared" si="20"/>
        <v>2</v>
      </c>
      <c r="R150" t="str">
        <f t="shared" si="23"/>
        <v>Active</v>
      </c>
    </row>
    <row r="151" spans="1:18" x14ac:dyDescent="0.3">
      <c r="A151" t="s">
        <v>5384</v>
      </c>
      <c r="B151" t="s">
        <v>2949</v>
      </c>
      <c r="C151">
        <f>VLOOKUP(B151,ServiceAreas.csv!B:J,9,FALSE)</f>
        <v>2</v>
      </c>
      <c r="D151" t="str">
        <f t="shared" si="21"/>
        <v>rg:{'id': '2'}</v>
      </c>
      <c r="E151" s="1" t="s">
        <v>7938</v>
      </c>
      <c r="F151" s="1" t="s">
        <v>6895</v>
      </c>
      <c r="G151">
        <f t="shared" si="24"/>
        <v>200149</v>
      </c>
      <c r="H151">
        <f t="shared" si="22"/>
        <v>500149</v>
      </c>
      <c r="I151" t="s">
        <v>6684</v>
      </c>
      <c r="J151" t="s">
        <v>6508</v>
      </c>
      <c r="K151" t="str">
        <f>IFERROR(VLOOKUP(F151,'Contacts.csv'!C:D,2,FALSE),"")</f>
        <v/>
      </c>
      <c r="L151" t="str">
        <f t="shared" si="25"/>
        <v>rg:None</v>
      </c>
      <c r="M151" s="4" t="str">
        <f t="shared" si="26"/>
        <v>rg:[]</v>
      </c>
      <c r="N151" t="s">
        <v>6508</v>
      </c>
      <c r="O151" t="s">
        <v>6508</v>
      </c>
      <c r="P151" t="s">
        <v>6508</v>
      </c>
      <c r="Q151">
        <f t="shared" si="20"/>
        <v>2</v>
      </c>
      <c r="R151" t="str">
        <f t="shared" si="23"/>
        <v>Active</v>
      </c>
    </row>
    <row r="152" spans="1:18" x14ac:dyDescent="0.3">
      <c r="A152" t="s">
        <v>5384</v>
      </c>
      <c r="B152" t="s">
        <v>2949</v>
      </c>
      <c r="C152">
        <f>VLOOKUP(B152,ServiceAreas.csv!B:J,9,FALSE)</f>
        <v>2</v>
      </c>
      <c r="D152" t="str">
        <f t="shared" si="21"/>
        <v>rg:{'id': '2'}</v>
      </c>
      <c r="E152" s="1" t="s">
        <v>7957</v>
      </c>
      <c r="F152" s="1" t="s">
        <v>6913</v>
      </c>
      <c r="G152">
        <f t="shared" si="24"/>
        <v>200150</v>
      </c>
      <c r="H152">
        <f t="shared" si="22"/>
        <v>500150</v>
      </c>
      <c r="I152" t="s">
        <v>6684</v>
      </c>
      <c r="J152" t="s">
        <v>6508</v>
      </c>
      <c r="K152" t="str">
        <f>IFERROR(VLOOKUP(F152,'Contacts.csv'!C:D,2,FALSE),"")</f>
        <v/>
      </c>
      <c r="L152" t="str">
        <f t="shared" si="25"/>
        <v>rg:None</v>
      </c>
      <c r="M152" s="4" t="str">
        <f t="shared" si="26"/>
        <v>rg:[]</v>
      </c>
      <c r="N152" t="s">
        <v>6508</v>
      </c>
      <c r="O152" t="s">
        <v>6508</v>
      </c>
      <c r="P152" t="s">
        <v>6508</v>
      </c>
      <c r="Q152">
        <f t="shared" si="20"/>
        <v>2</v>
      </c>
      <c r="R152" t="str">
        <f t="shared" si="23"/>
        <v>Active</v>
      </c>
    </row>
    <row r="153" spans="1:18" x14ac:dyDescent="0.3">
      <c r="A153" t="s">
        <v>5384</v>
      </c>
      <c r="B153" t="s">
        <v>2949</v>
      </c>
      <c r="C153">
        <f>VLOOKUP(B153,ServiceAreas.csv!B:J,9,FALSE)</f>
        <v>2</v>
      </c>
      <c r="D153" t="str">
        <f t="shared" si="21"/>
        <v>rg:{'id': '2'}</v>
      </c>
      <c r="E153" s="1" t="s">
        <v>7958</v>
      </c>
      <c r="F153" s="1" t="s">
        <v>7040</v>
      </c>
      <c r="G153">
        <f t="shared" si="24"/>
        <v>200151</v>
      </c>
      <c r="H153">
        <f t="shared" si="22"/>
        <v>500151</v>
      </c>
      <c r="I153" t="s">
        <v>6684</v>
      </c>
      <c r="J153" t="s">
        <v>6508</v>
      </c>
      <c r="K153" t="str">
        <f>IFERROR(VLOOKUP(F153,'Contacts.csv'!C:D,2,FALSE),"")</f>
        <v/>
      </c>
      <c r="L153" t="str">
        <f t="shared" si="25"/>
        <v>rg:None</v>
      </c>
      <c r="M153" s="4" t="str">
        <f t="shared" si="26"/>
        <v>rg:[]</v>
      </c>
      <c r="N153" t="s">
        <v>6508</v>
      </c>
      <c r="O153" t="s">
        <v>6508</v>
      </c>
      <c r="P153" t="s">
        <v>6508</v>
      </c>
      <c r="Q153">
        <f t="shared" si="20"/>
        <v>2</v>
      </c>
      <c r="R153" t="str">
        <f t="shared" si="23"/>
        <v>Active</v>
      </c>
    </row>
    <row r="154" spans="1:18" x14ac:dyDescent="0.3">
      <c r="A154" t="s">
        <v>5384</v>
      </c>
      <c r="B154" t="s">
        <v>2949</v>
      </c>
      <c r="C154">
        <f>VLOOKUP(B154,ServiceAreas.csv!B:J,9,FALSE)</f>
        <v>2</v>
      </c>
      <c r="D154" t="str">
        <f t="shared" si="21"/>
        <v>rg:{'id': '2'}</v>
      </c>
      <c r="E154" s="1" t="s">
        <v>7959</v>
      </c>
      <c r="F154" s="1" t="s">
        <v>7041</v>
      </c>
      <c r="G154">
        <f t="shared" si="24"/>
        <v>200152</v>
      </c>
      <c r="H154">
        <f t="shared" si="22"/>
        <v>500152</v>
      </c>
      <c r="I154" t="s">
        <v>6684</v>
      </c>
      <c r="J154" t="s">
        <v>6508</v>
      </c>
      <c r="K154" t="str">
        <f>IFERROR(VLOOKUP(F154,'Contacts.csv'!C:D,2,FALSE),"")</f>
        <v/>
      </c>
      <c r="L154" t="str">
        <f t="shared" si="25"/>
        <v>rg:None</v>
      </c>
      <c r="M154" s="4" t="str">
        <f t="shared" si="26"/>
        <v>rg:[]</v>
      </c>
      <c r="N154" t="s">
        <v>6508</v>
      </c>
      <c r="O154" t="s">
        <v>6508</v>
      </c>
      <c r="P154" t="s">
        <v>6508</v>
      </c>
      <c r="Q154">
        <f t="shared" si="20"/>
        <v>2</v>
      </c>
      <c r="R154" t="str">
        <f t="shared" si="23"/>
        <v>Active</v>
      </c>
    </row>
    <row r="155" spans="1:18" x14ac:dyDescent="0.3">
      <c r="A155" t="s">
        <v>5384</v>
      </c>
      <c r="B155" t="s">
        <v>2949</v>
      </c>
      <c r="C155">
        <f>VLOOKUP(B155,ServiceAreas.csv!B:J,9,FALSE)</f>
        <v>2</v>
      </c>
      <c r="D155" t="str">
        <f t="shared" si="21"/>
        <v>rg:{'id': '2'}</v>
      </c>
      <c r="E155" s="1" t="s">
        <v>7022</v>
      </c>
      <c r="F155" s="1" t="s">
        <v>7042</v>
      </c>
      <c r="G155">
        <f t="shared" si="24"/>
        <v>200153</v>
      </c>
      <c r="H155">
        <f t="shared" si="22"/>
        <v>500153</v>
      </c>
      <c r="I155" t="s">
        <v>6684</v>
      </c>
      <c r="J155" t="s">
        <v>6508</v>
      </c>
      <c r="K155" t="str">
        <f>IFERROR(VLOOKUP(F155,'Contacts.csv'!C:D,2,FALSE),"")</f>
        <v/>
      </c>
      <c r="L155" t="str">
        <f t="shared" si="25"/>
        <v>rg:None</v>
      </c>
      <c r="M155" s="4" t="str">
        <f t="shared" si="26"/>
        <v>rg:[]</v>
      </c>
      <c r="N155" t="s">
        <v>6508</v>
      </c>
      <c r="O155" t="s">
        <v>6508</v>
      </c>
      <c r="P155" t="s">
        <v>6508</v>
      </c>
      <c r="Q155">
        <f t="shared" si="20"/>
        <v>2</v>
      </c>
      <c r="R155" t="str">
        <f t="shared" si="23"/>
        <v>Active</v>
      </c>
    </row>
  </sheetData>
  <autoFilter ref="A1:P155" xr:uid="{00000000-0009-0000-0000-000003000000}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7617</v>
      </c>
      <c r="C1" t="s">
        <v>6930</v>
      </c>
      <c r="D1" t="s">
        <v>5323</v>
      </c>
      <c r="E1" t="s">
        <v>7605</v>
      </c>
      <c r="F1" t="s">
        <v>7606</v>
      </c>
      <c r="G1" t="s">
        <v>6496</v>
      </c>
      <c r="H1" t="s">
        <v>7607</v>
      </c>
      <c r="I1" t="s">
        <v>5325</v>
      </c>
      <c r="J1" t="s">
        <v>7608</v>
      </c>
      <c r="K1" t="s">
        <v>7609</v>
      </c>
      <c r="L1" t="s">
        <v>7610</v>
      </c>
      <c r="M1" t="s">
        <v>7611</v>
      </c>
      <c r="N1" t="s">
        <v>7612</v>
      </c>
      <c r="O1" t="s">
        <v>7613</v>
      </c>
      <c r="P1" t="s">
        <v>7614</v>
      </c>
      <c r="Q1" t="s">
        <v>7615</v>
      </c>
      <c r="R1" t="s">
        <v>7616</v>
      </c>
      <c r="S1" t="s">
        <v>7754</v>
      </c>
      <c r="T1" t="s">
        <v>7755</v>
      </c>
    </row>
    <row r="2" spans="1:20" x14ac:dyDescent="0.3">
      <c r="A2" t="s">
        <v>54</v>
      </c>
      <c r="B2" t="s">
        <v>7</v>
      </c>
      <c r="C2" t="s">
        <v>4835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7618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4807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7618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4243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7618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4508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7618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3035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7618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4037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7618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3697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7618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3074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7618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3184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7618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3221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7618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3237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7618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4052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7618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3869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7618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4430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7618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3665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7618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4156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7618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4878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7618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4732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7618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3977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7618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3882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7618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4536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7618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4399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7618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3648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7618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3407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7618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3305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7618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4700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7618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3915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7618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4340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7618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4478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7618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3852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7618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3422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7618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4290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7618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3454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7618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4007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7618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3323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7618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4067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7618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3552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7618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3253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7618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3166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7618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4550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7618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4211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7618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4862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7618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3617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7618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3535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7618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3128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7618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4894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7618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4099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7618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rg:None</v>
      </c>
      <c r="L48" t="str">
        <f ca="1">IF(K48="rg:None",Names!P48,"rg:None")</f>
        <v>250-306-2422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4624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7618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4307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7618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4369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7618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3947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7618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3486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7618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4383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7618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3357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7618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3729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7618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3092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7618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4171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7618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3836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7618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3746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7618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4581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7618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4461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7618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4273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7618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3112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7618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3148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7618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4609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7618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4021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7618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3931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7618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4445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7618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4567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7618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3793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7618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4413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7618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3340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7618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3374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7618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3681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7618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4324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7618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3054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7618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4791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7618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4685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7618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3961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7618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3271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7618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4355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7618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4113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7618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4126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7618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3570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7618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4259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7618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3777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7618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3390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7618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3469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7618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4226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7618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3899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7618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3520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7618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4821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7618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4715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7618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3807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7618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4850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7618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3503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7618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4198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7618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3288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7618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3822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7618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3012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7618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4142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7618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3993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7618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3713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7618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3438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7618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4761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7618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5384</v>
      </c>
      <c r="C107" s="1" t="s">
        <v>6931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7618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5384</v>
      </c>
      <c r="C108" s="1" t="s">
        <v>6926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7618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5384</v>
      </c>
      <c r="C109" s="1" t="s">
        <v>6932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7618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5384</v>
      </c>
      <c r="C110" s="1" t="s">
        <v>6933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7618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5384</v>
      </c>
      <c r="C111" s="1" t="s">
        <v>6934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7618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5384</v>
      </c>
      <c r="C112" s="1" t="s">
        <v>6935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7618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5384</v>
      </c>
      <c r="C113" s="1" t="s">
        <v>6936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7618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5384</v>
      </c>
      <c r="C114" s="1" t="s">
        <v>6916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7618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5384</v>
      </c>
      <c r="C115" s="1" t="s">
        <v>6937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7618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5384</v>
      </c>
      <c r="C116" s="1" t="s">
        <v>6894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7618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5384</v>
      </c>
      <c r="C117" s="1" t="s">
        <v>6938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7618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5384</v>
      </c>
      <c r="C118" s="1" t="s">
        <v>6939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7618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rg:None</v>
      </c>
      <c r="L118" t="str">
        <f ca="1">IF(K118="rg:None",Names!P124,"rg:None")</f>
        <v>250-620-1802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5384</v>
      </c>
      <c r="C119" s="1" t="s">
        <v>6940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7618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5384</v>
      </c>
      <c r="C120" s="1" t="s">
        <v>6941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7618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5384</v>
      </c>
      <c r="C121" s="1" t="s">
        <v>6928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7618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5384</v>
      </c>
      <c r="C122" s="1" t="s">
        <v>6942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7618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5384</v>
      </c>
      <c r="C123" s="1" t="s">
        <v>6912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7618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5384</v>
      </c>
      <c r="C124" s="1" t="s">
        <v>6943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7618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5384</v>
      </c>
      <c r="C125" s="1" t="s">
        <v>6889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7618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5384</v>
      </c>
      <c r="C126" s="1" t="s">
        <v>6944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7618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5384</v>
      </c>
      <c r="C127" s="1" t="s">
        <v>6896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7618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5384</v>
      </c>
      <c r="C128" s="1" t="s">
        <v>6945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7618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5384</v>
      </c>
      <c r="C129" s="1" t="s">
        <v>6888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7618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5384</v>
      </c>
      <c r="C130" s="1" t="s">
        <v>6946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7618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5384</v>
      </c>
      <c r="C131" s="1" t="s">
        <v>6947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7618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5384</v>
      </c>
      <c r="C132" s="1" t="s">
        <v>6907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7618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5384</v>
      </c>
      <c r="C133" s="1" t="s">
        <v>6948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7618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5384</v>
      </c>
      <c r="C134" s="1" t="s">
        <v>6922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7618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5384</v>
      </c>
      <c r="C135" s="1" t="s">
        <v>6949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7618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5384</v>
      </c>
      <c r="C136" s="1" t="s">
        <v>6950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7618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5384</v>
      </c>
      <c r="C137" s="1" t="s">
        <v>6951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7618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5384</v>
      </c>
      <c r="C138" s="1" t="s">
        <v>6952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7618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5384</v>
      </c>
      <c r="C139" s="1" t="s">
        <v>6953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7618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/>
  <dimension ref="A1:M155"/>
  <sheetViews>
    <sheetView workbookViewId="0">
      <selection activeCell="D2" sqref="D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16" style="8" customWidth="1"/>
    <col min="5" max="5" width="9" style="8" customWidth="1"/>
    <col min="6" max="6" width="16" style="8" customWidth="1"/>
    <col min="7" max="7" width="11.33203125" style="8" customWidth="1"/>
    <col min="8" max="8" width="15.5546875" style="8" customWidth="1"/>
    <col min="9" max="9" width="16.6640625" style="8" customWidth="1"/>
    <col min="10" max="10" width="15.6640625" style="8" customWidth="1"/>
    <col min="11" max="11" width="14" style="8" customWidth="1"/>
    <col min="12" max="12" width="17.88671875" style="8" customWidth="1"/>
    <col min="13" max="13" width="16.109375" style="8" customWidth="1"/>
    <col min="14" max="16384" width="9.109375" style="8"/>
  </cols>
  <sheetData>
    <row r="1" spans="1:13" x14ac:dyDescent="0.3">
      <c r="A1" s="8" t="s">
        <v>68</v>
      </c>
      <c r="B1" s="8" t="s">
        <v>5323</v>
      </c>
      <c r="C1" s="9" t="s">
        <v>7879</v>
      </c>
      <c r="D1" s="9" t="s">
        <v>6883</v>
      </c>
      <c r="E1" s="8" t="s">
        <v>6492</v>
      </c>
      <c r="F1" s="8" t="s">
        <v>5632</v>
      </c>
      <c r="G1" s="8" t="s">
        <v>333</v>
      </c>
      <c r="H1" s="9" t="s">
        <v>5643</v>
      </c>
      <c r="I1" t="s">
        <v>7870</v>
      </c>
      <c r="J1" s="8" t="s">
        <v>6884</v>
      </c>
      <c r="K1" s="8" t="s">
        <v>6885</v>
      </c>
      <c r="L1" s="8" t="s">
        <v>6886</v>
      </c>
      <c r="M1" s="8" t="s">
        <v>6887</v>
      </c>
    </row>
    <row r="2" spans="1:13" x14ac:dyDescent="0.3">
      <c r="A2" s="8" t="s">
        <v>5666</v>
      </c>
      <c r="B2" s="8">
        <v>200000</v>
      </c>
      <c r="C2" s="1" t="s">
        <v>6931</v>
      </c>
      <c r="D2" s="8" t="str">
        <f xml:space="preserve"> "rg:{'id':'" &amp; VLOOKUP(C2,Project.csv!F:G,2,FALSE) &amp; "'}"</f>
        <v>rg:{'id':'200000'}</v>
      </c>
      <c r="E2" t="s">
        <v>6452</v>
      </c>
      <c r="F2" s="8" t="str">
        <f xml:space="preserve"> "rg:{'id':'" &amp; VLOOKUP(E2,LocalAreas.csv!F:J,5,FALSE) &amp; "'}"</f>
        <v>rg:{'id':'200075'}</v>
      </c>
      <c r="G2" s="9" t="s">
        <v>7043</v>
      </c>
      <c r="H2" s="9">
        <f ca="1">INDEX(DistrictEquipmentTypes.csv!D:D,RANDBETWEEN(2,15))</f>
        <v>200004</v>
      </c>
      <c r="I2" s="8" t="str">
        <f ca="1">"rg:{ 'id': '"&amp;H2&amp;"'}"</f>
        <v>rg:{ 'id': '200004'}</v>
      </c>
      <c r="J2" s="8">
        <f ca="1">IF(RANDBETWEEN(1,5)&gt;1,1,RANDBETWEEN(2,5))</f>
        <v>1</v>
      </c>
      <c r="K2" s="8">
        <f ca="1">RANDBETWEEN(4,100)</f>
        <v>43</v>
      </c>
      <c r="L2" s="8" t="str">
        <f ca="1">TEXT(TODAY()+RANDBETWEEN(1,56),"YYYY-MM-DD")</f>
        <v>2018-02-08</v>
      </c>
      <c r="M2" s="8" t="str">
        <f ca="1">TEXT(L2+(J2*K2)/8,"YYYY-MM-DD")</f>
        <v>2018-02-13</v>
      </c>
    </row>
    <row r="3" spans="1:13" x14ac:dyDescent="0.3">
      <c r="A3" s="8" t="s">
        <v>5666</v>
      </c>
      <c r="B3" s="8">
        <f t="shared" ref="B3:B66" si="0">IF(ISNUMBER(B2),B2+1,600000)</f>
        <v>200001</v>
      </c>
      <c r="C3" s="1" t="s">
        <v>6926</v>
      </c>
      <c r="D3" s="8" t="str">
        <f xml:space="preserve"> "rg:{'id':'" &amp; VLOOKUP(C3,Project.csv!F:G,2,FALSE) &amp; "'}"</f>
        <v>rg:{'id':'200001'}</v>
      </c>
      <c r="E3" t="s">
        <v>6453</v>
      </c>
      <c r="F3" s="8" t="str">
        <f xml:space="preserve"> "rg:{'id':'" &amp; VLOOKUP(E3,LocalAreas.csv!F:J,5,FALSE) &amp; "'}"</f>
        <v>rg:{'id':'200076'}</v>
      </c>
      <c r="G3" s="9" t="s">
        <v>7044</v>
      </c>
      <c r="H3" s="9">
        <f ca="1">INDEX(DistrictEquipmentTypes.csv!D:D,RANDBETWEEN(2,15))</f>
        <v>200006</v>
      </c>
      <c r="I3" s="8" t="str">
        <f t="shared" ref="I3:I66" ca="1" si="1">"rg:{ 'id': '"&amp;H3&amp;"'}"</f>
        <v>rg:{ 'id': '200006'}</v>
      </c>
      <c r="J3" s="8">
        <f t="shared" ref="J3:J66" ca="1" si="2">IF(RANDBETWEEN(1,5)&gt;1,1,RANDBETWEEN(2,5))</f>
        <v>1</v>
      </c>
      <c r="K3" s="8">
        <f t="shared" ref="K3:K66" ca="1" si="3">RANDBETWEEN(4,100)</f>
        <v>13</v>
      </c>
      <c r="L3" s="8" t="str">
        <f t="shared" ref="L3:L66" ca="1" si="4">TEXT(TODAY()+RANDBETWEEN(1,56),"YYYY-MM-DD")</f>
        <v>2018-01-20</v>
      </c>
      <c r="M3" s="8" t="str">
        <f t="shared" ref="M3:M66" ca="1" si="5">TEXT(L3+(J3*K3)/8,"YYYY-MM-DD")</f>
        <v>2018-01-21</v>
      </c>
    </row>
    <row r="4" spans="1:13" x14ac:dyDescent="0.3">
      <c r="A4" s="8" t="s">
        <v>5666</v>
      </c>
      <c r="B4" s="8">
        <f t="shared" si="0"/>
        <v>200002</v>
      </c>
      <c r="C4" s="1" t="s">
        <v>6932</v>
      </c>
      <c r="D4" s="8" t="str">
        <f xml:space="preserve"> "rg:{'id':'" &amp; VLOOKUP(C4,Project.csv!F:G,2,FALSE) &amp; "'}"</f>
        <v>rg:{'id':'200002'}</v>
      </c>
      <c r="E4" t="s">
        <v>6454</v>
      </c>
      <c r="F4" s="8" t="str">
        <f xml:space="preserve"> "rg:{'id':'" &amp; VLOOKUP(E4,LocalAreas.csv!F:J,5,FALSE) &amp; "'}"</f>
        <v>rg:{'id':'200077'}</v>
      </c>
      <c r="G4" s="9" t="s">
        <v>7043</v>
      </c>
      <c r="H4" s="9">
        <f ca="1">INDEX(DistrictEquipmentTypes.csv!D:D,RANDBETWEEN(2,15))</f>
        <v>200001</v>
      </c>
      <c r="I4" s="8" t="str">
        <f t="shared" ca="1" si="1"/>
        <v>rg:{ 'id': '200001'}</v>
      </c>
      <c r="J4" s="8">
        <f t="shared" ca="1" si="2"/>
        <v>3</v>
      </c>
      <c r="K4" s="8">
        <f t="shared" ca="1" si="3"/>
        <v>15</v>
      </c>
      <c r="L4" s="8" t="str">
        <f t="shared" ca="1" si="4"/>
        <v>2018-01-09</v>
      </c>
      <c r="M4" s="8" t="str">
        <f t="shared" ca="1" si="5"/>
        <v>2018-01-14</v>
      </c>
    </row>
    <row r="5" spans="1:13" x14ac:dyDescent="0.3">
      <c r="A5" s="8" t="s">
        <v>5666</v>
      </c>
      <c r="B5" s="8">
        <f t="shared" si="0"/>
        <v>200003</v>
      </c>
      <c r="C5" s="1" t="s">
        <v>6933</v>
      </c>
      <c r="D5" s="8" t="str">
        <f xml:space="preserve"> "rg:{'id':'" &amp; VLOOKUP(C5,Project.csv!F:G,2,FALSE) &amp; "'}"</f>
        <v>rg:{'id':'200003'}</v>
      </c>
      <c r="E5" t="s">
        <v>6452</v>
      </c>
      <c r="F5" s="8" t="str">
        <f xml:space="preserve"> "rg:{'id':'" &amp; VLOOKUP(E5,LocalAreas.csv!F:J,5,FALSE) &amp; "'}"</f>
        <v>rg:{'id':'200075'}</v>
      </c>
      <c r="G5" s="9" t="s">
        <v>7043</v>
      </c>
      <c r="H5" s="9">
        <f ca="1">INDEX(DistrictEquipmentTypes.csv!D:D,RANDBETWEEN(2,15))</f>
        <v>200010</v>
      </c>
      <c r="I5" s="8" t="str">
        <f t="shared" ca="1" si="1"/>
        <v>rg:{ 'id': '200010'}</v>
      </c>
      <c r="J5" s="8">
        <f t="shared" ca="1" si="2"/>
        <v>5</v>
      </c>
      <c r="K5" s="8">
        <f t="shared" ca="1" si="3"/>
        <v>14</v>
      </c>
      <c r="L5" s="8" t="str">
        <f t="shared" ca="1" si="4"/>
        <v>2018-01-30</v>
      </c>
      <c r="M5" s="8" t="str">
        <f t="shared" ca="1" si="5"/>
        <v>2018-02-07</v>
      </c>
    </row>
    <row r="6" spans="1:13" x14ac:dyDescent="0.3">
      <c r="A6" s="8" t="s">
        <v>5666</v>
      </c>
      <c r="B6" s="8">
        <f t="shared" si="0"/>
        <v>200004</v>
      </c>
      <c r="C6" s="1" t="s">
        <v>6934</v>
      </c>
      <c r="D6" s="8" t="str">
        <f xml:space="preserve"> "rg:{'id':'" &amp; VLOOKUP(C6,Project.csv!F:G,2,FALSE) &amp; "'}"</f>
        <v>rg:{'id':'200004'}</v>
      </c>
      <c r="E6" t="s">
        <v>6452</v>
      </c>
      <c r="F6" s="8" t="str">
        <f xml:space="preserve"> "rg:{'id':'" &amp; VLOOKUP(E6,LocalAreas.csv!F:J,5,FALSE) &amp; "'}"</f>
        <v>rg:{'id':'200075'}</v>
      </c>
      <c r="G6" s="9" t="s">
        <v>7043</v>
      </c>
      <c r="H6" s="9">
        <f ca="1">INDEX(DistrictEquipmentTypes.csv!D:D,RANDBETWEEN(2,15))</f>
        <v>200009</v>
      </c>
      <c r="I6" s="8" t="str">
        <f t="shared" ca="1" si="1"/>
        <v>rg:{ 'id': '200009'}</v>
      </c>
      <c r="J6" s="8">
        <f t="shared" ca="1" si="2"/>
        <v>5</v>
      </c>
      <c r="K6" s="8">
        <f t="shared" ca="1" si="3"/>
        <v>73</v>
      </c>
      <c r="L6" s="8" t="str">
        <f t="shared" ca="1" si="4"/>
        <v>2018-01-01</v>
      </c>
      <c r="M6" s="8" t="str">
        <f t="shared" ca="1" si="5"/>
        <v>2018-02-15</v>
      </c>
    </row>
    <row r="7" spans="1:13" x14ac:dyDescent="0.3">
      <c r="A7" s="8" t="s">
        <v>5666</v>
      </c>
      <c r="B7" s="8">
        <f t="shared" si="0"/>
        <v>200005</v>
      </c>
      <c r="C7" s="1" t="s">
        <v>6935</v>
      </c>
      <c r="D7" s="8" t="str">
        <f xml:space="preserve"> "rg:{'id':'" &amp; VLOOKUP(C7,Project.csv!F:G,2,FALSE) &amp; "'}"</f>
        <v>rg:{'id':'200005'}</v>
      </c>
      <c r="E7" t="s">
        <v>6452</v>
      </c>
      <c r="F7" s="8" t="str">
        <f xml:space="preserve"> "rg:{'id':'" &amp; VLOOKUP(E7,LocalAreas.csv!F:J,5,FALSE) &amp; "'}"</f>
        <v>rg:{'id':'200075'}</v>
      </c>
      <c r="G7" s="9" t="s">
        <v>7044</v>
      </c>
      <c r="H7" s="9">
        <f ca="1">INDEX(DistrictEquipmentTypes.csv!D:D,RANDBETWEEN(2,15))</f>
        <v>200003</v>
      </c>
      <c r="I7" s="8" t="str">
        <f t="shared" ca="1" si="1"/>
        <v>rg:{ 'id': '200003'}</v>
      </c>
      <c r="J7" s="8">
        <f t="shared" ca="1" si="2"/>
        <v>2</v>
      </c>
      <c r="K7" s="8">
        <f t="shared" ca="1" si="3"/>
        <v>29</v>
      </c>
      <c r="L7" s="8" t="str">
        <f t="shared" ca="1" si="4"/>
        <v>2018-01-10</v>
      </c>
      <c r="M7" s="8" t="str">
        <f t="shared" ca="1" si="5"/>
        <v>2018-01-17</v>
      </c>
    </row>
    <row r="8" spans="1:13" x14ac:dyDescent="0.3">
      <c r="A8" s="8" t="s">
        <v>5666</v>
      </c>
      <c r="B8" s="8">
        <f t="shared" si="0"/>
        <v>200006</v>
      </c>
      <c r="C8" s="1" t="s">
        <v>6936</v>
      </c>
      <c r="D8" s="8" t="str">
        <f xml:space="preserve"> "rg:{'id':'" &amp; VLOOKUP(C8,Project.csv!F:G,2,FALSE) &amp; "'}"</f>
        <v>rg:{'id':'200006'}</v>
      </c>
      <c r="E8" t="s">
        <v>6452</v>
      </c>
      <c r="F8" s="8" t="str">
        <f xml:space="preserve"> "rg:{'id':'" &amp; VLOOKUP(E8,LocalAreas.csv!F:J,5,FALSE) &amp; "'}"</f>
        <v>rg:{'id':'200075'}</v>
      </c>
      <c r="G8" s="9" t="s">
        <v>7044</v>
      </c>
      <c r="H8" s="9">
        <f ca="1">INDEX(DistrictEquipmentTypes.csv!D:D,RANDBETWEEN(2,15))</f>
        <v>200004</v>
      </c>
      <c r="I8" s="8" t="str">
        <f t="shared" ca="1" si="1"/>
        <v>rg:{ 'id': '200004'}</v>
      </c>
      <c r="J8" s="8">
        <f t="shared" ca="1" si="2"/>
        <v>1</v>
      </c>
      <c r="K8" s="8">
        <f t="shared" ca="1" si="3"/>
        <v>33</v>
      </c>
      <c r="L8" s="8" t="str">
        <f t="shared" ca="1" si="4"/>
        <v>2018-02-02</v>
      </c>
      <c r="M8" s="8" t="str">
        <f t="shared" ca="1" si="5"/>
        <v>2018-02-06</v>
      </c>
    </row>
    <row r="9" spans="1:13" x14ac:dyDescent="0.3">
      <c r="A9" s="8" t="s">
        <v>5666</v>
      </c>
      <c r="B9" s="8">
        <f t="shared" si="0"/>
        <v>200007</v>
      </c>
      <c r="C9" s="1" t="s">
        <v>6916</v>
      </c>
      <c r="D9" s="8" t="str">
        <f xml:space="preserve"> "rg:{'id':'" &amp; VLOOKUP(C9,Project.csv!F:G,2,FALSE) &amp; "'}"</f>
        <v>rg:{'id':'200007'}</v>
      </c>
      <c r="E9" t="s">
        <v>6452</v>
      </c>
      <c r="F9" s="8" t="str">
        <f xml:space="preserve"> "rg:{'id':'" &amp; VLOOKUP(E9,LocalAreas.csv!F:J,5,FALSE) &amp; "'}"</f>
        <v>rg:{'id':'200075'}</v>
      </c>
      <c r="G9" s="9" t="s">
        <v>7044</v>
      </c>
      <c r="H9" s="9">
        <f ca="1">INDEX(DistrictEquipmentTypes.csv!D:D,RANDBETWEEN(2,15))</f>
        <v>200006</v>
      </c>
      <c r="I9" s="8" t="str">
        <f t="shared" ca="1" si="1"/>
        <v>rg:{ 'id': '200006'}</v>
      </c>
      <c r="J9" s="8">
        <f t="shared" ca="1" si="2"/>
        <v>3</v>
      </c>
      <c r="K9" s="8">
        <f t="shared" ca="1" si="3"/>
        <v>47</v>
      </c>
      <c r="L9" s="8" t="str">
        <f t="shared" ca="1" si="4"/>
        <v>2018-02-19</v>
      </c>
      <c r="M9" s="8" t="str">
        <f t="shared" ca="1" si="5"/>
        <v>2018-03-08</v>
      </c>
    </row>
    <row r="10" spans="1:13" x14ac:dyDescent="0.3">
      <c r="A10" s="8" t="s">
        <v>5666</v>
      </c>
      <c r="B10" s="8">
        <f t="shared" si="0"/>
        <v>200008</v>
      </c>
      <c r="C10" s="1" t="s">
        <v>6937</v>
      </c>
      <c r="D10" s="8" t="str">
        <f xml:space="preserve"> "rg:{'id':'" &amp; VLOOKUP(C10,Project.csv!F:G,2,FALSE) &amp; "'}"</f>
        <v>rg:{'id':'200008'}</v>
      </c>
      <c r="E10" t="s">
        <v>6452</v>
      </c>
      <c r="F10" s="8" t="str">
        <f xml:space="preserve"> "rg:{'id':'" &amp; VLOOKUP(E10,LocalAreas.csv!F:J,5,FALSE) &amp; "'}"</f>
        <v>rg:{'id':'200075'}</v>
      </c>
      <c r="G10" s="9" t="s">
        <v>7044</v>
      </c>
      <c r="H10" s="9">
        <f ca="1">INDEX(DistrictEquipmentTypes.csv!D:D,RANDBETWEEN(2,15))</f>
        <v>200007</v>
      </c>
      <c r="I10" s="8" t="str">
        <f t="shared" ca="1" si="1"/>
        <v>rg:{ 'id': '200007'}</v>
      </c>
      <c r="J10" s="8">
        <f t="shared" ca="1" si="2"/>
        <v>5</v>
      </c>
      <c r="K10" s="8">
        <f t="shared" ca="1" si="3"/>
        <v>17</v>
      </c>
      <c r="L10" s="8" t="str">
        <f t="shared" ca="1" si="4"/>
        <v>2018-02-19</v>
      </c>
      <c r="M10" s="8" t="str">
        <f t="shared" ca="1" si="5"/>
        <v>2018-03-01</v>
      </c>
    </row>
    <row r="11" spans="1:13" x14ac:dyDescent="0.3">
      <c r="A11" s="8" t="s">
        <v>5666</v>
      </c>
      <c r="B11" s="8">
        <f t="shared" si="0"/>
        <v>200009</v>
      </c>
      <c r="C11" s="1" t="s">
        <v>6894</v>
      </c>
      <c r="D11" s="8" t="str">
        <f xml:space="preserve"> "rg:{'id':'" &amp; VLOOKUP(C11,Project.csv!F:G,2,FALSE) &amp; "'}"</f>
        <v>rg:{'id':'200009'}</v>
      </c>
      <c r="E11" t="s">
        <v>6452</v>
      </c>
      <c r="F11" s="8" t="str">
        <f xml:space="preserve"> "rg:{'id':'" &amp; VLOOKUP(E11,LocalAreas.csv!F:J,5,FALSE) &amp; "'}"</f>
        <v>rg:{'id':'200075'}</v>
      </c>
      <c r="G11" s="9" t="s">
        <v>7043</v>
      </c>
      <c r="H11" s="9">
        <f ca="1">INDEX(DistrictEquipmentTypes.csv!D:D,RANDBETWEEN(2,15))</f>
        <v>200003</v>
      </c>
      <c r="I11" s="8" t="str">
        <f t="shared" ca="1" si="1"/>
        <v>rg:{ 'id': '200003'}</v>
      </c>
      <c r="J11" s="8">
        <f t="shared" ca="1" si="2"/>
        <v>1</v>
      </c>
      <c r="K11" s="8">
        <f t="shared" ca="1" si="3"/>
        <v>75</v>
      </c>
      <c r="L11" s="8" t="str">
        <f t="shared" ca="1" si="4"/>
        <v>2017-12-28</v>
      </c>
      <c r="M11" s="8" t="str">
        <f t="shared" ca="1" si="5"/>
        <v>2018-01-06</v>
      </c>
    </row>
    <row r="12" spans="1:13" x14ac:dyDescent="0.3">
      <c r="A12" s="8" t="s">
        <v>5666</v>
      </c>
      <c r="B12" s="8">
        <f t="shared" si="0"/>
        <v>200010</v>
      </c>
      <c r="C12" s="1" t="s">
        <v>6938</v>
      </c>
      <c r="D12" s="8" t="str">
        <f xml:space="preserve"> "rg:{'id':'" &amp; VLOOKUP(C12,Project.csv!F:G,2,FALSE) &amp; "'}"</f>
        <v>rg:{'id':'200010'}</v>
      </c>
      <c r="E12" t="s">
        <v>6452</v>
      </c>
      <c r="F12" s="8" t="str">
        <f xml:space="preserve"> "rg:{'id':'" &amp; VLOOKUP(E12,LocalAreas.csv!F:J,5,FALSE) &amp; "'}"</f>
        <v>rg:{'id':'200075'}</v>
      </c>
      <c r="G12" s="9" t="s">
        <v>7043</v>
      </c>
      <c r="H12" s="9">
        <f ca="1">INDEX(DistrictEquipmentTypes.csv!D:D,RANDBETWEEN(2,15))</f>
        <v>200012</v>
      </c>
      <c r="I12" s="8" t="str">
        <f t="shared" ca="1" si="1"/>
        <v>rg:{ 'id': '200012'}</v>
      </c>
      <c r="J12" s="8">
        <f t="shared" ca="1" si="2"/>
        <v>1</v>
      </c>
      <c r="K12" s="8">
        <f t="shared" ca="1" si="3"/>
        <v>63</v>
      </c>
      <c r="L12" s="8" t="str">
        <f t="shared" ca="1" si="4"/>
        <v>2018-01-23</v>
      </c>
      <c r="M12" s="8" t="str">
        <f t="shared" ca="1" si="5"/>
        <v>2018-01-30</v>
      </c>
    </row>
    <row r="13" spans="1:13" x14ac:dyDescent="0.3">
      <c r="A13" s="8" t="s">
        <v>5666</v>
      </c>
      <c r="B13" s="8">
        <f t="shared" si="0"/>
        <v>200011</v>
      </c>
      <c r="C13" s="1" t="s">
        <v>6939</v>
      </c>
      <c r="D13" s="8" t="str">
        <f xml:space="preserve"> "rg:{'id':'" &amp; VLOOKUP(C13,Project.csv!F:G,2,FALSE) &amp; "'}"</f>
        <v>rg:{'id':'200011'}</v>
      </c>
      <c r="E13" t="s">
        <v>6452</v>
      </c>
      <c r="F13" s="8" t="str">
        <f xml:space="preserve"> "rg:{'id':'" &amp; VLOOKUP(E13,LocalAreas.csv!F:J,5,FALSE) &amp; "'}"</f>
        <v>rg:{'id':'200075'}</v>
      </c>
      <c r="G13" s="9" t="s">
        <v>7043</v>
      </c>
      <c r="H13" s="9">
        <f ca="1">INDEX(DistrictEquipmentTypes.csv!D:D,RANDBETWEEN(2,15))</f>
        <v>200000</v>
      </c>
      <c r="I13" s="8" t="str">
        <f t="shared" ca="1" si="1"/>
        <v>rg:{ 'id': '200000'}</v>
      </c>
      <c r="J13" s="8">
        <f t="shared" ca="1" si="2"/>
        <v>2</v>
      </c>
      <c r="K13" s="8">
        <f t="shared" ca="1" si="3"/>
        <v>86</v>
      </c>
      <c r="L13" s="8" t="str">
        <f t="shared" ca="1" si="4"/>
        <v>2018-01-30</v>
      </c>
      <c r="M13" s="8" t="str">
        <f t="shared" ca="1" si="5"/>
        <v>2018-02-20</v>
      </c>
    </row>
    <row r="14" spans="1:13" x14ac:dyDescent="0.3">
      <c r="A14" s="8" t="s">
        <v>5666</v>
      </c>
      <c r="B14" s="8">
        <f t="shared" si="0"/>
        <v>200012</v>
      </c>
      <c r="C14" s="1" t="s">
        <v>6940</v>
      </c>
      <c r="D14" s="8" t="str">
        <f xml:space="preserve"> "rg:{'id':'" &amp; VLOOKUP(C14,Project.csv!F:G,2,FALSE) &amp; "'}"</f>
        <v>rg:{'id':'200012'}</v>
      </c>
      <c r="E14" t="s">
        <v>6452</v>
      </c>
      <c r="F14" s="8" t="str">
        <f xml:space="preserve"> "rg:{'id':'" &amp; VLOOKUP(E14,LocalAreas.csv!F:J,5,FALSE) &amp; "'}"</f>
        <v>rg:{'id':'200075'}</v>
      </c>
      <c r="G14" s="9" t="s">
        <v>7043</v>
      </c>
      <c r="H14" s="9">
        <f ca="1">INDEX(DistrictEquipmentTypes.csv!D:D,RANDBETWEEN(2,15))</f>
        <v>200007</v>
      </c>
      <c r="I14" s="8" t="str">
        <f t="shared" ca="1" si="1"/>
        <v>rg:{ 'id': '200007'}</v>
      </c>
      <c r="J14" s="8">
        <f t="shared" ca="1" si="2"/>
        <v>1</v>
      </c>
      <c r="K14" s="8">
        <f t="shared" ca="1" si="3"/>
        <v>86</v>
      </c>
      <c r="L14" s="8" t="str">
        <f t="shared" ca="1" si="4"/>
        <v>2018-01-04</v>
      </c>
      <c r="M14" s="8" t="str">
        <f t="shared" ca="1" si="5"/>
        <v>2018-01-14</v>
      </c>
    </row>
    <row r="15" spans="1:13" x14ac:dyDescent="0.3">
      <c r="A15" s="8" t="s">
        <v>5666</v>
      </c>
      <c r="B15" s="8">
        <f t="shared" si="0"/>
        <v>200013</v>
      </c>
      <c r="C15" s="1" t="s">
        <v>6941</v>
      </c>
      <c r="D15" s="8" t="str">
        <f xml:space="preserve"> "rg:{'id':'" &amp; VLOOKUP(C15,Project.csv!F:G,2,FALSE) &amp; "'}"</f>
        <v>rg:{'id':'200013'}</v>
      </c>
      <c r="E15" t="s">
        <v>6452</v>
      </c>
      <c r="F15" s="8" t="str">
        <f xml:space="preserve"> "rg:{'id':'" &amp; VLOOKUP(E15,LocalAreas.csv!F:J,5,FALSE) &amp; "'}"</f>
        <v>rg:{'id':'200075'}</v>
      </c>
      <c r="G15" s="9" t="s">
        <v>7043</v>
      </c>
      <c r="H15" s="9">
        <f ca="1">INDEX(DistrictEquipmentTypes.csv!D:D,RANDBETWEEN(2,15))</f>
        <v>200001</v>
      </c>
      <c r="I15" s="8" t="str">
        <f t="shared" ca="1" si="1"/>
        <v>rg:{ 'id': '200001'}</v>
      </c>
      <c r="J15" s="8">
        <f t="shared" ca="1" si="2"/>
        <v>1</v>
      </c>
      <c r="K15" s="8">
        <f t="shared" ca="1" si="3"/>
        <v>59</v>
      </c>
      <c r="L15" s="8" t="str">
        <f t="shared" ca="1" si="4"/>
        <v>2018-01-10</v>
      </c>
      <c r="M15" s="8" t="str">
        <f t="shared" ca="1" si="5"/>
        <v>2018-01-17</v>
      </c>
    </row>
    <row r="16" spans="1:13" x14ac:dyDescent="0.3">
      <c r="A16" s="8" t="s">
        <v>5666</v>
      </c>
      <c r="B16" s="8">
        <f t="shared" si="0"/>
        <v>200014</v>
      </c>
      <c r="C16" s="1" t="s">
        <v>6928</v>
      </c>
      <c r="D16" s="8" t="str">
        <f xml:space="preserve"> "rg:{'id':'" &amp; VLOOKUP(C16,Project.csv!F:G,2,FALSE) &amp; "'}"</f>
        <v>rg:{'id':'200014'}</v>
      </c>
      <c r="E16" t="s">
        <v>6452</v>
      </c>
      <c r="F16" s="8" t="str">
        <f xml:space="preserve"> "rg:{'id':'" &amp; VLOOKUP(E16,LocalAreas.csv!F:J,5,FALSE) &amp; "'}"</f>
        <v>rg:{'id':'200075'}</v>
      </c>
      <c r="G16" s="9" t="s">
        <v>7043</v>
      </c>
      <c r="H16" s="9">
        <f ca="1">INDEX(DistrictEquipmentTypes.csv!D:D,RANDBETWEEN(2,15))</f>
        <v>200013</v>
      </c>
      <c r="I16" s="8" t="str">
        <f t="shared" ca="1" si="1"/>
        <v>rg:{ 'id': '200013'}</v>
      </c>
      <c r="J16" s="8">
        <f t="shared" ca="1" si="2"/>
        <v>1</v>
      </c>
      <c r="K16" s="8">
        <f t="shared" ca="1" si="3"/>
        <v>16</v>
      </c>
      <c r="L16" s="8" t="str">
        <f t="shared" ca="1" si="4"/>
        <v>2018-02-19</v>
      </c>
      <c r="M16" s="8" t="str">
        <f t="shared" ca="1" si="5"/>
        <v>2018-02-21</v>
      </c>
    </row>
    <row r="17" spans="1:13" x14ac:dyDescent="0.3">
      <c r="A17" s="8" t="s">
        <v>5666</v>
      </c>
      <c r="B17" s="8">
        <f t="shared" si="0"/>
        <v>200015</v>
      </c>
      <c r="C17" s="1" t="s">
        <v>6942</v>
      </c>
      <c r="D17" s="8" t="str">
        <f xml:space="preserve"> "rg:{'id':'" &amp; VLOOKUP(C17,Project.csv!F:G,2,FALSE) &amp; "'}"</f>
        <v>rg:{'id':'200015'}</v>
      </c>
      <c r="E17" t="s">
        <v>6452</v>
      </c>
      <c r="F17" s="8" t="str">
        <f xml:space="preserve"> "rg:{'id':'" &amp; VLOOKUP(E17,LocalAreas.csv!F:J,5,FALSE) &amp; "'}"</f>
        <v>rg:{'id':'200075'}</v>
      </c>
      <c r="G17" s="9" t="s">
        <v>7043</v>
      </c>
      <c r="H17" s="9">
        <f ca="1">INDEX(DistrictEquipmentTypes.csv!D:D,RANDBETWEEN(2,15))</f>
        <v>200012</v>
      </c>
      <c r="I17" s="8" t="str">
        <f t="shared" ca="1" si="1"/>
        <v>rg:{ 'id': '200012'}</v>
      </c>
      <c r="J17" s="8">
        <f t="shared" ca="1" si="2"/>
        <v>1</v>
      </c>
      <c r="K17" s="8">
        <f t="shared" ca="1" si="3"/>
        <v>93</v>
      </c>
      <c r="L17" s="8" t="str">
        <f t="shared" ca="1" si="4"/>
        <v>2018-01-10</v>
      </c>
      <c r="M17" s="8" t="str">
        <f t="shared" ca="1" si="5"/>
        <v>2018-01-21</v>
      </c>
    </row>
    <row r="18" spans="1:13" x14ac:dyDescent="0.3">
      <c r="A18" s="8" t="s">
        <v>5666</v>
      </c>
      <c r="B18" s="8">
        <f t="shared" si="0"/>
        <v>200016</v>
      </c>
      <c r="C18" s="1" t="s">
        <v>6912</v>
      </c>
      <c r="D18" s="8" t="str">
        <f xml:space="preserve"> "rg:{'id':'" &amp; VLOOKUP(C18,Project.csv!F:G,2,FALSE) &amp; "'}"</f>
        <v>rg:{'id':'200016'}</v>
      </c>
      <c r="E18" t="s">
        <v>6452</v>
      </c>
      <c r="F18" s="8" t="str">
        <f xml:space="preserve"> "rg:{'id':'" &amp; VLOOKUP(E18,LocalAreas.csv!F:J,5,FALSE) &amp; "'}"</f>
        <v>rg:{'id':'200075'}</v>
      </c>
      <c r="G18" s="9" t="s">
        <v>7043</v>
      </c>
      <c r="H18" s="9">
        <f ca="1">INDEX(DistrictEquipmentTypes.csv!D:D,RANDBETWEEN(2,15))</f>
        <v>200003</v>
      </c>
      <c r="I18" s="8" t="str">
        <f t="shared" ca="1" si="1"/>
        <v>rg:{ 'id': '200003'}</v>
      </c>
      <c r="J18" s="8">
        <f t="shared" ca="1" si="2"/>
        <v>1</v>
      </c>
      <c r="K18" s="8">
        <f t="shared" ca="1" si="3"/>
        <v>62</v>
      </c>
      <c r="L18" s="8" t="str">
        <f t="shared" ca="1" si="4"/>
        <v>2017-12-31</v>
      </c>
      <c r="M18" s="8" t="str">
        <f t="shared" ca="1" si="5"/>
        <v>2018-01-07</v>
      </c>
    </row>
    <row r="19" spans="1:13" x14ac:dyDescent="0.3">
      <c r="A19" s="8" t="s">
        <v>5666</v>
      </c>
      <c r="B19" s="8">
        <f t="shared" si="0"/>
        <v>200017</v>
      </c>
      <c r="C19" s="1" t="s">
        <v>6943</v>
      </c>
      <c r="D19" s="8" t="str">
        <f xml:space="preserve"> "rg:{'id':'" &amp; VLOOKUP(C19,Project.csv!F:G,2,FALSE) &amp; "'}"</f>
        <v>rg:{'id':'200017'}</v>
      </c>
      <c r="E19" t="s">
        <v>6452</v>
      </c>
      <c r="F19" s="8" t="str">
        <f xml:space="preserve"> "rg:{'id':'" &amp; VLOOKUP(E19,LocalAreas.csv!F:J,5,FALSE) &amp; "'}"</f>
        <v>rg:{'id':'200075'}</v>
      </c>
      <c r="G19" s="9" t="s">
        <v>7043</v>
      </c>
      <c r="H19" s="9">
        <f ca="1">INDEX(DistrictEquipmentTypes.csv!D:D,RANDBETWEEN(2,15))</f>
        <v>200006</v>
      </c>
      <c r="I19" s="8" t="str">
        <f t="shared" ca="1" si="1"/>
        <v>rg:{ 'id': '200006'}</v>
      </c>
      <c r="J19" s="8">
        <f t="shared" ca="1" si="2"/>
        <v>1</v>
      </c>
      <c r="K19" s="8">
        <f t="shared" ca="1" si="3"/>
        <v>53</v>
      </c>
      <c r="L19" s="8" t="str">
        <f t="shared" ca="1" si="4"/>
        <v>2018-01-07</v>
      </c>
      <c r="M19" s="8" t="str">
        <f t="shared" ca="1" si="5"/>
        <v>2018-01-13</v>
      </c>
    </row>
    <row r="20" spans="1:13" x14ac:dyDescent="0.3">
      <c r="A20" s="8" t="s">
        <v>5666</v>
      </c>
      <c r="B20" s="8">
        <f t="shared" si="0"/>
        <v>200018</v>
      </c>
      <c r="C20" s="1" t="s">
        <v>6889</v>
      </c>
      <c r="D20" s="8" t="str">
        <f xml:space="preserve"> "rg:{'id':'" &amp; VLOOKUP(C20,Project.csv!F:G,2,FALSE) &amp; "'}"</f>
        <v>rg:{'id':'200018'}</v>
      </c>
      <c r="E20" t="s">
        <v>6452</v>
      </c>
      <c r="F20" s="8" t="str">
        <f xml:space="preserve"> "rg:{'id':'" &amp; VLOOKUP(E20,LocalAreas.csv!F:J,5,FALSE) &amp; "'}"</f>
        <v>rg:{'id':'200075'}</v>
      </c>
      <c r="G20" s="9" t="s">
        <v>7043</v>
      </c>
      <c r="H20" s="9">
        <f ca="1">INDEX(DistrictEquipmentTypes.csv!D:D,RANDBETWEEN(2,15))</f>
        <v>200001</v>
      </c>
      <c r="I20" s="8" t="str">
        <f t="shared" ca="1" si="1"/>
        <v>rg:{ 'id': '200001'}</v>
      </c>
      <c r="J20" s="8">
        <f t="shared" ca="1" si="2"/>
        <v>1</v>
      </c>
      <c r="K20" s="8">
        <f t="shared" ca="1" si="3"/>
        <v>74</v>
      </c>
      <c r="L20" s="8" t="str">
        <f t="shared" ca="1" si="4"/>
        <v>2018-01-17</v>
      </c>
      <c r="M20" s="8" t="str">
        <f t="shared" ca="1" si="5"/>
        <v>2018-01-26</v>
      </c>
    </row>
    <row r="21" spans="1:13" x14ac:dyDescent="0.3">
      <c r="A21" s="8" t="s">
        <v>5666</v>
      </c>
      <c r="B21" s="8">
        <f t="shared" si="0"/>
        <v>200019</v>
      </c>
      <c r="C21" s="1" t="s">
        <v>6944</v>
      </c>
      <c r="D21" s="8" t="str">
        <f xml:space="preserve"> "rg:{'id':'" &amp; VLOOKUP(C21,Project.csv!F:G,2,FALSE) &amp; "'}"</f>
        <v>rg:{'id':'200019'}</v>
      </c>
      <c r="E21" t="s">
        <v>6452</v>
      </c>
      <c r="F21" s="8" t="str">
        <f xml:space="preserve"> "rg:{'id':'" &amp; VLOOKUP(E21,LocalAreas.csv!F:J,5,FALSE) &amp; "'}"</f>
        <v>rg:{'id':'200075'}</v>
      </c>
      <c r="G21" s="9" t="s">
        <v>7043</v>
      </c>
      <c r="H21" s="9">
        <f ca="1">INDEX(DistrictEquipmentTypes.csv!D:D,RANDBETWEEN(2,15))</f>
        <v>200002</v>
      </c>
      <c r="I21" s="8" t="str">
        <f t="shared" ca="1" si="1"/>
        <v>rg:{ 'id': '200002'}</v>
      </c>
      <c r="J21" s="8">
        <f t="shared" ca="1" si="2"/>
        <v>1</v>
      </c>
      <c r="K21" s="8">
        <f t="shared" ca="1" si="3"/>
        <v>94</v>
      </c>
      <c r="L21" s="8" t="str">
        <f t="shared" ca="1" si="4"/>
        <v>2018-01-11</v>
      </c>
      <c r="M21" s="8" t="str">
        <f t="shared" ca="1" si="5"/>
        <v>2018-01-22</v>
      </c>
    </row>
    <row r="22" spans="1:13" x14ac:dyDescent="0.3">
      <c r="A22" s="8" t="s">
        <v>5666</v>
      </c>
      <c r="B22" s="8">
        <f t="shared" si="0"/>
        <v>200020</v>
      </c>
      <c r="C22" s="1" t="s">
        <v>6896</v>
      </c>
      <c r="D22" s="8" t="str">
        <f xml:space="preserve"> "rg:{'id':'" &amp; VLOOKUP(C22,Project.csv!F:G,2,FALSE) &amp; "'}"</f>
        <v>rg:{'id':'200020'}</v>
      </c>
      <c r="E22" t="s">
        <v>6452</v>
      </c>
      <c r="F22" s="8" t="str">
        <f xml:space="preserve"> "rg:{'id':'" &amp; VLOOKUP(E22,LocalAreas.csv!F:J,5,FALSE) &amp; "'}"</f>
        <v>rg:{'id':'200075'}</v>
      </c>
      <c r="G22" s="9" t="s">
        <v>7043</v>
      </c>
      <c r="H22" s="9">
        <f ca="1">INDEX(DistrictEquipmentTypes.csv!D:D,RANDBETWEEN(2,15))</f>
        <v>200003</v>
      </c>
      <c r="I22" s="8" t="str">
        <f t="shared" ca="1" si="1"/>
        <v>rg:{ 'id': '200003'}</v>
      </c>
      <c r="J22" s="8">
        <f t="shared" ca="1" si="2"/>
        <v>1</v>
      </c>
      <c r="K22" s="8">
        <f t="shared" ca="1" si="3"/>
        <v>69</v>
      </c>
      <c r="L22" s="8" t="str">
        <f t="shared" ca="1" si="4"/>
        <v>2018-02-08</v>
      </c>
      <c r="M22" s="8" t="str">
        <f t="shared" ca="1" si="5"/>
        <v>2018-02-16</v>
      </c>
    </row>
    <row r="23" spans="1:13" x14ac:dyDescent="0.3">
      <c r="A23" s="8" t="s">
        <v>5666</v>
      </c>
      <c r="B23" s="8">
        <f t="shared" si="0"/>
        <v>200021</v>
      </c>
      <c r="C23" s="1" t="s">
        <v>6945</v>
      </c>
      <c r="D23" s="8" t="str">
        <f xml:space="preserve"> "rg:{'id':'" &amp; VLOOKUP(C23,Project.csv!F:G,2,FALSE) &amp; "'}"</f>
        <v>rg:{'id':'200021'}</v>
      </c>
      <c r="E23" t="s">
        <v>6452</v>
      </c>
      <c r="F23" s="8" t="str">
        <f xml:space="preserve"> "rg:{'id':'" &amp; VLOOKUP(E23,LocalAreas.csv!F:J,5,FALSE) &amp; "'}"</f>
        <v>rg:{'id':'200075'}</v>
      </c>
      <c r="G23" s="9" t="s">
        <v>7043</v>
      </c>
      <c r="H23" s="9">
        <f ca="1">INDEX(DistrictEquipmentTypes.csv!D:D,RANDBETWEEN(2,15))</f>
        <v>200005</v>
      </c>
      <c r="I23" s="8" t="str">
        <f t="shared" ca="1" si="1"/>
        <v>rg:{ 'id': '200005'}</v>
      </c>
      <c r="J23" s="8">
        <f t="shared" ca="1" si="2"/>
        <v>5</v>
      </c>
      <c r="K23" s="8">
        <f t="shared" ca="1" si="3"/>
        <v>68</v>
      </c>
      <c r="L23" s="8" t="str">
        <f t="shared" ca="1" si="4"/>
        <v>2018-02-20</v>
      </c>
      <c r="M23" s="8" t="str">
        <f t="shared" ca="1" si="5"/>
        <v>2018-04-03</v>
      </c>
    </row>
    <row r="24" spans="1:13" x14ac:dyDescent="0.3">
      <c r="A24" s="8" t="s">
        <v>5666</v>
      </c>
      <c r="B24" s="8">
        <f t="shared" si="0"/>
        <v>200022</v>
      </c>
      <c r="C24" s="1" t="s">
        <v>6888</v>
      </c>
      <c r="D24" s="8" t="str">
        <f xml:space="preserve"> "rg:{'id':'" &amp; VLOOKUP(C24,Project.csv!F:G,2,FALSE) &amp; "'}"</f>
        <v>rg:{'id':'200022'}</v>
      </c>
      <c r="E24" t="s">
        <v>6452</v>
      </c>
      <c r="F24" s="8" t="str">
        <f xml:space="preserve"> "rg:{'id':'" &amp; VLOOKUP(E24,LocalAreas.csv!F:J,5,FALSE) &amp; "'}"</f>
        <v>rg:{'id':'200075'}</v>
      </c>
      <c r="G24" s="9" t="s">
        <v>7043</v>
      </c>
      <c r="H24" s="9">
        <f ca="1">INDEX(DistrictEquipmentTypes.csv!D:D,RANDBETWEEN(2,15))</f>
        <v>200007</v>
      </c>
      <c r="I24" s="8" t="str">
        <f t="shared" ca="1" si="1"/>
        <v>rg:{ 'id': '200007'}</v>
      </c>
      <c r="J24" s="8">
        <f t="shared" ca="1" si="2"/>
        <v>1</v>
      </c>
      <c r="K24" s="8">
        <f t="shared" ca="1" si="3"/>
        <v>59</v>
      </c>
      <c r="L24" s="8" t="str">
        <f t="shared" ca="1" si="4"/>
        <v>2018-02-07</v>
      </c>
      <c r="M24" s="8" t="str">
        <f t="shared" ca="1" si="5"/>
        <v>2018-02-14</v>
      </c>
    </row>
    <row r="25" spans="1:13" x14ac:dyDescent="0.3">
      <c r="A25" s="8" t="s">
        <v>5666</v>
      </c>
      <c r="B25" s="8">
        <f t="shared" si="0"/>
        <v>200023</v>
      </c>
      <c r="C25" s="1" t="s">
        <v>6946</v>
      </c>
      <c r="D25" s="8" t="str">
        <f xml:space="preserve"> "rg:{'id':'" &amp; VLOOKUP(C25,Project.csv!F:G,2,FALSE) &amp; "'}"</f>
        <v>rg:{'id':'200023'}</v>
      </c>
      <c r="E25" t="s">
        <v>6452</v>
      </c>
      <c r="F25" s="8" t="str">
        <f xml:space="preserve"> "rg:{'id':'" &amp; VLOOKUP(E25,LocalAreas.csv!F:J,5,FALSE) &amp; "'}"</f>
        <v>rg:{'id':'200075'}</v>
      </c>
      <c r="G25" s="9" t="s">
        <v>7043</v>
      </c>
      <c r="H25" s="9">
        <f ca="1">INDEX(DistrictEquipmentTypes.csv!D:D,RANDBETWEEN(2,15))</f>
        <v>200009</v>
      </c>
      <c r="I25" s="8" t="str">
        <f t="shared" ca="1" si="1"/>
        <v>rg:{ 'id': '200009'}</v>
      </c>
      <c r="J25" s="8">
        <f t="shared" ca="1" si="2"/>
        <v>1</v>
      </c>
      <c r="K25" s="8">
        <f t="shared" ca="1" si="3"/>
        <v>31</v>
      </c>
      <c r="L25" s="8" t="str">
        <f t="shared" ca="1" si="4"/>
        <v>2018-02-02</v>
      </c>
      <c r="M25" s="8" t="str">
        <f t="shared" ca="1" si="5"/>
        <v>2018-02-05</v>
      </c>
    </row>
    <row r="26" spans="1:13" x14ac:dyDescent="0.3">
      <c r="A26" s="8" t="s">
        <v>5666</v>
      </c>
      <c r="B26" s="8">
        <f t="shared" si="0"/>
        <v>200024</v>
      </c>
      <c r="C26" s="1" t="s">
        <v>6947</v>
      </c>
      <c r="D26" s="8" t="str">
        <f xml:space="preserve"> "rg:{'id':'" &amp; VLOOKUP(C26,Project.csv!F:G,2,FALSE) &amp; "'}"</f>
        <v>rg:{'id':'200024'}</v>
      </c>
      <c r="E26" t="s">
        <v>6452</v>
      </c>
      <c r="F26" s="8" t="str">
        <f xml:space="preserve"> "rg:{'id':'" &amp; VLOOKUP(E26,LocalAreas.csv!F:J,5,FALSE) &amp; "'}"</f>
        <v>rg:{'id':'200075'}</v>
      </c>
      <c r="G26" s="9" t="s">
        <v>7043</v>
      </c>
      <c r="H26" s="9">
        <f ca="1">INDEX(DistrictEquipmentTypes.csv!D:D,RANDBETWEEN(2,15))</f>
        <v>200008</v>
      </c>
      <c r="I26" s="8" t="str">
        <f t="shared" ca="1" si="1"/>
        <v>rg:{ 'id': '200008'}</v>
      </c>
      <c r="J26" s="8">
        <f t="shared" ca="1" si="2"/>
        <v>1</v>
      </c>
      <c r="K26" s="8">
        <f t="shared" ca="1" si="3"/>
        <v>85</v>
      </c>
      <c r="L26" s="8" t="str">
        <f t="shared" ca="1" si="4"/>
        <v>2018-01-24</v>
      </c>
      <c r="M26" s="8" t="str">
        <f t="shared" ca="1" si="5"/>
        <v>2018-02-03</v>
      </c>
    </row>
    <row r="27" spans="1:13" x14ac:dyDescent="0.3">
      <c r="A27" s="8" t="s">
        <v>5666</v>
      </c>
      <c r="B27" s="8">
        <f t="shared" si="0"/>
        <v>200025</v>
      </c>
      <c r="C27" s="1" t="s">
        <v>6907</v>
      </c>
      <c r="D27" s="8" t="str">
        <f xml:space="preserve"> "rg:{'id':'" &amp; VLOOKUP(C27,Project.csv!F:G,2,FALSE) &amp; "'}"</f>
        <v>rg:{'id':'200025'}</v>
      </c>
      <c r="E27" t="s">
        <v>6452</v>
      </c>
      <c r="F27" s="8" t="str">
        <f xml:space="preserve"> "rg:{'id':'" &amp; VLOOKUP(E27,LocalAreas.csv!F:J,5,FALSE) &amp; "'}"</f>
        <v>rg:{'id':'200075'}</v>
      </c>
      <c r="G27" s="9" t="s">
        <v>7043</v>
      </c>
      <c r="H27" s="9">
        <f ca="1">INDEX(DistrictEquipmentTypes.csv!D:D,RANDBETWEEN(2,15))</f>
        <v>200012</v>
      </c>
      <c r="I27" s="8" t="str">
        <f t="shared" ca="1" si="1"/>
        <v>rg:{ 'id': '200012'}</v>
      </c>
      <c r="J27" s="8">
        <f t="shared" ca="1" si="2"/>
        <v>1</v>
      </c>
      <c r="K27" s="8">
        <f t="shared" ca="1" si="3"/>
        <v>80</v>
      </c>
      <c r="L27" s="8" t="str">
        <f t="shared" ca="1" si="4"/>
        <v>2018-01-17</v>
      </c>
      <c r="M27" s="8" t="str">
        <f t="shared" ca="1" si="5"/>
        <v>2018-01-27</v>
      </c>
    </row>
    <row r="28" spans="1:13" x14ac:dyDescent="0.3">
      <c r="A28" s="8" t="s">
        <v>5666</v>
      </c>
      <c r="B28" s="8">
        <f t="shared" si="0"/>
        <v>200026</v>
      </c>
      <c r="C28" s="1" t="s">
        <v>6948</v>
      </c>
      <c r="D28" s="8" t="str">
        <f xml:space="preserve"> "rg:{'id':'" &amp; VLOOKUP(C28,Project.csv!F:G,2,FALSE) &amp; "'}"</f>
        <v>rg:{'id':'200026'}</v>
      </c>
      <c r="E28" t="s">
        <v>6452</v>
      </c>
      <c r="F28" s="8" t="str">
        <f xml:space="preserve"> "rg:{'id':'" &amp; VLOOKUP(E28,LocalAreas.csv!F:J,5,FALSE) &amp; "'}"</f>
        <v>rg:{'id':'200075'}</v>
      </c>
      <c r="G28" s="9" t="s">
        <v>7043</v>
      </c>
      <c r="H28" s="9">
        <f ca="1">INDEX(DistrictEquipmentTypes.csv!D:D,RANDBETWEEN(2,15))</f>
        <v>200001</v>
      </c>
      <c r="I28" s="8" t="str">
        <f t="shared" ca="1" si="1"/>
        <v>rg:{ 'id': '200001'}</v>
      </c>
      <c r="J28" s="8">
        <f t="shared" ca="1" si="2"/>
        <v>1</v>
      </c>
      <c r="K28" s="8">
        <f t="shared" ca="1" si="3"/>
        <v>51</v>
      </c>
      <c r="L28" s="8" t="str">
        <f t="shared" ca="1" si="4"/>
        <v>2018-01-12</v>
      </c>
      <c r="M28" s="8" t="str">
        <f t="shared" ca="1" si="5"/>
        <v>2018-01-18</v>
      </c>
    </row>
    <row r="29" spans="1:13" x14ac:dyDescent="0.3">
      <c r="A29" s="8" t="s">
        <v>5666</v>
      </c>
      <c r="B29" s="8">
        <f t="shared" si="0"/>
        <v>200027</v>
      </c>
      <c r="C29" s="1" t="s">
        <v>6922</v>
      </c>
      <c r="D29" s="8" t="str">
        <f xml:space="preserve"> "rg:{'id':'" &amp; VLOOKUP(C29,Project.csv!F:G,2,FALSE) &amp; "'}"</f>
        <v>rg:{'id':'200027'}</v>
      </c>
      <c r="E29" t="s">
        <v>6452</v>
      </c>
      <c r="F29" s="8" t="str">
        <f xml:space="preserve"> "rg:{'id':'" &amp; VLOOKUP(E29,LocalAreas.csv!F:J,5,FALSE) &amp; "'}"</f>
        <v>rg:{'id':'200075'}</v>
      </c>
      <c r="G29" s="9" t="s">
        <v>7043</v>
      </c>
      <c r="H29" s="9">
        <f ca="1">INDEX(DistrictEquipmentTypes.csv!D:D,RANDBETWEEN(2,15))</f>
        <v>200013</v>
      </c>
      <c r="I29" s="8" t="str">
        <f t="shared" ca="1" si="1"/>
        <v>rg:{ 'id': '200013'}</v>
      </c>
      <c r="J29" s="8">
        <f t="shared" ca="1" si="2"/>
        <v>1</v>
      </c>
      <c r="K29" s="8">
        <f t="shared" ca="1" si="3"/>
        <v>67</v>
      </c>
      <c r="L29" s="8" t="str">
        <f t="shared" ca="1" si="4"/>
        <v>2018-01-25</v>
      </c>
      <c r="M29" s="8" t="str">
        <f t="shared" ca="1" si="5"/>
        <v>2018-02-02</v>
      </c>
    </row>
    <row r="30" spans="1:13" x14ac:dyDescent="0.3">
      <c r="A30" s="8" t="s">
        <v>5666</v>
      </c>
      <c r="B30" s="8">
        <f t="shared" si="0"/>
        <v>200028</v>
      </c>
      <c r="C30" s="1" t="s">
        <v>6949</v>
      </c>
      <c r="D30" s="8" t="str">
        <f xml:space="preserve"> "rg:{'id':'" &amp; VLOOKUP(C30,Project.csv!F:G,2,FALSE) &amp; "'}"</f>
        <v>rg:{'id':'200028'}</v>
      </c>
      <c r="E30" t="s">
        <v>6452</v>
      </c>
      <c r="F30" s="8" t="str">
        <f xml:space="preserve"> "rg:{'id':'" &amp; VLOOKUP(E30,LocalAreas.csv!F:J,5,FALSE) &amp; "'}"</f>
        <v>rg:{'id':'200075'}</v>
      </c>
      <c r="G30" s="9" t="s">
        <v>7043</v>
      </c>
      <c r="H30" s="9">
        <f ca="1">INDEX(DistrictEquipmentTypes.csv!D:D,RANDBETWEEN(2,15))</f>
        <v>200006</v>
      </c>
      <c r="I30" s="8" t="str">
        <f t="shared" ca="1" si="1"/>
        <v>rg:{ 'id': '200006'}</v>
      </c>
      <c r="J30" s="8">
        <f t="shared" ca="1" si="2"/>
        <v>1</v>
      </c>
      <c r="K30" s="8">
        <f t="shared" ca="1" si="3"/>
        <v>7</v>
      </c>
      <c r="L30" s="8" t="str">
        <f t="shared" ca="1" si="4"/>
        <v>2017-12-29</v>
      </c>
      <c r="M30" s="8" t="str">
        <f t="shared" ca="1" si="5"/>
        <v>2017-12-29</v>
      </c>
    </row>
    <row r="31" spans="1:13" x14ac:dyDescent="0.3">
      <c r="A31" s="8" t="s">
        <v>5666</v>
      </c>
      <c r="B31" s="8">
        <f t="shared" si="0"/>
        <v>200029</v>
      </c>
      <c r="C31" s="1" t="s">
        <v>6950</v>
      </c>
      <c r="D31" s="8" t="str">
        <f xml:space="preserve"> "rg:{'id':'" &amp; VLOOKUP(C31,Project.csv!F:G,2,FALSE) &amp; "'}"</f>
        <v>rg:{'id':'200029'}</v>
      </c>
      <c r="E31" t="s">
        <v>6452</v>
      </c>
      <c r="F31" s="8" t="str">
        <f xml:space="preserve"> "rg:{'id':'" &amp; VLOOKUP(E31,LocalAreas.csv!F:J,5,FALSE) &amp; "'}"</f>
        <v>rg:{'id':'200075'}</v>
      </c>
      <c r="G31" s="9" t="s">
        <v>7043</v>
      </c>
      <c r="H31" s="9">
        <f ca="1">INDEX(DistrictEquipmentTypes.csv!D:D,RANDBETWEEN(2,15))</f>
        <v>200007</v>
      </c>
      <c r="I31" s="8" t="str">
        <f t="shared" ca="1" si="1"/>
        <v>rg:{ 'id': '200007'}</v>
      </c>
      <c r="J31" s="8">
        <f t="shared" ca="1" si="2"/>
        <v>1</v>
      </c>
      <c r="K31" s="8">
        <f t="shared" ca="1" si="3"/>
        <v>16</v>
      </c>
      <c r="L31" s="8" t="str">
        <f t="shared" ca="1" si="4"/>
        <v>2018-01-30</v>
      </c>
      <c r="M31" s="8" t="str">
        <f t="shared" ca="1" si="5"/>
        <v>2018-02-01</v>
      </c>
    </row>
    <row r="32" spans="1:13" x14ac:dyDescent="0.3">
      <c r="A32" s="8" t="s">
        <v>5666</v>
      </c>
      <c r="B32" s="8">
        <f t="shared" si="0"/>
        <v>200030</v>
      </c>
      <c r="C32" s="1" t="s">
        <v>6951</v>
      </c>
      <c r="D32" s="8" t="str">
        <f xml:space="preserve"> "rg:{'id':'" &amp; VLOOKUP(C32,Project.csv!F:G,2,FALSE) &amp; "'}"</f>
        <v>rg:{'id':'200030'}</v>
      </c>
      <c r="E32" t="s">
        <v>6452</v>
      </c>
      <c r="F32" s="8" t="str">
        <f xml:space="preserve"> "rg:{'id':'" &amp; VLOOKUP(E32,LocalAreas.csv!F:J,5,FALSE) &amp; "'}"</f>
        <v>rg:{'id':'200075'}</v>
      </c>
      <c r="G32" s="9" t="s">
        <v>7043</v>
      </c>
      <c r="H32" s="9">
        <f ca="1">INDEX(DistrictEquipmentTypes.csv!D:D,RANDBETWEEN(2,15))</f>
        <v>200008</v>
      </c>
      <c r="I32" s="8" t="str">
        <f t="shared" ca="1" si="1"/>
        <v>rg:{ 'id': '200008'}</v>
      </c>
      <c r="J32" s="8">
        <f t="shared" ca="1" si="2"/>
        <v>1</v>
      </c>
      <c r="K32" s="8">
        <f t="shared" ca="1" si="3"/>
        <v>13</v>
      </c>
      <c r="L32" s="8" t="str">
        <f t="shared" ca="1" si="4"/>
        <v>2018-02-21</v>
      </c>
      <c r="M32" s="8" t="str">
        <f t="shared" ca="1" si="5"/>
        <v>2018-02-22</v>
      </c>
    </row>
    <row r="33" spans="1:13" x14ac:dyDescent="0.3">
      <c r="A33" s="8" t="s">
        <v>5666</v>
      </c>
      <c r="B33" s="8">
        <f t="shared" si="0"/>
        <v>200031</v>
      </c>
      <c r="C33" s="1" t="s">
        <v>6952</v>
      </c>
      <c r="D33" s="8" t="str">
        <f xml:space="preserve"> "rg:{'id':'" &amp; VLOOKUP(C33,Project.csv!F:G,2,FALSE) &amp; "'}"</f>
        <v>rg:{'id':'200031'}</v>
      </c>
      <c r="E33" t="s">
        <v>6453</v>
      </c>
      <c r="F33" s="8" t="str">
        <f xml:space="preserve"> "rg:{'id':'" &amp; VLOOKUP(E33,LocalAreas.csv!F:J,5,FALSE) &amp; "'}"</f>
        <v>rg:{'id':'200076'}</v>
      </c>
      <c r="G33" s="9" t="s">
        <v>7043</v>
      </c>
      <c r="H33" s="9">
        <f ca="1">INDEX(DistrictEquipmentTypes.csv!D:D,RANDBETWEEN(2,15))</f>
        <v>200000</v>
      </c>
      <c r="I33" s="8" t="str">
        <f t="shared" ca="1" si="1"/>
        <v>rg:{ 'id': '200000'}</v>
      </c>
      <c r="J33" s="8">
        <f t="shared" ca="1" si="2"/>
        <v>2</v>
      </c>
      <c r="K33" s="8">
        <f t="shared" ca="1" si="3"/>
        <v>80</v>
      </c>
      <c r="L33" s="8" t="str">
        <f t="shared" ca="1" si="4"/>
        <v>2018-01-13</v>
      </c>
      <c r="M33" s="8" t="str">
        <f t="shared" ca="1" si="5"/>
        <v>2018-02-02</v>
      </c>
    </row>
    <row r="34" spans="1:13" x14ac:dyDescent="0.3">
      <c r="A34" s="8" t="s">
        <v>5666</v>
      </c>
      <c r="B34" s="8">
        <f t="shared" si="0"/>
        <v>200032</v>
      </c>
      <c r="C34" s="1" t="s">
        <v>6953</v>
      </c>
      <c r="D34" s="8" t="str">
        <f xml:space="preserve"> "rg:{'id':'" &amp; VLOOKUP(C34,Project.csv!F:G,2,FALSE) &amp; "'}"</f>
        <v>rg:{'id':'200032'}</v>
      </c>
      <c r="E34" t="s">
        <v>6453</v>
      </c>
      <c r="F34" s="8" t="str">
        <f xml:space="preserve"> "rg:{'id':'" &amp; VLOOKUP(E34,LocalAreas.csv!F:J,5,FALSE) &amp; "'}"</f>
        <v>rg:{'id':'200076'}</v>
      </c>
      <c r="G34" s="9" t="s">
        <v>7043</v>
      </c>
      <c r="H34" s="9">
        <f ca="1">INDEX(DistrictEquipmentTypes.csv!D:D,RANDBETWEEN(2,15))</f>
        <v>200005</v>
      </c>
      <c r="I34" s="8" t="str">
        <f t="shared" ca="1" si="1"/>
        <v>rg:{ 'id': '200005'}</v>
      </c>
      <c r="J34" s="8">
        <f t="shared" ca="1" si="2"/>
        <v>1</v>
      </c>
      <c r="K34" s="8">
        <f t="shared" ca="1" si="3"/>
        <v>26</v>
      </c>
      <c r="L34" s="8" t="str">
        <f t="shared" ca="1" si="4"/>
        <v>2018-02-13</v>
      </c>
      <c r="M34" s="8" t="str">
        <f t="shared" ca="1" si="5"/>
        <v>2018-02-16</v>
      </c>
    </row>
    <row r="35" spans="1:13" x14ac:dyDescent="0.3">
      <c r="A35" s="8" t="s">
        <v>5666</v>
      </c>
      <c r="B35" s="8">
        <f t="shared" si="0"/>
        <v>200033</v>
      </c>
      <c r="C35" s="1" t="s">
        <v>6898</v>
      </c>
      <c r="D35" s="8" t="str">
        <f xml:space="preserve"> "rg:{'id':'" &amp; VLOOKUP(C35,Project.csv!F:G,2,FALSE) &amp; "'}"</f>
        <v>rg:{'id':'200033'}</v>
      </c>
      <c r="E35" t="s">
        <v>6453</v>
      </c>
      <c r="F35" s="8" t="str">
        <f xml:space="preserve"> "rg:{'id':'" &amp; VLOOKUP(E35,LocalAreas.csv!F:J,5,FALSE) &amp; "'}"</f>
        <v>rg:{'id':'200076'}</v>
      </c>
      <c r="G35" s="9" t="s">
        <v>7043</v>
      </c>
      <c r="H35" s="9">
        <f ca="1">INDEX(DistrictEquipmentTypes.csv!D:D,RANDBETWEEN(2,15))</f>
        <v>200006</v>
      </c>
      <c r="I35" s="8" t="str">
        <f t="shared" ca="1" si="1"/>
        <v>rg:{ 'id': '200006'}</v>
      </c>
      <c r="J35" s="8">
        <f t="shared" ca="1" si="2"/>
        <v>1</v>
      </c>
      <c r="K35" s="8">
        <f t="shared" ca="1" si="3"/>
        <v>50</v>
      </c>
      <c r="L35" s="8" t="str">
        <f t="shared" ca="1" si="4"/>
        <v>2018-01-08</v>
      </c>
      <c r="M35" s="8" t="str">
        <f t="shared" ca="1" si="5"/>
        <v>2018-01-14</v>
      </c>
    </row>
    <row r="36" spans="1:13" x14ac:dyDescent="0.3">
      <c r="A36" s="8" t="s">
        <v>5666</v>
      </c>
      <c r="B36" s="8">
        <f t="shared" si="0"/>
        <v>200034</v>
      </c>
      <c r="C36" s="1" t="s">
        <v>6904</v>
      </c>
      <c r="D36" s="8" t="str">
        <f xml:space="preserve"> "rg:{'id':'" &amp; VLOOKUP(C36,Project.csv!F:G,2,FALSE) &amp; "'}"</f>
        <v>rg:{'id':'200034'}</v>
      </c>
      <c r="E36" t="s">
        <v>6453</v>
      </c>
      <c r="F36" s="8" t="str">
        <f xml:space="preserve"> "rg:{'id':'" &amp; VLOOKUP(E36,LocalAreas.csv!F:J,5,FALSE) &amp; "'}"</f>
        <v>rg:{'id':'200076'}</v>
      </c>
      <c r="G36" s="9" t="s">
        <v>7044</v>
      </c>
      <c r="H36" s="9">
        <f ca="1">INDEX(DistrictEquipmentTypes.csv!D:D,RANDBETWEEN(2,15))</f>
        <v>200003</v>
      </c>
      <c r="I36" s="8" t="str">
        <f t="shared" ca="1" si="1"/>
        <v>rg:{ 'id': '200003'}</v>
      </c>
      <c r="J36" s="8">
        <f t="shared" ca="1" si="2"/>
        <v>2</v>
      </c>
      <c r="K36" s="8">
        <f t="shared" ca="1" si="3"/>
        <v>93</v>
      </c>
      <c r="L36" s="8" t="str">
        <f t="shared" ca="1" si="4"/>
        <v>2018-01-19</v>
      </c>
      <c r="M36" s="8" t="str">
        <f t="shared" ca="1" si="5"/>
        <v>2018-02-11</v>
      </c>
    </row>
    <row r="37" spans="1:13" x14ac:dyDescent="0.3">
      <c r="A37" s="8" t="s">
        <v>5666</v>
      </c>
      <c r="B37" s="8">
        <f t="shared" si="0"/>
        <v>200035</v>
      </c>
      <c r="C37" s="1" t="s">
        <v>6954</v>
      </c>
      <c r="D37" s="8" t="str">
        <f xml:space="preserve"> "rg:{'id':'" &amp; VLOOKUP(C37,Project.csv!F:G,2,FALSE) &amp; "'}"</f>
        <v>rg:{'id':'200035'}</v>
      </c>
      <c r="E37" t="s">
        <v>6453</v>
      </c>
      <c r="F37" s="8" t="str">
        <f xml:space="preserve"> "rg:{'id':'" &amp; VLOOKUP(E37,LocalAreas.csv!F:J,5,FALSE) &amp; "'}"</f>
        <v>rg:{'id':'200076'}</v>
      </c>
      <c r="G37" s="9" t="s">
        <v>7044</v>
      </c>
      <c r="H37" s="9">
        <f ca="1">INDEX(DistrictEquipmentTypes.csv!D:D,RANDBETWEEN(2,15))</f>
        <v>200008</v>
      </c>
      <c r="I37" s="8" t="str">
        <f t="shared" ca="1" si="1"/>
        <v>rg:{ 'id': '200008'}</v>
      </c>
      <c r="J37" s="8">
        <f t="shared" ca="1" si="2"/>
        <v>1</v>
      </c>
      <c r="K37" s="8">
        <f t="shared" ca="1" si="3"/>
        <v>34</v>
      </c>
      <c r="L37" s="8" t="str">
        <f t="shared" ca="1" si="4"/>
        <v>2018-01-15</v>
      </c>
      <c r="M37" s="8" t="str">
        <f t="shared" ca="1" si="5"/>
        <v>2018-01-19</v>
      </c>
    </row>
    <row r="38" spans="1:13" x14ac:dyDescent="0.3">
      <c r="A38" s="8" t="s">
        <v>5666</v>
      </c>
      <c r="B38" s="8">
        <f t="shared" si="0"/>
        <v>200036</v>
      </c>
      <c r="C38" s="1" t="s">
        <v>6955</v>
      </c>
      <c r="D38" s="8" t="str">
        <f xml:space="preserve"> "rg:{'id':'" &amp; VLOOKUP(C38,Project.csv!F:G,2,FALSE) &amp; "'}"</f>
        <v>rg:{'id':'200036'}</v>
      </c>
      <c r="E38" t="s">
        <v>6453</v>
      </c>
      <c r="F38" s="8" t="str">
        <f xml:space="preserve"> "rg:{'id':'" &amp; VLOOKUP(E38,LocalAreas.csv!F:J,5,FALSE) &amp; "'}"</f>
        <v>rg:{'id':'200076'}</v>
      </c>
      <c r="G38" s="9" t="s">
        <v>7043</v>
      </c>
      <c r="H38" s="9">
        <f ca="1">INDEX(DistrictEquipmentTypes.csv!D:D,RANDBETWEEN(2,15))</f>
        <v>200000</v>
      </c>
      <c r="I38" s="8" t="str">
        <f t="shared" ca="1" si="1"/>
        <v>rg:{ 'id': '200000'}</v>
      </c>
      <c r="J38" s="8">
        <f t="shared" ca="1" si="2"/>
        <v>1</v>
      </c>
      <c r="K38" s="8">
        <f t="shared" ca="1" si="3"/>
        <v>67</v>
      </c>
      <c r="L38" s="8" t="str">
        <f t="shared" ca="1" si="4"/>
        <v>2018-01-12</v>
      </c>
      <c r="M38" s="8" t="str">
        <f t="shared" ca="1" si="5"/>
        <v>2018-01-20</v>
      </c>
    </row>
    <row r="39" spans="1:13" x14ac:dyDescent="0.3">
      <c r="A39" s="8" t="s">
        <v>5666</v>
      </c>
      <c r="B39" s="8">
        <f t="shared" si="0"/>
        <v>200037</v>
      </c>
      <c r="C39" s="1" t="s">
        <v>6956</v>
      </c>
      <c r="D39" s="8" t="str">
        <f xml:space="preserve"> "rg:{'id':'" &amp; VLOOKUP(C39,Project.csv!F:G,2,FALSE) &amp; "'}"</f>
        <v>rg:{'id':'200037'}</v>
      </c>
      <c r="E39" t="s">
        <v>6453</v>
      </c>
      <c r="F39" s="8" t="str">
        <f xml:space="preserve"> "rg:{'id':'" &amp; VLOOKUP(E39,LocalAreas.csv!F:J,5,FALSE) &amp; "'}"</f>
        <v>rg:{'id':'200076'}</v>
      </c>
      <c r="G39" s="9" t="s">
        <v>7043</v>
      </c>
      <c r="H39" s="9">
        <f ca="1">INDEX(DistrictEquipmentTypes.csv!D:D,RANDBETWEEN(2,15))</f>
        <v>200003</v>
      </c>
      <c r="I39" s="8" t="str">
        <f t="shared" ca="1" si="1"/>
        <v>rg:{ 'id': '200003'}</v>
      </c>
      <c r="J39" s="8">
        <f t="shared" ca="1" si="2"/>
        <v>1</v>
      </c>
      <c r="K39" s="8">
        <f t="shared" ca="1" si="3"/>
        <v>27</v>
      </c>
      <c r="L39" s="8" t="str">
        <f t="shared" ca="1" si="4"/>
        <v>2018-01-20</v>
      </c>
      <c r="M39" s="8" t="str">
        <f t="shared" ca="1" si="5"/>
        <v>2018-01-23</v>
      </c>
    </row>
    <row r="40" spans="1:13" x14ac:dyDescent="0.3">
      <c r="A40" s="8" t="s">
        <v>5666</v>
      </c>
      <c r="B40" s="8">
        <f t="shared" si="0"/>
        <v>200038</v>
      </c>
      <c r="C40" s="1" t="s">
        <v>6931</v>
      </c>
      <c r="D40" s="8" t="str">
        <f xml:space="preserve"> "rg:{'id':'" &amp; VLOOKUP(C40,Project.csv!F:G,2,FALSE) &amp; "'}"</f>
        <v>rg:{'id':'200000'}</v>
      </c>
      <c r="E40" t="s">
        <v>6453</v>
      </c>
      <c r="F40" s="8" t="str">
        <f xml:space="preserve"> "rg:{'id':'" &amp; VLOOKUP(E40,LocalAreas.csv!F:J,5,FALSE) &amp; "'}"</f>
        <v>rg:{'id':'200076'}</v>
      </c>
      <c r="G40" s="9" t="s">
        <v>7043</v>
      </c>
      <c r="H40" s="9">
        <f ca="1">INDEX(DistrictEquipmentTypes.csv!D:D,RANDBETWEEN(2,15))</f>
        <v>200005</v>
      </c>
      <c r="I40" s="8" t="str">
        <f t="shared" ca="1" si="1"/>
        <v>rg:{ 'id': '200005'}</v>
      </c>
      <c r="J40" s="8">
        <f t="shared" ca="1" si="2"/>
        <v>1</v>
      </c>
      <c r="K40" s="8">
        <f t="shared" ca="1" si="3"/>
        <v>91</v>
      </c>
      <c r="L40" s="8" t="str">
        <f t="shared" ca="1" si="4"/>
        <v>2017-12-28</v>
      </c>
      <c r="M40" s="8" t="str">
        <f t="shared" ca="1" si="5"/>
        <v>2018-01-08</v>
      </c>
    </row>
    <row r="41" spans="1:13" x14ac:dyDescent="0.3">
      <c r="A41" s="8" t="s">
        <v>5666</v>
      </c>
      <c r="B41" s="8">
        <f t="shared" si="0"/>
        <v>200039</v>
      </c>
      <c r="C41" s="1" t="s">
        <v>6926</v>
      </c>
      <c r="D41" s="8" t="str">
        <f xml:space="preserve"> "rg:{'id':'" &amp; VLOOKUP(C41,Project.csv!F:G,2,FALSE) &amp; "'}"</f>
        <v>rg:{'id':'200001'}</v>
      </c>
      <c r="E41" t="s">
        <v>6453</v>
      </c>
      <c r="F41" s="8" t="str">
        <f xml:space="preserve"> "rg:{'id':'" &amp; VLOOKUP(E41,LocalAreas.csv!F:J,5,FALSE) &amp; "'}"</f>
        <v>rg:{'id':'200076'}</v>
      </c>
      <c r="G41" s="9" t="s">
        <v>7043</v>
      </c>
      <c r="H41" s="9">
        <f ca="1">INDEX(DistrictEquipmentTypes.csv!D:D,RANDBETWEEN(2,15))</f>
        <v>200006</v>
      </c>
      <c r="I41" s="8" t="str">
        <f t="shared" ca="1" si="1"/>
        <v>rg:{ 'id': '200006'}</v>
      </c>
      <c r="J41" s="8">
        <f t="shared" ca="1" si="2"/>
        <v>1</v>
      </c>
      <c r="K41" s="8">
        <f t="shared" ca="1" si="3"/>
        <v>80</v>
      </c>
      <c r="L41" s="8" t="str">
        <f t="shared" ca="1" si="4"/>
        <v>2018-01-19</v>
      </c>
      <c r="M41" s="8" t="str">
        <f t="shared" ca="1" si="5"/>
        <v>2018-01-29</v>
      </c>
    </row>
    <row r="42" spans="1:13" x14ac:dyDescent="0.3">
      <c r="A42" s="8" t="s">
        <v>5666</v>
      </c>
      <c r="B42" s="8">
        <f t="shared" si="0"/>
        <v>200040</v>
      </c>
      <c r="C42" s="1" t="s">
        <v>6932</v>
      </c>
      <c r="D42" s="8" t="str">
        <f xml:space="preserve"> "rg:{'id':'" &amp; VLOOKUP(C42,Project.csv!F:G,2,FALSE) &amp; "'}"</f>
        <v>rg:{'id':'200002'}</v>
      </c>
      <c r="E42" t="s">
        <v>6453</v>
      </c>
      <c r="F42" s="8" t="str">
        <f xml:space="preserve"> "rg:{'id':'" &amp; VLOOKUP(E42,LocalAreas.csv!F:J,5,FALSE) &amp; "'}"</f>
        <v>rg:{'id':'200076'}</v>
      </c>
      <c r="G42" s="9" t="s">
        <v>7043</v>
      </c>
      <c r="H42" s="9">
        <f ca="1">INDEX(DistrictEquipmentTypes.csv!D:D,RANDBETWEEN(2,15))</f>
        <v>200009</v>
      </c>
      <c r="I42" s="8" t="str">
        <f t="shared" ca="1" si="1"/>
        <v>rg:{ 'id': '200009'}</v>
      </c>
      <c r="J42" s="8">
        <f t="shared" ca="1" si="2"/>
        <v>3</v>
      </c>
      <c r="K42" s="8">
        <f t="shared" ca="1" si="3"/>
        <v>75</v>
      </c>
      <c r="L42" s="8" t="str">
        <f t="shared" ca="1" si="4"/>
        <v>2018-01-15</v>
      </c>
      <c r="M42" s="8" t="str">
        <f t="shared" ca="1" si="5"/>
        <v>2018-02-12</v>
      </c>
    </row>
    <row r="43" spans="1:13" x14ac:dyDescent="0.3">
      <c r="A43" s="8" t="s">
        <v>5666</v>
      </c>
      <c r="B43" s="8">
        <f t="shared" si="0"/>
        <v>200041</v>
      </c>
      <c r="C43" s="1" t="s">
        <v>6933</v>
      </c>
      <c r="D43" s="8" t="str">
        <f xml:space="preserve"> "rg:{'id':'" &amp; VLOOKUP(C43,Project.csv!F:G,2,FALSE) &amp; "'}"</f>
        <v>rg:{'id':'200003'}</v>
      </c>
      <c r="E43" t="s">
        <v>6453</v>
      </c>
      <c r="F43" s="8" t="str">
        <f xml:space="preserve"> "rg:{'id':'" &amp; VLOOKUP(E43,LocalAreas.csv!F:J,5,FALSE) &amp; "'}"</f>
        <v>rg:{'id':'200076'}</v>
      </c>
      <c r="G43" s="9" t="s">
        <v>7043</v>
      </c>
      <c r="H43" s="9">
        <f ca="1">INDEX(DistrictEquipmentTypes.csv!D:D,RANDBETWEEN(2,15))</f>
        <v>200007</v>
      </c>
      <c r="I43" s="8" t="str">
        <f t="shared" ca="1" si="1"/>
        <v>rg:{ 'id': '200007'}</v>
      </c>
      <c r="J43" s="8">
        <f t="shared" ca="1" si="2"/>
        <v>5</v>
      </c>
      <c r="K43" s="8">
        <f t="shared" ca="1" si="3"/>
        <v>44</v>
      </c>
      <c r="L43" s="8" t="str">
        <f t="shared" ca="1" si="4"/>
        <v>2018-01-29</v>
      </c>
      <c r="M43" s="8" t="str">
        <f t="shared" ca="1" si="5"/>
        <v>2018-02-25</v>
      </c>
    </row>
    <row r="44" spans="1:13" x14ac:dyDescent="0.3">
      <c r="A44" s="8" t="s">
        <v>5666</v>
      </c>
      <c r="B44" s="8">
        <f t="shared" si="0"/>
        <v>200042</v>
      </c>
      <c r="C44" s="1" t="s">
        <v>6934</v>
      </c>
      <c r="D44" s="8" t="str">
        <f xml:space="preserve"> "rg:{'id':'" &amp; VLOOKUP(C44,Project.csv!F:G,2,FALSE) &amp; "'}"</f>
        <v>rg:{'id':'200004'}</v>
      </c>
      <c r="E44" t="s">
        <v>6453</v>
      </c>
      <c r="F44" s="8" t="str">
        <f xml:space="preserve"> "rg:{'id':'" &amp; VLOOKUP(E44,LocalAreas.csv!F:J,5,FALSE) &amp; "'}"</f>
        <v>rg:{'id':'200076'}</v>
      </c>
      <c r="G44" s="9" t="s">
        <v>7044</v>
      </c>
      <c r="H44" s="9">
        <f ca="1">INDEX(DistrictEquipmentTypes.csv!D:D,RANDBETWEEN(2,15))</f>
        <v>200012</v>
      </c>
      <c r="I44" s="8" t="str">
        <f t="shared" ca="1" si="1"/>
        <v>rg:{ 'id': '200012'}</v>
      </c>
      <c r="J44" s="8">
        <f t="shared" ca="1" si="2"/>
        <v>1</v>
      </c>
      <c r="K44" s="8">
        <f t="shared" ca="1" si="3"/>
        <v>40</v>
      </c>
      <c r="L44" s="8" t="str">
        <f t="shared" ca="1" si="4"/>
        <v>2018-02-09</v>
      </c>
      <c r="M44" s="8" t="str">
        <f t="shared" ca="1" si="5"/>
        <v>2018-02-14</v>
      </c>
    </row>
    <row r="45" spans="1:13" x14ac:dyDescent="0.3">
      <c r="A45" s="8" t="s">
        <v>5666</v>
      </c>
      <c r="B45" s="8">
        <f t="shared" si="0"/>
        <v>200043</v>
      </c>
      <c r="C45" s="1" t="s">
        <v>6935</v>
      </c>
      <c r="D45" s="8" t="str">
        <f xml:space="preserve"> "rg:{'id':'" &amp; VLOOKUP(C45,Project.csv!F:G,2,FALSE) &amp; "'}"</f>
        <v>rg:{'id':'200005'}</v>
      </c>
      <c r="E45" t="s">
        <v>6453</v>
      </c>
      <c r="F45" s="8" t="str">
        <f xml:space="preserve"> "rg:{'id':'" &amp; VLOOKUP(E45,LocalAreas.csv!F:J,5,FALSE) &amp; "'}"</f>
        <v>rg:{'id':'200076'}</v>
      </c>
      <c r="G45" s="9" t="s">
        <v>7043</v>
      </c>
      <c r="H45" s="9">
        <f ca="1">INDEX(DistrictEquipmentTypes.csv!D:D,RANDBETWEEN(2,15))</f>
        <v>200009</v>
      </c>
      <c r="I45" s="8" t="str">
        <f t="shared" ca="1" si="1"/>
        <v>rg:{ 'id': '200009'}</v>
      </c>
      <c r="J45" s="8">
        <f t="shared" ca="1" si="2"/>
        <v>1</v>
      </c>
      <c r="K45" s="8">
        <f t="shared" ca="1" si="3"/>
        <v>42</v>
      </c>
      <c r="L45" s="8" t="str">
        <f t="shared" ca="1" si="4"/>
        <v>2018-01-04</v>
      </c>
      <c r="M45" s="8" t="str">
        <f t="shared" ca="1" si="5"/>
        <v>2018-01-09</v>
      </c>
    </row>
    <row r="46" spans="1:13" x14ac:dyDescent="0.3">
      <c r="A46" s="8" t="s">
        <v>5666</v>
      </c>
      <c r="B46" s="8">
        <f t="shared" si="0"/>
        <v>200044</v>
      </c>
      <c r="C46" s="1" t="s">
        <v>6936</v>
      </c>
      <c r="D46" s="8" t="str">
        <f xml:space="preserve"> "rg:{'id':'" &amp; VLOOKUP(C46,Project.csv!F:G,2,FALSE) &amp; "'}"</f>
        <v>rg:{'id':'200006'}</v>
      </c>
      <c r="E46" t="s">
        <v>6453</v>
      </c>
      <c r="F46" s="8" t="str">
        <f xml:space="preserve"> "rg:{'id':'" &amp; VLOOKUP(E46,LocalAreas.csv!F:J,5,FALSE) &amp; "'}"</f>
        <v>rg:{'id':'200076'}</v>
      </c>
      <c r="G46" s="9" t="s">
        <v>7043</v>
      </c>
      <c r="H46" s="9">
        <f ca="1">INDEX(DistrictEquipmentTypes.csv!D:D,RANDBETWEEN(2,15))</f>
        <v>200005</v>
      </c>
      <c r="I46" s="8" t="str">
        <f t="shared" ca="1" si="1"/>
        <v>rg:{ 'id': '200005'}</v>
      </c>
      <c r="J46" s="8">
        <f t="shared" ca="1" si="2"/>
        <v>1</v>
      </c>
      <c r="K46" s="8">
        <f t="shared" ca="1" si="3"/>
        <v>66</v>
      </c>
      <c r="L46" s="8" t="str">
        <f t="shared" ca="1" si="4"/>
        <v>2018-01-22</v>
      </c>
      <c r="M46" s="8" t="str">
        <f t="shared" ca="1" si="5"/>
        <v>2018-01-30</v>
      </c>
    </row>
    <row r="47" spans="1:13" x14ac:dyDescent="0.3">
      <c r="A47" s="8" t="s">
        <v>5666</v>
      </c>
      <c r="B47" s="8">
        <f t="shared" si="0"/>
        <v>200045</v>
      </c>
      <c r="C47" s="1" t="s">
        <v>6916</v>
      </c>
      <c r="D47" s="8" t="str">
        <f xml:space="preserve"> "rg:{'id':'" &amp; VLOOKUP(C47,Project.csv!F:G,2,FALSE) &amp; "'}"</f>
        <v>rg:{'id':'200007'}</v>
      </c>
      <c r="E47" t="s">
        <v>6453</v>
      </c>
      <c r="F47" s="8" t="str">
        <f xml:space="preserve"> "rg:{'id':'" &amp; VLOOKUP(E47,LocalAreas.csv!F:J,5,FALSE) &amp; "'}"</f>
        <v>rg:{'id':'200076'}</v>
      </c>
      <c r="G47" s="9" t="s">
        <v>7043</v>
      </c>
      <c r="H47" s="9">
        <f ca="1">INDEX(DistrictEquipmentTypes.csv!D:D,RANDBETWEEN(2,15))</f>
        <v>200007</v>
      </c>
      <c r="I47" s="8" t="str">
        <f t="shared" ca="1" si="1"/>
        <v>rg:{ 'id': '200007'}</v>
      </c>
      <c r="J47" s="8">
        <f t="shared" ca="1" si="2"/>
        <v>1</v>
      </c>
      <c r="K47" s="8">
        <f t="shared" ca="1" si="3"/>
        <v>95</v>
      </c>
      <c r="L47" s="8" t="str">
        <f t="shared" ca="1" si="4"/>
        <v>2018-01-27</v>
      </c>
      <c r="M47" s="8" t="str">
        <f t="shared" ca="1" si="5"/>
        <v>2018-02-07</v>
      </c>
    </row>
    <row r="48" spans="1:13" x14ac:dyDescent="0.3">
      <c r="A48" s="8" t="s">
        <v>5666</v>
      </c>
      <c r="B48" s="8">
        <f t="shared" si="0"/>
        <v>200046</v>
      </c>
      <c r="C48" s="1" t="s">
        <v>6937</v>
      </c>
      <c r="D48" s="8" t="str">
        <f xml:space="preserve"> "rg:{'id':'" &amp; VLOOKUP(C48,Project.csv!F:G,2,FALSE) &amp; "'}"</f>
        <v>rg:{'id':'200008'}</v>
      </c>
      <c r="E48" t="s">
        <v>6453</v>
      </c>
      <c r="F48" s="8" t="str">
        <f xml:space="preserve"> "rg:{'id':'" &amp; VLOOKUP(E48,LocalAreas.csv!F:J,5,FALSE) &amp; "'}"</f>
        <v>rg:{'id':'200076'}</v>
      </c>
      <c r="G48" s="9" t="s">
        <v>7043</v>
      </c>
      <c r="H48" s="9">
        <f ca="1">INDEX(DistrictEquipmentTypes.csv!D:D,RANDBETWEEN(2,15))</f>
        <v>200006</v>
      </c>
      <c r="I48" s="8" t="str">
        <f t="shared" ca="1" si="1"/>
        <v>rg:{ 'id': '200006'}</v>
      </c>
      <c r="J48" s="8">
        <f t="shared" ca="1" si="2"/>
        <v>1</v>
      </c>
      <c r="K48" s="8">
        <f t="shared" ca="1" si="3"/>
        <v>88</v>
      </c>
      <c r="L48" s="8" t="str">
        <f t="shared" ca="1" si="4"/>
        <v>2018-02-21</v>
      </c>
      <c r="M48" s="8" t="str">
        <f t="shared" ca="1" si="5"/>
        <v>2018-03-04</v>
      </c>
    </row>
    <row r="49" spans="1:13" x14ac:dyDescent="0.3">
      <c r="A49" s="8" t="s">
        <v>5666</v>
      </c>
      <c r="B49" s="8">
        <f t="shared" si="0"/>
        <v>200047</v>
      </c>
      <c r="C49" s="1" t="s">
        <v>6894</v>
      </c>
      <c r="D49" s="8" t="str">
        <f xml:space="preserve"> "rg:{'id':'" &amp; VLOOKUP(C49,Project.csv!F:G,2,FALSE) &amp; "'}"</f>
        <v>rg:{'id':'200009'}</v>
      </c>
      <c r="E49" t="s">
        <v>6453</v>
      </c>
      <c r="F49" s="8" t="str">
        <f xml:space="preserve"> "rg:{'id':'" &amp; VLOOKUP(E49,LocalAreas.csv!F:J,5,FALSE) &amp; "'}"</f>
        <v>rg:{'id':'200076'}</v>
      </c>
      <c r="G49" s="9" t="s">
        <v>7043</v>
      </c>
      <c r="H49" s="9">
        <f ca="1">INDEX(DistrictEquipmentTypes.csv!D:D,RANDBETWEEN(2,15))</f>
        <v>200009</v>
      </c>
      <c r="I49" s="8" t="str">
        <f t="shared" ca="1" si="1"/>
        <v>rg:{ 'id': '200009'}</v>
      </c>
      <c r="J49" s="8">
        <f t="shared" ca="1" si="2"/>
        <v>1</v>
      </c>
      <c r="K49" s="8">
        <f t="shared" ca="1" si="3"/>
        <v>91</v>
      </c>
      <c r="L49" s="8" t="str">
        <f t="shared" ca="1" si="4"/>
        <v>2018-01-13</v>
      </c>
      <c r="M49" s="8" t="str">
        <f t="shared" ca="1" si="5"/>
        <v>2018-01-24</v>
      </c>
    </row>
    <row r="50" spans="1:13" x14ac:dyDescent="0.3">
      <c r="A50" s="8" t="s">
        <v>5666</v>
      </c>
      <c r="B50" s="8">
        <f t="shared" si="0"/>
        <v>200048</v>
      </c>
      <c r="C50" s="1" t="s">
        <v>6938</v>
      </c>
      <c r="D50" s="8" t="str">
        <f xml:space="preserve"> "rg:{'id':'" &amp; VLOOKUP(C50,Project.csv!F:G,2,FALSE) &amp; "'}"</f>
        <v>rg:{'id':'200010'}</v>
      </c>
      <c r="E50" t="s">
        <v>6453</v>
      </c>
      <c r="F50" s="8" t="str">
        <f xml:space="preserve"> "rg:{'id':'" &amp; VLOOKUP(E50,LocalAreas.csv!F:J,5,FALSE) &amp; "'}"</f>
        <v>rg:{'id':'200076'}</v>
      </c>
      <c r="G50" s="9" t="s">
        <v>7043</v>
      </c>
      <c r="H50" s="9">
        <f ca="1">INDEX(DistrictEquipmentTypes.csv!D:D,RANDBETWEEN(2,15))</f>
        <v>200001</v>
      </c>
      <c r="I50" s="8" t="str">
        <f t="shared" ca="1" si="1"/>
        <v>rg:{ 'id': '200001'}</v>
      </c>
      <c r="J50" s="8">
        <f t="shared" ca="1" si="2"/>
        <v>1</v>
      </c>
      <c r="K50" s="8">
        <f t="shared" ca="1" si="3"/>
        <v>54</v>
      </c>
      <c r="L50" s="8" t="str">
        <f t="shared" ca="1" si="4"/>
        <v>2018-01-04</v>
      </c>
      <c r="M50" s="8" t="str">
        <f t="shared" ca="1" si="5"/>
        <v>2018-01-10</v>
      </c>
    </row>
    <row r="51" spans="1:13" x14ac:dyDescent="0.3">
      <c r="A51" s="8" t="s">
        <v>5666</v>
      </c>
      <c r="B51" s="8">
        <f t="shared" si="0"/>
        <v>200049</v>
      </c>
      <c r="C51" s="1" t="s">
        <v>6939</v>
      </c>
      <c r="D51" s="8" t="str">
        <f xml:space="preserve"> "rg:{'id':'" &amp; VLOOKUP(C51,Project.csv!F:G,2,FALSE) &amp; "'}"</f>
        <v>rg:{'id':'200011'}</v>
      </c>
      <c r="E51" t="s">
        <v>6453</v>
      </c>
      <c r="F51" s="8" t="str">
        <f xml:space="preserve"> "rg:{'id':'" &amp; VLOOKUP(E51,LocalAreas.csv!F:J,5,FALSE) &amp; "'}"</f>
        <v>rg:{'id':'200076'}</v>
      </c>
      <c r="G51" s="9" t="s">
        <v>7044</v>
      </c>
      <c r="H51" s="9">
        <f ca="1">INDEX(DistrictEquipmentTypes.csv!D:D,RANDBETWEEN(2,15))</f>
        <v>200005</v>
      </c>
      <c r="I51" s="8" t="str">
        <f t="shared" ca="1" si="1"/>
        <v>rg:{ 'id': '200005'}</v>
      </c>
      <c r="J51" s="8">
        <f t="shared" ca="1" si="2"/>
        <v>1</v>
      </c>
      <c r="K51" s="8">
        <f t="shared" ca="1" si="3"/>
        <v>100</v>
      </c>
      <c r="L51" s="8" t="str">
        <f t="shared" ca="1" si="4"/>
        <v>2018-02-20</v>
      </c>
      <c r="M51" s="8" t="str">
        <f t="shared" ca="1" si="5"/>
        <v>2018-03-04</v>
      </c>
    </row>
    <row r="52" spans="1:13" x14ac:dyDescent="0.3">
      <c r="A52" s="8" t="s">
        <v>5666</v>
      </c>
      <c r="B52" s="8">
        <f t="shared" si="0"/>
        <v>200050</v>
      </c>
      <c r="C52" s="1" t="s">
        <v>6940</v>
      </c>
      <c r="D52" s="8" t="str">
        <f xml:space="preserve"> "rg:{'id':'" &amp; VLOOKUP(C52,Project.csv!F:G,2,FALSE) &amp; "'}"</f>
        <v>rg:{'id':'200012'}</v>
      </c>
      <c r="E52" t="s">
        <v>6453</v>
      </c>
      <c r="F52" s="8" t="str">
        <f xml:space="preserve"> "rg:{'id':'" &amp; VLOOKUP(E52,LocalAreas.csv!F:J,5,FALSE) &amp; "'}"</f>
        <v>rg:{'id':'200076'}</v>
      </c>
      <c r="G52" s="9" t="s">
        <v>7043</v>
      </c>
      <c r="H52" s="9">
        <f ca="1">INDEX(DistrictEquipmentTypes.csv!D:D,RANDBETWEEN(2,15))</f>
        <v>200005</v>
      </c>
      <c r="I52" s="8" t="str">
        <f t="shared" ca="1" si="1"/>
        <v>rg:{ 'id': '200005'}</v>
      </c>
      <c r="J52" s="8">
        <f t="shared" ca="1" si="2"/>
        <v>1</v>
      </c>
      <c r="K52" s="8">
        <f t="shared" ca="1" si="3"/>
        <v>88</v>
      </c>
      <c r="L52" s="8" t="str">
        <f t="shared" ca="1" si="4"/>
        <v>2018-01-08</v>
      </c>
      <c r="M52" s="8" t="str">
        <f t="shared" ca="1" si="5"/>
        <v>2018-01-19</v>
      </c>
    </row>
    <row r="53" spans="1:13" x14ac:dyDescent="0.3">
      <c r="A53" s="8" t="s">
        <v>5666</v>
      </c>
      <c r="B53" s="8">
        <f t="shared" si="0"/>
        <v>200051</v>
      </c>
      <c r="C53" s="1" t="s">
        <v>6941</v>
      </c>
      <c r="D53" s="8" t="str">
        <f xml:space="preserve"> "rg:{'id':'" &amp; VLOOKUP(C53,Project.csv!F:G,2,FALSE) &amp; "'}"</f>
        <v>rg:{'id':'200013'}</v>
      </c>
      <c r="E53" t="s">
        <v>6453</v>
      </c>
      <c r="F53" s="8" t="str">
        <f xml:space="preserve"> "rg:{'id':'" &amp; VLOOKUP(E53,LocalAreas.csv!F:J,5,FALSE) &amp; "'}"</f>
        <v>rg:{'id':'200076'}</v>
      </c>
      <c r="G53" s="9" t="s">
        <v>7043</v>
      </c>
      <c r="H53" s="9">
        <f ca="1">INDEX(DistrictEquipmentTypes.csv!D:D,RANDBETWEEN(2,15))</f>
        <v>200004</v>
      </c>
      <c r="I53" s="8" t="str">
        <f t="shared" ca="1" si="1"/>
        <v>rg:{ 'id': '200004'}</v>
      </c>
      <c r="J53" s="8">
        <f t="shared" ca="1" si="2"/>
        <v>2</v>
      </c>
      <c r="K53" s="8">
        <f t="shared" ca="1" si="3"/>
        <v>89</v>
      </c>
      <c r="L53" s="8" t="str">
        <f t="shared" ca="1" si="4"/>
        <v>2018-01-17</v>
      </c>
      <c r="M53" s="8" t="str">
        <f t="shared" ca="1" si="5"/>
        <v>2018-02-08</v>
      </c>
    </row>
    <row r="54" spans="1:13" x14ac:dyDescent="0.3">
      <c r="A54" s="8" t="s">
        <v>5666</v>
      </c>
      <c r="B54" s="8">
        <f t="shared" si="0"/>
        <v>200052</v>
      </c>
      <c r="C54" s="1" t="s">
        <v>6928</v>
      </c>
      <c r="D54" s="8" t="str">
        <f xml:space="preserve"> "rg:{'id':'" &amp; VLOOKUP(C54,Project.csv!F:G,2,FALSE) &amp; "'}"</f>
        <v>rg:{'id':'200014'}</v>
      </c>
      <c r="E54" t="s">
        <v>6453</v>
      </c>
      <c r="F54" s="8" t="str">
        <f xml:space="preserve"> "rg:{'id':'" &amp; VLOOKUP(E54,LocalAreas.csv!F:J,5,FALSE) &amp; "'}"</f>
        <v>rg:{'id':'200076'}</v>
      </c>
      <c r="G54" s="9" t="s">
        <v>7043</v>
      </c>
      <c r="H54" s="9">
        <f ca="1">INDEX(DistrictEquipmentTypes.csv!D:D,RANDBETWEEN(2,15))</f>
        <v>200013</v>
      </c>
      <c r="I54" s="8" t="str">
        <f t="shared" ca="1" si="1"/>
        <v>rg:{ 'id': '200013'}</v>
      </c>
      <c r="J54" s="8">
        <f t="shared" ca="1" si="2"/>
        <v>1</v>
      </c>
      <c r="K54" s="8">
        <f t="shared" ca="1" si="3"/>
        <v>94</v>
      </c>
      <c r="L54" s="8" t="str">
        <f t="shared" ca="1" si="4"/>
        <v>2018-01-14</v>
      </c>
      <c r="M54" s="8" t="str">
        <f t="shared" ca="1" si="5"/>
        <v>2018-01-25</v>
      </c>
    </row>
    <row r="55" spans="1:13" x14ac:dyDescent="0.3">
      <c r="A55" s="8" t="s">
        <v>5666</v>
      </c>
      <c r="B55" s="8">
        <f t="shared" si="0"/>
        <v>200053</v>
      </c>
      <c r="C55" s="1" t="s">
        <v>6942</v>
      </c>
      <c r="D55" s="8" t="str">
        <f xml:space="preserve"> "rg:{'id':'" &amp; VLOOKUP(C55,Project.csv!F:G,2,FALSE) &amp; "'}"</f>
        <v>rg:{'id':'200015'}</v>
      </c>
      <c r="E55" t="s">
        <v>6453</v>
      </c>
      <c r="F55" s="8" t="str">
        <f xml:space="preserve"> "rg:{'id':'" &amp; VLOOKUP(E55,LocalAreas.csv!F:J,5,FALSE) &amp; "'}"</f>
        <v>rg:{'id':'200076'}</v>
      </c>
      <c r="G55" s="9" t="s">
        <v>7043</v>
      </c>
      <c r="H55" s="9">
        <f ca="1">INDEX(DistrictEquipmentTypes.csv!D:D,RANDBETWEEN(2,15))</f>
        <v>200007</v>
      </c>
      <c r="I55" s="8" t="str">
        <f t="shared" ca="1" si="1"/>
        <v>rg:{ 'id': '200007'}</v>
      </c>
      <c r="J55" s="8">
        <f t="shared" ca="1" si="2"/>
        <v>1</v>
      </c>
      <c r="K55" s="8">
        <f t="shared" ca="1" si="3"/>
        <v>19</v>
      </c>
      <c r="L55" s="8" t="str">
        <f t="shared" ca="1" si="4"/>
        <v>2017-12-29</v>
      </c>
      <c r="M55" s="8" t="str">
        <f t="shared" ca="1" si="5"/>
        <v>2017-12-31</v>
      </c>
    </row>
    <row r="56" spans="1:13" x14ac:dyDescent="0.3">
      <c r="A56" s="8" t="s">
        <v>5666</v>
      </c>
      <c r="B56" s="8">
        <f t="shared" si="0"/>
        <v>200054</v>
      </c>
      <c r="C56" s="1" t="s">
        <v>6912</v>
      </c>
      <c r="D56" s="8" t="str">
        <f xml:space="preserve"> "rg:{'id':'" &amp; VLOOKUP(C56,Project.csv!F:G,2,FALSE) &amp; "'}"</f>
        <v>rg:{'id':'200016'}</v>
      </c>
      <c r="E56" t="s">
        <v>6453</v>
      </c>
      <c r="F56" s="8" t="str">
        <f xml:space="preserve"> "rg:{'id':'" &amp; VLOOKUP(E56,LocalAreas.csv!F:J,5,FALSE) &amp; "'}"</f>
        <v>rg:{'id':'200076'}</v>
      </c>
      <c r="G56" s="9" t="s">
        <v>7045</v>
      </c>
      <c r="H56" s="9">
        <f ca="1">INDEX(DistrictEquipmentTypes.csv!D:D,RANDBETWEEN(2,15))</f>
        <v>200004</v>
      </c>
      <c r="I56" s="8" t="str">
        <f t="shared" ca="1" si="1"/>
        <v>rg:{ 'id': '200004'}</v>
      </c>
      <c r="J56" s="8">
        <f t="shared" ca="1" si="2"/>
        <v>1</v>
      </c>
      <c r="K56" s="8">
        <f t="shared" ca="1" si="3"/>
        <v>46</v>
      </c>
      <c r="L56" s="8" t="str">
        <f t="shared" ca="1" si="4"/>
        <v>2018-01-31</v>
      </c>
      <c r="M56" s="8" t="str">
        <f t="shared" ca="1" si="5"/>
        <v>2018-02-05</v>
      </c>
    </row>
    <row r="57" spans="1:13" x14ac:dyDescent="0.3">
      <c r="A57" s="8" t="s">
        <v>5666</v>
      </c>
      <c r="B57" s="8">
        <f t="shared" si="0"/>
        <v>200055</v>
      </c>
      <c r="C57" s="1" t="s">
        <v>6943</v>
      </c>
      <c r="D57" s="8" t="str">
        <f xml:space="preserve"> "rg:{'id':'" &amp; VLOOKUP(C57,Project.csv!F:G,2,FALSE) &amp; "'}"</f>
        <v>rg:{'id':'200017'}</v>
      </c>
      <c r="E57" t="s">
        <v>6453</v>
      </c>
      <c r="F57" s="8" t="str">
        <f xml:space="preserve"> "rg:{'id':'" &amp; VLOOKUP(E57,LocalAreas.csv!F:J,5,FALSE) &amp; "'}"</f>
        <v>rg:{'id':'200076'}</v>
      </c>
      <c r="G57" s="9" t="s">
        <v>7045</v>
      </c>
      <c r="H57" s="9">
        <f ca="1">INDEX(DistrictEquipmentTypes.csv!D:D,RANDBETWEEN(2,15))</f>
        <v>200004</v>
      </c>
      <c r="I57" s="8" t="str">
        <f t="shared" ca="1" si="1"/>
        <v>rg:{ 'id': '200004'}</v>
      </c>
      <c r="J57" s="8">
        <f t="shared" ca="1" si="2"/>
        <v>1</v>
      </c>
      <c r="K57" s="8">
        <f t="shared" ca="1" si="3"/>
        <v>62</v>
      </c>
      <c r="L57" s="8" t="str">
        <f t="shared" ca="1" si="4"/>
        <v>2018-02-10</v>
      </c>
      <c r="M57" s="8" t="str">
        <f t="shared" ca="1" si="5"/>
        <v>2018-02-17</v>
      </c>
    </row>
    <row r="58" spans="1:13" x14ac:dyDescent="0.3">
      <c r="A58" s="8" t="s">
        <v>5666</v>
      </c>
      <c r="B58" s="8">
        <f t="shared" si="0"/>
        <v>200056</v>
      </c>
      <c r="C58" s="1" t="s">
        <v>6889</v>
      </c>
      <c r="D58" s="8" t="str">
        <f xml:space="preserve"> "rg:{'id':'" &amp; VLOOKUP(C58,Project.csv!F:G,2,FALSE) &amp; "'}"</f>
        <v>rg:{'id':'200018'}</v>
      </c>
      <c r="E58" t="s">
        <v>6453</v>
      </c>
      <c r="F58" s="8" t="str">
        <f xml:space="preserve"> "rg:{'id':'" &amp; VLOOKUP(E58,LocalAreas.csv!F:J,5,FALSE) &amp; "'}"</f>
        <v>rg:{'id':'200076'}</v>
      </c>
      <c r="G58" s="9" t="s">
        <v>7043</v>
      </c>
      <c r="H58" s="9">
        <f ca="1">INDEX(DistrictEquipmentTypes.csv!D:D,RANDBETWEEN(2,15))</f>
        <v>200011</v>
      </c>
      <c r="I58" s="8" t="str">
        <f t="shared" ca="1" si="1"/>
        <v>rg:{ 'id': '200011'}</v>
      </c>
      <c r="J58" s="8">
        <f t="shared" ca="1" si="2"/>
        <v>2</v>
      </c>
      <c r="K58" s="8">
        <f t="shared" ca="1" si="3"/>
        <v>69</v>
      </c>
      <c r="L58" s="8" t="str">
        <f t="shared" ca="1" si="4"/>
        <v>2017-12-29</v>
      </c>
      <c r="M58" s="8" t="str">
        <f t="shared" ca="1" si="5"/>
        <v>2018-01-15</v>
      </c>
    </row>
    <row r="59" spans="1:13" x14ac:dyDescent="0.3">
      <c r="A59" s="8" t="s">
        <v>5666</v>
      </c>
      <c r="B59" s="8">
        <f t="shared" si="0"/>
        <v>200057</v>
      </c>
      <c r="C59" s="1" t="s">
        <v>6944</v>
      </c>
      <c r="D59" s="8" t="str">
        <f xml:space="preserve"> "rg:{'id':'" &amp; VLOOKUP(C59,Project.csv!F:G,2,FALSE) &amp; "'}"</f>
        <v>rg:{'id':'200019'}</v>
      </c>
      <c r="E59" t="s">
        <v>6453</v>
      </c>
      <c r="F59" s="8" t="str">
        <f xml:space="preserve"> "rg:{'id':'" &amp; VLOOKUP(E59,LocalAreas.csv!F:J,5,FALSE) &amp; "'}"</f>
        <v>rg:{'id':'200076'}</v>
      </c>
      <c r="G59" s="9" t="s">
        <v>7043</v>
      </c>
      <c r="H59" s="9">
        <f ca="1">INDEX(DistrictEquipmentTypes.csv!D:D,RANDBETWEEN(2,15))</f>
        <v>200002</v>
      </c>
      <c r="I59" s="8" t="str">
        <f t="shared" ca="1" si="1"/>
        <v>rg:{ 'id': '200002'}</v>
      </c>
      <c r="J59" s="8">
        <f t="shared" ca="1" si="2"/>
        <v>2</v>
      </c>
      <c r="K59" s="8">
        <f t="shared" ca="1" si="3"/>
        <v>78</v>
      </c>
      <c r="L59" s="8" t="str">
        <f t="shared" ca="1" si="4"/>
        <v>2018-01-14</v>
      </c>
      <c r="M59" s="8" t="str">
        <f t="shared" ca="1" si="5"/>
        <v>2018-02-02</v>
      </c>
    </row>
    <row r="60" spans="1:13" x14ac:dyDescent="0.3">
      <c r="A60" s="8" t="s">
        <v>5666</v>
      </c>
      <c r="B60" s="8">
        <f t="shared" si="0"/>
        <v>200058</v>
      </c>
      <c r="C60" s="1" t="s">
        <v>6896</v>
      </c>
      <c r="D60" s="8" t="str">
        <f xml:space="preserve"> "rg:{'id':'" &amp; VLOOKUP(C60,Project.csv!F:G,2,FALSE) &amp; "'}"</f>
        <v>rg:{'id':'200020'}</v>
      </c>
      <c r="E60" t="s">
        <v>6453</v>
      </c>
      <c r="F60" s="8" t="str">
        <f xml:space="preserve"> "rg:{'id':'" &amp; VLOOKUP(E60,LocalAreas.csv!F:J,5,FALSE) &amp; "'}"</f>
        <v>rg:{'id':'200076'}</v>
      </c>
      <c r="G60" s="9" t="s">
        <v>7043</v>
      </c>
      <c r="H60" s="9">
        <f ca="1">INDEX(DistrictEquipmentTypes.csv!D:D,RANDBETWEEN(2,15))</f>
        <v>200008</v>
      </c>
      <c r="I60" s="8" t="str">
        <f t="shared" ca="1" si="1"/>
        <v>rg:{ 'id': '200008'}</v>
      </c>
      <c r="J60" s="8">
        <f t="shared" ca="1" si="2"/>
        <v>1</v>
      </c>
      <c r="K60" s="8">
        <f t="shared" ca="1" si="3"/>
        <v>27</v>
      </c>
      <c r="L60" s="8" t="str">
        <f t="shared" ca="1" si="4"/>
        <v>2017-12-29</v>
      </c>
      <c r="M60" s="8" t="str">
        <f t="shared" ca="1" si="5"/>
        <v>2018-01-01</v>
      </c>
    </row>
    <row r="61" spans="1:13" x14ac:dyDescent="0.3">
      <c r="A61" s="8" t="s">
        <v>5666</v>
      </c>
      <c r="B61" s="8">
        <f t="shared" si="0"/>
        <v>200059</v>
      </c>
      <c r="C61" s="1" t="s">
        <v>6945</v>
      </c>
      <c r="D61" s="8" t="str">
        <f xml:space="preserve"> "rg:{'id':'" &amp; VLOOKUP(C61,Project.csv!F:G,2,FALSE) &amp; "'}"</f>
        <v>rg:{'id':'200021'}</v>
      </c>
      <c r="E61" t="s">
        <v>6453</v>
      </c>
      <c r="F61" s="8" t="str">
        <f xml:space="preserve"> "rg:{'id':'" &amp; VLOOKUP(E61,LocalAreas.csv!F:J,5,FALSE) &amp; "'}"</f>
        <v>rg:{'id':'200076'}</v>
      </c>
      <c r="G61" s="9" t="s">
        <v>7045</v>
      </c>
      <c r="H61" s="9">
        <f ca="1">INDEX(DistrictEquipmentTypes.csv!D:D,RANDBETWEEN(2,15))</f>
        <v>200001</v>
      </c>
      <c r="I61" s="8" t="str">
        <f t="shared" ca="1" si="1"/>
        <v>rg:{ 'id': '200001'}</v>
      </c>
      <c r="J61" s="8">
        <f t="shared" ca="1" si="2"/>
        <v>1</v>
      </c>
      <c r="K61" s="8">
        <f t="shared" ca="1" si="3"/>
        <v>87</v>
      </c>
      <c r="L61" s="8" t="str">
        <f t="shared" ca="1" si="4"/>
        <v>2017-12-28</v>
      </c>
      <c r="M61" s="8" t="str">
        <f t="shared" ca="1" si="5"/>
        <v>2018-01-07</v>
      </c>
    </row>
    <row r="62" spans="1:13" x14ac:dyDescent="0.3">
      <c r="A62" s="8" t="s">
        <v>5666</v>
      </c>
      <c r="B62" s="8">
        <f t="shared" si="0"/>
        <v>200060</v>
      </c>
      <c r="C62" s="1" t="s">
        <v>6888</v>
      </c>
      <c r="D62" s="8" t="str">
        <f xml:space="preserve"> "rg:{'id':'" &amp; VLOOKUP(C62,Project.csv!F:G,2,FALSE) &amp; "'}"</f>
        <v>rg:{'id':'200022'}</v>
      </c>
      <c r="E62" t="s">
        <v>6453</v>
      </c>
      <c r="F62" s="8" t="str">
        <f xml:space="preserve"> "rg:{'id':'" &amp; VLOOKUP(E62,LocalAreas.csv!F:J,5,FALSE) &amp; "'}"</f>
        <v>rg:{'id':'200076'}</v>
      </c>
      <c r="G62" s="9" t="s">
        <v>7043</v>
      </c>
      <c r="H62" s="9">
        <f ca="1">INDEX(DistrictEquipmentTypes.csv!D:D,RANDBETWEEN(2,15))</f>
        <v>200006</v>
      </c>
      <c r="I62" s="8" t="str">
        <f t="shared" ca="1" si="1"/>
        <v>rg:{ 'id': '200006'}</v>
      </c>
      <c r="J62" s="8">
        <f t="shared" ca="1" si="2"/>
        <v>1</v>
      </c>
      <c r="K62" s="8">
        <f t="shared" ca="1" si="3"/>
        <v>65</v>
      </c>
      <c r="L62" s="8" t="str">
        <f t="shared" ca="1" si="4"/>
        <v>2018-01-09</v>
      </c>
      <c r="M62" s="8" t="str">
        <f t="shared" ca="1" si="5"/>
        <v>2018-01-17</v>
      </c>
    </row>
    <row r="63" spans="1:13" x14ac:dyDescent="0.3">
      <c r="A63" s="8" t="s">
        <v>5666</v>
      </c>
      <c r="B63" s="8">
        <f t="shared" si="0"/>
        <v>200061</v>
      </c>
      <c r="C63" s="1" t="s">
        <v>6946</v>
      </c>
      <c r="D63" s="8" t="str">
        <f xml:space="preserve"> "rg:{'id':'" &amp; VLOOKUP(C63,Project.csv!F:G,2,FALSE) &amp; "'}"</f>
        <v>rg:{'id':'200023'}</v>
      </c>
      <c r="E63" t="s">
        <v>6453</v>
      </c>
      <c r="F63" s="8" t="str">
        <f xml:space="preserve"> "rg:{'id':'" &amp; VLOOKUP(E63,LocalAreas.csv!F:J,5,FALSE) &amp; "'}"</f>
        <v>rg:{'id':'200076'}</v>
      </c>
      <c r="G63" s="9" t="s">
        <v>7043</v>
      </c>
      <c r="H63" s="9">
        <f ca="1">INDEX(DistrictEquipmentTypes.csv!D:D,RANDBETWEEN(2,15))</f>
        <v>200001</v>
      </c>
      <c r="I63" s="8" t="str">
        <f t="shared" ca="1" si="1"/>
        <v>rg:{ 'id': '200001'}</v>
      </c>
      <c r="J63" s="8">
        <f t="shared" ca="1" si="2"/>
        <v>1</v>
      </c>
      <c r="K63" s="8">
        <f t="shared" ca="1" si="3"/>
        <v>5</v>
      </c>
      <c r="L63" s="8" t="str">
        <f t="shared" ca="1" si="4"/>
        <v>2018-02-07</v>
      </c>
      <c r="M63" s="8" t="str">
        <f t="shared" ca="1" si="5"/>
        <v>2018-02-07</v>
      </c>
    </row>
    <row r="64" spans="1:13" x14ac:dyDescent="0.3">
      <c r="A64" s="8" t="s">
        <v>5666</v>
      </c>
      <c r="B64" s="8">
        <f t="shared" si="0"/>
        <v>200062</v>
      </c>
      <c r="C64" s="1" t="s">
        <v>6947</v>
      </c>
      <c r="D64" s="8" t="str">
        <f xml:space="preserve"> "rg:{'id':'" &amp; VLOOKUP(C64,Project.csv!F:G,2,FALSE) &amp; "'}"</f>
        <v>rg:{'id':'200024'}</v>
      </c>
      <c r="E64" t="s">
        <v>6453</v>
      </c>
      <c r="F64" s="8" t="str">
        <f xml:space="preserve"> "rg:{'id':'" &amp; VLOOKUP(E64,LocalAreas.csv!F:J,5,FALSE) &amp; "'}"</f>
        <v>rg:{'id':'200076'}</v>
      </c>
      <c r="G64" s="9" t="s">
        <v>7045</v>
      </c>
      <c r="H64" s="9">
        <f ca="1">INDEX(DistrictEquipmentTypes.csv!D:D,RANDBETWEEN(2,15))</f>
        <v>200008</v>
      </c>
      <c r="I64" s="8" t="str">
        <f t="shared" ca="1" si="1"/>
        <v>rg:{ 'id': '200008'}</v>
      </c>
      <c r="J64" s="8">
        <f t="shared" ca="1" si="2"/>
        <v>1</v>
      </c>
      <c r="K64" s="8">
        <f t="shared" ca="1" si="3"/>
        <v>78</v>
      </c>
      <c r="L64" s="8" t="str">
        <f t="shared" ca="1" si="4"/>
        <v>2018-02-16</v>
      </c>
      <c r="M64" s="8" t="str">
        <f t="shared" ca="1" si="5"/>
        <v>2018-02-25</v>
      </c>
    </row>
    <row r="65" spans="1:13" x14ac:dyDescent="0.3">
      <c r="A65" s="8" t="s">
        <v>5666</v>
      </c>
      <c r="B65" s="8">
        <f t="shared" si="0"/>
        <v>200063</v>
      </c>
      <c r="C65" s="1" t="s">
        <v>6907</v>
      </c>
      <c r="D65" s="8" t="str">
        <f xml:space="preserve"> "rg:{'id':'" &amp; VLOOKUP(C65,Project.csv!F:G,2,FALSE) &amp; "'}"</f>
        <v>rg:{'id':'200025'}</v>
      </c>
      <c r="E65" t="s">
        <v>6453</v>
      </c>
      <c r="F65" s="8" t="str">
        <f xml:space="preserve"> "rg:{'id':'" &amp; VLOOKUP(E65,LocalAreas.csv!F:J,5,FALSE) &amp; "'}"</f>
        <v>rg:{'id':'200076'}</v>
      </c>
      <c r="G65" s="9" t="s">
        <v>7043</v>
      </c>
      <c r="H65" s="9">
        <f ca="1">INDEX(DistrictEquipmentTypes.csv!D:D,RANDBETWEEN(2,15))</f>
        <v>200000</v>
      </c>
      <c r="I65" s="8" t="str">
        <f t="shared" ca="1" si="1"/>
        <v>rg:{ 'id': '200000'}</v>
      </c>
      <c r="J65" s="8">
        <f t="shared" ca="1" si="2"/>
        <v>1</v>
      </c>
      <c r="K65" s="8">
        <f t="shared" ca="1" si="3"/>
        <v>34</v>
      </c>
      <c r="L65" s="8" t="str">
        <f t="shared" ca="1" si="4"/>
        <v>2018-01-15</v>
      </c>
      <c r="M65" s="8" t="str">
        <f t="shared" ca="1" si="5"/>
        <v>2018-01-19</v>
      </c>
    </row>
    <row r="66" spans="1:13" x14ac:dyDescent="0.3">
      <c r="A66" s="8" t="s">
        <v>5666</v>
      </c>
      <c r="B66" s="8">
        <f t="shared" si="0"/>
        <v>200064</v>
      </c>
      <c r="C66" s="1" t="s">
        <v>6948</v>
      </c>
      <c r="D66" s="8" t="str">
        <f xml:space="preserve"> "rg:{'id':'" &amp; VLOOKUP(C66,Project.csv!F:G,2,FALSE) &amp; "'}"</f>
        <v>rg:{'id':'200026'}</v>
      </c>
      <c r="E66" t="s">
        <v>6453</v>
      </c>
      <c r="F66" s="8" t="str">
        <f xml:space="preserve"> "rg:{'id':'" &amp; VLOOKUP(E66,LocalAreas.csv!F:J,5,FALSE) &amp; "'}"</f>
        <v>rg:{'id':'200076'}</v>
      </c>
      <c r="G66" s="9" t="s">
        <v>7043</v>
      </c>
      <c r="H66" s="9">
        <f ca="1">INDEX(DistrictEquipmentTypes.csv!D:D,RANDBETWEEN(2,15))</f>
        <v>200008</v>
      </c>
      <c r="I66" s="8" t="str">
        <f t="shared" ca="1" si="1"/>
        <v>rg:{ 'id': '200008'}</v>
      </c>
      <c r="J66" s="8">
        <f t="shared" ca="1" si="2"/>
        <v>1</v>
      </c>
      <c r="K66" s="8">
        <f t="shared" ca="1" si="3"/>
        <v>60</v>
      </c>
      <c r="L66" s="8" t="str">
        <f t="shared" ca="1" si="4"/>
        <v>2018-01-06</v>
      </c>
      <c r="M66" s="8" t="str">
        <f t="shared" ca="1" si="5"/>
        <v>2018-01-13</v>
      </c>
    </row>
    <row r="67" spans="1:13" x14ac:dyDescent="0.3">
      <c r="A67" s="8" t="s">
        <v>5666</v>
      </c>
      <c r="B67" s="8">
        <f t="shared" ref="B67:B130" si="6">IF(ISNUMBER(B66),B66+1,600000)</f>
        <v>200065</v>
      </c>
      <c r="C67" s="1" t="s">
        <v>6922</v>
      </c>
      <c r="D67" s="8" t="str">
        <f xml:space="preserve"> "rg:{'id':'" &amp; VLOOKUP(C67,Project.csv!F:G,2,FALSE) &amp; "'}"</f>
        <v>rg:{'id':'200027'}</v>
      </c>
      <c r="E67" t="s">
        <v>6453</v>
      </c>
      <c r="F67" s="8" t="str">
        <f xml:space="preserve"> "rg:{'id':'" &amp; VLOOKUP(E67,LocalAreas.csv!F:J,5,FALSE) &amp; "'}"</f>
        <v>rg:{'id':'200076'}</v>
      </c>
      <c r="G67" s="9" t="s">
        <v>7043</v>
      </c>
      <c r="H67" s="9">
        <f ca="1">INDEX(DistrictEquipmentTypes.csv!D:D,RANDBETWEEN(2,15))</f>
        <v>200007</v>
      </c>
      <c r="I67" s="8" t="str">
        <f t="shared" ref="I67:I130" ca="1" si="7">"rg:{ 'id': '"&amp;H67&amp;"'}"</f>
        <v>rg:{ 'id': '200007'}</v>
      </c>
      <c r="J67" s="8">
        <f t="shared" ref="J67:J130" ca="1" si="8">IF(RANDBETWEEN(1,5)&gt;1,1,RANDBETWEEN(2,5))</f>
        <v>1</v>
      </c>
      <c r="K67" s="8">
        <f t="shared" ref="K67:K130" ca="1" si="9">RANDBETWEEN(4,100)</f>
        <v>37</v>
      </c>
      <c r="L67" s="8" t="str">
        <f t="shared" ref="L67:L130" ca="1" si="10">TEXT(TODAY()+RANDBETWEEN(1,56),"YYYY-MM-DD")</f>
        <v>2018-02-14</v>
      </c>
      <c r="M67" s="8" t="str">
        <f t="shared" ref="M67:M130" ca="1" si="11">TEXT(L67+(J67*K67)/8,"YYYY-MM-DD")</f>
        <v>2018-02-18</v>
      </c>
    </row>
    <row r="68" spans="1:13" x14ac:dyDescent="0.3">
      <c r="A68" s="8" t="s">
        <v>5666</v>
      </c>
      <c r="B68" s="8">
        <f t="shared" si="6"/>
        <v>200066</v>
      </c>
      <c r="C68" s="1" t="s">
        <v>6949</v>
      </c>
      <c r="D68" s="8" t="str">
        <f xml:space="preserve"> "rg:{'id':'" &amp; VLOOKUP(C68,Project.csv!F:G,2,FALSE) &amp; "'}"</f>
        <v>rg:{'id':'200028'}</v>
      </c>
      <c r="E68" t="s">
        <v>6453</v>
      </c>
      <c r="F68" s="8" t="str">
        <f xml:space="preserve"> "rg:{'id':'" &amp; VLOOKUP(E68,LocalAreas.csv!F:J,5,FALSE) &amp; "'}"</f>
        <v>rg:{'id':'200076'}</v>
      </c>
      <c r="G68" s="9" t="s">
        <v>7043</v>
      </c>
      <c r="H68" s="9">
        <f ca="1">INDEX(DistrictEquipmentTypes.csv!D:D,RANDBETWEEN(2,15))</f>
        <v>200011</v>
      </c>
      <c r="I68" s="8" t="str">
        <f t="shared" ca="1" si="7"/>
        <v>rg:{ 'id': '200011'}</v>
      </c>
      <c r="J68" s="8">
        <f t="shared" ca="1" si="8"/>
        <v>1</v>
      </c>
      <c r="K68" s="8">
        <f t="shared" ca="1" si="9"/>
        <v>91</v>
      </c>
      <c r="L68" s="8" t="str">
        <f t="shared" ca="1" si="10"/>
        <v>2018-02-19</v>
      </c>
      <c r="M68" s="8" t="str">
        <f t="shared" ca="1" si="11"/>
        <v>2018-03-02</v>
      </c>
    </row>
    <row r="69" spans="1:13" x14ac:dyDescent="0.3">
      <c r="A69" s="8" t="s">
        <v>5666</v>
      </c>
      <c r="B69" s="8">
        <f t="shared" si="6"/>
        <v>200067</v>
      </c>
      <c r="C69" s="1" t="s">
        <v>6950</v>
      </c>
      <c r="D69" s="8" t="str">
        <f xml:space="preserve"> "rg:{'id':'" &amp; VLOOKUP(C69,Project.csv!F:G,2,FALSE) &amp; "'}"</f>
        <v>rg:{'id':'200029'}</v>
      </c>
      <c r="E69" t="s">
        <v>6453</v>
      </c>
      <c r="F69" s="8" t="str">
        <f xml:space="preserve"> "rg:{'id':'" &amp; VLOOKUP(E69,LocalAreas.csv!F:J,5,FALSE) &amp; "'}"</f>
        <v>rg:{'id':'200076'}</v>
      </c>
      <c r="G69" s="9" t="s">
        <v>7045</v>
      </c>
      <c r="H69" s="9">
        <f ca="1">INDEX(DistrictEquipmentTypes.csv!D:D,RANDBETWEEN(2,15))</f>
        <v>200000</v>
      </c>
      <c r="I69" s="8" t="str">
        <f t="shared" ca="1" si="7"/>
        <v>rg:{ 'id': '200000'}</v>
      </c>
      <c r="J69" s="8">
        <f t="shared" ca="1" si="8"/>
        <v>1</v>
      </c>
      <c r="K69" s="8">
        <f t="shared" ca="1" si="9"/>
        <v>18</v>
      </c>
      <c r="L69" s="8" t="str">
        <f t="shared" ca="1" si="10"/>
        <v>2018-01-27</v>
      </c>
      <c r="M69" s="8" t="str">
        <f t="shared" ca="1" si="11"/>
        <v>2018-01-29</v>
      </c>
    </row>
    <row r="70" spans="1:13" x14ac:dyDescent="0.3">
      <c r="A70" s="8" t="s">
        <v>5666</v>
      </c>
      <c r="B70" s="8">
        <f t="shared" si="6"/>
        <v>200068</v>
      </c>
      <c r="C70" s="1" t="s">
        <v>6951</v>
      </c>
      <c r="D70" s="8" t="str">
        <f xml:space="preserve"> "rg:{'id':'" &amp; VLOOKUP(C70,Project.csv!F:G,2,FALSE) &amp; "'}"</f>
        <v>rg:{'id':'200030'}</v>
      </c>
      <c r="E70" t="s">
        <v>6453</v>
      </c>
      <c r="F70" s="8" t="str">
        <f xml:space="preserve"> "rg:{'id':'" &amp; VLOOKUP(E70,LocalAreas.csv!F:J,5,FALSE) &amp; "'}"</f>
        <v>rg:{'id':'200076'}</v>
      </c>
      <c r="G70" s="9" t="s">
        <v>7043</v>
      </c>
      <c r="H70" s="9">
        <f ca="1">INDEX(DistrictEquipmentTypes.csv!D:D,RANDBETWEEN(2,15))</f>
        <v>200012</v>
      </c>
      <c r="I70" s="8" t="str">
        <f t="shared" ca="1" si="7"/>
        <v>rg:{ 'id': '200012'}</v>
      </c>
      <c r="J70" s="8">
        <f t="shared" ca="1" si="8"/>
        <v>1</v>
      </c>
      <c r="K70" s="8">
        <f t="shared" ca="1" si="9"/>
        <v>5</v>
      </c>
      <c r="L70" s="8" t="str">
        <f t="shared" ca="1" si="10"/>
        <v>2018-02-13</v>
      </c>
      <c r="M70" s="8" t="str">
        <f t="shared" ca="1" si="11"/>
        <v>2018-02-13</v>
      </c>
    </row>
    <row r="71" spans="1:13" x14ac:dyDescent="0.3">
      <c r="A71" s="8" t="s">
        <v>5666</v>
      </c>
      <c r="B71" s="8">
        <f t="shared" si="6"/>
        <v>200069</v>
      </c>
      <c r="C71" s="1" t="s">
        <v>6952</v>
      </c>
      <c r="D71" s="8" t="str">
        <f xml:space="preserve"> "rg:{'id':'" &amp; VLOOKUP(C71,Project.csv!F:G,2,FALSE) &amp; "'}"</f>
        <v>rg:{'id':'200031'}</v>
      </c>
      <c r="E71" t="s">
        <v>6454</v>
      </c>
      <c r="F71" s="8" t="str">
        <f xml:space="preserve"> "rg:{'id':'" &amp; VLOOKUP(E71,LocalAreas.csv!F:J,5,FALSE) &amp; "'}"</f>
        <v>rg:{'id':'200077'}</v>
      </c>
      <c r="G71" s="9" t="s">
        <v>7043</v>
      </c>
      <c r="H71" s="9">
        <f ca="1">INDEX(DistrictEquipmentTypes.csv!D:D,RANDBETWEEN(2,15))</f>
        <v>200005</v>
      </c>
      <c r="I71" s="8" t="str">
        <f t="shared" ca="1" si="7"/>
        <v>rg:{ 'id': '200005'}</v>
      </c>
      <c r="J71" s="8">
        <f t="shared" ca="1" si="8"/>
        <v>1</v>
      </c>
      <c r="K71" s="8">
        <f t="shared" ca="1" si="9"/>
        <v>65</v>
      </c>
      <c r="L71" s="8" t="str">
        <f t="shared" ca="1" si="10"/>
        <v>2018-02-13</v>
      </c>
      <c r="M71" s="8" t="str">
        <f t="shared" ca="1" si="11"/>
        <v>2018-02-21</v>
      </c>
    </row>
    <row r="72" spans="1:13" x14ac:dyDescent="0.3">
      <c r="A72" s="8" t="s">
        <v>5666</v>
      </c>
      <c r="B72" s="8">
        <f t="shared" si="6"/>
        <v>200070</v>
      </c>
      <c r="C72" s="1" t="s">
        <v>6953</v>
      </c>
      <c r="D72" s="8" t="str">
        <f xml:space="preserve"> "rg:{'id':'" &amp; VLOOKUP(C72,Project.csv!F:G,2,FALSE) &amp; "'}"</f>
        <v>rg:{'id':'200032'}</v>
      </c>
      <c r="E72" t="s">
        <v>6454</v>
      </c>
      <c r="F72" s="8" t="str">
        <f xml:space="preserve"> "rg:{'id':'" &amp; VLOOKUP(E72,LocalAreas.csv!F:J,5,FALSE) &amp; "'}"</f>
        <v>rg:{'id':'200077'}</v>
      </c>
      <c r="G72" s="9" t="s">
        <v>7043</v>
      </c>
      <c r="H72" s="9">
        <f ca="1">INDEX(DistrictEquipmentTypes.csv!D:D,RANDBETWEEN(2,15))</f>
        <v>200010</v>
      </c>
      <c r="I72" s="8" t="str">
        <f t="shared" ca="1" si="7"/>
        <v>rg:{ 'id': '200010'}</v>
      </c>
      <c r="J72" s="8">
        <f t="shared" ca="1" si="8"/>
        <v>1</v>
      </c>
      <c r="K72" s="8">
        <f t="shared" ca="1" si="9"/>
        <v>90</v>
      </c>
      <c r="L72" s="8" t="str">
        <f t="shared" ca="1" si="10"/>
        <v>2018-01-12</v>
      </c>
      <c r="M72" s="8" t="str">
        <f t="shared" ca="1" si="11"/>
        <v>2018-01-23</v>
      </c>
    </row>
    <row r="73" spans="1:13" x14ac:dyDescent="0.3">
      <c r="A73" s="8" t="s">
        <v>5666</v>
      </c>
      <c r="B73" s="8">
        <f t="shared" si="6"/>
        <v>200071</v>
      </c>
      <c r="C73" s="1" t="s">
        <v>6898</v>
      </c>
      <c r="D73" s="8" t="str">
        <f xml:space="preserve"> "rg:{'id':'" &amp; VLOOKUP(C73,Project.csv!F:G,2,FALSE) &amp; "'}"</f>
        <v>rg:{'id':'200033'}</v>
      </c>
      <c r="E73" t="s">
        <v>6454</v>
      </c>
      <c r="F73" s="8" t="str">
        <f xml:space="preserve"> "rg:{'id':'" &amp; VLOOKUP(E73,LocalAreas.csv!F:J,5,FALSE) &amp; "'}"</f>
        <v>rg:{'id':'200077'}</v>
      </c>
      <c r="G73" s="9" t="s">
        <v>7045</v>
      </c>
      <c r="H73" s="9">
        <f ca="1">INDEX(DistrictEquipmentTypes.csv!D:D,RANDBETWEEN(2,15))</f>
        <v>200008</v>
      </c>
      <c r="I73" s="8" t="str">
        <f t="shared" ca="1" si="7"/>
        <v>rg:{ 'id': '200008'}</v>
      </c>
      <c r="J73" s="8">
        <f t="shared" ca="1" si="8"/>
        <v>4</v>
      </c>
      <c r="K73" s="8">
        <f t="shared" ca="1" si="9"/>
        <v>83</v>
      </c>
      <c r="L73" s="8" t="str">
        <f t="shared" ca="1" si="10"/>
        <v>2018-02-13</v>
      </c>
      <c r="M73" s="8" t="str">
        <f t="shared" ca="1" si="11"/>
        <v>2018-03-26</v>
      </c>
    </row>
    <row r="74" spans="1:13" x14ac:dyDescent="0.3">
      <c r="A74" s="8" t="s">
        <v>5666</v>
      </c>
      <c r="B74" s="8">
        <f t="shared" si="6"/>
        <v>200072</v>
      </c>
      <c r="C74" s="1" t="s">
        <v>6904</v>
      </c>
      <c r="D74" s="8" t="str">
        <f xml:space="preserve"> "rg:{'id':'" &amp; VLOOKUP(C74,Project.csv!F:G,2,FALSE) &amp; "'}"</f>
        <v>rg:{'id':'200034'}</v>
      </c>
      <c r="E74" t="s">
        <v>6454</v>
      </c>
      <c r="F74" s="8" t="str">
        <f xml:space="preserve"> "rg:{'id':'" &amp; VLOOKUP(E74,LocalAreas.csv!F:J,5,FALSE) &amp; "'}"</f>
        <v>rg:{'id':'200077'}</v>
      </c>
      <c r="G74" s="9" t="s">
        <v>7043</v>
      </c>
      <c r="H74" s="9">
        <f ca="1">INDEX(DistrictEquipmentTypes.csv!D:D,RANDBETWEEN(2,15))</f>
        <v>200000</v>
      </c>
      <c r="I74" s="8" t="str">
        <f t="shared" ca="1" si="7"/>
        <v>rg:{ 'id': '200000'}</v>
      </c>
      <c r="J74" s="8">
        <f t="shared" ca="1" si="8"/>
        <v>1</v>
      </c>
      <c r="K74" s="8">
        <f t="shared" ca="1" si="9"/>
        <v>47</v>
      </c>
      <c r="L74" s="8" t="str">
        <f t="shared" ca="1" si="10"/>
        <v>2018-01-04</v>
      </c>
      <c r="M74" s="8" t="str">
        <f t="shared" ca="1" si="11"/>
        <v>2018-01-09</v>
      </c>
    </row>
    <row r="75" spans="1:13" x14ac:dyDescent="0.3">
      <c r="A75" s="8" t="s">
        <v>5666</v>
      </c>
      <c r="B75" s="8">
        <f t="shared" si="6"/>
        <v>200073</v>
      </c>
      <c r="C75" s="1" t="s">
        <v>6954</v>
      </c>
      <c r="D75" s="8" t="str">
        <f xml:space="preserve"> "rg:{'id':'" &amp; VLOOKUP(C75,Project.csv!F:G,2,FALSE) &amp; "'}"</f>
        <v>rg:{'id':'200035'}</v>
      </c>
      <c r="E75" t="s">
        <v>6454</v>
      </c>
      <c r="F75" s="8" t="str">
        <f xml:space="preserve"> "rg:{'id':'" &amp; VLOOKUP(E75,LocalAreas.csv!F:J,5,FALSE) &amp; "'}"</f>
        <v>rg:{'id':'200077'}</v>
      </c>
      <c r="G75" s="9" t="s">
        <v>7043</v>
      </c>
      <c r="H75" s="9">
        <f ca="1">INDEX(DistrictEquipmentTypes.csv!D:D,RANDBETWEEN(2,15))</f>
        <v>200005</v>
      </c>
      <c r="I75" s="8" t="str">
        <f t="shared" ca="1" si="7"/>
        <v>rg:{ 'id': '200005'}</v>
      </c>
      <c r="J75" s="8">
        <f t="shared" ca="1" si="8"/>
        <v>1</v>
      </c>
      <c r="K75" s="8">
        <f t="shared" ca="1" si="9"/>
        <v>78</v>
      </c>
      <c r="L75" s="8" t="str">
        <f t="shared" ca="1" si="10"/>
        <v>2018-01-26</v>
      </c>
      <c r="M75" s="8" t="str">
        <f t="shared" ca="1" si="11"/>
        <v>2018-02-04</v>
      </c>
    </row>
    <row r="76" spans="1:13" x14ac:dyDescent="0.3">
      <c r="A76" s="8" t="s">
        <v>5666</v>
      </c>
      <c r="B76" s="8">
        <f t="shared" si="6"/>
        <v>200074</v>
      </c>
      <c r="C76" s="1" t="s">
        <v>6955</v>
      </c>
      <c r="D76" s="8" t="str">
        <f xml:space="preserve"> "rg:{'id':'" &amp; VLOOKUP(C76,Project.csv!F:G,2,FALSE) &amp; "'}"</f>
        <v>rg:{'id':'200036'}</v>
      </c>
      <c r="E76" t="s">
        <v>6454</v>
      </c>
      <c r="F76" s="8" t="str">
        <f xml:space="preserve"> "rg:{'id':'" &amp; VLOOKUP(E76,LocalAreas.csv!F:J,5,FALSE) &amp; "'}"</f>
        <v>rg:{'id':'200077'}</v>
      </c>
      <c r="G76" s="9" t="s">
        <v>7043</v>
      </c>
      <c r="H76" s="9">
        <f ca="1">INDEX(DistrictEquipmentTypes.csv!D:D,RANDBETWEEN(2,15))</f>
        <v>200004</v>
      </c>
      <c r="I76" s="8" t="str">
        <f t="shared" ca="1" si="7"/>
        <v>rg:{ 'id': '200004'}</v>
      </c>
      <c r="J76" s="8">
        <f t="shared" ca="1" si="8"/>
        <v>1</v>
      </c>
      <c r="K76" s="8">
        <f t="shared" ca="1" si="9"/>
        <v>52</v>
      </c>
      <c r="L76" s="8" t="str">
        <f t="shared" ca="1" si="10"/>
        <v>2018-02-03</v>
      </c>
      <c r="M76" s="8" t="str">
        <f t="shared" ca="1" si="11"/>
        <v>2018-02-09</v>
      </c>
    </row>
    <row r="77" spans="1:13" x14ac:dyDescent="0.3">
      <c r="A77" s="8" t="s">
        <v>5666</v>
      </c>
      <c r="B77" s="8">
        <f t="shared" si="6"/>
        <v>200075</v>
      </c>
      <c r="C77" s="1" t="s">
        <v>6956</v>
      </c>
      <c r="D77" s="8" t="str">
        <f xml:space="preserve"> "rg:{'id':'" &amp; VLOOKUP(C77,Project.csv!F:G,2,FALSE) &amp; "'}"</f>
        <v>rg:{'id':'200037'}</v>
      </c>
      <c r="E77" t="s">
        <v>6454</v>
      </c>
      <c r="F77" s="8" t="str">
        <f xml:space="preserve"> "rg:{'id':'" &amp; VLOOKUP(E77,LocalAreas.csv!F:J,5,FALSE) &amp; "'}"</f>
        <v>rg:{'id':'200077'}</v>
      </c>
      <c r="G77" s="9" t="s">
        <v>7043</v>
      </c>
      <c r="H77" s="9">
        <f ca="1">INDEX(DistrictEquipmentTypes.csv!D:D,RANDBETWEEN(2,15))</f>
        <v>200011</v>
      </c>
      <c r="I77" s="8" t="str">
        <f t="shared" ca="1" si="7"/>
        <v>rg:{ 'id': '200011'}</v>
      </c>
      <c r="J77" s="8">
        <f t="shared" ca="1" si="8"/>
        <v>1</v>
      </c>
      <c r="K77" s="8">
        <f t="shared" ca="1" si="9"/>
        <v>86</v>
      </c>
      <c r="L77" s="8" t="str">
        <f t="shared" ca="1" si="10"/>
        <v>2018-01-18</v>
      </c>
      <c r="M77" s="8" t="str">
        <f t="shared" ca="1" si="11"/>
        <v>2018-01-28</v>
      </c>
    </row>
    <row r="78" spans="1:13" x14ac:dyDescent="0.3">
      <c r="A78" s="8" t="s">
        <v>5666</v>
      </c>
      <c r="B78" s="8">
        <f t="shared" si="6"/>
        <v>200076</v>
      </c>
      <c r="C78" s="1" t="s">
        <v>6931</v>
      </c>
      <c r="D78" s="8" t="str">
        <f xml:space="preserve"> "rg:{'id':'" &amp; VLOOKUP(C78,Project.csv!F:G,2,FALSE) &amp; "'}"</f>
        <v>rg:{'id':'200000'}</v>
      </c>
      <c r="E78" t="s">
        <v>6454</v>
      </c>
      <c r="F78" s="8" t="str">
        <f xml:space="preserve"> "rg:{'id':'" &amp; VLOOKUP(E78,LocalAreas.csv!F:J,5,FALSE) &amp; "'}"</f>
        <v>rg:{'id':'200077'}</v>
      </c>
      <c r="G78" s="9" t="s">
        <v>7043</v>
      </c>
      <c r="H78" s="9">
        <f ca="1">INDEX(DistrictEquipmentTypes.csv!D:D,RANDBETWEEN(2,15))</f>
        <v>200009</v>
      </c>
      <c r="I78" s="8" t="str">
        <f t="shared" ca="1" si="7"/>
        <v>rg:{ 'id': '200009'}</v>
      </c>
      <c r="J78" s="8">
        <f t="shared" ca="1" si="8"/>
        <v>1</v>
      </c>
      <c r="K78" s="8">
        <f t="shared" ca="1" si="9"/>
        <v>71</v>
      </c>
      <c r="L78" s="8" t="str">
        <f t="shared" ca="1" si="10"/>
        <v>2018-02-14</v>
      </c>
      <c r="M78" s="8" t="str">
        <f t="shared" ca="1" si="11"/>
        <v>2018-02-22</v>
      </c>
    </row>
    <row r="79" spans="1:13" x14ac:dyDescent="0.3">
      <c r="A79" s="8" t="s">
        <v>5666</v>
      </c>
      <c r="B79" s="8">
        <f t="shared" si="6"/>
        <v>200077</v>
      </c>
      <c r="C79" s="1" t="s">
        <v>6926</v>
      </c>
      <c r="D79" s="8" t="str">
        <f xml:space="preserve"> "rg:{'id':'" &amp; VLOOKUP(C79,Project.csv!F:G,2,FALSE) &amp; "'}"</f>
        <v>rg:{'id':'200001'}</v>
      </c>
      <c r="E79" t="s">
        <v>6454</v>
      </c>
      <c r="F79" s="8" t="str">
        <f xml:space="preserve"> "rg:{'id':'" &amp; VLOOKUP(E79,LocalAreas.csv!F:J,5,FALSE) &amp; "'}"</f>
        <v>rg:{'id':'200077'}</v>
      </c>
      <c r="G79" s="9" t="s">
        <v>7045</v>
      </c>
      <c r="H79" s="9">
        <f ca="1">INDEX(DistrictEquipmentTypes.csv!D:D,RANDBETWEEN(2,15))</f>
        <v>200002</v>
      </c>
      <c r="I79" s="8" t="str">
        <f t="shared" ca="1" si="7"/>
        <v>rg:{ 'id': '200002'}</v>
      </c>
      <c r="J79" s="8">
        <f t="shared" ca="1" si="8"/>
        <v>1</v>
      </c>
      <c r="K79" s="8">
        <f t="shared" ca="1" si="9"/>
        <v>55</v>
      </c>
      <c r="L79" s="8" t="str">
        <f t="shared" ca="1" si="10"/>
        <v>2018-02-21</v>
      </c>
      <c r="M79" s="8" t="str">
        <f t="shared" ca="1" si="11"/>
        <v>2018-02-27</v>
      </c>
    </row>
    <row r="80" spans="1:13" x14ac:dyDescent="0.3">
      <c r="A80" s="8" t="s">
        <v>5666</v>
      </c>
      <c r="B80" s="8">
        <f t="shared" si="6"/>
        <v>200078</v>
      </c>
      <c r="C80" s="1" t="s">
        <v>6932</v>
      </c>
      <c r="D80" s="8" t="str">
        <f xml:space="preserve"> "rg:{'id':'" &amp; VLOOKUP(C80,Project.csv!F:G,2,FALSE) &amp; "'}"</f>
        <v>rg:{'id':'200002'}</v>
      </c>
      <c r="E80" t="s">
        <v>6454</v>
      </c>
      <c r="F80" s="8" t="str">
        <f xml:space="preserve"> "rg:{'id':'" &amp; VLOOKUP(E80,LocalAreas.csv!F:J,5,FALSE) &amp; "'}"</f>
        <v>rg:{'id':'200077'}</v>
      </c>
      <c r="G80" s="9" t="s">
        <v>7043</v>
      </c>
      <c r="H80" s="9">
        <f ca="1">INDEX(DistrictEquipmentTypes.csv!D:D,RANDBETWEEN(2,15))</f>
        <v>200005</v>
      </c>
      <c r="I80" s="8" t="str">
        <f t="shared" ca="1" si="7"/>
        <v>rg:{ 'id': '200005'}</v>
      </c>
      <c r="J80" s="8">
        <f t="shared" ca="1" si="8"/>
        <v>1</v>
      </c>
      <c r="K80" s="8">
        <f t="shared" ca="1" si="9"/>
        <v>61</v>
      </c>
      <c r="L80" s="8" t="str">
        <f t="shared" ca="1" si="10"/>
        <v>2018-01-31</v>
      </c>
      <c r="M80" s="8" t="str">
        <f t="shared" ca="1" si="11"/>
        <v>2018-02-07</v>
      </c>
    </row>
    <row r="81" spans="1:13" x14ac:dyDescent="0.3">
      <c r="A81" s="8" t="s">
        <v>5666</v>
      </c>
      <c r="B81" s="8">
        <f t="shared" si="6"/>
        <v>200079</v>
      </c>
      <c r="C81" s="1" t="s">
        <v>6933</v>
      </c>
      <c r="D81" s="8" t="str">
        <f xml:space="preserve"> "rg:{'id':'" &amp; VLOOKUP(C81,Project.csv!F:G,2,FALSE) &amp; "'}"</f>
        <v>rg:{'id':'200003'}</v>
      </c>
      <c r="E81" t="s">
        <v>6454</v>
      </c>
      <c r="F81" s="8" t="str">
        <f xml:space="preserve"> "rg:{'id':'" &amp; VLOOKUP(E81,LocalAreas.csv!F:J,5,FALSE) &amp; "'}"</f>
        <v>rg:{'id':'200077'}</v>
      </c>
      <c r="G81" s="9" t="s">
        <v>7043</v>
      </c>
      <c r="H81" s="9">
        <f ca="1">INDEX(DistrictEquipmentTypes.csv!D:D,RANDBETWEEN(2,15))</f>
        <v>200002</v>
      </c>
      <c r="I81" s="8" t="str">
        <f t="shared" ca="1" si="7"/>
        <v>rg:{ 'id': '200002'}</v>
      </c>
      <c r="J81" s="8">
        <f t="shared" ca="1" si="8"/>
        <v>1</v>
      </c>
      <c r="K81" s="8">
        <f t="shared" ca="1" si="9"/>
        <v>35</v>
      </c>
      <c r="L81" s="8" t="str">
        <f t="shared" ca="1" si="10"/>
        <v>2018-02-07</v>
      </c>
      <c r="M81" s="8" t="str">
        <f t="shared" ca="1" si="11"/>
        <v>2018-02-11</v>
      </c>
    </row>
    <row r="82" spans="1:13" x14ac:dyDescent="0.3">
      <c r="A82" s="8" t="s">
        <v>5666</v>
      </c>
      <c r="B82" s="8">
        <f t="shared" si="6"/>
        <v>200080</v>
      </c>
      <c r="C82" s="1" t="s">
        <v>6934</v>
      </c>
      <c r="D82" s="8" t="str">
        <f xml:space="preserve"> "rg:{'id':'" &amp; VLOOKUP(C82,Project.csv!F:G,2,FALSE) &amp; "'}"</f>
        <v>rg:{'id':'200004'}</v>
      </c>
      <c r="E82" t="s">
        <v>6454</v>
      </c>
      <c r="F82" s="8" t="str">
        <f xml:space="preserve"> "rg:{'id':'" &amp; VLOOKUP(E82,LocalAreas.csv!F:J,5,FALSE) &amp; "'}"</f>
        <v>rg:{'id':'200077'}</v>
      </c>
      <c r="G82" s="9" t="s">
        <v>7043</v>
      </c>
      <c r="H82" s="9">
        <f ca="1">INDEX(DistrictEquipmentTypes.csv!D:D,RANDBETWEEN(2,15))</f>
        <v>200010</v>
      </c>
      <c r="I82" s="8" t="str">
        <f t="shared" ca="1" si="7"/>
        <v>rg:{ 'id': '200010'}</v>
      </c>
      <c r="J82" s="8">
        <f t="shared" ca="1" si="8"/>
        <v>1</v>
      </c>
      <c r="K82" s="8">
        <f t="shared" ca="1" si="9"/>
        <v>39</v>
      </c>
      <c r="L82" s="8" t="str">
        <f t="shared" ca="1" si="10"/>
        <v>2018-01-25</v>
      </c>
      <c r="M82" s="8" t="str">
        <f t="shared" ca="1" si="11"/>
        <v>2018-01-29</v>
      </c>
    </row>
    <row r="83" spans="1:13" x14ac:dyDescent="0.3">
      <c r="A83" s="8" t="s">
        <v>5666</v>
      </c>
      <c r="B83" s="8">
        <f t="shared" si="6"/>
        <v>200081</v>
      </c>
      <c r="C83" s="1" t="s">
        <v>6935</v>
      </c>
      <c r="D83" s="8" t="str">
        <f xml:space="preserve"> "rg:{'id':'" &amp; VLOOKUP(C83,Project.csv!F:G,2,FALSE) &amp; "'}"</f>
        <v>rg:{'id':'200005'}</v>
      </c>
      <c r="E83" t="s">
        <v>6454</v>
      </c>
      <c r="F83" s="8" t="str">
        <f xml:space="preserve"> "rg:{'id':'" &amp; VLOOKUP(E83,LocalAreas.csv!F:J,5,FALSE) &amp; "'}"</f>
        <v>rg:{'id':'200077'}</v>
      </c>
      <c r="G83" s="9" t="s">
        <v>7045</v>
      </c>
      <c r="H83" s="9">
        <f ca="1">INDEX(DistrictEquipmentTypes.csv!D:D,RANDBETWEEN(2,15))</f>
        <v>200010</v>
      </c>
      <c r="I83" s="8" t="str">
        <f t="shared" ca="1" si="7"/>
        <v>rg:{ 'id': '200010'}</v>
      </c>
      <c r="J83" s="8">
        <f t="shared" ca="1" si="8"/>
        <v>1</v>
      </c>
      <c r="K83" s="8">
        <f t="shared" ca="1" si="9"/>
        <v>31</v>
      </c>
      <c r="L83" s="8" t="str">
        <f t="shared" ca="1" si="10"/>
        <v>2018-01-11</v>
      </c>
      <c r="M83" s="8" t="str">
        <f t="shared" ca="1" si="11"/>
        <v>2018-01-14</v>
      </c>
    </row>
    <row r="84" spans="1:13" x14ac:dyDescent="0.3">
      <c r="A84" s="8" t="s">
        <v>5666</v>
      </c>
      <c r="B84" s="8">
        <f t="shared" si="6"/>
        <v>200082</v>
      </c>
      <c r="C84" s="1" t="s">
        <v>6936</v>
      </c>
      <c r="D84" s="8" t="str">
        <f xml:space="preserve"> "rg:{'id':'" &amp; VLOOKUP(C84,Project.csv!F:G,2,FALSE) &amp; "'}"</f>
        <v>rg:{'id':'200006'}</v>
      </c>
      <c r="E84" t="s">
        <v>6454</v>
      </c>
      <c r="F84" s="8" t="str">
        <f xml:space="preserve"> "rg:{'id':'" &amp; VLOOKUP(E84,LocalAreas.csv!F:J,5,FALSE) &amp; "'}"</f>
        <v>rg:{'id':'200077'}</v>
      </c>
      <c r="G84" s="9" t="s">
        <v>7044</v>
      </c>
      <c r="H84" s="9">
        <f ca="1">INDEX(DistrictEquipmentTypes.csv!D:D,RANDBETWEEN(2,15))</f>
        <v>200005</v>
      </c>
      <c r="I84" s="8" t="str">
        <f t="shared" ca="1" si="7"/>
        <v>rg:{ 'id': '200005'}</v>
      </c>
      <c r="J84" s="8">
        <f t="shared" ca="1" si="8"/>
        <v>3</v>
      </c>
      <c r="K84" s="8">
        <f t="shared" ca="1" si="9"/>
        <v>69</v>
      </c>
      <c r="L84" s="8" t="str">
        <f t="shared" ca="1" si="10"/>
        <v>2018-01-12</v>
      </c>
      <c r="M84" s="8" t="str">
        <f t="shared" ca="1" si="11"/>
        <v>2018-02-06</v>
      </c>
    </row>
    <row r="85" spans="1:13" x14ac:dyDescent="0.3">
      <c r="A85" s="8" t="s">
        <v>5666</v>
      </c>
      <c r="B85" s="8">
        <f t="shared" si="6"/>
        <v>200083</v>
      </c>
      <c r="C85" s="1" t="s">
        <v>6916</v>
      </c>
      <c r="D85" s="8" t="str">
        <f xml:space="preserve"> "rg:{'id':'" &amp; VLOOKUP(C85,Project.csv!F:G,2,FALSE) &amp; "'}"</f>
        <v>rg:{'id':'200007'}</v>
      </c>
      <c r="E85" t="s">
        <v>6454</v>
      </c>
      <c r="F85" s="8" t="str">
        <f xml:space="preserve"> "rg:{'id':'" &amp; VLOOKUP(E85,LocalAreas.csv!F:J,5,FALSE) &amp; "'}"</f>
        <v>rg:{'id':'200077'}</v>
      </c>
      <c r="G85" s="9" t="s">
        <v>7044</v>
      </c>
      <c r="H85" s="9">
        <f ca="1">INDEX(DistrictEquipmentTypes.csv!D:D,RANDBETWEEN(2,15))</f>
        <v>200000</v>
      </c>
      <c r="I85" s="8" t="str">
        <f t="shared" ca="1" si="7"/>
        <v>rg:{ 'id': '200000'}</v>
      </c>
      <c r="J85" s="8">
        <f t="shared" ca="1" si="8"/>
        <v>1</v>
      </c>
      <c r="K85" s="8">
        <f t="shared" ca="1" si="9"/>
        <v>88</v>
      </c>
      <c r="L85" s="8" t="str">
        <f t="shared" ca="1" si="10"/>
        <v>2018-02-05</v>
      </c>
      <c r="M85" s="8" t="str">
        <f t="shared" ca="1" si="11"/>
        <v>2018-02-16</v>
      </c>
    </row>
    <row r="86" spans="1:13" x14ac:dyDescent="0.3">
      <c r="A86" s="8" t="s">
        <v>5666</v>
      </c>
      <c r="B86" s="8">
        <f t="shared" si="6"/>
        <v>200084</v>
      </c>
      <c r="C86" s="1" t="s">
        <v>6937</v>
      </c>
      <c r="D86" s="8" t="str">
        <f xml:space="preserve"> "rg:{'id':'" &amp; VLOOKUP(C86,Project.csv!F:G,2,FALSE) &amp; "'}"</f>
        <v>rg:{'id':'200008'}</v>
      </c>
      <c r="E86" t="s">
        <v>6454</v>
      </c>
      <c r="F86" s="8" t="str">
        <f xml:space="preserve"> "rg:{'id':'" &amp; VLOOKUP(E86,LocalAreas.csv!F:J,5,FALSE) &amp; "'}"</f>
        <v>rg:{'id':'200077'}</v>
      </c>
      <c r="G86" s="9" t="s">
        <v>7043</v>
      </c>
      <c r="H86" s="9">
        <f ca="1">INDEX(DistrictEquipmentTypes.csv!D:D,RANDBETWEEN(2,15))</f>
        <v>200002</v>
      </c>
      <c r="I86" s="8" t="str">
        <f t="shared" ca="1" si="7"/>
        <v>rg:{ 'id': '200002'}</v>
      </c>
      <c r="J86" s="8">
        <f t="shared" ca="1" si="8"/>
        <v>1</v>
      </c>
      <c r="K86" s="8">
        <f t="shared" ca="1" si="9"/>
        <v>63</v>
      </c>
      <c r="L86" s="8" t="str">
        <f t="shared" ca="1" si="10"/>
        <v>2018-01-24</v>
      </c>
      <c r="M86" s="8" t="str">
        <f t="shared" ca="1" si="11"/>
        <v>2018-01-31</v>
      </c>
    </row>
    <row r="87" spans="1:13" x14ac:dyDescent="0.3">
      <c r="A87" s="8" t="s">
        <v>5666</v>
      </c>
      <c r="B87" s="8">
        <f t="shared" si="6"/>
        <v>200085</v>
      </c>
      <c r="C87" s="1" t="s">
        <v>6894</v>
      </c>
      <c r="D87" s="8" t="str">
        <f xml:space="preserve"> "rg:{'id':'" &amp; VLOOKUP(C87,Project.csv!F:G,2,FALSE) &amp; "'}"</f>
        <v>rg:{'id':'200009'}</v>
      </c>
      <c r="E87" t="s">
        <v>6454</v>
      </c>
      <c r="F87" s="8" t="str">
        <f xml:space="preserve"> "rg:{'id':'" &amp; VLOOKUP(E87,LocalAreas.csv!F:J,5,FALSE) &amp; "'}"</f>
        <v>rg:{'id':'200077'}</v>
      </c>
      <c r="G87" s="9" t="s">
        <v>7045</v>
      </c>
      <c r="H87" s="9">
        <f ca="1">INDEX(DistrictEquipmentTypes.csv!D:D,RANDBETWEEN(2,15))</f>
        <v>200005</v>
      </c>
      <c r="I87" s="8" t="str">
        <f t="shared" ca="1" si="7"/>
        <v>rg:{ 'id': '200005'}</v>
      </c>
      <c r="J87" s="8">
        <f t="shared" ca="1" si="8"/>
        <v>4</v>
      </c>
      <c r="K87" s="8">
        <f t="shared" ca="1" si="9"/>
        <v>29</v>
      </c>
      <c r="L87" s="8" t="str">
        <f t="shared" ca="1" si="10"/>
        <v>2018-02-06</v>
      </c>
      <c r="M87" s="8" t="str">
        <f t="shared" ca="1" si="11"/>
        <v>2018-02-20</v>
      </c>
    </row>
    <row r="88" spans="1:13" x14ac:dyDescent="0.3">
      <c r="A88" s="8" t="s">
        <v>5666</v>
      </c>
      <c r="B88" s="8">
        <f t="shared" si="6"/>
        <v>200086</v>
      </c>
      <c r="C88" s="1" t="s">
        <v>6938</v>
      </c>
      <c r="D88" s="8" t="str">
        <f xml:space="preserve"> "rg:{'id':'" &amp; VLOOKUP(C88,Project.csv!F:G,2,FALSE) &amp; "'}"</f>
        <v>rg:{'id':'200010'}</v>
      </c>
      <c r="E88" t="s">
        <v>6454</v>
      </c>
      <c r="F88" s="8" t="str">
        <f xml:space="preserve"> "rg:{'id':'" &amp; VLOOKUP(E88,LocalAreas.csv!F:J,5,FALSE) &amp; "'}"</f>
        <v>rg:{'id':'200077'}</v>
      </c>
      <c r="G88" s="9" t="s">
        <v>7045</v>
      </c>
      <c r="H88" s="9">
        <f ca="1">INDEX(DistrictEquipmentTypes.csv!D:D,RANDBETWEEN(2,15))</f>
        <v>200006</v>
      </c>
      <c r="I88" s="8" t="str">
        <f t="shared" ca="1" si="7"/>
        <v>rg:{ 'id': '200006'}</v>
      </c>
      <c r="J88" s="8">
        <f t="shared" ca="1" si="8"/>
        <v>1</v>
      </c>
      <c r="K88" s="8">
        <f t="shared" ca="1" si="9"/>
        <v>47</v>
      </c>
      <c r="L88" s="8" t="str">
        <f t="shared" ca="1" si="10"/>
        <v>2018-01-24</v>
      </c>
      <c r="M88" s="8" t="str">
        <f t="shared" ca="1" si="11"/>
        <v>2018-01-29</v>
      </c>
    </row>
    <row r="89" spans="1:13" x14ac:dyDescent="0.3">
      <c r="A89" s="8" t="s">
        <v>5666</v>
      </c>
      <c r="B89" s="8">
        <f t="shared" si="6"/>
        <v>200087</v>
      </c>
      <c r="C89" s="1" t="s">
        <v>6939</v>
      </c>
      <c r="D89" s="8" t="str">
        <f xml:space="preserve"> "rg:{'id':'" &amp; VLOOKUP(C89,Project.csv!F:G,2,FALSE) &amp; "'}"</f>
        <v>rg:{'id':'200011'}</v>
      </c>
      <c r="E89" t="s">
        <v>6454</v>
      </c>
      <c r="F89" s="8" t="str">
        <f xml:space="preserve"> "rg:{'id':'" &amp; VLOOKUP(E89,LocalAreas.csv!F:J,5,FALSE) &amp; "'}"</f>
        <v>rg:{'id':'200077'}</v>
      </c>
      <c r="G89" s="9" t="s">
        <v>7043</v>
      </c>
      <c r="H89" s="9">
        <f ca="1">INDEX(DistrictEquipmentTypes.csv!D:D,RANDBETWEEN(2,15))</f>
        <v>200007</v>
      </c>
      <c r="I89" s="8" t="str">
        <f t="shared" ca="1" si="7"/>
        <v>rg:{ 'id': '200007'}</v>
      </c>
      <c r="J89" s="8">
        <f t="shared" ca="1" si="8"/>
        <v>1</v>
      </c>
      <c r="K89" s="8">
        <f t="shared" ca="1" si="9"/>
        <v>18</v>
      </c>
      <c r="L89" s="8" t="str">
        <f t="shared" ca="1" si="10"/>
        <v>2018-01-18</v>
      </c>
      <c r="M89" s="8" t="str">
        <f t="shared" ca="1" si="11"/>
        <v>2018-01-20</v>
      </c>
    </row>
    <row r="90" spans="1:13" x14ac:dyDescent="0.3">
      <c r="A90" s="8" t="s">
        <v>5666</v>
      </c>
      <c r="B90" s="8">
        <f t="shared" si="6"/>
        <v>200088</v>
      </c>
      <c r="C90" s="1" t="s">
        <v>6940</v>
      </c>
      <c r="D90" s="8" t="str">
        <f xml:space="preserve"> "rg:{'id':'" &amp; VLOOKUP(C90,Project.csv!F:G,2,FALSE) &amp; "'}"</f>
        <v>rg:{'id':'200012'}</v>
      </c>
      <c r="E90" t="s">
        <v>6454</v>
      </c>
      <c r="F90" s="8" t="str">
        <f xml:space="preserve"> "rg:{'id':'" &amp; VLOOKUP(E90,LocalAreas.csv!F:J,5,FALSE) &amp; "'}"</f>
        <v>rg:{'id':'200077'}</v>
      </c>
      <c r="G90" s="9" t="s">
        <v>7043</v>
      </c>
      <c r="H90" s="9">
        <f ca="1">INDEX(DistrictEquipmentTypes.csv!D:D,RANDBETWEEN(2,15))</f>
        <v>200003</v>
      </c>
      <c r="I90" s="8" t="str">
        <f t="shared" ca="1" si="7"/>
        <v>rg:{ 'id': '200003'}</v>
      </c>
      <c r="J90" s="8">
        <f t="shared" ca="1" si="8"/>
        <v>5</v>
      </c>
      <c r="K90" s="8">
        <f t="shared" ca="1" si="9"/>
        <v>84</v>
      </c>
      <c r="L90" s="8" t="str">
        <f t="shared" ca="1" si="10"/>
        <v>2018-01-07</v>
      </c>
      <c r="M90" s="8" t="str">
        <f t="shared" ca="1" si="11"/>
        <v>2018-02-28</v>
      </c>
    </row>
    <row r="91" spans="1:13" x14ac:dyDescent="0.3">
      <c r="A91" s="8" t="s">
        <v>5666</v>
      </c>
      <c r="B91" s="8">
        <f t="shared" si="6"/>
        <v>200089</v>
      </c>
      <c r="C91" s="1" t="s">
        <v>6941</v>
      </c>
      <c r="D91" s="8" t="str">
        <f xml:space="preserve"> "rg:{'id':'" &amp; VLOOKUP(C91,Project.csv!F:G,2,FALSE) &amp; "'}"</f>
        <v>rg:{'id':'200013'}</v>
      </c>
      <c r="E91" t="s">
        <v>6454</v>
      </c>
      <c r="F91" s="8" t="str">
        <f xml:space="preserve"> "rg:{'id':'" &amp; VLOOKUP(E91,LocalAreas.csv!F:J,5,FALSE) &amp; "'}"</f>
        <v>rg:{'id':'200077'}</v>
      </c>
      <c r="G91" s="9" t="s">
        <v>7043</v>
      </c>
      <c r="H91" s="9">
        <f ca="1">INDEX(DistrictEquipmentTypes.csv!D:D,RANDBETWEEN(2,15))</f>
        <v>200009</v>
      </c>
      <c r="I91" s="8" t="str">
        <f t="shared" ca="1" si="7"/>
        <v>rg:{ 'id': '200009'}</v>
      </c>
      <c r="J91" s="8">
        <f t="shared" ca="1" si="8"/>
        <v>1</v>
      </c>
      <c r="K91" s="8">
        <f t="shared" ca="1" si="9"/>
        <v>94</v>
      </c>
      <c r="L91" s="8" t="str">
        <f t="shared" ca="1" si="10"/>
        <v>2018-01-12</v>
      </c>
      <c r="M91" s="8" t="str">
        <f t="shared" ca="1" si="11"/>
        <v>2018-01-23</v>
      </c>
    </row>
    <row r="92" spans="1:13" x14ac:dyDescent="0.3">
      <c r="A92" s="8" t="s">
        <v>5666</v>
      </c>
      <c r="B92" s="8">
        <f t="shared" si="6"/>
        <v>200090</v>
      </c>
      <c r="C92" s="1" t="s">
        <v>6928</v>
      </c>
      <c r="D92" s="8" t="str">
        <f xml:space="preserve"> "rg:{'id':'" &amp; VLOOKUP(C92,Project.csv!F:G,2,FALSE) &amp; "'}"</f>
        <v>rg:{'id':'200014'}</v>
      </c>
      <c r="E92" t="s">
        <v>6454</v>
      </c>
      <c r="F92" s="8" t="str">
        <f xml:space="preserve"> "rg:{'id':'" &amp; VLOOKUP(E92,LocalAreas.csv!F:J,5,FALSE) &amp; "'}"</f>
        <v>rg:{'id':'200077'}</v>
      </c>
      <c r="G92" s="9" t="s">
        <v>7044</v>
      </c>
      <c r="H92" s="9">
        <f ca="1">INDEX(DistrictEquipmentTypes.csv!D:D,RANDBETWEEN(2,15))</f>
        <v>200003</v>
      </c>
      <c r="I92" s="8" t="str">
        <f t="shared" ca="1" si="7"/>
        <v>rg:{ 'id': '200003'}</v>
      </c>
      <c r="J92" s="8">
        <f t="shared" ca="1" si="8"/>
        <v>1</v>
      </c>
      <c r="K92" s="8">
        <f t="shared" ca="1" si="9"/>
        <v>5</v>
      </c>
      <c r="L92" s="8" t="str">
        <f t="shared" ca="1" si="10"/>
        <v>2018-01-19</v>
      </c>
      <c r="M92" s="8" t="str">
        <f t="shared" ca="1" si="11"/>
        <v>2018-01-19</v>
      </c>
    </row>
    <row r="93" spans="1:13" x14ac:dyDescent="0.3">
      <c r="A93" s="8" t="s">
        <v>5666</v>
      </c>
      <c r="B93" s="8">
        <f t="shared" si="6"/>
        <v>200091</v>
      </c>
      <c r="C93" s="1" t="s">
        <v>6942</v>
      </c>
      <c r="D93" s="8" t="str">
        <f xml:space="preserve"> "rg:{'id':'" &amp; VLOOKUP(C93,Project.csv!F:G,2,FALSE) &amp; "'}"</f>
        <v>rg:{'id':'200015'}</v>
      </c>
      <c r="E93" t="s">
        <v>6454</v>
      </c>
      <c r="F93" s="8" t="str">
        <f xml:space="preserve"> "rg:{'id':'" &amp; VLOOKUP(E93,LocalAreas.csv!F:J,5,FALSE) &amp; "'}"</f>
        <v>rg:{'id':'200077'}</v>
      </c>
      <c r="G93" s="9" t="s">
        <v>7043</v>
      </c>
      <c r="H93" s="9">
        <f ca="1">INDEX(DistrictEquipmentTypes.csv!D:D,RANDBETWEEN(2,15))</f>
        <v>200010</v>
      </c>
      <c r="I93" s="8" t="str">
        <f t="shared" ca="1" si="7"/>
        <v>rg:{ 'id': '200010'}</v>
      </c>
      <c r="J93" s="8">
        <f t="shared" ca="1" si="8"/>
        <v>1</v>
      </c>
      <c r="K93" s="8">
        <f t="shared" ca="1" si="9"/>
        <v>74</v>
      </c>
      <c r="L93" s="8" t="str">
        <f t="shared" ca="1" si="10"/>
        <v>2018-01-31</v>
      </c>
      <c r="M93" s="8" t="str">
        <f t="shared" ca="1" si="11"/>
        <v>2018-02-09</v>
      </c>
    </row>
    <row r="94" spans="1:13" x14ac:dyDescent="0.3">
      <c r="A94" s="8" t="s">
        <v>5666</v>
      </c>
      <c r="B94" s="8">
        <f t="shared" si="6"/>
        <v>200092</v>
      </c>
      <c r="C94" s="1" t="s">
        <v>6912</v>
      </c>
      <c r="D94" s="8" t="str">
        <f xml:space="preserve"> "rg:{'id':'" &amp; VLOOKUP(C94,Project.csv!F:G,2,FALSE) &amp; "'}"</f>
        <v>rg:{'id':'200016'}</v>
      </c>
      <c r="E94" t="s">
        <v>6454</v>
      </c>
      <c r="F94" s="8" t="str">
        <f xml:space="preserve"> "rg:{'id':'" &amp; VLOOKUP(E94,LocalAreas.csv!F:J,5,FALSE) &amp; "'}"</f>
        <v>rg:{'id':'200077'}</v>
      </c>
      <c r="G94" s="9" t="s">
        <v>7044</v>
      </c>
      <c r="H94" s="9">
        <f ca="1">INDEX(DistrictEquipmentTypes.csv!D:D,RANDBETWEEN(2,15))</f>
        <v>200006</v>
      </c>
      <c r="I94" s="8" t="str">
        <f t="shared" ca="1" si="7"/>
        <v>rg:{ 'id': '200006'}</v>
      </c>
      <c r="J94" s="8">
        <f t="shared" ca="1" si="8"/>
        <v>1</v>
      </c>
      <c r="K94" s="8">
        <f t="shared" ca="1" si="9"/>
        <v>40</v>
      </c>
      <c r="L94" s="8" t="str">
        <f t="shared" ca="1" si="10"/>
        <v>2018-02-02</v>
      </c>
      <c r="M94" s="8" t="str">
        <f t="shared" ca="1" si="11"/>
        <v>2018-02-07</v>
      </c>
    </row>
    <row r="95" spans="1:13" x14ac:dyDescent="0.3">
      <c r="A95" s="8" t="s">
        <v>5666</v>
      </c>
      <c r="B95" s="8">
        <f t="shared" si="6"/>
        <v>200093</v>
      </c>
      <c r="C95" s="1" t="s">
        <v>6943</v>
      </c>
      <c r="D95" s="8" t="str">
        <f xml:space="preserve"> "rg:{'id':'" &amp; VLOOKUP(C95,Project.csv!F:G,2,FALSE) &amp; "'}"</f>
        <v>rg:{'id':'200017'}</v>
      </c>
      <c r="E95" t="s">
        <v>6454</v>
      </c>
      <c r="F95" s="8" t="str">
        <f xml:space="preserve"> "rg:{'id':'" &amp; VLOOKUP(E95,LocalAreas.csv!F:J,5,FALSE) &amp; "'}"</f>
        <v>rg:{'id':'200077'}</v>
      </c>
      <c r="G95" s="9" t="s">
        <v>7043</v>
      </c>
      <c r="H95" s="9">
        <f ca="1">INDEX(DistrictEquipmentTypes.csv!D:D,RANDBETWEEN(2,15))</f>
        <v>200010</v>
      </c>
      <c r="I95" s="8" t="str">
        <f t="shared" ca="1" si="7"/>
        <v>rg:{ 'id': '200010'}</v>
      </c>
      <c r="J95" s="8">
        <f t="shared" ca="1" si="8"/>
        <v>1</v>
      </c>
      <c r="K95" s="8">
        <f t="shared" ca="1" si="9"/>
        <v>59</v>
      </c>
      <c r="L95" s="8" t="str">
        <f t="shared" ca="1" si="10"/>
        <v>2018-02-05</v>
      </c>
      <c r="M95" s="8" t="str">
        <f t="shared" ca="1" si="11"/>
        <v>2018-02-12</v>
      </c>
    </row>
    <row r="96" spans="1:13" x14ac:dyDescent="0.3">
      <c r="A96" s="8" t="s">
        <v>5666</v>
      </c>
      <c r="B96" s="8">
        <f t="shared" si="6"/>
        <v>200094</v>
      </c>
      <c r="C96" s="1" t="s">
        <v>6889</v>
      </c>
      <c r="D96" s="8" t="str">
        <f xml:space="preserve"> "rg:{'id':'" &amp; VLOOKUP(C96,Project.csv!F:G,2,FALSE) &amp; "'}"</f>
        <v>rg:{'id':'200018'}</v>
      </c>
      <c r="E96" t="s">
        <v>6454</v>
      </c>
      <c r="F96" s="8" t="str">
        <f xml:space="preserve"> "rg:{'id':'" &amp; VLOOKUP(E96,LocalAreas.csv!F:J,5,FALSE) &amp; "'}"</f>
        <v>rg:{'id':'200077'}</v>
      </c>
      <c r="G96" s="9" t="s">
        <v>7045</v>
      </c>
      <c r="H96" s="9">
        <f ca="1">INDEX(DistrictEquipmentTypes.csv!D:D,RANDBETWEEN(2,15))</f>
        <v>200008</v>
      </c>
      <c r="I96" s="8" t="str">
        <f t="shared" ca="1" si="7"/>
        <v>rg:{ 'id': '200008'}</v>
      </c>
      <c r="J96" s="8">
        <f t="shared" ca="1" si="8"/>
        <v>5</v>
      </c>
      <c r="K96" s="8">
        <f t="shared" ca="1" si="9"/>
        <v>14</v>
      </c>
      <c r="L96" s="8" t="str">
        <f t="shared" ca="1" si="10"/>
        <v>2018-01-09</v>
      </c>
      <c r="M96" s="8" t="str">
        <f t="shared" ca="1" si="11"/>
        <v>2018-01-17</v>
      </c>
    </row>
    <row r="97" spans="1:13" x14ac:dyDescent="0.3">
      <c r="A97" s="8" t="s">
        <v>5666</v>
      </c>
      <c r="B97" s="8">
        <f t="shared" si="6"/>
        <v>200095</v>
      </c>
      <c r="C97" s="1" t="s">
        <v>6944</v>
      </c>
      <c r="D97" s="8" t="str">
        <f xml:space="preserve"> "rg:{'id':'" &amp; VLOOKUP(C97,Project.csv!F:G,2,FALSE) &amp; "'}"</f>
        <v>rg:{'id':'200019'}</v>
      </c>
      <c r="E97" t="s">
        <v>6454</v>
      </c>
      <c r="F97" s="8" t="str">
        <f xml:space="preserve"> "rg:{'id':'" &amp; VLOOKUP(E97,LocalAreas.csv!F:J,5,FALSE) &amp; "'}"</f>
        <v>rg:{'id':'200077'}</v>
      </c>
      <c r="G97" s="9" t="s">
        <v>7043</v>
      </c>
      <c r="H97" s="9">
        <f ca="1">INDEX(DistrictEquipmentTypes.csv!D:D,RANDBETWEEN(2,15))</f>
        <v>200011</v>
      </c>
      <c r="I97" s="8" t="str">
        <f t="shared" ca="1" si="7"/>
        <v>rg:{ 'id': '200011'}</v>
      </c>
      <c r="J97" s="8">
        <f t="shared" ca="1" si="8"/>
        <v>2</v>
      </c>
      <c r="K97" s="8">
        <f t="shared" ca="1" si="9"/>
        <v>30</v>
      </c>
      <c r="L97" s="8" t="str">
        <f t="shared" ca="1" si="10"/>
        <v>2018-01-21</v>
      </c>
      <c r="M97" s="8" t="str">
        <f t="shared" ca="1" si="11"/>
        <v>2018-01-28</v>
      </c>
    </row>
    <row r="98" spans="1:13" x14ac:dyDescent="0.3">
      <c r="A98" s="8" t="s">
        <v>5666</v>
      </c>
      <c r="B98" s="8">
        <f t="shared" si="6"/>
        <v>200096</v>
      </c>
      <c r="C98" s="1" t="s">
        <v>6896</v>
      </c>
      <c r="D98" s="8" t="str">
        <f xml:space="preserve"> "rg:{'id':'" &amp; VLOOKUP(C98,Project.csv!F:G,2,FALSE) &amp; "'}"</f>
        <v>rg:{'id':'200020'}</v>
      </c>
      <c r="E98" t="s">
        <v>6454</v>
      </c>
      <c r="F98" s="8" t="str">
        <f xml:space="preserve"> "rg:{'id':'" &amp; VLOOKUP(E98,LocalAreas.csv!F:J,5,FALSE) &amp; "'}"</f>
        <v>rg:{'id':'200077'}</v>
      </c>
      <c r="G98" s="9" t="s">
        <v>7045</v>
      </c>
      <c r="H98" s="9">
        <f ca="1">INDEX(DistrictEquipmentTypes.csv!D:D,RANDBETWEEN(2,15))</f>
        <v>200009</v>
      </c>
      <c r="I98" s="8" t="str">
        <f t="shared" ca="1" si="7"/>
        <v>rg:{ 'id': '200009'}</v>
      </c>
      <c r="J98" s="8">
        <f t="shared" ca="1" si="8"/>
        <v>1</v>
      </c>
      <c r="K98" s="8">
        <f t="shared" ca="1" si="9"/>
        <v>86</v>
      </c>
      <c r="L98" s="8" t="str">
        <f t="shared" ca="1" si="10"/>
        <v>2018-01-27</v>
      </c>
      <c r="M98" s="8" t="str">
        <f t="shared" ca="1" si="11"/>
        <v>2018-02-06</v>
      </c>
    </row>
    <row r="99" spans="1:13" x14ac:dyDescent="0.3">
      <c r="A99" s="8" t="s">
        <v>5666</v>
      </c>
      <c r="B99" s="8">
        <f t="shared" si="6"/>
        <v>200097</v>
      </c>
      <c r="C99" s="1" t="s">
        <v>6945</v>
      </c>
      <c r="D99" s="8" t="str">
        <f xml:space="preserve"> "rg:{'id':'" &amp; VLOOKUP(C99,Project.csv!F:G,2,FALSE) &amp; "'}"</f>
        <v>rg:{'id':'200021'}</v>
      </c>
      <c r="E99" t="s">
        <v>6454</v>
      </c>
      <c r="F99" s="8" t="str">
        <f xml:space="preserve"> "rg:{'id':'" &amp; VLOOKUP(E99,LocalAreas.csv!F:J,5,FALSE) &amp; "'}"</f>
        <v>rg:{'id':'200077'}</v>
      </c>
      <c r="G99" s="9" t="s">
        <v>7043</v>
      </c>
      <c r="H99" s="9">
        <f ca="1">INDEX(DistrictEquipmentTypes.csv!D:D,RANDBETWEEN(2,15))</f>
        <v>200012</v>
      </c>
      <c r="I99" s="8" t="str">
        <f t="shared" ca="1" si="7"/>
        <v>rg:{ 'id': '200012'}</v>
      </c>
      <c r="J99" s="8">
        <f t="shared" ca="1" si="8"/>
        <v>1</v>
      </c>
      <c r="K99" s="8">
        <f t="shared" ca="1" si="9"/>
        <v>14</v>
      </c>
      <c r="L99" s="8" t="str">
        <f t="shared" ca="1" si="10"/>
        <v>2018-01-29</v>
      </c>
      <c r="M99" s="8" t="str">
        <f t="shared" ca="1" si="11"/>
        <v>2018-01-30</v>
      </c>
    </row>
    <row r="100" spans="1:13" x14ac:dyDescent="0.3">
      <c r="A100" s="8" t="s">
        <v>5666</v>
      </c>
      <c r="B100" s="8">
        <f t="shared" si="6"/>
        <v>200098</v>
      </c>
      <c r="C100" s="1" t="s">
        <v>6888</v>
      </c>
      <c r="D100" s="8" t="str">
        <f xml:space="preserve"> "rg:{'id':'" &amp; VLOOKUP(C100,Project.csv!F:G,2,FALSE) &amp; "'}"</f>
        <v>rg:{'id':'200022'}</v>
      </c>
      <c r="E100" t="s">
        <v>6454</v>
      </c>
      <c r="F100" s="8" t="str">
        <f xml:space="preserve"> "rg:{'id':'" &amp; VLOOKUP(E100,LocalAreas.csv!F:J,5,FALSE) &amp; "'}"</f>
        <v>rg:{'id':'200077'}</v>
      </c>
      <c r="G100" s="9" t="s">
        <v>7043</v>
      </c>
      <c r="H100" s="9">
        <f ca="1">INDEX(DistrictEquipmentTypes.csv!D:D,RANDBETWEEN(2,15))</f>
        <v>200013</v>
      </c>
      <c r="I100" s="8" t="str">
        <f t="shared" ca="1" si="7"/>
        <v>rg:{ 'id': '200013'}</v>
      </c>
      <c r="J100" s="8">
        <f t="shared" ca="1" si="8"/>
        <v>1</v>
      </c>
      <c r="K100" s="8">
        <f t="shared" ca="1" si="9"/>
        <v>33</v>
      </c>
      <c r="L100" s="8" t="str">
        <f t="shared" ca="1" si="10"/>
        <v>2018-01-17</v>
      </c>
      <c r="M100" s="8" t="str">
        <f t="shared" ca="1" si="11"/>
        <v>2018-01-21</v>
      </c>
    </row>
    <row r="101" spans="1:13" x14ac:dyDescent="0.3">
      <c r="A101" s="8" t="s">
        <v>5666</v>
      </c>
      <c r="B101" s="8">
        <f t="shared" si="6"/>
        <v>200099</v>
      </c>
      <c r="C101" s="1" t="s">
        <v>6946</v>
      </c>
      <c r="D101" s="8" t="str">
        <f xml:space="preserve"> "rg:{'id':'" &amp; VLOOKUP(C101,Project.csv!F:G,2,FALSE) &amp; "'}"</f>
        <v>rg:{'id':'200023'}</v>
      </c>
      <c r="E101" t="s">
        <v>6454</v>
      </c>
      <c r="F101" s="8" t="str">
        <f xml:space="preserve"> "rg:{'id':'" &amp; VLOOKUP(E101,LocalAreas.csv!F:J,5,FALSE) &amp; "'}"</f>
        <v>rg:{'id':'200077'}</v>
      </c>
      <c r="G101" s="9" t="s">
        <v>7043</v>
      </c>
      <c r="H101" s="9">
        <f ca="1">INDEX(DistrictEquipmentTypes.csv!D:D,RANDBETWEEN(2,15))</f>
        <v>200011</v>
      </c>
      <c r="I101" s="8" t="str">
        <f t="shared" ca="1" si="7"/>
        <v>rg:{ 'id': '200011'}</v>
      </c>
      <c r="J101" s="8">
        <f t="shared" ca="1" si="8"/>
        <v>1</v>
      </c>
      <c r="K101" s="8">
        <f t="shared" ca="1" si="9"/>
        <v>24</v>
      </c>
      <c r="L101" s="8" t="str">
        <f t="shared" ca="1" si="10"/>
        <v>2018-02-11</v>
      </c>
      <c r="M101" s="8" t="str">
        <f t="shared" ca="1" si="11"/>
        <v>2018-02-14</v>
      </c>
    </row>
    <row r="102" spans="1:13" x14ac:dyDescent="0.3">
      <c r="A102" s="8" t="s">
        <v>5666</v>
      </c>
      <c r="B102" s="8">
        <f t="shared" si="6"/>
        <v>200100</v>
      </c>
      <c r="C102" s="1" t="s">
        <v>6947</v>
      </c>
      <c r="D102" s="8" t="str">
        <f xml:space="preserve"> "rg:{'id':'" &amp; VLOOKUP(C102,Project.csv!F:G,2,FALSE) &amp; "'}"</f>
        <v>rg:{'id':'200024'}</v>
      </c>
      <c r="E102" t="s">
        <v>6454</v>
      </c>
      <c r="F102" s="8" t="str">
        <f xml:space="preserve"> "rg:{'id':'" &amp; VLOOKUP(E102,LocalAreas.csv!F:J,5,FALSE) &amp; "'}"</f>
        <v>rg:{'id':'200077'}</v>
      </c>
      <c r="G102" s="9" t="s">
        <v>7043</v>
      </c>
      <c r="H102" s="9">
        <f ca="1">INDEX(DistrictEquipmentTypes.csv!D:D,RANDBETWEEN(2,15))</f>
        <v>200005</v>
      </c>
      <c r="I102" s="8" t="str">
        <f t="shared" ca="1" si="7"/>
        <v>rg:{ 'id': '200005'}</v>
      </c>
      <c r="J102" s="8">
        <f t="shared" ca="1" si="8"/>
        <v>1</v>
      </c>
      <c r="K102" s="8">
        <f t="shared" ca="1" si="9"/>
        <v>4</v>
      </c>
      <c r="L102" s="8" t="str">
        <f t="shared" ca="1" si="10"/>
        <v>2018-02-16</v>
      </c>
      <c r="M102" s="8" t="str">
        <f t="shared" ca="1" si="11"/>
        <v>2018-02-16</v>
      </c>
    </row>
    <row r="103" spans="1:13" x14ac:dyDescent="0.3">
      <c r="A103" s="8" t="s">
        <v>5666</v>
      </c>
      <c r="B103" s="8">
        <f t="shared" si="6"/>
        <v>200101</v>
      </c>
      <c r="C103" s="1" t="s">
        <v>6907</v>
      </c>
      <c r="D103" s="8" t="str">
        <f xml:space="preserve"> "rg:{'id':'" &amp; VLOOKUP(C103,Project.csv!F:G,2,FALSE) &amp; "'}"</f>
        <v>rg:{'id':'200025'}</v>
      </c>
      <c r="E103" t="s">
        <v>6454</v>
      </c>
      <c r="F103" s="8" t="str">
        <f xml:space="preserve"> "rg:{'id':'" &amp; VLOOKUP(E103,LocalAreas.csv!F:J,5,FALSE) &amp; "'}"</f>
        <v>rg:{'id':'200077'}</v>
      </c>
      <c r="G103" s="9" t="s">
        <v>7043</v>
      </c>
      <c r="H103" s="9">
        <f ca="1">INDEX(DistrictEquipmentTypes.csv!D:D,RANDBETWEEN(2,15))</f>
        <v>200012</v>
      </c>
      <c r="I103" s="8" t="str">
        <f t="shared" ca="1" si="7"/>
        <v>rg:{ 'id': '200012'}</v>
      </c>
      <c r="J103" s="8">
        <f t="shared" ca="1" si="8"/>
        <v>1</v>
      </c>
      <c r="K103" s="8">
        <f t="shared" ca="1" si="9"/>
        <v>52</v>
      </c>
      <c r="L103" s="8" t="str">
        <f t="shared" ca="1" si="10"/>
        <v>2018-01-05</v>
      </c>
      <c r="M103" s="8" t="str">
        <f t="shared" ca="1" si="11"/>
        <v>2018-01-11</v>
      </c>
    </row>
    <row r="104" spans="1:13" x14ac:dyDescent="0.3">
      <c r="A104" s="8" t="s">
        <v>5666</v>
      </c>
      <c r="B104" s="8">
        <f t="shared" si="6"/>
        <v>200102</v>
      </c>
      <c r="C104" s="1" t="s">
        <v>6948</v>
      </c>
      <c r="D104" s="8" t="str">
        <f xml:space="preserve"> "rg:{'id':'" &amp; VLOOKUP(C104,Project.csv!F:G,2,FALSE) &amp; "'}"</f>
        <v>rg:{'id':'200026'}</v>
      </c>
      <c r="E104" t="s">
        <v>6454</v>
      </c>
      <c r="F104" s="8" t="str">
        <f xml:space="preserve"> "rg:{'id':'" &amp; VLOOKUP(E104,LocalAreas.csv!F:J,5,FALSE) &amp; "'}"</f>
        <v>rg:{'id':'200077'}</v>
      </c>
      <c r="G104" s="9" t="s">
        <v>7043</v>
      </c>
      <c r="H104" s="9">
        <f ca="1">INDEX(DistrictEquipmentTypes.csv!D:D,RANDBETWEEN(2,15))</f>
        <v>200002</v>
      </c>
      <c r="I104" s="8" t="str">
        <f t="shared" ca="1" si="7"/>
        <v>rg:{ 'id': '200002'}</v>
      </c>
      <c r="J104" s="8">
        <f t="shared" ca="1" si="8"/>
        <v>1</v>
      </c>
      <c r="K104" s="8">
        <f t="shared" ca="1" si="9"/>
        <v>23</v>
      </c>
      <c r="L104" s="8" t="str">
        <f t="shared" ca="1" si="10"/>
        <v>2018-02-11</v>
      </c>
      <c r="M104" s="8" t="str">
        <f t="shared" ca="1" si="11"/>
        <v>2018-02-13</v>
      </c>
    </row>
    <row r="105" spans="1:13" x14ac:dyDescent="0.3">
      <c r="A105" s="8" t="s">
        <v>5666</v>
      </c>
      <c r="B105" s="8">
        <f t="shared" si="6"/>
        <v>200103</v>
      </c>
      <c r="C105" s="1" t="s">
        <v>6922</v>
      </c>
      <c r="D105" s="8" t="str">
        <f xml:space="preserve"> "rg:{'id':'" &amp; VLOOKUP(C105,Project.csv!F:G,2,FALSE) &amp; "'}"</f>
        <v>rg:{'id':'200027'}</v>
      </c>
      <c r="E105" t="s">
        <v>6454</v>
      </c>
      <c r="F105" s="8" t="str">
        <f xml:space="preserve"> "rg:{'id':'" &amp; VLOOKUP(E105,LocalAreas.csv!F:J,5,FALSE) &amp; "'}"</f>
        <v>rg:{'id':'200077'}</v>
      </c>
      <c r="G105" s="9" t="s">
        <v>7043</v>
      </c>
      <c r="H105" s="9">
        <f ca="1">INDEX(DistrictEquipmentTypes.csv!D:D,RANDBETWEEN(2,15))</f>
        <v>200001</v>
      </c>
      <c r="I105" s="8" t="str">
        <f t="shared" ca="1" si="7"/>
        <v>rg:{ 'id': '200001'}</v>
      </c>
      <c r="J105" s="8">
        <f t="shared" ca="1" si="8"/>
        <v>1</v>
      </c>
      <c r="K105" s="8">
        <f t="shared" ca="1" si="9"/>
        <v>50</v>
      </c>
      <c r="L105" s="8" t="str">
        <f t="shared" ca="1" si="10"/>
        <v>2018-01-20</v>
      </c>
      <c r="M105" s="8" t="str">
        <f t="shared" ca="1" si="11"/>
        <v>2018-01-26</v>
      </c>
    </row>
    <row r="106" spans="1:13" x14ac:dyDescent="0.3">
      <c r="A106" s="8" t="s">
        <v>5666</v>
      </c>
      <c r="B106" s="8">
        <f t="shared" si="6"/>
        <v>200104</v>
      </c>
      <c r="C106" s="1" t="s">
        <v>6949</v>
      </c>
      <c r="D106" s="8" t="str">
        <f xml:space="preserve"> "rg:{'id':'" &amp; VLOOKUP(C106,Project.csv!F:G,2,FALSE) &amp; "'}"</f>
        <v>rg:{'id':'200028'}</v>
      </c>
      <c r="E106" t="s">
        <v>6454</v>
      </c>
      <c r="F106" s="8" t="str">
        <f xml:space="preserve"> "rg:{'id':'" &amp; VLOOKUP(E106,LocalAreas.csv!F:J,5,FALSE) &amp; "'}"</f>
        <v>rg:{'id':'200077'}</v>
      </c>
      <c r="G106" s="9" t="s">
        <v>7043</v>
      </c>
      <c r="H106" s="9">
        <f ca="1">INDEX(DistrictEquipmentTypes.csv!D:D,RANDBETWEEN(2,15))</f>
        <v>200004</v>
      </c>
      <c r="I106" s="8" t="str">
        <f t="shared" ca="1" si="7"/>
        <v>rg:{ 'id': '200004'}</v>
      </c>
      <c r="J106" s="8">
        <f t="shared" ca="1" si="8"/>
        <v>1</v>
      </c>
      <c r="K106" s="8">
        <f t="shared" ca="1" si="9"/>
        <v>65</v>
      </c>
      <c r="L106" s="8" t="str">
        <f t="shared" ca="1" si="10"/>
        <v>2018-02-02</v>
      </c>
      <c r="M106" s="8" t="str">
        <f t="shared" ca="1" si="11"/>
        <v>2018-02-10</v>
      </c>
    </row>
    <row r="107" spans="1:13" x14ac:dyDescent="0.3">
      <c r="A107" s="8" t="s">
        <v>5666</v>
      </c>
      <c r="B107" s="8">
        <f t="shared" si="6"/>
        <v>200105</v>
      </c>
      <c r="C107" s="1" t="s">
        <v>6950</v>
      </c>
      <c r="D107" s="8" t="str">
        <f xml:space="preserve"> "rg:{'id':'" &amp; VLOOKUP(C107,Project.csv!F:G,2,FALSE) &amp; "'}"</f>
        <v>rg:{'id':'200029'}</v>
      </c>
      <c r="E107" t="s">
        <v>6454</v>
      </c>
      <c r="F107" s="8" t="str">
        <f xml:space="preserve"> "rg:{'id':'" &amp; VLOOKUP(E107,LocalAreas.csv!F:J,5,FALSE) &amp; "'}"</f>
        <v>rg:{'id':'200077'}</v>
      </c>
      <c r="G107" s="9" t="s">
        <v>7043</v>
      </c>
      <c r="H107" s="9">
        <f ca="1">INDEX(DistrictEquipmentTypes.csv!D:D,RANDBETWEEN(2,15))</f>
        <v>200009</v>
      </c>
      <c r="I107" s="8" t="str">
        <f t="shared" ca="1" si="7"/>
        <v>rg:{ 'id': '200009'}</v>
      </c>
      <c r="J107" s="8">
        <f t="shared" ca="1" si="8"/>
        <v>1</v>
      </c>
      <c r="K107" s="8">
        <f t="shared" ca="1" si="9"/>
        <v>98</v>
      </c>
      <c r="L107" s="8" t="str">
        <f t="shared" ca="1" si="10"/>
        <v>2018-02-20</v>
      </c>
      <c r="M107" s="8" t="str">
        <f t="shared" ca="1" si="11"/>
        <v>2018-03-04</v>
      </c>
    </row>
    <row r="108" spans="1:13" x14ac:dyDescent="0.3">
      <c r="A108" s="8" t="s">
        <v>5666</v>
      </c>
      <c r="B108" s="8">
        <f t="shared" si="6"/>
        <v>200106</v>
      </c>
      <c r="C108" s="1" t="s">
        <v>6951</v>
      </c>
      <c r="D108" s="8" t="str">
        <f xml:space="preserve"> "rg:{'id':'" &amp; VLOOKUP(C108,Project.csv!F:G,2,FALSE) &amp; "'}"</f>
        <v>rg:{'id':'200030'}</v>
      </c>
      <c r="E108" t="s">
        <v>6454</v>
      </c>
      <c r="F108" s="8" t="str">
        <f xml:space="preserve"> "rg:{'id':'" &amp; VLOOKUP(E108,LocalAreas.csv!F:J,5,FALSE) &amp; "'}"</f>
        <v>rg:{'id':'200077'}</v>
      </c>
      <c r="G108" s="9" t="s">
        <v>7043</v>
      </c>
      <c r="H108" s="9">
        <f ca="1">INDEX(DistrictEquipmentTypes.csv!D:D,RANDBETWEEN(2,15))</f>
        <v>200002</v>
      </c>
      <c r="I108" s="8" t="str">
        <f t="shared" ca="1" si="7"/>
        <v>rg:{ 'id': '200002'}</v>
      </c>
      <c r="J108" s="8">
        <f t="shared" ca="1" si="8"/>
        <v>1</v>
      </c>
      <c r="K108" s="8">
        <f t="shared" ca="1" si="9"/>
        <v>26</v>
      </c>
      <c r="L108" s="8" t="str">
        <f t="shared" ca="1" si="10"/>
        <v>2018-02-09</v>
      </c>
      <c r="M108" s="8" t="str">
        <f t="shared" ca="1" si="11"/>
        <v>2018-02-12</v>
      </c>
    </row>
    <row r="109" spans="1:13" x14ac:dyDescent="0.3">
      <c r="A109" s="8" t="s">
        <v>5666</v>
      </c>
      <c r="B109" s="8">
        <f t="shared" si="6"/>
        <v>200107</v>
      </c>
      <c r="C109" s="1" t="s">
        <v>6952</v>
      </c>
      <c r="D109" s="8" t="str">
        <f xml:space="preserve"> "rg:{'id':'" &amp; VLOOKUP(C109,Project.csv!F:G,2,FALSE) &amp; "'}"</f>
        <v>rg:{'id':'200031'}</v>
      </c>
      <c r="E109" t="s">
        <v>6454</v>
      </c>
      <c r="F109" s="8" t="str">
        <f xml:space="preserve"> "rg:{'id':'" &amp; VLOOKUP(E109,LocalAreas.csv!F:J,5,FALSE) &amp; "'}"</f>
        <v>rg:{'id':'200077'}</v>
      </c>
      <c r="G109" s="9" t="s">
        <v>7043</v>
      </c>
      <c r="H109" s="9">
        <f ca="1">INDEX(DistrictEquipmentTypes.csv!D:D,RANDBETWEEN(2,15))</f>
        <v>200008</v>
      </c>
      <c r="I109" s="8" t="str">
        <f t="shared" ca="1" si="7"/>
        <v>rg:{ 'id': '200008'}</v>
      </c>
      <c r="J109" s="8">
        <f t="shared" ca="1" si="8"/>
        <v>4</v>
      </c>
      <c r="K109" s="8">
        <f t="shared" ca="1" si="9"/>
        <v>26</v>
      </c>
      <c r="L109" s="8" t="str">
        <f t="shared" ca="1" si="10"/>
        <v>2018-02-04</v>
      </c>
      <c r="M109" s="8" t="str">
        <f t="shared" ca="1" si="11"/>
        <v>2018-02-17</v>
      </c>
    </row>
    <row r="110" spans="1:13" x14ac:dyDescent="0.3">
      <c r="A110" s="8" t="s">
        <v>5666</v>
      </c>
      <c r="B110" s="8">
        <f t="shared" si="6"/>
        <v>200108</v>
      </c>
      <c r="C110" s="1" t="s">
        <v>6953</v>
      </c>
      <c r="D110" s="8" t="str">
        <f xml:space="preserve"> "rg:{'id':'" &amp; VLOOKUP(C110,Project.csv!F:G,2,FALSE) &amp; "'}"</f>
        <v>rg:{'id':'200032'}</v>
      </c>
      <c r="E110" t="s">
        <v>6454</v>
      </c>
      <c r="F110" s="8" t="str">
        <f xml:space="preserve"> "rg:{'id':'" &amp; VLOOKUP(E110,LocalAreas.csv!F:J,5,FALSE) &amp; "'}"</f>
        <v>rg:{'id':'200077'}</v>
      </c>
      <c r="G110" s="9" t="s">
        <v>7043</v>
      </c>
      <c r="H110" s="9">
        <f ca="1">INDEX(DistrictEquipmentTypes.csv!D:D,RANDBETWEEN(2,15))</f>
        <v>200009</v>
      </c>
      <c r="I110" s="8" t="str">
        <f t="shared" ca="1" si="7"/>
        <v>rg:{ 'id': '200009'}</v>
      </c>
      <c r="J110" s="8">
        <f t="shared" ca="1" si="8"/>
        <v>1</v>
      </c>
      <c r="K110" s="8">
        <f t="shared" ca="1" si="9"/>
        <v>5</v>
      </c>
      <c r="L110" s="8" t="str">
        <f t="shared" ca="1" si="10"/>
        <v>2018-01-26</v>
      </c>
      <c r="M110" s="8" t="str">
        <f t="shared" ca="1" si="11"/>
        <v>2018-01-26</v>
      </c>
    </row>
    <row r="111" spans="1:13" x14ac:dyDescent="0.3">
      <c r="A111" s="8" t="s">
        <v>5666</v>
      </c>
      <c r="B111" s="8">
        <f t="shared" si="6"/>
        <v>200109</v>
      </c>
      <c r="C111" s="1" t="s">
        <v>6898</v>
      </c>
      <c r="D111" s="8" t="str">
        <f xml:space="preserve"> "rg:{'id':'" &amp; VLOOKUP(C111,Project.csv!F:G,2,FALSE) &amp; "'}"</f>
        <v>rg:{'id':'200033'}</v>
      </c>
      <c r="E111" t="s">
        <v>6454</v>
      </c>
      <c r="F111" s="8" t="str">
        <f xml:space="preserve"> "rg:{'id':'" &amp; VLOOKUP(E111,LocalAreas.csv!F:J,5,FALSE) &amp; "'}"</f>
        <v>rg:{'id':'200077'}</v>
      </c>
      <c r="G111" s="9" t="s">
        <v>7043</v>
      </c>
      <c r="H111" s="9">
        <f ca="1">INDEX(DistrictEquipmentTypes.csv!D:D,RANDBETWEEN(2,15))</f>
        <v>200007</v>
      </c>
      <c r="I111" s="8" t="str">
        <f t="shared" ca="1" si="7"/>
        <v>rg:{ 'id': '200007'}</v>
      </c>
      <c r="J111" s="8">
        <f t="shared" ca="1" si="8"/>
        <v>1</v>
      </c>
      <c r="K111" s="8">
        <f t="shared" ca="1" si="9"/>
        <v>66</v>
      </c>
      <c r="L111" s="8" t="str">
        <f t="shared" ca="1" si="10"/>
        <v>2018-02-21</v>
      </c>
      <c r="M111" s="8" t="str">
        <f t="shared" ca="1" si="11"/>
        <v>2018-03-01</v>
      </c>
    </row>
    <row r="112" spans="1:13" x14ac:dyDescent="0.3">
      <c r="A112" s="8" t="s">
        <v>5666</v>
      </c>
      <c r="B112" s="8">
        <f t="shared" si="6"/>
        <v>200110</v>
      </c>
      <c r="C112" s="1" t="s">
        <v>6904</v>
      </c>
      <c r="D112" s="8" t="str">
        <f xml:space="preserve"> "rg:{'id':'" &amp; VLOOKUP(C112,Project.csv!F:G,2,FALSE) &amp; "'}"</f>
        <v>rg:{'id':'200034'}</v>
      </c>
      <c r="E112" t="s">
        <v>6454</v>
      </c>
      <c r="F112" s="8" t="str">
        <f xml:space="preserve"> "rg:{'id':'" &amp; VLOOKUP(E112,LocalAreas.csv!F:J,5,FALSE) &amp; "'}"</f>
        <v>rg:{'id':'200077'}</v>
      </c>
      <c r="G112" s="9" t="s">
        <v>7043</v>
      </c>
      <c r="H112" s="9">
        <f ca="1">INDEX(DistrictEquipmentTypes.csv!D:D,RANDBETWEEN(2,15))</f>
        <v>200004</v>
      </c>
      <c r="I112" s="8" t="str">
        <f t="shared" ca="1" si="7"/>
        <v>rg:{ 'id': '200004'}</v>
      </c>
      <c r="J112" s="8">
        <f t="shared" ca="1" si="8"/>
        <v>4</v>
      </c>
      <c r="K112" s="8">
        <f t="shared" ca="1" si="9"/>
        <v>48</v>
      </c>
      <c r="L112" s="8" t="str">
        <f t="shared" ca="1" si="10"/>
        <v>2018-02-10</v>
      </c>
      <c r="M112" s="8" t="str">
        <f t="shared" ca="1" si="11"/>
        <v>2018-03-06</v>
      </c>
    </row>
    <row r="113" spans="1:13" x14ac:dyDescent="0.3">
      <c r="A113" s="8" t="s">
        <v>5666</v>
      </c>
      <c r="B113" s="8">
        <f t="shared" si="6"/>
        <v>200111</v>
      </c>
      <c r="C113" s="1" t="s">
        <v>6954</v>
      </c>
      <c r="D113" s="8" t="str">
        <f xml:space="preserve"> "rg:{'id':'" &amp; VLOOKUP(C113,Project.csv!F:G,2,FALSE) &amp; "'}"</f>
        <v>rg:{'id':'200035'}</v>
      </c>
      <c r="E113" t="s">
        <v>6454</v>
      </c>
      <c r="F113" s="8" t="str">
        <f xml:space="preserve"> "rg:{'id':'" &amp; VLOOKUP(E113,LocalAreas.csv!F:J,5,FALSE) &amp; "'}"</f>
        <v>rg:{'id':'200077'}</v>
      </c>
      <c r="G113" s="9" t="s">
        <v>7043</v>
      </c>
      <c r="H113" s="9">
        <f ca="1">INDEX(DistrictEquipmentTypes.csv!D:D,RANDBETWEEN(2,15))</f>
        <v>200001</v>
      </c>
      <c r="I113" s="8" t="str">
        <f t="shared" ca="1" si="7"/>
        <v>rg:{ 'id': '200001'}</v>
      </c>
      <c r="J113" s="8">
        <f t="shared" ca="1" si="8"/>
        <v>1</v>
      </c>
      <c r="K113" s="8">
        <f t="shared" ca="1" si="9"/>
        <v>96</v>
      </c>
      <c r="L113" s="8" t="str">
        <f t="shared" ca="1" si="10"/>
        <v>2018-01-19</v>
      </c>
      <c r="M113" s="8" t="str">
        <f t="shared" ca="1" si="11"/>
        <v>2018-01-31</v>
      </c>
    </row>
    <row r="114" spans="1:13" x14ac:dyDescent="0.3">
      <c r="A114" s="8" t="s">
        <v>5666</v>
      </c>
      <c r="B114" s="8">
        <f t="shared" si="6"/>
        <v>200112</v>
      </c>
      <c r="C114" s="1" t="s">
        <v>6955</v>
      </c>
      <c r="D114" s="8" t="str">
        <f xml:space="preserve"> "rg:{'id':'" &amp; VLOOKUP(C114,Project.csv!F:G,2,FALSE) &amp; "'}"</f>
        <v>rg:{'id':'200036'}</v>
      </c>
      <c r="E114" t="s">
        <v>6454</v>
      </c>
      <c r="F114" s="8" t="str">
        <f xml:space="preserve"> "rg:{'id':'" &amp; VLOOKUP(E114,LocalAreas.csv!F:J,5,FALSE) &amp; "'}"</f>
        <v>rg:{'id':'200077'}</v>
      </c>
      <c r="G114" s="9" t="s">
        <v>7043</v>
      </c>
      <c r="H114" s="9">
        <f ca="1">INDEX(DistrictEquipmentTypes.csv!D:D,RANDBETWEEN(2,15))</f>
        <v>200003</v>
      </c>
      <c r="I114" s="8" t="str">
        <f t="shared" ca="1" si="7"/>
        <v>rg:{ 'id': '200003'}</v>
      </c>
      <c r="J114" s="8">
        <f t="shared" ca="1" si="8"/>
        <v>1</v>
      </c>
      <c r="K114" s="8">
        <f t="shared" ca="1" si="9"/>
        <v>95</v>
      </c>
      <c r="L114" s="8" t="str">
        <f t="shared" ca="1" si="10"/>
        <v>2018-01-09</v>
      </c>
      <c r="M114" s="8" t="str">
        <f t="shared" ca="1" si="11"/>
        <v>2018-01-20</v>
      </c>
    </row>
    <row r="115" spans="1:13" x14ac:dyDescent="0.3">
      <c r="A115" s="8" t="s">
        <v>5666</v>
      </c>
      <c r="B115" s="8">
        <f t="shared" si="6"/>
        <v>200113</v>
      </c>
      <c r="C115" s="1" t="s">
        <v>6956</v>
      </c>
      <c r="D115" s="8" t="str">
        <f xml:space="preserve"> "rg:{'id':'" &amp; VLOOKUP(C115,Project.csv!F:G,2,FALSE) &amp; "'}"</f>
        <v>rg:{'id':'200037'}</v>
      </c>
      <c r="E115" t="s">
        <v>6454</v>
      </c>
      <c r="F115" s="8" t="str">
        <f xml:space="preserve"> "rg:{'id':'" &amp; VLOOKUP(E115,LocalAreas.csv!F:J,5,FALSE) &amp; "'}"</f>
        <v>rg:{'id':'200077'}</v>
      </c>
      <c r="G115" s="9" t="s">
        <v>7043</v>
      </c>
      <c r="H115" s="9">
        <f ca="1">INDEX(DistrictEquipmentTypes.csv!D:D,RANDBETWEEN(2,15))</f>
        <v>200005</v>
      </c>
      <c r="I115" s="8" t="str">
        <f t="shared" ca="1" si="7"/>
        <v>rg:{ 'id': '200005'}</v>
      </c>
      <c r="J115" s="8">
        <f t="shared" ca="1" si="8"/>
        <v>1</v>
      </c>
      <c r="K115" s="8">
        <f t="shared" ca="1" si="9"/>
        <v>97</v>
      </c>
      <c r="L115" s="8" t="str">
        <f t="shared" ca="1" si="10"/>
        <v>2018-02-05</v>
      </c>
      <c r="M115" s="8" t="str">
        <f t="shared" ca="1" si="11"/>
        <v>2018-02-17</v>
      </c>
    </row>
    <row r="116" spans="1:13" x14ac:dyDescent="0.3">
      <c r="A116" s="8" t="s">
        <v>5666</v>
      </c>
      <c r="B116" s="8">
        <f t="shared" si="6"/>
        <v>200114</v>
      </c>
      <c r="C116" s="1" t="s">
        <v>6931</v>
      </c>
      <c r="D116" s="8" t="str">
        <f xml:space="preserve"> "rg:{'id':'" &amp; VLOOKUP(C116,Project.csv!F:G,2,FALSE) &amp; "'}"</f>
        <v>rg:{'id':'200000'}</v>
      </c>
      <c r="E116" t="s">
        <v>6454</v>
      </c>
      <c r="F116" s="8" t="str">
        <f xml:space="preserve"> "rg:{'id':'" &amp; VLOOKUP(E116,LocalAreas.csv!F:J,5,FALSE) &amp; "'}"</f>
        <v>rg:{'id':'200077'}</v>
      </c>
      <c r="G116" s="9" t="s">
        <v>7043</v>
      </c>
      <c r="H116" s="9">
        <f ca="1">INDEX(DistrictEquipmentTypes.csv!D:D,RANDBETWEEN(2,15))</f>
        <v>200010</v>
      </c>
      <c r="I116" s="8" t="str">
        <f t="shared" ca="1" si="7"/>
        <v>rg:{ 'id': '200010'}</v>
      </c>
      <c r="J116" s="8">
        <f t="shared" ca="1" si="8"/>
        <v>5</v>
      </c>
      <c r="K116" s="8">
        <f t="shared" ca="1" si="9"/>
        <v>42</v>
      </c>
      <c r="L116" s="8" t="str">
        <f t="shared" ca="1" si="10"/>
        <v>2018-01-07</v>
      </c>
      <c r="M116" s="8" t="str">
        <f t="shared" ca="1" si="11"/>
        <v>2018-02-02</v>
      </c>
    </row>
    <row r="117" spans="1:13" x14ac:dyDescent="0.3">
      <c r="A117" s="8" t="s">
        <v>5666</v>
      </c>
      <c r="B117" s="8">
        <f t="shared" si="6"/>
        <v>200115</v>
      </c>
      <c r="C117" s="1" t="s">
        <v>6926</v>
      </c>
      <c r="D117" s="8" t="str">
        <f xml:space="preserve"> "rg:{'id':'" &amp; VLOOKUP(C117,Project.csv!F:G,2,FALSE) &amp; "'}"</f>
        <v>rg:{'id':'200001'}</v>
      </c>
      <c r="E117" t="s">
        <v>6454</v>
      </c>
      <c r="F117" s="8" t="str">
        <f xml:space="preserve"> "rg:{'id':'" &amp; VLOOKUP(E117,LocalAreas.csv!F:J,5,FALSE) &amp; "'}"</f>
        <v>rg:{'id':'200077'}</v>
      </c>
      <c r="G117" s="9" t="s">
        <v>7043</v>
      </c>
      <c r="H117" s="9">
        <f ca="1">INDEX(DistrictEquipmentTypes.csv!D:D,RANDBETWEEN(2,15))</f>
        <v>200000</v>
      </c>
      <c r="I117" s="8" t="str">
        <f t="shared" ca="1" si="7"/>
        <v>rg:{ 'id': '200000'}</v>
      </c>
      <c r="J117" s="8">
        <f t="shared" ca="1" si="8"/>
        <v>3</v>
      </c>
      <c r="K117" s="8">
        <f t="shared" ca="1" si="9"/>
        <v>99</v>
      </c>
      <c r="L117" s="8" t="str">
        <f t="shared" ca="1" si="10"/>
        <v>2018-02-18</v>
      </c>
      <c r="M117" s="8" t="str">
        <f t="shared" ca="1" si="11"/>
        <v>2018-03-27</v>
      </c>
    </row>
    <row r="118" spans="1:13" x14ac:dyDescent="0.3">
      <c r="A118" s="8" t="s">
        <v>5666</v>
      </c>
      <c r="B118" s="8">
        <f t="shared" si="6"/>
        <v>200116</v>
      </c>
      <c r="C118" s="1" t="s">
        <v>6932</v>
      </c>
      <c r="D118" s="8" t="str">
        <f xml:space="preserve"> "rg:{'id':'" &amp; VLOOKUP(C118,Project.csv!F:G,2,FALSE) &amp; "'}"</f>
        <v>rg:{'id':'200002'}</v>
      </c>
      <c r="E118" t="s">
        <v>6454</v>
      </c>
      <c r="F118" s="8" t="str">
        <f xml:space="preserve"> "rg:{'id':'" &amp; VLOOKUP(E118,LocalAreas.csv!F:J,5,FALSE) &amp; "'}"</f>
        <v>rg:{'id':'200077'}</v>
      </c>
      <c r="G118" s="9" t="s">
        <v>7043</v>
      </c>
      <c r="H118" s="9">
        <f ca="1">INDEX(DistrictEquipmentTypes.csv!D:D,RANDBETWEEN(2,15))</f>
        <v>200004</v>
      </c>
      <c r="I118" s="8" t="str">
        <f t="shared" ca="1" si="7"/>
        <v>rg:{ 'id': '200004'}</v>
      </c>
      <c r="J118" s="8">
        <f t="shared" ca="1" si="8"/>
        <v>1</v>
      </c>
      <c r="K118" s="8">
        <f t="shared" ca="1" si="9"/>
        <v>23</v>
      </c>
      <c r="L118" s="8" t="str">
        <f t="shared" ca="1" si="10"/>
        <v>2018-01-10</v>
      </c>
      <c r="M118" s="8" t="str">
        <f t="shared" ca="1" si="11"/>
        <v>2018-01-12</v>
      </c>
    </row>
    <row r="119" spans="1:13" x14ac:dyDescent="0.3">
      <c r="A119" s="8" t="s">
        <v>5666</v>
      </c>
      <c r="B119" s="8">
        <f t="shared" si="6"/>
        <v>200117</v>
      </c>
      <c r="C119" s="1" t="s">
        <v>6933</v>
      </c>
      <c r="D119" s="8" t="str">
        <f xml:space="preserve"> "rg:{'id':'" &amp; VLOOKUP(C119,Project.csv!F:G,2,FALSE) &amp; "'}"</f>
        <v>rg:{'id':'200003'}</v>
      </c>
      <c r="E119" t="s">
        <v>6454</v>
      </c>
      <c r="F119" s="8" t="str">
        <f xml:space="preserve"> "rg:{'id':'" &amp; VLOOKUP(E119,LocalAreas.csv!F:J,5,FALSE) &amp; "'}"</f>
        <v>rg:{'id':'200077'}</v>
      </c>
      <c r="G119" s="9" t="s">
        <v>7043</v>
      </c>
      <c r="H119" s="9">
        <f ca="1">INDEX(DistrictEquipmentTypes.csv!D:D,RANDBETWEEN(2,15))</f>
        <v>200001</v>
      </c>
      <c r="I119" s="8" t="str">
        <f t="shared" ca="1" si="7"/>
        <v>rg:{ 'id': '200001'}</v>
      </c>
      <c r="J119" s="8">
        <f t="shared" ca="1" si="8"/>
        <v>1</v>
      </c>
      <c r="K119" s="8">
        <f t="shared" ca="1" si="9"/>
        <v>22</v>
      </c>
      <c r="L119" s="8" t="str">
        <f t="shared" ca="1" si="10"/>
        <v>2018-01-29</v>
      </c>
      <c r="M119" s="8" t="str">
        <f t="shared" ca="1" si="11"/>
        <v>2018-01-31</v>
      </c>
    </row>
    <row r="120" spans="1:13" x14ac:dyDescent="0.3">
      <c r="A120" s="8" t="s">
        <v>5666</v>
      </c>
      <c r="B120" s="8">
        <f t="shared" si="6"/>
        <v>200118</v>
      </c>
      <c r="C120" s="1" t="s">
        <v>6934</v>
      </c>
      <c r="D120" s="8" t="str">
        <f xml:space="preserve"> "rg:{'id':'" &amp; VLOOKUP(C120,Project.csv!F:G,2,FALSE) &amp; "'}"</f>
        <v>rg:{'id':'200004'}</v>
      </c>
      <c r="E120" t="s">
        <v>6454</v>
      </c>
      <c r="F120" s="8" t="str">
        <f xml:space="preserve"> "rg:{'id':'" &amp; VLOOKUP(E120,LocalAreas.csv!F:J,5,FALSE) &amp; "'}"</f>
        <v>rg:{'id':'200077'}</v>
      </c>
      <c r="G120" s="9" t="s">
        <v>7043</v>
      </c>
      <c r="H120" s="9">
        <f ca="1">INDEX(DistrictEquipmentTypes.csv!D:D,RANDBETWEEN(2,15))</f>
        <v>200007</v>
      </c>
      <c r="I120" s="8" t="str">
        <f t="shared" ca="1" si="7"/>
        <v>rg:{ 'id': '200007'}</v>
      </c>
      <c r="J120" s="8">
        <f t="shared" ca="1" si="8"/>
        <v>5</v>
      </c>
      <c r="K120" s="8">
        <f t="shared" ca="1" si="9"/>
        <v>27</v>
      </c>
      <c r="L120" s="8" t="str">
        <f t="shared" ca="1" si="10"/>
        <v>2017-12-30</v>
      </c>
      <c r="M120" s="8" t="str">
        <f t="shared" ca="1" si="11"/>
        <v>2018-01-15</v>
      </c>
    </row>
    <row r="121" spans="1:13" x14ac:dyDescent="0.3">
      <c r="A121" s="8" t="s">
        <v>5666</v>
      </c>
      <c r="B121" s="8">
        <f t="shared" si="6"/>
        <v>200119</v>
      </c>
      <c r="C121" s="1" t="s">
        <v>6935</v>
      </c>
      <c r="D121" s="8" t="str">
        <f xml:space="preserve"> "rg:{'id':'" &amp; VLOOKUP(C121,Project.csv!F:G,2,FALSE) &amp; "'}"</f>
        <v>rg:{'id':'200005'}</v>
      </c>
      <c r="E121" t="s">
        <v>6454</v>
      </c>
      <c r="F121" s="8" t="str">
        <f xml:space="preserve"> "rg:{'id':'" &amp; VLOOKUP(E121,LocalAreas.csv!F:J,5,FALSE) &amp; "'}"</f>
        <v>rg:{'id':'200077'}</v>
      </c>
      <c r="G121" s="9" t="s">
        <v>7043</v>
      </c>
      <c r="H121" s="9">
        <f ca="1">INDEX(DistrictEquipmentTypes.csv!D:D,RANDBETWEEN(2,15))</f>
        <v>200004</v>
      </c>
      <c r="I121" s="8" t="str">
        <f t="shared" ca="1" si="7"/>
        <v>rg:{ 'id': '200004'}</v>
      </c>
      <c r="J121" s="8">
        <f t="shared" ca="1" si="8"/>
        <v>1</v>
      </c>
      <c r="K121" s="8">
        <f t="shared" ca="1" si="9"/>
        <v>4</v>
      </c>
      <c r="L121" s="8" t="str">
        <f t="shared" ca="1" si="10"/>
        <v>2018-01-18</v>
      </c>
      <c r="M121" s="8" t="str">
        <f t="shared" ca="1" si="11"/>
        <v>2018-01-18</v>
      </c>
    </row>
    <row r="122" spans="1:13" x14ac:dyDescent="0.3">
      <c r="A122" s="8" t="s">
        <v>5666</v>
      </c>
      <c r="B122" s="8">
        <f t="shared" si="6"/>
        <v>200120</v>
      </c>
      <c r="C122" s="1" t="s">
        <v>6936</v>
      </c>
      <c r="D122" s="8" t="str">
        <f xml:space="preserve"> "rg:{'id':'" &amp; VLOOKUP(C122,Project.csv!F:G,2,FALSE) &amp; "'}"</f>
        <v>rg:{'id':'200006'}</v>
      </c>
      <c r="E122" t="s">
        <v>6454</v>
      </c>
      <c r="F122" s="8" t="str">
        <f xml:space="preserve"> "rg:{'id':'" &amp; VLOOKUP(E122,LocalAreas.csv!F:J,5,FALSE) &amp; "'}"</f>
        <v>rg:{'id':'200077'}</v>
      </c>
      <c r="G122" s="9" t="s">
        <v>7043</v>
      </c>
      <c r="H122" s="9">
        <f ca="1">INDEX(DistrictEquipmentTypes.csv!D:D,RANDBETWEEN(2,15))</f>
        <v>200010</v>
      </c>
      <c r="I122" s="8" t="str">
        <f t="shared" ca="1" si="7"/>
        <v>rg:{ 'id': '200010'}</v>
      </c>
      <c r="J122" s="8">
        <f t="shared" ca="1" si="8"/>
        <v>4</v>
      </c>
      <c r="K122" s="8">
        <f t="shared" ca="1" si="9"/>
        <v>26</v>
      </c>
      <c r="L122" s="8" t="str">
        <f t="shared" ca="1" si="10"/>
        <v>2018-02-10</v>
      </c>
      <c r="M122" s="8" t="str">
        <f t="shared" ca="1" si="11"/>
        <v>2018-02-23</v>
      </c>
    </row>
    <row r="123" spans="1:13" x14ac:dyDescent="0.3">
      <c r="A123" s="8" t="s">
        <v>5666</v>
      </c>
      <c r="B123" s="8">
        <f t="shared" si="6"/>
        <v>200121</v>
      </c>
      <c r="C123" s="1" t="s">
        <v>6916</v>
      </c>
      <c r="D123" s="8" t="str">
        <f xml:space="preserve"> "rg:{'id':'" &amp; VLOOKUP(C123,Project.csv!F:G,2,FALSE) &amp; "'}"</f>
        <v>rg:{'id':'200007'}</v>
      </c>
      <c r="E123" t="s">
        <v>6454</v>
      </c>
      <c r="F123" s="8" t="str">
        <f xml:space="preserve"> "rg:{'id':'" &amp; VLOOKUP(E123,LocalAreas.csv!F:J,5,FALSE) &amp; "'}"</f>
        <v>rg:{'id':'200077'}</v>
      </c>
      <c r="G123" s="9" t="s">
        <v>7043</v>
      </c>
      <c r="H123" s="9">
        <f ca="1">INDEX(DistrictEquipmentTypes.csv!D:D,RANDBETWEEN(2,15))</f>
        <v>200008</v>
      </c>
      <c r="I123" s="8" t="str">
        <f t="shared" ca="1" si="7"/>
        <v>rg:{ 'id': '200008'}</v>
      </c>
      <c r="J123" s="8">
        <f t="shared" ca="1" si="8"/>
        <v>1</v>
      </c>
      <c r="K123" s="8">
        <f t="shared" ca="1" si="9"/>
        <v>38</v>
      </c>
      <c r="L123" s="8" t="str">
        <f t="shared" ca="1" si="10"/>
        <v>2018-02-04</v>
      </c>
      <c r="M123" s="8" t="str">
        <f t="shared" ca="1" si="11"/>
        <v>2018-02-08</v>
      </c>
    </row>
    <row r="124" spans="1:13" x14ac:dyDescent="0.3">
      <c r="A124" s="8" t="s">
        <v>5666</v>
      </c>
      <c r="B124" s="8">
        <f t="shared" si="6"/>
        <v>200122</v>
      </c>
      <c r="C124" s="1" t="s">
        <v>6937</v>
      </c>
      <c r="D124" s="8" t="str">
        <f xml:space="preserve"> "rg:{'id':'" &amp; VLOOKUP(C124,Project.csv!F:G,2,FALSE) &amp; "'}"</f>
        <v>rg:{'id':'200008'}</v>
      </c>
      <c r="E124" t="s">
        <v>6454</v>
      </c>
      <c r="F124" s="8" t="str">
        <f xml:space="preserve"> "rg:{'id':'" &amp; VLOOKUP(E124,LocalAreas.csv!F:J,5,FALSE) &amp; "'}"</f>
        <v>rg:{'id':'200077'}</v>
      </c>
      <c r="G124" s="9" t="s">
        <v>7043</v>
      </c>
      <c r="H124" s="9">
        <f ca="1">INDEX(DistrictEquipmentTypes.csv!D:D,RANDBETWEEN(2,15))</f>
        <v>200008</v>
      </c>
      <c r="I124" s="8" t="str">
        <f t="shared" ca="1" si="7"/>
        <v>rg:{ 'id': '200008'}</v>
      </c>
      <c r="J124" s="8">
        <f t="shared" ca="1" si="8"/>
        <v>1</v>
      </c>
      <c r="K124" s="8">
        <f t="shared" ca="1" si="9"/>
        <v>96</v>
      </c>
      <c r="L124" s="8" t="str">
        <f t="shared" ca="1" si="10"/>
        <v>2018-01-20</v>
      </c>
      <c r="M124" s="8" t="str">
        <f t="shared" ca="1" si="11"/>
        <v>2018-02-01</v>
      </c>
    </row>
    <row r="125" spans="1:13" x14ac:dyDescent="0.3">
      <c r="A125" s="8" t="s">
        <v>5666</v>
      </c>
      <c r="B125" s="8">
        <f t="shared" si="6"/>
        <v>200123</v>
      </c>
      <c r="C125" s="1" t="s">
        <v>6894</v>
      </c>
      <c r="D125" s="8" t="str">
        <f xml:space="preserve"> "rg:{'id':'" &amp; VLOOKUP(C125,Project.csv!F:G,2,FALSE) &amp; "'}"</f>
        <v>rg:{'id':'200009'}</v>
      </c>
      <c r="E125" t="s">
        <v>6454</v>
      </c>
      <c r="F125" s="8" t="str">
        <f xml:space="preserve"> "rg:{'id':'" &amp; VLOOKUP(E125,LocalAreas.csv!F:J,5,FALSE) &amp; "'}"</f>
        <v>rg:{'id':'200077'}</v>
      </c>
      <c r="G125" s="9" t="s">
        <v>7043</v>
      </c>
      <c r="H125" s="9">
        <f ca="1">INDEX(DistrictEquipmentTypes.csv!D:D,RANDBETWEEN(2,15))</f>
        <v>200009</v>
      </c>
      <c r="I125" s="8" t="str">
        <f t="shared" ca="1" si="7"/>
        <v>rg:{ 'id': '200009'}</v>
      </c>
      <c r="J125" s="8">
        <f t="shared" ca="1" si="8"/>
        <v>1</v>
      </c>
      <c r="K125" s="8">
        <f t="shared" ca="1" si="9"/>
        <v>49</v>
      </c>
      <c r="L125" s="8" t="str">
        <f t="shared" ca="1" si="10"/>
        <v>2018-01-13</v>
      </c>
      <c r="M125" s="8" t="str">
        <f t="shared" ca="1" si="11"/>
        <v>2018-01-19</v>
      </c>
    </row>
    <row r="126" spans="1:13" x14ac:dyDescent="0.3">
      <c r="A126" s="8" t="s">
        <v>5666</v>
      </c>
      <c r="B126" s="8">
        <f t="shared" si="6"/>
        <v>200124</v>
      </c>
      <c r="C126" s="1" t="s">
        <v>6938</v>
      </c>
      <c r="D126" s="8" t="str">
        <f xml:space="preserve"> "rg:{'id':'" &amp; VLOOKUP(C126,Project.csv!F:G,2,FALSE) &amp; "'}"</f>
        <v>rg:{'id':'200010'}</v>
      </c>
      <c r="E126" t="s">
        <v>6454</v>
      </c>
      <c r="F126" s="8" t="str">
        <f xml:space="preserve"> "rg:{'id':'" &amp; VLOOKUP(E126,LocalAreas.csv!F:J,5,FALSE) &amp; "'}"</f>
        <v>rg:{'id':'200077'}</v>
      </c>
      <c r="G126" s="9" t="s">
        <v>7044</v>
      </c>
      <c r="H126" s="9">
        <f ca="1">INDEX(DistrictEquipmentTypes.csv!D:D,RANDBETWEEN(2,15))</f>
        <v>200000</v>
      </c>
      <c r="I126" s="8" t="str">
        <f t="shared" ca="1" si="7"/>
        <v>rg:{ 'id': '200000'}</v>
      </c>
      <c r="J126" s="8">
        <f t="shared" ca="1" si="8"/>
        <v>1</v>
      </c>
      <c r="K126" s="8">
        <f t="shared" ca="1" si="9"/>
        <v>66</v>
      </c>
      <c r="L126" s="8" t="str">
        <f t="shared" ca="1" si="10"/>
        <v>2018-02-21</v>
      </c>
      <c r="M126" s="8" t="str">
        <f t="shared" ca="1" si="11"/>
        <v>2018-03-01</v>
      </c>
    </row>
    <row r="127" spans="1:13" x14ac:dyDescent="0.3">
      <c r="A127" s="8" t="s">
        <v>5666</v>
      </c>
      <c r="B127" s="8">
        <f t="shared" si="6"/>
        <v>200125</v>
      </c>
      <c r="C127" s="1" t="s">
        <v>6939</v>
      </c>
      <c r="D127" s="8" t="str">
        <f xml:space="preserve"> "rg:{'id':'" &amp; VLOOKUP(C127,Project.csv!F:G,2,FALSE) &amp; "'}"</f>
        <v>rg:{'id':'200011'}</v>
      </c>
      <c r="E127" t="s">
        <v>6454</v>
      </c>
      <c r="F127" s="8" t="str">
        <f xml:space="preserve"> "rg:{'id':'" &amp; VLOOKUP(E127,LocalAreas.csv!F:J,5,FALSE) &amp; "'}"</f>
        <v>rg:{'id':'200077'}</v>
      </c>
      <c r="G127" s="9" t="s">
        <v>7044</v>
      </c>
      <c r="H127" s="9">
        <f ca="1">INDEX(DistrictEquipmentTypes.csv!D:D,RANDBETWEEN(2,15))</f>
        <v>200003</v>
      </c>
      <c r="I127" s="8" t="str">
        <f t="shared" ca="1" si="7"/>
        <v>rg:{ 'id': '200003'}</v>
      </c>
      <c r="J127" s="8">
        <f t="shared" ca="1" si="8"/>
        <v>1</v>
      </c>
      <c r="K127" s="8">
        <f t="shared" ca="1" si="9"/>
        <v>9</v>
      </c>
      <c r="L127" s="8" t="str">
        <f t="shared" ca="1" si="10"/>
        <v>2018-02-17</v>
      </c>
      <c r="M127" s="8" t="str">
        <f t="shared" ca="1" si="11"/>
        <v>2018-02-18</v>
      </c>
    </row>
    <row r="128" spans="1:13" x14ac:dyDescent="0.3">
      <c r="A128" s="8" t="s">
        <v>5666</v>
      </c>
      <c r="B128" s="8">
        <f t="shared" si="6"/>
        <v>200126</v>
      </c>
      <c r="C128" s="1" t="s">
        <v>6940</v>
      </c>
      <c r="D128" s="8" t="str">
        <f xml:space="preserve"> "rg:{'id':'" &amp; VLOOKUP(C128,Project.csv!F:G,2,FALSE) &amp; "'}"</f>
        <v>rg:{'id':'200012'}</v>
      </c>
      <c r="E128" t="s">
        <v>6454</v>
      </c>
      <c r="F128" s="8" t="str">
        <f xml:space="preserve"> "rg:{'id':'" &amp; VLOOKUP(E128,LocalAreas.csv!F:J,5,FALSE) &amp; "'}"</f>
        <v>rg:{'id':'200077'}</v>
      </c>
      <c r="G128" s="9" t="s">
        <v>7044</v>
      </c>
      <c r="H128" s="9">
        <f ca="1">INDEX(DistrictEquipmentTypes.csv!D:D,RANDBETWEEN(2,15))</f>
        <v>200013</v>
      </c>
      <c r="I128" s="8" t="str">
        <f t="shared" ca="1" si="7"/>
        <v>rg:{ 'id': '200013'}</v>
      </c>
      <c r="J128" s="8">
        <f t="shared" ca="1" si="8"/>
        <v>1</v>
      </c>
      <c r="K128" s="8">
        <f t="shared" ca="1" si="9"/>
        <v>47</v>
      </c>
      <c r="L128" s="8" t="str">
        <f t="shared" ca="1" si="10"/>
        <v>2018-02-11</v>
      </c>
      <c r="M128" s="8" t="str">
        <f t="shared" ca="1" si="11"/>
        <v>2018-02-16</v>
      </c>
    </row>
    <row r="129" spans="1:13" x14ac:dyDescent="0.3">
      <c r="A129" s="8" t="s">
        <v>5666</v>
      </c>
      <c r="B129" s="8">
        <f t="shared" si="6"/>
        <v>200127</v>
      </c>
      <c r="C129" s="1" t="s">
        <v>6941</v>
      </c>
      <c r="D129" s="8" t="str">
        <f xml:space="preserve"> "rg:{'id':'" &amp; VLOOKUP(C129,Project.csv!F:G,2,FALSE) &amp; "'}"</f>
        <v>rg:{'id':'200013'}</v>
      </c>
      <c r="E129" t="s">
        <v>6454</v>
      </c>
      <c r="F129" s="8" t="str">
        <f xml:space="preserve"> "rg:{'id':'" &amp; VLOOKUP(E129,LocalAreas.csv!F:J,5,FALSE) &amp; "'}"</f>
        <v>rg:{'id':'200077'}</v>
      </c>
      <c r="G129" s="9" t="s">
        <v>7043</v>
      </c>
      <c r="H129" s="9">
        <f ca="1">INDEX(DistrictEquipmentTypes.csv!D:D,RANDBETWEEN(2,15))</f>
        <v>200011</v>
      </c>
      <c r="I129" s="8" t="str">
        <f t="shared" ca="1" si="7"/>
        <v>rg:{ 'id': '200011'}</v>
      </c>
      <c r="J129" s="8">
        <f t="shared" ca="1" si="8"/>
        <v>1</v>
      </c>
      <c r="K129" s="8">
        <f t="shared" ca="1" si="9"/>
        <v>35</v>
      </c>
      <c r="L129" s="8" t="str">
        <f t="shared" ca="1" si="10"/>
        <v>2018-01-23</v>
      </c>
      <c r="M129" s="8" t="str">
        <f t="shared" ca="1" si="11"/>
        <v>2018-01-27</v>
      </c>
    </row>
    <row r="130" spans="1:13" x14ac:dyDescent="0.3">
      <c r="A130" s="8" t="s">
        <v>5666</v>
      </c>
      <c r="B130" s="8">
        <f t="shared" si="6"/>
        <v>200128</v>
      </c>
      <c r="C130" s="1" t="s">
        <v>6928</v>
      </c>
      <c r="D130" s="8" t="str">
        <f xml:space="preserve"> "rg:{'id':'" &amp; VLOOKUP(C130,Project.csv!F:G,2,FALSE) &amp; "'}"</f>
        <v>rg:{'id':'200014'}</v>
      </c>
      <c r="E130" t="s">
        <v>6454</v>
      </c>
      <c r="F130" s="8" t="str">
        <f xml:space="preserve"> "rg:{'id':'" &amp; VLOOKUP(E130,LocalAreas.csv!F:J,5,FALSE) &amp; "'}"</f>
        <v>rg:{'id':'200077'}</v>
      </c>
      <c r="G130" s="9" t="s">
        <v>7043</v>
      </c>
      <c r="H130" s="9">
        <f ca="1">INDEX(DistrictEquipmentTypes.csv!D:D,RANDBETWEEN(2,15))</f>
        <v>200004</v>
      </c>
      <c r="I130" s="8" t="str">
        <f t="shared" ca="1" si="7"/>
        <v>rg:{ 'id': '200004'}</v>
      </c>
      <c r="J130" s="8">
        <f t="shared" ca="1" si="8"/>
        <v>1</v>
      </c>
      <c r="K130" s="8">
        <f t="shared" ca="1" si="9"/>
        <v>63</v>
      </c>
      <c r="L130" s="8" t="str">
        <f t="shared" ca="1" si="10"/>
        <v>2018-01-04</v>
      </c>
      <c r="M130" s="8" t="str">
        <f t="shared" ca="1" si="11"/>
        <v>2018-01-11</v>
      </c>
    </row>
    <row r="131" spans="1:13" x14ac:dyDescent="0.3">
      <c r="A131" s="8" t="s">
        <v>5666</v>
      </c>
      <c r="B131" s="8">
        <f t="shared" ref="B131:B155" si="12">IF(ISNUMBER(B130),B130+1,600000)</f>
        <v>200129</v>
      </c>
      <c r="C131" s="1" t="s">
        <v>6942</v>
      </c>
      <c r="D131" s="8" t="str">
        <f xml:space="preserve"> "rg:{'id':'" &amp; VLOOKUP(C131,Project.csv!F:G,2,FALSE) &amp; "'}"</f>
        <v>rg:{'id':'200015'}</v>
      </c>
      <c r="E131" t="s">
        <v>6454</v>
      </c>
      <c r="F131" s="8" t="str">
        <f xml:space="preserve"> "rg:{'id':'" &amp; VLOOKUP(E131,LocalAreas.csv!F:J,5,FALSE) &amp; "'}"</f>
        <v>rg:{'id':'200077'}</v>
      </c>
      <c r="G131" s="9" t="s">
        <v>7043</v>
      </c>
      <c r="H131" s="9">
        <f ca="1">INDEX(DistrictEquipmentTypes.csv!D:D,RANDBETWEEN(2,15))</f>
        <v>200002</v>
      </c>
      <c r="I131" s="8" t="str">
        <f t="shared" ref="I131:I155" ca="1" si="13">"rg:{ 'id': '"&amp;H131&amp;"'}"</f>
        <v>rg:{ 'id': '200002'}</v>
      </c>
      <c r="J131" s="8">
        <f t="shared" ref="J131:J155" ca="1" si="14">IF(RANDBETWEEN(1,5)&gt;1,1,RANDBETWEEN(2,5))</f>
        <v>1</v>
      </c>
      <c r="K131" s="8">
        <f t="shared" ref="K131:K155" ca="1" si="15">RANDBETWEEN(4,100)</f>
        <v>52</v>
      </c>
      <c r="L131" s="8" t="str">
        <f t="shared" ref="L131:L155" ca="1" si="16">TEXT(TODAY()+RANDBETWEEN(1,56),"YYYY-MM-DD")</f>
        <v>2018-02-12</v>
      </c>
      <c r="M131" s="8" t="str">
        <f t="shared" ref="M131:M155" ca="1" si="17">TEXT(L131+(J131*K131)/8,"YYYY-MM-DD")</f>
        <v>2018-02-18</v>
      </c>
    </row>
    <row r="132" spans="1:13" x14ac:dyDescent="0.3">
      <c r="A132" s="8" t="s">
        <v>5666</v>
      </c>
      <c r="B132" s="8">
        <f t="shared" si="12"/>
        <v>200130</v>
      </c>
      <c r="C132" s="1" t="s">
        <v>6912</v>
      </c>
      <c r="D132" s="8" t="str">
        <f xml:space="preserve"> "rg:{'id':'" &amp; VLOOKUP(C132,Project.csv!F:G,2,FALSE) &amp; "'}"</f>
        <v>rg:{'id':'200016'}</v>
      </c>
      <c r="E132" t="s">
        <v>6454</v>
      </c>
      <c r="F132" s="8" t="str">
        <f xml:space="preserve"> "rg:{'id':'" &amp; VLOOKUP(E132,LocalAreas.csv!F:J,5,FALSE) &amp; "'}"</f>
        <v>rg:{'id':'200077'}</v>
      </c>
      <c r="G132" s="9" t="s">
        <v>7043</v>
      </c>
      <c r="H132" s="9">
        <f ca="1">INDEX(DistrictEquipmentTypes.csv!D:D,RANDBETWEEN(2,15))</f>
        <v>200012</v>
      </c>
      <c r="I132" s="8" t="str">
        <f t="shared" ca="1" si="13"/>
        <v>rg:{ 'id': '200012'}</v>
      </c>
      <c r="J132" s="8">
        <f t="shared" ca="1" si="14"/>
        <v>1</v>
      </c>
      <c r="K132" s="8">
        <f t="shared" ca="1" si="15"/>
        <v>79</v>
      </c>
      <c r="L132" s="8" t="str">
        <f t="shared" ca="1" si="16"/>
        <v>2018-01-13</v>
      </c>
      <c r="M132" s="8" t="str">
        <f t="shared" ca="1" si="17"/>
        <v>2018-01-22</v>
      </c>
    </row>
    <row r="133" spans="1:13" x14ac:dyDescent="0.3">
      <c r="A133" s="8" t="s">
        <v>5666</v>
      </c>
      <c r="B133" s="8">
        <f t="shared" si="12"/>
        <v>200131</v>
      </c>
      <c r="C133" s="1" t="s">
        <v>6943</v>
      </c>
      <c r="D133" s="8" t="str">
        <f xml:space="preserve"> "rg:{'id':'" &amp; VLOOKUP(C133,Project.csv!F:G,2,FALSE) &amp; "'}"</f>
        <v>rg:{'id':'200017'}</v>
      </c>
      <c r="E133" t="s">
        <v>6454</v>
      </c>
      <c r="F133" s="8" t="str">
        <f xml:space="preserve"> "rg:{'id':'" &amp; VLOOKUP(E133,LocalAreas.csv!F:J,5,FALSE) &amp; "'}"</f>
        <v>rg:{'id':'200077'}</v>
      </c>
      <c r="G133" s="9" t="s">
        <v>7043</v>
      </c>
      <c r="H133" s="9">
        <f ca="1">INDEX(DistrictEquipmentTypes.csv!D:D,RANDBETWEEN(2,15))</f>
        <v>200008</v>
      </c>
      <c r="I133" s="8" t="str">
        <f t="shared" ca="1" si="13"/>
        <v>rg:{ 'id': '200008'}</v>
      </c>
      <c r="J133" s="8">
        <f t="shared" ca="1" si="14"/>
        <v>1</v>
      </c>
      <c r="K133" s="8">
        <f t="shared" ca="1" si="15"/>
        <v>7</v>
      </c>
      <c r="L133" s="8" t="str">
        <f t="shared" ca="1" si="16"/>
        <v>2018-02-02</v>
      </c>
      <c r="M133" s="8" t="str">
        <f t="shared" ca="1" si="17"/>
        <v>2018-02-02</v>
      </c>
    </row>
    <row r="134" spans="1:13" x14ac:dyDescent="0.3">
      <c r="A134" s="8" t="s">
        <v>5666</v>
      </c>
      <c r="B134" s="8">
        <f t="shared" si="12"/>
        <v>200132</v>
      </c>
      <c r="C134" s="1" t="s">
        <v>6889</v>
      </c>
      <c r="D134" s="8" t="str">
        <f xml:space="preserve"> "rg:{'id':'" &amp; VLOOKUP(C134,Project.csv!F:G,2,FALSE) &amp; "'}"</f>
        <v>rg:{'id':'200018'}</v>
      </c>
      <c r="E134" t="s">
        <v>6454</v>
      </c>
      <c r="F134" s="8" t="str">
        <f xml:space="preserve"> "rg:{'id':'" &amp; VLOOKUP(E134,LocalAreas.csv!F:J,5,FALSE) &amp; "'}"</f>
        <v>rg:{'id':'200077'}</v>
      </c>
      <c r="G134" s="9" t="s">
        <v>7043</v>
      </c>
      <c r="H134" s="9">
        <f ca="1">INDEX(DistrictEquipmentTypes.csv!D:D,RANDBETWEEN(2,15))</f>
        <v>200006</v>
      </c>
      <c r="I134" s="8" t="str">
        <f t="shared" ca="1" si="13"/>
        <v>rg:{ 'id': '200006'}</v>
      </c>
      <c r="J134" s="8">
        <f t="shared" ca="1" si="14"/>
        <v>1</v>
      </c>
      <c r="K134" s="8">
        <f t="shared" ca="1" si="15"/>
        <v>82</v>
      </c>
      <c r="L134" s="8" t="str">
        <f t="shared" ca="1" si="16"/>
        <v>2018-01-25</v>
      </c>
      <c r="M134" s="8" t="str">
        <f t="shared" ca="1" si="17"/>
        <v>2018-02-04</v>
      </c>
    </row>
    <row r="135" spans="1:13" x14ac:dyDescent="0.3">
      <c r="A135" s="8" t="s">
        <v>5666</v>
      </c>
      <c r="B135" s="8">
        <f t="shared" si="12"/>
        <v>200133</v>
      </c>
      <c r="C135" s="1" t="s">
        <v>6944</v>
      </c>
      <c r="D135" s="8" t="str">
        <f xml:space="preserve"> "rg:{'id':'" &amp; VLOOKUP(C135,Project.csv!F:G,2,FALSE) &amp; "'}"</f>
        <v>rg:{'id':'200019'}</v>
      </c>
      <c r="E135" t="s">
        <v>6454</v>
      </c>
      <c r="F135" s="8" t="str">
        <f xml:space="preserve"> "rg:{'id':'" &amp; VLOOKUP(E135,LocalAreas.csv!F:J,5,FALSE) &amp; "'}"</f>
        <v>rg:{'id':'200077'}</v>
      </c>
      <c r="G135" s="9" t="s">
        <v>7043</v>
      </c>
      <c r="H135" s="9">
        <f ca="1">INDEX(DistrictEquipmentTypes.csv!D:D,RANDBETWEEN(2,15))</f>
        <v>200011</v>
      </c>
      <c r="I135" s="8" t="str">
        <f t="shared" ca="1" si="13"/>
        <v>rg:{ 'id': '200011'}</v>
      </c>
      <c r="J135" s="8">
        <f t="shared" ca="1" si="14"/>
        <v>1</v>
      </c>
      <c r="K135" s="8">
        <f t="shared" ca="1" si="15"/>
        <v>97</v>
      </c>
      <c r="L135" s="8" t="str">
        <f t="shared" ca="1" si="16"/>
        <v>2018-02-05</v>
      </c>
      <c r="M135" s="8" t="str">
        <f t="shared" ca="1" si="17"/>
        <v>2018-02-17</v>
      </c>
    </row>
    <row r="136" spans="1:13" x14ac:dyDescent="0.3">
      <c r="A136" s="8" t="s">
        <v>5666</v>
      </c>
      <c r="B136" s="8">
        <f t="shared" si="12"/>
        <v>200134</v>
      </c>
      <c r="C136" s="1" t="s">
        <v>6896</v>
      </c>
      <c r="D136" s="8" t="str">
        <f xml:space="preserve"> "rg:{'id':'" &amp; VLOOKUP(C136,Project.csv!F:G,2,FALSE) &amp; "'}"</f>
        <v>rg:{'id':'200020'}</v>
      </c>
      <c r="E136" t="s">
        <v>6454</v>
      </c>
      <c r="F136" s="8" t="str">
        <f xml:space="preserve"> "rg:{'id':'" &amp; VLOOKUP(E136,LocalAreas.csv!F:J,5,FALSE) &amp; "'}"</f>
        <v>rg:{'id':'200077'}</v>
      </c>
      <c r="G136" s="9" t="s">
        <v>7043</v>
      </c>
      <c r="H136" s="9">
        <f ca="1">INDEX(DistrictEquipmentTypes.csv!D:D,RANDBETWEEN(2,15))</f>
        <v>200013</v>
      </c>
      <c r="I136" s="8" t="str">
        <f t="shared" ca="1" si="13"/>
        <v>rg:{ 'id': '200013'}</v>
      </c>
      <c r="J136" s="8">
        <f t="shared" ca="1" si="14"/>
        <v>1</v>
      </c>
      <c r="K136" s="8">
        <f t="shared" ca="1" si="15"/>
        <v>25</v>
      </c>
      <c r="L136" s="8" t="str">
        <f t="shared" ca="1" si="16"/>
        <v>2018-02-18</v>
      </c>
      <c r="M136" s="8" t="str">
        <f t="shared" ca="1" si="17"/>
        <v>2018-02-21</v>
      </c>
    </row>
    <row r="137" spans="1:13" x14ac:dyDescent="0.3">
      <c r="A137" s="8" t="s">
        <v>5666</v>
      </c>
      <c r="B137" s="8">
        <f t="shared" si="12"/>
        <v>200135</v>
      </c>
      <c r="C137" s="1" t="s">
        <v>6945</v>
      </c>
      <c r="D137" s="8" t="str">
        <f xml:space="preserve"> "rg:{'id':'" &amp; VLOOKUP(C137,Project.csv!F:G,2,FALSE) &amp; "'}"</f>
        <v>rg:{'id':'200021'}</v>
      </c>
      <c r="E137" t="s">
        <v>6454</v>
      </c>
      <c r="F137" s="8" t="str">
        <f xml:space="preserve"> "rg:{'id':'" &amp; VLOOKUP(E137,LocalAreas.csv!F:J,5,FALSE) &amp; "'}"</f>
        <v>rg:{'id':'200077'}</v>
      </c>
      <c r="G137" s="9" t="s">
        <v>7043</v>
      </c>
      <c r="H137" s="9">
        <f ca="1">INDEX(DistrictEquipmentTypes.csv!D:D,RANDBETWEEN(2,15))</f>
        <v>200010</v>
      </c>
      <c r="I137" s="8" t="str">
        <f t="shared" ca="1" si="13"/>
        <v>rg:{ 'id': '200010'}</v>
      </c>
      <c r="J137" s="8">
        <f t="shared" ca="1" si="14"/>
        <v>1</v>
      </c>
      <c r="K137" s="8">
        <f t="shared" ca="1" si="15"/>
        <v>49</v>
      </c>
      <c r="L137" s="8" t="str">
        <f t="shared" ca="1" si="16"/>
        <v>2018-01-20</v>
      </c>
      <c r="M137" s="8" t="str">
        <f t="shared" ca="1" si="17"/>
        <v>2018-01-26</v>
      </c>
    </row>
    <row r="138" spans="1:13" x14ac:dyDescent="0.3">
      <c r="A138" s="8" t="s">
        <v>5666</v>
      </c>
      <c r="B138" s="8">
        <f t="shared" si="12"/>
        <v>200136</v>
      </c>
      <c r="C138" s="1" t="s">
        <v>6888</v>
      </c>
      <c r="D138" s="8" t="str">
        <f xml:space="preserve"> "rg:{'id':'" &amp; VLOOKUP(C138,Project.csv!F:G,2,FALSE) &amp; "'}"</f>
        <v>rg:{'id':'200022'}</v>
      </c>
      <c r="E138" t="s">
        <v>6454</v>
      </c>
      <c r="F138" s="8" t="str">
        <f xml:space="preserve"> "rg:{'id':'" &amp; VLOOKUP(E138,LocalAreas.csv!F:J,5,FALSE) &amp; "'}"</f>
        <v>rg:{'id':'200077'}</v>
      </c>
      <c r="G138" s="9" t="s">
        <v>7043</v>
      </c>
      <c r="H138" s="9">
        <f ca="1">INDEX(DistrictEquipmentTypes.csv!D:D,RANDBETWEEN(2,15))</f>
        <v>200002</v>
      </c>
      <c r="I138" s="8" t="str">
        <f t="shared" ca="1" si="13"/>
        <v>rg:{ 'id': '200002'}</v>
      </c>
      <c r="J138" s="8">
        <f t="shared" ca="1" si="14"/>
        <v>1</v>
      </c>
      <c r="K138" s="8">
        <f t="shared" ca="1" si="15"/>
        <v>77</v>
      </c>
      <c r="L138" s="8" t="str">
        <f t="shared" ca="1" si="16"/>
        <v>2018-02-12</v>
      </c>
      <c r="M138" s="8" t="str">
        <f t="shared" ca="1" si="17"/>
        <v>2018-02-21</v>
      </c>
    </row>
    <row r="139" spans="1:13" x14ac:dyDescent="0.3">
      <c r="A139" s="8" t="s">
        <v>5666</v>
      </c>
      <c r="B139" s="8">
        <f t="shared" si="12"/>
        <v>200137</v>
      </c>
      <c r="C139" s="1" t="s">
        <v>6946</v>
      </c>
      <c r="D139" s="8" t="str">
        <f xml:space="preserve"> "rg:{'id':'" &amp; VLOOKUP(C139,Project.csv!F:G,2,FALSE) &amp; "'}"</f>
        <v>rg:{'id':'200023'}</v>
      </c>
      <c r="E139" t="s">
        <v>6454</v>
      </c>
      <c r="F139" s="8" t="str">
        <f xml:space="preserve"> "rg:{'id':'" &amp; VLOOKUP(E139,LocalAreas.csv!F:J,5,FALSE) &amp; "'}"</f>
        <v>rg:{'id':'200077'}</v>
      </c>
      <c r="G139" s="9" t="s">
        <v>7043</v>
      </c>
      <c r="H139" s="9">
        <f ca="1">INDEX(DistrictEquipmentTypes.csv!D:D,RANDBETWEEN(2,15))</f>
        <v>200002</v>
      </c>
      <c r="I139" s="8" t="str">
        <f t="shared" ca="1" si="13"/>
        <v>rg:{ 'id': '200002'}</v>
      </c>
      <c r="J139" s="8">
        <f t="shared" ca="1" si="14"/>
        <v>1</v>
      </c>
      <c r="K139" s="8">
        <f t="shared" ca="1" si="15"/>
        <v>21</v>
      </c>
      <c r="L139" s="8" t="str">
        <f t="shared" ca="1" si="16"/>
        <v>2018-01-31</v>
      </c>
      <c r="M139" s="8" t="str">
        <f t="shared" ca="1" si="17"/>
        <v>2018-02-02</v>
      </c>
    </row>
    <row r="140" spans="1:13" x14ac:dyDescent="0.3">
      <c r="A140" s="8" t="s">
        <v>5666</v>
      </c>
      <c r="B140" s="8">
        <f t="shared" si="12"/>
        <v>200138</v>
      </c>
      <c r="C140" s="1" t="s">
        <v>6947</v>
      </c>
      <c r="D140" s="8" t="str">
        <f xml:space="preserve"> "rg:{'id':'" &amp; VLOOKUP(C140,Project.csv!F:G,2,FALSE) &amp; "'}"</f>
        <v>rg:{'id':'200024'}</v>
      </c>
      <c r="E140" t="s">
        <v>6454</v>
      </c>
      <c r="F140" s="8" t="str">
        <f xml:space="preserve"> "rg:{'id':'" &amp; VLOOKUP(E140,LocalAreas.csv!F:J,5,FALSE) &amp; "'}"</f>
        <v>rg:{'id':'200077'}</v>
      </c>
      <c r="G140" s="9" t="s">
        <v>7043</v>
      </c>
      <c r="H140" s="9">
        <f ca="1">INDEX(DistrictEquipmentTypes.csv!D:D,RANDBETWEEN(2,15))</f>
        <v>200010</v>
      </c>
      <c r="I140" s="8" t="str">
        <f t="shared" ca="1" si="13"/>
        <v>rg:{ 'id': '200010'}</v>
      </c>
      <c r="J140" s="8">
        <f t="shared" ca="1" si="14"/>
        <v>4</v>
      </c>
      <c r="K140" s="8">
        <f t="shared" ca="1" si="15"/>
        <v>58</v>
      </c>
      <c r="L140" s="8" t="str">
        <f t="shared" ca="1" si="16"/>
        <v>2018-01-05</v>
      </c>
      <c r="M140" s="8" t="str">
        <f t="shared" ca="1" si="17"/>
        <v>2018-02-03</v>
      </c>
    </row>
    <row r="141" spans="1:13" x14ac:dyDescent="0.3">
      <c r="A141" s="8" t="s">
        <v>5666</v>
      </c>
      <c r="B141" s="8">
        <f t="shared" si="12"/>
        <v>200139</v>
      </c>
      <c r="C141" s="1" t="s">
        <v>6907</v>
      </c>
      <c r="D141" s="8" t="str">
        <f xml:space="preserve"> "rg:{'id':'" &amp; VLOOKUP(C141,Project.csv!F:G,2,FALSE) &amp; "'}"</f>
        <v>rg:{'id':'200025'}</v>
      </c>
      <c r="E141" t="s">
        <v>6454</v>
      </c>
      <c r="F141" s="8" t="str">
        <f xml:space="preserve"> "rg:{'id':'" &amp; VLOOKUP(E141,LocalAreas.csv!F:J,5,FALSE) &amp; "'}"</f>
        <v>rg:{'id':'200077'}</v>
      </c>
      <c r="G141" s="9" t="s">
        <v>7043</v>
      </c>
      <c r="H141" s="9">
        <f ca="1">INDEX(DistrictEquipmentTypes.csv!D:D,RANDBETWEEN(2,15))</f>
        <v>200006</v>
      </c>
      <c r="I141" s="8" t="str">
        <f t="shared" ca="1" si="13"/>
        <v>rg:{ 'id': '200006'}</v>
      </c>
      <c r="J141" s="8">
        <f t="shared" ca="1" si="14"/>
        <v>1</v>
      </c>
      <c r="K141" s="8">
        <f t="shared" ca="1" si="15"/>
        <v>66</v>
      </c>
      <c r="L141" s="8" t="str">
        <f t="shared" ca="1" si="16"/>
        <v>2017-12-28</v>
      </c>
      <c r="M141" s="8" t="str">
        <f t="shared" ca="1" si="17"/>
        <v>2018-01-05</v>
      </c>
    </row>
    <row r="142" spans="1:13" x14ac:dyDescent="0.3">
      <c r="A142" s="8" t="s">
        <v>5666</v>
      </c>
      <c r="B142" s="8">
        <f t="shared" si="12"/>
        <v>200140</v>
      </c>
      <c r="C142" s="1" t="s">
        <v>6948</v>
      </c>
      <c r="D142" s="8" t="str">
        <f xml:space="preserve"> "rg:{'id':'" &amp; VLOOKUP(C142,Project.csv!F:G,2,FALSE) &amp; "'}"</f>
        <v>rg:{'id':'200026'}</v>
      </c>
      <c r="E142" t="s">
        <v>6454</v>
      </c>
      <c r="F142" s="8" t="str">
        <f xml:space="preserve"> "rg:{'id':'" &amp; VLOOKUP(E142,LocalAreas.csv!F:J,5,FALSE) &amp; "'}"</f>
        <v>rg:{'id':'200077'}</v>
      </c>
      <c r="G142" s="9" t="s">
        <v>7043</v>
      </c>
      <c r="H142" s="9">
        <f ca="1">INDEX(DistrictEquipmentTypes.csv!D:D,RANDBETWEEN(2,15))</f>
        <v>200013</v>
      </c>
      <c r="I142" s="8" t="str">
        <f t="shared" ca="1" si="13"/>
        <v>rg:{ 'id': '200013'}</v>
      </c>
      <c r="J142" s="8">
        <f t="shared" ca="1" si="14"/>
        <v>1</v>
      </c>
      <c r="K142" s="8">
        <f t="shared" ca="1" si="15"/>
        <v>50</v>
      </c>
      <c r="L142" s="8" t="str">
        <f t="shared" ca="1" si="16"/>
        <v>2018-01-09</v>
      </c>
      <c r="M142" s="8" t="str">
        <f t="shared" ca="1" si="17"/>
        <v>2018-01-15</v>
      </c>
    </row>
    <row r="143" spans="1:13" x14ac:dyDescent="0.3">
      <c r="A143" s="8" t="s">
        <v>5666</v>
      </c>
      <c r="B143" s="8">
        <f t="shared" si="12"/>
        <v>200141</v>
      </c>
      <c r="C143" s="1" t="s">
        <v>6922</v>
      </c>
      <c r="D143" s="8" t="str">
        <f xml:space="preserve"> "rg:{'id':'" &amp; VLOOKUP(C143,Project.csv!F:G,2,FALSE) &amp; "'}"</f>
        <v>rg:{'id':'200027'}</v>
      </c>
      <c r="E143" t="s">
        <v>6454</v>
      </c>
      <c r="F143" s="8" t="str">
        <f xml:space="preserve"> "rg:{'id':'" &amp; VLOOKUP(E143,LocalAreas.csv!F:J,5,FALSE) &amp; "'}"</f>
        <v>rg:{'id':'200077'}</v>
      </c>
      <c r="G143" s="9" t="s">
        <v>7043</v>
      </c>
      <c r="H143" s="9">
        <f ca="1">INDEX(DistrictEquipmentTypes.csv!D:D,RANDBETWEEN(2,15))</f>
        <v>200009</v>
      </c>
      <c r="I143" s="8" t="str">
        <f t="shared" ca="1" si="13"/>
        <v>rg:{ 'id': '200009'}</v>
      </c>
      <c r="J143" s="8">
        <f t="shared" ca="1" si="14"/>
        <v>1</v>
      </c>
      <c r="K143" s="8">
        <f t="shared" ca="1" si="15"/>
        <v>18</v>
      </c>
      <c r="L143" s="8" t="str">
        <f t="shared" ca="1" si="16"/>
        <v>2018-01-14</v>
      </c>
      <c r="M143" s="8" t="str">
        <f t="shared" ca="1" si="17"/>
        <v>2018-01-16</v>
      </c>
    </row>
    <row r="144" spans="1:13" x14ac:dyDescent="0.3">
      <c r="A144" s="8" t="s">
        <v>5666</v>
      </c>
      <c r="B144" s="8">
        <f t="shared" si="12"/>
        <v>200142</v>
      </c>
      <c r="C144" s="1" t="s">
        <v>6949</v>
      </c>
      <c r="D144" s="8" t="str">
        <f xml:space="preserve"> "rg:{'id':'" &amp; VLOOKUP(C144,Project.csv!F:G,2,FALSE) &amp; "'}"</f>
        <v>rg:{'id':'200028'}</v>
      </c>
      <c r="E144" t="s">
        <v>6454</v>
      </c>
      <c r="F144" s="8" t="str">
        <f xml:space="preserve"> "rg:{'id':'" &amp; VLOOKUP(E144,LocalAreas.csv!F:J,5,FALSE) &amp; "'}"</f>
        <v>rg:{'id':'200077'}</v>
      </c>
      <c r="G144" s="9" t="s">
        <v>7044</v>
      </c>
      <c r="H144" s="9">
        <f ca="1">INDEX(DistrictEquipmentTypes.csv!D:D,RANDBETWEEN(2,15))</f>
        <v>200001</v>
      </c>
      <c r="I144" s="8" t="str">
        <f t="shared" ca="1" si="13"/>
        <v>rg:{ 'id': '200001'}</v>
      </c>
      <c r="J144" s="8">
        <f t="shared" ca="1" si="14"/>
        <v>1</v>
      </c>
      <c r="K144" s="8">
        <f t="shared" ca="1" si="15"/>
        <v>31</v>
      </c>
      <c r="L144" s="8" t="str">
        <f t="shared" ca="1" si="16"/>
        <v>2018-02-10</v>
      </c>
      <c r="M144" s="8" t="str">
        <f t="shared" ca="1" si="17"/>
        <v>2018-02-13</v>
      </c>
    </row>
    <row r="145" spans="1:13" x14ac:dyDescent="0.3">
      <c r="A145" s="8" t="s">
        <v>5666</v>
      </c>
      <c r="B145" s="8">
        <f t="shared" si="12"/>
        <v>200143</v>
      </c>
      <c r="C145" s="1" t="s">
        <v>6950</v>
      </c>
      <c r="D145" s="8" t="str">
        <f xml:space="preserve"> "rg:{'id':'" &amp; VLOOKUP(C145,Project.csv!F:G,2,FALSE) &amp; "'}"</f>
        <v>rg:{'id':'200029'}</v>
      </c>
      <c r="E145" t="s">
        <v>6454</v>
      </c>
      <c r="F145" s="8" t="str">
        <f xml:space="preserve"> "rg:{'id':'" &amp; VLOOKUP(E145,LocalAreas.csv!F:J,5,FALSE) &amp; "'}"</f>
        <v>rg:{'id':'200077'}</v>
      </c>
      <c r="G145" s="9" t="s">
        <v>7044</v>
      </c>
      <c r="H145" s="9">
        <f ca="1">INDEX(DistrictEquipmentTypes.csv!D:D,RANDBETWEEN(2,15))</f>
        <v>200012</v>
      </c>
      <c r="I145" s="8" t="str">
        <f t="shared" ca="1" si="13"/>
        <v>rg:{ 'id': '200012'}</v>
      </c>
      <c r="J145" s="8">
        <f t="shared" ca="1" si="14"/>
        <v>2</v>
      </c>
      <c r="K145" s="8">
        <f t="shared" ca="1" si="15"/>
        <v>14</v>
      </c>
      <c r="L145" s="8" t="str">
        <f t="shared" ca="1" si="16"/>
        <v>2018-01-11</v>
      </c>
      <c r="M145" s="8" t="str">
        <f t="shared" ca="1" si="17"/>
        <v>2018-01-14</v>
      </c>
    </row>
    <row r="146" spans="1:13" x14ac:dyDescent="0.3">
      <c r="A146" s="8" t="s">
        <v>5666</v>
      </c>
      <c r="B146" s="8">
        <f t="shared" si="12"/>
        <v>200144</v>
      </c>
      <c r="C146" s="1" t="s">
        <v>6951</v>
      </c>
      <c r="D146" s="8" t="str">
        <f xml:space="preserve"> "rg:{'id':'" &amp; VLOOKUP(C146,Project.csv!F:G,2,FALSE) &amp; "'}"</f>
        <v>rg:{'id':'200030'}</v>
      </c>
      <c r="E146" t="s">
        <v>6454</v>
      </c>
      <c r="F146" s="8" t="str">
        <f xml:space="preserve"> "rg:{'id':'" &amp; VLOOKUP(E146,LocalAreas.csv!F:J,5,FALSE) &amp; "'}"</f>
        <v>rg:{'id':'200077'}</v>
      </c>
      <c r="G146" s="9" t="s">
        <v>7044</v>
      </c>
      <c r="H146" s="9">
        <f ca="1">INDEX(DistrictEquipmentTypes.csv!D:D,RANDBETWEEN(2,15))</f>
        <v>200010</v>
      </c>
      <c r="I146" s="8" t="str">
        <f t="shared" ca="1" si="13"/>
        <v>rg:{ 'id': '200010'}</v>
      </c>
      <c r="J146" s="8">
        <f t="shared" ca="1" si="14"/>
        <v>3</v>
      </c>
      <c r="K146" s="8">
        <f t="shared" ca="1" si="15"/>
        <v>26</v>
      </c>
      <c r="L146" s="8" t="str">
        <f t="shared" ca="1" si="16"/>
        <v>2018-02-01</v>
      </c>
      <c r="M146" s="8" t="str">
        <f t="shared" ca="1" si="17"/>
        <v>2018-02-10</v>
      </c>
    </row>
    <row r="147" spans="1:13" x14ac:dyDescent="0.3">
      <c r="A147" s="8" t="s">
        <v>5666</v>
      </c>
      <c r="B147" s="8">
        <f t="shared" si="12"/>
        <v>200145</v>
      </c>
      <c r="C147" s="1" t="s">
        <v>6952</v>
      </c>
      <c r="D147" s="8" t="str">
        <f xml:space="preserve"> "rg:{'id':'" &amp; VLOOKUP(C147,Project.csv!F:G,2,FALSE) &amp; "'}"</f>
        <v>rg:{'id':'200031'}</v>
      </c>
      <c r="E147" t="s">
        <v>6454</v>
      </c>
      <c r="F147" s="8" t="str">
        <f xml:space="preserve"> "rg:{'id':'" &amp; VLOOKUP(E147,LocalAreas.csv!F:J,5,FALSE) &amp; "'}"</f>
        <v>rg:{'id':'200077'}</v>
      </c>
      <c r="G147" s="9" t="s">
        <v>7044</v>
      </c>
      <c r="H147" s="9">
        <f ca="1">INDEX(DistrictEquipmentTypes.csv!D:D,RANDBETWEEN(2,15))</f>
        <v>200012</v>
      </c>
      <c r="I147" s="8" t="str">
        <f t="shared" ca="1" si="13"/>
        <v>rg:{ 'id': '200012'}</v>
      </c>
      <c r="J147" s="8">
        <f t="shared" ca="1" si="14"/>
        <v>1</v>
      </c>
      <c r="K147" s="8">
        <f t="shared" ca="1" si="15"/>
        <v>46</v>
      </c>
      <c r="L147" s="8" t="str">
        <f t="shared" ca="1" si="16"/>
        <v>2018-01-12</v>
      </c>
      <c r="M147" s="8" t="str">
        <f t="shared" ca="1" si="17"/>
        <v>2018-01-17</v>
      </c>
    </row>
    <row r="148" spans="1:13" x14ac:dyDescent="0.3">
      <c r="A148" s="8" t="s">
        <v>5666</v>
      </c>
      <c r="B148" s="8">
        <f t="shared" si="12"/>
        <v>200146</v>
      </c>
      <c r="C148" s="1" t="s">
        <v>6953</v>
      </c>
      <c r="D148" s="8" t="str">
        <f xml:space="preserve"> "rg:{'id':'" &amp; VLOOKUP(C148,Project.csv!F:G,2,FALSE) &amp; "'}"</f>
        <v>rg:{'id':'200032'}</v>
      </c>
      <c r="E148" t="s">
        <v>6454</v>
      </c>
      <c r="F148" s="8" t="str">
        <f xml:space="preserve"> "rg:{'id':'" &amp; VLOOKUP(E148,LocalAreas.csv!F:J,5,FALSE) &amp; "'}"</f>
        <v>rg:{'id':'200077'}</v>
      </c>
      <c r="G148" s="9" t="s">
        <v>7043</v>
      </c>
      <c r="H148" s="9">
        <f ca="1">INDEX(DistrictEquipmentTypes.csv!D:D,RANDBETWEEN(2,15))</f>
        <v>200012</v>
      </c>
      <c r="I148" s="8" t="str">
        <f t="shared" ca="1" si="13"/>
        <v>rg:{ 'id': '200012'}</v>
      </c>
      <c r="J148" s="8">
        <f t="shared" ca="1" si="14"/>
        <v>1</v>
      </c>
      <c r="K148" s="8">
        <f t="shared" ca="1" si="15"/>
        <v>38</v>
      </c>
      <c r="L148" s="8" t="str">
        <f t="shared" ca="1" si="16"/>
        <v>2018-01-31</v>
      </c>
      <c r="M148" s="8" t="str">
        <f t="shared" ca="1" si="17"/>
        <v>2018-02-04</v>
      </c>
    </row>
    <row r="149" spans="1:13" x14ac:dyDescent="0.3">
      <c r="A149" s="8" t="s">
        <v>5666</v>
      </c>
      <c r="B149" s="8">
        <f t="shared" si="12"/>
        <v>200147</v>
      </c>
      <c r="C149" s="1" t="s">
        <v>6898</v>
      </c>
      <c r="D149" s="8" t="str">
        <f xml:space="preserve"> "rg:{'id':'" &amp; VLOOKUP(C149,Project.csv!F:G,2,FALSE) &amp; "'}"</f>
        <v>rg:{'id':'200033'}</v>
      </c>
      <c r="E149" t="s">
        <v>6454</v>
      </c>
      <c r="F149" s="8" t="str">
        <f xml:space="preserve"> "rg:{'id':'" &amp; VLOOKUP(E149,LocalAreas.csv!F:J,5,FALSE) &amp; "'}"</f>
        <v>rg:{'id':'200077'}</v>
      </c>
      <c r="G149" s="9" t="s">
        <v>7044</v>
      </c>
      <c r="H149" s="9">
        <f ca="1">INDEX(DistrictEquipmentTypes.csv!D:D,RANDBETWEEN(2,15))</f>
        <v>200006</v>
      </c>
      <c r="I149" s="8" t="str">
        <f t="shared" ca="1" si="13"/>
        <v>rg:{ 'id': '200006'}</v>
      </c>
      <c r="J149" s="8">
        <f t="shared" ca="1" si="14"/>
        <v>2</v>
      </c>
      <c r="K149" s="8">
        <f t="shared" ca="1" si="15"/>
        <v>86</v>
      </c>
      <c r="L149" s="8" t="str">
        <f t="shared" ca="1" si="16"/>
        <v>2018-02-02</v>
      </c>
      <c r="M149" s="8" t="str">
        <f t="shared" ca="1" si="17"/>
        <v>2018-02-23</v>
      </c>
    </row>
    <row r="150" spans="1:13" x14ac:dyDescent="0.3">
      <c r="A150" s="8" t="s">
        <v>5666</v>
      </c>
      <c r="B150" s="8">
        <f t="shared" si="12"/>
        <v>200148</v>
      </c>
      <c r="C150" s="1" t="s">
        <v>6904</v>
      </c>
      <c r="D150" s="8" t="str">
        <f xml:space="preserve"> "rg:{'id':'" &amp; VLOOKUP(C150,Project.csv!F:G,2,FALSE) &amp; "'}"</f>
        <v>rg:{'id':'200034'}</v>
      </c>
      <c r="E150" t="s">
        <v>6454</v>
      </c>
      <c r="F150" s="8" t="str">
        <f xml:space="preserve"> "rg:{'id':'" &amp; VLOOKUP(E150,LocalAreas.csv!F:J,5,FALSE) &amp; "'}"</f>
        <v>rg:{'id':'200077'}</v>
      </c>
      <c r="G150" s="9" t="s">
        <v>7044</v>
      </c>
      <c r="H150" s="9">
        <f ca="1">INDEX(DistrictEquipmentTypes.csv!D:D,RANDBETWEEN(2,15))</f>
        <v>200008</v>
      </c>
      <c r="I150" s="8" t="str">
        <f t="shared" ca="1" si="13"/>
        <v>rg:{ 'id': '200008'}</v>
      </c>
      <c r="J150" s="8">
        <f t="shared" ca="1" si="14"/>
        <v>2</v>
      </c>
      <c r="K150" s="8">
        <f t="shared" ca="1" si="15"/>
        <v>13</v>
      </c>
      <c r="L150" s="8" t="str">
        <f t="shared" ca="1" si="16"/>
        <v>2018-01-15</v>
      </c>
      <c r="M150" s="8" t="str">
        <f t="shared" ca="1" si="17"/>
        <v>2018-01-18</v>
      </c>
    </row>
    <row r="151" spans="1:13" x14ac:dyDescent="0.3">
      <c r="A151" s="8" t="s">
        <v>5666</v>
      </c>
      <c r="B151" s="8">
        <f t="shared" si="12"/>
        <v>200149</v>
      </c>
      <c r="C151" s="1" t="s">
        <v>6954</v>
      </c>
      <c r="D151" s="8" t="str">
        <f xml:space="preserve"> "rg:{'id':'" &amp; VLOOKUP(C151,Project.csv!F:G,2,FALSE) &amp; "'}"</f>
        <v>rg:{'id':'200035'}</v>
      </c>
      <c r="E151" t="s">
        <v>6454</v>
      </c>
      <c r="F151" s="8" t="str">
        <f xml:space="preserve"> "rg:{'id':'" &amp; VLOOKUP(E151,LocalAreas.csv!F:J,5,FALSE) &amp; "'}"</f>
        <v>rg:{'id':'200077'}</v>
      </c>
      <c r="G151" s="9" t="s">
        <v>7043</v>
      </c>
      <c r="H151" s="9">
        <f ca="1">INDEX(DistrictEquipmentTypes.csv!D:D,RANDBETWEEN(2,15))</f>
        <v>200004</v>
      </c>
      <c r="I151" s="8" t="str">
        <f t="shared" ca="1" si="13"/>
        <v>rg:{ 'id': '200004'}</v>
      </c>
      <c r="J151" s="8">
        <f t="shared" ca="1" si="14"/>
        <v>1</v>
      </c>
      <c r="K151" s="8">
        <f t="shared" ca="1" si="15"/>
        <v>66</v>
      </c>
      <c r="L151" s="8" t="str">
        <f t="shared" ca="1" si="16"/>
        <v>2018-02-02</v>
      </c>
      <c r="M151" s="8" t="str">
        <f t="shared" ca="1" si="17"/>
        <v>2018-02-10</v>
      </c>
    </row>
    <row r="152" spans="1:13" x14ac:dyDescent="0.3">
      <c r="A152" s="8" t="s">
        <v>5666</v>
      </c>
      <c r="B152" s="8">
        <f t="shared" si="12"/>
        <v>200150</v>
      </c>
      <c r="C152" s="1" t="s">
        <v>6955</v>
      </c>
      <c r="D152" s="8" t="str">
        <f xml:space="preserve"> "rg:{'id':'" &amp; VLOOKUP(C152,Project.csv!F:G,2,FALSE) &amp; "'}"</f>
        <v>rg:{'id':'200036'}</v>
      </c>
      <c r="E152" t="s">
        <v>6454</v>
      </c>
      <c r="F152" s="8" t="str">
        <f xml:space="preserve"> "rg:{'id':'" &amp; VLOOKUP(E152,LocalAreas.csv!F:J,5,FALSE) &amp; "'}"</f>
        <v>rg:{'id':'200077'}</v>
      </c>
      <c r="G152" s="9" t="s">
        <v>7043</v>
      </c>
      <c r="H152" s="9">
        <f ca="1">INDEX(DistrictEquipmentTypes.csv!D:D,RANDBETWEEN(2,15))</f>
        <v>200001</v>
      </c>
      <c r="I152" s="8" t="str">
        <f t="shared" ca="1" si="13"/>
        <v>rg:{ 'id': '200001'}</v>
      </c>
      <c r="J152" s="8">
        <f t="shared" ca="1" si="14"/>
        <v>3</v>
      </c>
      <c r="K152" s="8">
        <f t="shared" ca="1" si="15"/>
        <v>88</v>
      </c>
      <c r="L152" s="8" t="str">
        <f t="shared" ca="1" si="16"/>
        <v>2018-01-26</v>
      </c>
      <c r="M152" s="8" t="str">
        <f t="shared" ca="1" si="17"/>
        <v>2018-02-28</v>
      </c>
    </row>
    <row r="153" spans="1:13" x14ac:dyDescent="0.3">
      <c r="A153" s="8" t="s">
        <v>5666</v>
      </c>
      <c r="B153" s="8">
        <f t="shared" si="12"/>
        <v>200151</v>
      </c>
      <c r="C153" s="1" t="s">
        <v>6956</v>
      </c>
      <c r="D153" s="8" t="str">
        <f xml:space="preserve"> "rg:{'id':'" &amp; VLOOKUP(C153,Project.csv!F:G,2,FALSE) &amp; "'}"</f>
        <v>rg:{'id':'200037'}</v>
      </c>
      <c r="E153" t="s">
        <v>6454</v>
      </c>
      <c r="F153" s="8" t="str">
        <f xml:space="preserve"> "rg:{'id':'" &amp; VLOOKUP(E153,LocalAreas.csv!F:J,5,FALSE) &amp; "'}"</f>
        <v>rg:{'id':'200077'}</v>
      </c>
      <c r="G153" s="9" t="s">
        <v>7043</v>
      </c>
      <c r="H153" s="9">
        <f ca="1">INDEX(DistrictEquipmentTypes.csv!D:D,RANDBETWEEN(2,15))</f>
        <v>200005</v>
      </c>
      <c r="I153" s="8" t="str">
        <f t="shared" ca="1" si="13"/>
        <v>rg:{ 'id': '200005'}</v>
      </c>
      <c r="J153" s="8">
        <f t="shared" ca="1" si="14"/>
        <v>1</v>
      </c>
      <c r="K153" s="8">
        <f t="shared" ca="1" si="15"/>
        <v>67</v>
      </c>
      <c r="L153" s="8" t="str">
        <f t="shared" ca="1" si="16"/>
        <v>2018-01-28</v>
      </c>
      <c r="M153" s="8" t="str">
        <f t="shared" ca="1" si="17"/>
        <v>2018-02-05</v>
      </c>
    </row>
    <row r="154" spans="1:13" x14ac:dyDescent="0.3">
      <c r="A154" s="8" t="s">
        <v>5666</v>
      </c>
      <c r="B154" s="8">
        <f t="shared" si="12"/>
        <v>200152</v>
      </c>
      <c r="C154" s="1" t="s">
        <v>6985</v>
      </c>
      <c r="D154" s="8" t="str">
        <f xml:space="preserve"> "rg:{'id':'" &amp; VLOOKUP(C154,Project.csv!F:G,2,FALSE) &amp; "'}"</f>
        <v>rg:{'id':'200075'}</v>
      </c>
      <c r="E154" t="s">
        <v>6454</v>
      </c>
      <c r="F154" s="8" t="str">
        <f xml:space="preserve"> "rg:{'id':'" &amp; VLOOKUP(E154,LocalAreas.csv!F:J,5,FALSE) &amp; "'}"</f>
        <v>rg:{'id':'200077'}</v>
      </c>
      <c r="G154" s="9" t="s">
        <v>7043</v>
      </c>
      <c r="H154" s="9">
        <f ca="1">INDEX(DistrictEquipmentTypes.csv!D:D,RANDBETWEEN(2,15))</f>
        <v>200000</v>
      </c>
      <c r="I154" s="8" t="str">
        <f t="shared" ca="1" si="13"/>
        <v>rg:{ 'id': '200000'}</v>
      </c>
      <c r="J154" s="8">
        <f t="shared" ca="1" si="14"/>
        <v>1</v>
      </c>
      <c r="K154" s="8">
        <f t="shared" ca="1" si="15"/>
        <v>46</v>
      </c>
      <c r="L154" s="8" t="str">
        <f t="shared" ca="1" si="16"/>
        <v>2018-01-09</v>
      </c>
      <c r="M154" s="8" t="str">
        <f t="shared" ca="1" si="17"/>
        <v>2018-01-14</v>
      </c>
    </row>
    <row r="155" spans="1:13" x14ac:dyDescent="0.3">
      <c r="A155" s="8" t="s">
        <v>5666</v>
      </c>
      <c r="B155" s="8">
        <f t="shared" si="12"/>
        <v>200153</v>
      </c>
      <c r="C155" s="1" t="s">
        <v>6986</v>
      </c>
      <c r="D155" s="8" t="str">
        <f xml:space="preserve"> "rg:{'id':'" &amp; VLOOKUP(C155,Project.csv!F:G,2,FALSE) &amp; "'}"</f>
        <v>rg:{'id':'200076'}</v>
      </c>
      <c r="E155" t="s">
        <v>6454</v>
      </c>
      <c r="F155" s="8" t="str">
        <f xml:space="preserve"> "rg:{'id':'" &amp; VLOOKUP(E155,LocalAreas.csv!F:J,5,FALSE) &amp; "'}"</f>
        <v>rg:{'id':'200077'}</v>
      </c>
      <c r="G155" s="9" t="s">
        <v>7043</v>
      </c>
      <c r="H155" s="9">
        <f ca="1">INDEX(DistrictEquipmentTypes.csv!D:D,RANDBETWEEN(2,15))</f>
        <v>200004</v>
      </c>
      <c r="I155" s="8" t="str">
        <f t="shared" ca="1" si="13"/>
        <v>rg:{ 'id': '200004'}</v>
      </c>
      <c r="J155" s="8">
        <f t="shared" ca="1" si="14"/>
        <v>4</v>
      </c>
      <c r="K155" s="8">
        <f t="shared" ca="1" si="15"/>
        <v>46</v>
      </c>
      <c r="L155" s="8" t="str">
        <f t="shared" ca="1" si="16"/>
        <v>2018-01-20</v>
      </c>
      <c r="M155" s="8" t="str">
        <f t="shared" ca="1" si="17"/>
        <v>2018-02-12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7872</v>
      </c>
      <c r="C1" t="s">
        <v>7759</v>
      </c>
      <c r="D1" t="s">
        <v>7760</v>
      </c>
      <c r="E1" t="s">
        <v>7761</v>
      </c>
      <c r="F1" t="s">
        <v>7762</v>
      </c>
      <c r="G1" t="s">
        <v>7763</v>
      </c>
      <c r="H1" t="s">
        <v>5323</v>
      </c>
    </row>
    <row r="2" spans="1:8" x14ac:dyDescent="0.3">
      <c r="A2" t="s">
        <v>7871</v>
      </c>
      <c r="B2" t="s">
        <v>7764</v>
      </c>
      <c r="C2" t="s">
        <v>7765</v>
      </c>
      <c r="D2">
        <v>2</v>
      </c>
      <c r="E2" t="s">
        <v>7766</v>
      </c>
      <c r="F2" t="s">
        <v>6660</v>
      </c>
      <c r="H2">
        <v>200000</v>
      </c>
    </row>
    <row r="3" spans="1:8" x14ac:dyDescent="0.3">
      <c r="A3" t="s">
        <v>7871</v>
      </c>
      <c r="B3" t="s">
        <v>7764</v>
      </c>
      <c r="C3" t="s">
        <v>7857</v>
      </c>
      <c r="D3">
        <v>3</v>
      </c>
      <c r="E3" t="s">
        <v>7767</v>
      </c>
      <c r="F3" t="s">
        <v>6661</v>
      </c>
      <c r="H3">
        <f>H2+1</f>
        <v>200001</v>
      </c>
    </row>
    <row r="4" spans="1:8" x14ac:dyDescent="0.3">
      <c r="A4" t="s">
        <v>7871</v>
      </c>
      <c r="B4" t="s">
        <v>7764</v>
      </c>
      <c r="C4" t="s">
        <v>7857</v>
      </c>
      <c r="D4">
        <v>1</v>
      </c>
      <c r="E4" t="s">
        <v>7768</v>
      </c>
      <c r="F4" t="s">
        <v>6662</v>
      </c>
      <c r="H4">
        <f t="shared" ref="H4:H54" si="0">H3+1</f>
        <v>200002</v>
      </c>
    </row>
    <row r="5" spans="1:8" x14ac:dyDescent="0.3">
      <c r="A5" t="s">
        <v>7871</v>
      </c>
      <c r="B5" t="s">
        <v>7769</v>
      </c>
      <c r="C5" t="s">
        <v>7765</v>
      </c>
      <c r="D5">
        <v>2</v>
      </c>
      <c r="E5" t="s">
        <v>7766</v>
      </c>
      <c r="F5" t="s">
        <v>6660</v>
      </c>
      <c r="H5">
        <f t="shared" si="0"/>
        <v>200003</v>
      </c>
    </row>
    <row r="6" spans="1:8" x14ac:dyDescent="0.3">
      <c r="A6" t="s">
        <v>7871</v>
      </c>
      <c r="B6" t="s">
        <v>7769</v>
      </c>
      <c r="C6" t="s">
        <v>7857</v>
      </c>
      <c r="D6">
        <v>3</v>
      </c>
      <c r="E6" t="s">
        <v>7767</v>
      </c>
      <c r="F6" t="s">
        <v>6661</v>
      </c>
      <c r="H6">
        <f t="shared" si="0"/>
        <v>200004</v>
      </c>
    </row>
    <row r="7" spans="1:8" x14ac:dyDescent="0.3">
      <c r="A7" t="s">
        <v>7871</v>
      </c>
      <c r="B7" t="s">
        <v>7769</v>
      </c>
      <c r="C7" t="s">
        <v>7857</v>
      </c>
      <c r="D7">
        <v>1</v>
      </c>
      <c r="E7" t="s">
        <v>7768</v>
      </c>
      <c r="F7" t="s">
        <v>6662</v>
      </c>
      <c r="H7">
        <f t="shared" si="0"/>
        <v>200005</v>
      </c>
    </row>
    <row r="8" spans="1:8" x14ac:dyDescent="0.3">
      <c r="A8" t="s">
        <v>7871</v>
      </c>
      <c r="B8" t="s">
        <v>7770</v>
      </c>
      <c r="C8" t="s">
        <v>7765</v>
      </c>
      <c r="D8">
        <v>1</v>
      </c>
      <c r="E8" t="s">
        <v>7771</v>
      </c>
      <c r="F8" t="s">
        <v>7772</v>
      </c>
      <c r="H8">
        <f t="shared" si="0"/>
        <v>200006</v>
      </c>
    </row>
    <row r="9" spans="1:8" x14ac:dyDescent="0.3">
      <c r="A9" t="s">
        <v>7871</v>
      </c>
      <c r="B9" t="s">
        <v>7770</v>
      </c>
      <c r="C9" t="s">
        <v>7857</v>
      </c>
      <c r="D9">
        <v>2</v>
      </c>
      <c r="E9" t="s">
        <v>7773</v>
      </c>
      <c r="F9" t="s">
        <v>7044</v>
      </c>
      <c r="H9">
        <f t="shared" si="0"/>
        <v>200007</v>
      </c>
    </row>
    <row r="10" spans="1:8" x14ac:dyDescent="0.3">
      <c r="A10" t="s">
        <v>7871</v>
      </c>
      <c r="B10" t="s">
        <v>7770</v>
      </c>
      <c r="C10" t="s">
        <v>7857</v>
      </c>
      <c r="D10">
        <v>3</v>
      </c>
      <c r="E10" t="s">
        <v>7774</v>
      </c>
      <c r="F10" t="s">
        <v>7045</v>
      </c>
      <c r="H10">
        <f t="shared" si="0"/>
        <v>200008</v>
      </c>
    </row>
    <row r="11" spans="1:8" x14ac:dyDescent="0.3">
      <c r="A11" t="s">
        <v>7871</v>
      </c>
      <c r="B11" t="s">
        <v>7775</v>
      </c>
      <c r="C11" t="s">
        <v>7765</v>
      </c>
      <c r="D11">
        <v>1</v>
      </c>
      <c r="E11" t="s">
        <v>7776</v>
      </c>
      <c r="F11" t="s">
        <v>7777</v>
      </c>
      <c r="H11">
        <f t="shared" si="0"/>
        <v>200009</v>
      </c>
    </row>
    <row r="12" spans="1:8" x14ac:dyDescent="0.3">
      <c r="A12" t="s">
        <v>7871</v>
      </c>
      <c r="B12" t="s">
        <v>7775</v>
      </c>
      <c r="C12" t="s">
        <v>7857</v>
      </c>
      <c r="D12">
        <v>2</v>
      </c>
      <c r="E12" t="s">
        <v>5322</v>
      </c>
      <c r="F12" t="s">
        <v>7778</v>
      </c>
      <c r="H12">
        <f t="shared" si="0"/>
        <v>200010</v>
      </c>
    </row>
    <row r="13" spans="1:8" x14ac:dyDescent="0.3">
      <c r="A13" t="s">
        <v>7871</v>
      </c>
      <c r="B13" t="s">
        <v>7779</v>
      </c>
      <c r="C13" t="s">
        <v>7857</v>
      </c>
      <c r="D13">
        <v>1</v>
      </c>
      <c r="E13" t="s">
        <v>7780</v>
      </c>
      <c r="F13" t="s">
        <v>7780</v>
      </c>
      <c r="G13" t="s">
        <v>7781</v>
      </c>
      <c r="H13">
        <f t="shared" si="0"/>
        <v>200011</v>
      </c>
    </row>
    <row r="14" spans="1:8" x14ac:dyDescent="0.3">
      <c r="A14" t="s">
        <v>7871</v>
      </c>
      <c r="B14" t="s">
        <v>7779</v>
      </c>
      <c r="C14" t="s">
        <v>7857</v>
      </c>
      <c r="D14">
        <v>2</v>
      </c>
      <c r="E14" t="s">
        <v>7782</v>
      </c>
      <c r="F14" t="s">
        <v>7782</v>
      </c>
      <c r="H14">
        <f t="shared" si="0"/>
        <v>200012</v>
      </c>
    </row>
    <row r="15" spans="1:8" x14ac:dyDescent="0.3">
      <c r="A15" t="s">
        <v>7871</v>
      </c>
      <c r="B15" t="s">
        <v>7779</v>
      </c>
      <c r="C15" t="s">
        <v>7857</v>
      </c>
      <c r="D15">
        <v>3</v>
      </c>
      <c r="E15" t="s">
        <v>7783</v>
      </c>
      <c r="F15" t="s">
        <v>7783</v>
      </c>
      <c r="H15">
        <f t="shared" si="0"/>
        <v>200013</v>
      </c>
    </row>
    <row r="16" spans="1:8" x14ac:dyDescent="0.3">
      <c r="A16" t="s">
        <v>7871</v>
      </c>
      <c r="B16" t="s">
        <v>7779</v>
      </c>
      <c r="C16" t="s">
        <v>7857</v>
      </c>
      <c r="D16">
        <v>4</v>
      </c>
      <c r="E16" t="s">
        <v>7784</v>
      </c>
      <c r="F16" t="s">
        <v>7785</v>
      </c>
      <c r="H16">
        <f t="shared" si="0"/>
        <v>200014</v>
      </c>
    </row>
    <row r="17" spans="1:8" x14ac:dyDescent="0.3">
      <c r="A17" t="s">
        <v>7871</v>
      </c>
      <c r="B17" t="s">
        <v>7779</v>
      </c>
      <c r="C17" t="s">
        <v>7857</v>
      </c>
      <c r="D17">
        <v>5</v>
      </c>
      <c r="E17" t="s">
        <v>7786</v>
      </c>
      <c r="F17" t="s">
        <v>7787</v>
      </c>
      <c r="H17">
        <f t="shared" si="0"/>
        <v>200015</v>
      </c>
    </row>
    <row r="18" spans="1:8" x14ac:dyDescent="0.3">
      <c r="A18" t="s">
        <v>7871</v>
      </c>
      <c r="B18" t="s">
        <v>7779</v>
      </c>
      <c r="C18" t="s">
        <v>7857</v>
      </c>
      <c r="D18">
        <v>6</v>
      </c>
      <c r="E18" t="s">
        <v>7788</v>
      </c>
      <c r="F18" t="s">
        <v>7789</v>
      </c>
      <c r="H18">
        <f t="shared" si="0"/>
        <v>200016</v>
      </c>
    </row>
    <row r="19" spans="1:8" x14ac:dyDescent="0.3">
      <c r="A19" t="s">
        <v>7871</v>
      </c>
      <c r="B19" t="s">
        <v>7790</v>
      </c>
      <c r="C19" t="s">
        <v>7765</v>
      </c>
      <c r="D19">
        <v>1</v>
      </c>
      <c r="E19" t="s">
        <v>7791</v>
      </c>
      <c r="F19" t="s">
        <v>7792</v>
      </c>
      <c r="G19" t="s">
        <v>7781</v>
      </c>
      <c r="H19">
        <f t="shared" si="0"/>
        <v>200017</v>
      </c>
    </row>
    <row r="20" spans="1:8" x14ac:dyDescent="0.3">
      <c r="A20" t="s">
        <v>7871</v>
      </c>
      <c r="B20" t="s">
        <v>7790</v>
      </c>
      <c r="C20" t="s">
        <v>7857</v>
      </c>
      <c r="D20">
        <v>2</v>
      </c>
      <c r="E20" t="s">
        <v>7874</v>
      </c>
      <c r="F20" t="s">
        <v>7873</v>
      </c>
      <c r="H20">
        <f t="shared" si="0"/>
        <v>200018</v>
      </c>
    </row>
    <row r="21" spans="1:8" x14ac:dyDescent="0.3">
      <c r="A21" t="s">
        <v>7871</v>
      </c>
      <c r="B21" t="s">
        <v>7790</v>
      </c>
      <c r="C21" t="s">
        <v>7857</v>
      </c>
      <c r="D21">
        <v>3</v>
      </c>
      <c r="E21" t="s">
        <v>7793</v>
      </c>
      <c r="F21" t="s">
        <v>7794</v>
      </c>
      <c r="H21">
        <f t="shared" si="0"/>
        <v>200019</v>
      </c>
    </row>
    <row r="22" spans="1:8" x14ac:dyDescent="0.3">
      <c r="A22" t="s">
        <v>7871</v>
      </c>
      <c r="B22" t="s">
        <v>7790</v>
      </c>
      <c r="C22" t="s">
        <v>7857</v>
      </c>
      <c r="D22">
        <v>4</v>
      </c>
      <c r="E22" t="s">
        <v>5322</v>
      </c>
      <c r="F22" t="s">
        <v>7795</v>
      </c>
      <c r="H22">
        <f t="shared" si="0"/>
        <v>200020</v>
      </c>
    </row>
    <row r="23" spans="1:8" x14ac:dyDescent="0.3">
      <c r="A23" t="s">
        <v>7871</v>
      </c>
      <c r="B23" t="s">
        <v>7796</v>
      </c>
      <c r="C23" t="s">
        <v>7765</v>
      </c>
      <c r="D23">
        <v>1</v>
      </c>
      <c r="E23" t="s">
        <v>7771</v>
      </c>
      <c r="F23" t="s">
        <v>7772</v>
      </c>
      <c r="H23">
        <f t="shared" si="0"/>
        <v>200021</v>
      </c>
    </row>
    <row r="24" spans="1:8" x14ac:dyDescent="0.3">
      <c r="A24" t="s">
        <v>7871</v>
      </c>
      <c r="B24" t="s">
        <v>7796</v>
      </c>
      <c r="C24" t="s">
        <v>7857</v>
      </c>
      <c r="D24">
        <v>2</v>
      </c>
      <c r="E24" t="s">
        <v>7773</v>
      </c>
      <c r="F24" t="s">
        <v>7044</v>
      </c>
      <c r="H24">
        <f t="shared" si="0"/>
        <v>200022</v>
      </c>
    </row>
    <row r="25" spans="1:8" x14ac:dyDescent="0.3">
      <c r="A25" t="s">
        <v>7871</v>
      </c>
      <c r="B25" t="s">
        <v>7796</v>
      </c>
      <c r="C25" t="s">
        <v>7857</v>
      </c>
      <c r="D25">
        <v>3</v>
      </c>
      <c r="E25" t="s">
        <v>7774</v>
      </c>
      <c r="F25" t="s">
        <v>7045</v>
      </c>
      <c r="H25">
        <f t="shared" si="0"/>
        <v>200023</v>
      </c>
    </row>
    <row r="26" spans="1:8" x14ac:dyDescent="0.3">
      <c r="A26" t="s">
        <v>7871</v>
      </c>
      <c r="B26" t="s">
        <v>7797</v>
      </c>
      <c r="C26" t="s">
        <v>7765</v>
      </c>
      <c r="D26">
        <v>1</v>
      </c>
      <c r="E26" t="s">
        <v>7798</v>
      </c>
      <c r="F26" t="s">
        <v>7798</v>
      </c>
      <c r="H26">
        <f t="shared" si="0"/>
        <v>200024</v>
      </c>
    </row>
    <row r="27" spans="1:8" x14ac:dyDescent="0.3">
      <c r="A27" t="s">
        <v>7871</v>
      </c>
      <c r="B27" t="s">
        <v>7797</v>
      </c>
      <c r="C27" t="s">
        <v>7857</v>
      </c>
      <c r="D27">
        <v>2</v>
      </c>
      <c r="E27" t="s">
        <v>7773</v>
      </c>
      <c r="F27" t="s">
        <v>7044</v>
      </c>
      <c r="H27">
        <f t="shared" si="0"/>
        <v>200025</v>
      </c>
    </row>
    <row r="28" spans="1:8" x14ac:dyDescent="0.3">
      <c r="A28" t="s">
        <v>7871</v>
      </c>
      <c r="B28" t="s">
        <v>7799</v>
      </c>
      <c r="C28" t="s">
        <v>7857</v>
      </c>
      <c r="D28">
        <v>1</v>
      </c>
      <c r="E28" t="s">
        <v>7800</v>
      </c>
      <c r="F28" t="s">
        <v>7801</v>
      </c>
      <c r="H28">
        <f t="shared" si="0"/>
        <v>200026</v>
      </c>
    </row>
    <row r="29" spans="1:8" x14ac:dyDescent="0.3">
      <c r="A29" t="s">
        <v>7871</v>
      </c>
      <c r="B29" t="s">
        <v>7799</v>
      </c>
      <c r="C29" t="s">
        <v>7857</v>
      </c>
      <c r="D29">
        <v>2</v>
      </c>
      <c r="E29" t="s">
        <v>7802</v>
      </c>
      <c r="F29" t="s">
        <v>7803</v>
      </c>
      <c r="H29">
        <f t="shared" si="0"/>
        <v>200027</v>
      </c>
    </row>
    <row r="30" spans="1:8" x14ac:dyDescent="0.3">
      <c r="A30" t="s">
        <v>7871</v>
      </c>
      <c r="B30" t="s">
        <v>7799</v>
      </c>
      <c r="C30" t="s">
        <v>7857</v>
      </c>
      <c r="D30">
        <v>3</v>
      </c>
      <c r="E30" t="s">
        <v>7804</v>
      </c>
      <c r="F30" t="s">
        <v>7805</v>
      </c>
      <c r="H30">
        <f t="shared" si="0"/>
        <v>200028</v>
      </c>
    </row>
    <row r="31" spans="1:8" x14ac:dyDescent="0.3">
      <c r="A31" t="s">
        <v>7871</v>
      </c>
      <c r="B31" t="s">
        <v>5670</v>
      </c>
      <c r="C31" t="s">
        <v>7857</v>
      </c>
      <c r="D31">
        <v>1</v>
      </c>
      <c r="E31" t="s">
        <v>7806</v>
      </c>
      <c r="F31" t="s">
        <v>7807</v>
      </c>
      <c r="H31">
        <f t="shared" si="0"/>
        <v>200029</v>
      </c>
    </row>
    <row r="32" spans="1:8" x14ac:dyDescent="0.3">
      <c r="A32" t="s">
        <v>7871</v>
      </c>
      <c r="B32" t="s">
        <v>5670</v>
      </c>
      <c r="C32" t="s">
        <v>7857</v>
      </c>
      <c r="D32">
        <v>2</v>
      </c>
      <c r="E32" t="s">
        <v>7808</v>
      </c>
      <c r="F32" t="s">
        <v>7809</v>
      </c>
      <c r="H32">
        <f t="shared" si="0"/>
        <v>200030</v>
      </c>
    </row>
    <row r="33" spans="1:8" x14ac:dyDescent="0.3">
      <c r="A33" t="s">
        <v>7871</v>
      </c>
      <c r="B33" t="s">
        <v>5670</v>
      </c>
      <c r="C33" t="s">
        <v>7857</v>
      </c>
      <c r="D33">
        <v>3</v>
      </c>
      <c r="E33" t="s">
        <v>7810</v>
      </c>
      <c r="F33" t="s">
        <v>7811</v>
      </c>
      <c r="H33">
        <f t="shared" si="0"/>
        <v>200031</v>
      </c>
    </row>
    <row r="34" spans="1:8" x14ac:dyDescent="0.3">
      <c r="A34" t="s">
        <v>7871</v>
      </c>
      <c r="B34" t="s">
        <v>5670</v>
      </c>
      <c r="C34" t="s">
        <v>7857</v>
      </c>
      <c r="D34">
        <v>4</v>
      </c>
      <c r="E34" t="s">
        <v>7812</v>
      </c>
      <c r="F34" t="s">
        <v>7813</v>
      </c>
      <c r="H34">
        <f t="shared" si="0"/>
        <v>200032</v>
      </c>
    </row>
    <row r="35" spans="1:8" x14ac:dyDescent="0.3">
      <c r="A35" t="s">
        <v>7871</v>
      </c>
      <c r="B35" t="s">
        <v>5670</v>
      </c>
      <c r="C35" t="s">
        <v>7857</v>
      </c>
      <c r="D35">
        <v>5</v>
      </c>
      <c r="E35" t="s">
        <v>7814</v>
      </c>
      <c r="F35" t="s">
        <v>7815</v>
      </c>
      <c r="H35">
        <f t="shared" si="0"/>
        <v>200033</v>
      </c>
    </row>
    <row r="36" spans="1:8" x14ac:dyDescent="0.3">
      <c r="A36" t="s">
        <v>7871</v>
      </c>
      <c r="B36" t="s">
        <v>7816</v>
      </c>
      <c r="C36" t="s">
        <v>7857</v>
      </c>
      <c r="E36" t="s">
        <v>7817</v>
      </c>
      <c r="F36" t="s">
        <v>7818</v>
      </c>
      <c r="H36">
        <f t="shared" si="0"/>
        <v>200034</v>
      </c>
    </row>
    <row r="37" spans="1:8" x14ac:dyDescent="0.3">
      <c r="A37" t="s">
        <v>7871</v>
      </c>
      <c r="B37" t="s">
        <v>7816</v>
      </c>
      <c r="C37" t="s">
        <v>7857</v>
      </c>
      <c r="E37" t="s">
        <v>7819</v>
      </c>
      <c r="F37" t="s">
        <v>7820</v>
      </c>
      <c r="H37">
        <f t="shared" si="0"/>
        <v>200035</v>
      </c>
    </row>
    <row r="38" spans="1:8" x14ac:dyDescent="0.3">
      <c r="A38" t="s">
        <v>7871</v>
      </c>
      <c r="B38" t="s">
        <v>7816</v>
      </c>
      <c r="C38" t="s">
        <v>7857</v>
      </c>
      <c r="E38" t="s">
        <v>7821</v>
      </c>
      <c r="F38" t="s">
        <v>7822</v>
      </c>
      <c r="H38">
        <f t="shared" si="0"/>
        <v>200036</v>
      </c>
    </row>
    <row r="39" spans="1:8" x14ac:dyDescent="0.3">
      <c r="A39" t="s">
        <v>7871</v>
      </c>
      <c r="B39" t="s">
        <v>7816</v>
      </c>
      <c r="C39" t="s">
        <v>7857</v>
      </c>
      <c r="E39" t="s">
        <v>7823</v>
      </c>
      <c r="F39" t="s">
        <v>7824</v>
      </c>
      <c r="H39">
        <f t="shared" si="0"/>
        <v>200037</v>
      </c>
    </row>
    <row r="40" spans="1:8" x14ac:dyDescent="0.3">
      <c r="A40" t="s">
        <v>7871</v>
      </c>
      <c r="B40" t="s">
        <v>7816</v>
      </c>
      <c r="C40" t="s">
        <v>7857</v>
      </c>
      <c r="E40" t="s">
        <v>7825</v>
      </c>
      <c r="F40" t="s">
        <v>7826</v>
      </c>
      <c r="H40">
        <f t="shared" si="0"/>
        <v>200038</v>
      </c>
    </row>
    <row r="41" spans="1:8" x14ac:dyDescent="0.3">
      <c r="A41" t="s">
        <v>7871</v>
      </c>
      <c r="B41" t="s">
        <v>7816</v>
      </c>
      <c r="C41" t="s">
        <v>7857</v>
      </c>
      <c r="E41" t="s">
        <v>7827</v>
      </c>
      <c r="F41" t="s">
        <v>7828</v>
      </c>
      <c r="H41">
        <f t="shared" si="0"/>
        <v>200039</v>
      </c>
    </row>
    <row r="42" spans="1:8" x14ac:dyDescent="0.3">
      <c r="A42" t="s">
        <v>7871</v>
      </c>
      <c r="B42" t="s">
        <v>7816</v>
      </c>
      <c r="C42" t="s">
        <v>7857</v>
      </c>
      <c r="E42" t="s">
        <v>2837</v>
      </c>
      <c r="F42" t="s">
        <v>7829</v>
      </c>
      <c r="H42">
        <f t="shared" si="0"/>
        <v>200040</v>
      </c>
    </row>
    <row r="43" spans="1:8" x14ac:dyDescent="0.3">
      <c r="A43" t="s">
        <v>7871</v>
      </c>
      <c r="B43" t="s">
        <v>7816</v>
      </c>
      <c r="C43" t="s">
        <v>7857</v>
      </c>
      <c r="E43" t="s">
        <v>7830</v>
      </c>
      <c r="F43" t="s">
        <v>7831</v>
      </c>
      <c r="H43">
        <f t="shared" si="0"/>
        <v>200041</v>
      </c>
    </row>
    <row r="44" spans="1:8" x14ac:dyDescent="0.3">
      <c r="A44" t="s">
        <v>7871</v>
      </c>
      <c r="B44" t="s">
        <v>7832</v>
      </c>
      <c r="C44" t="s">
        <v>7857</v>
      </c>
      <c r="E44" t="s">
        <v>7833</v>
      </c>
      <c r="F44" t="s">
        <v>7833</v>
      </c>
      <c r="H44">
        <f t="shared" si="0"/>
        <v>200042</v>
      </c>
    </row>
    <row r="45" spans="1:8" x14ac:dyDescent="0.3">
      <c r="A45" t="s">
        <v>7871</v>
      </c>
      <c r="B45" t="s">
        <v>7832</v>
      </c>
      <c r="C45" t="s">
        <v>7857</v>
      </c>
      <c r="E45" t="s">
        <v>7834</v>
      </c>
      <c r="F45" t="s">
        <v>7835</v>
      </c>
      <c r="H45">
        <f t="shared" si="0"/>
        <v>200043</v>
      </c>
    </row>
    <row r="46" spans="1:8" x14ac:dyDescent="0.3">
      <c r="A46" t="s">
        <v>7871</v>
      </c>
      <c r="B46" t="s">
        <v>7832</v>
      </c>
      <c r="C46" t="s">
        <v>7857</v>
      </c>
      <c r="E46" t="s">
        <v>7836</v>
      </c>
      <c r="F46" t="s">
        <v>7837</v>
      </c>
      <c r="H46">
        <f t="shared" si="0"/>
        <v>200044</v>
      </c>
    </row>
    <row r="47" spans="1:8" x14ac:dyDescent="0.3">
      <c r="A47" t="s">
        <v>7871</v>
      </c>
      <c r="B47" t="s">
        <v>7832</v>
      </c>
      <c r="C47" t="s">
        <v>7857</v>
      </c>
      <c r="E47" t="s">
        <v>7838</v>
      </c>
      <c r="F47" t="s">
        <v>7839</v>
      </c>
      <c r="H47">
        <f t="shared" si="0"/>
        <v>200045</v>
      </c>
    </row>
    <row r="48" spans="1:8" x14ac:dyDescent="0.3">
      <c r="A48" t="s">
        <v>7871</v>
      </c>
      <c r="B48" t="s">
        <v>7840</v>
      </c>
      <c r="C48" t="s">
        <v>7857</v>
      </c>
      <c r="E48" t="s">
        <v>7833</v>
      </c>
      <c r="F48" t="s">
        <v>7833</v>
      </c>
      <c r="H48">
        <f t="shared" si="0"/>
        <v>200046</v>
      </c>
    </row>
    <row r="49" spans="1:8" x14ac:dyDescent="0.3">
      <c r="A49" t="s">
        <v>7871</v>
      </c>
      <c r="B49" t="s">
        <v>7841</v>
      </c>
      <c r="C49" t="s">
        <v>7857</v>
      </c>
      <c r="E49" t="s">
        <v>7842</v>
      </c>
      <c r="F49" t="s">
        <v>7843</v>
      </c>
      <c r="H49">
        <f t="shared" si="0"/>
        <v>200047</v>
      </c>
    </row>
    <row r="50" spans="1:8" x14ac:dyDescent="0.3">
      <c r="A50" t="s">
        <v>7871</v>
      </c>
      <c r="B50" t="s">
        <v>7841</v>
      </c>
      <c r="C50" t="s">
        <v>7857</v>
      </c>
      <c r="E50" t="s">
        <v>7844</v>
      </c>
      <c r="F50" t="s">
        <v>7845</v>
      </c>
      <c r="H50">
        <f t="shared" si="0"/>
        <v>200048</v>
      </c>
    </row>
    <row r="51" spans="1:8" x14ac:dyDescent="0.3">
      <c r="A51" t="s">
        <v>7871</v>
      </c>
      <c r="B51" t="s">
        <v>7846</v>
      </c>
      <c r="C51" t="s">
        <v>7857</v>
      </c>
      <c r="E51" t="s">
        <v>7847</v>
      </c>
      <c r="F51" t="s">
        <v>7847</v>
      </c>
      <c r="H51">
        <f t="shared" si="0"/>
        <v>200049</v>
      </c>
    </row>
    <row r="52" spans="1:8" x14ac:dyDescent="0.3">
      <c r="A52" t="s">
        <v>7871</v>
      </c>
      <c r="B52" t="s">
        <v>7846</v>
      </c>
      <c r="C52" t="s">
        <v>7857</v>
      </c>
      <c r="E52" t="s">
        <v>7836</v>
      </c>
      <c r="F52" t="s">
        <v>7837</v>
      </c>
      <c r="H52">
        <f t="shared" si="0"/>
        <v>200050</v>
      </c>
    </row>
    <row r="53" spans="1:8" x14ac:dyDescent="0.3">
      <c r="A53" t="s">
        <v>7871</v>
      </c>
      <c r="B53" t="s">
        <v>7848</v>
      </c>
      <c r="C53" t="s">
        <v>7857</v>
      </c>
      <c r="E53" t="s">
        <v>7849</v>
      </c>
      <c r="F53" t="s">
        <v>7850</v>
      </c>
      <c r="H53">
        <f t="shared" si="0"/>
        <v>200051</v>
      </c>
    </row>
    <row r="54" spans="1:8" x14ac:dyDescent="0.3">
      <c r="A54" t="s">
        <v>7871</v>
      </c>
      <c r="B54" t="s">
        <v>7848</v>
      </c>
      <c r="C54" t="s">
        <v>7857</v>
      </c>
      <c r="E54" t="s">
        <v>7851</v>
      </c>
      <c r="F54" t="s">
        <v>7851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5323</v>
      </c>
      <c r="C1" t="s">
        <v>73</v>
      </c>
      <c r="D1" t="s">
        <v>7852</v>
      </c>
      <c r="E1" t="s">
        <v>7853</v>
      </c>
      <c r="F1" t="s">
        <v>7854</v>
      </c>
      <c r="G1" t="s">
        <v>7855</v>
      </c>
      <c r="H1" t="s">
        <v>7856</v>
      </c>
      <c r="I1" t="s">
        <v>5636</v>
      </c>
      <c r="J1" t="s">
        <v>5637</v>
      </c>
      <c r="K1" t="s">
        <v>7858</v>
      </c>
    </row>
    <row r="2" spans="1:11" x14ac:dyDescent="0.3">
      <c r="A2" t="s">
        <v>5634</v>
      </c>
      <c r="B2">
        <f>IF(ISNUMBER(B1),B1+1,200000)</f>
        <v>200000</v>
      </c>
      <c r="C2" t="s">
        <v>5534</v>
      </c>
      <c r="D2" t="s">
        <v>7857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5634</v>
      </c>
      <c r="B3">
        <f t="shared" ref="B3:B8" si="0">IF(ISNUMBER(B2),B2+1,200000)</f>
        <v>200001</v>
      </c>
      <c r="C3" t="s">
        <v>5635</v>
      </c>
      <c r="D3" t="s">
        <v>7857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5634</v>
      </c>
      <c r="B4">
        <f t="shared" si="0"/>
        <v>200002</v>
      </c>
      <c r="C4" t="s">
        <v>5638</v>
      </c>
      <c r="D4" t="s">
        <v>7857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5634</v>
      </c>
      <c r="B5">
        <f t="shared" si="0"/>
        <v>200003</v>
      </c>
      <c r="C5" t="s">
        <v>5639</v>
      </c>
      <c r="D5" t="s">
        <v>7857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5634</v>
      </c>
      <c r="B6">
        <f t="shared" si="0"/>
        <v>200004</v>
      </c>
      <c r="C6" t="s">
        <v>5640</v>
      </c>
      <c r="D6" t="s">
        <v>7857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5634</v>
      </c>
      <c r="B7">
        <f t="shared" si="0"/>
        <v>200005</v>
      </c>
      <c r="C7" t="s">
        <v>5641</v>
      </c>
      <c r="D7" t="s">
        <v>7857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5634</v>
      </c>
      <c r="B8">
        <f t="shared" si="0"/>
        <v>200006</v>
      </c>
      <c r="C8" t="s">
        <v>5649</v>
      </c>
      <c r="D8" t="s">
        <v>7765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78"/>
  <sheetViews>
    <sheetView workbookViewId="0">
      <selection activeCell="F2" sqref="F2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6930</v>
      </c>
      <c r="C1" t="s">
        <v>5642</v>
      </c>
      <c r="D1" t="s">
        <v>5323</v>
      </c>
      <c r="E1" t="s">
        <v>7862</v>
      </c>
      <c r="F1" t="s">
        <v>7859</v>
      </c>
      <c r="G1" t="s">
        <v>75</v>
      </c>
      <c r="H1" t="s">
        <v>7864</v>
      </c>
      <c r="I1" t="s">
        <v>7860</v>
      </c>
      <c r="J1" t="s">
        <v>7869</v>
      </c>
      <c r="K1" t="s">
        <v>7757</v>
      </c>
    </row>
    <row r="2" spans="1:11" x14ac:dyDescent="0.3">
      <c r="A2" t="s">
        <v>7861</v>
      </c>
      <c r="B2" t="s">
        <v>5534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2955</v>
      </c>
      <c r="F2">
        <f>VLOOKUP(E2,ServiceAreas.csv!B:C,2,FALSE)</f>
        <v>10</v>
      </c>
      <c r="G2" t="str">
        <f>"rg:{ 'id': '"&amp;F2&amp;"'}"</f>
        <v>rg:{ 'id': '10'}</v>
      </c>
      <c r="H2" t="s">
        <v>7866</v>
      </c>
      <c r="I2" t="str">
        <f>H2&amp;B2&amp;"-"&amp;E2</f>
        <v>Small-Excavator-Bulkley-Stikine</v>
      </c>
      <c r="J2" t="str">
        <f>B2&amp;"-"&amp;F2</f>
        <v>Excavator-10</v>
      </c>
      <c r="K2">
        <f>D2</f>
        <v>200000</v>
      </c>
    </row>
    <row r="3" spans="1:11" x14ac:dyDescent="0.3">
      <c r="A3" t="s">
        <v>7861</v>
      </c>
      <c r="B3" t="s">
        <v>5635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2955</v>
      </c>
      <c r="F3">
        <f>VLOOKUP(E3,ServiceAreas.csv!B:C,2,FALSE)</f>
        <v>10</v>
      </c>
      <c r="G3" t="str">
        <f t="shared" ref="G3:G7" si="1">"rg:{ 'id': '"&amp;F3&amp;"'}"</f>
        <v>rg:{ 'id': '10'}</v>
      </c>
      <c r="H3" t="s">
        <v>7866</v>
      </c>
      <c r="I3" t="str">
        <f t="shared" ref="I3:I73" si="2">H3&amp;B3&amp;"-"&amp;E3</f>
        <v>Small-Grader-Bulkley-Stikine</v>
      </c>
      <c r="J3" t="str">
        <f t="shared" ref="J3:J73" si="3">B3&amp;"-"&amp;F3</f>
        <v>Grader-10</v>
      </c>
      <c r="K3">
        <f t="shared" ref="K3:K73" si="4">D3</f>
        <v>200001</v>
      </c>
    </row>
    <row r="4" spans="1:11" x14ac:dyDescent="0.3">
      <c r="A4" t="s">
        <v>7861</v>
      </c>
      <c r="B4" t="s">
        <v>5638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2955</v>
      </c>
      <c r="F4">
        <f>VLOOKUP(E4,ServiceAreas.csv!B:C,2,FALSE)</f>
        <v>10</v>
      </c>
      <c r="G4" t="str">
        <f t="shared" si="1"/>
        <v>rg:{ 'id': '10'}</v>
      </c>
      <c r="H4" t="s">
        <v>7866</v>
      </c>
      <c r="I4" t="str">
        <f t="shared" si="2"/>
        <v>Small-Bulldozer-Bulkley-Stikine</v>
      </c>
      <c r="J4" t="str">
        <f t="shared" si="3"/>
        <v>Bulldozer-10</v>
      </c>
      <c r="K4">
        <f t="shared" si="4"/>
        <v>200002</v>
      </c>
    </row>
    <row r="5" spans="1:11" x14ac:dyDescent="0.3">
      <c r="A5" t="s">
        <v>7861</v>
      </c>
      <c r="B5" t="s">
        <v>5639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2955</v>
      </c>
      <c r="F5">
        <f>VLOOKUP(E5,ServiceAreas.csv!B:C,2,FALSE)</f>
        <v>10</v>
      </c>
      <c r="G5" t="str">
        <f t="shared" si="1"/>
        <v>rg:{ 'id': '10'}</v>
      </c>
      <c r="H5" t="s">
        <v>7866</v>
      </c>
      <c r="I5" t="str">
        <f t="shared" si="2"/>
        <v>Small-Cement Truck-Bulkley-Stikine</v>
      </c>
      <c r="J5" t="str">
        <f t="shared" si="3"/>
        <v>Cement Truck-10</v>
      </c>
      <c r="K5">
        <f t="shared" si="4"/>
        <v>200003</v>
      </c>
    </row>
    <row r="6" spans="1:11" x14ac:dyDescent="0.3">
      <c r="A6" t="s">
        <v>7861</v>
      </c>
      <c r="B6" t="s">
        <v>5640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2955</v>
      </c>
      <c r="F6">
        <f>VLOOKUP(E6,ServiceAreas.csv!B:C,2,FALSE)</f>
        <v>10</v>
      </c>
      <c r="G6" t="str">
        <f t="shared" si="1"/>
        <v>rg:{ 'id': '10'}</v>
      </c>
      <c r="H6" t="s">
        <v>7866</v>
      </c>
      <c r="I6" t="str">
        <f t="shared" si="2"/>
        <v>Small-Flat Deck-Bulkley-Stikine</v>
      </c>
      <c r="J6" t="str">
        <f t="shared" si="3"/>
        <v>Flat Deck-10</v>
      </c>
      <c r="K6">
        <f t="shared" si="4"/>
        <v>200004</v>
      </c>
    </row>
    <row r="7" spans="1:11" x14ac:dyDescent="0.3">
      <c r="A7" t="s">
        <v>7861</v>
      </c>
      <c r="B7" t="s">
        <v>5641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2955</v>
      </c>
      <c r="F7">
        <f>VLOOKUP(E7,ServiceAreas.csv!B:C,2,FALSE)</f>
        <v>10</v>
      </c>
      <c r="G7" t="str">
        <f t="shared" si="1"/>
        <v>rg:{ 'id': '10'}</v>
      </c>
      <c r="H7" t="s">
        <v>7866</v>
      </c>
      <c r="I7" t="str">
        <f t="shared" si="2"/>
        <v>Small-Logging Truck-Bulkley-Stikine</v>
      </c>
      <c r="J7" t="str">
        <f t="shared" si="3"/>
        <v>Logging Truck-10</v>
      </c>
      <c r="K7">
        <f t="shared" si="4"/>
        <v>200005</v>
      </c>
    </row>
    <row r="8" spans="1:11" x14ac:dyDescent="0.3">
      <c r="A8" t="s">
        <v>7861</v>
      </c>
      <c r="B8" t="s">
        <v>5649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2955</v>
      </c>
      <c r="F8">
        <f>VLOOKUP(E8,ServiceAreas.csv!B:C,2,FALSE)</f>
        <v>10</v>
      </c>
      <c r="G8" t="str">
        <f>"rg:{ 'id': '"&amp;F8&amp;"'}"</f>
        <v>rg:{ 'id': '10'}</v>
      </c>
      <c r="H8" t="s">
        <v>7866</v>
      </c>
      <c r="I8" t="str">
        <f t="shared" si="2"/>
        <v>Small-Dump Truck-Bulkley-Stikine</v>
      </c>
      <c r="J8" t="str">
        <f t="shared" si="3"/>
        <v>Dump Truck-10</v>
      </c>
      <c r="K8">
        <f t="shared" si="4"/>
        <v>200006</v>
      </c>
    </row>
    <row r="9" spans="1:11" x14ac:dyDescent="0.3">
      <c r="A9" t="s">
        <v>7861</v>
      </c>
      <c r="B9" t="s">
        <v>5534</v>
      </c>
      <c r="C9" t="str">
        <f>"rg:{ 'id' : '"&amp;VLOOKUP(B9,EquipmentTypes.csv!C:K,9,FALSE)&amp;"'}"</f>
        <v>rg:{ 'id' : '200000'}</v>
      </c>
      <c r="D9">
        <f t="shared" si="0"/>
        <v>200007</v>
      </c>
      <c r="E9" t="s">
        <v>2955</v>
      </c>
      <c r="F9">
        <f>VLOOKUP(E9,ServiceAreas.csv!B:C,2,FALSE)</f>
        <v>10</v>
      </c>
      <c r="G9" t="str">
        <f>"rg:{ 'id': '"&amp;F9&amp;"'}"</f>
        <v>rg:{ 'id': '10'}</v>
      </c>
      <c r="H9" t="s">
        <v>7865</v>
      </c>
      <c r="I9" t="str">
        <f t="shared" ref="I9:I15" si="5">H9&amp;B9&amp;"-"&amp;E9</f>
        <v>Large-Excavator-Bulkley-Stikine</v>
      </c>
      <c r="J9" t="str">
        <f t="shared" ref="J9:J15" si="6">B9&amp;"-"&amp;F9</f>
        <v>Excavator-10</v>
      </c>
      <c r="K9">
        <f t="shared" ref="K9:K15" si="7">D9</f>
        <v>200007</v>
      </c>
    </row>
    <row r="10" spans="1:11" x14ac:dyDescent="0.3">
      <c r="A10" t="s">
        <v>7861</v>
      </c>
      <c r="B10" t="s">
        <v>5635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>
        <f>VLOOKUP(E10,ServiceAreas.csv!B:C,2,FALSE)</f>
        <v>10</v>
      </c>
      <c r="G10" t="str">
        <f t="shared" ref="G10:G14" si="8">"rg:{ 'id': '"&amp;F10&amp;"'}"</f>
        <v>rg:{ 'id': '10'}</v>
      </c>
      <c r="H10" t="s">
        <v>7865</v>
      </c>
      <c r="I10" t="str">
        <f t="shared" si="5"/>
        <v>Large-Grader-Bulkley-Stikine</v>
      </c>
      <c r="J10" t="str">
        <f t="shared" si="6"/>
        <v>Grader-10</v>
      </c>
      <c r="K10">
        <f t="shared" si="7"/>
        <v>200008</v>
      </c>
    </row>
    <row r="11" spans="1:11" x14ac:dyDescent="0.3">
      <c r="A11" t="s">
        <v>7861</v>
      </c>
      <c r="B11" t="s">
        <v>5638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>
        <f>VLOOKUP(E11,ServiceAreas.csv!B:C,2,FALSE)</f>
        <v>10</v>
      </c>
      <c r="G11" t="str">
        <f t="shared" si="8"/>
        <v>rg:{ 'id': '10'}</v>
      </c>
      <c r="H11" t="s">
        <v>7865</v>
      </c>
      <c r="I11" t="str">
        <f t="shared" si="5"/>
        <v>Large-Bulldozer-Bulkley-Stikine</v>
      </c>
      <c r="J11" t="str">
        <f t="shared" si="6"/>
        <v>Bulldozer-10</v>
      </c>
      <c r="K11">
        <f t="shared" si="7"/>
        <v>200009</v>
      </c>
    </row>
    <row r="12" spans="1:11" x14ac:dyDescent="0.3">
      <c r="A12" t="s">
        <v>7861</v>
      </c>
      <c r="B12" t="s">
        <v>5639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>
        <f>VLOOKUP(E12,ServiceAreas.csv!B:C,2,FALSE)</f>
        <v>10</v>
      </c>
      <c r="G12" t="str">
        <f t="shared" si="8"/>
        <v>rg:{ 'id': '10'}</v>
      </c>
      <c r="H12" t="s">
        <v>7865</v>
      </c>
      <c r="I12" t="str">
        <f t="shared" si="5"/>
        <v>Large-Cement Truck-Bulkley-Stikine</v>
      </c>
      <c r="J12" t="str">
        <f t="shared" si="6"/>
        <v>Cement Truck-10</v>
      </c>
      <c r="K12">
        <f t="shared" si="7"/>
        <v>200010</v>
      </c>
    </row>
    <row r="13" spans="1:11" x14ac:dyDescent="0.3">
      <c r="A13" t="s">
        <v>7861</v>
      </c>
      <c r="B13" t="s">
        <v>5640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>
        <f>VLOOKUP(E13,ServiceAreas.csv!B:C,2,FALSE)</f>
        <v>10</v>
      </c>
      <c r="G13" t="str">
        <f t="shared" si="8"/>
        <v>rg:{ 'id': '10'}</v>
      </c>
      <c r="H13" t="s">
        <v>7865</v>
      </c>
      <c r="I13" t="str">
        <f t="shared" si="5"/>
        <v>Large-Flat Deck-Bulkley-Stikine</v>
      </c>
      <c r="J13" t="str">
        <f t="shared" si="6"/>
        <v>Flat Deck-10</v>
      </c>
      <c r="K13">
        <f t="shared" si="7"/>
        <v>200011</v>
      </c>
    </row>
    <row r="14" spans="1:11" x14ac:dyDescent="0.3">
      <c r="A14" t="s">
        <v>7861</v>
      </c>
      <c r="B14" t="s">
        <v>5641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>
        <f>VLOOKUP(E14,ServiceAreas.csv!B:C,2,FALSE)</f>
        <v>10</v>
      </c>
      <c r="G14" t="str">
        <f t="shared" si="8"/>
        <v>rg:{ 'id': '10'}</v>
      </c>
      <c r="H14" t="s">
        <v>7865</v>
      </c>
      <c r="I14" t="str">
        <f t="shared" si="5"/>
        <v>Large-Logging Truck-Bulkley-Stikine</v>
      </c>
      <c r="J14" t="str">
        <f t="shared" si="6"/>
        <v>Logging Truck-10</v>
      </c>
      <c r="K14">
        <f t="shared" si="7"/>
        <v>200012</v>
      </c>
    </row>
    <row r="15" spans="1:11" x14ac:dyDescent="0.3">
      <c r="A15" t="s">
        <v>7861</v>
      </c>
      <c r="B15" t="s">
        <v>5649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>
        <f>VLOOKUP(E15,ServiceAreas.csv!B:C,2,FALSE)</f>
        <v>10</v>
      </c>
      <c r="G15" t="str">
        <f>"rg:{ 'id': '"&amp;F15&amp;"'}"</f>
        <v>rg:{ 'id': '10'}</v>
      </c>
      <c r="H15" t="s">
        <v>7865</v>
      </c>
      <c r="I15" t="str">
        <f t="shared" si="5"/>
        <v>Large-Dump Truck-Bulkley-Stikine</v>
      </c>
      <c r="J15" t="str">
        <f t="shared" si="6"/>
        <v>Dump Truck-10</v>
      </c>
      <c r="K15">
        <f t="shared" si="7"/>
        <v>200013</v>
      </c>
    </row>
    <row r="16" spans="1:11" x14ac:dyDescent="0.3">
      <c r="A16" t="s">
        <v>7861</v>
      </c>
      <c r="B16" t="s">
        <v>5534</v>
      </c>
      <c r="C16" t="str">
        <f>"rg:{ 'id' : '"&amp;VLOOKUP(B16,EquipmentTypes.csv!C:K,9,FALSE)&amp;"'}"</f>
        <v>rg:{ 'id' : '200000'}</v>
      </c>
      <c r="D16">
        <f t="shared" si="0"/>
        <v>200014</v>
      </c>
      <c r="E16" t="s">
        <v>2953</v>
      </c>
      <c r="F16">
        <f>VLOOKUP(E16,ServiceAreas.csv!B:C,2,FALSE)</f>
        <v>7</v>
      </c>
      <c r="G16" t="str">
        <f>"rg:{ 'id': '"&amp;F16&amp;"'}"</f>
        <v>rg:{ 'id': '7'}</v>
      </c>
      <c r="H16" t="s">
        <v>7866</v>
      </c>
      <c r="I16" t="str">
        <f t="shared" si="2"/>
        <v>Small-Excavator-Cariboo</v>
      </c>
      <c r="J16" t="str">
        <f t="shared" si="3"/>
        <v>Excavator-7</v>
      </c>
      <c r="K16">
        <f t="shared" si="4"/>
        <v>200014</v>
      </c>
    </row>
    <row r="17" spans="1:11" x14ac:dyDescent="0.3">
      <c r="A17" t="s">
        <v>7861</v>
      </c>
      <c r="B17" t="s">
        <v>5635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2953</v>
      </c>
      <c r="F17">
        <f>VLOOKUP(E17,ServiceAreas.csv!B:C,2,FALSE)</f>
        <v>7</v>
      </c>
      <c r="G17" t="str">
        <f t="shared" ref="G17:G21" si="9">"rg:{ 'id': '"&amp;F17&amp;"'}"</f>
        <v>rg:{ 'id': '7'}</v>
      </c>
      <c r="H17" t="s">
        <v>7866</v>
      </c>
      <c r="I17" t="str">
        <f t="shared" si="2"/>
        <v>Small-Grader-Cariboo</v>
      </c>
      <c r="J17" t="str">
        <f t="shared" si="3"/>
        <v>Grader-7</v>
      </c>
      <c r="K17">
        <f t="shared" si="4"/>
        <v>200015</v>
      </c>
    </row>
    <row r="18" spans="1:11" x14ac:dyDescent="0.3">
      <c r="A18" t="s">
        <v>7861</v>
      </c>
      <c r="B18" t="s">
        <v>5638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2953</v>
      </c>
      <c r="F18">
        <f>VLOOKUP(E18,ServiceAreas.csv!B:C,2,FALSE)</f>
        <v>7</v>
      </c>
      <c r="G18" t="str">
        <f t="shared" si="9"/>
        <v>rg:{ 'id': '7'}</v>
      </c>
      <c r="H18" t="s">
        <v>7866</v>
      </c>
      <c r="I18" t="str">
        <f t="shared" si="2"/>
        <v>Small-Bulldozer-Cariboo</v>
      </c>
      <c r="J18" t="str">
        <f t="shared" si="3"/>
        <v>Bulldozer-7</v>
      </c>
      <c r="K18">
        <f t="shared" si="4"/>
        <v>200016</v>
      </c>
    </row>
    <row r="19" spans="1:11" x14ac:dyDescent="0.3">
      <c r="A19" t="s">
        <v>7861</v>
      </c>
      <c r="B19" t="s">
        <v>5639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2953</v>
      </c>
      <c r="F19">
        <f>VLOOKUP(E19,ServiceAreas.csv!B:C,2,FALSE)</f>
        <v>7</v>
      </c>
      <c r="G19" t="str">
        <f t="shared" si="9"/>
        <v>rg:{ 'id': '7'}</v>
      </c>
      <c r="H19" t="s">
        <v>7866</v>
      </c>
      <c r="I19" t="str">
        <f t="shared" si="2"/>
        <v>Small-Cement Truck-Cariboo</v>
      </c>
      <c r="J19" t="str">
        <f t="shared" si="3"/>
        <v>Cement Truck-7</v>
      </c>
      <c r="K19">
        <f t="shared" si="4"/>
        <v>200017</v>
      </c>
    </row>
    <row r="20" spans="1:11" x14ac:dyDescent="0.3">
      <c r="A20" t="s">
        <v>7861</v>
      </c>
      <c r="B20" t="s">
        <v>5640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2953</v>
      </c>
      <c r="F20">
        <f>VLOOKUP(E20,ServiceAreas.csv!B:C,2,FALSE)</f>
        <v>7</v>
      </c>
      <c r="G20" t="str">
        <f t="shared" si="9"/>
        <v>rg:{ 'id': '7'}</v>
      </c>
      <c r="H20" t="s">
        <v>7866</v>
      </c>
      <c r="I20" t="str">
        <f t="shared" si="2"/>
        <v>Small-Flat Deck-Cariboo</v>
      </c>
      <c r="J20" t="str">
        <f t="shared" si="3"/>
        <v>Flat Deck-7</v>
      </c>
      <c r="K20">
        <f t="shared" si="4"/>
        <v>200018</v>
      </c>
    </row>
    <row r="21" spans="1:11" x14ac:dyDescent="0.3">
      <c r="A21" t="s">
        <v>7861</v>
      </c>
      <c r="B21" t="s">
        <v>5641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2953</v>
      </c>
      <c r="F21">
        <f>VLOOKUP(E21,ServiceAreas.csv!B:C,2,FALSE)</f>
        <v>7</v>
      </c>
      <c r="G21" t="str">
        <f t="shared" si="9"/>
        <v>rg:{ 'id': '7'}</v>
      </c>
      <c r="H21" t="s">
        <v>7866</v>
      </c>
      <c r="I21" t="str">
        <f t="shared" si="2"/>
        <v>Small-Logging Truck-Cariboo</v>
      </c>
      <c r="J21" t="str">
        <f t="shared" si="3"/>
        <v>Logging Truck-7</v>
      </c>
      <c r="K21">
        <f t="shared" si="4"/>
        <v>200019</v>
      </c>
    </row>
    <row r="22" spans="1:11" x14ac:dyDescent="0.3">
      <c r="A22" t="s">
        <v>7861</v>
      </c>
      <c r="B22" t="s">
        <v>5649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2953</v>
      </c>
      <c r="F22">
        <f>VLOOKUP(E22,ServiceAreas.csv!B:C,2,FALSE)</f>
        <v>7</v>
      </c>
      <c r="G22" t="str">
        <f>"rg:{ 'id': '"&amp;F22&amp;"'}"</f>
        <v>rg:{ 'id': '7'}</v>
      </c>
      <c r="H22" t="s">
        <v>7866</v>
      </c>
      <c r="I22" t="str">
        <f t="shared" si="2"/>
        <v>Small-Dump Truck-Cariboo</v>
      </c>
      <c r="J22" t="str">
        <f t="shared" si="3"/>
        <v>Dump Truck-7</v>
      </c>
      <c r="K22">
        <f t="shared" si="4"/>
        <v>200020</v>
      </c>
    </row>
    <row r="23" spans="1:11" x14ac:dyDescent="0.3">
      <c r="A23" t="s">
        <v>7861</v>
      </c>
      <c r="B23" t="s">
        <v>5534</v>
      </c>
      <c r="C23" t="str">
        <f>"rg:{ 'id' : '"&amp;VLOOKUP(B23,EquipmentTypes.csv!C:K,9,FALSE)&amp;"'}"</f>
        <v>rg:{ 'id' : '200000'}</v>
      </c>
      <c r="D23">
        <f t="shared" si="0"/>
        <v>200021</v>
      </c>
      <c r="E23" t="s">
        <v>2953</v>
      </c>
      <c r="F23">
        <f>VLOOKUP(E23,ServiceAreas.csv!B:C,2,FALSE)</f>
        <v>7</v>
      </c>
      <c r="G23" t="str">
        <f>"rg:{ 'id': '"&amp;F23&amp;"'}"</f>
        <v>rg:{ 'id': '7'}</v>
      </c>
      <c r="H23" t="s">
        <v>7865</v>
      </c>
      <c r="I23" t="str">
        <f t="shared" si="2"/>
        <v>Large-Excavator-Cariboo</v>
      </c>
      <c r="J23" t="str">
        <f t="shared" si="3"/>
        <v>Excavator-7</v>
      </c>
      <c r="K23">
        <f t="shared" si="4"/>
        <v>200021</v>
      </c>
    </row>
    <row r="24" spans="1:11" x14ac:dyDescent="0.3">
      <c r="A24" t="s">
        <v>7861</v>
      </c>
      <c r="B24" t="s">
        <v>5635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2953</v>
      </c>
      <c r="F24">
        <f>VLOOKUP(E24,ServiceAreas.csv!B:C,2,FALSE)</f>
        <v>7</v>
      </c>
      <c r="G24" t="str">
        <f t="shared" ref="G24:G28" si="10">"rg:{ 'id': '"&amp;F24&amp;"'}"</f>
        <v>rg:{ 'id': '7'}</v>
      </c>
      <c r="H24" t="s">
        <v>7865</v>
      </c>
      <c r="I24" t="str">
        <f t="shared" si="2"/>
        <v>Large-Grader-Cariboo</v>
      </c>
      <c r="J24" t="str">
        <f t="shared" si="3"/>
        <v>Grader-7</v>
      </c>
      <c r="K24">
        <f t="shared" si="4"/>
        <v>200022</v>
      </c>
    </row>
    <row r="25" spans="1:11" x14ac:dyDescent="0.3">
      <c r="A25" t="s">
        <v>7861</v>
      </c>
      <c r="B25" t="s">
        <v>5638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2953</v>
      </c>
      <c r="F25">
        <f>VLOOKUP(E25,ServiceAreas.csv!B:C,2,FALSE)</f>
        <v>7</v>
      </c>
      <c r="G25" t="str">
        <f t="shared" si="10"/>
        <v>rg:{ 'id': '7'}</v>
      </c>
      <c r="H25" t="s">
        <v>7865</v>
      </c>
      <c r="I25" t="str">
        <f t="shared" si="2"/>
        <v>Large-Bulldozer-Cariboo</v>
      </c>
      <c r="J25" t="str">
        <f t="shared" si="3"/>
        <v>Bulldozer-7</v>
      </c>
      <c r="K25">
        <f t="shared" si="4"/>
        <v>200023</v>
      </c>
    </row>
    <row r="26" spans="1:11" x14ac:dyDescent="0.3">
      <c r="A26" t="s">
        <v>7861</v>
      </c>
      <c r="B26" t="s">
        <v>5639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2953</v>
      </c>
      <c r="F26">
        <f>VLOOKUP(E26,ServiceAreas.csv!B:C,2,FALSE)</f>
        <v>7</v>
      </c>
      <c r="G26" t="str">
        <f t="shared" si="10"/>
        <v>rg:{ 'id': '7'}</v>
      </c>
      <c r="H26" t="s">
        <v>7865</v>
      </c>
      <c r="I26" t="str">
        <f t="shared" si="2"/>
        <v>Large-Cement Truck-Cariboo</v>
      </c>
      <c r="J26" t="str">
        <f t="shared" si="3"/>
        <v>Cement Truck-7</v>
      </c>
      <c r="K26">
        <f t="shared" si="4"/>
        <v>200024</v>
      </c>
    </row>
    <row r="27" spans="1:11" x14ac:dyDescent="0.3">
      <c r="A27" t="s">
        <v>7861</v>
      </c>
      <c r="B27" t="s">
        <v>5640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2953</v>
      </c>
      <c r="F27">
        <f>VLOOKUP(E27,ServiceAreas.csv!B:C,2,FALSE)</f>
        <v>7</v>
      </c>
      <c r="G27" t="str">
        <f t="shared" si="10"/>
        <v>rg:{ 'id': '7'}</v>
      </c>
      <c r="H27" t="s">
        <v>7865</v>
      </c>
      <c r="I27" t="str">
        <f t="shared" si="2"/>
        <v>Large-Flat Deck-Cariboo</v>
      </c>
      <c r="J27" t="str">
        <f t="shared" si="3"/>
        <v>Flat Deck-7</v>
      </c>
      <c r="K27">
        <f t="shared" si="4"/>
        <v>200025</v>
      </c>
    </row>
    <row r="28" spans="1:11" x14ac:dyDescent="0.3">
      <c r="A28" t="s">
        <v>7861</v>
      </c>
      <c r="B28" t="s">
        <v>5641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2953</v>
      </c>
      <c r="F28">
        <f>VLOOKUP(E28,ServiceAreas.csv!B:C,2,FALSE)</f>
        <v>7</v>
      </c>
      <c r="G28" t="str">
        <f t="shared" si="10"/>
        <v>rg:{ 'id': '7'}</v>
      </c>
      <c r="H28" t="s">
        <v>7865</v>
      </c>
      <c r="I28" t="str">
        <f t="shared" si="2"/>
        <v>Large-Logging Truck-Cariboo</v>
      </c>
      <c r="J28" t="str">
        <f t="shared" si="3"/>
        <v>Logging Truck-7</v>
      </c>
      <c r="K28">
        <f t="shared" si="4"/>
        <v>200026</v>
      </c>
    </row>
    <row r="29" spans="1:11" x14ac:dyDescent="0.3">
      <c r="A29" t="s">
        <v>7861</v>
      </c>
      <c r="B29" t="s">
        <v>5649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2953</v>
      </c>
      <c r="F29">
        <f>VLOOKUP(E29,ServiceAreas.csv!B:C,2,FALSE)</f>
        <v>7</v>
      </c>
      <c r="G29" t="str">
        <f>"rg:{ 'id': '"&amp;F29&amp;"'}"</f>
        <v>rg:{ 'id': '7'}</v>
      </c>
      <c r="H29" t="s">
        <v>7865</v>
      </c>
      <c r="I29" t="str">
        <f t="shared" si="2"/>
        <v>Large-Dump Truck-Cariboo</v>
      </c>
      <c r="J29" t="str">
        <f t="shared" si="3"/>
        <v>Dump Truck-7</v>
      </c>
      <c r="K29">
        <f t="shared" si="4"/>
        <v>200027</v>
      </c>
    </row>
    <row r="30" spans="1:11" x14ac:dyDescent="0.3">
      <c r="A30" t="s">
        <v>7861</v>
      </c>
      <c r="B30" t="s">
        <v>5534</v>
      </c>
      <c r="C30" t="str">
        <f>"rg:{ 'id' : '"&amp;VLOOKUP(B30,EquipmentTypes.csv!C:K,9,FALSE)&amp;"'}"</f>
        <v>rg:{ 'id' : '200000'}</v>
      </c>
      <c r="D30">
        <f t="shared" si="0"/>
        <v>200028</v>
      </c>
      <c r="E30" t="s">
        <v>2949</v>
      </c>
      <c r="F30">
        <f>VLOOKUP(E30,ServiceAreas.csv!B:C,2,FALSE)</f>
        <v>2</v>
      </c>
      <c r="G30" t="str">
        <f>"rg:{ 'id': '"&amp;F30&amp;"'}"</f>
        <v>rg:{ 'id': '2'}</v>
      </c>
      <c r="I30" t="str">
        <f t="shared" si="2"/>
        <v>Excavator-Vancouver Island</v>
      </c>
      <c r="J30" t="str">
        <f t="shared" si="3"/>
        <v>Excavator-2</v>
      </c>
      <c r="K30">
        <f t="shared" si="4"/>
        <v>200028</v>
      </c>
    </row>
    <row r="31" spans="1:11" x14ac:dyDescent="0.3">
      <c r="A31" t="s">
        <v>7861</v>
      </c>
      <c r="B31" t="s">
        <v>5635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2949</v>
      </c>
      <c r="F31">
        <f>VLOOKUP(E31,ServiceAreas.csv!B:C,2,FALSE)</f>
        <v>2</v>
      </c>
      <c r="G31" t="str">
        <f t="shared" ref="G31:G35" si="11">"rg:{ 'id': '"&amp;F31&amp;"'}"</f>
        <v>rg:{ 'id': '2'}</v>
      </c>
      <c r="I31" t="str">
        <f t="shared" si="2"/>
        <v>Grader-Vancouver Island</v>
      </c>
      <c r="J31" t="str">
        <f t="shared" si="3"/>
        <v>Grader-2</v>
      </c>
      <c r="K31">
        <f t="shared" si="4"/>
        <v>200029</v>
      </c>
    </row>
    <row r="32" spans="1:11" x14ac:dyDescent="0.3">
      <c r="A32" t="s">
        <v>7861</v>
      </c>
      <c r="B32" t="s">
        <v>5638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2949</v>
      </c>
      <c r="F32">
        <f>VLOOKUP(E32,ServiceAreas.csv!B:C,2,FALSE)</f>
        <v>2</v>
      </c>
      <c r="G32" t="str">
        <f t="shared" si="11"/>
        <v>rg:{ 'id': '2'}</v>
      </c>
      <c r="I32" t="str">
        <f t="shared" si="2"/>
        <v>Bulldozer-Vancouver Island</v>
      </c>
      <c r="J32" t="str">
        <f t="shared" si="3"/>
        <v>Bulldozer-2</v>
      </c>
      <c r="K32">
        <f t="shared" si="4"/>
        <v>200030</v>
      </c>
    </row>
    <row r="33" spans="1:11" x14ac:dyDescent="0.3">
      <c r="A33" t="s">
        <v>7861</v>
      </c>
      <c r="B33" t="s">
        <v>5639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2949</v>
      </c>
      <c r="F33">
        <f>VLOOKUP(E33,ServiceAreas.csv!B:C,2,FALSE)</f>
        <v>2</v>
      </c>
      <c r="G33" t="str">
        <f t="shared" si="11"/>
        <v>rg:{ 'id': '2'}</v>
      </c>
      <c r="I33" t="str">
        <f t="shared" si="2"/>
        <v>Cement Truck-Vancouver Island</v>
      </c>
      <c r="J33" t="str">
        <f t="shared" si="3"/>
        <v>Cement Truck-2</v>
      </c>
      <c r="K33">
        <f t="shared" si="4"/>
        <v>200031</v>
      </c>
    </row>
    <row r="34" spans="1:11" x14ac:dyDescent="0.3">
      <c r="A34" t="s">
        <v>7861</v>
      </c>
      <c r="B34" t="s">
        <v>5640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2949</v>
      </c>
      <c r="F34">
        <f>VLOOKUP(E34,ServiceAreas.csv!B:C,2,FALSE)</f>
        <v>2</v>
      </c>
      <c r="G34" t="str">
        <f t="shared" si="11"/>
        <v>rg:{ 'id': '2'}</v>
      </c>
      <c r="I34" t="str">
        <f t="shared" si="2"/>
        <v>Flat Deck-Vancouver Island</v>
      </c>
      <c r="J34" t="str">
        <f t="shared" si="3"/>
        <v>Flat Deck-2</v>
      </c>
      <c r="K34">
        <f t="shared" si="4"/>
        <v>200032</v>
      </c>
    </row>
    <row r="35" spans="1:11" x14ac:dyDescent="0.3">
      <c r="A35" t="s">
        <v>7861</v>
      </c>
      <c r="B35" t="s">
        <v>5641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2949</v>
      </c>
      <c r="F35">
        <f>VLOOKUP(E35,ServiceAreas.csv!B:C,2,FALSE)</f>
        <v>2</v>
      </c>
      <c r="G35" t="str">
        <f t="shared" si="11"/>
        <v>rg:{ 'id': '2'}</v>
      </c>
      <c r="I35" t="str">
        <f t="shared" si="2"/>
        <v>Logging Truck-Vancouver Island</v>
      </c>
      <c r="J35" t="str">
        <f t="shared" si="3"/>
        <v>Logging Truck-2</v>
      </c>
      <c r="K35">
        <f t="shared" si="4"/>
        <v>200033</v>
      </c>
    </row>
    <row r="36" spans="1:11" x14ac:dyDescent="0.3">
      <c r="A36" t="s">
        <v>7861</v>
      </c>
      <c r="B36" t="s">
        <v>5649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2949</v>
      </c>
      <c r="F36">
        <f>VLOOKUP(E36,ServiceAreas.csv!B:C,2,FALSE)</f>
        <v>2</v>
      </c>
      <c r="G36" t="str">
        <f>"rg:{ 'id': '"&amp;F36&amp;"'}"</f>
        <v>rg:{ 'id': '2'}</v>
      </c>
      <c r="I36" t="str">
        <f t="shared" si="2"/>
        <v>Dump Truck-Vancouver Island</v>
      </c>
      <c r="J36" t="str">
        <f t="shared" si="3"/>
        <v>Dump Truck-2</v>
      </c>
      <c r="K36">
        <f t="shared" si="4"/>
        <v>200034</v>
      </c>
    </row>
    <row r="37" spans="1:11" x14ac:dyDescent="0.3">
      <c r="A37" t="s">
        <v>7861</v>
      </c>
      <c r="B37" t="s">
        <v>5534</v>
      </c>
      <c r="C37" t="str">
        <f>"rg:{ 'id' : '"&amp;VLOOKUP(B37,EquipmentTypes.csv!C:K,9,FALSE)&amp;"'}"</f>
        <v>rg:{ 'id' : '200000'}</v>
      </c>
      <c r="D37">
        <f t="shared" si="0"/>
        <v>200035</v>
      </c>
      <c r="E37" t="s">
        <v>2926</v>
      </c>
      <c r="F37">
        <f>VLOOKUP(E37,ServiceAreas.csv!B:C,2,FALSE)</f>
        <v>1</v>
      </c>
      <c r="G37" t="str">
        <f>"rg:{ 'id': '"&amp;F37&amp;"'}"</f>
        <v>rg:{ 'id': '1'}</v>
      </c>
      <c r="I37" t="str">
        <f t="shared" si="2"/>
        <v>Excavator-Lower Mainland</v>
      </c>
      <c r="J37" t="str">
        <f t="shared" si="3"/>
        <v>Excavator-1</v>
      </c>
      <c r="K37">
        <f t="shared" si="4"/>
        <v>200035</v>
      </c>
    </row>
    <row r="38" spans="1:11" x14ac:dyDescent="0.3">
      <c r="A38" t="s">
        <v>7861</v>
      </c>
      <c r="B38" t="s">
        <v>5635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2926</v>
      </c>
      <c r="F38">
        <f>VLOOKUP(E38,ServiceAreas.csv!B:C,2,FALSE)</f>
        <v>1</v>
      </c>
      <c r="G38" t="str">
        <f t="shared" ref="G38:G42" si="12">"rg:{ 'id': '"&amp;F38&amp;"'}"</f>
        <v>rg:{ 'id': '1'}</v>
      </c>
      <c r="I38" t="str">
        <f t="shared" si="2"/>
        <v>Grader-Lower Mainland</v>
      </c>
      <c r="J38" t="str">
        <f t="shared" si="3"/>
        <v>Grader-1</v>
      </c>
      <c r="K38">
        <f t="shared" si="4"/>
        <v>200036</v>
      </c>
    </row>
    <row r="39" spans="1:11" x14ac:dyDescent="0.3">
      <c r="A39" t="s">
        <v>7861</v>
      </c>
      <c r="B39" t="s">
        <v>5638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2926</v>
      </c>
      <c r="F39">
        <f>VLOOKUP(E39,ServiceAreas.csv!B:C,2,FALSE)</f>
        <v>1</v>
      </c>
      <c r="G39" t="str">
        <f t="shared" si="12"/>
        <v>rg:{ 'id': '1'}</v>
      </c>
      <c r="I39" t="str">
        <f t="shared" si="2"/>
        <v>Bulldozer-Lower Mainland</v>
      </c>
      <c r="J39" t="str">
        <f t="shared" si="3"/>
        <v>Bulldozer-1</v>
      </c>
      <c r="K39">
        <f t="shared" si="4"/>
        <v>200037</v>
      </c>
    </row>
    <row r="40" spans="1:11" x14ac:dyDescent="0.3">
      <c r="A40" t="s">
        <v>7861</v>
      </c>
      <c r="B40" t="s">
        <v>5639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2926</v>
      </c>
      <c r="F40">
        <f>VLOOKUP(E40,ServiceAreas.csv!B:C,2,FALSE)</f>
        <v>1</v>
      </c>
      <c r="G40" t="str">
        <f t="shared" si="12"/>
        <v>rg:{ 'id': '1'}</v>
      </c>
      <c r="I40" t="str">
        <f t="shared" si="2"/>
        <v>Cement Truck-Lower Mainland</v>
      </c>
      <c r="J40" t="str">
        <f t="shared" si="3"/>
        <v>Cement Truck-1</v>
      </c>
      <c r="K40">
        <f t="shared" si="4"/>
        <v>200038</v>
      </c>
    </row>
    <row r="41" spans="1:11" x14ac:dyDescent="0.3">
      <c r="A41" t="s">
        <v>7861</v>
      </c>
      <c r="B41" t="s">
        <v>5640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2926</v>
      </c>
      <c r="F41">
        <f>VLOOKUP(E41,ServiceAreas.csv!B:C,2,FALSE)</f>
        <v>1</v>
      </c>
      <c r="G41" t="str">
        <f t="shared" si="12"/>
        <v>rg:{ 'id': '1'}</v>
      </c>
      <c r="I41" t="str">
        <f t="shared" si="2"/>
        <v>Flat Deck-Lower Mainland</v>
      </c>
      <c r="J41" t="str">
        <f t="shared" si="3"/>
        <v>Flat Deck-1</v>
      </c>
      <c r="K41">
        <f t="shared" si="4"/>
        <v>200039</v>
      </c>
    </row>
    <row r="42" spans="1:11" x14ac:dyDescent="0.3">
      <c r="A42" t="s">
        <v>7861</v>
      </c>
      <c r="B42" t="s">
        <v>5641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2926</v>
      </c>
      <c r="F42">
        <f>VLOOKUP(E42,ServiceAreas.csv!B:C,2,FALSE)</f>
        <v>1</v>
      </c>
      <c r="G42" t="str">
        <f t="shared" si="12"/>
        <v>rg:{ 'id': '1'}</v>
      </c>
      <c r="I42" t="str">
        <f t="shared" si="2"/>
        <v>Logging Truck-Lower Mainland</v>
      </c>
      <c r="J42" t="str">
        <f t="shared" si="3"/>
        <v>Logging Truck-1</v>
      </c>
      <c r="K42">
        <f t="shared" si="4"/>
        <v>200040</v>
      </c>
    </row>
    <row r="43" spans="1:11" x14ac:dyDescent="0.3">
      <c r="A43" t="s">
        <v>7861</v>
      </c>
      <c r="B43" t="s">
        <v>5649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2926</v>
      </c>
      <c r="F43">
        <f>VLOOKUP(E43,ServiceAreas.csv!B:C,2,FALSE)</f>
        <v>1</v>
      </c>
      <c r="G43" t="str">
        <f>"rg:{ 'id': '"&amp;F43&amp;"'}"</f>
        <v>rg:{ 'id': '1'}</v>
      </c>
      <c r="I43" t="str">
        <f t="shared" si="2"/>
        <v>Dump Truck-Lower Mainland</v>
      </c>
      <c r="J43" t="str">
        <f t="shared" si="3"/>
        <v>Dump Truck-1</v>
      </c>
      <c r="K43">
        <f t="shared" si="4"/>
        <v>200041</v>
      </c>
    </row>
    <row r="44" spans="1:11" x14ac:dyDescent="0.3">
      <c r="A44" t="s">
        <v>7861</v>
      </c>
      <c r="B44" t="s">
        <v>5534</v>
      </c>
      <c r="C44" t="str">
        <f>"rg:{ 'id' : '"&amp;VLOOKUP(B44,EquipmentTypes.csv!C:K,9,FALSE)&amp;"'}"</f>
        <v>rg:{ 'id' : '200000'}</v>
      </c>
      <c r="D44">
        <f t="shared" si="0"/>
        <v>200042</v>
      </c>
      <c r="E44" t="s">
        <v>2951</v>
      </c>
      <c r="F44">
        <f>VLOOKUP(E44,ServiceAreas.csv!B:C,2,FALSE)</f>
        <v>5</v>
      </c>
      <c r="G44" t="str">
        <f>"rg:{ 'id': '"&amp;F44&amp;"'}"</f>
        <v>rg:{ 'id': '5'}</v>
      </c>
      <c r="I44" t="str">
        <f t="shared" si="2"/>
        <v>Excavator-Okanagan-Shuswap</v>
      </c>
      <c r="J44" t="str">
        <f t="shared" si="3"/>
        <v>Excavator-5</v>
      </c>
      <c r="K44">
        <f t="shared" si="4"/>
        <v>200042</v>
      </c>
    </row>
    <row r="45" spans="1:11" x14ac:dyDescent="0.3">
      <c r="A45" t="s">
        <v>7861</v>
      </c>
      <c r="B45" t="s">
        <v>5635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2951</v>
      </c>
      <c r="F45">
        <f>VLOOKUP(E45,ServiceAreas.csv!B:C,2,FALSE)</f>
        <v>5</v>
      </c>
      <c r="G45" t="str">
        <f t="shared" ref="G45:G49" si="13">"rg:{ 'id': '"&amp;F45&amp;"'}"</f>
        <v>rg:{ 'id': '5'}</v>
      </c>
      <c r="I45" t="str">
        <f t="shared" si="2"/>
        <v>Grader-Okanagan-Shuswap</v>
      </c>
      <c r="J45" t="str">
        <f t="shared" si="3"/>
        <v>Grader-5</v>
      </c>
      <c r="K45">
        <f t="shared" si="4"/>
        <v>200043</v>
      </c>
    </row>
    <row r="46" spans="1:11" x14ac:dyDescent="0.3">
      <c r="A46" t="s">
        <v>7861</v>
      </c>
      <c r="B46" t="s">
        <v>5638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2951</v>
      </c>
      <c r="F46">
        <f>VLOOKUP(E46,ServiceAreas.csv!B:C,2,FALSE)</f>
        <v>5</v>
      </c>
      <c r="G46" t="str">
        <f t="shared" si="13"/>
        <v>rg:{ 'id': '5'}</v>
      </c>
      <c r="I46" t="str">
        <f t="shared" si="2"/>
        <v>Bulldozer-Okanagan-Shuswap</v>
      </c>
      <c r="J46" t="str">
        <f t="shared" si="3"/>
        <v>Bulldozer-5</v>
      </c>
      <c r="K46">
        <f t="shared" si="4"/>
        <v>200044</v>
      </c>
    </row>
    <row r="47" spans="1:11" x14ac:dyDescent="0.3">
      <c r="A47" t="s">
        <v>7861</v>
      </c>
      <c r="B47" t="s">
        <v>5639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2951</v>
      </c>
      <c r="F47">
        <f>VLOOKUP(E47,ServiceAreas.csv!B:C,2,FALSE)</f>
        <v>5</v>
      </c>
      <c r="G47" t="str">
        <f t="shared" si="13"/>
        <v>rg:{ 'id': '5'}</v>
      </c>
      <c r="I47" t="str">
        <f t="shared" si="2"/>
        <v>Cement Truck-Okanagan-Shuswap</v>
      </c>
      <c r="J47" t="str">
        <f t="shared" si="3"/>
        <v>Cement Truck-5</v>
      </c>
      <c r="K47">
        <f t="shared" si="4"/>
        <v>200045</v>
      </c>
    </row>
    <row r="48" spans="1:11" x14ac:dyDescent="0.3">
      <c r="A48" t="s">
        <v>7861</v>
      </c>
      <c r="B48" t="s">
        <v>5640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2951</v>
      </c>
      <c r="F48">
        <f>VLOOKUP(E48,ServiceAreas.csv!B:C,2,FALSE)</f>
        <v>5</v>
      </c>
      <c r="G48" t="str">
        <f t="shared" si="13"/>
        <v>rg:{ 'id': '5'}</v>
      </c>
      <c r="I48" t="str">
        <f t="shared" si="2"/>
        <v>Flat Deck-Okanagan-Shuswap</v>
      </c>
      <c r="J48" t="str">
        <f t="shared" si="3"/>
        <v>Flat Deck-5</v>
      </c>
      <c r="K48">
        <f t="shared" si="4"/>
        <v>200046</v>
      </c>
    </row>
    <row r="49" spans="1:11" x14ac:dyDescent="0.3">
      <c r="A49" t="s">
        <v>7861</v>
      </c>
      <c r="B49" t="s">
        <v>5641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2951</v>
      </c>
      <c r="F49">
        <f>VLOOKUP(E49,ServiceAreas.csv!B:C,2,FALSE)</f>
        <v>5</v>
      </c>
      <c r="G49" t="str">
        <f t="shared" si="13"/>
        <v>rg:{ 'id': '5'}</v>
      </c>
      <c r="I49" t="str">
        <f t="shared" si="2"/>
        <v>Logging Truck-Okanagan-Shuswap</v>
      </c>
      <c r="J49" t="str">
        <f t="shared" si="3"/>
        <v>Logging Truck-5</v>
      </c>
      <c r="K49">
        <f t="shared" si="4"/>
        <v>200047</v>
      </c>
    </row>
    <row r="50" spans="1:11" x14ac:dyDescent="0.3">
      <c r="A50" t="s">
        <v>7861</v>
      </c>
      <c r="B50" t="s">
        <v>5649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2951</v>
      </c>
      <c r="F50">
        <f>VLOOKUP(E50,ServiceAreas.csv!B:C,2,FALSE)</f>
        <v>5</v>
      </c>
      <c r="G50" t="str">
        <f>"rg:{ 'id': '"&amp;F50&amp;"'}"</f>
        <v>rg:{ 'id': '5'}</v>
      </c>
      <c r="I50" t="str">
        <f t="shared" si="2"/>
        <v>Dump Truck-Okanagan-Shuswap</v>
      </c>
      <c r="J50" t="str">
        <f t="shared" si="3"/>
        <v>Dump Truck-5</v>
      </c>
      <c r="K50">
        <f t="shared" si="4"/>
        <v>200048</v>
      </c>
    </row>
    <row r="51" spans="1:11" x14ac:dyDescent="0.3">
      <c r="A51" t="s">
        <v>7861</v>
      </c>
      <c r="B51" t="s">
        <v>5534</v>
      </c>
      <c r="C51" t="str">
        <f>"rg:{ 'id' : '"&amp;VLOOKUP(B51,EquipmentTypes.csv!C:K,9,FALSE)&amp;"'}"</f>
        <v>rg:{ 'id' : '200000'}</v>
      </c>
      <c r="D51">
        <f t="shared" si="0"/>
        <v>200049</v>
      </c>
      <c r="E51" t="s">
        <v>22</v>
      </c>
      <c r="F51">
        <f>VLOOKUP(E51,ServiceAreas.csv!B:C,2,FALSE)</f>
        <v>4</v>
      </c>
      <c r="G51" t="str">
        <f>"rg:{ 'id': '"&amp;F51&amp;"'}"</f>
        <v>rg:{ 'id': '4'}</v>
      </c>
      <c r="I51" t="str">
        <f t="shared" si="2"/>
        <v>Excavator-West Kootenay</v>
      </c>
      <c r="J51" t="str">
        <f t="shared" si="3"/>
        <v>Excavator-4</v>
      </c>
      <c r="K51">
        <f t="shared" si="4"/>
        <v>200049</v>
      </c>
    </row>
    <row r="52" spans="1:11" x14ac:dyDescent="0.3">
      <c r="A52" t="s">
        <v>7861</v>
      </c>
      <c r="B52" t="s">
        <v>5635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22</v>
      </c>
      <c r="F52">
        <f>VLOOKUP(E52,ServiceAreas.csv!B:C,2,FALSE)</f>
        <v>4</v>
      </c>
      <c r="G52" t="str">
        <f t="shared" ref="G52:G56" si="14">"rg:{ 'id': '"&amp;F52&amp;"'}"</f>
        <v>rg:{ 'id': '4'}</v>
      </c>
      <c r="I52" t="str">
        <f t="shared" si="2"/>
        <v>Grader-West Kootenay</v>
      </c>
      <c r="J52" t="str">
        <f t="shared" si="3"/>
        <v>Grader-4</v>
      </c>
      <c r="K52">
        <f t="shared" si="4"/>
        <v>200050</v>
      </c>
    </row>
    <row r="53" spans="1:11" x14ac:dyDescent="0.3">
      <c r="A53" t="s">
        <v>7861</v>
      </c>
      <c r="B53" t="s">
        <v>5638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22</v>
      </c>
      <c r="F53">
        <f>VLOOKUP(E53,ServiceAreas.csv!B:C,2,FALSE)</f>
        <v>4</v>
      </c>
      <c r="G53" t="str">
        <f t="shared" si="14"/>
        <v>rg:{ 'id': '4'}</v>
      </c>
      <c r="I53" t="str">
        <f t="shared" si="2"/>
        <v>Bulldozer-West Kootenay</v>
      </c>
      <c r="J53" t="str">
        <f t="shared" si="3"/>
        <v>Bulldozer-4</v>
      </c>
      <c r="K53">
        <f t="shared" si="4"/>
        <v>200051</v>
      </c>
    </row>
    <row r="54" spans="1:11" x14ac:dyDescent="0.3">
      <c r="A54" t="s">
        <v>7861</v>
      </c>
      <c r="B54" t="s">
        <v>5639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22</v>
      </c>
      <c r="F54">
        <f>VLOOKUP(E54,ServiceAreas.csv!B:C,2,FALSE)</f>
        <v>4</v>
      </c>
      <c r="G54" t="str">
        <f t="shared" si="14"/>
        <v>rg:{ 'id': '4'}</v>
      </c>
      <c r="I54" t="str">
        <f t="shared" si="2"/>
        <v>Cement Truck-West Kootenay</v>
      </c>
      <c r="J54" t="str">
        <f t="shared" si="3"/>
        <v>Cement Truck-4</v>
      </c>
      <c r="K54">
        <f t="shared" si="4"/>
        <v>200052</v>
      </c>
    </row>
    <row r="55" spans="1:11" x14ac:dyDescent="0.3">
      <c r="A55" t="s">
        <v>7861</v>
      </c>
      <c r="B55" t="s">
        <v>5640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22</v>
      </c>
      <c r="F55">
        <f>VLOOKUP(E55,ServiceAreas.csv!B:C,2,FALSE)</f>
        <v>4</v>
      </c>
      <c r="G55" t="str">
        <f t="shared" si="14"/>
        <v>rg:{ 'id': '4'}</v>
      </c>
      <c r="I55" t="str">
        <f t="shared" si="2"/>
        <v>Flat Deck-West Kootenay</v>
      </c>
      <c r="J55" t="str">
        <f t="shared" si="3"/>
        <v>Flat Deck-4</v>
      </c>
      <c r="K55">
        <f t="shared" si="4"/>
        <v>200053</v>
      </c>
    </row>
    <row r="56" spans="1:11" x14ac:dyDescent="0.3">
      <c r="A56" t="s">
        <v>7861</v>
      </c>
      <c r="B56" t="s">
        <v>5641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22</v>
      </c>
      <c r="F56">
        <f>VLOOKUP(E56,ServiceAreas.csv!B:C,2,FALSE)</f>
        <v>4</v>
      </c>
      <c r="G56" t="str">
        <f t="shared" si="14"/>
        <v>rg:{ 'id': '4'}</v>
      </c>
      <c r="I56" t="str">
        <f t="shared" si="2"/>
        <v>Logging Truck-West Kootenay</v>
      </c>
      <c r="J56" t="str">
        <f t="shared" si="3"/>
        <v>Logging Truck-4</v>
      </c>
      <c r="K56">
        <f t="shared" si="4"/>
        <v>200054</v>
      </c>
    </row>
    <row r="57" spans="1:11" x14ac:dyDescent="0.3">
      <c r="A57" t="s">
        <v>7861</v>
      </c>
      <c r="B57" t="s">
        <v>5649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22</v>
      </c>
      <c r="F57">
        <f>VLOOKUP(E57,ServiceAreas.csv!B:C,2,FALSE)</f>
        <v>4</v>
      </c>
      <c r="G57" t="str">
        <f>"rg:{ 'id': '"&amp;F57&amp;"'}"</f>
        <v>rg:{ 'id': '4'}</v>
      </c>
      <c r="I57" t="str">
        <f t="shared" si="2"/>
        <v>Dump Truck-West Kootenay</v>
      </c>
      <c r="J57" t="str">
        <f t="shared" si="3"/>
        <v>Dump Truck-4</v>
      </c>
      <c r="K57">
        <f t="shared" si="4"/>
        <v>200055</v>
      </c>
    </row>
    <row r="58" spans="1:11" x14ac:dyDescent="0.3">
      <c r="A58" t="s">
        <v>7861</v>
      </c>
      <c r="B58" t="s">
        <v>5534</v>
      </c>
      <c r="C58" t="str">
        <f>"rg:{ 'id' : '"&amp;VLOOKUP(B58,EquipmentTypes.csv!C:K,9,FALSE)&amp;"'}"</f>
        <v>rg:{ 'id' : '200000'}</v>
      </c>
      <c r="D58">
        <f t="shared" si="0"/>
        <v>200056</v>
      </c>
      <c r="E58" t="s">
        <v>2950</v>
      </c>
      <c r="F58">
        <f>VLOOKUP(E58,ServiceAreas.csv!B:C,2,FALSE)</f>
        <v>3</v>
      </c>
      <c r="G58" t="str">
        <f>"rg:{ 'id': '"&amp;F58&amp;"'}"</f>
        <v>rg:{ 'id': '3'}</v>
      </c>
      <c r="I58" t="str">
        <f t="shared" si="2"/>
        <v>Excavator-Rocky Mountain</v>
      </c>
      <c r="J58" t="str">
        <f t="shared" si="3"/>
        <v>Excavator-3</v>
      </c>
      <c r="K58">
        <f t="shared" si="4"/>
        <v>200056</v>
      </c>
    </row>
    <row r="59" spans="1:11" x14ac:dyDescent="0.3">
      <c r="A59" t="s">
        <v>7861</v>
      </c>
      <c r="B59" t="s">
        <v>5635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2950</v>
      </c>
      <c r="F59">
        <f>VLOOKUP(E59,ServiceAreas.csv!B:C,2,FALSE)</f>
        <v>3</v>
      </c>
      <c r="G59" t="str">
        <f t="shared" ref="G59:G63" si="15">"rg:{ 'id': '"&amp;F59&amp;"'}"</f>
        <v>rg:{ 'id': '3'}</v>
      </c>
      <c r="I59" t="str">
        <f t="shared" si="2"/>
        <v>Grader-Rocky Mountain</v>
      </c>
      <c r="J59" t="str">
        <f t="shared" si="3"/>
        <v>Grader-3</v>
      </c>
      <c r="K59">
        <f t="shared" si="4"/>
        <v>200057</v>
      </c>
    </row>
    <row r="60" spans="1:11" x14ac:dyDescent="0.3">
      <c r="A60" t="s">
        <v>7861</v>
      </c>
      <c r="B60" t="s">
        <v>5638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2950</v>
      </c>
      <c r="F60">
        <f>VLOOKUP(E60,ServiceAreas.csv!B:C,2,FALSE)</f>
        <v>3</v>
      </c>
      <c r="G60" t="str">
        <f t="shared" si="15"/>
        <v>rg:{ 'id': '3'}</v>
      </c>
      <c r="I60" t="str">
        <f t="shared" si="2"/>
        <v>Bulldozer-Rocky Mountain</v>
      </c>
      <c r="J60" t="str">
        <f t="shared" si="3"/>
        <v>Bulldozer-3</v>
      </c>
      <c r="K60">
        <f t="shared" si="4"/>
        <v>200058</v>
      </c>
    </row>
    <row r="61" spans="1:11" x14ac:dyDescent="0.3">
      <c r="A61" t="s">
        <v>7861</v>
      </c>
      <c r="B61" t="s">
        <v>5639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2950</v>
      </c>
      <c r="F61">
        <f>VLOOKUP(E61,ServiceAreas.csv!B:C,2,FALSE)</f>
        <v>3</v>
      </c>
      <c r="G61" t="str">
        <f t="shared" si="15"/>
        <v>rg:{ 'id': '3'}</v>
      </c>
      <c r="I61" t="str">
        <f t="shared" si="2"/>
        <v>Cement Truck-Rocky Mountain</v>
      </c>
      <c r="J61" t="str">
        <f t="shared" si="3"/>
        <v>Cement Truck-3</v>
      </c>
      <c r="K61">
        <f t="shared" si="4"/>
        <v>200059</v>
      </c>
    </row>
    <row r="62" spans="1:11" x14ac:dyDescent="0.3">
      <c r="A62" t="s">
        <v>7861</v>
      </c>
      <c r="B62" t="s">
        <v>5640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2950</v>
      </c>
      <c r="F62">
        <f>VLOOKUP(E62,ServiceAreas.csv!B:C,2,FALSE)</f>
        <v>3</v>
      </c>
      <c r="G62" t="str">
        <f t="shared" si="15"/>
        <v>rg:{ 'id': '3'}</v>
      </c>
      <c r="I62" t="str">
        <f t="shared" si="2"/>
        <v>Flat Deck-Rocky Mountain</v>
      </c>
      <c r="J62" t="str">
        <f t="shared" si="3"/>
        <v>Flat Deck-3</v>
      </c>
      <c r="K62">
        <f t="shared" si="4"/>
        <v>200060</v>
      </c>
    </row>
    <row r="63" spans="1:11" x14ac:dyDescent="0.3">
      <c r="A63" t="s">
        <v>7861</v>
      </c>
      <c r="B63" t="s">
        <v>5641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2950</v>
      </c>
      <c r="F63">
        <f>VLOOKUP(E63,ServiceAreas.csv!B:C,2,FALSE)</f>
        <v>3</v>
      </c>
      <c r="G63" t="str">
        <f t="shared" si="15"/>
        <v>rg:{ 'id': '3'}</v>
      </c>
      <c r="I63" t="str">
        <f t="shared" si="2"/>
        <v>Logging Truck-Rocky Mountain</v>
      </c>
      <c r="J63" t="str">
        <f t="shared" si="3"/>
        <v>Logging Truck-3</v>
      </c>
      <c r="K63">
        <f t="shared" si="4"/>
        <v>200061</v>
      </c>
    </row>
    <row r="64" spans="1:11" x14ac:dyDescent="0.3">
      <c r="A64" t="s">
        <v>7861</v>
      </c>
      <c r="B64" t="s">
        <v>5649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2950</v>
      </c>
      <c r="F64">
        <f>VLOOKUP(E64,ServiceAreas.csv!B:C,2,FALSE)</f>
        <v>3</v>
      </c>
      <c r="G64" t="str">
        <f>"rg:{ 'id': '"&amp;F64&amp;"'}"</f>
        <v>rg:{ 'id': '3'}</v>
      </c>
      <c r="I64" t="str">
        <f t="shared" si="2"/>
        <v>Dump Truck-Rocky Mountain</v>
      </c>
      <c r="J64" t="str">
        <f t="shared" si="3"/>
        <v>Dump Truck-3</v>
      </c>
      <c r="K64">
        <f t="shared" si="4"/>
        <v>200062</v>
      </c>
    </row>
    <row r="65" spans="1:11" x14ac:dyDescent="0.3">
      <c r="A65" t="s">
        <v>7861</v>
      </c>
      <c r="B65" t="s">
        <v>5534</v>
      </c>
      <c r="C65" t="str">
        <f>"rg:{ 'id' : '"&amp;VLOOKUP(B65,EquipmentTypes.csv!C:K,9,FALSE)&amp;"'}"</f>
        <v>rg:{ 'id' : '200000'}</v>
      </c>
      <c r="D65">
        <f t="shared" si="0"/>
        <v>200063</v>
      </c>
      <c r="E65" t="s">
        <v>2954</v>
      </c>
      <c r="F65">
        <f>VLOOKUP(E65,ServiceAreas.csv!B:C,2,FALSE)</f>
        <v>8</v>
      </c>
      <c r="G65" t="str">
        <f>"rg:{ 'id': '"&amp;F65&amp;"'}"</f>
        <v>rg:{ 'id': '8'}</v>
      </c>
      <c r="I65" t="str">
        <f t="shared" si="2"/>
        <v>Excavator-Peace</v>
      </c>
      <c r="J65" t="str">
        <f t="shared" si="3"/>
        <v>Excavator-8</v>
      </c>
      <c r="K65">
        <f t="shared" si="4"/>
        <v>200063</v>
      </c>
    </row>
    <row r="66" spans="1:11" x14ac:dyDescent="0.3">
      <c r="A66" t="s">
        <v>7861</v>
      </c>
      <c r="B66" t="s">
        <v>5635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>
        <f>VLOOKUP(E66,ServiceAreas.csv!B:C,2,FALSE)</f>
        <v>8</v>
      </c>
      <c r="G66" t="str">
        <f t="shared" ref="G66:G70" si="16">"rg:{ 'id': '"&amp;F66&amp;"'}"</f>
        <v>rg:{ 'id': '8'}</v>
      </c>
      <c r="I66" t="str">
        <f t="shared" si="2"/>
        <v>Grader-Peace</v>
      </c>
      <c r="J66" t="str">
        <f t="shared" si="3"/>
        <v>Grader-8</v>
      </c>
      <c r="K66">
        <f t="shared" si="4"/>
        <v>200064</v>
      </c>
    </row>
    <row r="67" spans="1:11" x14ac:dyDescent="0.3">
      <c r="A67" t="s">
        <v>7861</v>
      </c>
      <c r="B67" t="s">
        <v>5638</v>
      </c>
      <c r="C67" t="str">
        <f>"rg:{ 'id' : '"&amp;VLOOKUP(B67,EquipmentTypes.csv!C:K,9,FALSE)&amp;"'}"</f>
        <v>rg:{ 'id' : '200002'}</v>
      </c>
      <c r="D67">
        <f t="shared" ref="D67:D78" si="17">IF(ISNUMBER(D66),D66+1,200000)</f>
        <v>200065</v>
      </c>
      <c r="E67" t="s">
        <v>2954</v>
      </c>
      <c r="F67">
        <f>VLOOKUP(E67,ServiceAreas.csv!B:C,2,FALSE)</f>
        <v>8</v>
      </c>
      <c r="G67" t="str">
        <f t="shared" si="16"/>
        <v>rg:{ 'id': '8'}</v>
      </c>
      <c r="I67" t="str">
        <f t="shared" si="2"/>
        <v>Bulldozer-Peace</v>
      </c>
      <c r="J67" t="str">
        <f t="shared" si="3"/>
        <v>Bulldozer-8</v>
      </c>
      <c r="K67">
        <f t="shared" si="4"/>
        <v>200065</v>
      </c>
    </row>
    <row r="68" spans="1:11" x14ac:dyDescent="0.3">
      <c r="A68" t="s">
        <v>7861</v>
      </c>
      <c r="B68" t="s">
        <v>5639</v>
      </c>
      <c r="C68" t="str">
        <f>"rg:{ 'id' : '"&amp;VLOOKUP(B68,EquipmentTypes.csv!C:K,9,FALSE)&amp;"'}"</f>
        <v>rg:{ 'id' : '200003'}</v>
      </c>
      <c r="D68">
        <f t="shared" si="17"/>
        <v>200066</v>
      </c>
      <c r="E68" t="s">
        <v>2954</v>
      </c>
      <c r="F68">
        <f>VLOOKUP(E68,ServiceAreas.csv!B:C,2,FALSE)</f>
        <v>8</v>
      </c>
      <c r="G68" t="str">
        <f t="shared" si="16"/>
        <v>rg:{ 'id': '8'}</v>
      </c>
      <c r="I68" t="str">
        <f t="shared" si="2"/>
        <v>Cement Truck-Peace</v>
      </c>
      <c r="J68" t="str">
        <f t="shared" si="3"/>
        <v>Cement Truck-8</v>
      </c>
      <c r="K68">
        <f t="shared" si="4"/>
        <v>200066</v>
      </c>
    </row>
    <row r="69" spans="1:11" x14ac:dyDescent="0.3">
      <c r="A69" t="s">
        <v>7861</v>
      </c>
      <c r="B69" t="s">
        <v>5640</v>
      </c>
      <c r="C69" t="str">
        <f>"rg:{ 'id' : '"&amp;VLOOKUP(B69,EquipmentTypes.csv!C:K,9,FALSE)&amp;"'}"</f>
        <v>rg:{ 'id' : '200004'}</v>
      </c>
      <c r="D69">
        <f t="shared" si="17"/>
        <v>200067</v>
      </c>
      <c r="E69" t="s">
        <v>2954</v>
      </c>
      <c r="F69">
        <f>VLOOKUP(E69,ServiceAreas.csv!B:C,2,FALSE)</f>
        <v>8</v>
      </c>
      <c r="G69" t="str">
        <f t="shared" si="16"/>
        <v>rg:{ 'id': '8'}</v>
      </c>
      <c r="I69" t="str">
        <f t="shared" si="2"/>
        <v>Flat Deck-Peace</v>
      </c>
      <c r="J69" t="str">
        <f t="shared" si="3"/>
        <v>Flat Deck-8</v>
      </c>
      <c r="K69">
        <f t="shared" si="4"/>
        <v>200067</v>
      </c>
    </row>
    <row r="70" spans="1:11" x14ac:dyDescent="0.3">
      <c r="A70" t="s">
        <v>7861</v>
      </c>
      <c r="B70" t="s">
        <v>5641</v>
      </c>
      <c r="C70" t="str">
        <f>"rg:{ 'id' : '"&amp;VLOOKUP(B70,EquipmentTypes.csv!C:K,9,FALSE)&amp;"'}"</f>
        <v>rg:{ 'id' : '200005'}</v>
      </c>
      <c r="D70">
        <f t="shared" si="17"/>
        <v>200068</v>
      </c>
      <c r="E70" t="s">
        <v>2954</v>
      </c>
      <c r="F70">
        <f>VLOOKUP(E70,ServiceAreas.csv!B:C,2,FALSE)</f>
        <v>8</v>
      </c>
      <c r="G70" t="str">
        <f t="shared" si="16"/>
        <v>rg:{ 'id': '8'}</v>
      </c>
      <c r="I70" t="str">
        <f t="shared" si="2"/>
        <v>Logging Truck-Peace</v>
      </c>
      <c r="J70" t="str">
        <f t="shared" si="3"/>
        <v>Logging Truck-8</v>
      </c>
      <c r="K70">
        <f t="shared" si="4"/>
        <v>200068</v>
      </c>
    </row>
    <row r="71" spans="1:11" x14ac:dyDescent="0.3">
      <c r="A71" t="s">
        <v>7861</v>
      </c>
      <c r="B71" t="s">
        <v>5649</v>
      </c>
      <c r="C71" t="str">
        <f>"rg:{ 'id' : '"&amp;VLOOKUP(B71,EquipmentTypes.csv!C:K,9,FALSE)&amp;"'}"</f>
        <v>rg:{ 'id' : '200006'}</v>
      </c>
      <c r="D71">
        <f t="shared" si="17"/>
        <v>200069</v>
      </c>
      <c r="E71" t="s">
        <v>2954</v>
      </c>
      <c r="F71">
        <f>VLOOKUP(E71,ServiceAreas.csv!B:C,2,FALSE)</f>
        <v>8</v>
      </c>
      <c r="G71" t="str">
        <f>"rg:{ 'id': '"&amp;F71&amp;"'}"</f>
        <v>rg:{ 'id': '8'}</v>
      </c>
      <c r="I71" t="str">
        <f t="shared" si="2"/>
        <v>Dump Truck-Peace</v>
      </c>
      <c r="J71" t="str">
        <f t="shared" si="3"/>
        <v>Dump Truck-8</v>
      </c>
      <c r="K71">
        <f t="shared" si="4"/>
        <v>200069</v>
      </c>
    </row>
    <row r="72" spans="1:11" x14ac:dyDescent="0.3">
      <c r="A72" t="s">
        <v>7861</v>
      </c>
      <c r="B72" t="s">
        <v>5534</v>
      </c>
      <c r="C72" t="str">
        <f>"rg:{ 'id' : '"&amp;VLOOKUP(B72,EquipmentTypes.csv!C:K,9,FALSE)&amp;"'}"</f>
        <v>rg:{ 'id' : '200000'}</v>
      </c>
      <c r="D72">
        <f t="shared" si="17"/>
        <v>200070</v>
      </c>
      <c r="E72" t="s">
        <v>2952</v>
      </c>
      <c r="F72">
        <f>VLOOKUP(E72,ServiceAreas.csv!B:C,2,FALSE)</f>
        <v>6</v>
      </c>
      <c r="G72" t="str">
        <f>"rg:{ 'id': '"&amp;F72&amp;"'}"</f>
        <v>rg:{ 'id': '6'}</v>
      </c>
      <c r="I72" t="str">
        <f t="shared" si="2"/>
        <v>Excavator-Thompson-Nicola</v>
      </c>
      <c r="J72" t="str">
        <f t="shared" si="3"/>
        <v>Excavator-6</v>
      </c>
      <c r="K72">
        <f t="shared" si="4"/>
        <v>200070</v>
      </c>
    </row>
    <row r="73" spans="1:11" x14ac:dyDescent="0.3">
      <c r="A73" t="s">
        <v>7861</v>
      </c>
      <c r="B73" t="s">
        <v>5635</v>
      </c>
      <c r="C73" t="str">
        <f>"rg:{ 'id' : '"&amp;VLOOKUP(B73,EquipmentTypes.csv!C:K,9,FALSE)&amp;"'}"</f>
        <v>rg:{ 'id' : '200001'}</v>
      </c>
      <c r="D73">
        <f t="shared" si="17"/>
        <v>200071</v>
      </c>
      <c r="E73" t="s">
        <v>2952</v>
      </c>
      <c r="F73">
        <f>VLOOKUP(E73,ServiceAreas.csv!B:C,2,FALSE)</f>
        <v>6</v>
      </c>
      <c r="G73" t="str">
        <f t="shared" ref="G73:G77" si="18">"rg:{ 'id': '"&amp;F73&amp;"'}"</f>
        <v>rg:{ 'id': '6'}</v>
      </c>
      <c r="I73" t="str">
        <f t="shared" si="2"/>
        <v>Grader-Thompson-Nicola</v>
      </c>
      <c r="J73" t="str">
        <f t="shared" si="3"/>
        <v>Grader-6</v>
      </c>
      <c r="K73">
        <f t="shared" si="4"/>
        <v>200071</v>
      </c>
    </row>
    <row r="74" spans="1:11" x14ac:dyDescent="0.3">
      <c r="A74" t="s">
        <v>7861</v>
      </c>
      <c r="B74" t="s">
        <v>5638</v>
      </c>
      <c r="C74" t="str">
        <f>"rg:{ 'id' : '"&amp;VLOOKUP(B74,EquipmentTypes.csv!C:K,9,FALSE)&amp;"'}"</f>
        <v>rg:{ 'id' : '200002'}</v>
      </c>
      <c r="D74">
        <f t="shared" si="17"/>
        <v>200072</v>
      </c>
      <c r="E74" t="s">
        <v>2952</v>
      </c>
      <c r="F74">
        <f>VLOOKUP(E74,ServiceAreas.csv!B:C,2,FALSE)</f>
        <v>6</v>
      </c>
      <c r="G74" t="str">
        <f t="shared" si="18"/>
        <v>rg:{ 'id': '6'}</v>
      </c>
      <c r="I74" t="str">
        <f t="shared" ref="I74:I78" si="19">H74&amp;B74&amp;"-"&amp;E74</f>
        <v>Bulldozer-Thompson-Nicola</v>
      </c>
      <c r="J74" t="str">
        <f t="shared" ref="J74:J78" si="20">B74&amp;"-"&amp;F74</f>
        <v>Bulldozer-6</v>
      </c>
      <c r="K74">
        <f t="shared" ref="K74:K78" si="21">D74</f>
        <v>200072</v>
      </c>
    </row>
    <row r="75" spans="1:11" x14ac:dyDescent="0.3">
      <c r="A75" t="s">
        <v>7861</v>
      </c>
      <c r="B75" t="s">
        <v>5639</v>
      </c>
      <c r="C75" t="str">
        <f>"rg:{ 'id' : '"&amp;VLOOKUP(B75,EquipmentTypes.csv!C:K,9,FALSE)&amp;"'}"</f>
        <v>rg:{ 'id' : '200003'}</v>
      </c>
      <c r="D75">
        <f t="shared" si="17"/>
        <v>200073</v>
      </c>
      <c r="E75" t="s">
        <v>2952</v>
      </c>
      <c r="F75">
        <f>VLOOKUP(E75,ServiceAreas.csv!B:C,2,FALSE)</f>
        <v>6</v>
      </c>
      <c r="G75" t="str">
        <f t="shared" si="18"/>
        <v>rg:{ 'id': '6'}</v>
      </c>
      <c r="I75" t="str">
        <f t="shared" si="19"/>
        <v>Cement Truck-Thompson-Nicola</v>
      </c>
      <c r="J75" t="str">
        <f t="shared" si="20"/>
        <v>Cement Truck-6</v>
      </c>
      <c r="K75">
        <f t="shared" si="21"/>
        <v>200073</v>
      </c>
    </row>
    <row r="76" spans="1:11" x14ac:dyDescent="0.3">
      <c r="A76" t="s">
        <v>7861</v>
      </c>
      <c r="B76" t="s">
        <v>5640</v>
      </c>
      <c r="C76" t="str">
        <f>"rg:{ 'id' : '"&amp;VLOOKUP(B76,EquipmentTypes.csv!C:K,9,FALSE)&amp;"'}"</f>
        <v>rg:{ 'id' : '200004'}</v>
      </c>
      <c r="D76">
        <f t="shared" si="17"/>
        <v>200074</v>
      </c>
      <c r="E76" t="s">
        <v>2952</v>
      </c>
      <c r="F76">
        <f>VLOOKUP(E76,ServiceAreas.csv!B:C,2,FALSE)</f>
        <v>6</v>
      </c>
      <c r="G76" t="str">
        <f t="shared" si="18"/>
        <v>rg:{ 'id': '6'}</v>
      </c>
      <c r="I76" t="str">
        <f t="shared" si="19"/>
        <v>Flat Deck-Thompson-Nicola</v>
      </c>
      <c r="J76" t="str">
        <f t="shared" si="20"/>
        <v>Flat Deck-6</v>
      </c>
      <c r="K76">
        <f t="shared" si="21"/>
        <v>200074</v>
      </c>
    </row>
    <row r="77" spans="1:11" x14ac:dyDescent="0.3">
      <c r="A77" t="s">
        <v>7861</v>
      </c>
      <c r="B77" t="s">
        <v>5641</v>
      </c>
      <c r="C77" t="str">
        <f>"rg:{ 'id' : '"&amp;VLOOKUP(B77,EquipmentTypes.csv!C:K,9,FALSE)&amp;"'}"</f>
        <v>rg:{ 'id' : '200005'}</v>
      </c>
      <c r="D77">
        <f t="shared" si="17"/>
        <v>200075</v>
      </c>
      <c r="E77" t="s">
        <v>2952</v>
      </c>
      <c r="F77">
        <f>VLOOKUP(E77,ServiceAreas.csv!B:C,2,FALSE)</f>
        <v>6</v>
      </c>
      <c r="G77" t="str">
        <f t="shared" si="18"/>
        <v>rg:{ 'id': '6'}</v>
      </c>
      <c r="I77" t="str">
        <f t="shared" si="19"/>
        <v>Logging Truck-Thompson-Nicola</v>
      </c>
      <c r="J77" t="str">
        <f t="shared" si="20"/>
        <v>Logging Truck-6</v>
      </c>
      <c r="K77">
        <f t="shared" si="21"/>
        <v>200075</v>
      </c>
    </row>
    <row r="78" spans="1:11" x14ac:dyDescent="0.3">
      <c r="A78" t="s">
        <v>7861</v>
      </c>
      <c r="B78" t="s">
        <v>5649</v>
      </c>
      <c r="C78" t="str">
        <f>"rg:{ 'id' : '"&amp;VLOOKUP(B78,EquipmentTypes.csv!C:K,9,FALSE)&amp;"'}"</f>
        <v>rg:{ 'id' : '200006'}</v>
      </c>
      <c r="D78">
        <f t="shared" si="17"/>
        <v>200076</v>
      </c>
      <c r="E78" t="s">
        <v>2952</v>
      </c>
      <c r="F78">
        <f>VLOOKUP(E78,ServiceAreas.csv!B:C,2,FALSE)</f>
        <v>6</v>
      </c>
      <c r="G78" t="str">
        <f>"rg:{ 'id': '"&amp;F78&amp;"'}"</f>
        <v>rg:{ 'id': '6'}</v>
      </c>
      <c r="I78" t="str">
        <f t="shared" si="19"/>
        <v>Dump Truck-Thompson-Nicola</v>
      </c>
      <c r="J78" t="str">
        <f t="shared" si="20"/>
        <v>Dump Truck-6</v>
      </c>
      <c r="K78">
        <f t="shared" si="21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6451</v>
      </c>
      <c r="C1" s="5" t="s">
        <v>6450</v>
      </c>
      <c r="D1" s="5" t="s">
        <v>6449</v>
      </c>
      <c r="E1" s="5" t="s">
        <v>6448</v>
      </c>
      <c r="F1" s="5" t="s">
        <v>6447</v>
      </c>
      <c r="G1" s="5" t="s">
        <v>6446</v>
      </c>
      <c r="H1" s="5" t="s">
        <v>6445</v>
      </c>
      <c r="I1" s="5" t="s">
        <v>6444</v>
      </c>
      <c r="J1" s="5" t="s">
        <v>6443</v>
      </c>
      <c r="K1" s="5" t="s">
        <v>6442</v>
      </c>
      <c r="L1" s="5" t="s">
        <v>6441</v>
      </c>
      <c r="M1" s="5" t="s">
        <v>5377</v>
      </c>
      <c r="N1" s="5" t="s">
        <v>281</v>
      </c>
      <c r="O1" s="5" t="s">
        <v>77</v>
      </c>
      <c r="P1" s="5" t="s">
        <v>6440</v>
      </c>
      <c r="Q1" s="5" t="s">
        <v>6439</v>
      </c>
      <c r="R1" s="5" t="s">
        <v>6438</v>
      </c>
      <c r="S1" s="5" t="s">
        <v>6437</v>
      </c>
      <c r="T1" s="5" t="s">
        <v>6436</v>
      </c>
      <c r="U1" s="5" t="s">
        <v>6435</v>
      </c>
      <c r="V1" s="5" t="s">
        <v>6434</v>
      </c>
      <c r="W1" s="5" t="s">
        <v>6433</v>
      </c>
      <c r="X1" s="5" t="s">
        <v>6432</v>
      </c>
      <c r="Y1" s="5" t="s">
        <v>2981</v>
      </c>
      <c r="Z1" s="5" t="s">
        <v>6431</v>
      </c>
      <c r="AA1" s="5" t="s">
        <v>0</v>
      </c>
      <c r="AB1" s="5" t="s">
        <v>6430</v>
      </c>
      <c r="AC1" s="5" t="s">
        <v>56</v>
      </c>
      <c r="AD1" t="s">
        <v>6657</v>
      </c>
      <c r="AE1" t="s">
        <v>6495</v>
      </c>
      <c r="AF1" s="5" t="s">
        <v>6444</v>
      </c>
    </row>
    <row r="2" spans="1:32" x14ac:dyDescent="0.3">
      <c r="A2" t="str">
        <f>Y2</f>
        <v>Western Auto</v>
      </c>
      <c r="B2">
        <v>401</v>
      </c>
      <c r="C2" t="s">
        <v>6374</v>
      </c>
      <c r="D2" t="s">
        <v>6421</v>
      </c>
      <c r="E2" t="s">
        <v>6420</v>
      </c>
      <c r="F2" t="s">
        <v>5493</v>
      </c>
      <c r="G2" t="s">
        <v>5494</v>
      </c>
      <c r="H2">
        <v>7.3</v>
      </c>
      <c r="I2" t="s">
        <v>6429</v>
      </c>
      <c r="J2">
        <v>10.038</v>
      </c>
      <c r="K2" t="s">
        <v>326</v>
      </c>
      <c r="L2" t="s">
        <v>6428</v>
      </c>
      <c r="M2">
        <v>302.47000000000003</v>
      </c>
      <c r="N2" t="s">
        <v>6427</v>
      </c>
      <c r="O2" t="s">
        <v>6426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5687</v>
      </c>
      <c r="X2">
        <v>0</v>
      </c>
      <c r="Y2" t="s">
        <v>4639</v>
      </c>
      <c r="Z2" t="s">
        <v>4629</v>
      </c>
      <c r="AA2" t="s">
        <v>15</v>
      </c>
      <c r="AB2" t="s">
        <v>4630</v>
      </c>
      <c r="AC2" t="s">
        <v>4634</v>
      </c>
      <c r="AD2" t="str">
        <f>LEFT(I2,FIND(4,I2)-1)</f>
        <v>SUPE</v>
      </c>
      <c r="AE2" t="s">
        <v>6539</v>
      </c>
      <c r="AF2" t="s">
        <v>6429</v>
      </c>
    </row>
    <row r="3" spans="1:32" x14ac:dyDescent="0.3">
      <c r="A3" t="str">
        <f t="shared" ref="A3:A66" si="0">Y3</f>
        <v>Parts America</v>
      </c>
      <c r="B3">
        <v>401</v>
      </c>
      <c r="C3" t="s">
        <v>6374</v>
      </c>
      <c r="D3" t="s">
        <v>6421</v>
      </c>
      <c r="E3" t="s">
        <v>6420</v>
      </c>
      <c r="F3" t="s">
        <v>6425</v>
      </c>
      <c r="G3" t="s">
        <v>5517</v>
      </c>
      <c r="H3">
        <v>7.3</v>
      </c>
      <c r="I3" t="s">
        <v>6424</v>
      </c>
      <c r="J3">
        <v>13.055</v>
      </c>
      <c r="K3" t="s">
        <v>326</v>
      </c>
      <c r="L3" t="s">
        <v>5697</v>
      </c>
      <c r="M3">
        <v>427.15</v>
      </c>
      <c r="N3" t="s">
        <v>5715</v>
      </c>
      <c r="O3" t="s">
        <v>6423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3135</v>
      </c>
      <c r="W3" t="s">
        <v>326</v>
      </c>
      <c r="X3">
        <v>1</v>
      </c>
      <c r="Y3" t="s">
        <v>3681</v>
      </c>
      <c r="Z3" t="s">
        <v>3671</v>
      </c>
      <c r="AA3" t="s">
        <v>19</v>
      </c>
      <c r="AB3" t="s">
        <v>3672</v>
      </c>
      <c r="AC3" t="s">
        <v>3676</v>
      </c>
      <c r="AD3" t="str">
        <f>LEFT(I3,FIND(1,I3)-1)</f>
        <v>GTEX</v>
      </c>
      <c r="AE3" t="s">
        <v>6540</v>
      </c>
      <c r="AF3" t="s">
        <v>6424</v>
      </c>
    </row>
    <row r="4" spans="1:32" x14ac:dyDescent="0.3">
      <c r="A4" t="str">
        <f t="shared" si="0"/>
        <v>Allied Radio</v>
      </c>
      <c r="B4">
        <v>401</v>
      </c>
      <c r="C4" t="s">
        <v>6374</v>
      </c>
      <c r="D4" t="s">
        <v>6421</v>
      </c>
      <c r="E4" t="s">
        <v>6420</v>
      </c>
      <c r="F4" t="s">
        <v>5689</v>
      </c>
      <c r="G4" t="s">
        <v>6388</v>
      </c>
      <c r="H4">
        <v>16.100000000000001</v>
      </c>
      <c r="I4" t="s">
        <v>6422</v>
      </c>
      <c r="J4">
        <v>33</v>
      </c>
      <c r="K4" t="s">
        <v>326</v>
      </c>
      <c r="L4" t="s">
        <v>5697</v>
      </c>
      <c r="M4">
        <v>1984.5</v>
      </c>
      <c r="N4" t="s">
        <v>5718</v>
      </c>
      <c r="O4" t="s">
        <v>5704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3135</v>
      </c>
      <c r="W4" t="s">
        <v>326</v>
      </c>
      <c r="X4">
        <v>1</v>
      </c>
      <c r="Y4" t="s">
        <v>4243</v>
      </c>
      <c r="Z4" t="s">
        <v>4232</v>
      </c>
      <c r="AA4" t="s">
        <v>4233</v>
      </c>
      <c r="AB4" t="s">
        <v>4234</v>
      </c>
      <c r="AC4" t="s">
        <v>4238</v>
      </c>
      <c r="AD4" t="str">
        <f>LEFT(I4,FIND(0,I4)-1)</f>
        <v>MOTH</v>
      </c>
      <c r="AE4" t="s">
        <v>6541</v>
      </c>
      <c r="AF4" t="s">
        <v>6422</v>
      </c>
    </row>
    <row r="5" spans="1:32" x14ac:dyDescent="0.3">
      <c r="A5" t="str">
        <f t="shared" si="0"/>
        <v>The Wiz</v>
      </c>
      <c r="B5">
        <v>401</v>
      </c>
      <c r="C5" t="s">
        <v>6374</v>
      </c>
      <c r="D5" t="s">
        <v>6421</v>
      </c>
      <c r="E5" t="s">
        <v>6420</v>
      </c>
      <c r="F5" t="s">
        <v>5785</v>
      </c>
      <c r="G5" t="s">
        <v>5623</v>
      </c>
      <c r="H5">
        <v>10.199999999999999</v>
      </c>
      <c r="I5" t="s">
        <v>6419</v>
      </c>
      <c r="J5">
        <v>4.2709999999999999</v>
      </c>
      <c r="K5" t="s">
        <v>326</v>
      </c>
      <c r="L5" t="s">
        <v>6418</v>
      </c>
      <c r="M5">
        <v>129.46299999999999</v>
      </c>
      <c r="N5" t="s">
        <v>6417</v>
      </c>
      <c r="O5" t="s">
        <v>6416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3993</v>
      </c>
      <c r="Z5" t="s">
        <v>3983</v>
      </c>
      <c r="AA5" t="s">
        <v>3347</v>
      </c>
      <c r="AB5" t="s">
        <v>3984</v>
      </c>
      <c r="AC5" t="s">
        <v>3988</v>
      </c>
      <c r="AD5" t="str">
        <f>LEFT(I5,FIND(4,I5)-1)</f>
        <v>KATO</v>
      </c>
      <c r="AE5" t="s">
        <v>6542</v>
      </c>
      <c r="AF5" t="s">
        <v>6419</v>
      </c>
    </row>
    <row r="6" spans="1:32" x14ac:dyDescent="0.3">
      <c r="A6" t="str">
        <f t="shared" si="0"/>
        <v>Suadela Investment</v>
      </c>
      <c r="B6">
        <v>401</v>
      </c>
      <c r="C6" t="s">
        <v>6374</v>
      </c>
      <c r="D6" t="s">
        <v>6405</v>
      </c>
      <c r="E6" t="s">
        <v>6404</v>
      </c>
      <c r="F6" t="s">
        <v>5537</v>
      </c>
      <c r="G6" t="s">
        <v>5538</v>
      </c>
      <c r="H6">
        <v>7.2</v>
      </c>
      <c r="I6" t="s">
        <v>6415</v>
      </c>
      <c r="J6">
        <v>36</v>
      </c>
      <c r="K6" t="s">
        <v>326</v>
      </c>
      <c r="L6" t="s">
        <v>5697</v>
      </c>
      <c r="M6">
        <v>1085.3330000000001</v>
      </c>
      <c r="N6" t="s">
        <v>5727</v>
      </c>
      <c r="O6" t="s">
        <v>5712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3135</v>
      </c>
      <c r="W6" t="s">
        <v>326</v>
      </c>
      <c r="X6">
        <v>1</v>
      </c>
      <c r="Y6" t="s">
        <v>4850</v>
      </c>
      <c r="Z6" t="s">
        <v>4840</v>
      </c>
      <c r="AA6" t="s">
        <v>50</v>
      </c>
      <c r="AB6" t="s">
        <v>4841</v>
      </c>
      <c r="AC6" t="s">
        <v>4845</v>
      </c>
      <c r="AD6" t="str">
        <f>LEFT(I6,FIND(0,I6)-1)</f>
        <v>WINT</v>
      </c>
      <c r="AE6" t="s">
        <v>6543</v>
      </c>
      <c r="AF6" t="s">
        <v>6415</v>
      </c>
    </row>
    <row r="7" spans="1:32" x14ac:dyDescent="0.3">
      <c r="A7" t="str">
        <f t="shared" si="0"/>
        <v>Garden Guru</v>
      </c>
      <c r="B7">
        <v>401</v>
      </c>
      <c r="C7" t="s">
        <v>6374</v>
      </c>
      <c r="D7" t="s">
        <v>6405</v>
      </c>
      <c r="E7" t="s">
        <v>6404</v>
      </c>
      <c r="F7" t="s">
        <v>6410</v>
      </c>
      <c r="G7" t="s">
        <v>5542</v>
      </c>
      <c r="H7">
        <v>17.399999999999999</v>
      </c>
      <c r="I7" t="s">
        <v>6414</v>
      </c>
      <c r="J7">
        <v>6.0490000000000004</v>
      </c>
      <c r="K7" t="s">
        <v>326</v>
      </c>
      <c r="L7" t="s">
        <v>6413</v>
      </c>
      <c r="M7">
        <v>218.47</v>
      </c>
      <c r="N7" t="s">
        <v>6412</v>
      </c>
      <c r="O7" t="s">
        <v>6411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3135</v>
      </c>
      <c r="W7" t="s">
        <v>326</v>
      </c>
      <c r="X7">
        <v>1</v>
      </c>
      <c r="Y7" t="s">
        <v>4290</v>
      </c>
      <c r="Z7" t="s">
        <v>4279</v>
      </c>
      <c r="AA7" t="s">
        <v>4280</v>
      </c>
      <c r="AB7" t="s">
        <v>4281</v>
      </c>
      <c r="AC7" t="s">
        <v>4285</v>
      </c>
      <c r="AD7" t="str">
        <f t="shared" ref="AD7:AD13" si="1">LEFT(I7,FIND(4,I7)-1)</f>
        <v>SICK</v>
      </c>
      <c r="AE7" t="s">
        <v>6544</v>
      </c>
      <c r="AF7" t="s">
        <v>6414</v>
      </c>
    </row>
    <row r="8" spans="1:32" x14ac:dyDescent="0.3">
      <c r="A8" t="str">
        <f t="shared" si="0"/>
        <v>Garden Guru</v>
      </c>
      <c r="B8">
        <v>401</v>
      </c>
      <c r="C8" t="s">
        <v>6374</v>
      </c>
      <c r="D8" t="s">
        <v>6405</v>
      </c>
      <c r="E8" t="s">
        <v>6404</v>
      </c>
      <c r="F8" t="s">
        <v>6410</v>
      </c>
      <c r="G8" t="s">
        <v>5542</v>
      </c>
      <c r="H8">
        <v>17.399999999999999</v>
      </c>
      <c r="I8" t="s">
        <v>6409</v>
      </c>
      <c r="J8">
        <v>2.3530000000000002</v>
      </c>
      <c r="K8" t="s">
        <v>326</v>
      </c>
      <c r="L8" t="s">
        <v>6408</v>
      </c>
      <c r="M8">
        <v>126.75700000000001</v>
      </c>
      <c r="N8" t="s">
        <v>6407</v>
      </c>
      <c r="O8" t="s">
        <v>6406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3135</v>
      </c>
      <c r="W8" t="s">
        <v>326</v>
      </c>
      <c r="X8">
        <v>3</v>
      </c>
      <c r="Y8" t="s">
        <v>4290</v>
      </c>
      <c r="Z8" t="s">
        <v>4279</v>
      </c>
      <c r="AA8" t="s">
        <v>4280</v>
      </c>
      <c r="AB8" t="s">
        <v>4281</v>
      </c>
      <c r="AC8" t="s">
        <v>4285</v>
      </c>
      <c r="AD8" t="str">
        <f t="shared" si="1"/>
        <v>SICK</v>
      </c>
      <c r="AE8" t="s">
        <v>6544</v>
      </c>
      <c r="AF8" t="s">
        <v>6409</v>
      </c>
    </row>
    <row r="9" spans="1:32" x14ac:dyDescent="0.3">
      <c r="A9" t="str">
        <f t="shared" si="0"/>
        <v>Red Fox Tavern</v>
      </c>
      <c r="B9">
        <v>401</v>
      </c>
      <c r="C9" t="s">
        <v>6374</v>
      </c>
      <c r="D9" t="s">
        <v>6405</v>
      </c>
      <c r="E9" t="s">
        <v>6404</v>
      </c>
      <c r="F9" t="s">
        <v>5784</v>
      </c>
      <c r="G9" t="s">
        <v>5625</v>
      </c>
      <c r="H9">
        <v>15.2</v>
      </c>
      <c r="I9" t="s">
        <v>6403</v>
      </c>
      <c r="J9">
        <v>7.0819999999999999</v>
      </c>
      <c r="K9" t="s">
        <v>326</v>
      </c>
      <c r="L9" t="s">
        <v>5713</v>
      </c>
      <c r="M9">
        <v>212.46</v>
      </c>
      <c r="N9" t="s">
        <v>5742</v>
      </c>
      <c r="O9" t="s">
        <v>6402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4113</v>
      </c>
      <c r="Z9" t="s">
        <v>4105</v>
      </c>
      <c r="AA9" t="s">
        <v>19</v>
      </c>
      <c r="AB9" t="s">
        <v>3968</v>
      </c>
      <c r="AC9" t="s">
        <v>4109</v>
      </c>
      <c r="AD9" t="str">
        <f t="shared" si="1"/>
        <v>child</v>
      </c>
      <c r="AE9" t="s">
        <v>6545</v>
      </c>
      <c r="AF9" t="s">
        <v>6403</v>
      </c>
    </row>
    <row r="10" spans="1:32" x14ac:dyDescent="0.3">
      <c r="A10" t="str">
        <f t="shared" si="0"/>
        <v>Showbiz Pizza Place</v>
      </c>
      <c r="B10">
        <v>401</v>
      </c>
      <c r="C10" t="s">
        <v>6374</v>
      </c>
      <c r="D10" t="s">
        <v>6401</v>
      </c>
      <c r="E10" t="s">
        <v>6400</v>
      </c>
      <c r="F10" t="s">
        <v>6399</v>
      </c>
      <c r="G10" t="s">
        <v>5536</v>
      </c>
      <c r="H10">
        <v>7.1</v>
      </c>
      <c r="I10" t="s">
        <v>6398</v>
      </c>
      <c r="J10">
        <v>7.8769999999999998</v>
      </c>
      <c r="K10" t="s">
        <v>326</v>
      </c>
      <c r="L10" t="s">
        <v>6397</v>
      </c>
      <c r="M10">
        <v>244.31</v>
      </c>
      <c r="N10" t="s">
        <v>6396</v>
      </c>
      <c r="O10" t="s">
        <v>6395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3135</v>
      </c>
      <c r="W10" t="s">
        <v>326</v>
      </c>
      <c r="X10">
        <v>1</v>
      </c>
      <c r="Y10" t="s">
        <v>4226</v>
      </c>
      <c r="Z10" t="s">
        <v>4217</v>
      </c>
      <c r="AA10" t="s">
        <v>3243</v>
      </c>
      <c r="AB10" t="s">
        <v>3244</v>
      </c>
      <c r="AC10" t="s">
        <v>4221</v>
      </c>
      <c r="AD10" t="str">
        <f t="shared" si="1"/>
        <v>MCGR</v>
      </c>
      <c r="AE10" t="s">
        <v>6546</v>
      </c>
      <c r="AF10" t="s">
        <v>6398</v>
      </c>
    </row>
    <row r="11" spans="1:32" x14ac:dyDescent="0.3">
      <c r="A11" t="str">
        <f t="shared" si="0"/>
        <v>Success Is Yours</v>
      </c>
      <c r="B11">
        <v>401</v>
      </c>
      <c r="C11" t="s">
        <v>6374</v>
      </c>
      <c r="D11" t="s">
        <v>6390</v>
      </c>
      <c r="E11" t="s">
        <v>6389</v>
      </c>
      <c r="F11" t="s">
        <v>5726</v>
      </c>
      <c r="G11" t="s">
        <v>5461</v>
      </c>
      <c r="H11">
        <v>15.1</v>
      </c>
      <c r="I11" t="s">
        <v>6394</v>
      </c>
      <c r="J11">
        <v>16.068000000000001</v>
      </c>
      <c r="K11" t="s">
        <v>326</v>
      </c>
      <c r="L11" t="s">
        <v>5697</v>
      </c>
      <c r="M11">
        <v>488.54</v>
      </c>
      <c r="N11" t="s">
        <v>5762</v>
      </c>
      <c r="O11" t="s">
        <v>6393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3135</v>
      </c>
      <c r="W11" t="s">
        <v>326</v>
      </c>
      <c r="X11">
        <v>1</v>
      </c>
      <c r="Y11" t="s">
        <v>3503</v>
      </c>
      <c r="Z11" t="s">
        <v>3492</v>
      </c>
      <c r="AA11" t="s">
        <v>3493</v>
      </c>
      <c r="AB11" t="s">
        <v>3494</v>
      </c>
      <c r="AC11" t="s">
        <v>3498</v>
      </c>
      <c r="AD11" t="str">
        <f t="shared" si="1"/>
        <v>MANN</v>
      </c>
      <c r="AE11" t="s">
        <v>6547</v>
      </c>
      <c r="AF11" t="s">
        <v>6394</v>
      </c>
    </row>
    <row r="12" spans="1:32" x14ac:dyDescent="0.3">
      <c r="A12" t="str">
        <f t="shared" si="0"/>
        <v>Success Is Yours</v>
      </c>
      <c r="B12">
        <v>401</v>
      </c>
      <c r="C12" t="s">
        <v>6374</v>
      </c>
      <c r="D12" t="s">
        <v>6390</v>
      </c>
      <c r="E12" t="s">
        <v>6389</v>
      </c>
      <c r="F12" t="s">
        <v>5689</v>
      </c>
      <c r="G12" t="s">
        <v>6388</v>
      </c>
      <c r="H12">
        <v>16.100000000000001</v>
      </c>
      <c r="I12" t="s">
        <v>6392</v>
      </c>
      <c r="J12">
        <v>2.3370000000000002</v>
      </c>
      <c r="K12" t="s">
        <v>326</v>
      </c>
      <c r="L12" t="s">
        <v>6386</v>
      </c>
      <c r="M12">
        <v>188.47</v>
      </c>
      <c r="N12" t="s">
        <v>5730</v>
      </c>
      <c r="O12" t="s">
        <v>6391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3135</v>
      </c>
      <c r="W12" t="s">
        <v>326</v>
      </c>
      <c r="X12">
        <v>3</v>
      </c>
      <c r="Y12" t="s">
        <v>3503</v>
      </c>
      <c r="Z12" t="s">
        <v>3492</v>
      </c>
      <c r="AA12" t="s">
        <v>3493</v>
      </c>
      <c r="AB12" t="s">
        <v>3494</v>
      </c>
      <c r="AC12" t="s">
        <v>3498</v>
      </c>
      <c r="AD12" t="str">
        <f t="shared" si="1"/>
        <v>MANN</v>
      </c>
      <c r="AE12" t="s">
        <v>6547</v>
      </c>
      <c r="AF12" t="s">
        <v>6392</v>
      </c>
    </row>
    <row r="13" spans="1:32" x14ac:dyDescent="0.3">
      <c r="A13" t="str">
        <f t="shared" si="0"/>
        <v>Success Is Yours</v>
      </c>
      <c r="B13">
        <v>401</v>
      </c>
      <c r="C13" t="s">
        <v>6374</v>
      </c>
      <c r="D13" t="s">
        <v>6390</v>
      </c>
      <c r="E13" t="s">
        <v>6389</v>
      </c>
      <c r="F13" t="s">
        <v>5689</v>
      </c>
      <c r="G13" t="s">
        <v>6388</v>
      </c>
      <c r="H13">
        <v>16.100000000000001</v>
      </c>
      <c r="I13" t="s">
        <v>6387</v>
      </c>
      <c r="J13">
        <v>2.3370000000000002</v>
      </c>
      <c r="K13" t="s">
        <v>326</v>
      </c>
      <c r="L13" t="s">
        <v>6386</v>
      </c>
      <c r="M13">
        <v>186.97</v>
      </c>
      <c r="N13" t="s">
        <v>6385</v>
      </c>
      <c r="O13" t="s">
        <v>6384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3135</v>
      </c>
      <c r="W13" t="s">
        <v>326</v>
      </c>
      <c r="X13">
        <v>3</v>
      </c>
      <c r="Y13" t="s">
        <v>3503</v>
      </c>
      <c r="Z13" t="s">
        <v>3492</v>
      </c>
      <c r="AA13" t="s">
        <v>3493</v>
      </c>
      <c r="AB13" t="s">
        <v>3494</v>
      </c>
      <c r="AC13" t="s">
        <v>3498</v>
      </c>
      <c r="AD13" t="str">
        <f t="shared" si="1"/>
        <v>MANN</v>
      </c>
      <c r="AE13" t="s">
        <v>6547</v>
      </c>
      <c r="AF13" t="s">
        <v>6387</v>
      </c>
    </row>
    <row r="14" spans="1:32" x14ac:dyDescent="0.3">
      <c r="A14" t="str">
        <f t="shared" si="0"/>
        <v>McDuff</v>
      </c>
      <c r="B14">
        <v>401</v>
      </c>
      <c r="C14" t="s">
        <v>6374</v>
      </c>
      <c r="D14" t="s">
        <v>6373</v>
      </c>
      <c r="E14" t="s">
        <v>6372</v>
      </c>
      <c r="F14" t="s">
        <v>5726</v>
      </c>
      <c r="G14" t="s">
        <v>5461</v>
      </c>
      <c r="H14">
        <v>15.1</v>
      </c>
      <c r="I14" t="s">
        <v>6383</v>
      </c>
      <c r="J14">
        <v>7.4660000000000002</v>
      </c>
      <c r="K14" t="s">
        <v>326</v>
      </c>
      <c r="L14" t="s">
        <v>6382</v>
      </c>
      <c r="M14">
        <v>233.98</v>
      </c>
      <c r="N14" t="s">
        <v>5744</v>
      </c>
      <c r="O14" t="s">
        <v>5788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3092</v>
      </c>
      <c r="Z14" t="s">
        <v>3081</v>
      </c>
      <c r="AA14" t="s">
        <v>3082</v>
      </c>
      <c r="AB14" t="s">
        <v>3083</v>
      </c>
      <c r="AC14" t="s">
        <v>3087</v>
      </c>
      <c r="AD14" t="str">
        <f>LEFT(I14,FIND(0,I14)-1)</f>
        <v>AGGRE</v>
      </c>
      <c r="AE14" t="s">
        <v>6548</v>
      </c>
      <c r="AF14" t="s">
        <v>6383</v>
      </c>
    </row>
    <row r="15" spans="1:32" x14ac:dyDescent="0.3">
      <c r="A15" t="str">
        <f t="shared" si="0"/>
        <v>Monsource</v>
      </c>
      <c r="B15">
        <v>401</v>
      </c>
      <c r="C15" t="s">
        <v>6374</v>
      </c>
      <c r="D15" t="s">
        <v>6373</v>
      </c>
      <c r="E15" t="s">
        <v>6372</v>
      </c>
      <c r="F15" t="s">
        <v>6381</v>
      </c>
      <c r="G15" t="s">
        <v>5522</v>
      </c>
      <c r="H15">
        <v>7.3</v>
      </c>
      <c r="I15" t="s">
        <v>6380</v>
      </c>
      <c r="J15">
        <v>12</v>
      </c>
      <c r="K15" t="s">
        <v>326</v>
      </c>
      <c r="L15" t="s">
        <v>5697</v>
      </c>
      <c r="M15">
        <v>364</v>
      </c>
      <c r="N15" t="s">
        <v>5715</v>
      </c>
      <c r="O15" t="s">
        <v>6379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3135</v>
      </c>
      <c r="W15" t="s">
        <v>326</v>
      </c>
      <c r="X15">
        <v>1</v>
      </c>
      <c r="Y15" t="s">
        <v>4581</v>
      </c>
      <c r="Z15" t="s">
        <v>4572</v>
      </c>
      <c r="AA15" t="s">
        <v>19</v>
      </c>
      <c r="AB15" t="s">
        <v>41</v>
      </c>
      <c r="AC15" t="s">
        <v>4576</v>
      </c>
      <c r="AD15" t="str">
        <f t="shared" ref="AD15:AD43" si="2">IF(ISERR(LEFT(I15,FIND("-",I15)-1)),LEFT(I15,FIND(" ",I15)-1),LEFT(I15,FIND("-",I15)-1))</f>
        <v>SOOK</v>
      </c>
      <c r="AE15" t="s">
        <v>6549</v>
      </c>
      <c r="AF15" t="s">
        <v>6380</v>
      </c>
    </row>
    <row r="16" spans="1:32" x14ac:dyDescent="0.3">
      <c r="A16" t="str">
        <f t="shared" si="0"/>
        <v>P. Samuels Men's Clothiers</v>
      </c>
      <c r="B16">
        <v>401</v>
      </c>
      <c r="C16" t="s">
        <v>6374</v>
      </c>
      <c r="D16" t="s">
        <v>6373</v>
      </c>
      <c r="E16" t="s">
        <v>6372</v>
      </c>
      <c r="F16" t="s">
        <v>6378</v>
      </c>
      <c r="G16" t="s">
        <v>5528</v>
      </c>
      <c r="H16">
        <v>7.3</v>
      </c>
      <c r="I16" t="s">
        <v>6377</v>
      </c>
      <c r="J16">
        <v>10.978</v>
      </c>
      <c r="K16" t="s">
        <v>326</v>
      </c>
      <c r="L16" t="s">
        <v>6376</v>
      </c>
      <c r="M16">
        <v>431.00700000000001</v>
      </c>
      <c r="N16" t="s">
        <v>5720</v>
      </c>
      <c r="O16" t="s">
        <v>6375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3135</v>
      </c>
      <c r="W16" t="s">
        <v>326</v>
      </c>
      <c r="X16">
        <v>1</v>
      </c>
      <c r="Y16" t="s">
        <v>4413</v>
      </c>
      <c r="Z16" t="s">
        <v>4404</v>
      </c>
      <c r="AA16" t="s">
        <v>19</v>
      </c>
      <c r="AB16" t="s">
        <v>3843</v>
      </c>
      <c r="AC16" t="s">
        <v>4408</v>
      </c>
      <c r="AD16" t="str">
        <f>LEFT(I16,FIND(4,I16)-1)</f>
        <v>RGEX</v>
      </c>
      <c r="AE16" t="s">
        <v>6550</v>
      </c>
      <c r="AF16" t="s">
        <v>6377</v>
      </c>
    </row>
    <row r="17" spans="1:32" x14ac:dyDescent="0.3">
      <c r="A17" t="str">
        <f t="shared" si="0"/>
        <v>Harold's</v>
      </c>
      <c r="B17">
        <v>401</v>
      </c>
      <c r="C17" t="s">
        <v>6374</v>
      </c>
      <c r="D17" t="s">
        <v>6373</v>
      </c>
      <c r="E17" t="s">
        <v>6372</v>
      </c>
      <c r="F17" t="s">
        <v>5772</v>
      </c>
      <c r="G17" t="s">
        <v>6371</v>
      </c>
      <c r="H17">
        <v>16.2</v>
      </c>
      <c r="I17" t="s">
        <v>6370</v>
      </c>
      <c r="J17">
        <v>10</v>
      </c>
      <c r="K17" t="s">
        <v>326</v>
      </c>
      <c r="L17" t="s">
        <v>5798</v>
      </c>
      <c r="M17">
        <v>308.16699999999997</v>
      </c>
      <c r="N17" t="s">
        <v>6369</v>
      </c>
      <c r="O17" t="s">
        <v>5759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3135</v>
      </c>
      <c r="W17" t="s">
        <v>326</v>
      </c>
      <c r="X17">
        <v>1</v>
      </c>
      <c r="Y17" t="s">
        <v>3253</v>
      </c>
      <c r="Z17" t="s">
        <v>3242</v>
      </c>
      <c r="AA17" t="s">
        <v>3243</v>
      </c>
      <c r="AB17" t="s">
        <v>3244</v>
      </c>
      <c r="AC17" t="s">
        <v>3248</v>
      </c>
      <c r="AD17" t="str">
        <f>LEFT(I17,FIND(4,I17)-1)</f>
        <v>BERT</v>
      </c>
      <c r="AE17" t="s">
        <v>6551</v>
      </c>
      <c r="AF17" t="s">
        <v>6370</v>
      </c>
    </row>
    <row r="18" spans="1:32" x14ac:dyDescent="0.3">
      <c r="A18" t="str">
        <f t="shared" si="0"/>
        <v>Stratacard</v>
      </c>
      <c r="B18">
        <v>402</v>
      </c>
      <c r="C18" t="s">
        <v>6277</v>
      </c>
      <c r="D18" t="s">
        <v>6341</v>
      </c>
      <c r="E18" t="s">
        <v>6340</v>
      </c>
      <c r="F18">
        <v>11.1</v>
      </c>
      <c r="G18" t="s">
        <v>6334</v>
      </c>
      <c r="H18">
        <v>11.1</v>
      </c>
      <c r="I18" t="s">
        <v>6368</v>
      </c>
      <c r="J18">
        <v>30</v>
      </c>
      <c r="K18" t="s">
        <v>326</v>
      </c>
      <c r="L18" t="s">
        <v>5697</v>
      </c>
      <c r="M18">
        <v>902.66700000000003</v>
      </c>
      <c r="N18" t="s">
        <v>6367</v>
      </c>
      <c r="O18" t="s">
        <v>6366</v>
      </c>
      <c r="P18" t="s">
        <v>3653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3135</v>
      </c>
      <c r="W18" t="s">
        <v>326</v>
      </c>
      <c r="X18">
        <v>1</v>
      </c>
      <c r="Y18" t="s">
        <v>3520</v>
      </c>
      <c r="Z18" t="s">
        <v>3510</v>
      </c>
      <c r="AA18" t="s">
        <v>19</v>
      </c>
      <c r="AB18" t="s">
        <v>3511</v>
      </c>
      <c r="AC18" t="s">
        <v>3515</v>
      </c>
      <c r="AD18" t="str">
        <f t="shared" si="2"/>
        <v>HIGH</v>
      </c>
      <c r="AE18" t="s">
        <v>6552</v>
      </c>
      <c r="AF18" t="s">
        <v>6368</v>
      </c>
    </row>
    <row r="19" spans="1:32" x14ac:dyDescent="0.3">
      <c r="A19" t="str">
        <f t="shared" si="0"/>
        <v>Chase Pitkin</v>
      </c>
      <c r="B19">
        <v>402</v>
      </c>
      <c r="C19" t="s">
        <v>6277</v>
      </c>
      <c r="D19" t="s">
        <v>6341</v>
      </c>
      <c r="E19" t="s">
        <v>6340</v>
      </c>
      <c r="F19">
        <v>13.3</v>
      </c>
      <c r="G19" t="s">
        <v>6365</v>
      </c>
      <c r="H19">
        <v>13.3</v>
      </c>
      <c r="I19" t="s">
        <v>6364</v>
      </c>
      <c r="J19">
        <v>28</v>
      </c>
      <c r="K19" t="s">
        <v>326</v>
      </c>
      <c r="L19" t="s">
        <v>5697</v>
      </c>
      <c r="M19">
        <v>842.66700000000003</v>
      </c>
      <c r="N19" t="s">
        <v>6363</v>
      </c>
      <c r="O19" t="s">
        <v>6362</v>
      </c>
      <c r="P19" t="s">
        <v>3653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3135</v>
      </c>
      <c r="W19" t="s">
        <v>326</v>
      </c>
      <c r="X19">
        <v>1</v>
      </c>
      <c r="Y19" t="s">
        <v>4156</v>
      </c>
      <c r="Z19" t="s">
        <v>4148</v>
      </c>
      <c r="AA19" t="s">
        <v>48</v>
      </c>
      <c r="AB19" t="s">
        <v>3784</v>
      </c>
      <c r="AC19" t="s">
        <v>4152</v>
      </c>
      <c r="AD19" t="str">
        <f t="shared" si="2"/>
        <v>HUBC</v>
      </c>
      <c r="AE19" t="s">
        <v>6553</v>
      </c>
      <c r="AF19" t="s">
        <v>6364</v>
      </c>
    </row>
    <row r="20" spans="1:32" x14ac:dyDescent="0.3">
      <c r="A20" t="str">
        <f t="shared" si="0"/>
        <v>Auto Palace</v>
      </c>
      <c r="B20">
        <v>402</v>
      </c>
      <c r="C20" t="s">
        <v>6277</v>
      </c>
      <c r="D20" t="s">
        <v>6341</v>
      </c>
      <c r="E20" t="s">
        <v>6340</v>
      </c>
      <c r="F20">
        <v>15.6</v>
      </c>
      <c r="G20" t="s">
        <v>6331</v>
      </c>
      <c r="H20">
        <v>15.6</v>
      </c>
      <c r="I20" t="s">
        <v>6361</v>
      </c>
      <c r="J20">
        <v>27</v>
      </c>
      <c r="K20" t="s">
        <v>326</v>
      </c>
      <c r="L20" t="s">
        <v>5697</v>
      </c>
      <c r="M20">
        <v>812.66700000000003</v>
      </c>
      <c r="N20" t="s">
        <v>6360</v>
      </c>
      <c r="O20" t="s">
        <v>6358</v>
      </c>
      <c r="P20" t="s">
        <v>3653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3135</v>
      </c>
      <c r="W20" t="s">
        <v>326</v>
      </c>
      <c r="X20">
        <v>1</v>
      </c>
      <c r="Y20" t="s">
        <v>4037</v>
      </c>
      <c r="Z20" t="s">
        <v>4027</v>
      </c>
      <c r="AA20" t="s">
        <v>4028</v>
      </c>
      <c r="AB20" t="s">
        <v>3348</v>
      </c>
      <c r="AC20" t="s">
        <v>4032</v>
      </c>
      <c r="AD20" t="str">
        <f t="shared" si="2"/>
        <v>KENS</v>
      </c>
      <c r="AE20" t="s">
        <v>6554</v>
      </c>
      <c r="AF20" t="s">
        <v>6361</v>
      </c>
    </row>
    <row r="21" spans="1:32" x14ac:dyDescent="0.3">
      <c r="A21" t="str">
        <f t="shared" si="0"/>
        <v>Universo Realtors</v>
      </c>
      <c r="B21">
        <v>402</v>
      </c>
      <c r="C21" t="s">
        <v>6277</v>
      </c>
      <c r="D21" t="s">
        <v>6341</v>
      </c>
      <c r="E21" t="s">
        <v>6340</v>
      </c>
      <c r="F21">
        <v>15.6</v>
      </c>
      <c r="G21" t="s">
        <v>6331</v>
      </c>
      <c r="H21">
        <v>15.6</v>
      </c>
      <c r="I21" t="s">
        <v>6359</v>
      </c>
      <c r="J21">
        <v>26</v>
      </c>
      <c r="K21" t="s">
        <v>326</v>
      </c>
      <c r="L21" t="s">
        <v>5697</v>
      </c>
      <c r="M21">
        <v>782.66700000000003</v>
      </c>
      <c r="N21" t="s">
        <v>6329</v>
      </c>
      <c r="O21" t="s">
        <v>6358</v>
      </c>
      <c r="P21" t="s">
        <v>3653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3135</v>
      </c>
      <c r="W21" t="s">
        <v>326</v>
      </c>
      <c r="X21">
        <v>1</v>
      </c>
      <c r="Y21" t="s">
        <v>3438</v>
      </c>
      <c r="Z21" t="s">
        <v>3428</v>
      </c>
      <c r="AA21" t="s">
        <v>3429</v>
      </c>
      <c r="AB21" t="s">
        <v>3430</v>
      </c>
      <c r="AC21" t="s">
        <v>3434</v>
      </c>
      <c r="AD21" t="str">
        <f t="shared" si="2"/>
        <v>PEFF</v>
      </c>
      <c r="AE21" t="s">
        <v>6555</v>
      </c>
      <c r="AF21" t="s">
        <v>6359</v>
      </c>
    </row>
    <row r="22" spans="1:32" x14ac:dyDescent="0.3">
      <c r="A22" t="str">
        <f t="shared" si="0"/>
        <v>Asian Junction</v>
      </c>
      <c r="B22">
        <v>402</v>
      </c>
      <c r="C22" t="s">
        <v>6277</v>
      </c>
      <c r="D22" t="s">
        <v>6341</v>
      </c>
      <c r="E22" t="s">
        <v>6340</v>
      </c>
      <c r="F22">
        <v>16.100000000000001</v>
      </c>
      <c r="G22" t="s">
        <v>5805</v>
      </c>
      <c r="H22">
        <v>16.100000000000001</v>
      </c>
      <c r="I22" t="s">
        <v>6357</v>
      </c>
      <c r="J22">
        <v>24</v>
      </c>
      <c r="K22" t="s">
        <v>326</v>
      </c>
      <c r="L22" t="s">
        <v>5697</v>
      </c>
      <c r="M22">
        <v>1442.6669999999999</v>
      </c>
      <c r="N22" t="s">
        <v>6356</v>
      </c>
      <c r="O22" t="s">
        <v>6355</v>
      </c>
      <c r="P22" t="s">
        <v>3653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3135</v>
      </c>
      <c r="W22" t="s">
        <v>326</v>
      </c>
      <c r="X22">
        <v>1</v>
      </c>
      <c r="Y22" t="s">
        <v>3035</v>
      </c>
      <c r="Z22" t="s">
        <v>3623</v>
      </c>
      <c r="AA22" t="s">
        <v>19</v>
      </c>
      <c r="AB22" t="s">
        <v>41</v>
      </c>
      <c r="AC22" t="s">
        <v>3627</v>
      </c>
      <c r="AD22" t="str">
        <f t="shared" si="2"/>
        <v>GYON</v>
      </c>
      <c r="AE22" t="s">
        <v>6556</v>
      </c>
      <c r="AF22" t="s">
        <v>6357</v>
      </c>
    </row>
    <row r="23" spans="1:32" x14ac:dyDescent="0.3">
      <c r="A23" t="str">
        <f t="shared" si="0"/>
        <v>Chase Pitkin</v>
      </c>
      <c r="B23">
        <v>402</v>
      </c>
      <c r="C23" t="s">
        <v>6277</v>
      </c>
      <c r="D23" t="s">
        <v>6341</v>
      </c>
      <c r="E23" t="s">
        <v>6340</v>
      </c>
      <c r="F23">
        <v>16.100000000000001</v>
      </c>
      <c r="G23" t="s">
        <v>5805</v>
      </c>
      <c r="H23">
        <v>16.100000000000001</v>
      </c>
      <c r="I23" t="s">
        <v>6354</v>
      </c>
      <c r="J23">
        <v>26</v>
      </c>
      <c r="K23" t="s">
        <v>326</v>
      </c>
      <c r="L23" t="s">
        <v>5697</v>
      </c>
      <c r="M23">
        <v>1583.4169999999999</v>
      </c>
      <c r="N23" t="s">
        <v>6353</v>
      </c>
      <c r="O23" t="s">
        <v>6352</v>
      </c>
      <c r="P23" t="s">
        <v>3653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3135</v>
      </c>
      <c r="W23" t="s">
        <v>326</v>
      </c>
      <c r="X23">
        <v>1</v>
      </c>
      <c r="Y23" t="s">
        <v>4156</v>
      </c>
      <c r="Z23" t="s">
        <v>4148</v>
      </c>
      <c r="AA23" t="s">
        <v>48</v>
      </c>
      <c r="AB23" t="s">
        <v>3784</v>
      </c>
      <c r="AC23" t="s">
        <v>4152</v>
      </c>
      <c r="AD23" t="str">
        <f t="shared" si="2"/>
        <v>HUBC</v>
      </c>
      <c r="AE23" t="s">
        <v>6553</v>
      </c>
      <c r="AF23" t="s">
        <v>6354</v>
      </c>
    </row>
    <row r="24" spans="1:32" x14ac:dyDescent="0.3">
      <c r="A24" t="str">
        <f t="shared" si="0"/>
        <v>Chase Pitkin</v>
      </c>
      <c r="B24">
        <v>402</v>
      </c>
      <c r="C24" t="s">
        <v>6277</v>
      </c>
      <c r="D24" t="s">
        <v>6341</v>
      </c>
      <c r="E24" t="s">
        <v>6340</v>
      </c>
      <c r="F24">
        <v>2.5</v>
      </c>
      <c r="G24" t="s">
        <v>6351</v>
      </c>
      <c r="H24">
        <v>2.5</v>
      </c>
      <c r="I24" t="s">
        <v>6350</v>
      </c>
      <c r="J24">
        <v>16.082000000000001</v>
      </c>
      <c r="K24" t="s">
        <v>326</v>
      </c>
      <c r="L24" t="s">
        <v>5697</v>
      </c>
      <c r="M24">
        <v>489.79300000000001</v>
      </c>
      <c r="N24" t="s">
        <v>6349</v>
      </c>
      <c r="O24" t="s">
        <v>6348</v>
      </c>
      <c r="P24" t="s">
        <v>3653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3135</v>
      </c>
      <c r="W24" t="s">
        <v>326</v>
      </c>
      <c r="X24">
        <v>1</v>
      </c>
      <c r="Y24" t="s">
        <v>4156</v>
      </c>
      <c r="Z24" t="s">
        <v>4148</v>
      </c>
      <c r="AA24" t="s">
        <v>48</v>
      </c>
      <c r="AB24" t="s">
        <v>3784</v>
      </c>
      <c r="AC24" t="s">
        <v>4152</v>
      </c>
      <c r="AD24" t="str">
        <f t="shared" si="2"/>
        <v>HUBC</v>
      </c>
      <c r="AE24" t="s">
        <v>6553</v>
      </c>
      <c r="AF24" t="s">
        <v>6350</v>
      </c>
    </row>
    <row r="25" spans="1:32" x14ac:dyDescent="0.3">
      <c r="A25" t="str">
        <f t="shared" si="0"/>
        <v>Magik Grey</v>
      </c>
      <c r="B25">
        <v>402</v>
      </c>
      <c r="C25" t="s">
        <v>6277</v>
      </c>
      <c r="D25" t="s">
        <v>6341</v>
      </c>
      <c r="E25" t="s">
        <v>6340</v>
      </c>
      <c r="F25" t="s">
        <v>6316</v>
      </c>
      <c r="G25" t="s">
        <v>6315</v>
      </c>
      <c r="H25">
        <v>7.3</v>
      </c>
      <c r="I25" t="s">
        <v>6347</v>
      </c>
      <c r="J25">
        <v>26</v>
      </c>
      <c r="K25" t="s">
        <v>326</v>
      </c>
      <c r="L25" t="s">
        <v>5697</v>
      </c>
      <c r="M25">
        <v>804</v>
      </c>
      <c r="N25" t="s">
        <v>6346</v>
      </c>
      <c r="O25" t="s">
        <v>6345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5687</v>
      </c>
      <c r="X25">
        <v>0</v>
      </c>
      <c r="Y25" t="s">
        <v>3357</v>
      </c>
      <c r="Z25" t="s">
        <v>3346</v>
      </c>
      <c r="AA25" t="s">
        <v>3347</v>
      </c>
      <c r="AB25" t="s">
        <v>3348</v>
      </c>
      <c r="AC25" t="s">
        <v>3352</v>
      </c>
      <c r="AD25" t="str">
        <f t="shared" si="2"/>
        <v>COPC</v>
      </c>
      <c r="AE25" t="s">
        <v>6557</v>
      </c>
      <c r="AF25" t="s">
        <v>6347</v>
      </c>
    </row>
    <row r="26" spans="1:32" x14ac:dyDescent="0.3">
      <c r="A26" t="str">
        <f t="shared" si="0"/>
        <v>Magik Grey</v>
      </c>
      <c r="B26">
        <v>402</v>
      </c>
      <c r="C26" t="s">
        <v>6277</v>
      </c>
      <c r="D26" t="s">
        <v>6341</v>
      </c>
      <c r="E26" t="s">
        <v>6340</v>
      </c>
      <c r="F26" t="s">
        <v>6274</v>
      </c>
      <c r="G26" t="s">
        <v>6273</v>
      </c>
      <c r="H26">
        <v>7.3</v>
      </c>
      <c r="I26" t="s">
        <v>6344</v>
      </c>
      <c r="J26">
        <v>33</v>
      </c>
      <c r="K26" t="s">
        <v>326</v>
      </c>
      <c r="L26" t="s">
        <v>5697</v>
      </c>
      <c r="M26">
        <v>1005.83</v>
      </c>
      <c r="N26" t="s">
        <v>6343</v>
      </c>
      <c r="O26" t="s">
        <v>6342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5687</v>
      </c>
      <c r="X26">
        <v>0</v>
      </c>
      <c r="Y26" t="s">
        <v>3357</v>
      </c>
      <c r="Z26" t="s">
        <v>3346</v>
      </c>
      <c r="AA26" t="s">
        <v>3347</v>
      </c>
      <c r="AB26" t="s">
        <v>3348</v>
      </c>
      <c r="AC26" t="s">
        <v>3352</v>
      </c>
      <c r="AD26" t="str">
        <f t="shared" si="2"/>
        <v>COPC</v>
      </c>
      <c r="AE26" t="s">
        <v>6557</v>
      </c>
      <c r="AF26" t="s">
        <v>6344</v>
      </c>
    </row>
    <row r="27" spans="1:32" x14ac:dyDescent="0.3">
      <c r="A27" t="str">
        <f t="shared" si="0"/>
        <v>Chase Pitkin</v>
      </c>
      <c r="B27">
        <v>402</v>
      </c>
      <c r="C27" t="s">
        <v>6277</v>
      </c>
      <c r="D27" t="s">
        <v>6341</v>
      </c>
      <c r="E27" t="s">
        <v>6340</v>
      </c>
      <c r="F27" t="s">
        <v>6339</v>
      </c>
      <c r="G27" t="s">
        <v>6338</v>
      </c>
      <c r="H27">
        <v>8.1</v>
      </c>
      <c r="I27" t="s">
        <v>6337</v>
      </c>
      <c r="J27">
        <v>15.129</v>
      </c>
      <c r="K27" t="s">
        <v>326</v>
      </c>
      <c r="L27" t="s">
        <v>5697</v>
      </c>
      <c r="M27">
        <v>457.20299999999997</v>
      </c>
      <c r="N27" t="s">
        <v>6336</v>
      </c>
      <c r="O27" t="s">
        <v>6335</v>
      </c>
      <c r="P27" t="s">
        <v>3653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3135</v>
      </c>
      <c r="W27" t="s">
        <v>326</v>
      </c>
      <c r="X27">
        <v>1</v>
      </c>
      <c r="Y27" t="s">
        <v>4156</v>
      </c>
      <c r="Z27" t="s">
        <v>4148</v>
      </c>
      <c r="AA27" t="s">
        <v>48</v>
      </c>
      <c r="AB27" t="s">
        <v>3784</v>
      </c>
      <c r="AC27" t="s">
        <v>4152</v>
      </c>
      <c r="AD27" t="str">
        <f t="shared" si="2"/>
        <v>HUBC</v>
      </c>
      <c r="AE27" t="s">
        <v>6553</v>
      </c>
      <c r="AF27" t="s">
        <v>6337</v>
      </c>
    </row>
    <row r="28" spans="1:32" x14ac:dyDescent="0.3">
      <c r="A28" t="str">
        <f t="shared" si="0"/>
        <v>Henry's Hamburgers</v>
      </c>
      <c r="B28">
        <v>402</v>
      </c>
      <c r="C28" t="s">
        <v>6277</v>
      </c>
      <c r="D28" t="s">
        <v>6311</v>
      </c>
      <c r="E28" t="s">
        <v>6310</v>
      </c>
      <c r="F28">
        <v>11.1</v>
      </c>
      <c r="G28" t="s">
        <v>6334</v>
      </c>
      <c r="H28">
        <v>11.1</v>
      </c>
      <c r="I28" t="s">
        <v>6333</v>
      </c>
      <c r="J28">
        <v>12.016</v>
      </c>
      <c r="K28" t="s">
        <v>326</v>
      </c>
      <c r="L28" t="s">
        <v>5697</v>
      </c>
      <c r="M28">
        <v>389.48</v>
      </c>
      <c r="N28" t="s">
        <v>6332</v>
      </c>
      <c r="O28" t="s">
        <v>5790</v>
      </c>
      <c r="P28" t="s">
        <v>3653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3135</v>
      </c>
      <c r="W28" t="s">
        <v>326</v>
      </c>
      <c r="X28">
        <v>1</v>
      </c>
      <c r="Y28" t="s">
        <v>3166</v>
      </c>
      <c r="Z28" t="s">
        <v>3156</v>
      </c>
      <c r="AA28" t="s">
        <v>19</v>
      </c>
      <c r="AB28" t="s">
        <v>41</v>
      </c>
      <c r="AC28" t="s">
        <v>3160</v>
      </c>
      <c r="AD28" t="str">
        <f t="shared" si="2"/>
        <v>ASPL</v>
      </c>
      <c r="AE28" t="s">
        <v>6558</v>
      </c>
      <c r="AF28" t="s">
        <v>6333</v>
      </c>
    </row>
    <row r="29" spans="1:32" x14ac:dyDescent="0.3">
      <c r="A29" t="str">
        <f t="shared" si="0"/>
        <v>Childrens Bargain Town</v>
      </c>
      <c r="B29">
        <v>402</v>
      </c>
      <c r="C29" t="s">
        <v>6277</v>
      </c>
      <c r="D29" t="s">
        <v>6311</v>
      </c>
      <c r="E29" t="s">
        <v>6310</v>
      </c>
      <c r="F29">
        <v>15.6</v>
      </c>
      <c r="G29" t="s">
        <v>6331</v>
      </c>
      <c r="H29">
        <v>15.6</v>
      </c>
      <c r="I29" t="s">
        <v>6330</v>
      </c>
      <c r="J29">
        <v>22</v>
      </c>
      <c r="K29" t="s">
        <v>326</v>
      </c>
      <c r="L29" t="s">
        <v>5697</v>
      </c>
      <c r="M29">
        <v>706.08</v>
      </c>
      <c r="N29" t="s">
        <v>6329</v>
      </c>
      <c r="O29" t="s">
        <v>6328</v>
      </c>
      <c r="P29" t="s">
        <v>3653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3135</v>
      </c>
      <c r="W29" t="s">
        <v>326</v>
      </c>
      <c r="X29">
        <v>1</v>
      </c>
      <c r="Y29" t="s">
        <v>4732</v>
      </c>
      <c r="Z29" t="s">
        <v>4721</v>
      </c>
      <c r="AA29" t="s">
        <v>4722</v>
      </c>
      <c r="AB29" t="s">
        <v>4723</v>
      </c>
      <c r="AC29" t="s">
        <v>4727</v>
      </c>
      <c r="AD29" t="str">
        <f t="shared" si="2"/>
        <v>TBCH</v>
      </c>
      <c r="AE29" t="s">
        <v>6559</v>
      </c>
      <c r="AF29" t="s">
        <v>6330</v>
      </c>
    </row>
    <row r="30" spans="1:32" x14ac:dyDescent="0.3">
      <c r="A30" t="str">
        <f t="shared" si="0"/>
        <v>Strategy Consulting</v>
      </c>
      <c r="B30">
        <v>402</v>
      </c>
      <c r="C30" t="s">
        <v>6277</v>
      </c>
      <c r="D30" t="s">
        <v>6311</v>
      </c>
      <c r="E30" t="s">
        <v>6310</v>
      </c>
      <c r="F30">
        <v>16.100000000000001</v>
      </c>
      <c r="G30" t="s">
        <v>5805</v>
      </c>
      <c r="H30">
        <v>16.100000000000001</v>
      </c>
      <c r="I30" t="s">
        <v>6327</v>
      </c>
      <c r="J30">
        <v>31</v>
      </c>
      <c r="K30" t="s">
        <v>326</v>
      </c>
      <c r="L30" t="s">
        <v>5697</v>
      </c>
      <c r="M30">
        <v>1878.3330000000001</v>
      </c>
      <c r="N30" t="s">
        <v>6326</v>
      </c>
      <c r="O30" t="s">
        <v>6284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3135</v>
      </c>
      <c r="W30" t="s">
        <v>326</v>
      </c>
      <c r="X30">
        <v>1</v>
      </c>
      <c r="Y30" t="s">
        <v>4821</v>
      </c>
      <c r="Z30" t="s">
        <v>4813</v>
      </c>
      <c r="AA30" t="s">
        <v>4557</v>
      </c>
      <c r="AB30" t="s">
        <v>4814</v>
      </c>
      <c r="AC30" t="s">
        <v>4818</v>
      </c>
      <c r="AD30" t="str">
        <f t="shared" si="2"/>
        <v>ACKE</v>
      </c>
      <c r="AE30" t="s">
        <v>6560</v>
      </c>
      <c r="AF30" t="s">
        <v>6327</v>
      </c>
    </row>
    <row r="31" spans="1:32" x14ac:dyDescent="0.3">
      <c r="A31" t="str">
        <f t="shared" si="0"/>
        <v>Price Savers</v>
      </c>
      <c r="B31">
        <v>402</v>
      </c>
      <c r="C31" t="s">
        <v>6277</v>
      </c>
      <c r="D31" t="s">
        <v>6311</v>
      </c>
      <c r="E31" t="s">
        <v>6310</v>
      </c>
      <c r="F31">
        <v>16.100000000000001</v>
      </c>
      <c r="G31" t="s">
        <v>5805</v>
      </c>
      <c r="H31">
        <v>16.100000000000001</v>
      </c>
      <c r="I31" t="s">
        <v>6325</v>
      </c>
      <c r="J31">
        <v>35</v>
      </c>
      <c r="K31" t="s">
        <v>326</v>
      </c>
      <c r="L31" t="s">
        <v>5697</v>
      </c>
      <c r="M31">
        <v>2142</v>
      </c>
      <c r="N31" t="s">
        <v>6324</v>
      </c>
      <c r="O31" t="s">
        <v>6284</v>
      </c>
      <c r="P31" t="s">
        <v>3653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3135</v>
      </c>
      <c r="W31" t="s">
        <v>326</v>
      </c>
      <c r="X31">
        <v>1</v>
      </c>
      <c r="Y31" t="s">
        <v>3054</v>
      </c>
      <c r="Z31" t="s">
        <v>3043</v>
      </c>
      <c r="AA31" t="s">
        <v>3044</v>
      </c>
      <c r="AB31" t="s">
        <v>3045</v>
      </c>
      <c r="AC31" t="s">
        <v>3049</v>
      </c>
      <c r="AD31" t="str">
        <f t="shared" si="2"/>
        <v>ARNE</v>
      </c>
      <c r="AE31" t="s">
        <v>6561</v>
      </c>
      <c r="AF31" t="s">
        <v>6325</v>
      </c>
    </row>
    <row r="32" spans="1:32" x14ac:dyDescent="0.3">
      <c r="A32" t="str">
        <f t="shared" si="0"/>
        <v>Grass Roots Yard Services</v>
      </c>
      <c r="B32">
        <v>402</v>
      </c>
      <c r="C32" t="s">
        <v>6277</v>
      </c>
      <c r="D32" t="s">
        <v>6311</v>
      </c>
      <c r="E32" t="s">
        <v>6310</v>
      </c>
      <c r="F32">
        <v>16.100000000000001</v>
      </c>
      <c r="G32" t="s">
        <v>5805</v>
      </c>
      <c r="H32">
        <v>16.100000000000001</v>
      </c>
      <c r="I32" t="s">
        <v>6323</v>
      </c>
      <c r="J32">
        <v>28</v>
      </c>
      <c r="K32" t="s">
        <v>326</v>
      </c>
      <c r="L32" t="s">
        <v>5697</v>
      </c>
      <c r="M32">
        <v>1686.8330000000001</v>
      </c>
      <c r="N32" t="s">
        <v>6322</v>
      </c>
      <c r="O32" t="s">
        <v>6321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3135</v>
      </c>
      <c r="W32" t="s">
        <v>326</v>
      </c>
      <c r="X32">
        <v>1</v>
      </c>
      <c r="Y32" t="s">
        <v>3323</v>
      </c>
      <c r="Z32" t="s">
        <v>3311</v>
      </c>
      <c r="AA32" t="s">
        <v>3312</v>
      </c>
      <c r="AB32" t="s">
        <v>3313</v>
      </c>
      <c r="AC32" t="s">
        <v>3317</v>
      </c>
      <c r="AD32" t="str">
        <f t="shared" si="2"/>
        <v>CDTR</v>
      </c>
      <c r="AE32" t="s">
        <v>6562</v>
      </c>
      <c r="AF32" t="s">
        <v>6323</v>
      </c>
    </row>
    <row r="33" spans="1:32" x14ac:dyDescent="0.3">
      <c r="A33" t="str">
        <f t="shared" si="0"/>
        <v>Coconut's</v>
      </c>
      <c r="B33">
        <v>402</v>
      </c>
      <c r="C33" t="s">
        <v>6277</v>
      </c>
      <c r="D33" t="s">
        <v>6311</v>
      </c>
      <c r="E33" t="s">
        <v>6310</v>
      </c>
      <c r="F33">
        <v>16.100000000000001</v>
      </c>
      <c r="G33" t="s">
        <v>5805</v>
      </c>
      <c r="H33">
        <v>16.100000000000001</v>
      </c>
      <c r="I33" t="s">
        <v>6320</v>
      </c>
      <c r="J33">
        <v>28</v>
      </c>
      <c r="K33" t="s">
        <v>326</v>
      </c>
      <c r="L33" t="s">
        <v>5697</v>
      </c>
      <c r="M33">
        <v>1690.4169999999999</v>
      </c>
      <c r="N33" t="s">
        <v>6319</v>
      </c>
      <c r="O33" t="s">
        <v>5694</v>
      </c>
      <c r="P33" t="s">
        <v>3653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3135</v>
      </c>
      <c r="W33" t="s">
        <v>326</v>
      </c>
      <c r="X33">
        <v>1</v>
      </c>
      <c r="Y33" t="s">
        <v>3882</v>
      </c>
      <c r="Z33" t="s">
        <v>3874</v>
      </c>
      <c r="AA33" t="s">
        <v>19</v>
      </c>
      <c r="AB33" t="s">
        <v>3843</v>
      </c>
      <c r="AC33" t="s">
        <v>3878</v>
      </c>
      <c r="AD33" t="str">
        <f t="shared" si="2"/>
        <v>HAYL</v>
      </c>
      <c r="AE33" t="s">
        <v>6563</v>
      </c>
      <c r="AF33" t="s">
        <v>6320</v>
      </c>
    </row>
    <row r="34" spans="1:32" x14ac:dyDescent="0.3">
      <c r="A34" t="str">
        <f t="shared" si="0"/>
        <v>Childrens Bargain Town</v>
      </c>
      <c r="B34">
        <v>402</v>
      </c>
      <c r="C34" t="s">
        <v>6277</v>
      </c>
      <c r="D34" t="s">
        <v>6311</v>
      </c>
      <c r="E34" t="s">
        <v>6310</v>
      </c>
      <c r="F34" t="s">
        <v>6316</v>
      </c>
      <c r="G34" t="s">
        <v>6315</v>
      </c>
      <c r="H34">
        <v>7.3</v>
      </c>
      <c r="I34" t="s">
        <v>6318</v>
      </c>
      <c r="J34">
        <v>19.350999999999999</v>
      </c>
      <c r="K34" t="s">
        <v>326</v>
      </c>
      <c r="L34" t="s">
        <v>5697</v>
      </c>
      <c r="M34">
        <v>580.53</v>
      </c>
      <c r="N34" t="s">
        <v>6317</v>
      </c>
      <c r="O34" t="s">
        <v>5737</v>
      </c>
      <c r="P34" t="s">
        <v>3653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3135</v>
      </c>
      <c r="W34" t="s">
        <v>326</v>
      </c>
      <c r="X34">
        <v>1</v>
      </c>
      <c r="Y34" t="s">
        <v>4732</v>
      </c>
      <c r="Z34" t="s">
        <v>4721</v>
      </c>
      <c r="AA34" t="s">
        <v>4722</v>
      </c>
      <c r="AB34" t="s">
        <v>4723</v>
      </c>
      <c r="AC34" t="s">
        <v>4727</v>
      </c>
      <c r="AD34" t="str">
        <f t="shared" si="2"/>
        <v>TBCH</v>
      </c>
      <c r="AE34" t="s">
        <v>6559</v>
      </c>
      <c r="AF34" t="s">
        <v>6318</v>
      </c>
    </row>
    <row r="35" spans="1:32" x14ac:dyDescent="0.3">
      <c r="A35" t="str">
        <f t="shared" si="0"/>
        <v>Childrens Bargain Town</v>
      </c>
      <c r="B35">
        <v>402</v>
      </c>
      <c r="C35" t="s">
        <v>6277</v>
      </c>
      <c r="D35" t="s">
        <v>6311</v>
      </c>
      <c r="E35" t="s">
        <v>6310</v>
      </c>
      <c r="F35" t="s">
        <v>6316</v>
      </c>
      <c r="G35" t="s">
        <v>6315</v>
      </c>
      <c r="H35">
        <v>7.3</v>
      </c>
      <c r="I35" t="s">
        <v>6314</v>
      </c>
      <c r="J35">
        <v>12.007999999999999</v>
      </c>
      <c r="K35" t="s">
        <v>326</v>
      </c>
      <c r="L35" t="s">
        <v>5697</v>
      </c>
      <c r="M35">
        <v>404.57</v>
      </c>
      <c r="N35" t="s">
        <v>5795</v>
      </c>
      <c r="O35" t="s">
        <v>6313</v>
      </c>
      <c r="P35" t="s">
        <v>3653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3135</v>
      </c>
      <c r="W35" t="s">
        <v>326</v>
      </c>
      <c r="X35">
        <v>3</v>
      </c>
      <c r="Y35" t="s">
        <v>4732</v>
      </c>
      <c r="Z35" t="s">
        <v>4721</v>
      </c>
      <c r="AA35" t="s">
        <v>4722</v>
      </c>
      <c r="AB35" t="s">
        <v>4723</v>
      </c>
      <c r="AC35" t="s">
        <v>4727</v>
      </c>
      <c r="AD35" t="str">
        <f t="shared" si="2"/>
        <v>TBCH</v>
      </c>
      <c r="AE35" t="s">
        <v>6559</v>
      </c>
      <c r="AF35" t="s">
        <v>6314</v>
      </c>
    </row>
    <row r="36" spans="1:32" x14ac:dyDescent="0.3">
      <c r="A36" t="str">
        <f t="shared" si="0"/>
        <v>Childrens Bargain Town</v>
      </c>
      <c r="B36">
        <v>402</v>
      </c>
      <c r="C36" t="s">
        <v>6277</v>
      </c>
      <c r="D36" t="s">
        <v>6311</v>
      </c>
      <c r="E36" t="s">
        <v>6310</v>
      </c>
      <c r="F36" t="s">
        <v>6274</v>
      </c>
      <c r="G36" t="s">
        <v>6273</v>
      </c>
      <c r="H36">
        <v>7.3</v>
      </c>
      <c r="I36" t="s">
        <v>6312</v>
      </c>
      <c r="J36">
        <v>19.350999999999999</v>
      </c>
      <c r="K36" t="s">
        <v>326</v>
      </c>
      <c r="L36" t="s">
        <v>5697</v>
      </c>
      <c r="M36">
        <v>608.20000000000005</v>
      </c>
      <c r="N36" t="s">
        <v>6270</v>
      </c>
      <c r="O36" t="s">
        <v>5739</v>
      </c>
      <c r="P36" t="s">
        <v>3653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3135</v>
      </c>
      <c r="W36" t="s">
        <v>326</v>
      </c>
      <c r="X36">
        <v>1</v>
      </c>
      <c r="Y36" t="s">
        <v>4732</v>
      </c>
      <c r="Z36" t="s">
        <v>4721</v>
      </c>
      <c r="AA36" t="s">
        <v>4722</v>
      </c>
      <c r="AB36" t="s">
        <v>4723</v>
      </c>
      <c r="AC36" t="s">
        <v>4727</v>
      </c>
      <c r="AD36" t="str">
        <f t="shared" si="2"/>
        <v>TBCH</v>
      </c>
      <c r="AE36" t="s">
        <v>6559</v>
      </c>
      <c r="AF36" t="s">
        <v>6312</v>
      </c>
    </row>
    <row r="37" spans="1:32" x14ac:dyDescent="0.3">
      <c r="A37" t="str">
        <f t="shared" si="0"/>
        <v>Childrens Bargain Town</v>
      </c>
      <c r="B37">
        <v>402</v>
      </c>
      <c r="C37" t="s">
        <v>6277</v>
      </c>
      <c r="D37" t="s">
        <v>6311</v>
      </c>
      <c r="E37" t="s">
        <v>6310</v>
      </c>
      <c r="F37" t="s">
        <v>6309</v>
      </c>
      <c r="G37" t="s">
        <v>6308</v>
      </c>
      <c r="H37">
        <v>7.3</v>
      </c>
      <c r="I37" t="s">
        <v>6307</v>
      </c>
      <c r="J37">
        <v>7.1529999999999996</v>
      </c>
      <c r="K37" t="s">
        <v>326</v>
      </c>
      <c r="L37" t="s">
        <v>6306</v>
      </c>
      <c r="M37">
        <v>253.42</v>
      </c>
      <c r="N37" t="s">
        <v>5776</v>
      </c>
      <c r="O37" t="s">
        <v>6305</v>
      </c>
      <c r="P37" t="s">
        <v>3653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3135</v>
      </c>
      <c r="W37" t="s">
        <v>326</v>
      </c>
      <c r="X37">
        <v>3</v>
      </c>
      <c r="Y37" t="s">
        <v>4732</v>
      </c>
      <c r="Z37" t="s">
        <v>4721</v>
      </c>
      <c r="AA37" t="s">
        <v>4722</v>
      </c>
      <c r="AB37" t="s">
        <v>4723</v>
      </c>
      <c r="AC37" t="s">
        <v>4727</v>
      </c>
      <c r="AD37" t="str">
        <f>LEFT(I37,FIND(4,I37)-1)</f>
        <v>TBCH</v>
      </c>
      <c r="AE37" t="s">
        <v>6559</v>
      </c>
      <c r="AF37" t="s">
        <v>6307</v>
      </c>
    </row>
    <row r="38" spans="1:32" x14ac:dyDescent="0.3">
      <c r="A38" t="str">
        <f t="shared" si="0"/>
        <v>Muirhead's</v>
      </c>
      <c r="B38">
        <v>402</v>
      </c>
      <c r="C38" t="s">
        <v>6277</v>
      </c>
      <c r="D38" t="s">
        <v>6295</v>
      </c>
      <c r="E38" t="s">
        <v>6294</v>
      </c>
      <c r="F38">
        <v>16.100000000000001</v>
      </c>
      <c r="G38" t="s">
        <v>5805</v>
      </c>
      <c r="H38">
        <v>16.100000000000001</v>
      </c>
      <c r="I38" t="s">
        <v>6304</v>
      </c>
      <c r="J38">
        <v>32</v>
      </c>
      <c r="K38" t="s">
        <v>326</v>
      </c>
      <c r="L38" t="s">
        <v>5697</v>
      </c>
      <c r="M38">
        <v>2010.3330000000001</v>
      </c>
      <c r="N38" t="s">
        <v>6303</v>
      </c>
      <c r="O38" t="s">
        <v>6302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3112</v>
      </c>
      <c r="Z38" t="s">
        <v>3101</v>
      </c>
      <c r="AA38" t="s">
        <v>3102</v>
      </c>
      <c r="AB38" t="s">
        <v>3103</v>
      </c>
      <c r="AC38" t="s">
        <v>3107</v>
      </c>
      <c r="AD38" t="str">
        <f t="shared" si="2"/>
        <v>ALBE</v>
      </c>
      <c r="AE38" t="s">
        <v>6564</v>
      </c>
      <c r="AF38" t="s">
        <v>6304</v>
      </c>
    </row>
    <row r="39" spans="1:32" x14ac:dyDescent="0.3">
      <c r="A39" t="str">
        <f t="shared" si="0"/>
        <v>Circuit Design</v>
      </c>
      <c r="B39">
        <v>402</v>
      </c>
      <c r="C39" t="s">
        <v>6277</v>
      </c>
      <c r="D39" t="s">
        <v>6295</v>
      </c>
      <c r="E39" t="s">
        <v>6294</v>
      </c>
      <c r="F39">
        <v>16.100000000000001</v>
      </c>
      <c r="G39" t="s">
        <v>5805</v>
      </c>
      <c r="H39">
        <v>16.100000000000001</v>
      </c>
      <c r="I39" t="s">
        <v>6301</v>
      </c>
      <c r="J39">
        <v>24</v>
      </c>
      <c r="K39" t="s">
        <v>326</v>
      </c>
      <c r="L39" t="s">
        <v>5697</v>
      </c>
      <c r="M39">
        <v>1509.17</v>
      </c>
      <c r="N39" t="s">
        <v>6300</v>
      </c>
      <c r="O39" t="s">
        <v>5749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3977</v>
      </c>
      <c r="Z39" t="s">
        <v>3967</v>
      </c>
      <c r="AA39" t="s">
        <v>19</v>
      </c>
      <c r="AB39" t="s">
        <v>3968</v>
      </c>
      <c r="AC39" t="s">
        <v>3972</v>
      </c>
      <c r="AD39" t="str">
        <f t="shared" si="2"/>
        <v>BROW</v>
      </c>
      <c r="AE39" t="s">
        <v>6565</v>
      </c>
      <c r="AF39" t="s">
        <v>6301</v>
      </c>
    </row>
    <row r="40" spans="1:32" x14ac:dyDescent="0.3">
      <c r="A40" t="str">
        <f t="shared" si="0"/>
        <v>Road Runner Lawn Services</v>
      </c>
      <c r="B40">
        <v>402</v>
      </c>
      <c r="C40" t="s">
        <v>6277</v>
      </c>
      <c r="D40" t="s">
        <v>6295</v>
      </c>
      <c r="E40" t="s">
        <v>6294</v>
      </c>
      <c r="F40">
        <v>16.100000000000001</v>
      </c>
      <c r="G40" t="s">
        <v>5805</v>
      </c>
      <c r="H40">
        <v>16.100000000000001</v>
      </c>
      <c r="I40" t="s">
        <v>6299</v>
      </c>
      <c r="J40">
        <v>28</v>
      </c>
      <c r="K40" t="s">
        <v>326</v>
      </c>
      <c r="L40" t="s">
        <v>5697</v>
      </c>
      <c r="M40">
        <v>1718</v>
      </c>
      <c r="N40" t="s">
        <v>6298</v>
      </c>
      <c r="O40" t="s">
        <v>6284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3135</v>
      </c>
      <c r="W40" t="s">
        <v>326</v>
      </c>
      <c r="X40">
        <v>1</v>
      </c>
      <c r="Y40" t="s">
        <v>4259</v>
      </c>
      <c r="Z40" t="s">
        <v>4248</v>
      </c>
      <c r="AA40" t="s">
        <v>4249</v>
      </c>
      <c r="AB40" t="s">
        <v>4250</v>
      </c>
      <c r="AC40" t="s">
        <v>4254</v>
      </c>
      <c r="AD40" t="str">
        <f t="shared" si="2"/>
        <v>CISA</v>
      </c>
      <c r="AE40" t="s">
        <v>6566</v>
      </c>
      <c r="AF40" t="s">
        <v>6299</v>
      </c>
    </row>
    <row r="41" spans="1:32" x14ac:dyDescent="0.3">
      <c r="A41" t="str">
        <f t="shared" si="0"/>
        <v>Lionel Playworld</v>
      </c>
      <c r="B41">
        <v>402</v>
      </c>
      <c r="C41" t="s">
        <v>6277</v>
      </c>
      <c r="D41" t="s">
        <v>6295</v>
      </c>
      <c r="E41" t="s">
        <v>6294</v>
      </c>
      <c r="F41">
        <v>16.100000000000001</v>
      </c>
      <c r="G41" t="s">
        <v>5805</v>
      </c>
      <c r="H41">
        <v>16.100000000000001</v>
      </c>
      <c r="I41" t="s">
        <v>6297</v>
      </c>
      <c r="J41">
        <v>34</v>
      </c>
      <c r="K41" t="s">
        <v>326</v>
      </c>
      <c r="L41" t="s">
        <v>5803</v>
      </c>
      <c r="M41">
        <v>2045.6669999999999</v>
      </c>
      <c r="N41" t="s">
        <v>6296</v>
      </c>
      <c r="O41" t="s">
        <v>5793</v>
      </c>
      <c r="P41" t="s">
        <v>3653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3135</v>
      </c>
      <c r="W41" t="s">
        <v>326</v>
      </c>
      <c r="X41">
        <v>1</v>
      </c>
      <c r="Y41" t="s">
        <v>3486</v>
      </c>
      <c r="Z41" t="s">
        <v>3477</v>
      </c>
      <c r="AA41" t="s">
        <v>3397</v>
      </c>
      <c r="AB41" t="s">
        <v>3398</v>
      </c>
      <c r="AC41" t="s">
        <v>3481</v>
      </c>
      <c r="AD41" t="str">
        <f t="shared" si="2"/>
        <v>DOLA</v>
      </c>
      <c r="AE41" t="s">
        <v>6567</v>
      </c>
      <c r="AF41" t="s">
        <v>6297</v>
      </c>
    </row>
    <row r="42" spans="1:32" x14ac:dyDescent="0.3">
      <c r="A42" t="str">
        <f t="shared" si="0"/>
        <v>Road Runner Lawn Services</v>
      </c>
      <c r="B42">
        <v>402</v>
      </c>
      <c r="C42" t="s">
        <v>6277</v>
      </c>
      <c r="D42" t="s">
        <v>6295</v>
      </c>
      <c r="E42" t="s">
        <v>6294</v>
      </c>
      <c r="F42" t="s">
        <v>6293</v>
      </c>
      <c r="G42" t="s">
        <v>6292</v>
      </c>
      <c r="H42">
        <v>7.2</v>
      </c>
      <c r="I42" t="s">
        <v>6291</v>
      </c>
      <c r="J42">
        <v>8.1039999999999992</v>
      </c>
      <c r="K42" t="s">
        <v>326</v>
      </c>
      <c r="L42" t="s">
        <v>6290</v>
      </c>
      <c r="M42">
        <v>287.12</v>
      </c>
      <c r="N42" t="s">
        <v>6289</v>
      </c>
      <c r="O42" t="s">
        <v>6288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3135</v>
      </c>
      <c r="W42" t="s">
        <v>326</v>
      </c>
      <c r="X42">
        <v>1</v>
      </c>
      <c r="Y42" t="s">
        <v>4259</v>
      </c>
      <c r="Z42" t="s">
        <v>4248</v>
      </c>
      <c r="AA42" t="s">
        <v>4249</v>
      </c>
      <c r="AB42" t="s">
        <v>4250</v>
      </c>
      <c r="AC42" t="s">
        <v>4254</v>
      </c>
      <c r="AD42" t="str">
        <f>LEFT(I42,FIND(4,I42)-1)</f>
        <v>CISA</v>
      </c>
      <c r="AE42" t="s">
        <v>6566</v>
      </c>
      <c r="AF42" t="s">
        <v>6291</v>
      </c>
    </row>
    <row r="43" spans="1:32" x14ac:dyDescent="0.3">
      <c r="A43" t="str">
        <f t="shared" si="0"/>
        <v>ManCharm</v>
      </c>
      <c r="B43">
        <v>402</v>
      </c>
      <c r="C43" t="s">
        <v>6277</v>
      </c>
      <c r="D43" t="s">
        <v>6287</v>
      </c>
      <c r="E43" t="s">
        <v>6286</v>
      </c>
      <c r="F43">
        <v>16.100000000000001</v>
      </c>
      <c r="G43" t="s">
        <v>5805</v>
      </c>
      <c r="H43">
        <v>16.100000000000001</v>
      </c>
      <c r="I43" t="s">
        <v>6285</v>
      </c>
      <c r="J43">
        <v>23</v>
      </c>
      <c r="K43" t="s">
        <v>326</v>
      </c>
      <c r="L43" t="s">
        <v>5697</v>
      </c>
      <c r="M43">
        <v>1382.5</v>
      </c>
      <c r="N43" t="s">
        <v>5730</v>
      </c>
      <c r="O43" t="s">
        <v>6284</v>
      </c>
      <c r="P43" t="s">
        <v>3653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3135</v>
      </c>
      <c r="W43" t="s">
        <v>326</v>
      </c>
      <c r="X43">
        <v>2</v>
      </c>
      <c r="Y43" t="s">
        <v>3729</v>
      </c>
      <c r="Z43" t="s">
        <v>3719</v>
      </c>
      <c r="AA43" t="s">
        <v>3720</v>
      </c>
      <c r="AB43" t="s">
        <v>3721</v>
      </c>
      <c r="AC43" t="s">
        <v>3725</v>
      </c>
      <c r="AD43" t="str">
        <f t="shared" si="2"/>
        <v>GIBS</v>
      </c>
      <c r="AE43" t="s">
        <v>6568</v>
      </c>
      <c r="AF43" t="s">
        <v>6285</v>
      </c>
    </row>
    <row r="44" spans="1:32" x14ac:dyDescent="0.3">
      <c r="A44" t="str">
        <f t="shared" si="0"/>
        <v>J. Brannam</v>
      </c>
      <c r="B44">
        <v>402</v>
      </c>
      <c r="C44" t="s">
        <v>6277</v>
      </c>
      <c r="D44" t="s">
        <v>6276</v>
      </c>
      <c r="E44" t="s">
        <v>6275</v>
      </c>
      <c r="F44">
        <v>16.100000000000001</v>
      </c>
      <c r="G44" t="s">
        <v>5805</v>
      </c>
      <c r="H44">
        <v>16.100000000000001</v>
      </c>
      <c r="I44" t="s">
        <v>6283</v>
      </c>
      <c r="J44">
        <v>1.51</v>
      </c>
      <c r="K44" t="s">
        <v>326</v>
      </c>
      <c r="L44" t="s">
        <v>6282</v>
      </c>
      <c r="M44">
        <v>110.1</v>
      </c>
      <c r="N44" t="s">
        <v>5735</v>
      </c>
      <c r="O44" t="s">
        <v>5732</v>
      </c>
      <c r="P44" t="s">
        <v>3653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3135</v>
      </c>
      <c r="W44" t="s">
        <v>326</v>
      </c>
      <c r="X44">
        <v>1</v>
      </c>
      <c r="Y44" t="s">
        <v>3535</v>
      </c>
      <c r="Z44" t="s">
        <v>3526</v>
      </c>
      <c r="AA44" t="s">
        <v>19</v>
      </c>
      <c r="AB44" t="s">
        <v>3511</v>
      </c>
      <c r="AC44" t="s">
        <v>3530</v>
      </c>
      <c r="AD44" t="str">
        <f>LEFT(I44,FIND(4,I44)-1)</f>
        <v>DJL</v>
      </c>
      <c r="AE44" t="s">
        <v>6569</v>
      </c>
      <c r="AF44" t="s">
        <v>6283</v>
      </c>
    </row>
    <row r="45" spans="1:32" x14ac:dyDescent="0.3">
      <c r="A45" t="str">
        <f t="shared" si="0"/>
        <v>Rossi Auto Parts</v>
      </c>
      <c r="B45">
        <v>402</v>
      </c>
      <c r="C45" t="s">
        <v>6277</v>
      </c>
      <c r="D45" t="s">
        <v>6276</v>
      </c>
      <c r="E45" t="s">
        <v>6275</v>
      </c>
      <c r="F45" t="s">
        <v>6281</v>
      </c>
      <c r="G45" t="s">
        <v>6280</v>
      </c>
      <c r="H45">
        <v>16.100000000000001</v>
      </c>
      <c r="I45" t="s">
        <v>6279</v>
      </c>
      <c r="J45">
        <v>2.7749999999999999</v>
      </c>
      <c r="K45" t="s">
        <v>326</v>
      </c>
      <c r="L45" t="s">
        <v>6278</v>
      </c>
      <c r="M45">
        <v>171.833</v>
      </c>
      <c r="N45" t="s">
        <v>5702</v>
      </c>
      <c r="O45" t="s">
        <v>5694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5687</v>
      </c>
      <c r="X45">
        <v>0</v>
      </c>
      <c r="Y45" t="s">
        <v>3777</v>
      </c>
      <c r="Z45" t="s">
        <v>3766</v>
      </c>
      <c r="AA45" t="s">
        <v>3767</v>
      </c>
      <c r="AB45" t="s">
        <v>3768</v>
      </c>
      <c r="AC45" t="s">
        <v>3772</v>
      </c>
      <c r="AD45" t="str">
        <f>LEFT(I45,FIND(4,I45)-1)</f>
        <v>GIEL</v>
      </c>
      <c r="AE45" t="s">
        <v>6570</v>
      </c>
      <c r="AF45" t="s">
        <v>6279</v>
      </c>
    </row>
    <row r="46" spans="1:32" x14ac:dyDescent="0.3">
      <c r="A46" t="str">
        <f t="shared" si="0"/>
        <v>Rossi Auto Parts</v>
      </c>
      <c r="B46">
        <v>402</v>
      </c>
      <c r="C46" t="s">
        <v>6277</v>
      </c>
      <c r="D46" t="s">
        <v>6276</v>
      </c>
      <c r="E46" t="s">
        <v>6275</v>
      </c>
      <c r="F46" t="s">
        <v>6274</v>
      </c>
      <c r="G46" t="s">
        <v>6273</v>
      </c>
      <c r="H46">
        <v>7.3</v>
      </c>
      <c r="I46" t="s">
        <v>6272</v>
      </c>
      <c r="J46">
        <v>2.778</v>
      </c>
      <c r="K46" t="s">
        <v>326</v>
      </c>
      <c r="L46" t="s">
        <v>6271</v>
      </c>
      <c r="M46">
        <v>89.67</v>
      </c>
      <c r="N46" t="s">
        <v>6270</v>
      </c>
      <c r="O46" t="s">
        <v>6269</v>
      </c>
      <c r="P46" t="s">
        <v>3653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3135</v>
      </c>
      <c r="W46" t="s">
        <v>326</v>
      </c>
      <c r="X46">
        <v>1</v>
      </c>
      <c r="Y46" t="s">
        <v>3777</v>
      </c>
      <c r="Z46" t="s">
        <v>3766</v>
      </c>
      <c r="AA46" t="s">
        <v>3767</v>
      </c>
      <c r="AB46" t="s">
        <v>3768</v>
      </c>
      <c r="AC46" t="s">
        <v>3772</v>
      </c>
      <c r="AD46" t="str">
        <f>LEFT(I46,FIND(4,I46)-1)</f>
        <v>GIEL</v>
      </c>
      <c r="AE46" t="s">
        <v>6570</v>
      </c>
      <c r="AF46" t="s">
        <v>6272</v>
      </c>
    </row>
    <row r="47" spans="1:32" x14ac:dyDescent="0.3">
      <c r="A47" t="str">
        <f t="shared" si="0"/>
        <v>Happy Family</v>
      </c>
      <c r="B47">
        <v>403</v>
      </c>
      <c r="C47" t="s">
        <v>6210</v>
      </c>
      <c r="D47" t="s">
        <v>6245</v>
      </c>
      <c r="E47" t="s">
        <v>6244</v>
      </c>
      <c r="F47" t="s">
        <v>5698</v>
      </c>
      <c r="G47" t="s">
        <v>6207</v>
      </c>
      <c r="H47">
        <v>7.3</v>
      </c>
      <c r="I47" t="s">
        <v>6268</v>
      </c>
      <c r="J47">
        <v>16.027000000000001</v>
      </c>
      <c r="K47" t="s">
        <v>326</v>
      </c>
      <c r="L47" t="s">
        <v>5697</v>
      </c>
      <c r="M47">
        <v>480.81</v>
      </c>
      <c r="N47" t="s">
        <v>5742</v>
      </c>
      <c r="O47" t="s">
        <v>6267</v>
      </c>
      <c r="P47" t="s">
        <v>3653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3135</v>
      </c>
      <c r="W47" t="s">
        <v>326</v>
      </c>
      <c r="X47">
        <v>1</v>
      </c>
      <c r="Y47" t="s">
        <v>3552</v>
      </c>
      <c r="Z47" t="s">
        <v>3542</v>
      </c>
      <c r="AA47" t="s">
        <v>15</v>
      </c>
      <c r="AB47" t="s">
        <v>3543</v>
      </c>
      <c r="AC47" t="s">
        <v>3547</v>
      </c>
      <c r="AD47" t="str">
        <f>LEFT(I47,FIND(1,I47)-1)</f>
        <v>DIG</v>
      </c>
      <c r="AE47" t="s">
        <v>6571</v>
      </c>
      <c r="AF47" t="s">
        <v>6268</v>
      </c>
    </row>
    <row r="48" spans="1:32" x14ac:dyDescent="0.3">
      <c r="A48" t="str">
        <f t="shared" si="0"/>
        <v>Lindsley's Lumber</v>
      </c>
      <c r="B48">
        <v>403</v>
      </c>
      <c r="C48" t="s">
        <v>6210</v>
      </c>
      <c r="D48" t="s">
        <v>6245</v>
      </c>
      <c r="E48" t="s">
        <v>6244</v>
      </c>
      <c r="F48" t="s">
        <v>5698</v>
      </c>
      <c r="G48" t="s">
        <v>6207</v>
      </c>
      <c r="H48">
        <v>7.3</v>
      </c>
      <c r="I48" t="s">
        <v>6266</v>
      </c>
      <c r="J48">
        <v>33</v>
      </c>
      <c r="K48" t="s">
        <v>326</v>
      </c>
      <c r="L48" t="s">
        <v>5697</v>
      </c>
      <c r="M48">
        <v>1024.8330000000001</v>
      </c>
      <c r="N48" t="s">
        <v>5727</v>
      </c>
      <c r="O48" t="s">
        <v>6265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3135</v>
      </c>
      <c r="W48" t="s">
        <v>326</v>
      </c>
      <c r="X48">
        <v>1</v>
      </c>
      <c r="Y48" t="s">
        <v>3947</v>
      </c>
      <c r="Z48" t="s">
        <v>3937</v>
      </c>
      <c r="AA48" t="s">
        <v>2</v>
      </c>
      <c r="AB48" t="s">
        <v>3938</v>
      </c>
      <c r="AC48" t="s">
        <v>3942</v>
      </c>
      <c r="AD48" t="str">
        <f>LEFT(I48,FIND(1,I48)-1)</f>
        <v>EDG</v>
      </c>
      <c r="AE48" t="s">
        <v>6572</v>
      </c>
      <c r="AF48" t="s">
        <v>6266</v>
      </c>
    </row>
    <row r="49" spans="1:32" x14ac:dyDescent="0.3">
      <c r="A49" t="str">
        <f t="shared" si="0"/>
        <v>Happy Family</v>
      </c>
      <c r="B49">
        <v>403</v>
      </c>
      <c r="C49" t="s">
        <v>6210</v>
      </c>
      <c r="D49" t="s">
        <v>6245</v>
      </c>
      <c r="E49" t="s">
        <v>6244</v>
      </c>
      <c r="F49" t="s">
        <v>5707</v>
      </c>
      <c r="G49" t="s">
        <v>6259</v>
      </c>
      <c r="H49">
        <v>7.3</v>
      </c>
      <c r="I49" t="s">
        <v>6264</v>
      </c>
      <c r="J49">
        <v>30</v>
      </c>
      <c r="K49" t="s">
        <v>326</v>
      </c>
      <c r="L49" t="s">
        <v>5697</v>
      </c>
      <c r="M49">
        <v>910.91700000000003</v>
      </c>
      <c r="N49" t="s">
        <v>6263</v>
      </c>
      <c r="O49" t="s">
        <v>6262</v>
      </c>
      <c r="P49" t="s">
        <v>3653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3135</v>
      </c>
      <c r="W49" t="s">
        <v>326</v>
      </c>
      <c r="X49">
        <v>1</v>
      </c>
      <c r="Y49" t="s">
        <v>3552</v>
      </c>
      <c r="Z49" t="s">
        <v>3542</v>
      </c>
      <c r="AA49" t="s">
        <v>15</v>
      </c>
      <c r="AB49" t="s">
        <v>3543</v>
      </c>
      <c r="AC49" t="s">
        <v>3547</v>
      </c>
      <c r="AD49" t="str">
        <f>LEFT(I49,FIND(1,I49)-1)</f>
        <v>DIG</v>
      </c>
      <c r="AE49" t="s">
        <v>6571</v>
      </c>
      <c r="AF49" t="s">
        <v>6264</v>
      </c>
    </row>
    <row r="50" spans="1:32" x14ac:dyDescent="0.3">
      <c r="A50" t="str">
        <f t="shared" si="0"/>
        <v>Lindsley's Lumber</v>
      </c>
      <c r="B50">
        <v>403</v>
      </c>
      <c r="C50" t="s">
        <v>6210</v>
      </c>
      <c r="D50" t="s">
        <v>6245</v>
      </c>
      <c r="E50" t="s">
        <v>6244</v>
      </c>
      <c r="F50" t="s">
        <v>5707</v>
      </c>
      <c r="G50" t="s">
        <v>6259</v>
      </c>
      <c r="H50">
        <v>7.3</v>
      </c>
      <c r="I50" t="s">
        <v>6261</v>
      </c>
      <c r="J50">
        <v>10.679</v>
      </c>
      <c r="K50" t="s">
        <v>326</v>
      </c>
      <c r="L50" t="s">
        <v>6260</v>
      </c>
      <c r="M50">
        <v>325.70299999999997</v>
      </c>
      <c r="N50" t="s">
        <v>5742</v>
      </c>
      <c r="O50" t="s">
        <v>5804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3135</v>
      </c>
      <c r="W50" t="s">
        <v>326</v>
      </c>
      <c r="X50">
        <v>1</v>
      </c>
      <c r="Y50" t="s">
        <v>3947</v>
      </c>
      <c r="Z50" t="s">
        <v>3937</v>
      </c>
      <c r="AA50" t="s">
        <v>2</v>
      </c>
      <c r="AB50" t="s">
        <v>3938</v>
      </c>
      <c r="AC50" t="s">
        <v>3942</v>
      </c>
      <c r="AD50" t="str">
        <f>LEFT(I50,FIND(1,I50)-1)</f>
        <v>EDG</v>
      </c>
      <c r="AE50" t="s">
        <v>6572</v>
      </c>
      <c r="AF50" t="s">
        <v>6261</v>
      </c>
    </row>
    <row r="51" spans="1:32" x14ac:dyDescent="0.3">
      <c r="A51" t="str">
        <f t="shared" si="0"/>
        <v>Indiewealth</v>
      </c>
      <c r="B51">
        <v>403</v>
      </c>
      <c r="C51" t="s">
        <v>6210</v>
      </c>
      <c r="D51" t="s">
        <v>6245</v>
      </c>
      <c r="E51" t="s">
        <v>6244</v>
      </c>
      <c r="F51" t="s">
        <v>5707</v>
      </c>
      <c r="G51" t="s">
        <v>6259</v>
      </c>
      <c r="H51">
        <v>7.3</v>
      </c>
      <c r="I51" t="s">
        <v>6258</v>
      </c>
      <c r="J51">
        <v>19</v>
      </c>
      <c r="K51" t="s">
        <v>326</v>
      </c>
      <c r="L51" t="s">
        <v>5697</v>
      </c>
      <c r="M51">
        <v>570</v>
      </c>
      <c r="N51" t="s">
        <v>5776</v>
      </c>
      <c r="O51" t="s">
        <v>6200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3135</v>
      </c>
      <c r="W51" t="s">
        <v>326</v>
      </c>
      <c r="X51">
        <v>1</v>
      </c>
      <c r="Y51" t="s">
        <v>3617</v>
      </c>
      <c r="Z51" t="s">
        <v>4177</v>
      </c>
      <c r="AA51" t="s">
        <v>3243</v>
      </c>
      <c r="AB51" t="s">
        <v>3799</v>
      </c>
      <c r="AC51" t="s">
        <v>4181</v>
      </c>
      <c r="AD51" t="str">
        <f>LEFT(I51,FIND(2,I51)-1)</f>
        <v>LEI</v>
      </c>
      <c r="AE51" t="s">
        <v>6573</v>
      </c>
      <c r="AF51" t="s">
        <v>6258</v>
      </c>
    </row>
    <row r="52" spans="1:32" x14ac:dyDescent="0.3">
      <c r="A52" t="str">
        <f t="shared" si="0"/>
        <v>Lindsley's Lumber</v>
      </c>
      <c r="B52">
        <v>403</v>
      </c>
      <c r="C52" t="s">
        <v>6210</v>
      </c>
      <c r="D52" t="s">
        <v>6245</v>
      </c>
      <c r="E52" t="s">
        <v>6244</v>
      </c>
      <c r="F52" t="s">
        <v>5725</v>
      </c>
      <c r="G52" t="s">
        <v>6257</v>
      </c>
      <c r="H52">
        <v>7.1</v>
      </c>
      <c r="I52" t="s">
        <v>6256</v>
      </c>
      <c r="J52">
        <v>4.1399999999999997</v>
      </c>
      <c r="K52" t="s">
        <v>326</v>
      </c>
      <c r="L52" t="s">
        <v>5766</v>
      </c>
      <c r="M52">
        <v>124.2</v>
      </c>
      <c r="N52" t="s">
        <v>6003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3135</v>
      </c>
      <c r="W52" t="s">
        <v>326</v>
      </c>
      <c r="X52">
        <v>1</v>
      </c>
      <c r="Y52" t="s">
        <v>3947</v>
      </c>
      <c r="Z52" t="s">
        <v>3937</v>
      </c>
      <c r="AA52" t="s">
        <v>2</v>
      </c>
      <c r="AB52" t="s">
        <v>3938</v>
      </c>
      <c r="AC52" t="s">
        <v>3942</v>
      </c>
      <c r="AD52" t="str">
        <f>LEFT(I52,FIND(1,I52)-1)</f>
        <v>EDG</v>
      </c>
      <c r="AE52" t="s">
        <v>6572</v>
      </c>
      <c r="AF52" t="s">
        <v>6256</v>
      </c>
    </row>
    <row r="53" spans="1:32" x14ac:dyDescent="0.3">
      <c r="A53" t="str">
        <f t="shared" si="0"/>
        <v>Weathervane</v>
      </c>
      <c r="B53">
        <v>403</v>
      </c>
      <c r="C53" t="s">
        <v>6210</v>
      </c>
      <c r="D53" t="s">
        <v>6245</v>
      </c>
      <c r="E53" t="s">
        <v>6244</v>
      </c>
      <c r="F53" t="s">
        <v>6255</v>
      </c>
      <c r="G53" t="s">
        <v>6254</v>
      </c>
      <c r="H53">
        <v>13.3</v>
      </c>
      <c r="I53" t="s">
        <v>6253</v>
      </c>
      <c r="J53">
        <v>3.504</v>
      </c>
      <c r="K53" t="s">
        <v>326</v>
      </c>
      <c r="L53" t="s">
        <v>6252</v>
      </c>
      <c r="M53">
        <v>112.53700000000001</v>
      </c>
      <c r="N53" t="s">
        <v>6251</v>
      </c>
      <c r="O53" t="s">
        <v>6250</v>
      </c>
      <c r="P53" t="s">
        <v>3653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3135</v>
      </c>
      <c r="W53" t="s">
        <v>326</v>
      </c>
      <c r="X53">
        <v>3</v>
      </c>
      <c r="Y53" t="s">
        <v>4775</v>
      </c>
      <c r="Z53" t="s">
        <v>4766</v>
      </c>
      <c r="AA53" t="s">
        <v>19</v>
      </c>
      <c r="AB53" t="s">
        <v>41</v>
      </c>
      <c r="AC53" t="s">
        <v>4770</v>
      </c>
      <c r="AD53" t="str">
        <f t="shared" ref="AD53:AD57" si="3">LEFT(I53,FIND(1,I53)-1)</f>
        <v>TAY</v>
      </c>
      <c r="AE53" t="s">
        <v>6574</v>
      </c>
      <c r="AF53" t="s">
        <v>6253</v>
      </c>
    </row>
    <row r="54" spans="1:32" x14ac:dyDescent="0.3">
      <c r="A54" t="str">
        <f t="shared" si="0"/>
        <v>Lindsley's Lumber</v>
      </c>
      <c r="B54">
        <v>403</v>
      </c>
      <c r="C54" t="s">
        <v>6210</v>
      </c>
      <c r="D54" t="s">
        <v>6245</v>
      </c>
      <c r="E54" t="s">
        <v>6244</v>
      </c>
      <c r="F54" t="s">
        <v>5689</v>
      </c>
      <c r="G54" t="s">
        <v>5688</v>
      </c>
      <c r="H54">
        <v>16.100000000000001</v>
      </c>
      <c r="I54" t="s">
        <v>6249</v>
      </c>
      <c r="J54">
        <v>39</v>
      </c>
      <c r="K54" t="s">
        <v>326</v>
      </c>
      <c r="L54" t="s">
        <v>5697</v>
      </c>
      <c r="M54">
        <v>2340</v>
      </c>
      <c r="N54" t="s">
        <v>5736</v>
      </c>
      <c r="O54" t="s">
        <v>5690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3135</v>
      </c>
      <c r="W54" t="s">
        <v>326</v>
      </c>
      <c r="X54">
        <v>1</v>
      </c>
      <c r="Y54" t="s">
        <v>3947</v>
      </c>
      <c r="Z54" t="s">
        <v>3937</v>
      </c>
      <c r="AA54" t="s">
        <v>2</v>
      </c>
      <c r="AB54" t="s">
        <v>3938</v>
      </c>
      <c r="AC54" t="s">
        <v>3942</v>
      </c>
      <c r="AD54" t="str">
        <f t="shared" si="3"/>
        <v>EDG</v>
      </c>
      <c r="AE54" t="s">
        <v>6572</v>
      </c>
      <c r="AF54" t="s">
        <v>6249</v>
      </c>
    </row>
    <row r="55" spans="1:32" x14ac:dyDescent="0.3">
      <c r="A55" t="str">
        <f t="shared" si="0"/>
        <v>Lindsley's Lumber</v>
      </c>
      <c r="B55">
        <v>403</v>
      </c>
      <c r="C55" t="s">
        <v>6210</v>
      </c>
      <c r="D55" t="s">
        <v>6245</v>
      </c>
      <c r="E55" t="s">
        <v>6244</v>
      </c>
      <c r="F55" t="s">
        <v>5689</v>
      </c>
      <c r="G55" t="s">
        <v>5688</v>
      </c>
      <c r="H55">
        <v>16.100000000000001</v>
      </c>
      <c r="I55" t="s">
        <v>6248</v>
      </c>
      <c r="J55">
        <v>23</v>
      </c>
      <c r="K55" t="s">
        <v>326</v>
      </c>
      <c r="L55" t="s">
        <v>5697</v>
      </c>
      <c r="M55">
        <v>1392.5</v>
      </c>
      <c r="N55" t="s">
        <v>6247</v>
      </c>
      <c r="O55" t="s">
        <v>5827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3135</v>
      </c>
      <c r="W55" t="s">
        <v>326</v>
      </c>
      <c r="X55">
        <v>3</v>
      </c>
      <c r="Y55" t="s">
        <v>3947</v>
      </c>
      <c r="Z55" t="s">
        <v>3937</v>
      </c>
      <c r="AA55" t="s">
        <v>2</v>
      </c>
      <c r="AB55" t="s">
        <v>3938</v>
      </c>
      <c r="AC55" t="s">
        <v>3942</v>
      </c>
      <c r="AD55" t="str">
        <f t="shared" si="3"/>
        <v>EDG</v>
      </c>
      <c r="AE55" t="s">
        <v>6572</v>
      </c>
      <c r="AF55" t="s">
        <v>6248</v>
      </c>
    </row>
    <row r="56" spans="1:32" x14ac:dyDescent="0.3">
      <c r="A56" t="str">
        <f t="shared" si="0"/>
        <v>Foot Quarters</v>
      </c>
      <c r="B56">
        <v>403</v>
      </c>
      <c r="C56" t="s">
        <v>6210</v>
      </c>
      <c r="D56" t="s">
        <v>6245</v>
      </c>
      <c r="E56" t="s">
        <v>6244</v>
      </c>
      <c r="F56" t="s">
        <v>5689</v>
      </c>
      <c r="G56" t="s">
        <v>5688</v>
      </c>
      <c r="H56">
        <v>16.100000000000001</v>
      </c>
      <c r="I56" t="s">
        <v>6246</v>
      </c>
      <c r="J56">
        <v>40</v>
      </c>
      <c r="K56" t="s">
        <v>326</v>
      </c>
      <c r="L56" t="s">
        <v>5697</v>
      </c>
      <c r="M56">
        <v>2400</v>
      </c>
      <c r="N56" t="s">
        <v>5736</v>
      </c>
      <c r="O56" t="s">
        <v>5827</v>
      </c>
      <c r="P56" t="s">
        <v>3653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3135</v>
      </c>
      <c r="W56" t="s">
        <v>326</v>
      </c>
      <c r="X56">
        <v>1</v>
      </c>
      <c r="Y56" t="s">
        <v>3852</v>
      </c>
      <c r="Z56" t="s">
        <v>3842</v>
      </c>
      <c r="AA56" t="s">
        <v>19</v>
      </c>
      <c r="AB56" t="s">
        <v>3843</v>
      </c>
      <c r="AC56" t="s">
        <v>3847</v>
      </c>
      <c r="AD56" t="str">
        <f t="shared" si="3"/>
        <v>LEI</v>
      </c>
      <c r="AE56" t="s">
        <v>6573</v>
      </c>
      <c r="AF56" t="s">
        <v>6246</v>
      </c>
    </row>
    <row r="57" spans="1:32" x14ac:dyDescent="0.3">
      <c r="A57" t="str">
        <f t="shared" si="0"/>
        <v>Lindsley's Lumber</v>
      </c>
      <c r="B57">
        <v>403</v>
      </c>
      <c r="C57" t="s">
        <v>6210</v>
      </c>
      <c r="D57" t="s">
        <v>6245</v>
      </c>
      <c r="E57" t="s">
        <v>6244</v>
      </c>
      <c r="F57" t="s">
        <v>6243</v>
      </c>
      <c r="G57" t="s">
        <v>6242</v>
      </c>
      <c r="H57">
        <v>15.4</v>
      </c>
      <c r="I57" t="s">
        <v>6241</v>
      </c>
      <c r="J57">
        <v>31</v>
      </c>
      <c r="K57" t="s">
        <v>326</v>
      </c>
      <c r="L57" t="s">
        <v>5697</v>
      </c>
      <c r="M57">
        <v>933.83</v>
      </c>
      <c r="N57" t="s">
        <v>6240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5687</v>
      </c>
      <c r="X57">
        <v>0</v>
      </c>
      <c r="Y57" t="s">
        <v>3947</v>
      </c>
      <c r="Z57" t="s">
        <v>3937</v>
      </c>
      <c r="AA57" t="s">
        <v>2</v>
      </c>
      <c r="AB57" t="s">
        <v>3938</v>
      </c>
      <c r="AC57" t="s">
        <v>3942</v>
      </c>
      <c r="AD57" t="str">
        <f t="shared" si="3"/>
        <v>EDG</v>
      </c>
      <c r="AE57" t="s">
        <v>6572</v>
      </c>
      <c r="AF57" t="s">
        <v>6241</v>
      </c>
    </row>
    <row r="58" spans="1:32" x14ac:dyDescent="0.3">
      <c r="A58" t="str">
        <f t="shared" si="0"/>
        <v>MegaSolutions</v>
      </c>
      <c r="B58">
        <v>403</v>
      </c>
      <c r="C58" t="s">
        <v>6210</v>
      </c>
      <c r="D58" t="s">
        <v>6231</v>
      </c>
      <c r="E58" t="s">
        <v>6230</v>
      </c>
      <c r="F58" t="s">
        <v>5698</v>
      </c>
      <c r="G58" t="s">
        <v>6207</v>
      </c>
      <c r="H58">
        <v>7.3</v>
      </c>
      <c r="I58" t="s">
        <v>6239</v>
      </c>
      <c r="J58">
        <v>1.2250000000000001</v>
      </c>
      <c r="K58" t="s">
        <v>326</v>
      </c>
      <c r="L58" t="s">
        <v>6233</v>
      </c>
      <c r="M58">
        <v>67.582999999999998</v>
      </c>
      <c r="N58" t="s">
        <v>5742</v>
      </c>
      <c r="O58" t="s">
        <v>5794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3135</v>
      </c>
      <c r="W58" t="s">
        <v>326</v>
      </c>
      <c r="X58">
        <v>3</v>
      </c>
      <c r="Y58" t="s">
        <v>4171</v>
      </c>
      <c r="Z58" t="s">
        <v>4162</v>
      </c>
      <c r="AA58" t="s">
        <v>3261</v>
      </c>
      <c r="AB58" t="s">
        <v>4163</v>
      </c>
      <c r="AC58" t="s">
        <v>4167</v>
      </c>
      <c r="AD58" t="str">
        <f>LEFT(I58,FIND(4,I58)-1)</f>
        <v>LAND</v>
      </c>
      <c r="AE58" t="s">
        <v>6575</v>
      </c>
      <c r="AF58" t="s">
        <v>6239</v>
      </c>
    </row>
    <row r="59" spans="1:32" x14ac:dyDescent="0.3">
      <c r="A59" t="str">
        <f t="shared" si="0"/>
        <v>Hughes Markets</v>
      </c>
      <c r="B59">
        <v>403</v>
      </c>
      <c r="C59" t="s">
        <v>6210</v>
      </c>
      <c r="D59" t="s">
        <v>6231</v>
      </c>
      <c r="E59" t="s">
        <v>6230</v>
      </c>
      <c r="F59" t="s">
        <v>5698</v>
      </c>
      <c r="G59" t="s">
        <v>6207</v>
      </c>
      <c r="H59">
        <v>7.3</v>
      </c>
      <c r="I59" t="s">
        <v>6238</v>
      </c>
      <c r="J59">
        <v>31</v>
      </c>
      <c r="K59" t="s">
        <v>326</v>
      </c>
      <c r="L59" t="s">
        <v>5697</v>
      </c>
      <c r="M59">
        <v>934.33299999999997</v>
      </c>
      <c r="N59" t="s">
        <v>5765</v>
      </c>
      <c r="O59" t="s">
        <v>6237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3135</v>
      </c>
      <c r="W59" t="s">
        <v>326</v>
      </c>
      <c r="X59">
        <v>1</v>
      </c>
      <c r="Y59" t="s">
        <v>4862</v>
      </c>
      <c r="Z59" t="s">
        <v>4854</v>
      </c>
      <c r="AA59" t="s">
        <v>3347</v>
      </c>
      <c r="AB59" t="s">
        <v>3984</v>
      </c>
      <c r="AC59" t="s">
        <v>4858</v>
      </c>
      <c r="AD59" t="str">
        <f>LEFT(I59,FIND(1,I59)-1)</f>
        <v>WAC</v>
      </c>
      <c r="AE59" t="s">
        <v>6576</v>
      </c>
      <c r="AF59" t="s">
        <v>6238</v>
      </c>
    </row>
    <row r="60" spans="1:32" x14ac:dyDescent="0.3">
      <c r="A60" t="str">
        <f t="shared" si="0"/>
        <v>Casual Corner</v>
      </c>
      <c r="B60">
        <v>403</v>
      </c>
      <c r="C60" t="s">
        <v>6210</v>
      </c>
      <c r="D60" t="s">
        <v>6231</v>
      </c>
      <c r="E60" t="s">
        <v>6230</v>
      </c>
      <c r="F60" t="s">
        <v>5689</v>
      </c>
      <c r="G60" t="s">
        <v>5688</v>
      </c>
      <c r="H60">
        <v>16.100000000000001</v>
      </c>
      <c r="I60" t="s">
        <v>6236</v>
      </c>
      <c r="J60">
        <v>1.0680000000000001</v>
      </c>
      <c r="K60" t="s">
        <v>326</v>
      </c>
      <c r="L60" t="s">
        <v>6235</v>
      </c>
      <c r="M60">
        <v>86.58</v>
      </c>
      <c r="N60" t="s">
        <v>5730</v>
      </c>
      <c r="O60" t="s">
        <v>5719</v>
      </c>
      <c r="P60" t="s">
        <v>3653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3135</v>
      </c>
      <c r="W60" t="s">
        <v>326</v>
      </c>
      <c r="X60">
        <v>2</v>
      </c>
      <c r="Y60" t="s">
        <v>3665</v>
      </c>
      <c r="Z60" t="s">
        <v>3655</v>
      </c>
      <c r="AA60" t="s">
        <v>2</v>
      </c>
      <c r="AB60" t="s">
        <v>3656</v>
      </c>
      <c r="AC60" t="s">
        <v>3660</v>
      </c>
      <c r="AD60" t="str">
        <f>LEFT(I60,FIND(4,I60)-1)</f>
        <v>GRD</v>
      </c>
      <c r="AE60" t="s">
        <v>6577</v>
      </c>
      <c r="AF60" t="s">
        <v>6236</v>
      </c>
    </row>
    <row r="61" spans="1:32" x14ac:dyDescent="0.3">
      <c r="A61" t="str">
        <f t="shared" si="0"/>
        <v>MegaSolutions</v>
      </c>
      <c r="B61">
        <v>403</v>
      </c>
      <c r="C61" t="s">
        <v>6210</v>
      </c>
      <c r="D61" t="s">
        <v>6231</v>
      </c>
      <c r="E61" t="s">
        <v>6230</v>
      </c>
      <c r="F61" t="s">
        <v>5689</v>
      </c>
      <c r="G61" t="s">
        <v>5688</v>
      </c>
      <c r="H61">
        <v>16.100000000000001</v>
      </c>
      <c r="I61" t="s">
        <v>6234</v>
      </c>
      <c r="J61">
        <v>1.2250000000000001</v>
      </c>
      <c r="K61" t="s">
        <v>326</v>
      </c>
      <c r="L61" t="s">
        <v>6233</v>
      </c>
      <c r="M61">
        <v>93.832999999999998</v>
      </c>
      <c r="N61" t="s">
        <v>6232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3135</v>
      </c>
      <c r="W61" t="s">
        <v>326</v>
      </c>
      <c r="X61">
        <v>1</v>
      </c>
      <c r="Y61" t="s">
        <v>4171</v>
      </c>
      <c r="Z61" t="s">
        <v>4162</v>
      </c>
      <c r="AA61" t="s">
        <v>3261</v>
      </c>
      <c r="AB61" t="s">
        <v>4163</v>
      </c>
      <c r="AC61" t="s">
        <v>4167</v>
      </c>
      <c r="AD61" t="str">
        <f>LEFT(I61,FIND(4,I61)-1)</f>
        <v>LAND</v>
      </c>
      <c r="AE61" t="s">
        <v>6575</v>
      </c>
      <c r="AF61" t="s">
        <v>6234</v>
      </c>
    </row>
    <row r="62" spans="1:32" x14ac:dyDescent="0.3">
      <c r="A62" t="str">
        <f t="shared" si="0"/>
        <v>J. Brannam</v>
      </c>
      <c r="B62">
        <v>403</v>
      </c>
      <c r="C62" t="s">
        <v>6210</v>
      </c>
      <c r="D62" t="s">
        <v>6231</v>
      </c>
      <c r="E62" t="s">
        <v>6230</v>
      </c>
      <c r="F62" t="s">
        <v>5689</v>
      </c>
      <c r="G62" t="s">
        <v>5688</v>
      </c>
      <c r="H62">
        <v>16.100000000000001</v>
      </c>
      <c r="I62" t="s">
        <v>6229</v>
      </c>
      <c r="J62">
        <v>15.06</v>
      </c>
      <c r="K62" t="s">
        <v>326</v>
      </c>
      <c r="L62" t="s">
        <v>5697</v>
      </c>
      <c r="M62">
        <v>913.43299999999999</v>
      </c>
      <c r="N62" t="s">
        <v>5705</v>
      </c>
      <c r="O62" t="s">
        <v>5704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3135</v>
      </c>
      <c r="W62" t="s">
        <v>326</v>
      </c>
      <c r="X62">
        <v>1</v>
      </c>
      <c r="Y62" t="s">
        <v>3535</v>
      </c>
      <c r="Z62" t="s">
        <v>4660</v>
      </c>
      <c r="AA62" t="s">
        <v>3243</v>
      </c>
      <c r="AB62" t="s">
        <v>4661</v>
      </c>
      <c r="AC62" t="s">
        <v>4665</v>
      </c>
      <c r="AD62" t="str">
        <f t="shared" ref="AD62:AD67" si="4">LEFT(I62,FIND(1,I62)-1)</f>
        <v>SEA</v>
      </c>
      <c r="AE62" t="s">
        <v>6578</v>
      </c>
      <c r="AF62" t="s">
        <v>6229</v>
      </c>
    </row>
    <row r="63" spans="1:32" x14ac:dyDescent="0.3">
      <c r="A63" t="str">
        <f t="shared" si="0"/>
        <v>Desmonds Formal Wear</v>
      </c>
      <c r="B63">
        <v>403</v>
      </c>
      <c r="C63" t="s">
        <v>6210</v>
      </c>
      <c r="D63" t="s">
        <v>6215</v>
      </c>
      <c r="E63" t="s">
        <v>6214</v>
      </c>
      <c r="F63" t="s">
        <v>5699</v>
      </c>
      <c r="G63" t="s">
        <v>6222</v>
      </c>
      <c r="H63">
        <v>7.3</v>
      </c>
      <c r="I63" t="s">
        <v>6228</v>
      </c>
      <c r="J63">
        <v>15.427</v>
      </c>
      <c r="K63" t="s">
        <v>326</v>
      </c>
      <c r="L63" t="s">
        <v>5697</v>
      </c>
      <c r="M63">
        <v>462.81</v>
      </c>
      <c r="N63" t="s">
        <v>6227</v>
      </c>
      <c r="O63" t="s">
        <v>6226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3135</v>
      </c>
      <c r="W63" t="s">
        <v>326</v>
      </c>
      <c r="X63">
        <v>1</v>
      </c>
      <c r="Y63" t="s">
        <v>4399</v>
      </c>
      <c r="Z63" t="s">
        <v>4389</v>
      </c>
      <c r="AA63" t="s">
        <v>3295</v>
      </c>
      <c r="AB63" t="s">
        <v>4390</v>
      </c>
      <c r="AC63" t="s">
        <v>4394</v>
      </c>
      <c r="AD63" t="str">
        <f t="shared" si="4"/>
        <v>POR</v>
      </c>
      <c r="AE63" t="s">
        <v>6579</v>
      </c>
      <c r="AF63" t="s">
        <v>6228</v>
      </c>
    </row>
    <row r="64" spans="1:32" x14ac:dyDescent="0.3">
      <c r="A64" t="str">
        <f t="shared" si="0"/>
        <v>Desmonds Formal Wear</v>
      </c>
      <c r="B64">
        <v>403</v>
      </c>
      <c r="C64" t="s">
        <v>6210</v>
      </c>
      <c r="D64" t="s">
        <v>6215</v>
      </c>
      <c r="E64" t="s">
        <v>6214</v>
      </c>
      <c r="F64" t="s">
        <v>5699</v>
      </c>
      <c r="G64" t="s">
        <v>6222</v>
      </c>
      <c r="H64">
        <v>7.3</v>
      </c>
      <c r="I64" t="s">
        <v>6225</v>
      </c>
      <c r="J64">
        <v>3.1619999999999999</v>
      </c>
      <c r="K64" t="s">
        <v>326</v>
      </c>
      <c r="L64" t="s">
        <v>6224</v>
      </c>
      <c r="M64">
        <v>94.86</v>
      </c>
      <c r="N64" t="s">
        <v>5744</v>
      </c>
      <c r="O64" t="s">
        <v>6223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3135</v>
      </c>
      <c r="W64" t="s">
        <v>326</v>
      </c>
      <c r="X64">
        <v>3</v>
      </c>
      <c r="Y64" t="s">
        <v>4399</v>
      </c>
      <c r="Z64" t="s">
        <v>4389</v>
      </c>
      <c r="AA64" t="s">
        <v>3295</v>
      </c>
      <c r="AB64" t="s">
        <v>4390</v>
      </c>
      <c r="AC64" t="s">
        <v>4394</v>
      </c>
      <c r="AD64" t="str">
        <f t="shared" si="4"/>
        <v>POR</v>
      </c>
      <c r="AE64" t="s">
        <v>6579</v>
      </c>
      <c r="AF64" t="s">
        <v>6225</v>
      </c>
    </row>
    <row r="65" spans="1:32" x14ac:dyDescent="0.3">
      <c r="A65" t="str">
        <f t="shared" si="0"/>
        <v>Desmonds Formal Wear</v>
      </c>
      <c r="B65">
        <v>403</v>
      </c>
      <c r="C65" t="s">
        <v>6210</v>
      </c>
      <c r="D65" t="s">
        <v>6215</v>
      </c>
      <c r="E65" t="s">
        <v>6214</v>
      </c>
      <c r="F65" t="s">
        <v>5699</v>
      </c>
      <c r="G65" t="s">
        <v>6222</v>
      </c>
      <c r="H65">
        <v>7.3</v>
      </c>
      <c r="I65" t="s">
        <v>6221</v>
      </c>
      <c r="J65">
        <v>2.1070000000000002</v>
      </c>
      <c r="K65" t="s">
        <v>326</v>
      </c>
      <c r="L65" t="s">
        <v>6220</v>
      </c>
      <c r="M65">
        <v>63.21</v>
      </c>
      <c r="N65" t="s">
        <v>5744</v>
      </c>
      <c r="O65" t="s">
        <v>6219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3135</v>
      </c>
      <c r="W65" t="s">
        <v>326</v>
      </c>
      <c r="X65">
        <v>3</v>
      </c>
      <c r="Y65" t="s">
        <v>4399</v>
      </c>
      <c r="Z65" t="s">
        <v>4389</v>
      </c>
      <c r="AA65" t="s">
        <v>3295</v>
      </c>
      <c r="AB65" t="s">
        <v>4390</v>
      </c>
      <c r="AC65" t="s">
        <v>4394</v>
      </c>
      <c r="AD65" t="str">
        <f t="shared" si="4"/>
        <v>POR</v>
      </c>
      <c r="AE65" t="s">
        <v>6579</v>
      </c>
      <c r="AF65" t="s">
        <v>6221</v>
      </c>
    </row>
    <row r="66" spans="1:32" x14ac:dyDescent="0.3">
      <c r="A66" t="str">
        <f t="shared" si="0"/>
        <v>Desmonds Formal Wear</v>
      </c>
      <c r="B66">
        <v>403</v>
      </c>
      <c r="C66" t="s">
        <v>6210</v>
      </c>
      <c r="D66" t="s">
        <v>6215</v>
      </c>
      <c r="E66" t="s">
        <v>6214</v>
      </c>
      <c r="F66" t="s">
        <v>5760</v>
      </c>
      <c r="G66" t="s">
        <v>6213</v>
      </c>
      <c r="H66">
        <v>16.100000000000001</v>
      </c>
      <c r="I66" t="s">
        <v>6218</v>
      </c>
      <c r="J66">
        <v>7.9420000000000002</v>
      </c>
      <c r="K66" t="s">
        <v>326</v>
      </c>
      <c r="L66" t="s">
        <v>5808</v>
      </c>
      <c r="M66">
        <v>476.52</v>
      </c>
      <c r="N66" t="s">
        <v>6217</v>
      </c>
      <c r="O66" t="s">
        <v>6216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3135</v>
      </c>
      <c r="W66" t="s">
        <v>326</v>
      </c>
      <c r="X66">
        <v>1</v>
      </c>
      <c r="Y66" t="s">
        <v>4399</v>
      </c>
      <c r="Z66" t="s">
        <v>4389</v>
      </c>
      <c r="AA66" t="s">
        <v>3295</v>
      </c>
      <c r="AB66" t="s">
        <v>4390</v>
      </c>
      <c r="AC66" t="s">
        <v>4394</v>
      </c>
      <c r="AD66" t="str">
        <f t="shared" si="4"/>
        <v>POR</v>
      </c>
      <c r="AE66" t="s">
        <v>6579</v>
      </c>
      <c r="AF66" t="s">
        <v>6218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6210</v>
      </c>
      <c r="D67" t="s">
        <v>6215</v>
      </c>
      <c r="E67" t="s">
        <v>6214</v>
      </c>
      <c r="F67" t="s">
        <v>5760</v>
      </c>
      <c r="G67" t="s">
        <v>6213</v>
      </c>
      <c r="H67">
        <v>16.100000000000001</v>
      </c>
      <c r="I67" t="s">
        <v>6212</v>
      </c>
      <c r="J67">
        <v>6.54</v>
      </c>
      <c r="K67" t="s">
        <v>326</v>
      </c>
      <c r="L67" t="s">
        <v>6211</v>
      </c>
      <c r="M67">
        <v>392.4</v>
      </c>
      <c r="N67" t="s">
        <v>5716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3135</v>
      </c>
      <c r="W67" t="s">
        <v>326</v>
      </c>
      <c r="X67">
        <v>2</v>
      </c>
      <c r="Y67" t="s">
        <v>4399</v>
      </c>
      <c r="Z67" t="s">
        <v>4389</v>
      </c>
      <c r="AA67" t="s">
        <v>3295</v>
      </c>
      <c r="AB67" t="s">
        <v>4390</v>
      </c>
      <c r="AC67" t="s">
        <v>4394</v>
      </c>
      <c r="AD67" t="str">
        <f t="shared" si="4"/>
        <v>POR</v>
      </c>
      <c r="AE67" t="s">
        <v>6579</v>
      </c>
      <c r="AF67" t="s">
        <v>6212</v>
      </c>
    </row>
    <row r="68" spans="1:32" x14ac:dyDescent="0.3">
      <c r="A68" t="str">
        <f t="shared" si="5"/>
        <v>The Wall</v>
      </c>
      <c r="B68">
        <v>403</v>
      </c>
      <c r="C68" t="s">
        <v>6210</v>
      </c>
      <c r="D68" t="s">
        <v>6209</v>
      </c>
      <c r="E68" t="s">
        <v>6208</v>
      </c>
      <c r="F68" t="s">
        <v>5698</v>
      </c>
      <c r="G68" t="s">
        <v>6207</v>
      </c>
      <c r="H68">
        <v>7.3</v>
      </c>
      <c r="I68" t="s">
        <v>6206</v>
      </c>
      <c r="J68">
        <v>0.23799999999999999</v>
      </c>
      <c r="K68" t="s">
        <v>326</v>
      </c>
      <c r="L68" t="s">
        <v>6205</v>
      </c>
      <c r="M68">
        <v>7.14</v>
      </c>
      <c r="N68" t="s">
        <v>5745</v>
      </c>
      <c r="O68" t="s">
        <v>6204</v>
      </c>
      <c r="P68" t="s">
        <v>3653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3135</v>
      </c>
      <c r="W68" t="s">
        <v>326</v>
      </c>
      <c r="X68">
        <v>3</v>
      </c>
      <c r="Y68" t="s">
        <v>4142</v>
      </c>
      <c r="Z68" t="s">
        <v>4131</v>
      </c>
      <c r="AA68" t="s">
        <v>4132</v>
      </c>
      <c r="AB68" t="s">
        <v>4133</v>
      </c>
      <c r="AC68" t="s">
        <v>4137</v>
      </c>
      <c r="AD68" t="str">
        <f>LEFT(I68,FIND(4,I68)-1)</f>
        <v>LRSC</v>
      </c>
      <c r="AE68" t="s">
        <v>6580</v>
      </c>
      <c r="AF68" t="s">
        <v>6206</v>
      </c>
    </row>
    <row r="69" spans="1:32" x14ac:dyDescent="0.3">
      <c r="A69" t="str">
        <f t="shared" si="5"/>
        <v>Highland Appliance</v>
      </c>
      <c r="B69">
        <v>405</v>
      </c>
      <c r="C69" t="s">
        <v>6195</v>
      </c>
      <c r="D69" t="s">
        <v>5797</v>
      </c>
      <c r="E69" t="s">
        <v>6194</v>
      </c>
      <c r="F69" t="s">
        <v>5698</v>
      </c>
      <c r="G69" t="s">
        <v>6203</v>
      </c>
      <c r="H69">
        <v>7.1</v>
      </c>
      <c r="I69" t="s">
        <v>6202</v>
      </c>
      <c r="J69">
        <v>32</v>
      </c>
      <c r="K69" t="s">
        <v>326</v>
      </c>
      <c r="L69" t="s">
        <v>6201</v>
      </c>
      <c r="M69">
        <v>960</v>
      </c>
      <c r="N69" t="s">
        <v>5710</v>
      </c>
      <c r="O69" t="s">
        <v>6200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3135</v>
      </c>
      <c r="W69" t="s">
        <v>326</v>
      </c>
      <c r="X69">
        <v>1</v>
      </c>
      <c r="Y69" t="s">
        <v>4550</v>
      </c>
      <c r="Z69" t="s">
        <v>4542</v>
      </c>
      <c r="AA69" t="s">
        <v>3347</v>
      </c>
      <c r="AB69" t="s">
        <v>3984</v>
      </c>
      <c r="AC69" t="s">
        <v>4546</v>
      </c>
      <c r="AD69" t="str">
        <f>LEFT(I69,FIND(0,I69)-1)</f>
        <v>GLOS</v>
      </c>
      <c r="AE69" t="s">
        <v>6581</v>
      </c>
      <c r="AF69" t="s">
        <v>6202</v>
      </c>
    </row>
    <row r="70" spans="1:32" x14ac:dyDescent="0.3">
      <c r="A70" t="str">
        <f t="shared" si="5"/>
        <v>Indiewealth</v>
      </c>
      <c r="B70">
        <v>405</v>
      </c>
      <c r="C70" t="s">
        <v>6195</v>
      </c>
      <c r="D70" t="s">
        <v>5797</v>
      </c>
      <c r="E70" t="s">
        <v>6194</v>
      </c>
      <c r="F70" t="s">
        <v>6199</v>
      </c>
      <c r="G70" t="s">
        <v>6198</v>
      </c>
      <c r="H70">
        <v>16.100000000000001</v>
      </c>
      <c r="I70" t="s">
        <v>6197</v>
      </c>
      <c r="J70">
        <v>1.1100000000000001</v>
      </c>
      <c r="K70" t="s">
        <v>326</v>
      </c>
      <c r="L70" t="s">
        <v>5801</v>
      </c>
      <c r="M70">
        <v>66.599999999999994</v>
      </c>
      <c r="N70" t="s">
        <v>5773</v>
      </c>
      <c r="O70" t="s">
        <v>6196</v>
      </c>
      <c r="P70" t="s">
        <v>3653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3135</v>
      </c>
      <c r="W70" t="s">
        <v>326</v>
      </c>
      <c r="X70">
        <v>2</v>
      </c>
      <c r="Y70" t="s">
        <v>3617</v>
      </c>
      <c r="Z70" t="s">
        <v>3608</v>
      </c>
      <c r="AA70" t="s">
        <v>2</v>
      </c>
      <c r="AB70" t="s">
        <v>3365</v>
      </c>
      <c r="AC70" t="s">
        <v>3612</v>
      </c>
      <c r="AD70" t="str">
        <f>LEFT(I70,FIND(4,I70)-1)</f>
        <v>ECO</v>
      </c>
      <c r="AE70" t="s">
        <v>6582</v>
      </c>
      <c r="AF70" t="s">
        <v>6197</v>
      </c>
    </row>
    <row r="71" spans="1:32" x14ac:dyDescent="0.3">
      <c r="A71" t="str">
        <f t="shared" si="5"/>
        <v>Highland Appliance</v>
      </c>
      <c r="B71">
        <v>405</v>
      </c>
      <c r="C71" t="s">
        <v>6195</v>
      </c>
      <c r="D71" t="s">
        <v>5797</v>
      </c>
      <c r="E71" t="s">
        <v>6194</v>
      </c>
      <c r="F71" t="s">
        <v>5743</v>
      </c>
      <c r="G71" t="s">
        <v>6193</v>
      </c>
      <c r="H71">
        <v>10.199999999999999</v>
      </c>
      <c r="I71" t="s">
        <v>6192</v>
      </c>
      <c r="J71">
        <v>33</v>
      </c>
      <c r="K71" t="s">
        <v>326</v>
      </c>
      <c r="L71" t="s">
        <v>5746</v>
      </c>
      <c r="M71">
        <v>990</v>
      </c>
      <c r="N71" t="s">
        <v>6191</v>
      </c>
      <c r="O71" t="s">
        <v>6190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3135</v>
      </c>
      <c r="W71" t="s">
        <v>326</v>
      </c>
      <c r="X71">
        <v>1</v>
      </c>
      <c r="Y71" t="s">
        <v>4550</v>
      </c>
      <c r="Z71" t="s">
        <v>4542</v>
      </c>
      <c r="AA71" t="s">
        <v>3347</v>
      </c>
      <c r="AB71" t="s">
        <v>3984</v>
      </c>
      <c r="AC71" t="s">
        <v>4546</v>
      </c>
      <c r="AD71" t="str">
        <f>LEFT(I71,FIND(0,I71)-1)</f>
        <v>GLOS</v>
      </c>
      <c r="AE71" t="s">
        <v>6581</v>
      </c>
      <c r="AF71" t="s">
        <v>6192</v>
      </c>
    </row>
    <row r="72" spans="1:32" x14ac:dyDescent="0.3">
      <c r="A72" t="str">
        <f t="shared" si="5"/>
        <v>Wells &amp; Wade</v>
      </c>
      <c r="B72">
        <v>406</v>
      </c>
      <c r="C72" t="s">
        <v>5950</v>
      </c>
      <c r="D72" t="s">
        <v>6006</v>
      </c>
      <c r="E72" t="s">
        <v>6005</v>
      </c>
      <c r="F72" t="s">
        <v>5741</v>
      </c>
      <c r="G72" t="s">
        <v>6189</v>
      </c>
      <c r="H72">
        <v>15.1</v>
      </c>
      <c r="I72" t="s">
        <v>6188</v>
      </c>
      <c r="J72">
        <v>14</v>
      </c>
      <c r="K72" t="s">
        <v>326</v>
      </c>
      <c r="L72" t="s">
        <v>6187</v>
      </c>
      <c r="M72">
        <v>425</v>
      </c>
      <c r="N72" t="s">
        <v>5720</v>
      </c>
      <c r="O72" t="s">
        <v>6186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3135</v>
      </c>
      <c r="W72" t="s">
        <v>326</v>
      </c>
      <c r="X72">
        <v>1</v>
      </c>
      <c r="Y72" t="s">
        <v>3202</v>
      </c>
      <c r="Z72" t="s">
        <v>3191</v>
      </c>
      <c r="AA72" t="s">
        <v>3192</v>
      </c>
      <c r="AB72" t="s">
        <v>3193</v>
      </c>
      <c r="AC72" t="s">
        <v>3197</v>
      </c>
      <c r="AD72" t="str">
        <f>LEFT(I72,FIND(0,I72)-1)</f>
        <v>BBCO</v>
      </c>
      <c r="AE72" t="s">
        <v>6583</v>
      </c>
      <c r="AF72" t="s">
        <v>6188</v>
      </c>
    </row>
    <row r="73" spans="1:32" x14ac:dyDescent="0.3">
      <c r="A73" t="str">
        <f t="shared" si="5"/>
        <v>Old America Stores</v>
      </c>
      <c r="B73">
        <v>406</v>
      </c>
      <c r="C73" t="s">
        <v>5950</v>
      </c>
      <c r="D73" t="s">
        <v>6006</v>
      </c>
      <c r="E73" t="s">
        <v>6005</v>
      </c>
      <c r="F73" t="s">
        <v>5726</v>
      </c>
      <c r="G73" t="s">
        <v>5965</v>
      </c>
      <c r="H73">
        <v>15.1</v>
      </c>
      <c r="I73" t="s">
        <v>6185</v>
      </c>
      <c r="J73">
        <v>27</v>
      </c>
      <c r="K73" t="s">
        <v>326</v>
      </c>
      <c r="L73" t="s">
        <v>5777</v>
      </c>
      <c r="M73">
        <v>869</v>
      </c>
      <c r="N73" t="s">
        <v>5715</v>
      </c>
      <c r="O73" t="s">
        <v>5800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3135</v>
      </c>
      <c r="W73" t="s">
        <v>326</v>
      </c>
      <c r="X73">
        <v>1</v>
      </c>
      <c r="Y73" t="s">
        <v>4567</v>
      </c>
      <c r="Z73" t="s">
        <v>4556</v>
      </c>
      <c r="AA73" t="s">
        <v>4557</v>
      </c>
      <c r="AB73" t="s">
        <v>4558</v>
      </c>
      <c r="AC73" t="s">
        <v>4562</v>
      </c>
      <c r="AD73" t="str">
        <f>LEFT(I73,FIND(0,I73)-1)</f>
        <v>SONN</v>
      </c>
      <c r="AE73" t="s">
        <v>6584</v>
      </c>
      <c r="AF73" t="s">
        <v>6185</v>
      </c>
    </row>
    <row r="74" spans="1:32" x14ac:dyDescent="0.3">
      <c r="A74" t="str">
        <f t="shared" si="5"/>
        <v>Old America Stores</v>
      </c>
      <c r="B74">
        <v>406</v>
      </c>
      <c r="C74" t="s">
        <v>5950</v>
      </c>
      <c r="D74" t="s">
        <v>6006</v>
      </c>
      <c r="E74" t="s">
        <v>6005</v>
      </c>
      <c r="F74" t="s">
        <v>5726</v>
      </c>
      <c r="G74" t="s">
        <v>5965</v>
      </c>
      <c r="H74">
        <v>15.1</v>
      </c>
      <c r="I74" t="s">
        <v>6184</v>
      </c>
      <c r="J74">
        <v>10.029999999999999</v>
      </c>
      <c r="K74" t="s">
        <v>326</v>
      </c>
      <c r="L74" t="s">
        <v>6150</v>
      </c>
      <c r="M74">
        <v>343.93299999999999</v>
      </c>
      <c r="N74" t="s">
        <v>5720</v>
      </c>
      <c r="O74" t="s">
        <v>6183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3135</v>
      </c>
      <c r="W74" t="s">
        <v>326</v>
      </c>
      <c r="X74">
        <v>3</v>
      </c>
      <c r="Y74" t="s">
        <v>4567</v>
      </c>
      <c r="Z74" t="s">
        <v>4556</v>
      </c>
      <c r="AA74" t="s">
        <v>4557</v>
      </c>
      <c r="AB74" t="s">
        <v>4558</v>
      </c>
      <c r="AC74" t="s">
        <v>4562</v>
      </c>
      <c r="AD74" t="str">
        <f>LEFT(I74,FIND(4,I74)-1)</f>
        <v>SONN</v>
      </c>
      <c r="AE74" t="s">
        <v>6584</v>
      </c>
      <c r="AF74" t="s">
        <v>6184</v>
      </c>
    </row>
    <row r="75" spans="1:32" x14ac:dyDescent="0.3">
      <c r="A75" t="str">
        <f t="shared" si="5"/>
        <v>Wells &amp; Wade</v>
      </c>
      <c r="B75">
        <v>406</v>
      </c>
      <c r="C75" t="s">
        <v>5950</v>
      </c>
      <c r="D75" t="s">
        <v>6006</v>
      </c>
      <c r="E75" t="s">
        <v>6005</v>
      </c>
      <c r="F75" t="s">
        <v>5787</v>
      </c>
      <c r="G75" t="s">
        <v>6176</v>
      </c>
      <c r="H75">
        <v>15.1</v>
      </c>
      <c r="I75" t="s">
        <v>6182</v>
      </c>
      <c r="J75">
        <v>16</v>
      </c>
      <c r="K75" t="s">
        <v>326</v>
      </c>
      <c r="L75" t="s">
        <v>6023</v>
      </c>
      <c r="M75">
        <v>713.33299999999997</v>
      </c>
      <c r="N75" t="s">
        <v>5715</v>
      </c>
      <c r="O75" t="s">
        <v>6181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3135</v>
      </c>
      <c r="W75" t="s">
        <v>326</v>
      </c>
      <c r="X75">
        <v>1</v>
      </c>
      <c r="Y75" t="s">
        <v>3202</v>
      </c>
      <c r="Z75" t="s">
        <v>3191</v>
      </c>
      <c r="AA75" t="s">
        <v>3192</v>
      </c>
      <c r="AB75" t="s">
        <v>3193</v>
      </c>
      <c r="AC75" t="s">
        <v>3197</v>
      </c>
      <c r="AD75" t="str">
        <f>LEFT(I75,FIND(0,I75)-1)</f>
        <v>BBCO</v>
      </c>
      <c r="AE75" t="s">
        <v>6583</v>
      </c>
      <c r="AF75" t="s">
        <v>6182</v>
      </c>
    </row>
    <row r="76" spans="1:32" x14ac:dyDescent="0.3">
      <c r="A76" t="str">
        <f t="shared" si="5"/>
        <v>Accord Investments</v>
      </c>
      <c r="B76">
        <v>406</v>
      </c>
      <c r="C76" t="s">
        <v>5950</v>
      </c>
      <c r="D76" t="s">
        <v>6006</v>
      </c>
      <c r="E76" t="s">
        <v>6005</v>
      </c>
      <c r="F76" t="s">
        <v>5787</v>
      </c>
      <c r="G76" t="s">
        <v>6176</v>
      </c>
      <c r="H76">
        <v>15.1</v>
      </c>
      <c r="I76" t="s">
        <v>6180</v>
      </c>
      <c r="J76">
        <v>25</v>
      </c>
      <c r="K76" t="s">
        <v>326</v>
      </c>
      <c r="L76" t="s">
        <v>5697</v>
      </c>
      <c r="M76">
        <v>888.16700000000003</v>
      </c>
      <c r="N76" t="s">
        <v>5727</v>
      </c>
      <c r="O76" t="s">
        <v>5885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3135</v>
      </c>
      <c r="W76" t="s">
        <v>326</v>
      </c>
      <c r="X76">
        <v>1</v>
      </c>
      <c r="Y76" t="s">
        <v>4835</v>
      </c>
      <c r="Z76" t="s">
        <v>4826</v>
      </c>
      <c r="AA76" t="s">
        <v>3767</v>
      </c>
      <c r="AB76" t="s">
        <v>3768</v>
      </c>
      <c r="AC76" t="s">
        <v>4830</v>
      </c>
      <c r="AD76" t="str">
        <f>LEFT(I76,FIND(0,I76)-1)</f>
        <v>CLEM</v>
      </c>
      <c r="AE76" t="s">
        <v>6585</v>
      </c>
      <c r="AF76" t="s">
        <v>6180</v>
      </c>
    </row>
    <row r="77" spans="1:32" x14ac:dyDescent="0.3">
      <c r="A77" t="str">
        <f t="shared" si="5"/>
        <v>Lawnscape Garden Maintenance</v>
      </c>
      <c r="B77">
        <v>406</v>
      </c>
      <c r="C77" t="s">
        <v>5950</v>
      </c>
      <c r="D77" t="s">
        <v>6006</v>
      </c>
      <c r="E77" t="s">
        <v>6005</v>
      </c>
      <c r="F77" t="s">
        <v>5787</v>
      </c>
      <c r="G77" t="s">
        <v>6176</v>
      </c>
      <c r="H77">
        <v>15.1</v>
      </c>
      <c r="I77" t="s">
        <v>6179</v>
      </c>
      <c r="J77">
        <v>3.625</v>
      </c>
      <c r="K77" t="s">
        <v>326</v>
      </c>
      <c r="L77" t="s">
        <v>6178</v>
      </c>
      <c r="M77">
        <v>128.75</v>
      </c>
      <c r="N77" t="s">
        <v>5776</v>
      </c>
      <c r="O77" t="s">
        <v>6177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3135</v>
      </c>
      <c r="W77" t="s">
        <v>326</v>
      </c>
      <c r="X77">
        <v>3</v>
      </c>
      <c r="Y77" t="s">
        <v>4369</v>
      </c>
      <c r="Z77" t="s">
        <v>4360</v>
      </c>
      <c r="AA77" t="s">
        <v>3397</v>
      </c>
      <c r="AB77" t="s">
        <v>4361</v>
      </c>
      <c r="AC77" t="s">
        <v>4365</v>
      </c>
      <c r="AD77" t="str">
        <f>LEFT(I77,FIND(4,I77)-1)</f>
        <v>PSC</v>
      </c>
      <c r="AE77" t="s">
        <v>6586</v>
      </c>
      <c r="AF77" t="s">
        <v>6179</v>
      </c>
    </row>
    <row r="78" spans="1:32" x14ac:dyDescent="0.3">
      <c r="A78" t="str">
        <f t="shared" si="5"/>
        <v>Warehouse Club Inc.</v>
      </c>
      <c r="B78">
        <v>406</v>
      </c>
      <c r="C78" t="s">
        <v>5950</v>
      </c>
      <c r="D78" t="s">
        <v>6006</v>
      </c>
      <c r="E78" t="s">
        <v>6005</v>
      </c>
      <c r="F78" t="s">
        <v>5787</v>
      </c>
      <c r="G78" t="s">
        <v>6176</v>
      </c>
      <c r="H78">
        <v>15.1</v>
      </c>
      <c r="I78" t="s">
        <v>6175</v>
      </c>
      <c r="J78">
        <v>14</v>
      </c>
      <c r="K78" t="s">
        <v>326</v>
      </c>
      <c r="L78" t="s">
        <v>5806</v>
      </c>
      <c r="M78">
        <v>612.75</v>
      </c>
      <c r="N78" t="s">
        <v>5742</v>
      </c>
      <c r="O78" t="s">
        <v>5885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3135</v>
      </c>
      <c r="W78" t="s">
        <v>326</v>
      </c>
      <c r="X78">
        <v>1</v>
      </c>
      <c r="Y78" t="s">
        <v>3602</v>
      </c>
      <c r="Z78" t="s">
        <v>4513</v>
      </c>
      <c r="AA78" t="s">
        <v>2</v>
      </c>
      <c r="AB78" t="s">
        <v>3938</v>
      </c>
      <c r="AC78" t="s">
        <v>4517</v>
      </c>
      <c r="AD78" t="str">
        <f t="shared" ref="AD78:AD80" si="6">LEFT(I78,FIND(0,I78)-1)</f>
        <v>SEMI</v>
      </c>
      <c r="AE78" t="s">
        <v>6587</v>
      </c>
      <c r="AF78" t="s">
        <v>6175</v>
      </c>
    </row>
    <row r="79" spans="1:32" x14ac:dyDescent="0.3">
      <c r="A79" t="str">
        <f t="shared" si="5"/>
        <v>Accord Investments</v>
      </c>
      <c r="B79">
        <v>406</v>
      </c>
      <c r="C79" t="s">
        <v>5950</v>
      </c>
      <c r="D79" t="s">
        <v>6006</v>
      </c>
      <c r="E79" t="s">
        <v>6005</v>
      </c>
      <c r="F79" t="s">
        <v>5699</v>
      </c>
      <c r="G79" t="s">
        <v>6169</v>
      </c>
      <c r="H79">
        <v>7.1</v>
      </c>
      <c r="I79" t="s">
        <v>6174</v>
      </c>
      <c r="J79">
        <v>22</v>
      </c>
      <c r="K79" t="s">
        <v>326</v>
      </c>
      <c r="L79" t="s">
        <v>5697</v>
      </c>
      <c r="M79">
        <v>712</v>
      </c>
      <c r="N79" t="s">
        <v>5727</v>
      </c>
      <c r="O79" t="s">
        <v>6173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3135</v>
      </c>
      <c r="W79" t="s">
        <v>326</v>
      </c>
      <c r="X79">
        <v>1</v>
      </c>
      <c r="Y79" t="s">
        <v>4835</v>
      </c>
      <c r="Z79" t="s">
        <v>4826</v>
      </c>
      <c r="AA79" t="s">
        <v>3767</v>
      </c>
      <c r="AB79" t="s">
        <v>3768</v>
      </c>
      <c r="AC79" t="s">
        <v>4830</v>
      </c>
      <c r="AD79" t="str">
        <f t="shared" si="6"/>
        <v>CLEM</v>
      </c>
      <c r="AE79" t="s">
        <v>6585</v>
      </c>
      <c r="AF79" t="s">
        <v>6174</v>
      </c>
    </row>
    <row r="80" spans="1:32" x14ac:dyDescent="0.3">
      <c r="A80" t="str">
        <f t="shared" si="5"/>
        <v>First Choice Yard Help</v>
      </c>
      <c r="B80">
        <v>406</v>
      </c>
      <c r="C80" t="s">
        <v>5950</v>
      </c>
      <c r="D80" t="s">
        <v>6006</v>
      </c>
      <c r="E80" t="s">
        <v>6005</v>
      </c>
      <c r="F80" t="s">
        <v>5699</v>
      </c>
      <c r="G80" t="s">
        <v>6169</v>
      </c>
      <c r="H80">
        <v>7.1</v>
      </c>
      <c r="I80" t="s">
        <v>6172</v>
      </c>
      <c r="J80">
        <v>13</v>
      </c>
      <c r="K80" t="s">
        <v>326</v>
      </c>
      <c r="L80" t="s">
        <v>5697</v>
      </c>
      <c r="M80">
        <v>522.16700000000003</v>
      </c>
      <c r="N80" t="s">
        <v>5720</v>
      </c>
      <c r="O80" t="s">
        <v>6171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3135</v>
      </c>
      <c r="W80" t="s">
        <v>326</v>
      </c>
      <c r="X80">
        <v>1</v>
      </c>
      <c r="Y80" t="s">
        <v>4340</v>
      </c>
      <c r="Z80" t="s">
        <v>4329</v>
      </c>
      <c r="AA80" t="s">
        <v>4330</v>
      </c>
      <c r="AB80" t="s">
        <v>4331</v>
      </c>
      <c r="AC80" t="s">
        <v>4335</v>
      </c>
      <c r="AD80" t="str">
        <f t="shared" si="6"/>
        <v>PERK</v>
      </c>
      <c r="AE80" t="s">
        <v>6588</v>
      </c>
      <c r="AF80" t="s">
        <v>6172</v>
      </c>
    </row>
    <row r="81" spans="1:32" x14ac:dyDescent="0.3">
      <c r="A81" t="str">
        <f t="shared" si="5"/>
        <v>Old America Stores</v>
      </c>
      <c r="B81">
        <v>406</v>
      </c>
      <c r="C81" t="s">
        <v>5950</v>
      </c>
      <c r="D81" t="s">
        <v>6006</v>
      </c>
      <c r="E81" t="s">
        <v>6005</v>
      </c>
      <c r="F81" t="s">
        <v>5699</v>
      </c>
      <c r="G81" t="s">
        <v>6169</v>
      </c>
      <c r="H81">
        <v>7.1</v>
      </c>
      <c r="I81" t="s">
        <v>6170</v>
      </c>
      <c r="J81">
        <v>10.029999999999999</v>
      </c>
      <c r="K81" t="s">
        <v>326</v>
      </c>
      <c r="L81" t="s">
        <v>6150</v>
      </c>
      <c r="M81">
        <v>319.56700000000001</v>
      </c>
      <c r="N81" t="s">
        <v>5720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3135</v>
      </c>
      <c r="W81" t="s">
        <v>326</v>
      </c>
      <c r="X81">
        <v>3</v>
      </c>
      <c r="Y81" t="s">
        <v>4567</v>
      </c>
      <c r="Z81" t="s">
        <v>4556</v>
      </c>
      <c r="AA81" t="s">
        <v>4557</v>
      </c>
      <c r="AB81" t="s">
        <v>4558</v>
      </c>
      <c r="AC81" t="s">
        <v>4562</v>
      </c>
      <c r="AD81" t="str">
        <f>LEFT(I81,FIND(4,I81)-1)</f>
        <v>SONN</v>
      </c>
      <c r="AE81" t="s">
        <v>6584</v>
      </c>
      <c r="AF81" t="s">
        <v>6170</v>
      </c>
    </row>
    <row r="82" spans="1:32" x14ac:dyDescent="0.3">
      <c r="A82" t="str">
        <f t="shared" si="5"/>
        <v>Old America Stores</v>
      </c>
      <c r="B82">
        <v>406</v>
      </c>
      <c r="C82" t="s">
        <v>5950</v>
      </c>
      <c r="D82" t="s">
        <v>6006</v>
      </c>
      <c r="E82" t="s">
        <v>6005</v>
      </c>
      <c r="F82" t="s">
        <v>5699</v>
      </c>
      <c r="G82" t="s">
        <v>6169</v>
      </c>
      <c r="H82">
        <v>7.1</v>
      </c>
      <c r="I82" t="s">
        <v>6168</v>
      </c>
      <c r="J82">
        <v>7.2110000000000003</v>
      </c>
      <c r="K82" t="s">
        <v>326</v>
      </c>
      <c r="L82" t="s">
        <v>6167</v>
      </c>
      <c r="M82">
        <v>314.66300000000001</v>
      </c>
      <c r="N82" t="s">
        <v>5802</v>
      </c>
      <c r="O82" t="s">
        <v>6166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3135</v>
      </c>
      <c r="W82" t="s">
        <v>326</v>
      </c>
      <c r="X82">
        <v>3</v>
      </c>
      <c r="Y82" t="s">
        <v>4567</v>
      </c>
      <c r="Z82" t="s">
        <v>4556</v>
      </c>
      <c r="AA82" t="s">
        <v>4557</v>
      </c>
      <c r="AB82" t="s">
        <v>4558</v>
      </c>
      <c r="AC82" t="s">
        <v>4562</v>
      </c>
      <c r="AD82" t="str">
        <f>LEFT(I82,FIND(4,I82)-1)</f>
        <v>SONN</v>
      </c>
      <c r="AE82" t="s">
        <v>6584</v>
      </c>
      <c r="AF82" t="s">
        <v>6168</v>
      </c>
    </row>
    <row r="83" spans="1:32" x14ac:dyDescent="0.3">
      <c r="A83" t="str">
        <f t="shared" si="5"/>
        <v>Pantry Food Stores</v>
      </c>
      <c r="B83">
        <v>406</v>
      </c>
      <c r="C83" t="s">
        <v>5950</v>
      </c>
      <c r="D83" t="s">
        <v>6006</v>
      </c>
      <c r="E83" t="s">
        <v>6005</v>
      </c>
      <c r="F83" t="s">
        <v>5698</v>
      </c>
      <c r="G83" t="s">
        <v>6145</v>
      </c>
      <c r="H83">
        <v>7.1</v>
      </c>
      <c r="I83" t="s">
        <v>6165</v>
      </c>
      <c r="J83">
        <v>9.0679999999999996</v>
      </c>
      <c r="K83" t="s">
        <v>326</v>
      </c>
      <c r="L83" t="s">
        <v>6164</v>
      </c>
      <c r="M83">
        <v>475.87299999999999</v>
      </c>
      <c r="N83" t="s">
        <v>5745</v>
      </c>
      <c r="O83" t="s">
        <v>5763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3135</v>
      </c>
      <c r="W83" t="s">
        <v>326</v>
      </c>
      <c r="X83">
        <v>3</v>
      </c>
      <c r="Y83" t="s">
        <v>3340</v>
      </c>
      <c r="Z83" t="s">
        <v>3329</v>
      </c>
      <c r="AA83" t="s">
        <v>3330</v>
      </c>
      <c r="AB83" t="s">
        <v>3331</v>
      </c>
      <c r="AC83" t="s">
        <v>3335</v>
      </c>
      <c r="AD83" t="str">
        <f>LEFT(I83,FIND(4,I83)-1)</f>
        <v>IRON</v>
      </c>
      <c r="AE83" t="s">
        <v>6589</v>
      </c>
      <c r="AF83" t="s">
        <v>6165</v>
      </c>
    </row>
    <row r="84" spans="1:32" x14ac:dyDescent="0.3">
      <c r="A84" t="str">
        <f t="shared" si="5"/>
        <v>Pantry Food Stores</v>
      </c>
      <c r="B84">
        <v>406</v>
      </c>
      <c r="C84" t="s">
        <v>5950</v>
      </c>
      <c r="D84" t="s">
        <v>6006</v>
      </c>
      <c r="E84" t="s">
        <v>6005</v>
      </c>
      <c r="F84" t="s">
        <v>5698</v>
      </c>
      <c r="G84" t="s">
        <v>6145</v>
      </c>
      <c r="H84">
        <v>7.1</v>
      </c>
      <c r="I84" t="s">
        <v>6163</v>
      </c>
      <c r="J84">
        <v>7.2709999999999999</v>
      </c>
      <c r="K84" t="s">
        <v>326</v>
      </c>
      <c r="L84" t="s">
        <v>6076</v>
      </c>
      <c r="M84">
        <v>260.79700000000003</v>
      </c>
      <c r="N84" t="s">
        <v>5776</v>
      </c>
      <c r="O84" t="s">
        <v>5739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3135</v>
      </c>
      <c r="W84" t="s">
        <v>326</v>
      </c>
      <c r="X84">
        <v>3</v>
      </c>
      <c r="Y84" t="s">
        <v>3340</v>
      </c>
      <c r="Z84" t="s">
        <v>3329</v>
      </c>
      <c r="AA84" t="s">
        <v>3330</v>
      </c>
      <c r="AB84" t="s">
        <v>3331</v>
      </c>
      <c r="AC84" t="s">
        <v>3335</v>
      </c>
      <c r="AD84" t="str">
        <f>LEFT(I84,FIND(4,I84)-1)</f>
        <v>IRON</v>
      </c>
      <c r="AE84" t="s">
        <v>6589</v>
      </c>
      <c r="AF84" t="s">
        <v>6163</v>
      </c>
    </row>
    <row r="85" spans="1:32" x14ac:dyDescent="0.3">
      <c r="A85" t="str">
        <f t="shared" si="5"/>
        <v>First Choice Yard Help</v>
      </c>
      <c r="B85">
        <v>406</v>
      </c>
      <c r="C85" t="s">
        <v>5950</v>
      </c>
      <c r="D85" t="s">
        <v>6006</v>
      </c>
      <c r="E85" t="s">
        <v>6005</v>
      </c>
      <c r="F85" t="s">
        <v>5698</v>
      </c>
      <c r="G85" t="s">
        <v>6145</v>
      </c>
      <c r="H85">
        <v>7.1</v>
      </c>
      <c r="I85" t="s">
        <v>6162</v>
      </c>
      <c r="J85">
        <v>13</v>
      </c>
      <c r="K85" t="s">
        <v>326</v>
      </c>
      <c r="L85" t="s">
        <v>6161</v>
      </c>
      <c r="M85">
        <v>567.5</v>
      </c>
      <c r="N85" t="s">
        <v>5758</v>
      </c>
      <c r="O85" t="s">
        <v>6160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3135</v>
      </c>
      <c r="W85" t="s">
        <v>326</v>
      </c>
      <c r="X85">
        <v>1</v>
      </c>
      <c r="Y85" t="s">
        <v>4340</v>
      </c>
      <c r="Z85" t="s">
        <v>4329</v>
      </c>
      <c r="AA85" t="s">
        <v>4330</v>
      </c>
      <c r="AB85" t="s">
        <v>4331</v>
      </c>
      <c r="AC85" t="s">
        <v>4335</v>
      </c>
      <c r="AD85" t="str">
        <f t="shared" ref="AD85:AD87" si="7">LEFT(I85,FIND(0,I85)-1)</f>
        <v>PERK</v>
      </c>
      <c r="AE85" t="s">
        <v>6588</v>
      </c>
      <c r="AF85" t="s">
        <v>6162</v>
      </c>
    </row>
    <row r="86" spans="1:32" x14ac:dyDescent="0.3">
      <c r="A86" t="str">
        <f t="shared" si="5"/>
        <v>First Choice Yard Help</v>
      </c>
      <c r="B86">
        <v>406</v>
      </c>
      <c r="C86" t="s">
        <v>5950</v>
      </c>
      <c r="D86" t="s">
        <v>6006</v>
      </c>
      <c r="E86" t="s">
        <v>6005</v>
      </c>
      <c r="F86" t="s">
        <v>5698</v>
      </c>
      <c r="G86" t="s">
        <v>6145</v>
      </c>
      <c r="H86">
        <v>7.1</v>
      </c>
      <c r="I86" t="s">
        <v>6159</v>
      </c>
      <c r="J86">
        <v>13</v>
      </c>
      <c r="K86" t="s">
        <v>326</v>
      </c>
      <c r="L86" t="s">
        <v>5697</v>
      </c>
      <c r="M86">
        <v>533.33299999999997</v>
      </c>
      <c r="N86" t="s">
        <v>5758</v>
      </c>
      <c r="O86" t="s">
        <v>6158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3135</v>
      </c>
      <c r="W86" t="s">
        <v>326</v>
      </c>
      <c r="X86">
        <v>3</v>
      </c>
      <c r="Y86" t="s">
        <v>4340</v>
      </c>
      <c r="Z86" t="s">
        <v>4329</v>
      </c>
      <c r="AA86" t="s">
        <v>4330</v>
      </c>
      <c r="AB86" t="s">
        <v>4331</v>
      </c>
      <c r="AC86" t="s">
        <v>4335</v>
      </c>
      <c r="AD86" t="str">
        <f t="shared" si="7"/>
        <v>PERK</v>
      </c>
      <c r="AE86" t="s">
        <v>6588</v>
      </c>
      <c r="AF86" t="s">
        <v>6159</v>
      </c>
    </row>
    <row r="87" spans="1:32" x14ac:dyDescent="0.3">
      <c r="A87" t="str">
        <f t="shared" si="5"/>
        <v>Newmark &amp; Lewis</v>
      </c>
      <c r="B87">
        <v>406</v>
      </c>
      <c r="C87" t="s">
        <v>5950</v>
      </c>
      <c r="D87" t="s">
        <v>6006</v>
      </c>
      <c r="E87" t="s">
        <v>6005</v>
      </c>
      <c r="F87" t="s">
        <v>5698</v>
      </c>
      <c r="G87" t="s">
        <v>6145</v>
      </c>
      <c r="H87">
        <v>7.1</v>
      </c>
      <c r="I87" t="s">
        <v>6157</v>
      </c>
      <c r="J87">
        <v>22</v>
      </c>
      <c r="K87" t="s">
        <v>326</v>
      </c>
      <c r="L87" t="s">
        <v>6156</v>
      </c>
      <c r="M87">
        <v>768.16700000000003</v>
      </c>
      <c r="N87" t="s">
        <v>5710</v>
      </c>
      <c r="O87" t="s">
        <v>6155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3135</v>
      </c>
      <c r="W87" t="s">
        <v>326</v>
      </c>
      <c r="X87">
        <v>1</v>
      </c>
      <c r="Y87" t="s">
        <v>4445</v>
      </c>
      <c r="Z87" t="s">
        <v>4436</v>
      </c>
      <c r="AA87" t="s">
        <v>2</v>
      </c>
      <c r="AB87" t="s">
        <v>3365</v>
      </c>
      <c r="AC87" t="s">
        <v>4440</v>
      </c>
      <c r="AD87" t="str">
        <f t="shared" si="7"/>
        <v>RICO</v>
      </c>
      <c r="AE87" t="s">
        <v>6590</v>
      </c>
      <c r="AF87" t="s">
        <v>6157</v>
      </c>
    </row>
    <row r="88" spans="1:32" x14ac:dyDescent="0.3">
      <c r="A88" t="str">
        <f t="shared" si="5"/>
        <v>Newmark &amp; Lewis</v>
      </c>
      <c r="B88">
        <v>406</v>
      </c>
      <c r="C88" t="s">
        <v>5950</v>
      </c>
      <c r="D88" t="s">
        <v>6006</v>
      </c>
      <c r="E88" t="s">
        <v>6005</v>
      </c>
      <c r="F88" t="s">
        <v>5698</v>
      </c>
      <c r="G88" t="s">
        <v>6145</v>
      </c>
      <c r="H88">
        <v>7.1</v>
      </c>
      <c r="I88" t="s">
        <v>6154</v>
      </c>
      <c r="J88">
        <v>7.71</v>
      </c>
      <c r="K88" t="s">
        <v>326</v>
      </c>
      <c r="L88" t="s">
        <v>6153</v>
      </c>
      <c r="M88">
        <v>231.3</v>
      </c>
      <c r="N88" t="s">
        <v>5776</v>
      </c>
      <c r="O88" t="s">
        <v>5739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5687</v>
      </c>
      <c r="X88">
        <v>0</v>
      </c>
      <c r="Y88" t="s">
        <v>4445</v>
      </c>
      <c r="Z88" t="s">
        <v>4436</v>
      </c>
      <c r="AA88" t="s">
        <v>2</v>
      </c>
      <c r="AB88" t="s">
        <v>3365</v>
      </c>
      <c r="AC88" t="s">
        <v>4440</v>
      </c>
      <c r="AD88" t="str">
        <f>LEFT(I88,FIND(4,I88)-1)</f>
        <v>RICO</v>
      </c>
      <c r="AE88" t="s">
        <v>6590</v>
      </c>
      <c r="AF88" t="s">
        <v>6154</v>
      </c>
    </row>
    <row r="89" spans="1:32" x14ac:dyDescent="0.3">
      <c r="A89" t="str">
        <f t="shared" si="5"/>
        <v>Old America Stores</v>
      </c>
      <c r="B89">
        <v>406</v>
      </c>
      <c r="C89" t="s">
        <v>5950</v>
      </c>
      <c r="D89" t="s">
        <v>6006</v>
      </c>
      <c r="E89" t="s">
        <v>6005</v>
      </c>
      <c r="F89" t="s">
        <v>5698</v>
      </c>
      <c r="G89" t="s">
        <v>6145</v>
      </c>
      <c r="H89">
        <v>7.1</v>
      </c>
      <c r="I89" t="s">
        <v>6152</v>
      </c>
      <c r="J89">
        <v>10.029999999999999</v>
      </c>
      <c r="K89" t="s">
        <v>326</v>
      </c>
      <c r="L89" t="s">
        <v>6150</v>
      </c>
      <c r="M89">
        <v>465.9</v>
      </c>
      <c r="N89" t="s">
        <v>5720</v>
      </c>
      <c r="O89" t="s">
        <v>6149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3135</v>
      </c>
      <c r="W89" t="s">
        <v>326</v>
      </c>
      <c r="X89">
        <v>3</v>
      </c>
      <c r="Y89" t="s">
        <v>4567</v>
      </c>
      <c r="Z89" t="s">
        <v>4556</v>
      </c>
      <c r="AA89" t="s">
        <v>4557</v>
      </c>
      <c r="AB89" t="s">
        <v>4558</v>
      </c>
      <c r="AC89" t="s">
        <v>4562</v>
      </c>
      <c r="AD89" t="str">
        <f>LEFT(I89,FIND(4,I89)-1)</f>
        <v>SONN</v>
      </c>
      <c r="AE89" t="s">
        <v>6584</v>
      </c>
      <c r="AF89" t="s">
        <v>6152</v>
      </c>
    </row>
    <row r="90" spans="1:32" x14ac:dyDescent="0.3">
      <c r="A90" t="str">
        <f t="shared" si="5"/>
        <v>Old America Stores</v>
      </c>
      <c r="B90">
        <v>406</v>
      </c>
      <c r="C90" t="s">
        <v>5950</v>
      </c>
      <c r="D90" t="s">
        <v>6006</v>
      </c>
      <c r="E90" t="s">
        <v>6005</v>
      </c>
      <c r="F90" t="s">
        <v>5698</v>
      </c>
      <c r="G90" t="s">
        <v>6145</v>
      </c>
      <c r="H90">
        <v>7.1</v>
      </c>
      <c r="I90" t="s">
        <v>6151</v>
      </c>
      <c r="J90">
        <v>10.029999999999999</v>
      </c>
      <c r="K90" t="s">
        <v>326</v>
      </c>
      <c r="L90" t="s">
        <v>6150</v>
      </c>
      <c r="M90">
        <v>309.56700000000001</v>
      </c>
      <c r="N90" t="s">
        <v>5720</v>
      </c>
      <c r="O90" t="s">
        <v>6149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3135</v>
      </c>
      <c r="W90" t="s">
        <v>326</v>
      </c>
      <c r="X90">
        <v>3</v>
      </c>
      <c r="Y90" t="s">
        <v>4567</v>
      </c>
      <c r="Z90" t="s">
        <v>4556</v>
      </c>
      <c r="AA90" t="s">
        <v>4557</v>
      </c>
      <c r="AB90" t="s">
        <v>4558</v>
      </c>
      <c r="AC90" t="s">
        <v>4562</v>
      </c>
      <c r="AD90" t="str">
        <f>LEFT(I90,FIND(4,I90)-1)</f>
        <v>SONN</v>
      </c>
      <c r="AE90" t="s">
        <v>6584</v>
      </c>
      <c r="AF90" t="s">
        <v>6151</v>
      </c>
    </row>
    <row r="91" spans="1:32" x14ac:dyDescent="0.3">
      <c r="A91" t="str">
        <f t="shared" si="5"/>
        <v>Destiny Realty</v>
      </c>
      <c r="B91">
        <v>406</v>
      </c>
      <c r="C91" t="s">
        <v>5950</v>
      </c>
      <c r="D91" t="s">
        <v>6006</v>
      </c>
      <c r="E91" t="s">
        <v>6005</v>
      </c>
      <c r="F91" t="s">
        <v>5698</v>
      </c>
      <c r="G91" t="s">
        <v>6145</v>
      </c>
      <c r="H91">
        <v>7.1</v>
      </c>
      <c r="I91" t="s">
        <v>6148</v>
      </c>
      <c r="J91">
        <v>7.915</v>
      </c>
      <c r="K91" t="s">
        <v>326</v>
      </c>
      <c r="L91" t="s">
        <v>6147</v>
      </c>
      <c r="M91">
        <v>320.11700000000002</v>
      </c>
      <c r="N91" t="s">
        <v>5745</v>
      </c>
      <c r="O91" t="s">
        <v>6146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3135</v>
      </c>
      <c r="W91" t="s">
        <v>326</v>
      </c>
      <c r="X91">
        <v>3</v>
      </c>
      <c r="Y91" t="s">
        <v>3648</v>
      </c>
      <c r="Z91" t="s">
        <v>4587</v>
      </c>
      <c r="AA91" t="s">
        <v>19</v>
      </c>
      <c r="AB91" t="s">
        <v>41</v>
      </c>
      <c r="AC91" t="s">
        <v>4591</v>
      </c>
      <c r="AD91" t="str">
        <f>LEFT(I91,FIND(4,I91)-1)</f>
        <v>SOUT</v>
      </c>
      <c r="AE91" t="s">
        <v>6591</v>
      </c>
      <c r="AF91" t="s">
        <v>6148</v>
      </c>
    </row>
    <row r="92" spans="1:32" x14ac:dyDescent="0.3">
      <c r="A92" t="str">
        <f t="shared" si="5"/>
        <v>Jeans Unlimited</v>
      </c>
      <c r="B92">
        <v>406</v>
      </c>
      <c r="C92" t="s">
        <v>5950</v>
      </c>
      <c r="D92" t="s">
        <v>6006</v>
      </c>
      <c r="E92" t="s">
        <v>6005</v>
      </c>
      <c r="F92" t="s">
        <v>5698</v>
      </c>
      <c r="G92" t="s">
        <v>6145</v>
      </c>
      <c r="H92">
        <v>7.1</v>
      </c>
      <c r="I92" t="s">
        <v>6144</v>
      </c>
      <c r="J92">
        <v>3.238</v>
      </c>
      <c r="K92" t="s">
        <v>326</v>
      </c>
      <c r="L92" t="s">
        <v>5811</v>
      </c>
      <c r="M92">
        <v>142.47300000000001</v>
      </c>
      <c r="N92" t="s">
        <v>5727</v>
      </c>
      <c r="O92" t="s">
        <v>6143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3135</v>
      </c>
      <c r="W92" t="s">
        <v>326</v>
      </c>
      <c r="X92">
        <v>3</v>
      </c>
      <c r="Y92" t="s">
        <v>3128</v>
      </c>
      <c r="Z92" t="s">
        <v>3118</v>
      </c>
      <c r="AA92" t="s">
        <v>19</v>
      </c>
      <c r="AB92" t="s">
        <v>3119</v>
      </c>
      <c r="AC92" t="s">
        <v>3123</v>
      </c>
      <c r="AD92" t="str">
        <f>LEFT(I92,FIND(4,I92)-1)</f>
        <v>SVAB</v>
      </c>
      <c r="AE92" t="s">
        <v>6592</v>
      </c>
      <c r="AF92" t="s">
        <v>6144</v>
      </c>
    </row>
    <row r="93" spans="1:32" x14ac:dyDescent="0.3">
      <c r="A93" t="str">
        <f t="shared" si="5"/>
        <v>Hugh M. Woods</v>
      </c>
      <c r="B93">
        <v>406</v>
      </c>
      <c r="C93" t="s">
        <v>5950</v>
      </c>
      <c r="D93" t="s">
        <v>6006</v>
      </c>
      <c r="E93" t="s">
        <v>6005</v>
      </c>
      <c r="F93" t="s">
        <v>5707</v>
      </c>
      <c r="G93" t="s">
        <v>6141</v>
      </c>
      <c r="H93">
        <v>7.1</v>
      </c>
      <c r="I93" t="s">
        <v>6142</v>
      </c>
      <c r="J93">
        <v>20</v>
      </c>
      <c r="K93" t="s">
        <v>326</v>
      </c>
      <c r="L93" t="s">
        <v>5697</v>
      </c>
      <c r="M93">
        <v>748.33299999999997</v>
      </c>
      <c r="N93" t="s">
        <v>5721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3135</v>
      </c>
      <c r="W93" t="s">
        <v>326</v>
      </c>
      <c r="X93">
        <v>1</v>
      </c>
      <c r="Y93" t="s">
        <v>4211</v>
      </c>
      <c r="Z93" t="s">
        <v>4203</v>
      </c>
      <c r="AA93" t="s">
        <v>2</v>
      </c>
      <c r="AB93" t="s">
        <v>3365</v>
      </c>
      <c r="AC93" t="s">
        <v>4207</v>
      </c>
      <c r="AD93" t="str">
        <f>LEFT(I93,FIND(0,I93)-1)</f>
        <v>MCDO</v>
      </c>
      <c r="AE93" t="s">
        <v>6593</v>
      </c>
      <c r="AF93" t="s">
        <v>6142</v>
      </c>
    </row>
    <row r="94" spans="1:32" x14ac:dyDescent="0.3">
      <c r="A94" t="str">
        <f t="shared" si="5"/>
        <v>Old America Stores</v>
      </c>
      <c r="B94">
        <v>406</v>
      </c>
      <c r="C94" t="s">
        <v>5950</v>
      </c>
      <c r="D94" t="s">
        <v>6006</v>
      </c>
      <c r="E94" t="s">
        <v>6005</v>
      </c>
      <c r="F94" t="s">
        <v>5707</v>
      </c>
      <c r="G94" t="s">
        <v>6141</v>
      </c>
      <c r="H94">
        <v>7.1</v>
      </c>
      <c r="I94" t="s">
        <v>6140</v>
      </c>
      <c r="J94">
        <v>6</v>
      </c>
      <c r="K94" t="s">
        <v>326</v>
      </c>
      <c r="L94" t="s">
        <v>5783</v>
      </c>
      <c r="M94">
        <v>187.667</v>
      </c>
      <c r="N94" t="s">
        <v>5720</v>
      </c>
      <c r="O94" t="s">
        <v>6139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3135</v>
      </c>
      <c r="W94" t="s">
        <v>326</v>
      </c>
      <c r="X94">
        <v>3</v>
      </c>
      <c r="Y94" t="s">
        <v>4567</v>
      </c>
      <c r="Z94" t="s">
        <v>4556</v>
      </c>
      <c r="AA94" t="s">
        <v>4557</v>
      </c>
      <c r="AB94" t="s">
        <v>4558</v>
      </c>
      <c r="AC94" t="s">
        <v>4562</v>
      </c>
      <c r="AD94" t="str">
        <f>LEFT(I94,FIND(4,I94)-1)</f>
        <v>SONN</v>
      </c>
      <c r="AE94" t="s">
        <v>6584</v>
      </c>
      <c r="AF94" t="s">
        <v>6140</v>
      </c>
    </row>
    <row r="95" spans="1:32" x14ac:dyDescent="0.3">
      <c r="A95" t="str">
        <f t="shared" si="5"/>
        <v>Asian Junction</v>
      </c>
      <c r="B95">
        <v>406</v>
      </c>
      <c r="C95" t="s">
        <v>5950</v>
      </c>
      <c r="D95" t="s">
        <v>6006</v>
      </c>
      <c r="E95" t="s">
        <v>6005</v>
      </c>
      <c r="F95" t="s">
        <v>6138</v>
      </c>
      <c r="G95" t="s">
        <v>6137</v>
      </c>
      <c r="H95">
        <v>7.2</v>
      </c>
      <c r="I95" t="s">
        <v>6136</v>
      </c>
      <c r="J95">
        <v>4.7229999999999999</v>
      </c>
      <c r="K95" t="s">
        <v>326</v>
      </c>
      <c r="L95" t="s">
        <v>5771</v>
      </c>
      <c r="M95">
        <v>290.19</v>
      </c>
      <c r="N95" t="s">
        <v>6135</v>
      </c>
      <c r="O95" t="s">
        <v>6134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3135</v>
      </c>
      <c r="W95" t="s">
        <v>326</v>
      </c>
      <c r="X95">
        <v>3</v>
      </c>
      <c r="Y95" t="s">
        <v>3035</v>
      </c>
      <c r="Z95" t="s">
        <v>3022</v>
      </c>
      <c r="AA95" t="s">
        <v>3023</v>
      </c>
      <c r="AB95" t="s">
        <v>3024</v>
      </c>
      <c r="AC95" t="s">
        <v>3028</v>
      </c>
      <c r="AD95" t="str">
        <f>LEFT(I95,FIND(4,I95)-1)</f>
        <v>AGS</v>
      </c>
      <c r="AE95" t="s">
        <v>6594</v>
      </c>
      <c r="AF95" t="s">
        <v>6136</v>
      </c>
    </row>
    <row r="96" spans="1:32" x14ac:dyDescent="0.3">
      <c r="A96" t="str">
        <f t="shared" si="5"/>
        <v>Strong Life</v>
      </c>
      <c r="B96">
        <v>406</v>
      </c>
      <c r="C96" t="s">
        <v>5950</v>
      </c>
      <c r="D96" t="s">
        <v>6006</v>
      </c>
      <c r="E96" t="s">
        <v>6005</v>
      </c>
      <c r="F96" t="s">
        <v>5695</v>
      </c>
      <c r="G96" t="s">
        <v>5561</v>
      </c>
      <c r="H96">
        <v>0</v>
      </c>
      <c r="I96" t="s">
        <v>6133</v>
      </c>
      <c r="J96">
        <v>4.0659999999999998</v>
      </c>
      <c r="K96" t="s">
        <v>326</v>
      </c>
      <c r="L96" t="s">
        <v>6132</v>
      </c>
      <c r="M96">
        <v>122.813</v>
      </c>
      <c r="N96" t="s">
        <v>6131</v>
      </c>
      <c r="O96" t="s">
        <v>6130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3135</v>
      </c>
      <c r="W96" t="s">
        <v>326</v>
      </c>
      <c r="X96">
        <v>3</v>
      </c>
      <c r="Y96" t="s">
        <v>4715</v>
      </c>
      <c r="Z96" t="s">
        <v>4706</v>
      </c>
      <c r="AA96" t="s">
        <v>19</v>
      </c>
      <c r="AB96" t="s">
        <v>3672</v>
      </c>
      <c r="AC96" t="s">
        <v>4710</v>
      </c>
      <c r="AD96" t="str">
        <f>LEFT(I96,FIND(4,I96)-1)</f>
        <v>TBD</v>
      </c>
      <c r="AE96" t="s">
        <v>5387</v>
      </c>
      <c r="AF96" t="s">
        <v>6133</v>
      </c>
    </row>
    <row r="97" spans="1:32" x14ac:dyDescent="0.3">
      <c r="A97" t="str">
        <f t="shared" si="5"/>
        <v>Price's Electronics</v>
      </c>
      <c r="B97">
        <v>406</v>
      </c>
      <c r="C97" t="s">
        <v>5950</v>
      </c>
      <c r="D97" t="s">
        <v>6006</v>
      </c>
      <c r="E97" t="s">
        <v>6005</v>
      </c>
      <c r="F97" t="s">
        <v>5962</v>
      </c>
      <c r="G97" t="s">
        <v>5961</v>
      </c>
      <c r="H97">
        <v>15.5</v>
      </c>
      <c r="I97" t="s">
        <v>6129</v>
      </c>
      <c r="J97">
        <v>3.9449999999999998</v>
      </c>
      <c r="K97" t="s">
        <v>326</v>
      </c>
      <c r="L97" t="s">
        <v>6128</v>
      </c>
      <c r="M97">
        <v>130.18299999999999</v>
      </c>
      <c r="N97" t="s">
        <v>6127</v>
      </c>
      <c r="O97" t="s">
        <v>6033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3135</v>
      </c>
      <c r="W97" t="s">
        <v>326</v>
      </c>
      <c r="X97">
        <v>1</v>
      </c>
      <c r="Y97" t="s">
        <v>4791</v>
      </c>
      <c r="Z97" t="s">
        <v>4780</v>
      </c>
      <c r="AA97" t="s">
        <v>4781</v>
      </c>
      <c r="AB97" t="s">
        <v>4782</v>
      </c>
      <c r="AC97" t="s">
        <v>4786</v>
      </c>
      <c r="AD97" t="str">
        <f>LEFT(I97,FIND(4,I97)-1)</f>
        <v>TYBO</v>
      </c>
      <c r="AE97" t="s">
        <v>6595</v>
      </c>
      <c r="AF97" t="s">
        <v>6129</v>
      </c>
    </row>
    <row r="98" spans="1:32" x14ac:dyDescent="0.3">
      <c r="A98" t="str">
        <f t="shared" si="5"/>
        <v>Brendle's</v>
      </c>
      <c r="B98">
        <v>406</v>
      </c>
      <c r="C98" t="s">
        <v>5950</v>
      </c>
      <c r="D98" t="s">
        <v>6006</v>
      </c>
      <c r="E98" t="s">
        <v>6005</v>
      </c>
      <c r="F98" t="s">
        <v>5770</v>
      </c>
      <c r="G98" t="s">
        <v>6122</v>
      </c>
      <c r="H98">
        <v>13.1</v>
      </c>
      <c r="I98" t="s">
        <v>6126</v>
      </c>
      <c r="J98">
        <v>5</v>
      </c>
      <c r="K98" t="s">
        <v>326</v>
      </c>
      <c r="L98" t="s">
        <v>6125</v>
      </c>
      <c r="M98">
        <v>286</v>
      </c>
      <c r="N98" t="s">
        <v>6124</v>
      </c>
      <c r="O98" t="s">
        <v>6123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3135</v>
      </c>
      <c r="W98" t="s">
        <v>326</v>
      </c>
      <c r="X98">
        <v>3</v>
      </c>
      <c r="Y98" t="s">
        <v>3221</v>
      </c>
      <c r="Z98" t="s">
        <v>3209</v>
      </c>
      <c r="AA98" t="s">
        <v>3210</v>
      </c>
      <c r="AB98" t="s">
        <v>3211</v>
      </c>
      <c r="AC98" t="s">
        <v>3215</v>
      </c>
      <c r="AD98" t="str">
        <f>LEFT(I98,FIND(4,I98)-1)</f>
        <v>BDEL</v>
      </c>
      <c r="AE98" t="s">
        <v>6596</v>
      </c>
      <c r="AF98" t="s">
        <v>6126</v>
      </c>
    </row>
    <row r="99" spans="1:32" x14ac:dyDescent="0.3">
      <c r="A99" t="str">
        <f t="shared" si="5"/>
        <v>Destiny Realty</v>
      </c>
      <c r="B99">
        <v>406</v>
      </c>
      <c r="C99" t="s">
        <v>5950</v>
      </c>
      <c r="D99" t="s">
        <v>6006</v>
      </c>
      <c r="E99" t="s">
        <v>6005</v>
      </c>
      <c r="F99" t="s">
        <v>5770</v>
      </c>
      <c r="G99" t="s">
        <v>6122</v>
      </c>
      <c r="H99">
        <v>13.1</v>
      </c>
      <c r="I99" t="s">
        <v>6121</v>
      </c>
      <c r="J99">
        <v>13</v>
      </c>
      <c r="K99" t="s">
        <v>326</v>
      </c>
      <c r="L99" t="s">
        <v>5697</v>
      </c>
      <c r="M99">
        <v>440.83300000000003</v>
      </c>
      <c r="N99" t="s">
        <v>6120</v>
      </c>
      <c r="O99" t="s">
        <v>5717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3135</v>
      </c>
      <c r="W99" t="s">
        <v>326</v>
      </c>
      <c r="X99">
        <v>3</v>
      </c>
      <c r="Y99" t="s">
        <v>3648</v>
      </c>
      <c r="Z99" t="s">
        <v>4587</v>
      </c>
      <c r="AA99" t="s">
        <v>19</v>
      </c>
      <c r="AB99" t="s">
        <v>41</v>
      </c>
      <c r="AC99" t="s">
        <v>4591</v>
      </c>
      <c r="AD99" t="str">
        <f>LEFT(I99,FIND(1,I99)-1)</f>
        <v>SOUT</v>
      </c>
      <c r="AE99" t="s">
        <v>6591</v>
      </c>
      <c r="AF99" t="s">
        <v>6121</v>
      </c>
    </row>
    <row r="100" spans="1:32" x14ac:dyDescent="0.3">
      <c r="A100" t="str">
        <f t="shared" si="5"/>
        <v>Wells &amp; Wade</v>
      </c>
      <c r="B100">
        <v>406</v>
      </c>
      <c r="C100" t="s">
        <v>5950</v>
      </c>
      <c r="D100" t="s">
        <v>6006</v>
      </c>
      <c r="E100" t="s">
        <v>6005</v>
      </c>
      <c r="F100" t="s">
        <v>5693</v>
      </c>
      <c r="G100" t="s">
        <v>5692</v>
      </c>
      <c r="H100">
        <v>13.1</v>
      </c>
      <c r="I100" t="s">
        <v>6119</v>
      </c>
      <c r="J100">
        <v>7.11</v>
      </c>
      <c r="K100" t="s">
        <v>326</v>
      </c>
      <c r="L100" t="s">
        <v>6012</v>
      </c>
      <c r="M100">
        <v>818.46699999999998</v>
      </c>
      <c r="N100" t="s">
        <v>6118</v>
      </c>
      <c r="O100" t="s">
        <v>6117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3135</v>
      </c>
      <c r="W100" t="s">
        <v>326</v>
      </c>
      <c r="X100">
        <v>1</v>
      </c>
      <c r="Y100" t="s">
        <v>3202</v>
      </c>
      <c r="Z100" t="s">
        <v>3191</v>
      </c>
      <c r="AA100" t="s">
        <v>3192</v>
      </c>
      <c r="AB100" t="s">
        <v>3193</v>
      </c>
      <c r="AC100" t="s">
        <v>3197</v>
      </c>
      <c r="AD100" t="str">
        <f>LEFT(I100,FIND(4,I100)-1)</f>
        <v>BBCO</v>
      </c>
      <c r="AE100" t="s">
        <v>6583</v>
      </c>
      <c r="AF100" t="s">
        <v>6119</v>
      </c>
    </row>
    <row r="101" spans="1:32" x14ac:dyDescent="0.3">
      <c r="A101" t="str">
        <f t="shared" si="5"/>
        <v>Old America Stores</v>
      </c>
      <c r="B101">
        <v>406</v>
      </c>
      <c r="C101" t="s">
        <v>5950</v>
      </c>
      <c r="D101" t="s">
        <v>6006</v>
      </c>
      <c r="E101" t="s">
        <v>6005</v>
      </c>
      <c r="F101" t="s">
        <v>5693</v>
      </c>
      <c r="G101" t="s">
        <v>5692</v>
      </c>
      <c r="H101">
        <v>13.1</v>
      </c>
      <c r="I101" t="s">
        <v>6116</v>
      </c>
      <c r="J101">
        <v>3.879</v>
      </c>
      <c r="K101" t="s">
        <v>326</v>
      </c>
      <c r="L101" t="s">
        <v>6115</v>
      </c>
      <c r="M101">
        <v>152.03700000000001</v>
      </c>
      <c r="N101" t="s">
        <v>6114</v>
      </c>
      <c r="O101" t="s">
        <v>6113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3135</v>
      </c>
      <c r="W101" t="s">
        <v>326</v>
      </c>
      <c r="X101">
        <v>1</v>
      </c>
      <c r="Y101" t="s">
        <v>4567</v>
      </c>
      <c r="Z101" t="s">
        <v>4556</v>
      </c>
      <c r="AA101" t="s">
        <v>4557</v>
      </c>
      <c r="AB101" t="s">
        <v>4558</v>
      </c>
      <c r="AC101" t="s">
        <v>4562</v>
      </c>
      <c r="AD101" t="str">
        <f>LEFT(I101,FIND(4,I101)-1)</f>
        <v>SONN</v>
      </c>
      <c r="AE101" t="s">
        <v>6584</v>
      </c>
      <c r="AF101" t="s">
        <v>6116</v>
      </c>
    </row>
    <row r="102" spans="1:32" x14ac:dyDescent="0.3">
      <c r="A102" t="str">
        <f t="shared" si="5"/>
        <v>Pro Yard Services</v>
      </c>
      <c r="B102">
        <v>406</v>
      </c>
      <c r="C102" t="s">
        <v>5950</v>
      </c>
      <c r="D102" t="s">
        <v>6006</v>
      </c>
      <c r="E102" t="s">
        <v>6005</v>
      </c>
      <c r="F102" t="s">
        <v>5991</v>
      </c>
      <c r="G102" t="s">
        <v>5990</v>
      </c>
      <c r="H102">
        <v>2.5</v>
      </c>
      <c r="I102" t="s">
        <v>6112</v>
      </c>
      <c r="J102">
        <v>7.1070000000000002</v>
      </c>
      <c r="K102" t="s">
        <v>326</v>
      </c>
      <c r="L102" t="s">
        <v>6111</v>
      </c>
      <c r="M102">
        <v>215.21</v>
      </c>
      <c r="N102" t="s">
        <v>6110</v>
      </c>
      <c r="O102" t="s">
        <v>6109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3135</v>
      </c>
      <c r="W102" t="s">
        <v>326</v>
      </c>
      <c r="X102">
        <v>3</v>
      </c>
      <c r="Y102" t="s">
        <v>4685</v>
      </c>
      <c r="Z102" t="s">
        <v>4675</v>
      </c>
      <c r="AA102" t="s">
        <v>11</v>
      </c>
      <c r="AB102" t="s">
        <v>4676</v>
      </c>
      <c r="AC102" t="s">
        <v>4680</v>
      </c>
      <c r="AD102" t="str">
        <f>LEFT(I102,FIND(4,I102)-1)</f>
        <v>SPEC</v>
      </c>
      <c r="AE102" t="s">
        <v>6597</v>
      </c>
      <c r="AF102" t="s">
        <v>6112</v>
      </c>
    </row>
    <row r="103" spans="1:32" x14ac:dyDescent="0.3">
      <c r="A103" t="str">
        <f t="shared" si="5"/>
        <v>Old America Stores</v>
      </c>
      <c r="B103">
        <v>406</v>
      </c>
      <c r="C103" t="s">
        <v>5950</v>
      </c>
      <c r="D103" t="s">
        <v>6006</v>
      </c>
      <c r="E103" t="s">
        <v>6005</v>
      </c>
      <c r="F103" t="s">
        <v>5724</v>
      </c>
      <c r="G103" t="s">
        <v>6105</v>
      </c>
      <c r="H103">
        <v>13.4</v>
      </c>
      <c r="I103" t="s">
        <v>6108</v>
      </c>
      <c r="J103">
        <v>6</v>
      </c>
      <c r="K103" t="s">
        <v>326</v>
      </c>
      <c r="L103" t="s">
        <v>5783</v>
      </c>
      <c r="M103">
        <v>380</v>
      </c>
      <c r="N103" t="s">
        <v>6107</v>
      </c>
      <c r="O103" t="s">
        <v>6106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3135</v>
      </c>
      <c r="W103" t="s">
        <v>326</v>
      </c>
      <c r="X103">
        <v>1</v>
      </c>
      <c r="Y103" t="s">
        <v>4567</v>
      </c>
      <c r="Z103" t="s">
        <v>4556</v>
      </c>
      <c r="AA103" t="s">
        <v>4557</v>
      </c>
      <c r="AB103" t="s">
        <v>4558</v>
      </c>
      <c r="AC103" t="s">
        <v>4562</v>
      </c>
      <c r="AD103" t="str">
        <f>LEFT(I103,FIND(4,I103)-1)</f>
        <v>SONN</v>
      </c>
      <c r="AE103" t="s">
        <v>6584</v>
      </c>
      <c r="AF103" t="s">
        <v>6108</v>
      </c>
    </row>
    <row r="104" spans="1:32" x14ac:dyDescent="0.3">
      <c r="A104" t="str">
        <f t="shared" si="5"/>
        <v>Old America Stores</v>
      </c>
      <c r="B104">
        <v>406</v>
      </c>
      <c r="C104" t="s">
        <v>5950</v>
      </c>
      <c r="D104" t="s">
        <v>6006</v>
      </c>
      <c r="E104" t="s">
        <v>6005</v>
      </c>
      <c r="F104" t="s">
        <v>5733</v>
      </c>
      <c r="G104" t="s">
        <v>6105</v>
      </c>
      <c r="H104">
        <v>13.4</v>
      </c>
      <c r="I104" t="s">
        <v>6104</v>
      </c>
      <c r="J104">
        <v>6</v>
      </c>
      <c r="K104" t="s">
        <v>326</v>
      </c>
      <c r="L104" t="s">
        <v>5783</v>
      </c>
      <c r="M104">
        <v>231</v>
      </c>
      <c r="N104" t="s">
        <v>6103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3135</v>
      </c>
      <c r="W104" t="s">
        <v>326</v>
      </c>
      <c r="X104">
        <v>1</v>
      </c>
      <c r="Y104" t="s">
        <v>4567</v>
      </c>
      <c r="Z104" t="s">
        <v>4556</v>
      </c>
      <c r="AA104" t="s">
        <v>4557</v>
      </c>
      <c r="AB104" t="s">
        <v>4558</v>
      </c>
      <c r="AC104" t="s">
        <v>4562</v>
      </c>
      <c r="AD104" t="str">
        <f>LEFT(I104,FIND(4,I104)-1)</f>
        <v>SONN</v>
      </c>
      <c r="AE104" t="s">
        <v>6584</v>
      </c>
      <c r="AF104" t="s">
        <v>6104</v>
      </c>
    </row>
    <row r="105" spans="1:32" x14ac:dyDescent="0.3">
      <c r="A105" t="str">
        <f t="shared" si="5"/>
        <v>Wells &amp; Wade</v>
      </c>
      <c r="B105">
        <v>406</v>
      </c>
      <c r="C105" t="s">
        <v>5950</v>
      </c>
      <c r="D105" t="s">
        <v>6006</v>
      </c>
      <c r="E105" t="s">
        <v>6005</v>
      </c>
      <c r="F105" t="s">
        <v>6102</v>
      </c>
      <c r="G105" t="s">
        <v>5581</v>
      </c>
      <c r="H105">
        <v>0</v>
      </c>
      <c r="I105" t="s">
        <v>6101</v>
      </c>
      <c r="J105">
        <v>3.3010000000000002</v>
      </c>
      <c r="K105" t="s">
        <v>326</v>
      </c>
      <c r="L105" t="s">
        <v>6100</v>
      </c>
      <c r="M105">
        <v>113.03</v>
      </c>
      <c r="N105" t="s">
        <v>6099</v>
      </c>
      <c r="O105" t="s">
        <v>5957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3135</v>
      </c>
      <c r="W105" t="s">
        <v>326</v>
      </c>
      <c r="X105">
        <v>1</v>
      </c>
      <c r="Y105" t="s">
        <v>3202</v>
      </c>
      <c r="Z105" t="s">
        <v>3191</v>
      </c>
      <c r="AA105" t="s">
        <v>3192</v>
      </c>
      <c r="AB105" t="s">
        <v>3193</v>
      </c>
      <c r="AC105" t="s">
        <v>3197</v>
      </c>
      <c r="AD105" t="str">
        <f>LEFT(I105,FIND(5,I105)-1)</f>
        <v>BBCO</v>
      </c>
      <c r="AE105" t="s">
        <v>6583</v>
      </c>
      <c r="AF105" t="s">
        <v>6101</v>
      </c>
    </row>
    <row r="106" spans="1:32" x14ac:dyDescent="0.3">
      <c r="A106" t="str">
        <f t="shared" si="5"/>
        <v>Wells &amp; Wade</v>
      </c>
      <c r="B106">
        <v>406</v>
      </c>
      <c r="C106" t="s">
        <v>5950</v>
      </c>
      <c r="D106" t="s">
        <v>6006</v>
      </c>
      <c r="E106" t="s">
        <v>6005</v>
      </c>
      <c r="F106" t="s">
        <v>6098</v>
      </c>
      <c r="G106" t="s">
        <v>6097</v>
      </c>
      <c r="H106">
        <v>16.8</v>
      </c>
      <c r="I106" t="s">
        <v>6096</v>
      </c>
      <c r="J106">
        <v>9.2140000000000004</v>
      </c>
      <c r="K106" t="s">
        <v>326</v>
      </c>
      <c r="L106" t="s">
        <v>6095</v>
      </c>
      <c r="M106">
        <v>310.42</v>
      </c>
      <c r="N106" t="s">
        <v>6094</v>
      </c>
      <c r="O106" t="s">
        <v>6093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3135</v>
      </c>
      <c r="W106" t="s">
        <v>326</v>
      </c>
      <c r="X106">
        <v>1</v>
      </c>
      <c r="Y106" t="s">
        <v>3202</v>
      </c>
      <c r="Z106" t="s">
        <v>3191</v>
      </c>
      <c r="AA106" t="s">
        <v>3192</v>
      </c>
      <c r="AB106" t="s">
        <v>3193</v>
      </c>
      <c r="AC106" t="s">
        <v>3197</v>
      </c>
      <c r="AD106" t="str">
        <f>LEFT(I106,FIND(4,I106)-1)</f>
        <v>BBCO</v>
      </c>
      <c r="AE106" t="s">
        <v>6583</v>
      </c>
      <c r="AF106" t="s">
        <v>6096</v>
      </c>
    </row>
    <row r="107" spans="1:32" x14ac:dyDescent="0.3">
      <c r="A107" t="str">
        <f t="shared" si="5"/>
        <v>Red Food</v>
      </c>
      <c r="B107">
        <v>406</v>
      </c>
      <c r="C107" t="s">
        <v>5950</v>
      </c>
      <c r="D107" t="s">
        <v>6006</v>
      </c>
      <c r="E107" t="s">
        <v>6005</v>
      </c>
      <c r="F107" t="s">
        <v>5689</v>
      </c>
      <c r="G107" t="s">
        <v>5985</v>
      </c>
      <c r="H107">
        <v>16.100000000000001</v>
      </c>
      <c r="I107" t="s">
        <v>6092</v>
      </c>
      <c r="J107">
        <v>22</v>
      </c>
      <c r="K107" t="s">
        <v>326</v>
      </c>
      <c r="L107" t="s">
        <v>6049</v>
      </c>
      <c r="M107">
        <v>1545.5</v>
      </c>
      <c r="N107" t="s">
        <v>5691</v>
      </c>
      <c r="O107" t="s">
        <v>5732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3135</v>
      </c>
      <c r="W107" t="s">
        <v>326</v>
      </c>
      <c r="X107">
        <v>1</v>
      </c>
      <c r="Y107" t="s">
        <v>4355</v>
      </c>
      <c r="Z107" t="s">
        <v>4346</v>
      </c>
      <c r="AA107" t="s">
        <v>4089</v>
      </c>
      <c r="AB107" t="s">
        <v>4090</v>
      </c>
      <c r="AC107" t="s">
        <v>4350</v>
      </c>
      <c r="AD107" t="str">
        <f t="shared" ref="AD107:AD108" si="8">LEFT(I107,FIND(0,I107)-1)</f>
        <v>BADE</v>
      </c>
      <c r="AE107" t="s">
        <v>6598</v>
      </c>
      <c r="AF107" t="s">
        <v>6092</v>
      </c>
    </row>
    <row r="108" spans="1:32" x14ac:dyDescent="0.3">
      <c r="A108" t="str">
        <f t="shared" si="5"/>
        <v>Britling Cafeterias</v>
      </c>
      <c r="B108">
        <v>406</v>
      </c>
      <c r="C108" t="s">
        <v>5950</v>
      </c>
      <c r="D108" t="s">
        <v>6006</v>
      </c>
      <c r="E108" t="s">
        <v>6005</v>
      </c>
      <c r="F108" t="s">
        <v>5689</v>
      </c>
      <c r="G108" t="s">
        <v>5985</v>
      </c>
      <c r="H108">
        <v>16.100000000000001</v>
      </c>
      <c r="I108" t="s">
        <v>6091</v>
      </c>
      <c r="J108">
        <v>17</v>
      </c>
      <c r="K108" t="s">
        <v>326</v>
      </c>
      <c r="L108" t="s">
        <v>6049</v>
      </c>
      <c r="M108">
        <v>1438</v>
      </c>
      <c r="N108" t="s">
        <v>6090</v>
      </c>
      <c r="O108" t="s">
        <v>6089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3135</v>
      </c>
      <c r="W108" t="s">
        <v>326</v>
      </c>
      <c r="X108">
        <v>1</v>
      </c>
      <c r="Y108" t="s">
        <v>3237</v>
      </c>
      <c r="Z108" t="s">
        <v>3226</v>
      </c>
      <c r="AA108" t="s">
        <v>3227</v>
      </c>
      <c r="AB108" t="s">
        <v>3228</v>
      </c>
      <c r="AC108" t="s">
        <v>3232</v>
      </c>
      <c r="AD108" t="str">
        <f t="shared" si="8"/>
        <v>BATR</v>
      </c>
      <c r="AE108" t="s">
        <v>6599</v>
      </c>
      <c r="AF108" t="s">
        <v>6091</v>
      </c>
    </row>
    <row r="109" spans="1:32" x14ac:dyDescent="0.3">
      <c r="A109" t="str">
        <f t="shared" si="5"/>
        <v>Record World</v>
      </c>
      <c r="B109">
        <v>406</v>
      </c>
      <c r="C109" t="s">
        <v>5950</v>
      </c>
      <c r="D109" t="s">
        <v>6006</v>
      </c>
      <c r="E109" t="s">
        <v>6005</v>
      </c>
      <c r="F109" t="s">
        <v>5689</v>
      </c>
      <c r="G109" t="s">
        <v>5985</v>
      </c>
      <c r="H109">
        <v>16.100000000000001</v>
      </c>
      <c r="I109" t="s">
        <v>6088</v>
      </c>
      <c r="J109">
        <v>7.1950000000000003</v>
      </c>
      <c r="K109" t="s">
        <v>326</v>
      </c>
      <c r="L109" t="s">
        <v>5738</v>
      </c>
      <c r="M109">
        <v>541.03300000000002</v>
      </c>
      <c r="N109" t="s">
        <v>5754</v>
      </c>
      <c r="O109" t="s">
        <v>6087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3135</v>
      </c>
      <c r="W109" t="s">
        <v>326</v>
      </c>
      <c r="X109">
        <v>3</v>
      </c>
      <c r="Y109" t="s">
        <v>3271</v>
      </c>
      <c r="Z109" t="s">
        <v>3260</v>
      </c>
      <c r="AA109" t="s">
        <v>3261</v>
      </c>
      <c r="AB109" t="s">
        <v>3262</v>
      </c>
      <c r="AC109" t="s">
        <v>3266</v>
      </c>
      <c r="AD109" t="str">
        <f>LEFT(I109,FIND(4,I109)-1)</f>
        <v>BMTL</v>
      </c>
      <c r="AE109" t="s">
        <v>6600</v>
      </c>
      <c r="AF109" t="s">
        <v>6088</v>
      </c>
    </row>
    <row r="110" spans="1:32" x14ac:dyDescent="0.3">
      <c r="A110" t="str">
        <f t="shared" si="5"/>
        <v>Earthworks Garden Kare</v>
      </c>
      <c r="B110">
        <v>406</v>
      </c>
      <c r="C110" t="s">
        <v>5950</v>
      </c>
      <c r="D110" t="s">
        <v>6006</v>
      </c>
      <c r="E110" t="s">
        <v>6005</v>
      </c>
      <c r="F110" t="s">
        <v>5689</v>
      </c>
      <c r="G110" t="s">
        <v>5985</v>
      </c>
      <c r="H110">
        <v>16.100000000000001</v>
      </c>
      <c r="I110" t="s">
        <v>6086</v>
      </c>
      <c r="J110">
        <v>22</v>
      </c>
      <c r="K110" t="s">
        <v>326</v>
      </c>
      <c r="L110" t="s">
        <v>6083</v>
      </c>
      <c r="M110">
        <v>1518.6669999999999</v>
      </c>
      <c r="N110" t="s">
        <v>6085</v>
      </c>
      <c r="O110" t="s">
        <v>5704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3135</v>
      </c>
      <c r="W110" t="s">
        <v>326</v>
      </c>
      <c r="X110">
        <v>1</v>
      </c>
      <c r="Y110" t="s">
        <v>3407</v>
      </c>
      <c r="Z110" t="s">
        <v>3396</v>
      </c>
      <c r="AA110" t="s">
        <v>3397</v>
      </c>
      <c r="AB110" t="s">
        <v>3398</v>
      </c>
      <c r="AC110" t="s">
        <v>3402</v>
      </c>
      <c r="AD110" t="str">
        <f>LEFT(I110,FIND(4,I110)-1)</f>
        <v>DMG</v>
      </c>
      <c r="AE110" t="s">
        <v>6601</v>
      </c>
      <c r="AF110" t="s">
        <v>6086</v>
      </c>
    </row>
    <row r="111" spans="1:32" x14ac:dyDescent="0.3">
      <c r="A111" t="str">
        <f t="shared" si="5"/>
        <v>Earthworks Garden Kare</v>
      </c>
      <c r="B111">
        <v>406</v>
      </c>
      <c r="C111" t="s">
        <v>5950</v>
      </c>
      <c r="D111" t="s">
        <v>6006</v>
      </c>
      <c r="E111" t="s">
        <v>6005</v>
      </c>
      <c r="F111" t="s">
        <v>5689</v>
      </c>
      <c r="G111" t="s">
        <v>5985</v>
      </c>
      <c r="H111">
        <v>16.100000000000001</v>
      </c>
      <c r="I111" t="s">
        <v>6084</v>
      </c>
      <c r="J111">
        <v>12</v>
      </c>
      <c r="K111" t="s">
        <v>326</v>
      </c>
      <c r="L111" t="s">
        <v>6083</v>
      </c>
      <c r="M111">
        <v>723.8</v>
      </c>
      <c r="N111" t="s">
        <v>5705</v>
      </c>
      <c r="O111" t="s">
        <v>5690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3135</v>
      </c>
      <c r="W111" t="s">
        <v>326</v>
      </c>
      <c r="X111">
        <v>3</v>
      </c>
      <c r="Y111" t="s">
        <v>3407</v>
      </c>
      <c r="Z111" t="s">
        <v>3396</v>
      </c>
      <c r="AA111" t="s">
        <v>3397</v>
      </c>
      <c r="AB111" t="s">
        <v>3398</v>
      </c>
      <c r="AC111" t="s">
        <v>3402</v>
      </c>
      <c r="AD111" t="str">
        <f>LEFT(I111,FIND(4,I111)-1)</f>
        <v>DMG</v>
      </c>
      <c r="AE111" t="s">
        <v>6601</v>
      </c>
      <c r="AF111" t="s">
        <v>6084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5950</v>
      </c>
      <c r="D112" t="s">
        <v>6006</v>
      </c>
      <c r="E112" t="s">
        <v>6005</v>
      </c>
      <c r="F112" t="s">
        <v>5689</v>
      </c>
      <c r="G112" t="s">
        <v>5985</v>
      </c>
      <c r="H112">
        <v>16.100000000000001</v>
      </c>
      <c r="I112" t="s">
        <v>6082</v>
      </c>
      <c r="J112">
        <v>7.3070000000000004</v>
      </c>
      <c r="K112" t="s">
        <v>326</v>
      </c>
      <c r="L112" t="s">
        <v>6081</v>
      </c>
      <c r="M112">
        <v>537.41999999999996</v>
      </c>
      <c r="N112" t="s">
        <v>5729</v>
      </c>
      <c r="O112" t="s">
        <v>6070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3135</v>
      </c>
      <c r="W112" t="s">
        <v>326</v>
      </c>
      <c r="X112">
        <v>3</v>
      </c>
      <c r="Y112" t="s">
        <v>3288</v>
      </c>
      <c r="Z112" t="s">
        <v>3277</v>
      </c>
      <c r="AA112" t="s">
        <v>18</v>
      </c>
      <c r="AB112" t="s">
        <v>3278</v>
      </c>
      <c r="AC112" t="s">
        <v>3282</v>
      </c>
      <c r="AD112" t="str">
        <f>LEFT(I112,FIND(4,I112)-1)</f>
        <v>DTL</v>
      </c>
      <c r="AE112" t="s">
        <v>6602</v>
      </c>
      <c r="AF112" t="s">
        <v>6082</v>
      </c>
    </row>
    <row r="113" spans="1:32" x14ac:dyDescent="0.3">
      <c r="A113" t="str">
        <f t="shared" si="5"/>
        <v>Best Biz Survis</v>
      </c>
      <c r="B113">
        <v>406</v>
      </c>
      <c r="C113" t="s">
        <v>5950</v>
      </c>
      <c r="D113" t="s">
        <v>6006</v>
      </c>
      <c r="E113" t="s">
        <v>6005</v>
      </c>
      <c r="F113" t="s">
        <v>5689</v>
      </c>
      <c r="G113" t="s">
        <v>5985</v>
      </c>
      <c r="H113">
        <v>16.100000000000001</v>
      </c>
      <c r="I113" t="s">
        <v>6080</v>
      </c>
      <c r="J113">
        <v>25</v>
      </c>
      <c r="K113" t="s">
        <v>326</v>
      </c>
      <c r="L113" t="s">
        <v>5780</v>
      </c>
      <c r="M113">
        <v>1696.5</v>
      </c>
      <c r="N113" t="s">
        <v>5691</v>
      </c>
      <c r="O113" t="s">
        <v>6079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3135</v>
      </c>
      <c r="W113" t="s">
        <v>326</v>
      </c>
      <c r="X113">
        <v>1</v>
      </c>
      <c r="Y113" t="s">
        <v>3697</v>
      </c>
      <c r="Z113" t="s">
        <v>3686</v>
      </c>
      <c r="AA113" t="s">
        <v>3687</v>
      </c>
      <c r="AB113" t="s">
        <v>3688</v>
      </c>
      <c r="AC113" t="s">
        <v>3692</v>
      </c>
      <c r="AD113" t="str">
        <f>LEFT(I113,FIND(0,I113)-1)</f>
        <v>GARY</v>
      </c>
      <c r="AE113" t="s">
        <v>6603</v>
      </c>
      <c r="AF113" t="s">
        <v>6080</v>
      </c>
    </row>
    <row r="114" spans="1:32" x14ac:dyDescent="0.3">
      <c r="A114" t="str">
        <f t="shared" si="5"/>
        <v>Monk House Sales</v>
      </c>
      <c r="B114">
        <v>406</v>
      </c>
      <c r="C114" t="s">
        <v>5950</v>
      </c>
      <c r="D114" t="s">
        <v>6006</v>
      </c>
      <c r="E114" t="s">
        <v>6005</v>
      </c>
      <c r="F114" t="s">
        <v>5689</v>
      </c>
      <c r="G114" t="s">
        <v>5985</v>
      </c>
      <c r="H114">
        <v>16.100000000000001</v>
      </c>
      <c r="I114" t="s">
        <v>6078</v>
      </c>
      <c r="J114">
        <v>7.2709999999999999</v>
      </c>
      <c r="K114" t="s">
        <v>326</v>
      </c>
      <c r="L114" t="s">
        <v>6076</v>
      </c>
      <c r="M114">
        <v>629.42700000000002</v>
      </c>
      <c r="N114" t="s">
        <v>5754</v>
      </c>
      <c r="O114" t="s">
        <v>5704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3135</v>
      </c>
      <c r="W114" t="s">
        <v>326</v>
      </c>
      <c r="X114">
        <v>3</v>
      </c>
      <c r="Y114" t="s">
        <v>3746</v>
      </c>
      <c r="Z114" t="s">
        <v>3735</v>
      </c>
      <c r="AA114" t="s">
        <v>3736</v>
      </c>
      <c r="AB114" t="s">
        <v>3737</v>
      </c>
      <c r="AC114" t="s">
        <v>3741</v>
      </c>
      <c r="AD114" t="str">
        <f>LEFT(I114,FIND(4,I114)-1)</f>
        <v>GST</v>
      </c>
      <c r="AE114" t="s">
        <v>6604</v>
      </c>
      <c r="AF114" t="s">
        <v>6078</v>
      </c>
    </row>
    <row r="115" spans="1:32" x14ac:dyDescent="0.3">
      <c r="A115" t="str">
        <f t="shared" si="5"/>
        <v>Mervyn's</v>
      </c>
      <c r="B115">
        <v>406</v>
      </c>
      <c r="C115" t="s">
        <v>5950</v>
      </c>
      <c r="D115" t="s">
        <v>6006</v>
      </c>
      <c r="E115" t="s">
        <v>6005</v>
      </c>
      <c r="F115" t="s">
        <v>5689</v>
      </c>
      <c r="G115" t="s">
        <v>5985</v>
      </c>
      <c r="H115">
        <v>16.100000000000001</v>
      </c>
      <c r="I115" t="s">
        <v>6077</v>
      </c>
      <c r="J115">
        <v>7.2709999999999999</v>
      </c>
      <c r="K115" t="s">
        <v>326</v>
      </c>
      <c r="L115" t="s">
        <v>6076</v>
      </c>
      <c r="M115">
        <v>646.01</v>
      </c>
      <c r="N115" t="s">
        <v>5718</v>
      </c>
      <c r="O115" t="s">
        <v>5859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3135</v>
      </c>
      <c r="W115" t="s">
        <v>326</v>
      </c>
      <c r="X115">
        <v>3</v>
      </c>
      <c r="Y115" t="s">
        <v>3836</v>
      </c>
      <c r="Z115" t="s">
        <v>3827</v>
      </c>
      <c r="AA115" t="s">
        <v>3138</v>
      </c>
      <c r="AB115" t="s">
        <v>3139</v>
      </c>
      <c r="AC115" t="s">
        <v>3831</v>
      </c>
      <c r="AD115" t="str">
        <f>LEFT(I115,FIND(4,I115)-1)</f>
        <v>HGT</v>
      </c>
      <c r="AE115" t="s">
        <v>6605</v>
      </c>
      <c r="AF115" t="s">
        <v>6077</v>
      </c>
    </row>
    <row r="116" spans="1:32" x14ac:dyDescent="0.3">
      <c r="A116" t="str">
        <f t="shared" si="5"/>
        <v>Strongbod</v>
      </c>
      <c r="B116">
        <v>406</v>
      </c>
      <c r="C116" t="s">
        <v>5950</v>
      </c>
      <c r="D116" t="s">
        <v>6006</v>
      </c>
      <c r="E116" t="s">
        <v>6005</v>
      </c>
      <c r="F116" t="s">
        <v>5689</v>
      </c>
      <c r="G116" t="s">
        <v>5985</v>
      </c>
      <c r="H116">
        <v>16.100000000000001</v>
      </c>
      <c r="I116" t="s">
        <v>6075</v>
      </c>
      <c r="J116">
        <v>7.31</v>
      </c>
      <c r="K116" t="s">
        <v>326</v>
      </c>
      <c r="L116" t="s">
        <v>6074</v>
      </c>
      <c r="M116">
        <v>655.76700000000005</v>
      </c>
      <c r="N116" t="s">
        <v>5702</v>
      </c>
      <c r="O116" t="s">
        <v>5732</v>
      </c>
      <c r="P116" t="s">
        <v>3653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3135</v>
      </c>
      <c r="W116" t="s">
        <v>326</v>
      </c>
      <c r="X116">
        <v>3</v>
      </c>
      <c r="Y116" t="s">
        <v>3807</v>
      </c>
      <c r="Z116" t="s">
        <v>3798</v>
      </c>
      <c r="AA116" t="s">
        <v>3243</v>
      </c>
      <c r="AB116" t="s">
        <v>3799</v>
      </c>
      <c r="AC116" t="s">
        <v>3803</v>
      </c>
      <c r="AD116" t="str">
        <f>LEFT(I116,FIND(4,I116)-1)</f>
        <v>HMT</v>
      </c>
      <c r="AE116" t="s">
        <v>6606</v>
      </c>
      <c r="AF116" t="s">
        <v>6075</v>
      </c>
    </row>
    <row r="117" spans="1:32" x14ac:dyDescent="0.3">
      <c r="A117" t="str">
        <f t="shared" si="5"/>
        <v>Record Bar</v>
      </c>
      <c r="B117">
        <v>406</v>
      </c>
      <c r="C117" t="s">
        <v>5950</v>
      </c>
      <c r="D117" t="s">
        <v>6006</v>
      </c>
      <c r="E117" t="s">
        <v>6005</v>
      </c>
      <c r="F117" t="s">
        <v>5689</v>
      </c>
      <c r="G117" t="s">
        <v>5985</v>
      </c>
      <c r="H117">
        <v>16.100000000000001</v>
      </c>
      <c r="I117" t="s">
        <v>6073</v>
      </c>
      <c r="J117">
        <v>7.2220000000000004</v>
      </c>
      <c r="K117" t="s">
        <v>326</v>
      </c>
      <c r="L117" t="s">
        <v>6072</v>
      </c>
      <c r="M117">
        <v>461.48700000000002</v>
      </c>
      <c r="N117" t="s">
        <v>5753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3135</v>
      </c>
      <c r="W117" t="s">
        <v>326</v>
      </c>
      <c r="X117">
        <v>3</v>
      </c>
      <c r="Y117" t="s">
        <v>3961</v>
      </c>
      <c r="Z117" t="s">
        <v>3952</v>
      </c>
      <c r="AA117" t="s">
        <v>3261</v>
      </c>
      <c r="AB117" t="s">
        <v>3262</v>
      </c>
      <c r="AC117" t="s">
        <v>3956</v>
      </c>
      <c r="AD117" t="str">
        <f>LEFT(I117,FIND(4,I117)-1)</f>
        <v>JBST</v>
      </c>
      <c r="AE117" t="s">
        <v>6607</v>
      </c>
      <c r="AF117" t="s">
        <v>6073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5950</v>
      </c>
      <c r="D118" t="s">
        <v>6006</v>
      </c>
      <c r="E118" t="s">
        <v>6005</v>
      </c>
      <c r="F118" t="s">
        <v>5689</v>
      </c>
      <c r="G118" t="s">
        <v>5985</v>
      </c>
      <c r="H118">
        <v>16.100000000000001</v>
      </c>
      <c r="I118" t="s">
        <v>6071</v>
      </c>
      <c r="J118">
        <v>15</v>
      </c>
      <c r="K118" t="s">
        <v>326</v>
      </c>
      <c r="L118" t="s">
        <v>5780</v>
      </c>
      <c r="M118">
        <v>1299.6669999999999</v>
      </c>
      <c r="N118" t="s">
        <v>5718</v>
      </c>
      <c r="O118" t="s">
        <v>6070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3135</v>
      </c>
      <c r="W118" t="s">
        <v>326</v>
      </c>
      <c r="X118">
        <v>2</v>
      </c>
      <c r="Y118" t="s">
        <v>4369</v>
      </c>
      <c r="Z118" t="s">
        <v>4483</v>
      </c>
      <c r="AA118" t="s">
        <v>4484</v>
      </c>
      <c r="AB118" t="s">
        <v>4485</v>
      </c>
      <c r="AC118" t="s">
        <v>4489</v>
      </c>
      <c r="AD118" t="str">
        <f t="shared" ref="AD118:AD120" si="9">LEFT(I118,FIND(0,I118)-1)</f>
        <v>KAIN</v>
      </c>
      <c r="AE118" t="s">
        <v>6608</v>
      </c>
      <c r="AF118" t="s">
        <v>6071</v>
      </c>
    </row>
    <row r="119" spans="1:32" x14ac:dyDescent="0.3">
      <c r="A119" t="str">
        <f t="shared" si="5"/>
        <v>The Flying Bear</v>
      </c>
      <c r="B119">
        <v>406</v>
      </c>
      <c r="C119" t="s">
        <v>5950</v>
      </c>
      <c r="D119" t="s">
        <v>6006</v>
      </c>
      <c r="E119" t="s">
        <v>6005</v>
      </c>
      <c r="F119" t="s">
        <v>5689</v>
      </c>
      <c r="G119" t="s">
        <v>5985</v>
      </c>
      <c r="H119">
        <v>16.100000000000001</v>
      </c>
      <c r="I119" t="s">
        <v>6069</v>
      </c>
      <c r="J119">
        <v>20</v>
      </c>
      <c r="K119" t="s">
        <v>326</v>
      </c>
      <c r="L119" t="s">
        <v>5809</v>
      </c>
      <c r="M119">
        <v>1405.5</v>
      </c>
      <c r="N119" t="s">
        <v>5702</v>
      </c>
      <c r="O119" t="s">
        <v>6068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3135</v>
      </c>
      <c r="W119" t="s">
        <v>326</v>
      </c>
      <c r="X119">
        <v>1</v>
      </c>
      <c r="Y119" t="s">
        <v>4198</v>
      </c>
      <c r="Z119" t="s">
        <v>4189</v>
      </c>
      <c r="AA119" t="s">
        <v>3102</v>
      </c>
      <c r="AB119" t="s">
        <v>3103</v>
      </c>
      <c r="AC119" t="s">
        <v>4193</v>
      </c>
      <c r="AD119" t="str">
        <f t="shared" si="9"/>
        <v>KEAT</v>
      </c>
      <c r="AE119" t="s">
        <v>6609</v>
      </c>
      <c r="AF119" t="s">
        <v>6069</v>
      </c>
    </row>
    <row r="120" spans="1:32" x14ac:dyDescent="0.3">
      <c r="A120" t="str">
        <f t="shared" si="5"/>
        <v>Great American Music</v>
      </c>
      <c r="B120">
        <v>406</v>
      </c>
      <c r="C120" t="s">
        <v>5950</v>
      </c>
      <c r="D120" t="s">
        <v>6006</v>
      </c>
      <c r="E120" t="s">
        <v>6005</v>
      </c>
      <c r="F120" t="s">
        <v>5689</v>
      </c>
      <c r="G120" t="s">
        <v>5985</v>
      </c>
      <c r="H120">
        <v>16.100000000000001</v>
      </c>
      <c r="I120" t="s">
        <v>6067</v>
      </c>
      <c r="J120">
        <v>22</v>
      </c>
      <c r="K120" t="s">
        <v>326</v>
      </c>
      <c r="L120" t="s">
        <v>5778</v>
      </c>
      <c r="M120">
        <v>1544.6669999999999</v>
      </c>
      <c r="N120" t="s">
        <v>5736</v>
      </c>
      <c r="O120" t="s">
        <v>5779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3135</v>
      </c>
      <c r="W120" t="s">
        <v>326</v>
      </c>
      <c r="X120">
        <v>1</v>
      </c>
      <c r="Y120" t="s">
        <v>4067</v>
      </c>
      <c r="Z120" t="s">
        <v>4059</v>
      </c>
      <c r="AA120" t="s">
        <v>2</v>
      </c>
      <c r="AB120" t="s">
        <v>3906</v>
      </c>
      <c r="AC120" t="s">
        <v>4063</v>
      </c>
      <c r="AD120" t="str">
        <f t="shared" si="9"/>
        <v>KLMC</v>
      </c>
      <c r="AE120" t="s">
        <v>6610</v>
      </c>
      <c r="AF120" t="s">
        <v>6067</v>
      </c>
    </row>
    <row r="121" spans="1:32" x14ac:dyDescent="0.3">
      <c r="A121" t="str">
        <f t="shared" si="5"/>
        <v>Great American Music</v>
      </c>
      <c r="B121">
        <v>406</v>
      </c>
      <c r="C121" t="s">
        <v>5950</v>
      </c>
      <c r="D121" t="s">
        <v>6006</v>
      </c>
      <c r="E121" t="s">
        <v>6005</v>
      </c>
      <c r="F121" t="s">
        <v>5689</v>
      </c>
      <c r="G121" t="s">
        <v>5985</v>
      </c>
      <c r="H121">
        <v>16.100000000000001</v>
      </c>
      <c r="I121" t="s">
        <v>6066</v>
      </c>
      <c r="J121">
        <v>9.9480000000000004</v>
      </c>
      <c r="K121" t="s">
        <v>326</v>
      </c>
      <c r="L121" t="s">
        <v>5778</v>
      </c>
      <c r="M121">
        <v>769.71299999999997</v>
      </c>
      <c r="N121" t="s">
        <v>5701</v>
      </c>
      <c r="O121" t="s">
        <v>5732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3135</v>
      </c>
      <c r="W121" t="s">
        <v>326</v>
      </c>
      <c r="X121">
        <v>3</v>
      </c>
      <c r="Y121" t="s">
        <v>4067</v>
      </c>
      <c r="Z121" t="s">
        <v>4059</v>
      </c>
      <c r="AA121" t="s">
        <v>2</v>
      </c>
      <c r="AB121" t="s">
        <v>3906</v>
      </c>
      <c r="AC121" t="s">
        <v>4063</v>
      </c>
      <c r="AD121" t="str">
        <f>LEFT(I121,FIND(4,I121)-1)</f>
        <v>KLMC</v>
      </c>
      <c r="AE121" t="s">
        <v>6610</v>
      </c>
      <c r="AF121" t="s">
        <v>6066</v>
      </c>
    </row>
    <row r="122" spans="1:32" x14ac:dyDescent="0.3">
      <c r="A122" t="str">
        <f t="shared" si="5"/>
        <v>Hugh M. Woods</v>
      </c>
      <c r="B122">
        <v>406</v>
      </c>
      <c r="C122" t="s">
        <v>5950</v>
      </c>
      <c r="D122" t="s">
        <v>6006</v>
      </c>
      <c r="E122" t="s">
        <v>6005</v>
      </c>
      <c r="F122" t="s">
        <v>5689</v>
      </c>
      <c r="G122" t="s">
        <v>5985</v>
      </c>
      <c r="H122">
        <v>16.100000000000001</v>
      </c>
      <c r="I122" t="s">
        <v>6065</v>
      </c>
      <c r="J122">
        <v>22</v>
      </c>
      <c r="K122" t="s">
        <v>326</v>
      </c>
      <c r="L122" t="s">
        <v>5697</v>
      </c>
      <c r="M122">
        <v>1558</v>
      </c>
      <c r="N122" t="s">
        <v>5691</v>
      </c>
      <c r="O122" t="s">
        <v>6064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3135</v>
      </c>
      <c r="W122" t="s">
        <v>326</v>
      </c>
      <c r="X122">
        <v>1</v>
      </c>
      <c r="Y122" t="s">
        <v>4211</v>
      </c>
      <c r="Z122" t="s">
        <v>4203</v>
      </c>
      <c r="AA122" t="s">
        <v>2</v>
      </c>
      <c r="AB122" t="s">
        <v>3365</v>
      </c>
      <c r="AC122" t="s">
        <v>4207</v>
      </c>
      <c r="AD122" t="str">
        <f>LEFT(I122,FIND(0,I122)-1)</f>
        <v>MCDO</v>
      </c>
      <c r="AE122" t="s">
        <v>6593</v>
      </c>
      <c r="AF122" t="s">
        <v>6065</v>
      </c>
    </row>
    <row r="123" spans="1:32" x14ac:dyDescent="0.3">
      <c r="A123" t="str">
        <f t="shared" si="5"/>
        <v>Piccolo Mondo</v>
      </c>
      <c r="B123">
        <v>406</v>
      </c>
      <c r="C123" t="s">
        <v>5950</v>
      </c>
      <c r="D123" t="s">
        <v>6006</v>
      </c>
      <c r="E123" t="s">
        <v>6005</v>
      </c>
      <c r="F123" t="s">
        <v>5689</v>
      </c>
      <c r="G123" t="s">
        <v>5985</v>
      </c>
      <c r="H123">
        <v>16.100000000000001</v>
      </c>
      <c r="I123" t="s">
        <v>6063</v>
      </c>
      <c r="J123">
        <v>7.2709999999999999</v>
      </c>
      <c r="K123" t="s">
        <v>326</v>
      </c>
      <c r="L123" t="s">
        <v>6049</v>
      </c>
      <c r="M123">
        <v>612.76</v>
      </c>
      <c r="N123" t="s">
        <v>6062</v>
      </c>
      <c r="O123" t="s">
        <v>5911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3135</v>
      </c>
      <c r="W123" t="s">
        <v>326</v>
      </c>
      <c r="X123">
        <v>3</v>
      </c>
      <c r="Y123" t="s">
        <v>4324</v>
      </c>
      <c r="Z123" t="s">
        <v>4313</v>
      </c>
      <c r="AA123" t="s">
        <v>4314</v>
      </c>
      <c r="AB123" t="s">
        <v>4315</v>
      </c>
      <c r="AC123" t="s">
        <v>4319</v>
      </c>
      <c r="AD123" t="str">
        <f>LEFT(I123,FIND(4,I123)-1)</f>
        <v>PBT</v>
      </c>
      <c r="AE123" t="s">
        <v>6611</v>
      </c>
      <c r="AF123" t="s">
        <v>6063</v>
      </c>
    </row>
    <row r="124" spans="1:32" x14ac:dyDescent="0.3">
      <c r="A124" t="str">
        <f t="shared" si="5"/>
        <v>National Shirt Shop</v>
      </c>
      <c r="B124">
        <v>406</v>
      </c>
      <c r="C124" t="s">
        <v>5950</v>
      </c>
      <c r="D124" t="s">
        <v>6006</v>
      </c>
      <c r="E124" t="s">
        <v>6005</v>
      </c>
      <c r="F124" t="s">
        <v>5689</v>
      </c>
      <c r="G124" t="s">
        <v>5985</v>
      </c>
      <c r="H124">
        <v>16.100000000000001</v>
      </c>
      <c r="I124" t="s">
        <v>6061</v>
      </c>
      <c r="J124">
        <v>5.1369999999999996</v>
      </c>
      <c r="K124" t="s">
        <v>326</v>
      </c>
      <c r="L124" t="s">
        <v>6060</v>
      </c>
      <c r="M124">
        <v>327.387</v>
      </c>
      <c r="N124" t="s">
        <v>5701</v>
      </c>
      <c r="O124" t="s">
        <v>5732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3135</v>
      </c>
      <c r="W124" t="s">
        <v>326</v>
      </c>
      <c r="X124">
        <v>3</v>
      </c>
      <c r="Y124" t="s">
        <v>3931</v>
      </c>
      <c r="Z124" t="s">
        <v>3920</v>
      </c>
      <c r="AA124" t="s">
        <v>3921</v>
      </c>
      <c r="AB124" t="s">
        <v>3922</v>
      </c>
      <c r="AC124" t="s">
        <v>3926</v>
      </c>
      <c r="AD124" t="str">
        <f>LEFT(I124,FIND(4,I124)-1)</f>
        <v>RG</v>
      </c>
      <c r="AE124" t="s">
        <v>6612</v>
      </c>
      <c r="AF124" t="s">
        <v>6061</v>
      </c>
    </row>
    <row r="125" spans="1:32" x14ac:dyDescent="0.3">
      <c r="A125" t="str">
        <f t="shared" si="5"/>
        <v>Builders Square</v>
      </c>
      <c r="B125">
        <v>406</v>
      </c>
      <c r="C125" t="s">
        <v>5950</v>
      </c>
      <c r="D125" t="s">
        <v>6006</v>
      </c>
      <c r="E125" t="s">
        <v>6005</v>
      </c>
      <c r="F125" t="s">
        <v>5689</v>
      </c>
      <c r="G125" t="s">
        <v>5985</v>
      </c>
      <c r="H125">
        <v>16.100000000000001</v>
      </c>
      <c r="I125" t="s">
        <v>6059</v>
      </c>
      <c r="J125">
        <v>12</v>
      </c>
      <c r="K125" t="s">
        <v>326</v>
      </c>
      <c r="L125" t="s">
        <v>6058</v>
      </c>
      <c r="M125">
        <v>927.66700000000003</v>
      </c>
      <c r="N125" t="s">
        <v>5691</v>
      </c>
      <c r="O125" t="s">
        <v>5732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3135</v>
      </c>
      <c r="W125" t="s">
        <v>326</v>
      </c>
      <c r="X125">
        <v>2</v>
      </c>
      <c r="Y125" t="s">
        <v>4052</v>
      </c>
      <c r="Z125" t="s">
        <v>4044</v>
      </c>
      <c r="AA125" t="s">
        <v>18</v>
      </c>
      <c r="AB125" t="s">
        <v>3381</v>
      </c>
      <c r="AC125" t="s">
        <v>4048</v>
      </c>
      <c r="AD125" t="str">
        <f t="shared" ref="AD125:AD127" si="10">IF(ISERR(LEFT(I125,FIND("-",I125)-1)),LEFT(I125,FIND(" ",I125)-1),LEFT(I125,FIND("-",I125)-1))</f>
        <v>SEK</v>
      </c>
      <c r="AE125" t="s">
        <v>6613</v>
      </c>
      <c r="AF125" t="s">
        <v>6059</v>
      </c>
    </row>
    <row r="126" spans="1:32" x14ac:dyDescent="0.3">
      <c r="A126" t="str">
        <f t="shared" si="5"/>
        <v>Music Plus</v>
      </c>
      <c r="B126">
        <v>406</v>
      </c>
      <c r="C126" t="s">
        <v>5950</v>
      </c>
      <c r="D126" t="s">
        <v>6006</v>
      </c>
      <c r="E126" t="s">
        <v>6005</v>
      </c>
      <c r="F126" t="s">
        <v>5689</v>
      </c>
      <c r="G126" t="s">
        <v>5985</v>
      </c>
      <c r="H126">
        <v>16.100000000000001</v>
      </c>
      <c r="I126" t="s">
        <v>6057</v>
      </c>
      <c r="J126">
        <v>15</v>
      </c>
      <c r="K126" t="s">
        <v>326</v>
      </c>
      <c r="L126" t="s">
        <v>5792</v>
      </c>
      <c r="M126">
        <v>1021.833</v>
      </c>
      <c r="N126" t="s">
        <v>6056</v>
      </c>
      <c r="O126" t="s">
        <v>6055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3135</v>
      </c>
      <c r="W126" t="s">
        <v>326</v>
      </c>
      <c r="X126">
        <v>2</v>
      </c>
      <c r="Y126" t="s">
        <v>4609</v>
      </c>
      <c r="Z126" t="s">
        <v>4599</v>
      </c>
      <c r="AA126" t="s">
        <v>11</v>
      </c>
      <c r="AB126" t="s">
        <v>4600</v>
      </c>
      <c r="AC126" t="s">
        <v>4604</v>
      </c>
      <c r="AD126" t="str">
        <f>LEFT(I126,FIND(0,I126)-1)</f>
        <v>STEP</v>
      </c>
      <c r="AE126" t="s">
        <v>6614</v>
      </c>
      <c r="AF126" t="s">
        <v>6057</v>
      </c>
    </row>
    <row r="127" spans="1:32" x14ac:dyDescent="0.3">
      <c r="A127" t="str">
        <f t="shared" si="5"/>
        <v>American Wholesale Club</v>
      </c>
      <c r="B127">
        <v>406</v>
      </c>
      <c r="C127" t="s">
        <v>5950</v>
      </c>
      <c r="D127" t="s">
        <v>6006</v>
      </c>
      <c r="E127" t="s">
        <v>6005</v>
      </c>
      <c r="F127" t="s">
        <v>5689</v>
      </c>
      <c r="G127" t="s">
        <v>5985</v>
      </c>
      <c r="H127">
        <v>16.100000000000001</v>
      </c>
      <c r="I127" t="s">
        <v>6054</v>
      </c>
      <c r="J127">
        <v>12</v>
      </c>
      <c r="K127" t="s">
        <v>326</v>
      </c>
      <c r="L127" t="s">
        <v>5697</v>
      </c>
      <c r="M127">
        <v>829.41700000000003</v>
      </c>
      <c r="N127" t="s">
        <v>5691</v>
      </c>
      <c r="O127" t="s">
        <v>6053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3135</v>
      </c>
      <c r="W127" t="s">
        <v>326</v>
      </c>
      <c r="X127">
        <v>3</v>
      </c>
      <c r="Y127" t="s">
        <v>4508</v>
      </c>
      <c r="Z127" t="s">
        <v>4499</v>
      </c>
      <c r="AA127" t="s">
        <v>3736</v>
      </c>
      <c r="AB127" t="s">
        <v>3737</v>
      </c>
      <c r="AC127" t="s">
        <v>4503</v>
      </c>
      <c r="AD127" t="str">
        <f t="shared" si="10"/>
        <v>TDT8</v>
      </c>
      <c r="AE127" t="s">
        <v>5594</v>
      </c>
      <c r="AF127" t="s">
        <v>6054</v>
      </c>
    </row>
    <row r="128" spans="1:32" x14ac:dyDescent="0.3">
      <c r="A128" t="str">
        <f t="shared" si="5"/>
        <v>Kids Mart</v>
      </c>
      <c r="B128">
        <v>406</v>
      </c>
      <c r="C128" t="s">
        <v>5950</v>
      </c>
      <c r="D128" t="s">
        <v>6006</v>
      </c>
      <c r="E128" t="s">
        <v>6005</v>
      </c>
      <c r="F128" t="s">
        <v>5689</v>
      </c>
      <c r="G128" t="s">
        <v>5985</v>
      </c>
      <c r="H128">
        <v>16.100000000000001</v>
      </c>
      <c r="I128" t="s">
        <v>6052</v>
      </c>
      <c r="J128">
        <v>18</v>
      </c>
      <c r="K128" t="s">
        <v>326</v>
      </c>
      <c r="L128" t="s">
        <v>5780</v>
      </c>
      <c r="M128">
        <v>1283.25</v>
      </c>
      <c r="N128" t="s">
        <v>5730</v>
      </c>
      <c r="O128" t="s">
        <v>6051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3135</v>
      </c>
      <c r="W128" t="s">
        <v>326</v>
      </c>
      <c r="X128">
        <v>2</v>
      </c>
      <c r="Y128" t="s">
        <v>4099</v>
      </c>
      <c r="Z128" t="s">
        <v>4738</v>
      </c>
      <c r="AA128" t="s">
        <v>3560</v>
      </c>
      <c r="AB128" t="s">
        <v>3561</v>
      </c>
      <c r="AC128" t="s">
        <v>4742</v>
      </c>
      <c r="AD128" t="str">
        <f t="shared" ref="AD128:AD130" si="11">LEFT(I128,FIND(0,I128)-1)</f>
        <v>TERR</v>
      </c>
      <c r="AE128" t="s">
        <v>6615</v>
      </c>
      <c r="AF128" t="s">
        <v>6052</v>
      </c>
    </row>
    <row r="129" spans="1:32" x14ac:dyDescent="0.3">
      <c r="A129" t="str">
        <f t="shared" si="5"/>
        <v>KB Toys</v>
      </c>
      <c r="B129">
        <v>406</v>
      </c>
      <c r="C129" t="s">
        <v>5950</v>
      </c>
      <c r="D129" t="s">
        <v>6006</v>
      </c>
      <c r="E129" t="s">
        <v>6005</v>
      </c>
      <c r="F129" t="s">
        <v>5689</v>
      </c>
      <c r="G129" t="s">
        <v>5985</v>
      </c>
      <c r="H129">
        <v>16.100000000000001</v>
      </c>
      <c r="I129" t="s">
        <v>6050</v>
      </c>
      <c r="J129">
        <v>27</v>
      </c>
      <c r="K129" t="s">
        <v>326</v>
      </c>
      <c r="L129" t="s">
        <v>6049</v>
      </c>
      <c r="M129">
        <v>1821.5</v>
      </c>
      <c r="N129" t="s">
        <v>5709</v>
      </c>
      <c r="O129" t="s">
        <v>6048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3135</v>
      </c>
      <c r="W129" t="s">
        <v>326</v>
      </c>
      <c r="X129">
        <v>1</v>
      </c>
      <c r="Y129" t="s">
        <v>4894</v>
      </c>
      <c r="Z129" t="s">
        <v>4883</v>
      </c>
      <c r="AA129" t="s">
        <v>4884</v>
      </c>
      <c r="AB129" t="s">
        <v>4885</v>
      </c>
      <c r="AC129" t="s">
        <v>4889</v>
      </c>
      <c r="AD129" t="str">
        <f t="shared" si="11"/>
        <v>ZAPP</v>
      </c>
      <c r="AE129" t="s">
        <v>6616</v>
      </c>
      <c r="AF129" t="s">
        <v>6050</v>
      </c>
    </row>
    <row r="130" spans="1:32" x14ac:dyDescent="0.3">
      <c r="A130" t="str">
        <f t="shared" si="5"/>
        <v>Child World</v>
      </c>
      <c r="B130">
        <v>406</v>
      </c>
      <c r="C130" t="s">
        <v>5950</v>
      </c>
      <c r="D130" t="s">
        <v>6006</v>
      </c>
      <c r="E130" t="s">
        <v>6005</v>
      </c>
      <c r="F130" t="s">
        <v>5689</v>
      </c>
      <c r="G130" t="s">
        <v>5985</v>
      </c>
      <c r="H130">
        <v>16.100000000000001</v>
      </c>
      <c r="I130" t="s">
        <v>6047</v>
      </c>
      <c r="J130">
        <v>17</v>
      </c>
      <c r="K130" t="s">
        <v>326</v>
      </c>
      <c r="L130" t="s">
        <v>5810</v>
      </c>
      <c r="M130">
        <v>1228.3330000000001</v>
      </c>
      <c r="N130" t="s">
        <v>6046</v>
      </c>
      <c r="O130" t="s">
        <v>6043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3135</v>
      </c>
      <c r="W130" t="s">
        <v>326</v>
      </c>
      <c r="X130">
        <v>2</v>
      </c>
      <c r="Y130" t="s">
        <v>4878</v>
      </c>
      <c r="Z130" t="s">
        <v>4869</v>
      </c>
      <c r="AA130" t="s">
        <v>4870</v>
      </c>
      <c r="AB130" t="s">
        <v>4871</v>
      </c>
      <c r="AC130" t="s">
        <v>4875</v>
      </c>
      <c r="AD130" t="str">
        <f t="shared" si="11"/>
        <v>ZGRA</v>
      </c>
      <c r="AE130" t="s">
        <v>6617</v>
      </c>
      <c r="AF130" t="s">
        <v>6047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5950</v>
      </c>
      <c r="D131" t="s">
        <v>6006</v>
      </c>
      <c r="E131" t="s">
        <v>6005</v>
      </c>
      <c r="F131" t="s">
        <v>5689</v>
      </c>
      <c r="G131" t="s">
        <v>5985</v>
      </c>
      <c r="H131">
        <v>16.100000000000001</v>
      </c>
      <c r="I131" t="s">
        <v>6045</v>
      </c>
      <c r="J131">
        <v>17</v>
      </c>
      <c r="K131" t="s">
        <v>326</v>
      </c>
      <c r="L131" t="s">
        <v>5810</v>
      </c>
      <c r="M131">
        <v>1225.3330000000001</v>
      </c>
      <c r="N131" t="s">
        <v>6044</v>
      </c>
      <c r="O131" t="s">
        <v>6043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3135</v>
      </c>
      <c r="W131" t="s">
        <v>326</v>
      </c>
      <c r="X131">
        <v>3</v>
      </c>
      <c r="Y131" t="s">
        <v>4878</v>
      </c>
      <c r="Z131" t="s">
        <v>4869</v>
      </c>
      <c r="AA131" t="s">
        <v>4870</v>
      </c>
      <c r="AB131" t="s">
        <v>4871</v>
      </c>
      <c r="AC131" t="s">
        <v>4875</v>
      </c>
      <c r="AD131" t="str">
        <f t="shared" ref="AD131:AD145" si="13">LEFT(I131,FIND(4,I131)-1)</f>
        <v>ZGRA</v>
      </c>
      <c r="AE131" t="s">
        <v>6617</v>
      </c>
      <c r="AF131" t="s">
        <v>6045</v>
      </c>
    </row>
    <row r="132" spans="1:32" x14ac:dyDescent="0.3">
      <c r="A132" t="str">
        <f t="shared" si="12"/>
        <v>Reliable Guidance</v>
      </c>
      <c r="B132">
        <v>406</v>
      </c>
      <c r="C132" t="s">
        <v>5950</v>
      </c>
      <c r="D132" t="s">
        <v>6006</v>
      </c>
      <c r="E132" t="s">
        <v>6005</v>
      </c>
      <c r="F132" t="s">
        <v>5956</v>
      </c>
      <c r="G132" t="s">
        <v>5955</v>
      </c>
      <c r="H132">
        <v>16</v>
      </c>
      <c r="I132" t="s">
        <v>6042</v>
      </c>
      <c r="J132">
        <v>4.0110000000000001</v>
      </c>
      <c r="K132" t="s">
        <v>326</v>
      </c>
      <c r="L132" t="s">
        <v>5731</v>
      </c>
      <c r="M132">
        <v>131.66300000000001</v>
      </c>
      <c r="N132" t="s">
        <v>6041</v>
      </c>
      <c r="O132" t="s">
        <v>6040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3135</v>
      </c>
      <c r="W132" t="s">
        <v>326</v>
      </c>
      <c r="X132">
        <v>1</v>
      </c>
      <c r="Y132" t="s">
        <v>3570</v>
      </c>
      <c r="Z132" t="s">
        <v>3559</v>
      </c>
      <c r="AA132" t="s">
        <v>3560</v>
      </c>
      <c r="AB132" t="s">
        <v>3561</v>
      </c>
      <c r="AC132" t="s">
        <v>3565</v>
      </c>
      <c r="AD132" t="str">
        <f t="shared" si="13"/>
        <v>EDEN</v>
      </c>
      <c r="AE132" t="s">
        <v>6618</v>
      </c>
      <c r="AF132" t="s">
        <v>6042</v>
      </c>
    </row>
    <row r="133" spans="1:32" x14ac:dyDescent="0.3">
      <c r="A133" t="str">
        <f t="shared" si="12"/>
        <v>Body Toning</v>
      </c>
      <c r="B133">
        <v>406</v>
      </c>
      <c r="C133" t="s">
        <v>5950</v>
      </c>
      <c r="D133" t="s">
        <v>6006</v>
      </c>
      <c r="E133" t="s">
        <v>6005</v>
      </c>
      <c r="F133" t="s">
        <v>5728</v>
      </c>
      <c r="G133" t="s">
        <v>5597</v>
      </c>
      <c r="H133">
        <v>16.3</v>
      </c>
      <c r="I133" t="s">
        <v>6039</v>
      </c>
      <c r="J133">
        <v>7.1340000000000003</v>
      </c>
      <c r="K133" t="s">
        <v>326</v>
      </c>
      <c r="L133" t="s">
        <v>5768</v>
      </c>
      <c r="M133">
        <v>216.68700000000001</v>
      </c>
      <c r="N133" t="s">
        <v>5756</v>
      </c>
      <c r="O133" t="s">
        <v>5796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3135</v>
      </c>
      <c r="W133" t="s">
        <v>326</v>
      </c>
      <c r="X133">
        <v>1</v>
      </c>
      <c r="Y133" t="s">
        <v>3184</v>
      </c>
      <c r="Z133" t="s">
        <v>3173</v>
      </c>
      <c r="AA133" t="s">
        <v>3174</v>
      </c>
      <c r="AB133" t="s">
        <v>3175</v>
      </c>
      <c r="AC133" t="s">
        <v>3179</v>
      </c>
      <c r="AD133" t="str">
        <f t="shared" si="13"/>
        <v>ASSER</v>
      </c>
      <c r="AE133" t="s">
        <v>6619</v>
      </c>
      <c r="AF133" t="s">
        <v>6039</v>
      </c>
    </row>
    <row r="134" spans="1:32" x14ac:dyDescent="0.3">
      <c r="A134" t="str">
        <f t="shared" si="12"/>
        <v>Knox Lumber</v>
      </c>
      <c r="B134">
        <v>406</v>
      </c>
      <c r="C134" t="s">
        <v>5950</v>
      </c>
      <c r="D134" t="s">
        <v>6006</v>
      </c>
      <c r="E134" t="s">
        <v>6005</v>
      </c>
      <c r="F134" t="s">
        <v>6038</v>
      </c>
      <c r="G134" t="s">
        <v>6037</v>
      </c>
      <c r="H134">
        <v>1</v>
      </c>
      <c r="I134" t="s">
        <v>6036</v>
      </c>
      <c r="J134">
        <v>5.827</v>
      </c>
      <c r="K134" t="s">
        <v>326</v>
      </c>
      <c r="L134" t="s">
        <v>6035</v>
      </c>
      <c r="M134">
        <v>229.81</v>
      </c>
      <c r="N134" t="s">
        <v>6034</v>
      </c>
      <c r="O134" t="s">
        <v>6033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3135</v>
      </c>
      <c r="W134" t="s">
        <v>326</v>
      </c>
      <c r="X134">
        <v>1</v>
      </c>
      <c r="Y134" t="s">
        <v>4307</v>
      </c>
      <c r="Z134" t="s">
        <v>4296</v>
      </c>
      <c r="AA134" t="s">
        <v>4297</v>
      </c>
      <c r="AB134" t="s">
        <v>4298</v>
      </c>
      <c r="AC134" t="s">
        <v>4302</v>
      </c>
      <c r="AD134" t="str">
        <f t="shared" si="13"/>
        <v>PSTS</v>
      </c>
      <c r="AE134" t="s">
        <v>6620</v>
      </c>
      <c r="AF134" t="s">
        <v>6036</v>
      </c>
    </row>
    <row r="135" spans="1:32" x14ac:dyDescent="0.3">
      <c r="A135" t="str">
        <f t="shared" si="12"/>
        <v>Geri's Hamburgers</v>
      </c>
      <c r="B135">
        <v>406</v>
      </c>
      <c r="C135" t="s">
        <v>5950</v>
      </c>
      <c r="D135" t="s">
        <v>6006</v>
      </c>
      <c r="E135" t="s">
        <v>6005</v>
      </c>
      <c r="F135" t="s">
        <v>5972</v>
      </c>
      <c r="G135" t="s">
        <v>5971</v>
      </c>
      <c r="H135">
        <v>16.100000000000001</v>
      </c>
      <c r="I135" t="s">
        <v>6032</v>
      </c>
      <c r="J135">
        <v>3.238</v>
      </c>
      <c r="K135" t="s">
        <v>326</v>
      </c>
      <c r="L135" t="s">
        <v>5811</v>
      </c>
      <c r="M135">
        <v>256.613</v>
      </c>
      <c r="N135" t="s">
        <v>5691</v>
      </c>
      <c r="O135" t="s">
        <v>5690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3135</v>
      </c>
      <c r="W135" t="s">
        <v>326</v>
      </c>
      <c r="X135">
        <v>2</v>
      </c>
      <c r="Y135" t="s">
        <v>4007</v>
      </c>
      <c r="Z135" t="s">
        <v>3998</v>
      </c>
      <c r="AA135" t="s">
        <v>3227</v>
      </c>
      <c r="AB135" t="s">
        <v>3228</v>
      </c>
      <c r="AC135" t="s">
        <v>4002</v>
      </c>
      <c r="AD135" t="str">
        <f t="shared" si="13"/>
        <v>JT</v>
      </c>
      <c r="AE135" t="s">
        <v>6621</v>
      </c>
      <c r="AF135" t="s">
        <v>6032</v>
      </c>
    </row>
    <row r="136" spans="1:32" x14ac:dyDescent="0.3">
      <c r="A136" t="str">
        <f t="shared" si="12"/>
        <v>Geri's Hamburgers</v>
      </c>
      <c r="B136">
        <v>406</v>
      </c>
      <c r="C136" t="s">
        <v>5950</v>
      </c>
      <c r="D136" t="s">
        <v>6006</v>
      </c>
      <c r="E136" t="s">
        <v>6005</v>
      </c>
      <c r="F136" t="s">
        <v>5972</v>
      </c>
      <c r="G136" t="s">
        <v>5971</v>
      </c>
      <c r="H136">
        <v>16.100000000000001</v>
      </c>
      <c r="I136" t="s">
        <v>6031</v>
      </c>
      <c r="J136">
        <v>3.238</v>
      </c>
      <c r="K136" t="s">
        <v>326</v>
      </c>
      <c r="L136" t="s">
        <v>5811</v>
      </c>
      <c r="M136">
        <v>259.77999999999997</v>
      </c>
      <c r="N136" t="s">
        <v>6030</v>
      </c>
      <c r="O136" t="s">
        <v>5732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3135</v>
      </c>
      <c r="W136" t="s">
        <v>326</v>
      </c>
      <c r="X136">
        <v>1</v>
      </c>
      <c r="Y136" t="s">
        <v>4007</v>
      </c>
      <c r="Z136" t="s">
        <v>3998</v>
      </c>
      <c r="AA136" t="s">
        <v>3227</v>
      </c>
      <c r="AB136" t="s">
        <v>3228</v>
      </c>
      <c r="AC136" t="s">
        <v>4002</v>
      </c>
      <c r="AD136" t="str">
        <f t="shared" si="13"/>
        <v>JT</v>
      </c>
      <c r="AE136" t="s">
        <v>6621</v>
      </c>
      <c r="AF136" t="s">
        <v>6031</v>
      </c>
    </row>
    <row r="137" spans="1:32" x14ac:dyDescent="0.3">
      <c r="A137" t="str">
        <f t="shared" si="12"/>
        <v>Jeans Unlimited</v>
      </c>
      <c r="B137">
        <v>406</v>
      </c>
      <c r="C137" t="s">
        <v>5950</v>
      </c>
      <c r="D137" t="s">
        <v>6006</v>
      </c>
      <c r="E137" t="s">
        <v>6005</v>
      </c>
      <c r="F137" t="s">
        <v>5972</v>
      </c>
      <c r="G137" t="s">
        <v>5971</v>
      </c>
      <c r="H137">
        <v>16.100000000000001</v>
      </c>
      <c r="I137" t="s">
        <v>6029</v>
      </c>
      <c r="J137">
        <v>3.238</v>
      </c>
      <c r="K137" t="s">
        <v>326</v>
      </c>
      <c r="L137" t="s">
        <v>5811</v>
      </c>
      <c r="M137">
        <v>257.113</v>
      </c>
      <c r="N137" t="s">
        <v>5701</v>
      </c>
      <c r="O137" t="s">
        <v>5732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3135</v>
      </c>
      <c r="W137" t="s">
        <v>326</v>
      </c>
      <c r="X137">
        <v>1</v>
      </c>
      <c r="Y137" t="s">
        <v>3128</v>
      </c>
      <c r="Z137" t="s">
        <v>3118</v>
      </c>
      <c r="AA137" t="s">
        <v>19</v>
      </c>
      <c r="AB137" t="s">
        <v>3119</v>
      </c>
      <c r="AC137" t="s">
        <v>3123</v>
      </c>
      <c r="AD137" t="str">
        <f t="shared" si="13"/>
        <v>SVAB</v>
      </c>
      <c r="AE137" t="s">
        <v>6592</v>
      </c>
      <c r="AF137" t="s">
        <v>6029</v>
      </c>
    </row>
    <row r="138" spans="1:32" x14ac:dyDescent="0.3">
      <c r="A138" t="str">
        <f t="shared" si="12"/>
        <v>Wells &amp; Wade</v>
      </c>
      <c r="B138">
        <v>406</v>
      </c>
      <c r="C138" t="s">
        <v>5950</v>
      </c>
      <c r="D138" t="s">
        <v>6006</v>
      </c>
      <c r="E138" t="s">
        <v>6005</v>
      </c>
      <c r="F138" t="s">
        <v>5757</v>
      </c>
      <c r="G138" t="s">
        <v>6027</v>
      </c>
      <c r="H138">
        <v>16.399999999999999</v>
      </c>
      <c r="I138" t="s">
        <v>6028</v>
      </c>
      <c r="J138">
        <v>7.1120000000000001</v>
      </c>
      <c r="K138" t="s">
        <v>326</v>
      </c>
      <c r="L138" t="s">
        <v>5752</v>
      </c>
      <c r="M138">
        <v>617.52700000000004</v>
      </c>
      <c r="N138" t="s">
        <v>5786</v>
      </c>
      <c r="O138" t="s">
        <v>5748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3135</v>
      </c>
      <c r="W138" t="s">
        <v>326</v>
      </c>
      <c r="X138">
        <v>1</v>
      </c>
      <c r="Y138" t="s">
        <v>3202</v>
      </c>
      <c r="Z138" t="s">
        <v>3191</v>
      </c>
      <c r="AA138" t="s">
        <v>3192</v>
      </c>
      <c r="AB138" t="s">
        <v>3193</v>
      </c>
      <c r="AC138" t="s">
        <v>3197</v>
      </c>
      <c r="AD138" t="str">
        <f t="shared" si="13"/>
        <v>BBCO</v>
      </c>
      <c r="AE138" t="s">
        <v>6583</v>
      </c>
      <c r="AF138" t="s">
        <v>6028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5950</v>
      </c>
      <c r="D139" t="s">
        <v>6006</v>
      </c>
      <c r="E139" t="s">
        <v>6005</v>
      </c>
      <c r="F139" t="s">
        <v>5757</v>
      </c>
      <c r="G139" t="s">
        <v>6027</v>
      </c>
      <c r="H139">
        <v>16.399999999999999</v>
      </c>
      <c r="I139" t="s">
        <v>6026</v>
      </c>
      <c r="J139">
        <v>7.6050000000000004</v>
      </c>
      <c r="K139" t="s">
        <v>326</v>
      </c>
      <c r="L139" t="s">
        <v>5810</v>
      </c>
      <c r="M139">
        <v>574.65</v>
      </c>
      <c r="N139" t="s">
        <v>5753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3135</v>
      </c>
      <c r="W139" t="s">
        <v>326</v>
      </c>
      <c r="X139">
        <v>1</v>
      </c>
      <c r="Y139" t="s">
        <v>4700</v>
      </c>
      <c r="Z139" t="s">
        <v>4690</v>
      </c>
      <c r="AA139" t="s">
        <v>3397</v>
      </c>
      <c r="AB139" t="s">
        <v>4691</v>
      </c>
      <c r="AC139" t="s">
        <v>4695</v>
      </c>
      <c r="AD139" t="str">
        <f t="shared" si="13"/>
        <v>SCS</v>
      </c>
      <c r="AE139" t="s">
        <v>6622</v>
      </c>
      <c r="AF139" t="s">
        <v>6026</v>
      </c>
    </row>
    <row r="140" spans="1:32" x14ac:dyDescent="0.3">
      <c r="A140" t="str">
        <f t="shared" si="12"/>
        <v>Wells &amp; Wade</v>
      </c>
      <c r="B140">
        <v>406</v>
      </c>
      <c r="C140" t="s">
        <v>5950</v>
      </c>
      <c r="D140" t="s">
        <v>6006</v>
      </c>
      <c r="E140" t="s">
        <v>6005</v>
      </c>
      <c r="F140" t="s">
        <v>6021</v>
      </c>
      <c r="G140" t="s">
        <v>6020</v>
      </c>
      <c r="H140">
        <v>10</v>
      </c>
      <c r="I140" t="s">
        <v>6025</v>
      </c>
      <c r="J140">
        <v>9.2140000000000004</v>
      </c>
      <c r="K140" t="s">
        <v>326</v>
      </c>
      <c r="L140" t="s">
        <v>6023</v>
      </c>
      <c r="M140">
        <v>318.42</v>
      </c>
      <c r="N140" t="s">
        <v>5720</v>
      </c>
      <c r="O140" t="s">
        <v>6022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3135</v>
      </c>
      <c r="W140" t="s">
        <v>326</v>
      </c>
      <c r="X140">
        <v>3</v>
      </c>
      <c r="Y140" t="s">
        <v>3202</v>
      </c>
      <c r="Z140" t="s">
        <v>3191</v>
      </c>
      <c r="AA140" t="s">
        <v>3192</v>
      </c>
      <c r="AB140" t="s">
        <v>3193</v>
      </c>
      <c r="AC140" t="s">
        <v>3197</v>
      </c>
      <c r="AD140" t="str">
        <f t="shared" si="13"/>
        <v>BBCO</v>
      </c>
      <c r="AE140" t="s">
        <v>6583</v>
      </c>
      <c r="AF140" t="s">
        <v>6025</v>
      </c>
    </row>
    <row r="141" spans="1:32" x14ac:dyDescent="0.3">
      <c r="A141" t="str">
        <f t="shared" si="12"/>
        <v>Wells &amp; Wade</v>
      </c>
      <c r="B141">
        <v>406</v>
      </c>
      <c r="C141" t="s">
        <v>5950</v>
      </c>
      <c r="D141" t="s">
        <v>6006</v>
      </c>
      <c r="E141" t="s">
        <v>6005</v>
      </c>
      <c r="F141" t="s">
        <v>6021</v>
      </c>
      <c r="G141" t="s">
        <v>6020</v>
      </c>
      <c r="H141">
        <v>10</v>
      </c>
      <c r="I141" t="s">
        <v>6024</v>
      </c>
      <c r="J141">
        <v>9.2140000000000004</v>
      </c>
      <c r="K141" t="s">
        <v>326</v>
      </c>
      <c r="L141" t="s">
        <v>6023</v>
      </c>
      <c r="M141">
        <v>284.08699999999999</v>
      </c>
      <c r="N141" t="s">
        <v>5720</v>
      </c>
      <c r="O141" t="s">
        <v>6022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3135</v>
      </c>
      <c r="W141" t="s">
        <v>326</v>
      </c>
      <c r="X141">
        <v>3</v>
      </c>
      <c r="Y141" t="s">
        <v>3202</v>
      </c>
      <c r="Z141" t="s">
        <v>3191</v>
      </c>
      <c r="AA141" t="s">
        <v>3192</v>
      </c>
      <c r="AB141" t="s">
        <v>3193</v>
      </c>
      <c r="AC141" t="s">
        <v>3197</v>
      </c>
      <c r="AD141" t="str">
        <f t="shared" si="13"/>
        <v>BBCO</v>
      </c>
      <c r="AE141" t="s">
        <v>6583</v>
      </c>
      <c r="AF141" t="s">
        <v>6024</v>
      </c>
    </row>
    <row r="142" spans="1:32" x14ac:dyDescent="0.3">
      <c r="A142" t="str">
        <f t="shared" si="12"/>
        <v>Alert Alarm Company</v>
      </c>
      <c r="B142">
        <v>406</v>
      </c>
      <c r="C142" t="s">
        <v>5950</v>
      </c>
      <c r="D142" t="s">
        <v>6006</v>
      </c>
      <c r="E142" t="s">
        <v>6005</v>
      </c>
      <c r="F142" t="s">
        <v>6021</v>
      </c>
      <c r="G142" t="s">
        <v>6020</v>
      </c>
      <c r="H142">
        <v>10</v>
      </c>
      <c r="I142" t="s">
        <v>6019</v>
      </c>
      <c r="J142">
        <v>4.66</v>
      </c>
      <c r="K142" t="s">
        <v>326</v>
      </c>
      <c r="L142" t="s">
        <v>5767</v>
      </c>
      <c r="M142">
        <v>160.96700000000001</v>
      </c>
      <c r="N142" t="s">
        <v>5750</v>
      </c>
      <c r="O142" t="s">
        <v>6018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3135</v>
      </c>
      <c r="W142" t="s">
        <v>326</v>
      </c>
      <c r="X142">
        <v>1</v>
      </c>
      <c r="Y142" t="s">
        <v>4807</v>
      </c>
      <c r="Z142" t="s">
        <v>4797</v>
      </c>
      <c r="AA142" t="s">
        <v>4798</v>
      </c>
      <c r="AB142" t="s">
        <v>4799</v>
      </c>
      <c r="AC142" t="s">
        <v>4803</v>
      </c>
      <c r="AD142" t="str">
        <f t="shared" si="13"/>
        <v>VERT</v>
      </c>
      <c r="AE142" t="s">
        <v>6623</v>
      </c>
      <c r="AF142" t="s">
        <v>6019</v>
      </c>
    </row>
    <row r="143" spans="1:32" x14ac:dyDescent="0.3">
      <c r="A143" t="str">
        <f t="shared" si="12"/>
        <v>Old America Stores</v>
      </c>
      <c r="B143">
        <v>406</v>
      </c>
      <c r="C143" t="s">
        <v>5950</v>
      </c>
      <c r="D143" t="s">
        <v>6006</v>
      </c>
      <c r="E143" t="s">
        <v>6005</v>
      </c>
      <c r="F143" t="s">
        <v>6017</v>
      </c>
      <c r="G143" t="s">
        <v>6016</v>
      </c>
      <c r="H143">
        <v>10.199999999999999</v>
      </c>
      <c r="I143" t="s">
        <v>6015</v>
      </c>
      <c r="J143">
        <v>6</v>
      </c>
      <c r="K143" t="s">
        <v>326</v>
      </c>
      <c r="L143" t="s">
        <v>5783</v>
      </c>
      <c r="M143">
        <v>306.66699999999997</v>
      </c>
      <c r="N143" t="s">
        <v>5715</v>
      </c>
      <c r="O143" t="s">
        <v>6014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3135</v>
      </c>
      <c r="W143" t="s">
        <v>326</v>
      </c>
      <c r="X143">
        <v>1</v>
      </c>
      <c r="Y143" t="s">
        <v>4567</v>
      </c>
      <c r="Z143" t="s">
        <v>4556</v>
      </c>
      <c r="AA143" t="s">
        <v>4557</v>
      </c>
      <c r="AB143" t="s">
        <v>4558</v>
      </c>
      <c r="AC143" t="s">
        <v>4562</v>
      </c>
      <c r="AD143" t="str">
        <f t="shared" si="13"/>
        <v>SONN</v>
      </c>
      <c r="AE143" t="s">
        <v>6584</v>
      </c>
      <c r="AF143" t="s">
        <v>6015</v>
      </c>
    </row>
    <row r="144" spans="1:32" x14ac:dyDescent="0.3">
      <c r="A144" t="str">
        <f t="shared" si="12"/>
        <v>Wells &amp; Wade</v>
      </c>
      <c r="B144">
        <v>406</v>
      </c>
      <c r="C144" t="s">
        <v>5950</v>
      </c>
      <c r="D144" t="s">
        <v>6006</v>
      </c>
      <c r="E144" t="s">
        <v>6005</v>
      </c>
      <c r="F144" t="s">
        <v>5722</v>
      </c>
      <c r="G144" t="s">
        <v>6010</v>
      </c>
      <c r="H144">
        <v>10.199999999999999</v>
      </c>
      <c r="I144" t="s">
        <v>6013</v>
      </c>
      <c r="J144">
        <v>9.2140000000000004</v>
      </c>
      <c r="K144" t="s">
        <v>326</v>
      </c>
      <c r="L144" t="s">
        <v>6012</v>
      </c>
      <c r="M144">
        <v>530.41999999999996</v>
      </c>
      <c r="N144" t="s">
        <v>5720</v>
      </c>
      <c r="O144" t="s">
        <v>6011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3135</v>
      </c>
      <c r="W144" t="s">
        <v>326</v>
      </c>
      <c r="X144">
        <v>1</v>
      </c>
      <c r="Y144" t="s">
        <v>3202</v>
      </c>
      <c r="Z144" t="s">
        <v>3191</v>
      </c>
      <c r="AA144" t="s">
        <v>3192</v>
      </c>
      <c r="AB144" t="s">
        <v>3193</v>
      </c>
      <c r="AC144" t="s">
        <v>3197</v>
      </c>
      <c r="AD144" t="str">
        <f t="shared" si="13"/>
        <v>BBCO</v>
      </c>
      <c r="AE144" t="s">
        <v>6583</v>
      </c>
      <c r="AF144" t="s">
        <v>6013</v>
      </c>
    </row>
    <row r="145" spans="1:32" x14ac:dyDescent="0.3">
      <c r="A145" t="str">
        <f t="shared" si="12"/>
        <v>Jeans Unlimited</v>
      </c>
      <c r="B145">
        <v>406</v>
      </c>
      <c r="C145" t="s">
        <v>5950</v>
      </c>
      <c r="D145" t="s">
        <v>6006</v>
      </c>
      <c r="E145" t="s">
        <v>6005</v>
      </c>
      <c r="F145" t="s">
        <v>5722</v>
      </c>
      <c r="G145" t="s">
        <v>6010</v>
      </c>
      <c r="H145">
        <v>10.199999999999999</v>
      </c>
      <c r="I145" t="s">
        <v>6009</v>
      </c>
      <c r="J145">
        <v>6.8440000000000003</v>
      </c>
      <c r="K145" t="s">
        <v>326</v>
      </c>
      <c r="L145" t="s">
        <v>6008</v>
      </c>
      <c r="M145">
        <v>303.65300000000002</v>
      </c>
      <c r="N145" t="s">
        <v>5745</v>
      </c>
      <c r="O145" t="s">
        <v>6007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3135</v>
      </c>
      <c r="W145" t="s">
        <v>326</v>
      </c>
      <c r="X145">
        <v>1</v>
      </c>
      <c r="Y145" t="s">
        <v>3128</v>
      </c>
      <c r="Z145" t="s">
        <v>3118</v>
      </c>
      <c r="AA145" t="s">
        <v>19</v>
      </c>
      <c r="AB145" t="s">
        <v>3119</v>
      </c>
      <c r="AC145" t="s">
        <v>3123</v>
      </c>
      <c r="AD145" t="str">
        <f t="shared" si="13"/>
        <v>SVAB</v>
      </c>
      <c r="AE145" t="s">
        <v>6592</v>
      </c>
      <c r="AF145" t="s">
        <v>6009</v>
      </c>
    </row>
    <row r="146" spans="1:32" x14ac:dyDescent="0.3">
      <c r="A146" t="str">
        <f t="shared" si="12"/>
        <v>Newmark &amp; Lewis</v>
      </c>
      <c r="B146">
        <v>406</v>
      </c>
      <c r="C146" t="s">
        <v>5950</v>
      </c>
      <c r="D146" t="s">
        <v>6006</v>
      </c>
      <c r="E146" t="s">
        <v>6005</v>
      </c>
      <c r="F146" t="s">
        <v>5785</v>
      </c>
      <c r="G146" t="s">
        <v>5947</v>
      </c>
      <c r="H146">
        <v>10.199999999999999</v>
      </c>
      <c r="I146" t="s">
        <v>6004</v>
      </c>
      <c r="J146">
        <v>10.106999999999999</v>
      </c>
      <c r="K146" t="s">
        <v>326</v>
      </c>
      <c r="L146" t="s">
        <v>5711</v>
      </c>
      <c r="M146">
        <v>438.29300000000001</v>
      </c>
      <c r="N146" t="s">
        <v>6003</v>
      </c>
      <c r="O146" t="s">
        <v>6002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3135</v>
      </c>
      <c r="W146" t="s">
        <v>326</v>
      </c>
      <c r="X146">
        <v>1</v>
      </c>
      <c r="Y146" t="s">
        <v>4445</v>
      </c>
      <c r="Z146" t="s">
        <v>4436</v>
      </c>
      <c r="AA146" t="s">
        <v>2</v>
      </c>
      <c r="AB146" t="s">
        <v>3365</v>
      </c>
      <c r="AC146" t="s">
        <v>4440</v>
      </c>
      <c r="AD146" t="str">
        <f t="shared" ref="AD146:AD149" si="14">LEFT(I146,FIND(4,I146)-1)</f>
        <v>RICO</v>
      </c>
      <c r="AE146" t="s">
        <v>6590</v>
      </c>
      <c r="AF146" t="s">
        <v>6004</v>
      </c>
    </row>
    <row r="147" spans="1:32" x14ac:dyDescent="0.3">
      <c r="A147" t="str">
        <f t="shared" si="12"/>
        <v>Little Tavern</v>
      </c>
      <c r="B147">
        <v>406</v>
      </c>
      <c r="C147" t="s">
        <v>5950</v>
      </c>
      <c r="D147" t="s">
        <v>5974</v>
      </c>
      <c r="E147" t="s">
        <v>5973</v>
      </c>
      <c r="F147" t="s">
        <v>5997</v>
      </c>
      <c r="G147" t="s">
        <v>5996</v>
      </c>
      <c r="H147">
        <v>9.1999999999999993</v>
      </c>
      <c r="I147" t="s">
        <v>6001</v>
      </c>
      <c r="J147">
        <v>5.5010000000000003</v>
      </c>
      <c r="K147" t="s">
        <v>326</v>
      </c>
      <c r="L147" t="s">
        <v>6000</v>
      </c>
      <c r="M147">
        <v>166.363</v>
      </c>
      <c r="N147" t="s">
        <v>5999</v>
      </c>
      <c r="O147" t="s">
        <v>5998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3135</v>
      </c>
      <c r="W147" t="s">
        <v>326</v>
      </c>
      <c r="X147">
        <v>1</v>
      </c>
      <c r="Y147" t="s">
        <v>4383</v>
      </c>
      <c r="Z147" t="s">
        <v>4375</v>
      </c>
      <c r="AA147" t="s">
        <v>3174</v>
      </c>
      <c r="AB147" t="s">
        <v>3175</v>
      </c>
      <c r="AC147" t="s">
        <v>4379</v>
      </c>
      <c r="AD147" t="str">
        <f t="shared" si="14"/>
        <v>PHO</v>
      </c>
      <c r="AE147" t="s">
        <v>6624</v>
      </c>
      <c r="AF147" t="s">
        <v>6001</v>
      </c>
    </row>
    <row r="148" spans="1:32" x14ac:dyDescent="0.3">
      <c r="A148" t="str">
        <f t="shared" si="12"/>
        <v>Little Tavern</v>
      </c>
      <c r="B148">
        <v>406</v>
      </c>
      <c r="C148" t="s">
        <v>5950</v>
      </c>
      <c r="D148" t="s">
        <v>5974</v>
      </c>
      <c r="E148" t="s">
        <v>5973</v>
      </c>
      <c r="F148" t="s">
        <v>5997</v>
      </c>
      <c r="G148" t="s">
        <v>5996</v>
      </c>
      <c r="H148">
        <v>9.1999999999999993</v>
      </c>
      <c r="I148" t="s">
        <v>5995</v>
      </c>
      <c r="J148">
        <v>5</v>
      </c>
      <c r="K148" t="s">
        <v>326</v>
      </c>
      <c r="L148" t="s">
        <v>5994</v>
      </c>
      <c r="M148">
        <v>151.667</v>
      </c>
      <c r="N148" t="s">
        <v>5993</v>
      </c>
      <c r="O148" t="s">
        <v>5992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3135</v>
      </c>
      <c r="W148" t="s">
        <v>326</v>
      </c>
      <c r="X148">
        <v>3</v>
      </c>
      <c r="Y148" t="s">
        <v>4383</v>
      </c>
      <c r="Z148" t="s">
        <v>4375</v>
      </c>
      <c r="AA148" t="s">
        <v>3174</v>
      </c>
      <c r="AB148" t="s">
        <v>3175</v>
      </c>
      <c r="AC148" t="s">
        <v>4379</v>
      </c>
      <c r="AD148" t="str">
        <f t="shared" si="14"/>
        <v>PHO</v>
      </c>
      <c r="AE148" t="s">
        <v>6624</v>
      </c>
      <c r="AF148" t="s">
        <v>5995</v>
      </c>
    </row>
    <row r="149" spans="1:32" x14ac:dyDescent="0.3">
      <c r="A149" t="str">
        <f t="shared" si="12"/>
        <v>Museum Company</v>
      </c>
      <c r="B149">
        <v>406</v>
      </c>
      <c r="C149" t="s">
        <v>5950</v>
      </c>
      <c r="D149" t="s">
        <v>5974</v>
      </c>
      <c r="E149" t="s">
        <v>5973</v>
      </c>
      <c r="F149" t="s">
        <v>5991</v>
      </c>
      <c r="G149" t="s">
        <v>5990</v>
      </c>
      <c r="H149">
        <v>2.5</v>
      </c>
      <c r="I149" t="s">
        <v>5989</v>
      </c>
      <c r="J149">
        <v>6.1319999999999997</v>
      </c>
      <c r="K149" t="s">
        <v>326</v>
      </c>
      <c r="L149" t="s">
        <v>5988</v>
      </c>
      <c r="M149">
        <v>223.46</v>
      </c>
      <c r="N149" t="s">
        <v>5987</v>
      </c>
      <c r="O149" t="s">
        <v>5986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3135</v>
      </c>
      <c r="W149" t="s">
        <v>326</v>
      </c>
      <c r="X149">
        <v>1</v>
      </c>
      <c r="Y149" t="s">
        <v>3148</v>
      </c>
      <c r="Z149" t="s">
        <v>3137</v>
      </c>
      <c r="AA149" t="s">
        <v>3138</v>
      </c>
      <c r="AB149" t="s">
        <v>3139</v>
      </c>
      <c r="AC149" t="s">
        <v>3143</v>
      </c>
      <c r="AD149" t="str">
        <f t="shared" si="14"/>
        <v>ATLA</v>
      </c>
      <c r="AE149" t="s">
        <v>6625</v>
      </c>
      <c r="AF149" t="s">
        <v>5989</v>
      </c>
    </row>
    <row r="150" spans="1:32" x14ac:dyDescent="0.3">
      <c r="A150" t="str">
        <f t="shared" si="12"/>
        <v>Cardinal Stores</v>
      </c>
      <c r="B150">
        <v>406</v>
      </c>
      <c r="C150" t="s">
        <v>5950</v>
      </c>
      <c r="D150" t="s">
        <v>5974</v>
      </c>
      <c r="E150" t="s">
        <v>5973</v>
      </c>
      <c r="F150" t="s">
        <v>5689</v>
      </c>
      <c r="G150" t="s">
        <v>5985</v>
      </c>
      <c r="H150">
        <v>16.100000000000001</v>
      </c>
      <c r="I150" t="s">
        <v>5984</v>
      </c>
      <c r="J150">
        <v>25</v>
      </c>
      <c r="K150" t="s">
        <v>326</v>
      </c>
      <c r="L150" t="s">
        <v>5697</v>
      </c>
      <c r="M150">
        <v>1500</v>
      </c>
      <c r="N150" t="s">
        <v>5736</v>
      </c>
      <c r="O150" t="s">
        <v>5921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3135</v>
      </c>
      <c r="W150" t="s">
        <v>326</v>
      </c>
      <c r="X150">
        <v>1</v>
      </c>
      <c r="Y150" t="s">
        <v>3869</v>
      </c>
      <c r="Z150" t="s">
        <v>3858</v>
      </c>
      <c r="AA150" t="s">
        <v>3859</v>
      </c>
      <c r="AB150" t="s">
        <v>3860</v>
      </c>
      <c r="AC150" t="s">
        <v>3864</v>
      </c>
      <c r="AD150" t="str">
        <f>LEFT(I150,FIND(0,I150)-1)</f>
        <v>HANK</v>
      </c>
      <c r="AE150" t="s">
        <v>6626</v>
      </c>
      <c r="AF150" t="s">
        <v>5984</v>
      </c>
    </row>
    <row r="151" spans="1:32" x14ac:dyDescent="0.3">
      <c r="A151" t="str">
        <f t="shared" si="12"/>
        <v>Warehouse Club Inc.</v>
      </c>
      <c r="B151">
        <v>406</v>
      </c>
      <c r="C151" t="s">
        <v>5950</v>
      </c>
      <c r="D151" t="s">
        <v>5974</v>
      </c>
      <c r="E151" t="s">
        <v>5973</v>
      </c>
      <c r="F151" t="s">
        <v>5728</v>
      </c>
      <c r="G151" t="s">
        <v>5597</v>
      </c>
      <c r="H151">
        <v>16.3</v>
      </c>
      <c r="I151" t="s">
        <v>5983</v>
      </c>
      <c r="J151">
        <v>7.0739999999999998</v>
      </c>
      <c r="K151" t="s">
        <v>326</v>
      </c>
      <c r="L151" t="s">
        <v>5792</v>
      </c>
      <c r="M151">
        <v>273.887</v>
      </c>
      <c r="N151" t="s">
        <v>5982</v>
      </c>
      <c r="O151" t="s">
        <v>5981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3135</v>
      </c>
      <c r="W151" t="s">
        <v>326</v>
      </c>
      <c r="X151">
        <v>1</v>
      </c>
      <c r="Y151" t="s">
        <v>3602</v>
      </c>
      <c r="Z151" t="s">
        <v>3592</v>
      </c>
      <c r="AA151" t="s">
        <v>3593</v>
      </c>
      <c r="AB151" t="s">
        <v>3594</v>
      </c>
      <c r="AC151" t="s">
        <v>3598</v>
      </c>
      <c r="AD151" t="str">
        <f t="shared" ref="AD151:AD156" si="15">LEFT(I151,FIND(4,I151)-1)</f>
        <v>Eagl</v>
      </c>
      <c r="AE151" t="s">
        <v>6627</v>
      </c>
      <c r="AF151" t="s">
        <v>5983</v>
      </c>
    </row>
    <row r="152" spans="1:32" x14ac:dyDescent="0.3">
      <c r="A152" t="str">
        <f t="shared" si="12"/>
        <v>Sandy's</v>
      </c>
      <c r="B152">
        <v>406</v>
      </c>
      <c r="C152" t="s">
        <v>5950</v>
      </c>
      <c r="D152" t="s">
        <v>5974</v>
      </c>
      <c r="E152" t="s">
        <v>5973</v>
      </c>
      <c r="F152" t="s">
        <v>5972</v>
      </c>
      <c r="G152" t="s">
        <v>5971</v>
      </c>
      <c r="H152">
        <v>16.100000000000001</v>
      </c>
      <c r="I152" t="s">
        <v>5980</v>
      </c>
      <c r="J152">
        <v>3.238</v>
      </c>
      <c r="K152" t="s">
        <v>326</v>
      </c>
      <c r="L152" t="s">
        <v>5811</v>
      </c>
      <c r="M152">
        <v>254.53</v>
      </c>
      <c r="N152" t="s">
        <v>5730</v>
      </c>
      <c r="O152" t="s">
        <v>5732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3135</v>
      </c>
      <c r="W152" t="s">
        <v>326</v>
      </c>
      <c r="X152">
        <v>3</v>
      </c>
      <c r="Y152" t="s">
        <v>3390</v>
      </c>
      <c r="Z152" t="s">
        <v>3380</v>
      </c>
      <c r="AA152" t="s">
        <v>18</v>
      </c>
      <c r="AB152" t="s">
        <v>3381</v>
      </c>
      <c r="AC152" t="s">
        <v>3385</v>
      </c>
      <c r="AD152" t="str">
        <f t="shared" si="15"/>
        <v>DABL</v>
      </c>
      <c r="AE152" t="s">
        <v>6628</v>
      </c>
      <c r="AF152" t="s">
        <v>5980</v>
      </c>
    </row>
    <row r="153" spans="1:32" x14ac:dyDescent="0.3">
      <c r="A153" t="str">
        <f t="shared" si="12"/>
        <v>Sandy's</v>
      </c>
      <c r="B153">
        <v>406</v>
      </c>
      <c r="C153" t="s">
        <v>5950</v>
      </c>
      <c r="D153" t="s">
        <v>5974</v>
      </c>
      <c r="E153" t="s">
        <v>5973</v>
      </c>
      <c r="F153" t="s">
        <v>5972</v>
      </c>
      <c r="G153" t="s">
        <v>5971</v>
      </c>
      <c r="H153">
        <v>16.100000000000001</v>
      </c>
      <c r="I153" t="s">
        <v>5979</v>
      </c>
      <c r="J153">
        <v>3.238</v>
      </c>
      <c r="K153" t="s">
        <v>326</v>
      </c>
      <c r="L153" t="s">
        <v>5811</v>
      </c>
      <c r="M153">
        <v>257.697</v>
      </c>
      <c r="N153" t="s">
        <v>5691</v>
      </c>
      <c r="O153" t="s">
        <v>5732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3135</v>
      </c>
      <c r="W153" t="s">
        <v>326</v>
      </c>
      <c r="X153">
        <v>1</v>
      </c>
      <c r="Y153" t="s">
        <v>3390</v>
      </c>
      <c r="Z153" t="s">
        <v>3380</v>
      </c>
      <c r="AA153" t="s">
        <v>18</v>
      </c>
      <c r="AB153" t="s">
        <v>3381</v>
      </c>
      <c r="AC153" t="s">
        <v>3385</v>
      </c>
      <c r="AD153" t="str">
        <f t="shared" si="15"/>
        <v>DABL</v>
      </c>
      <c r="AE153" t="s">
        <v>6628</v>
      </c>
      <c r="AF153" t="s">
        <v>5979</v>
      </c>
    </row>
    <row r="154" spans="1:32" x14ac:dyDescent="0.3">
      <c r="A154" t="str">
        <f t="shared" si="12"/>
        <v>Sandy's</v>
      </c>
      <c r="B154">
        <v>406</v>
      </c>
      <c r="C154" t="s">
        <v>5950</v>
      </c>
      <c r="D154" t="s">
        <v>5974</v>
      </c>
      <c r="E154" t="s">
        <v>5973</v>
      </c>
      <c r="F154" t="s">
        <v>5972</v>
      </c>
      <c r="G154" t="s">
        <v>5971</v>
      </c>
      <c r="H154">
        <v>16.100000000000001</v>
      </c>
      <c r="I154" t="s">
        <v>5978</v>
      </c>
      <c r="J154">
        <v>3.238</v>
      </c>
      <c r="K154" t="s">
        <v>326</v>
      </c>
      <c r="L154" t="s">
        <v>5811</v>
      </c>
      <c r="M154">
        <v>256.02999999999997</v>
      </c>
      <c r="N154" t="s">
        <v>5705</v>
      </c>
      <c r="O154" t="s">
        <v>5732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3135</v>
      </c>
      <c r="W154" t="s">
        <v>326</v>
      </c>
      <c r="X154">
        <v>2</v>
      </c>
      <c r="Y154" t="s">
        <v>3390</v>
      </c>
      <c r="Z154" t="s">
        <v>3380</v>
      </c>
      <c r="AA154" t="s">
        <v>18</v>
      </c>
      <c r="AB154" t="s">
        <v>3381</v>
      </c>
      <c r="AC154" t="s">
        <v>3385</v>
      </c>
      <c r="AD154" t="str">
        <f t="shared" si="15"/>
        <v>DABL</v>
      </c>
      <c r="AE154" t="s">
        <v>6628</v>
      </c>
      <c r="AF154" t="s">
        <v>5978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5950</v>
      </c>
      <c r="D155" t="s">
        <v>5974</v>
      </c>
      <c r="E155" t="s">
        <v>5973</v>
      </c>
      <c r="F155" t="s">
        <v>5972</v>
      </c>
      <c r="G155" t="s">
        <v>5971</v>
      </c>
      <c r="H155">
        <v>16.100000000000001</v>
      </c>
      <c r="I155" t="s">
        <v>5977</v>
      </c>
      <c r="J155">
        <v>3.238</v>
      </c>
      <c r="K155" t="s">
        <v>326</v>
      </c>
      <c r="L155" t="s">
        <v>5811</v>
      </c>
      <c r="M155">
        <v>258.447</v>
      </c>
      <c r="N155" t="s">
        <v>5976</v>
      </c>
      <c r="O155" t="s">
        <v>5975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3135</v>
      </c>
      <c r="W155" t="s">
        <v>326</v>
      </c>
      <c r="X155">
        <v>2</v>
      </c>
      <c r="Y155" t="s">
        <v>3012</v>
      </c>
      <c r="Z155" t="s">
        <v>2997</v>
      </c>
      <c r="AA155" t="s">
        <v>2</v>
      </c>
      <c r="AB155" t="s">
        <v>2999</v>
      </c>
      <c r="AC155" t="s">
        <v>3005</v>
      </c>
      <c r="AD155" t="str">
        <f t="shared" si="15"/>
        <v>TCT</v>
      </c>
      <c r="AE155" t="s">
        <v>6629</v>
      </c>
      <c r="AF155" t="s">
        <v>5977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5950</v>
      </c>
      <c r="D156" t="s">
        <v>5974</v>
      </c>
      <c r="E156" t="s">
        <v>5973</v>
      </c>
      <c r="F156" t="s">
        <v>5972</v>
      </c>
      <c r="G156" t="s">
        <v>5971</v>
      </c>
      <c r="H156">
        <v>16.100000000000001</v>
      </c>
      <c r="I156" t="s">
        <v>5970</v>
      </c>
      <c r="J156">
        <v>3.238</v>
      </c>
      <c r="K156" t="s">
        <v>326</v>
      </c>
      <c r="L156" t="s">
        <v>5811</v>
      </c>
      <c r="M156">
        <v>259.863</v>
      </c>
      <c r="N156" t="s">
        <v>5736</v>
      </c>
      <c r="O156" t="s">
        <v>5732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3135</v>
      </c>
      <c r="W156" t="s">
        <v>326</v>
      </c>
      <c r="X156">
        <v>1</v>
      </c>
      <c r="Y156" t="s">
        <v>3012</v>
      </c>
      <c r="Z156" t="s">
        <v>2997</v>
      </c>
      <c r="AA156" t="s">
        <v>2</v>
      </c>
      <c r="AB156" t="s">
        <v>2999</v>
      </c>
      <c r="AC156" t="s">
        <v>3005</v>
      </c>
      <c r="AD156" t="str">
        <f t="shared" si="15"/>
        <v>TCT</v>
      </c>
      <c r="AE156" t="s">
        <v>6629</v>
      </c>
      <c r="AF156" t="s">
        <v>5970</v>
      </c>
    </row>
    <row r="157" spans="1:32" x14ac:dyDescent="0.3">
      <c r="A157" t="str">
        <f t="shared" si="12"/>
        <v>Service Merchandise</v>
      </c>
      <c r="B157">
        <v>406</v>
      </c>
      <c r="C157" t="s">
        <v>5950</v>
      </c>
      <c r="D157" t="s">
        <v>5949</v>
      </c>
      <c r="E157" t="s">
        <v>5948</v>
      </c>
      <c r="F157" t="s">
        <v>5708</v>
      </c>
      <c r="G157" t="s">
        <v>5967</v>
      </c>
      <c r="H157">
        <v>15.1</v>
      </c>
      <c r="I157" t="s">
        <v>5969</v>
      </c>
      <c r="J157">
        <v>23</v>
      </c>
      <c r="K157" t="s">
        <v>326</v>
      </c>
      <c r="L157" t="s">
        <v>5769</v>
      </c>
      <c r="M157">
        <v>708.66700000000003</v>
      </c>
      <c r="N157" t="s">
        <v>5727</v>
      </c>
      <c r="O157" t="s">
        <v>5968</v>
      </c>
      <c r="P157" t="s">
        <v>3653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3135</v>
      </c>
      <c r="W157" t="s">
        <v>326</v>
      </c>
      <c r="X157">
        <v>1</v>
      </c>
      <c r="Y157" t="s">
        <v>3469</v>
      </c>
      <c r="Z157" t="s">
        <v>3460</v>
      </c>
      <c r="AA157" t="s">
        <v>19</v>
      </c>
      <c r="AB157" t="s">
        <v>3119</v>
      </c>
      <c r="AC157" t="s">
        <v>3464</v>
      </c>
      <c r="AD157" t="str">
        <f t="shared" ref="AD157:AD158" si="16">LEFT(I157,FIND(0,I157)-1)</f>
        <v>DELT</v>
      </c>
      <c r="AE157" t="s">
        <v>6630</v>
      </c>
      <c r="AF157" t="s">
        <v>5969</v>
      </c>
    </row>
    <row r="158" spans="1:32" x14ac:dyDescent="0.3">
      <c r="A158" t="str">
        <f t="shared" si="12"/>
        <v>Service Merchandise</v>
      </c>
      <c r="B158">
        <v>406</v>
      </c>
      <c r="C158" t="s">
        <v>5950</v>
      </c>
      <c r="D158" t="s">
        <v>5949</v>
      </c>
      <c r="E158" t="s">
        <v>5948</v>
      </c>
      <c r="F158" t="s">
        <v>5708</v>
      </c>
      <c r="G158" t="s">
        <v>5967</v>
      </c>
      <c r="H158">
        <v>15.1</v>
      </c>
      <c r="I158" t="s">
        <v>5966</v>
      </c>
      <c r="J158">
        <v>23</v>
      </c>
      <c r="K158" t="s">
        <v>326</v>
      </c>
      <c r="L158" t="s">
        <v>5697</v>
      </c>
      <c r="M158">
        <v>702</v>
      </c>
      <c r="N158" t="s">
        <v>5715</v>
      </c>
      <c r="O158" t="s">
        <v>5747</v>
      </c>
      <c r="P158" t="s">
        <v>3653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3135</v>
      </c>
      <c r="W158" t="s">
        <v>326</v>
      </c>
      <c r="X158">
        <v>3</v>
      </c>
      <c r="Y158" t="s">
        <v>3469</v>
      </c>
      <c r="Z158" t="s">
        <v>3460</v>
      </c>
      <c r="AA158" t="s">
        <v>19</v>
      </c>
      <c r="AB158" t="s">
        <v>3119</v>
      </c>
      <c r="AC158" t="s">
        <v>3464</v>
      </c>
      <c r="AD158" t="str">
        <f t="shared" si="16"/>
        <v>DELT</v>
      </c>
      <c r="AE158" t="s">
        <v>6630</v>
      </c>
      <c r="AF158" t="s">
        <v>5966</v>
      </c>
    </row>
    <row r="159" spans="1:32" x14ac:dyDescent="0.3">
      <c r="A159" t="str">
        <f t="shared" si="12"/>
        <v>Service Merchandise</v>
      </c>
      <c r="B159">
        <v>406</v>
      </c>
      <c r="C159" t="s">
        <v>5950</v>
      </c>
      <c r="D159" t="s">
        <v>5949</v>
      </c>
      <c r="E159" t="s">
        <v>5948</v>
      </c>
      <c r="F159" t="s">
        <v>5726</v>
      </c>
      <c r="G159" t="s">
        <v>5965</v>
      </c>
      <c r="H159">
        <v>15.1</v>
      </c>
      <c r="I159" t="s">
        <v>5964</v>
      </c>
      <c r="J159">
        <v>16</v>
      </c>
      <c r="K159" t="s">
        <v>326</v>
      </c>
      <c r="L159" t="s">
        <v>5697</v>
      </c>
      <c r="M159">
        <v>482.33300000000003</v>
      </c>
      <c r="N159" t="s">
        <v>5715</v>
      </c>
      <c r="O159" t="s">
        <v>5963</v>
      </c>
      <c r="P159" t="s">
        <v>3653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3135</v>
      </c>
      <c r="W159" t="s">
        <v>326</v>
      </c>
      <c r="X159">
        <v>3</v>
      </c>
      <c r="Y159" t="s">
        <v>3469</v>
      </c>
      <c r="Z159" t="s">
        <v>3460</v>
      </c>
      <c r="AA159" t="s">
        <v>19</v>
      </c>
      <c r="AB159" t="s">
        <v>3119</v>
      </c>
      <c r="AC159" t="s">
        <v>3464</v>
      </c>
      <c r="AD159" t="str">
        <f>LEFT(I159,FIND(2,I159)-1)</f>
        <v>DELT</v>
      </c>
      <c r="AE159" t="s">
        <v>6630</v>
      </c>
      <c r="AF159" t="s">
        <v>5964</v>
      </c>
    </row>
    <row r="160" spans="1:32" x14ac:dyDescent="0.3">
      <c r="A160" t="str">
        <f t="shared" si="12"/>
        <v>Service Merchandise</v>
      </c>
      <c r="B160">
        <v>406</v>
      </c>
      <c r="C160" t="s">
        <v>5950</v>
      </c>
      <c r="D160" t="s">
        <v>5949</v>
      </c>
      <c r="E160" t="s">
        <v>5948</v>
      </c>
      <c r="F160" t="s">
        <v>5962</v>
      </c>
      <c r="G160" t="s">
        <v>5961</v>
      </c>
      <c r="H160">
        <v>15.5</v>
      </c>
      <c r="I160" t="s">
        <v>5960</v>
      </c>
      <c r="J160">
        <v>2.5510000000000002</v>
      </c>
      <c r="K160" t="s">
        <v>326</v>
      </c>
      <c r="L160" t="s">
        <v>5959</v>
      </c>
      <c r="M160">
        <v>80.53</v>
      </c>
      <c r="N160" t="s">
        <v>5958</v>
      </c>
      <c r="O160" t="s">
        <v>5957</v>
      </c>
      <c r="P160" t="s">
        <v>3653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3135</v>
      </c>
      <c r="W160" t="s">
        <v>326</v>
      </c>
      <c r="X160">
        <v>1</v>
      </c>
      <c r="Y160" t="s">
        <v>3469</v>
      </c>
      <c r="Z160" t="s">
        <v>3460</v>
      </c>
      <c r="AA160" t="s">
        <v>19</v>
      </c>
      <c r="AB160" t="s">
        <v>3119</v>
      </c>
      <c r="AC160" t="s">
        <v>3464</v>
      </c>
      <c r="AD160" t="str">
        <f t="shared" ref="AD160:AD161" si="17">LEFT(I160,FIND(4,I160)-1)</f>
        <v>DELT</v>
      </c>
      <c r="AE160" t="s">
        <v>6630</v>
      </c>
      <c r="AF160" t="s">
        <v>5960</v>
      </c>
    </row>
    <row r="161" spans="1:32" x14ac:dyDescent="0.3">
      <c r="A161" t="str">
        <f t="shared" si="12"/>
        <v>Mr. AG's</v>
      </c>
      <c r="B161">
        <v>406</v>
      </c>
      <c r="C161" t="s">
        <v>5950</v>
      </c>
      <c r="D161" t="s">
        <v>5949</v>
      </c>
      <c r="E161" t="s">
        <v>5948</v>
      </c>
      <c r="F161" t="s">
        <v>5956</v>
      </c>
      <c r="G161" t="s">
        <v>5955</v>
      </c>
      <c r="H161">
        <v>16</v>
      </c>
      <c r="I161" t="s">
        <v>5954</v>
      </c>
      <c r="J161">
        <v>5.5149999999999997</v>
      </c>
      <c r="K161" t="s">
        <v>326</v>
      </c>
      <c r="L161" t="s">
        <v>5953</v>
      </c>
      <c r="M161">
        <v>166.78299999999999</v>
      </c>
      <c r="N161" t="s">
        <v>5952</v>
      </c>
      <c r="O161" t="s">
        <v>5951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3135</v>
      </c>
      <c r="W161" t="s">
        <v>326</v>
      </c>
      <c r="X161">
        <v>1</v>
      </c>
      <c r="Y161" t="s">
        <v>4273</v>
      </c>
      <c r="Z161" t="s">
        <v>4264</v>
      </c>
      <c r="AA161" t="s">
        <v>2</v>
      </c>
      <c r="AB161" t="s">
        <v>3906</v>
      </c>
      <c r="AC161" t="s">
        <v>4268</v>
      </c>
      <c r="AD161" t="str">
        <f t="shared" si="17"/>
        <v>MCRE</v>
      </c>
      <c r="AE161" t="s">
        <v>6631</v>
      </c>
      <c r="AF161" t="s">
        <v>5954</v>
      </c>
    </row>
    <row r="162" spans="1:32" x14ac:dyDescent="0.3">
      <c r="A162" t="str">
        <f t="shared" si="12"/>
        <v>Destiny Realty</v>
      </c>
      <c r="B162">
        <v>406</v>
      </c>
      <c r="C162" t="s">
        <v>5950</v>
      </c>
      <c r="D162" t="s">
        <v>5949</v>
      </c>
      <c r="E162" t="s">
        <v>5948</v>
      </c>
      <c r="F162" t="s">
        <v>5785</v>
      </c>
      <c r="G162" t="s">
        <v>5947</v>
      </c>
      <c r="H162">
        <v>10.199999999999999</v>
      </c>
      <c r="I162" t="s">
        <v>5946</v>
      </c>
      <c r="J162">
        <v>12</v>
      </c>
      <c r="K162" t="s">
        <v>326</v>
      </c>
      <c r="L162" t="s">
        <v>5791</v>
      </c>
      <c r="M162">
        <v>390</v>
      </c>
      <c r="N162" t="s">
        <v>5774</v>
      </c>
      <c r="O162" t="s">
        <v>5945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3135</v>
      </c>
      <c r="W162" t="s">
        <v>326</v>
      </c>
      <c r="X162">
        <v>3</v>
      </c>
      <c r="Y162" t="s">
        <v>3648</v>
      </c>
      <c r="Z162" t="s">
        <v>3637</v>
      </c>
      <c r="AA162" t="s">
        <v>3638</v>
      </c>
      <c r="AB162" t="s">
        <v>3639</v>
      </c>
      <c r="AC162" t="s">
        <v>3643</v>
      </c>
      <c r="AD162" t="str">
        <f>LEFT(I162,FIND(0,I162)-1)</f>
        <v>GBBO</v>
      </c>
      <c r="AE162" t="s">
        <v>6632</v>
      </c>
      <c r="AF162" t="s">
        <v>5946</v>
      </c>
    </row>
    <row r="163" spans="1:32" x14ac:dyDescent="0.3">
      <c r="A163" t="str">
        <f t="shared" si="12"/>
        <v>Kinney Shoes</v>
      </c>
      <c r="B163">
        <v>407</v>
      </c>
      <c r="C163" t="s">
        <v>5935</v>
      </c>
      <c r="D163" t="s">
        <v>5734</v>
      </c>
      <c r="E163" t="s">
        <v>5944</v>
      </c>
      <c r="F163" t="s">
        <v>5699</v>
      </c>
      <c r="G163" t="s">
        <v>5943</v>
      </c>
      <c r="H163">
        <v>7.1</v>
      </c>
      <c r="I163" t="s">
        <v>5942</v>
      </c>
      <c r="J163">
        <v>4.1529999999999996</v>
      </c>
      <c r="K163" t="s">
        <v>326</v>
      </c>
      <c r="L163" t="s">
        <v>5941</v>
      </c>
      <c r="M163">
        <v>129.923</v>
      </c>
      <c r="N163" t="s">
        <v>5745</v>
      </c>
      <c r="O163" t="s">
        <v>5940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3135</v>
      </c>
      <c r="W163" t="s">
        <v>326</v>
      </c>
      <c r="X163">
        <v>3</v>
      </c>
      <c r="Y163" t="s">
        <v>4624</v>
      </c>
      <c r="Z163" t="s">
        <v>4615</v>
      </c>
      <c r="AA163" t="s">
        <v>3921</v>
      </c>
      <c r="AB163" t="s">
        <v>3922</v>
      </c>
      <c r="AC163" t="s">
        <v>4619</v>
      </c>
      <c r="AD163" t="str">
        <f t="shared" ref="AD163:AD164" si="18">LEFT(I163,FIND(4,I163)-1)</f>
        <v>STRO</v>
      </c>
      <c r="AE163" t="s">
        <v>6633</v>
      </c>
      <c r="AF163" t="s">
        <v>5942</v>
      </c>
    </row>
    <row r="164" spans="1:32" x14ac:dyDescent="0.3">
      <c r="A164" t="str">
        <f t="shared" si="12"/>
        <v>Morrie Mages</v>
      </c>
      <c r="B164">
        <v>407</v>
      </c>
      <c r="C164" t="s">
        <v>5935</v>
      </c>
      <c r="D164" t="s">
        <v>5723</v>
      </c>
      <c r="E164" t="s">
        <v>5939</v>
      </c>
      <c r="F164" t="s">
        <v>5698</v>
      </c>
      <c r="G164" t="s">
        <v>5932</v>
      </c>
      <c r="H164">
        <v>7.1</v>
      </c>
      <c r="I164" t="s">
        <v>5938</v>
      </c>
      <c r="J164">
        <v>9.06</v>
      </c>
      <c r="K164" t="s">
        <v>326</v>
      </c>
      <c r="L164" t="s">
        <v>5937</v>
      </c>
      <c r="M164">
        <v>286.13299999999998</v>
      </c>
      <c r="N164" t="s">
        <v>5727</v>
      </c>
      <c r="O164" t="s">
        <v>5936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3135</v>
      </c>
      <c r="W164" t="s">
        <v>326</v>
      </c>
      <c r="X164">
        <v>3</v>
      </c>
      <c r="Y164" t="s">
        <v>4461</v>
      </c>
      <c r="Z164" t="s">
        <v>4451</v>
      </c>
      <c r="AA164" t="s">
        <v>19</v>
      </c>
      <c r="AB164" t="s">
        <v>4452</v>
      </c>
      <c r="AC164" t="s">
        <v>4456</v>
      </c>
      <c r="AD164" t="str">
        <f t="shared" si="18"/>
        <v>RILI</v>
      </c>
      <c r="AE164" t="s">
        <v>6634</v>
      </c>
      <c r="AF164" t="s">
        <v>5938</v>
      </c>
    </row>
    <row r="165" spans="1:32" x14ac:dyDescent="0.3">
      <c r="A165" t="str">
        <f t="shared" si="12"/>
        <v>Universal Design Partners</v>
      </c>
      <c r="B165">
        <v>407</v>
      </c>
      <c r="C165" t="s">
        <v>5935</v>
      </c>
      <c r="D165" t="s">
        <v>5934</v>
      </c>
      <c r="E165" t="s">
        <v>5933</v>
      </c>
      <c r="F165" t="s">
        <v>5698</v>
      </c>
      <c r="G165" t="s">
        <v>5932</v>
      </c>
      <c r="H165">
        <v>7.1</v>
      </c>
      <c r="I165" t="s">
        <v>5931</v>
      </c>
      <c r="J165">
        <v>36</v>
      </c>
      <c r="K165" t="s">
        <v>326</v>
      </c>
      <c r="L165" t="s">
        <v>5697</v>
      </c>
      <c r="M165">
        <v>1085.3330000000001</v>
      </c>
      <c r="N165" t="s">
        <v>5930</v>
      </c>
      <c r="O165" t="s">
        <v>5696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3135</v>
      </c>
      <c r="W165" t="s">
        <v>326</v>
      </c>
      <c r="X165">
        <v>3</v>
      </c>
      <c r="Y165" t="s">
        <v>3713</v>
      </c>
      <c r="Z165" t="s">
        <v>3702</v>
      </c>
      <c r="AA165" t="s">
        <v>3703</v>
      </c>
      <c r="AB165" t="s">
        <v>3704</v>
      </c>
      <c r="AC165" t="s">
        <v>3708</v>
      </c>
      <c r="AD165" t="str">
        <f t="shared" ref="AD165:AD194" si="19">IF(ISERR(LEFT(I165,FIND("-",I165)-1)),LEFT(I165,FIND(" ",I165)-1),LEFT(I165,FIND("-",I165)-1))</f>
        <v>EPPS</v>
      </c>
      <c r="AE165" t="s">
        <v>6635</v>
      </c>
      <c r="AF165" t="s">
        <v>5931</v>
      </c>
    </row>
    <row r="166" spans="1:32" x14ac:dyDescent="0.3">
      <c r="A166" t="str">
        <f t="shared" si="12"/>
        <v>The Goose and Duck</v>
      </c>
      <c r="B166">
        <v>408</v>
      </c>
      <c r="C166" t="s">
        <v>5814</v>
      </c>
      <c r="D166" t="s">
        <v>5884</v>
      </c>
      <c r="E166" t="s">
        <v>5883</v>
      </c>
      <c r="F166" t="s">
        <v>5929</v>
      </c>
      <c r="G166" t="s">
        <v>5928</v>
      </c>
      <c r="H166">
        <v>16.8</v>
      </c>
      <c r="I166" t="s">
        <v>5927</v>
      </c>
      <c r="J166">
        <v>10.137</v>
      </c>
      <c r="K166" t="s">
        <v>326</v>
      </c>
      <c r="L166" t="s">
        <v>5892</v>
      </c>
      <c r="M166">
        <v>356.27699999999999</v>
      </c>
      <c r="N166" t="s">
        <v>5926</v>
      </c>
      <c r="O166" t="s">
        <v>5925</v>
      </c>
      <c r="P166" t="s">
        <v>3653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3135</v>
      </c>
      <c r="W166" t="s">
        <v>326</v>
      </c>
      <c r="X166">
        <v>1</v>
      </c>
      <c r="Y166" t="s">
        <v>3822</v>
      </c>
      <c r="Z166" t="s">
        <v>3813</v>
      </c>
      <c r="AA166" t="s">
        <v>3174</v>
      </c>
      <c r="AB166" t="s">
        <v>3175</v>
      </c>
      <c r="AC166" t="s">
        <v>3817</v>
      </c>
      <c r="AD166" t="str">
        <f t="shared" ref="AD166:AD169" si="20">LEFT(I166,FIND(4,I166)-1)</f>
        <v>H&amp;ME</v>
      </c>
      <c r="AE166" t="s">
        <v>6636</v>
      </c>
      <c r="AF166" t="s">
        <v>5927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5814</v>
      </c>
      <c r="D167" t="s">
        <v>5884</v>
      </c>
      <c r="E167" t="s">
        <v>5883</v>
      </c>
      <c r="F167" t="s">
        <v>5826</v>
      </c>
      <c r="G167" t="s">
        <v>5825</v>
      </c>
      <c r="H167">
        <v>16.100000000000001</v>
      </c>
      <c r="I167" t="s">
        <v>5924</v>
      </c>
      <c r="J167">
        <v>6.827</v>
      </c>
      <c r="K167" t="s">
        <v>326</v>
      </c>
      <c r="L167" t="s">
        <v>5900</v>
      </c>
      <c r="M167">
        <v>431.28699999999998</v>
      </c>
      <c r="N167" t="s">
        <v>5923</v>
      </c>
      <c r="O167" t="s">
        <v>5690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3135</v>
      </c>
      <c r="W167" t="s">
        <v>326</v>
      </c>
      <c r="X167">
        <v>1</v>
      </c>
      <c r="Y167" t="s">
        <v>3793</v>
      </c>
      <c r="Z167" t="s">
        <v>3783</v>
      </c>
      <c r="AA167" t="s">
        <v>48</v>
      </c>
      <c r="AB167" t="s">
        <v>3784</v>
      </c>
      <c r="AC167" t="s">
        <v>3788</v>
      </c>
      <c r="AD167" t="str">
        <f t="shared" si="20"/>
        <v>GRIZZ</v>
      </c>
      <c r="AE167" t="s">
        <v>6637</v>
      </c>
      <c r="AF167" t="s">
        <v>5924</v>
      </c>
    </row>
    <row r="168" spans="1:32" x14ac:dyDescent="0.3">
      <c r="A168" t="str">
        <f t="shared" si="12"/>
        <v>The Goose and Duck</v>
      </c>
      <c r="B168">
        <v>408</v>
      </c>
      <c r="C168" t="s">
        <v>5814</v>
      </c>
      <c r="D168" t="s">
        <v>5884</v>
      </c>
      <c r="E168" t="s">
        <v>5883</v>
      </c>
      <c r="F168" t="s">
        <v>5826</v>
      </c>
      <c r="G168" t="s">
        <v>5825</v>
      </c>
      <c r="H168">
        <v>16.100000000000001</v>
      </c>
      <c r="I168" t="s">
        <v>5922</v>
      </c>
      <c r="J168">
        <v>11.058</v>
      </c>
      <c r="K168" t="s">
        <v>326</v>
      </c>
      <c r="L168" t="s">
        <v>5751</v>
      </c>
      <c r="M168">
        <v>695.31299999999999</v>
      </c>
      <c r="N168" t="s">
        <v>5736</v>
      </c>
      <c r="O168" t="s">
        <v>5921</v>
      </c>
      <c r="P168" t="s">
        <v>3653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3135</v>
      </c>
      <c r="W168" t="s">
        <v>326</v>
      </c>
      <c r="X168">
        <v>1</v>
      </c>
      <c r="Y168" t="s">
        <v>3822</v>
      </c>
      <c r="Z168" t="s">
        <v>3813</v>
      </c>
      <c r="AA168" t="s">
        <v>3174</v>
      </c>
      <c r="AB168" t="s">
        <v>3175</v>
      </c>
      <c r="AC168" t="s">
        <v>3817</v>
      </c>
      <c r="AD168" t="str">
        <f t="shared" si="20"/>
        <v>H&amp;ME</v>
      </c>
      <c r="AE168" t="s">
        <v>6636</v>
      </c>
      <c r="AF168" t="s">
        <v>5922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5814</v>
      </c>
      <c r="D169" t="s">
        <v>5884</v>
      </c>
      <c r="E169" t="s">
        <v>5883</v>
      </c>
      <c r="F169" t="s">
        <v>5826</v>
      </c>
      <c r="G169" t="s">
        <v>5825</v>
      </c>
      <c r="H169">
        <v>16.100000000000001</v>
      </c>
      <c r="I169" t="s">
        <v>5920</v>
      </c>
      <c r="J169">
        <v>4.9560000000000004</v>
      </c>
      <c r="K169" t="s">
        <v>326</v>
      </c>
      <c r="L169" t="s">
        <v>5919</v>
      </c>
      <c r="M169">
        <v>318.36</v>
      </c>
      <c r="N169" t="s">
        <v>5918</v>
      </c>
      <c r="O169" t="s">
        <v>5690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5687</v>
      </c>
      <c r="X169">
        <v>0</v>
      </c>
      <c r="Y169" t="s">
        <v>3899</v>
      </c>
      <c r="Z169" t="s">
        <v>3888</v>
      </c>
      <c r="AA169" t="s">
        <v>3889</v>
      </c>
      <c r="AB169" t="s">
        <v>3890</v>
      </c>
      <c r="AC169" t="s">
        <v>3894</v>
      </c>
      <c r="AD169" t="str">
        <f t="shared" si="20"/>
        <v>INCL</v>
      </c>
      <c r="AE169" t="s">
        <v>6638</v>
      </c>
      <c r="AF169" t="s">
        <v>5920</v>
      </c>
    </row>
    <row r="170" spans="1:32" x14ac:dyDescent="0.3">
      <c r="A170" t="str">
        <f t="shared" si="12"/>
        <v>Gamma Gas</v>
      </c>
      <c r="B170">
        <v>408</v>
      </c>
      <c r="C170" t="s">
        <v>5814</v>
      </c>
      <c r="D170" t="s">
        <v>5884</v>
      </c>
      <c r="E170" t="s">
        <v>5883</v>
      </c>
      <c r="F170" t="s">
        <v>5826</v>
      </c>
      <c r="G170" t="s">
        <v>5825</v>
      </c>
      <c r="H170">
        <v>16.100000000000001</v>
      </c>
      <c r="I170" t="s">
        <v>5917</v>
      </c>
      <c r="J170">
        <v>39</v>
      </c>
      <c r="K170" t="s">
        <v>326</v>
      </c>
      <c r="L170" t="s">
        <v>5697</v>
      </c>
      <c r="M170">
        <v>2386.8330000000001</v>
      </c>
      <c r="N170" t="s">
        <v>5703</v>
      </c>
      <c r="O170" t="s">
        <v>5916</v>
      </c>
      <c r="P170" t="s">
        <v>3653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3135</v>
      </c>
      <c r="W170" t="s">
        <v>326</v>
      </c>
      <c r="X170">
        <v>1</v>
      </c>
      <c r="Y170" t="s">
        <v>3422</v>
      </c>
      <c r="Z170" t="s">
        <v>3413</v>
      </c>
      <c r="AA170" t="s">
        <v>3243</v>
      </c>
      <c r="AB170" t="s">
        <v>3244</v>
      </c>
      <c r="AC170" t="s">
        <v>3417</v>
      </c>
      <c r="AD170" t="str">
        <f t="shared" si="19"/>
        <v>KNGT</v>
      </c>
      <c r="AE170" t="s">
        <v>6639</v>
      </c>
      <c r="AF170" t="s">
        <v>5917</v>
      </c>
    </row>
    <row r="171" spans="1:32" x14ac:dyDescent="0.3">
      <c r="A171" t="str">
        <f t="shared" si="12"/>
        <v>Kids Mart</v>
      </c>
      <c r="B171">
        <v>408</v>
      </c>
      <c r="C171" t="s">
        <v>5814</v>
      </c>
      <c r="D171" t="s">
        <v>5884</v>
      </c>
      <c r="E171" t="s">
        <v>5883</v>
      </c>
      <c r="F171" t="s">
        <v>5826</v>
      </c>
      <c r="G171" t="s">
        <v>5825</v>
      </c>
      <c r="H171">
        <v>16.100000000000001</v>
      </c>
      <c r="I171" t="s">
        <v>5915</v>
      </c>
      <c r="J171">
        <v>12</v>
      </c>
      <c r="K171" t="s">
        <v>326</v>
      </c>
      <c r="L171" t="s">
        <v>5697</v>
      </c>
      <c r="M171">
        <v>766.66700000000003</v>
      </c>
      <c r="N171" t="s">
        <v>5702</v>
      </c>
      <c r="O171" t="s">
        <v>5694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3135</v>
      </c>
      <c r="W171" t="s">
        <v>326</v>
      </c>
      <c r="X171">
        <v>2</v>
      </c>
      <c r="Y171" t="s">
        <v>4099</v>
      </c>
      <c r="Z171" t="s">
        <v>4088</v>
      </c>
      <c r="AA171" t="s">
        <v>4089</v>
      </c>
      <c r="AB171" t="s">
        <v>4090</v>
      </c>
      <c r="AC171" t="s">
        <v>4094</v>
      </c>
      <c r="AD171" t="str">
        <f>LEFT(I171,FIND(0,I171)-1)</f>
        <v>LHTR</v>
      </c>
      <c r="AE171" t="s">
        <v>6640</v>
      </c>
      <c r="AF171" t="s">
        <v>5915</v>
      </c>
    </row>
    <row r="172" spans="1:32" x14ac:dyDescent="0.3">
      <c r="A172" t="str">
        <f t="shared" si="12"/>
        <v>Kids Mart</v>
      </c>
      <c r="B172">
        <v>408</v>
      </c>
      <c r="C172" t="s">
        <v>5814</v>
      </c>
      <c r="D172" t="s">
        <v>5884</v>
      </c>
      <c r="E172" t="s">
        <v>5883</v>
      </c>
      <c r="F172" t="s">
        <v>5826</v>
      </c>
      <c r="G172" t="s">
        <v>5825</v>
      </c>
      <c r="H172">
        <v>16.100000000000001</v>
      </c>
      <c r="I172" t="s">
        <v>5914</v>
      </c>
      <c r="J172">
        <v>5.1589999999999998</v>
      </c>
      <c r="K172" t="s">
        <v>326</v>
      </c>
      <c r="L172" t="s">
        <v>5913</v>
      </c>
      <c r="M172">
        <v>330.87299999999999</v>
      </c>
      <c r="N172" t="s">
        <v>5691</v>
      </c>
      <c r="O172" t="s">
        <v>5690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3135</v>
      </c>
      <c r="W172" t="s">
        <v>326</v>
      </c>
      <c r="X172">
        <v>3</v>
      </c>
      <c r="Y172" t="s">
        <v>4099</v>
      </c>
      <c r="Z172" t="s">
        <v>4088</v>
      </c>
      <c r="AA172" t="s">
        <v>4089</v>
      </c>
      <c r="AB172" t="s">
        <v>4090</v>
      </c>
      <c r="AC172" t="s">
        <v>4094</v>
      </c>
      <c r="AD172" t="str">
        <f>LEFT(I172,FIND(4,I172)-1)</f>
        <v>LHTR</v>
      </c>
      <c r="AE172" t="s">
        <v>6640</v>
      </c>
      <c r="AF172" t="s">
        <v>5914</v>
      </c>
    </row>
    <row r="173" spans="1:32" x14ac:dyDescent="0.3">
      <c r="A173" t="str">
        <f t="shared" si="12"/>
        <v>Castle Realty</v>
      </c>
      <c r="B173">
        <v>408</v>
      </c>
      <c r="C173" t="s">
        <v>5814</v>
      </c>
      <c r="D173" t="s">
        <v>5884</v>
      </c>
      <c r="E173" t="s">
        <v>5883</v>
      </c>
      <c r="F173" t="s">
        <v>5826</v>
      </c>
      <c r="G173" t="s">
        <v>5825</v>
      </c>
      <c r="H173">
        <v>16.100000000000001</v>
      </c>
      <c r="I173" t="s">
        <v>5912</v>
      </c>
      <c r="J173">
        <v>20</v>
      </c>
      <c r="K173" t="s">
        <v>326</v>
      </c>
      <c r="L173" t="s">
        <v>5697</v>
      </c>
      <c r="M173">
        <v>1213.33</v>
      </c>
      <c r="N173" t="s">
        <v>5703</v>
      </c>
      <c r="O173" t="s">
        <v>5911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5687</v>
      </c>
      <c r="X173">
        <v>0</v>
      </c>
      <c r="Y173" t="s">
        <v>4430</v>
      </c>
      <c r="Z173" t="s">
        <v>4419</v>
      </c>
      <c r="AA173" t="s">
        <v>4420</v>
      </c>
      <c r="AB173" t="s">
        <v>4421</v>
      </c>
      <c r="AC173" t="s">
        <v>4425</v>
      </c>
      <c r="AD173" t="str">
        <f t="shared" si="19"/>
        <v>MCCO</v>
      </c>
      <c r="AE173" t="s">
        <v>6641</v>
      </c>
      <c r="AF173" t="s">
        <v>5912</v>
      </c>
    </row>
    <row r="174" spans="1:32" x14ac:dyDescent="0.3">
      <c r="A174" t="str">
        <f t="shared" si="12"/>
        <v>Castle Realty</v>
      </c>
      <c r="B174">
        <v>408</v>
      </c>
      <c r="C174" t="s">
        <v>5814</v>
      </c>
      <c r="D174" t="s">
        <v>5884</v>
      </c>
      <c r="E174" t="s">
        <v>5883</v>
      </c>
      <c r="F174" t="s">
        <v>5826</v>
      </c>
      <c r="G174" t="s">
        <v>5825</v>
      </c>
      <c r="H174">
        <v>16.100000000000001</v>
      </c>
      <c r="I174" t="s">
        <v>5910</v>
      </c>
      <c r="J174">
        <v>10.945</v>
      </c>
      <c r="K174" t="s">
        <v>326</v>
      </c>
      <c r="L174" t="s">
        <v>5700</v>
      </c>
      <c r="M174">
        <v>673.36699999999996</v>
      </c>
      <c r="N174" t="s">
        <v>5775</v>
      </c>
      <c r="O174" t="s">
        <v>5704</v>
      </c>
      <c r="P174" t="s">
        <v>3653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3135</v>
      </c>
      <c r="W174" t="s">
        <v>326</v>
      </c>
      <c r="X174">
        <v>1</v>
      </c>
      <c r="Y174" t="s">
        <v>4430</v>
      </c>
      <c r="Z174" t="s">
        <v>4419</v>
      </c>
      <c r="AA174" t="s">
        <v>4420</v>
      </c>
      <c r="AB174" t="s">
        <v>4421</v>
      </c>
      <c r="AC174" t="s">
        <v>4425</v>
      </c>
      <c r="AD174" t="str">
        <f>LEFT(I174,FIND(4,I174)-1)</f>
        <v>MCCO</v>
      </c>
      <c r="AE174" t="s">
        <v>6641</v>
      </c>
      <c r="AF174" t="s">
        <v>5910</v>
      </c>
    </row>
    <row r="175" spans="1:32" x14ac:dyDescent="0.3">
      <c r="A175" t="str">
        <f t="shared" si="12"/>
        <v>Family Toy</v>
      </c>
      <c r="B175">
        <v>408</v>
      </c>
      <c r="C175" t="s">
        <v>5814</v>
      </c>
      <c r="D175" t="s">
        <v>5884</v>
      </c>
      <c r="E175" t="s">
        <v>5883</v>
      </c>
      <c r="F175" t="s">
        <v>5826</v>
      </c>
      <c r="G175" t="s">
        <v>5825</v>
      </c>
      <c r="H175">
        <v>16.100000000000001</v>
      </c>
      <c r="I175" t="s">
        <v>5909</v>
      </c>
      <c r="J175">
        <v>35</v>
      </c>
      <c r="K175" t="s">
        <v>326</v>
      </c>
      <c r="L175" t="s">
        <v>5697</v>
      </c>
      <c r="M175">
        <v>2131.33</v>
      </c>
      <c r="N175" t="s">
        <v>5691</v>
      </c>
      <c r="O175" t="s">
        <v>5690</v>
      </c>
      <c r="P175" t="s">
        <v>3653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3135</v>
      </c>
      <c r="W175" t="s">
        <v>326</v>
      </c>
      <c r="X175">
        <v>1</v>
      </c>
      <c r="Y175" t="s">
        <v>3915</v>
      </c>
      <c r="Z175" t="s">
        <v>3905</v>
      </c>
      <c r="AA175" t="s">
        <v>2</v>
      </c>
      <c r="AB175" t="s">
        <v>3906</v>
      </c>
      <c r="AC175" t="s">
        <v>3910</v>
      </c>
      <c r="AD175" t="str">
        <f t="shared" si="19"/>
        <v>PETE</v>
      </c>
      <c r="AE175" t="s">
        <v>6642</v>
      </c>
      <c r="AF175" t="s">
        <v>5909</v>
      </c>
    </row>
    <row r="176" spans="1:32" x14ac:dyDescent="0.3">
      <c r="A176" t="str">
        <f t="shared" si="12"/>
        <v>Fisher Foods</v>
      </c>
      <c r="B176">
        <v>408</v>
      </c>
      <c r="C176" t="s">
        <v>5814</v>
      </c>
      <c r="D176" t="s">
        <v>5884</v>
      </c>
      <c r="E176" t="s">
        <v>5883</v>
      </c>
      <c r="F176" t="s">
        <v>5826</v>
      </c>
      <c r="G176" t="s">
        <v>5825</v>
      </c>
      <c r="H176">
        <v>16.100000000000001</v>
      </c>
      <c r="I176" t="s">
        <v>5908</v>
      </c>
      <c r="J176">
        <v>19</v>
      </c>
      <c r="K176" t="s">
        <v>326</v>
      </c>
      <c r="L176" t="s">
        <v>5697</v>
      </c>
      <c r="M176">
        <v>1171.1669999999999</v>
      </c>
      <c r="N176" t="s">
        <v>5691</v>
      </c>
      <c r="O176" t="s">
        <v>5704</v>
      </c>
      <c r="P176" t="s">
        <v>3653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3135</v>
      </c>
      <c r="W176" t="s">
        <v>326</v>
      </c>
      <c r="X176">
        <v>1</v>
      </c>
      <c r="Y176" t="s">
        <v>4478</v>
      </c>
      <c r="Z176" t="s">
        <v>4467</v>
      </c>
      <c r="AA176" t="s">
        <v>4468</v>
      </c>
      <c r="AB176" t="s">
        <v>4469</v>
      </c>
      <c r="AC176" t="s">
        <v>4473</v>
      </c>
      <c r="AD176" t="str">
        <f t="shared" si="19"/>
        <v>RITA</v>
      </c>
      <c r="AE176" t="s">
        <v>6643</v>
      </c>
      <c r="AF176" t="s">
        <v>5908</v>
      </c>
    </row>
    <row r="177" spans="1:32" x14ac:dyDescent="0.3">
      <c r="A177" t="str">
        <f t="shared" si="12"/>
        <v>The Goose and Duck</v>
      </c>
      <c r="B177">
        <v>408</v>
      </c>
      <c r="C177" t="s">
        <v>5814</v>
      </c>
      <c r="D177" t="s">
        <v>5884</v>
      </c>
      <c r="E177" t="s">
        <v>5883</v>
      </c>
      <c r="F177" t="s">
        <v>5851</v>
      </c>
      <c r="G177" t="s">
        <v>5850</v>
      </c>
      <c r="H177">
        <v>7.1</v>
      </c>
      <c r="I177" t="s">
        <v>5907</v>
      </c>
      <c r="J177">
        <v>12</v>
      </c>
      <c r="K177" t="s">
        <v>326</v>
      </c>
      <c r="L177" t="s">
        <v>5697</v>
      </c>
      <c r="M177">
        <v>424.33300000000003</v>
      </c>
      <c r="N177" t="s">
        <v>5906</v>
      </c>
      <c r="O177" t="s">
        <v>5905</v>
      </c>
      <c r="P177" t="s">
        <v>3653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3135</v>
      </c>
      <c r="W177" t="s">
        <v>326</v>
      </c>
      <c r="X177">
        <v>1</v>
      </c>
      <c r="Y177" t="s">
        <v>3822</v>
      </c>
      <c r="Z177" t="s">
        <v>3813</v>
      </c>
      <c r="AA177" t="s">
        <v>3174</v>
      </c>
      <c r="AB177" t="s">
        <v>3175</v>
      </c>
      <c r="AC177" t="s">
        <v>3817</v>
      </c>
      <c r="AD177" t="str">
        <f>LEFT(I177,FIND(2,I177)-1)</f>
        <v>H&amp;ME</v>
      </c>
      <c r="AE177" t="s">
        <v>6636</v>
      </c>
      <c r="AF177" t="s">
        <v>5907</v>
      </c>
    </row>
    <row r="178" spans="1:32" x14ac:dyDescent="0.3">
      <c r="A178" t="str">
        <f t="shared" si="12"/>
        <v>Castle Realty</v>
      </c>
      <c r="B178">
        <v>408</v>
      </c>
      <c r="C178" t="s">
        <v>5814</v>
      </c>
      <c r="D178" t="s">
        <v>5884</v>
      </c>
      <c r="E178" t="s">
        <v>5883</v>
      </c>
      <c r="F178" t="s">
        <v>5851</v>
      </c>
      <c r="G178" t="s">
        <v>5850</v>
      </c>
      <c r="H178">
        <v>7.1</v>
      </c>
      <c r="I178" t="s">
        <v>5904</v>
      </c>
      <c r="J178">
        <v>5.9560000000000004</v>
      </c>
      <c r="K178" t="s">
        <v>326</v>
      </c>
      <c r="L178" t="s">
        <v>5903</v>
      </c>
      <c r="M178">
        <v>178.68</v>
      </c>
      <c r="N178" t="s">
        <v>5710</v>
      </c>
      <c r="O178" t="s">
        <v>5902</v>
      </c>
      <c r="P178" t="s">
        <v>3653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3135</v>
      </c>
      <c r="W178" t="s">
        <v>326</v>
      </c>
      <c r="X178">
        <v>3</v>
      </c>
      <c r="Y178" t="s">
        <v>4430</v>
      </c>
      <c r="Z178" t="s">
        <v>4419</v>
      </c>
      <c r="AA178" t="s">
        <v>4420</v>
      </c>
      <c r="AB178" t="s">
        <v>4421</v>
      </c>
      <c r="AC178" t="s">
        <v>4425</v>
      </c>
      <c r="AD178" t="str">
        <f t="shared" ref="AD178:AD184" si="21">LEFT(I178,FIND(4,I178)-1)</f>
        <v>MCCO</v>
      </c>
      <c r="AE178" t="s">
        <v>6641</v>
      </c>
      <c r="AF178" t="s">
        <v>5904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5814</v>
      </c>
      <c r="D179" t="s">
        <v>5884</v>
      </c>
      <c r="E179" t="s">
        <v>5883</v>
      </c>
      <c r="F179" t="s">
        <v>5822</v>
      </c>
      <c r="G179" t="s">
        <v>5821</v>
      </c>
      <c r="H179">
        <v>7.3</v>
      </c>
      <c r="I179" t="s">
        <v>5901</v>
      </c>
      <c r="J179">
        <v>6.827</v>
      </c>
      <c r="K179" t="s">
        <v>326</v>
      </c>
      <c r="L179" t="s">
        <v>5900</v>
      </c>
      <c r="M179">
        <v>204.81</v>
      </c>
      <c r="N179" t="s">
        <v>5710</v>
      </c>
      <c r="O179" t="s">
        <v>5782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3135</v>
      </c>
      <c r="W179" t="s">
        <v>326</v>
      </c>
      <c r="X179">
        <v>1</v>
      </c>
      <c r="Y179" t="s">
        <v>3793</v>
      </c>
      <c r="Z179" t="s">
        <v>3783</v>
      </c>
      <c r="AA179" t="s">
        <v>48</v>
      </c>
      <c r="AB179" t="s">
        <v>3784</v>
      </c>
      <c r="AC179" t="s">
        <v>3788</v>
      </c>
      <c r="AD179" t="str">
        <f t="shared" si="21"/>
        <v>GRIZZ</v>
      </c>
      <c r="AE179" t="s">
        <v>6637</v>
      </c>
      <c r="AF179" t="s">
        <v>5901</v>
      </c>
    </row>
    <row r="180" spans="1:32" x14ac:dyDescent="0.3">
      <c r="A180" t="str">
        <f t="shared" si="12"/>
        <v>Castle Realty</v>
      </c>
      <c r="B180">
        <v>408</v>
      </c>
      <c r="C180" t="s">
        <v>5814</v>
      </c>
      <c r="D180" t="s">
        <v>5884</v>
      </c>
      <c r="E180" t="s">
        <v>5883</v>
      </c>
      <c r="F180" t="s">
        <v>5822</v>
      </c>
      <c r="G180" t="s">
        <v>5821</v>
      </c>
      <c r="H180">
        <v>7.3</v>
      </c>
      <c r="I180" t="s">
        <v>5899</v>
      </c>
      <c r="J180">
        <v>10.945</v>
      </c>
      <c r="K180" t="s">
        <v>326</v>
      </c>
      <c r="L180" t="s">
        <v>5700</v>
      </c>
      <c r="M180">
        <v>342.85</v>
      </c>
      <c r="N180" t="s">
        <v>5710</v>
      </c>
      <c r="O180" t="s">
        <v>5813</v>
      </c>
      <c r="P180" t="s">
        <v>3653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3135</v>
      </c>
      <c r="W180" t="s">
        <v>326</v>
      </c>
      <c r="X180">
        <v>1</v>
      </c>
      <c r="Y180" t="s">
        <v>4430</v>
      </c>
      <c r="Z180" t="s">
        <v>4419</v>
      </c>
      <c r="AA180" t="s">
        <v>4420</v>
      </c>
      <c r="AB180" t="s">
        <v>4421</v>
      </c>
      <c r="AC180" t="s">
        <v>4425</v>
      </c>
      <c r="AD180" t="str">
        <f t="shared" si="21"/>
        <v>MCCO</v>
      </c>
      <c r="AE180" t="s">
        <v>6641</v>
      </c>
      <c r="AF180" t="s">
        <v>5899</v>
      </c>
    </row>
    <row r="181" spans="1:32" x14ac:dyDescent="0.3">
      <c r="A181" t="str">
        <f t="shared" si="12"/>
        <v>Edwards</v>
      </c>
      <c r="B181">
        <v>408</v>
      </c>
      <c r="C181" t="s">
        <v>5814</v>
      </c>
      <c r="D181" t="s">
        <v>5884</v>
      </c>
      <c r="E181" t="s">
        <v>5883</v>
      </c>
      <c r="F181" t="s">
        <v>5820</v>
      </c>
      <c r="G181" t="s">
        <v>5819</v>
      </c>
      <c r="H181">
        <v>7.3</v>
      </c>
      <c r="I181" t="s">
        <v>5898</v>
      </c>
      <c r="J181">
        <v>7.9669999999999996</v>
      </c>
      <c r="K181" t="s">
        <v>326</v>
      </c>
      <c r="L181" t="s">
        <v>5781</v>
      </c>
      <c r="M181">
        <v>242.01</v>
      </c>
      <c r="N181" t="s">
        <v>5740</v>
      </c>
      <c r="O181" t="s">
        <v>5812</v>
      </c>
      <c r="P181" t="s">
        <v>3653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3135</v>
      </c>
      <c r="W181" t="s">
        <v>326</v>
      </c>
      <c r="X181">
        <v>1</v>
      </c>
      <c r="Y181" t="s">
        <v>3305</v>
      </c>
      <c r="Z181" t="s">
        <v>3294</v>
      </c>
      <c r="AA181" t="s">
        <v>3295</v>
      </c>
      <c r="AB181" t="s">
        <v>3296</v>
      </c>
      <c r="AC181" t="s">
        <v>3300</v>
      </c>
      <c r="AD181" t="str">
        <f t="shared" si="21"/>
        <v>CANT</v>
      </c>
      <c r="AE181" t="s">
        <v>6644</v>
      </c>
      <c r="AF181" t="s">
        <v>5898</v>
      </c>
    </row>
    <row r="182" spans="1:32" x14ac:dyDescent="0.3">
      <c r="A182" t="str">
        <f t="shared" si="12"/>
        <v>The Goose and Duck</v>
      </c>
      <c r="B182">
        <v>408</v>
      </c>
      <c r="C182" t="s">
        <v>5814</v>
      </c>
      <c r="D182" t="s">
        <v>5884</v>
      </c>
      <c r="E182" t="s">
        <v>5883</v>
      </c>
      <c r="F182" t="s">
        <v>5820</v>
      </c>
      <c r="G182" t="s">
        <v>5819</v>
      </c>
      <c r="H182">
        <v>7.3</v>
      </c>
      <c r="I182" t="s">
        <v>5897</v>
      </c>
      <c r="J182">
        <v>10.137</v>
      </c>
      <c r="K182" t="s">
        <v>326</v>
      </c>
      <c r="L182" t="s">
        <v>5892</v>
      </c>
      <c r="M182">
        <v>320.44</v>
      </c>
      <c r="N182" t="s">
        <v>5891</v>
      </c>
      <c r="O182" t="s">
        <v>5896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3822</v>
      </c>
      <c r="Z182" t="s">
        <v>3813</v>
      </c>
      <c r="AA182" t="s">
        <v>3174</v>
      </c>
      <c r="AB182" t="s">
        <v>3175</v>
      </c>
      <c r="AC182" t="s">
        <v>3817</v>
      </c>
      <c r="AD182" t="str">
        <f t="shared" si="21"/>
        <v>H&amp;ME</v>
      </c>
      <c r="AE182" t="s">
        <v>6636</v>
      </c>
      <c r="AF182" t="s">
        <v>5897</v>
      </c>
    </row>
    <row r="183" spans="1:32" x14ac:dyDescent="0.3">
      <c r="A183" t="str">
        <f t="shared" si="12"/>
        <v>The Goose and Duck</v>
      </c>
      <c r="B183">
        <v>408</v>
      </c>
      <c r="C183" t="s">
        <v>5814</v>
      </c>
      <c r="D183" t="s">
        <v>5884</v>
      </c>
      <c r="E183" t="s">
        <v>5883</v>
      </c>
      <c r="F183" t="s">
        <v>5834</v>
      </c>
      <c r="G183" t="s">
        <v>5833</v>
      </c>
      <c r="H183">
        <v>7.3</v>
      </c>
      <c r="I183" t="s">
        <v>5895</v>
      </c>
      <c r="J183">
        <v>7.077</v>
      </c>
      <c r="K183" t="s">
        <v>326</v>
      </c>
      <c r="L183" t="s">
        <v>5799</v>
      </c>
      <c r="M183">
        <v>225.64</v>
      </c>
      <c r="N183" t="s">
        <v>5764</v>
      </c>
      <c r="O183" t="s">
        <v>5894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3822</v>
      </c>
      <c r="Z183" t="s">
        <v>3813</v>
      </c>
      <c r="AA183" t="s">
        <v>3174</v>
      </c>
      <c r="AB183" t="s">
        <v>3175</v>
      </c>
      <c r="AC183" t="s">
        <v>3817</v>
      </c>
      <c r="AD183" t="str">
        <f t="shared" si="21"/>
        <v>H&amp;ME</v>
      </c>
      <c r="AE183" t="s">
        <v>6636</v>
      </c>
      <c r="AF183" t="s">
        <v>5895</v>
      </c>
    </row>
    <row r="184" spans="1:32" x14ac:dyDescent="0.3">
      <c r="A184" t="str">
        <f t="shared" si="12"/>
        <v>The Goose and Duck</v>
      </c>
      <c r="B184">
        <v>408</v>
      </c>
      <c r="C184" t="s">
        <v>5814</v>
      </c>
      <c r="D184" t="s">
        <v>5884</v>
      </c>
      <c r="E184" t="s">
        <v>5883</v>
      </c>
      <c r="F184" t="s">
        <v>5832</v>
      </c>
      <c r="G184" t="s">
        <v>5831</v>
      </c>
      <c r="H184">
        <v>7.3</v>
      </c>
      <c r="I184" t="s">
        <v>5893</v>
      </c>
      <c r="J184">
        <v>10.137</v>
      </c>
      <c r="K184" t="s">
        <v>326</v>
      </c>
      <c r="L184" t="s">
        <v>5892</v>
      </c>
      <c r="M184">
        <v>340.77699999999999</v>
      </c>
      <c r="N184" t="s">
        <v>5891</v>
      </c>
      <c r="O184" t="s">
        <v>5890</v>
      </c>
      <c r="P184" t="s">
        <v>3653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3135</v>
      </c>
      <c r="W184" t="s">
        <v>326</v>
      </c>
      <c r="X184">
        <v>1</v>
      </c>
      <c r="Y184" t="s">
        <v>3822</v>
      </c>
      <c r="Z184" t="s">
        <v>3813</v>
      </c>
      <c r="AA184" t="s">
        <v>3174</v>
      </c>
      <c r="AB184" t="s">
        <v>3175</v>
      </c>
      <c r="AC184" t="s">
        <v>3817</v>
      </c>
      <c r="AD184" t="str">
        <f t="shared" si="21"/>
        <v>H&amp;ME</v>
      </c>
      <c r="AE184" t="s">
        <v>6636</v>
      </c>
      <c r="AF184" t="s">
        <v>5893</v>
      </c>
    </row>
    <row r="185" spans="1:32" x14ac:dyDescent="0.3">
      <c r="A185" t="str">
        <f t="shared" si="12"/>
        <v>Family Toy</v>
      </c>
      <c r="B185">
        <v>408</v>
      </c>
      <c r="C185" t="s">
        <v>5814</v>
      </c>
      <c r="D185" t="s">
        <v>5884</v>
      </c>
      <c r="E185" t="s">
        <v>5883</v>
      </c>
      <c r="F185" t="s">
        <v>5818</v>
      </c>
      <c r="G185" t="s">
        <v>5817</v>
      </c>
      <c r="H185">
        <v>13.3</v>
      </c>
      <c r="I185" t="s">
        <v>5889</v>
      </c>
      <c r="J185">
        <v>37</v>
      </c>
      <c r="K185" t="s">
        <v>326</v>
      </c>
      <c r="L185" t="s">
        <v>5697</v>
      </c>
      <c r="M185">
        <v>1157</v>
      </c>
      <c r="N185" t="s">
        <v>5761</v>
      </c>
      <c r="O185" t="s">
        <v>5888</v>
      </c>
      <c r="P185" t="s">
        <v>3653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3135</v>
      </c>
      <c r="W185" t="s">
        <v>326</v>
      </c>
      <c r="X185">
        <v>1</v>
      </c>
      <c r="Y185" t="s">
        <v>3915</v>
      </c>
      <c r="Z185" t="s">
        <v>3905</v>
      </c>
      <c r="AA185" t="s">
        <v>2</v>
      </c>
      <c r="AB185" t="s">
        <v>3906</v>
      </c>
      <c r="AC185" t="s">
        <v>3910</v>
      </c>
      <c r="AD185" t="str">
        <f t="shared" si="19"/>
        <v>PETE</v>
      </c>
      <c r="AE185" t="s">
        <v>6642</v>
      </c>
      <c r="AF185" t="s">
        <v>5889</v>
      </c>
    </row>
    <row r="186" spans="1:32" x14ac:dyDescent="0.3">
      <c r="A186" t="str">
        <f t="shared" si="12"/>
        <v>National Record Mart</v>
      </c>
      <c r="B186">
        <v>408</v>
      </c>
      <c r="C186" t="s">
        <v>5814</v>
      </c>
      <c r="D186" t="s">
        <v>5884</v>
      </c>
      <c r="E186" t="s">
        <v>5883</v>
      </c>
      <c r="F186" t="s">
        <v>5816</v>
      </c>
      <c r="G186" t="s">
        <v>5815</v>
      </c>
      <c r="H186">
        <v>15.1</v>
      </c>
      <c r="I186" t="s">
        <v>5887</v>
      </c>
      <c r="J186">
        <v>12</v>
      </c>
      <c r="K186" t="s">
        <v>326</v>
      </c>
      <c r="L186" t="s">
        <v>5697</v>
      </c>
      <c r="M186">
        <v>391.16699999999997</v>
      </c>
      <c r="N186" t="s">
        <v>5886</v>
      </c>
      <c r="O186" t="s">
        <v>5885</v>
      </c>
      <c r="P186" t="s">
        <v>3653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3135</v>
      </c>
      <c r="W186" t="s">
        <v>326</v>
      </c>
      <c r="X186">
        <v>1</v>
      </c>
      <c r="Y186" t="s">
        <v>4021</v>
      </c>
      <c r="Z186" t="s">
        <v>4012</v>
      </c>
      <c r="AA186" t="s">
        <v>3921</v>
      </c>
      <c r="AB186" t="s">
        <v>3922</v>
      </c>
      <c r="AC186" t="s">
        <v>4016</v>
      </c>
      <c r="AD186" t="str">
        <f t="shared" si="19"/>
        <v>KMAR</v>
      </c>
      <c r="AE186" t="s">
        <v>6645</v>
      </c>
      <c r="AF186" t="s">
        <v>5887</v>
      </c>
    </row>
    <row r="187" spans="1:32" x14ac:dyDescent="0.3">
      <c r="A187" t="str">
        <f t="shared" si="12"/>
        <v>Pantry Pride</v>
      </c>
      <c r="B187">
        <v>408</v>
      </c>
      <c r="C187" t="s">
        <v>5814</v>
      </c>
      <c r="D187" t="s">
        <v>5884</v>
      </c>
      <c r="E187" t="s">
        <v>5883</v>
      </c>
      <c r="F187" t="s">
        <v>5882</v>
      </c>
      <c r="G187" t="s">
        <v>5881</v>
      </c>
      <c r="H187">
        <v>15.1</v>
      </c>
      <c r="I187" t="s">
        <v>5880</v>
      </c>
      <c r="J187">
        <v>0.69899999999999995</v>
      </c>
      <c r="K187" t="s">
        <v>326</v>
      </c>
      <c r="L187" t="s">
        <v>5706</v>
      </c>
      <c r="M187">
        <v>20.97</v>
      </c>
      <c r="N187" t="s">
        <v>5879</v>
      </c>
      <c r="O187" t="s">
        <v>5878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3135</v>
      </c>
      <c r="W187" t="s">
        <v>326</v>
      </c>
      <c r="X187">
        <v>1</v>
      </c>
      <c r="Y187" t="s">
        <v>3374</v>
      </c>
      <c r="Z187" t="s">
        <v>3364</v>
      </c>
      <c r="AA187" t="s">
        <v>2</v>
      </c>
      <c r="AB187" t="s">
        <v>3365</v>
      </c>
      <c r="AC187" t="s">
        <v>3369</v>
      </c>
      <c r="AD187" t="str">
        <f>LEFT(I187,FIND(4,I187)-1)</f>
        <v>DMEXC</v>
      </c>
      <c r="AE187" t="s">
        <v>6646</v>
      </c>
      <c r="AF187" t="s">
        <v>5880</v>
      </c>
    </row>
    <row r="188" spans="1:32" x14ac:dyDescent="0.3">
      <c r="A188" t="str">
        <f t="shared" si="12"/>
        <v>Company</v>
      </c>
      <c r="B188">
        <v>408</v>
      </c>
      <c r="C188" t="s">
        <v>5814</v>
      </c>
      <c r="D188" t="s">
        <v>5829</v>
      </c>
      <c r="E188" t="s">
        <v>5828</v>
      </c>
      <c r="F188" t="s">
        <v>5789</v>
      </c>
      <c r="G188" t="s">
        <v>5871</v>
      </c>
      <c r="H188">
        <v>9.1999999999999993</v>
      </c>
      <c r="I188" t="s">
        <v>5877</v>
      </c>
      <c r="J188">
        <v>2.89</v>
      </c>
      <c r="K188" t="s">
        <v>326</v>
      </c>
      <c r="L188" t="s">
        <v>5876</v>
      </c>
      <c r="M188">
        <v>107.367</v>
      </c>
      <c r="N188" t="s">
        <v>5758</v>
      </c>
      <c r="O188" t="s">
        <v>5875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3135</v>
      </c>
      <c r="W188" t="s">
        <v>326</v>
      </c>
      <c r="X188">
        <v>3</v>
      </c>
      <c r="Y188" t="s">
        <v>2981</v>
      </c>
      <c r="Z188" t="s">
        <v>2962</v>
      </c>
      <c r="AA188" t="s">
        <v>0</v>
      </c>
      <c r="AB188" t="s">
        <v>2964</v>
      </c>
      <c r="AC188" t="s">
        <v>2970</v>
      </c>
      <c r="AD188" t="str">
        <f>LEFT(I188,FIND(4,I188)-1)</f>
        <v>ACTR</v>
      </c>
      <c r="AE188" t="s">
        <v>6647</v>
      </c>
      <c r="AF188" t="s">
        <v>5877</v>
      </c>
    </row>
    <row r="189" spans="1:32" x14ac:dyDescent="0.3">
      <c r="A189" t="str">
        <f t="shared" si="12"/>
        <v>Gas Depot</v>
      </c>
      <c r="B189">
        <v>408</v>
      </c>
      <c r="C189" t="s">
        <v>5814</v>
      </c>
      <c r="D189" t="s">
        <v>5829</v>
      </c>
      <c r="E189" t="s">
        <v>5828</v>
      </c>
      <c r="F189" t="s">
        <v>5789</v>
      </c>
      <c r="G189" t="s">
        <v>5871</v>
      </c>
      <c r="H189">
        <v>9.1999999999999993</v>
      </c>
      <c r="I189" t="s">
        <v>5874</v>
      </c>
      <c r="J189">
        <v>23</v>
      </c>
      <c r="K189" t="s">
        <v>326</v>
      </c>
      <c r="L189" t="s">
        <v>5697</v>
      </c>
      <c r="M189">
        <v>693.16700000000003</v>
      </c>
      <c r="N189" t="s">
        <v>5873</v>
      </c>
      <c r="O189" t="s">
        <v>5872</v>
      </c>
      <c r="P189" t="s">
        <v>3653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3135</v>
      </c>
      <c r="W189" t="s">
        <v>326</v>
      </c>
      <c r="X189">
        <v>1</v>
      </c>
      <c r="Y189" t="s">
        <v>3454</v>
      </c>
      <c r="Z189" t="s">
        <v>3445</v>
      </c>
      <c r="AA189" t="s">
        <v>2</v>
      </c>
      <c r="AB189" t="s">
        <v>3064</v>
      </c>
      <c r="AC189" t="s">
        <v>3449</v>
      </c>
      <c r="AD189" t="str">
        <f t="shared" si="19"/>
        <v>DAVE</v>
      </c>
      <c r="AE189" t="s">
        <v>6648</v>
      </c>
      <c r="AF189" t="s">
        <v>5874</v>
      </c>
    </row>
    <row r="190" spans="1:32" x14ac:dyDescent="0.3">
      <c r="A190" t="str">
        <f t="shared" si="12"/>
        <v>Waccamaw's Homeplace</v>
      </c>
      <c r="B190">
        <v>408</v>
      </c>
      <c r="C190" t="s">
        <v>5814</v>
      </c>
      <c r="D190" t="s">
        <v>5829</v>
      </c>
      <c r="E190" t="s">
        <v>5828</v>
      </c>
      <c r="F190" t="s">
        <v>5789</v>
      </c>
      <c r="G190" t="s">
        <v>5871</v>
      </c>
      <c r="H190">
        <v>9.1999999999999993</v>
      </c>
      <c r="I190" t="s">
        <v>5870</v>
      </c>
      <c r="J190">
        <v>33</v>
      </c>
      <c r="K190" t="s">
        <v>326</v>
      </c>
      <c r="L190" t="s">
        <v>5697</v>
      </c>
      <c r="M190">
        <v>992</v>
      </c>
      <c r="N190" t="s">
        <v>5869</v>
      </c>
      <c r="O190" t="s">
        <v>5868</v>
      </c>
      <c r="P190" t="s">
        <v>3653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3135</v>
      </c>
      <c r="W190" t="s">
        <v>326</v>
      </c>
      <c r="X190">
        <v>1</v>
      </c>
      <c r="Y190" t="s">
        <v>4083</v>
      </c>
      <c r="Z190" t="s">
        <v>4072</v>
      </c>
      <c r="AA190" t="s">
        <v>4073</v>
      </c>
      <c r="AB190" t="s">
        <v>4074</v>
      </c>
      <c r="AC190" t="s">
        <v>4078</v>
      </c>
      <c r="AD190" t="str">
        <f t="shared" si="19"/>
        <v>KAST</v>
      </c>
      <c r="AE190" t="s">
        <v>6649</v>
      </c>
      <c r="AF190" t="s">
        <v>5870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5814</v>
      </c>
      <c r="D191" t="s">
        <v>5829</v>
      </c>
      <c r="E191" t="s">
        <v>5828</v>
      </c>
      <c r="F191" t="s">
        <v>5867</v>
      </c>
      <c r="G191" t="s">
        <v>5866</v>
      </c>
      <c r="H191">
        <v>1.9</v>
      </c>
      <c r="I191" t="s">
        <v>5865</v>
      </c>
      <c r="J191">
        <v>10.962</v>
      </c>
      <c r="K191" t="s">
        <v>5687</v>
      </c>
      <c r="L191" t="s">
        <v>5864</v>
      </c>
      <c r="M191">
        <v>677.86</v>
      </c>
      <c r="N191" t="s">
        <v>5863</v>
      </c>
      <c r="O191" t="s">
        <v>5862</v>
      </c>
      <c r="P191" t="s">
        <v>3653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3135</v>
      </c>
      <c r="W191" t="s">
        <v>326</v>
      </c>
      <c r="X191">
        <v>1</v>
      </c>
      <c r="Y191" t="s">
        <v>3012</v>
      </c>
      <c r="Z191" t="s">
        <v>4645</v>
      </c>
      <c r="AA191" t="s">
        <v>4646</v>
      </c>
      <c r="AB191" t="s">
        <v>4647</v>
      </c>
      <c r="AC191" t="s">
        <v>4651</v>
      </c>
      <c r="AD191" t="str">
        <f>LEFT(I191,FIND(4,I191)-1)</f>
        <v>SSDS</v>
      </c>
      <c r="AE191" t="s">
        <v>6650</v>
      </c>
      <c r="AF191" t="s">
        <v>5865</v>
      </c>
    </row>
    <row r="192" spans="1:32" x14ac:dyDescent="0.3">
      <c r="A192" t="str">
        <f t="shared" si="12"/>
        <v>Brendle's</v>
      </c>
      <c r="B192">
        <v>408</v>
      </c>
      <c r="C192" t="s">
        <v>5814</v>
      </c>
      <c r="D192" t="s">
        <v>5829</v>
      </c>
      <c r="E192" t="s">
        <v>5828</v>
      </c>
      <c r="F192" t="s">
        <v>5826</v>
      </c>
      <c r="G192" t="s">
        <v>5825</v>
      </c>
      <c r="H192">
        <v>16.100000000000001</v>
      </c>
      <c r="I192" t="s">
        <v>5861</v>
      </c>
      <c r="J192">
        <v>22</v>
      </c>
      <c r="K192" t="s">
        <v>326</v>
      </c>
      <c r="L192" t="s">
        <v>5697</v>
      </c>
      <c r="M192">
        <v>1324.1669999999999</v>
      </c>
      <c r="N192" t="s">
        <v>5860</v>
      </c>
      <c r="O192" t="s">
        <v>5859</v>
      </c>
      <c r="P192" t="s">
        <v>3653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3135</v>
      </c>
      <c r="W192" t="s">
        <v>326</v>
      </c>
      <c r="X192">
        <v>1</v>
      </c>
      <c r="Y192" t="s">
        <v>3221</v>
      </c>
      <c r="Z192" t="s">
        <v>3752</v>
      </c>
      <c r="AA192" t="s">
        <v>2</v>
      </c>
      <c r="AB192" t="s">
        <v>3753</v>
      </c>
      <c r="AC192" t="s">
        <v>3757</v>
      </c>
      <c r="AD192" t="str">
        <f t="shared" si="19"/>
        <v>GRAS</v>
      </c>
      <c r="AE192" t="s">
        <v>6651</v>
      </c>
      <c r="AF192" t="s">
        <v>5861</v>
      </c>
    </row>
    <row r="193" spans="1:32" x14ac:dyDescent="0.3">
      <c r="A193" t="str">
        <f t="shared" si="12"/>
        <v>Red Owl</v>
      </c>
      <c r="B193">
        <v>408</v>
      </c>
      <c r="C193" t="s">
        <v>5814</v>
      </c>
      <c r="D193" t="s">
        <v>5829</v>
      </c>
      <c r="E193" t="s">
        <v>5828</v>
      </c>
      <c r="F193" t="s">
        <v>5826</v>
      </c>
      <c r="G193" t="s">
        <v>5825</v>
      </c>
      <c r="H193">
        <v>16.100000000000001</v>
      </c>
      <c r="I193" t="s">
        <v>5858</v>
      </c>
      <c r="J193">
        <v>27</v>
      </c>
      <c r="K193" t="s">
        <v>326</v>
      </c>
      <c r="L193" t="s">
        <v>5697</v>
      </c>
      <c r="M193">
        <v>1624.8330000000001</v>
      </c>
      <c r="N193" t="s">
        <v>5691</v>
      </c>
      <c r="O193" t="s">
        <v>5807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3135</v>
      </c>
      <c r="W193" t="s">
        <v>326</v>
      </c>
      <c r="X193">
        <v>1</v>
      </c>
      <c r="Y193" t="s">
        <v>4126</v>
      </c>
      <c r="Z193" t="s">
        <v>4118</v>
      </c>
      <c r="AA193" t="s">
        <v>2</v>
      </c>
      <c r="AB193" t="s">
        <v>3365</v>
      </c>
      <c r="AC193" t="s">
        <v>4122</v>
      </c>
      <c r="AD193" t="str">
        <f t="shared" si="19"/>
        <v>HJOR</v>
      </c>
      <c r="AE193" t="s">
        <v>6652</v>
      </c>
      <c r="AF193" t="s">
        <v>5858</v>
      </c>
    </row>
    <row r="194" spans="1:32" x14ac:dyDescent="0.3">
      <c r="A194" t="str">
        <f t="shared" si="12"/>
        <v>Best Products</v>
      </c>
      <c r="B194">
        <v>408</v>
      </c>
      <c r="C194" t="s">
        <v>5814</v>
      </c>
      <c r="D194" t="s">
        <v>5829</v>
      </c>
      <c r="E194" t="s">
        <v>5828</v>
      </c>
      <c r="F194" t="s">
        <v>5826</v>
      </c>
      <c r="G194" t="s">
        <v>5825</v>
      </c>
      <c r="H194">
        <v>16.100000000000001</v>
      </c>
      <c r="I194" t="s">
        <v>5857</v>
      </c>
      <c r="J194">
        <v>24</v>
      </c>
      <c r="K194" t="s">
        <v>326</v>
      </c>
      <c r="L194" t="s">
        <v>5697</v>
      </c>
      <c r="M194">
        <v>1444.6669999999999</v>
      </c>
      <c r="N194" t="s">
        <v>5856</v>
      </c>
      <c r="O194" t="s">
        <v>5855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3135</v>
      </c>
      <c r="W194" t="s">
        <v>326</v>
      </c>
      <c r="X194">
        <v>1</v>
      </c>
      <c r="Y194" t="s">
        <v>3074</v>
      </c>
      <c r="Z194" t="s">
        <v>3063</v>
      </c>
      <c r="AA194" t="s">
        <v>2</v>
      </c>
      <c r="AB194" t="s">
        <v>3064</v>
      </c>
      <c r="AC194" t="s">
        <v>3068</v>
      </c>
      <c r="AD194" t="str">
        <f t="shared" si="19"/>
        <v>SPRG</v>
      </c>
      <c r="AE194" t="s">
        <v>6653</v>
      </c>
      <c r="AF194" t="s">
        <v>5857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5814</v>
      </c>
      <c r="D195" t="s">
        <v>5829</v>
      </c>
      <c r="E195" t="s">
        <v>5828</v>
      </c>
      <c r="F195" t="s">
        <v>5824</v>
      </c>
      <c r="G195" t="s">
        <v>5823</v>
      </c>
      <c r="H195">
        <v>16.2</v>
      </c>
      <c r="I195" t="s">
        <v>5854</v>
      </c>
      <c r="J195">
        <v>1.0660000000000001</v>
      </c>
      <c r="K195" t="s">
        <v>326</v>
      </c>
      <c r="L195" t="s">
        <v>5853</v>
      </c>
      <c r="M195">
        <v>59.15</v>
      </c>
      <c r="N195" t="s">
        <v>5718</v>
      </c>
      <c r="O195" t="s">
        <v>5852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3586</v>
      </c>
      <c r="Z195" t="s">
        <v>3575</v>
      </c>
      <c r="AA195" t="s">
        <v>3576</v>
      </c>
      <c r="AB195" t="s">
        <v>3577</v>
      </c>
      <c r="AC195" t="s">
        <v>3581</v>
      </c>
      <c r="AD195" t="str">
        <f>LEFT(I195,FIND(4,I195)-1)</f>
        <v>EXSA</v>
      </c>
      <c r="AE195" t="s">
        <v>6654</v>
      </c>
      <c r="AF195" t="s">
        <v>5854</v>
      </c>
    </row>
    <row r="196" spans="1:32" x14ac:dyDescent="0.3">
      <c r="A196" t="str">
        <f t="shared" si="22"/>
        <v>Dave Cooks</v>
      </c>
      <c r="B196">
        <v>408</v>
      </c>
      <c r="C196" t="s">
        <v>5814</v>
      </c>
      <c r="D196" t="s">
        <v>5829</v>
      </c>
      <c r="E196" t="s">
        <v>5828</v>
      </c>
      <c r="F196" t="s">
        <v>5851</v>
      </c>
      <c r="G196" t="s">
        <v>5850</v>
      </c>
      <c r="H196">
        <v>7.1</v>
      </c>
      <c r="I196" t="s">
        <v>5849</v>
      </c>
      <c r="J196">
        <v>18</v>
      </c>
      <c r="K196" t="s">
        <v>326</v>
      </c>
      <c r="L196" t="s">
        <v>5697</v>
      </c>
      <c r="M196">
        <v>540</v>
      </c>
      <c r="N196" t="s">
        <v>5848</v>
      </c>
      <c r="O196" t="s">
        <v>5847</v>
      </c>
      <c r="P196" t="s">
        <v>3653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3135</v>
      </c>
      <c r="W196" t="s">
        <v>326</v>
      </c>
      <c r="X196">
        <v>1</v>
      </c>
      <c r="Y196" t="s">
        <v>4536</v>
      </c>
      <c r="Z196" t="s">
        <v>4527</v>
      </c>
      <c r="AA196" t="s">
        <v>2</v>
      </c>
      <c r="AB196" t="s">
        <v>3365</v>
      </c>
      <c r="AC196" t="s">
        <v>4531</v>
      </c>
      <c r="AD196" t="str">
        <f t="shared" ref="AD196:AD199" si="23">IF(ISERR(LEFT(I196,FIND("-",I196)-1)),LEFT(I196,FIND(" ",I196)-1),LEFT(I196,FIND("-",I196)-1))</f>
        <v>SRWA</v>
      </c>
      <c r="AE196" t="s">
        <v>6655</v>
      </c>
      <c r="AF196" t="s">
        <v>5849</v>
      </c>
    </row>
    <row r="197" spans="1:32" x14ac:dyDescent="0.3">
      <c r="A197" t="str">
        <f t="shared" si="22"/>
        <v>Waccamaw Pottery</v>
      </c>
      <c r="B197">
        <v>408</v>
      </c>
      <c r="C197" t="s">
        <v>5814</v>
      </c>
      <c r="D197" t="s">
        <v>5829</v>
      </c>
      <c r="E197" t="s">
        <v>5828</v>
      </c>
      <c r="F197" t="s">
        <v>5846</v>
      </c>
      <c r="G197" t="s">
        <v>5845</v>
      </c>
      <c r="H197">
        <v>7.3</v>
      </c>
      <c r="I197" t="s">
        <v>5844</v>
      </c>
      <c r="J197">
        <v>7.819</v>
      </c>
      <c r="K197" t="s">
        <v>326</v>
      </c>
      <c r="L197" t="s">
        <v>5830</v>
      </c>
      <c r="M197">
        <v>252.40299999999999</v>
      </c>
      <c r="N197" t="s">
        <v>5710</v>
      </c>
      <c r="O197" t="s">
        <v>5843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3135</v>
      </c>
      <c r="W197" t="s">
        <v>326</v>
      </c>
      <c r="X197">
        <v>1</v>
      </c>
      <c r="Y197" t="s">
        <v>4761</v>
      </c>
      <c r="Z197" t="s">
        <v>4752</v>
      </c>
      <c r="AA197" t="s">
        <v>3023</v>
      </c>
      <c r="AB197" t="s">
        <v>3024</v>
      </c>
      <c r="AC197" t="s">
        <v>4756</v>
      </c>
      <c r="AD197" t="str">
        <f>LEFT(I197,FIND(4,I197)-1)</f>
        <v>TTCL</v>
      </c>
      <c r="AE197" t="s">
        <v>6656</v>
      </c>
      <c r="AF197" t="s">
        <v>5844</v>
      </c>
    </row>
    <row r="198" spans="1:32" x14ac:dyDescent="0.3">
      <c r="A198" t="str">
        <f t="shared" si="22"/>
        <v>Dave Cooks</v>
      </c>
      <c r="B198">
        <v>408</v>
      </c>
      <c r="C198" t="s">
        <v>5814</v>
      </c>
      <c r="D198" t="s">
        <v>5829</v>
      </c>
      <c r="E198" t="s">
        <v>5828</v>
      </c>
      <c r="F198" t="s">
        <v>5842</v>
      </c>
      <c r="G198" t="s">
        <v>5841</v>
      </c>
      <c r="H198">
        <v>7.3</v>
      </c>
      <c r="I198" t="s">
        <v>5840</v>
      </c>
      <c r="J198">
        <v>12</v>
      </c>
      <c r="K198" t="s">
        <v>326</v>
      </c>
      <c r="L198" t="s">
        <v>5839</v>
      </c>
      <c r="M198">
        <v>361.5</v>
      </c>
      <c r="N198" t="s">
        <v>5838</v>
      </c>
      <c r="O198" t="s">
        <v>5837</v>
      </c>
      <c r="P198" t="s">
        <v>3653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3135</v>
      </c>
      <c r="W198" t="s">
        <v>326</v>
      </c>
      <c r="X198">
        <v>1</v>
      </c>
      <c r="Y198" t="s">
        <v>4536</v>
      </c>
      <c r="Z198" t="s">
        <v>4527</v>
      </c>
      <c r="AA198" t="s">
        <v>2</v>
      </c>
      <c r="AB198" t="s">
        <v>3365</v>
      </c>
      <c r="AC198" t="s">
        <v>4531</v>
      </c>
      <c r="AD198" t="str">
        <f t="shared" si="23"/>
        <v>SRWA</v>
      </c>
      <c r="AE198" t="s">
        <v>6655</v>
      </c>
      <c r="AF198" t="s">
        <v>5840</v>
      </c>
    </row>
    <row r="199" spans="1:32" x14ac:dyDescent="0.3">
      <c r="A199" t="str">
        <f t="shared" si="22"/>
        <v>Dave Cooks</v>
      </c>
      <c r="B199">
        <v>408</v>
      </c>
      <c r="C199" t="s">
        <v>5814</v>
      </c>
      <c r="D199" t="s">
        <v>5829</v>
      </c>
      <c r="E199" t="s">
        <v>5828</v>
      </c>
      <c r="F199" t="s">
        <v>5822</v>
      </c>
      <c r="G199" t="s">
        <v>5821</v>
      </c>
      <c r="H199">
        <v>7.3</v>
      </c>
      <c r="I199" t="s">
        <v>5836</v>
      </c>
      <c r="J199">
        <v>22</v>
      </c>
      <c r="K199" t="s">
        <v>326</v>
      </c>
      <c r="L199" t="s">
        <v>5697</v>
      </c>
      <c r="M199">
        <v>666.66700000000003</v>
      </c>
      <c r="N199" t="s">
        <v>5714</v>
      </c>
      <c r="O199" t="s">
        <v>5835</v>
      </c>
      <c r="P199" t="s">
        <v>3653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3135</v>
      </c>
      <c r="W199" t="s">
        <v>326</v>
      </c>
      <c r="X199">
        <v>1</v>
      </c>
      <c r="Y199" t="s">
        <v>4536</v>
      </c>
      <c r="Z199" t="s">
        <v>4527</v>
      </c>
      <c r="AA199" t="s">
        <v>2</v>
      </c>
      <c r="AB199" t="s">
        <v>3365</v>
      </c>
      <c r="AC199" t="s">
        <v>4531</v>
      </c>
      <c r="AD199" t="str">
        <f t="shared" si="23"/>
        <v>SRWA</v>
      </c>
      <c r="AE199" t="s">
        <v>6655</v>
      </c>
      <c r="AF199" t="s">
        <v>5836</v>
      </c>
    </row>
  </sheetData>
  <autoFilter ref="A1:AE199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2956</v>
      </c>
      <c r="B1" t="s">
        <v>2957</v>
      </c>
      <c r="C1" t="s">
        <v>2958</v>
      </c>
      <c r="D1" t="s">
        <v>2959</v>
      </c>
      <c r="E1" t="s">
        <v>2960</v>
      </c>
      <c r="F1" t="s">
        <v>2961</v>
      </c>
      <c r="G1" t="s">
        <v>2962</v>
      </c>
      <c r="H1" t="s">
        <v>0</v>
      </c>
      <c r="I1" t="s">
        <v>2963</v>
      </c>
      <c r="J1" t="s">
        <v>2964</v>
      </c>
      <c r="K1" t="s">
        <v>2965</v>
      </c>
      <c r="L1" t="s">
        <v>2966</v>
      </c>
      <c r="M1" t="s">
        <v>2967</v>
      </c>
      <c r="N1" t="s">
        <v>2968</v>
      </c>
      <c r="O1" t="s">
        <v>2969</v>
      </c>
      <c r="P1" t="s">
        <v>2970</v>
      </c>
      <c r="Q1" t="s">
        <v>2971</v>
      </c>
      <c r="R1" t="s">
        <v>2972</v>
      </c>
      <c r="S1" t="s">
        <v>2973</v>
      </c>
      <c r="T1" t="s">
        <v>2974</v>
      </c>
      <c r="U1" t="s">
        <v>2975</v>
      </c>
      <c r="V1" t="s">
        <v>2976</v>
      </c>
      <c r="W1" t="s">
        <v>2977</v>
      </c>
      <c r="X1" t="s">
        <v>2978</v>
      </c>
      <c r="Y1" t="s">
        <v>2979</v>
      </c>
      <c r="Z1" t="s">
        <v>2980</v>
      </c>
      <c r="AA1" t="s">
        <v>2981</v>
      </c>
      <c r="AB1" t="s">
        <v>2982</v>
      </c>
      <c r="AC1" t="s">
        <v>2983</v>
      </c>
      <c r="AD1" t="s">
        <v>2984</v>
      </c>
      <c r="AE1" t="s">
        <v>2985</v>
      </c>
      <c r="AF1" t="s">
        <v>2986</v>
      </c>
      <c r="AG1" t="s">
        <v>2987</v>
      </c>
      <c r="AH1" t="s">
        <v>2988</v>
      </c>
      <c r="AI1" t="s">
        <v>2989</v>
      </c>
      <c r="AJ1" t="s">
        <v>2990</v>
      </c>
      <c r="AK1" t="s">
        <v>2991</v>
      </c>
      <c r="AL1" t="s">
        <v>6670</v>
      </c>
      <c r="AM1" t="s">
        <v>6671</v>
      </c>
    </row>
    <row r="2" spans="1:39" x14ac:dyDescent="0.3">
      <c r="A2">
        <v>9</v>
      </c>
      <c r="B2" t="s">
        <v>2992</v>
      </c>
      <c r="C2" t="s">
        <v>2993</v>
      </c>
      <c r="D2" t="s">
        <v>2994</v>
      </c>
      <c r="E2" t="s">
        <v>2995</v>
      </c>
      <c r="F2" t="s">
        <v>2996</v>
      </c>
      <c r="G2" t="s">
        <v>2997</v>
      </c>
      <c r="H2" t="s">
        <v>2</v>
      </c>
      <c r="I2" t="s">
        <v>2998</v>
      </c>
      <c r="J2" t="s">
        <v>2999</v>
      </c>
      <c r="K2" t="s">
        <v>3000</v>
      </c>
      <c r="L2" t="s">
        <v>3001</v>
      </c>
      <c r="M2" t="s">
        <v>3002</v>
      </c>
      <c r="N2" t="s">
        <v>3003</v>
      </c>
      <c r="O2" t="s">
        <v>3004</v>
      </c>
      <c r="P2" t="s">
        <v>3005</v>
      </c>
      <c r="Q2" t="s">
        <v>3006</v>
      </c>
      <c r="R2">
        <v>18148</v>
      </c>
      <c r="S2" t="s">
        <v>3007</v>
      </c>
      <c r="T2">
        <v>4556229803844510</v>
      </c>
      <c r="U2">
        <v>122</v>
      </c>
      <c r="V2">
        <v>42125</v>
      </c>
      <c r="W2" t="s">
        <v>3008</v>
      </c>
      <c r="X2" t="s">
        <v>3009</v>
      </c>
      <c r="Y2" t="s">
        <v>3010</v>
      </c>
      <c r="Z2" t="s">
        <v>3011</v>
      </c>
      <c r="AA2" t="s">
        <v>3012</v>
      </c>
      <c r="AB2" t="s">
        <v>3013</v>
      </c>
      <c r="AC2" t="s">
        <v>3014</v>
      </c>
      <c r="AD2" t="s">
        <v>3015</v>
      </c>
      <c r="AE2">
        <v>166.3</v>
      </c>
      <c r="AF2">
        <v>75.599999999999994</v>
      </c>
      <c r="AG2" t="s">
        <v>3016</v>
      </c>
      <c r="AH2">
        <v>185</v>
      </c>
      <c r="AI2" t="s">
        <v>3017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6672</v>
      </c>
    </row>
    <row r="3" spans="1:39" x14ac:dyDescent="0.3">
      <c r="A3">
        <v>12</v>
      </c>
      <c r="B3" t="s">
        <v>3018</v>
      </c>
      <c r="C3" t="s">
        <v>3019</v>
      </c>
      <c r="D3" t="s">
        <v>3020</v>
      </c>
      <c r="E3" t="s">
        <v>324</v>
      </c>
      <c r="F3" t="s">
        <v>3021</v>
      </c>
      <c r="G3" t="s">
        <v>3022</v>
      </c>
      <c r="H3" t="s">
        <v>3023</v>
      </c>
      <c r="I3" t="s">
        <v>2998</v>
      </c>
      <c r="J3" t="s">
        <v>3024</v>
      </c>
      <c r="K3" t="s">
        <v>3000</v>
      </c>
      <c r="L3" t="s">
        <v>3001</v>
      </c>
      <c r="M3" t="s">
        <v>3025</v>
      </c>
      <c r="N3" t="s">
        <v>3026</v>
      </c>
      <c r="O3" t="s">
        <v>3027</v>
      </c>
      <c r="P3" t="s">
        <v>3028</v>
      </c>
      <c r="Q3" t="s">
        <v>3029</v>
      </c>
      <c r="R3">
        <v>22068</v>
      </c>
      <c r="S3" t="s">
        <v>3030</v>
      </c>
      <c r="T3">
        <v>5272052098916060</v>
      </c>
      <c r="U3">
        <v>640</v>
      </c>
      <c r="V3">
        <v>42979</v>
      </c>
      <c r="W3" t="s">
        <v>3031</v>
      </c>
      <c r="X3" t="s">
        <v>3032</v>
      </c>
      <c r="Y3" t="s">
        <v>3033</v>
      </c>
      <c r="Z3" t="s">
        <v>3034</v>
      </c>
      <c r="AA3" t="s">
        <v>3035</v>
      </c>
      <c r="AB3" t="s">
        <v>3036</v>
      </c>
      <c r="AC3" t="s">
        <v>3037</v>
      </c>
      <c r="AD3" t="s">
        <v>3038</v>
      </c>
      <c r="AE3">
        <v>181.3</v>
      </c>
      <c r="AF3">
        <v>82.4</v>
      </c>
      <c r="AG3" t="s">
        <v>3039</v>
      </c>
      <c r="AH3">
        <v>155</v>
      </c>
      <c r="AI3" t="s">
        <v>3040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6673</v>
      </c>
    </row>
    <row r="4" spans="1:39" x14ac:dyDescent="0.3">
      <c r="A4">
        <v>27</v>
      </c>
      <c r="B4" t="s">
        <v>2992</v>
      </c>
      <c r="C4" t="s">
        <v>2993</v>
      </c>
      <c r="D4" t="s">
        <v>3041</v>
      </c>
      <c r="E4" t="s">
        <v>328</v>
      </c>
      <c r="F4" t="s">
        <v>3042</v>
      </c>
      <c r="G4" t="s">
        <v>3043</v>
      </c>
      <c r="H4" t="s">
        <v>3044</v>
      </c>
      <c r="I4" t="s">
        <v>2998</v>
      </c>
      <c r="J4" t="s">
        <v>3045</v>
      </c>
      <c r="K4" t="s">
        <v>3000</v>
      </c>
      <c r="L4" t="s">
        <v>3001</v>
      </c>
      <c r="M4" t="s">
        <v>3046</v>
      </c>
      <c r="N4" t="s">
        <v>3047</v>
      </c>
      <c r="O4" t="s">
        <v>3048</v>
      </c>
      <c r="P4" t="s">
        <v>3049</v>
      </c>
      <c r="Q4" t="s">
        <v>3050</v>
      </c>
      <c r="R4">
        <v>15391</v>
      </c>
      <c r="S4" t="s">
        <v>3007</v>
      </c>
      <c r="T4">
        <v>4485343687549940</v>
      </c>
      <c r="U4">
        <v>408</v>
      </c>
      <c r="V4">
        <v>42644</v>
      </c>
      <c r="W4" t="s">
        <v>3051</v>
      </c>
      <c r="X4" t="s">
        <v>3052</v>
      </c>
      <c r="Y4" t="s">
        <v>3010</v>
      </c>
      <c r="Z4" t="s">
        <v>3053</v>
      </c>
      <c r="AA4" t="s">
        <v>3054</v>
      </c>
      <c r="AB4" t="s">
        <v>3055</v>
      </c>
      <c r="AC4" t="s">
        <v>3056</v>
      </c>
      <c r="AD4" t="s">
        <v>3057</v>
      </c>
      <c r="AE4">
        <v>164.6</v>
      </c>
      <c r="AF4">
        <v>74.8</v>
      </c>
      <c r="AG4" t="s">
        <v>3058</v>
      </c>
      <c r="AH4">
        <v>176</v>
      </c>
      <c r="AI4" t="s">
        <v>3059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6674</v>
      </c>
    </row>
    <row r="5" spans="1:39" x14ac:dyDescent="0.3">
      <c r="A5">
        <v>38</v>
      </c>
      <c r="B5" t="s">
        <v>3018</v>
      </c>
      <c r="C5" t="s">
        <v>3060</v>
      </c>
      <c r="D5" t="s">
        <v>3061</v>
      </c>
      <c r="E5" t="s">
        <v>2995</v>
      </c>
      <c r="F5" t="s">
        <v>3062</v>
      </c>
      <c r="G5" t="s">
        <v>3063</v>
      </c>
      <c r="H5" t="s">
        <v>2</v>
      </c>
      <c r="I5" t="s">
        <v>2998</v>
      </c>
      <c r="J5" t="s">
        <v>3064</v>
      </c>
      <c r="K5" t="s">
        <v>3000</v>
      </c>
      <c r="L5" t="s">
        <v>3001</v>
      </c>
      <c r="M5" t="s">
        <v>3065</v>
      </c>
      <c r="N5" t="s">
        <v>3066</v>
      </c>
      <c r="O5" t="s">
        <v>3067</v>
      </c>
      <c r="P5" t="s">
        <v>3068</v>
      </c>
      <c r="Q5" t="s">
        <v>3069</v>
      </c>
      <c r="R5">
        <v>30584</v>
      </c>
      <c r="S5" t="s">
        <v>3007</v>
      </c>
      <c r="T5">
        <v>4929519050724580</v>
      </c>
      <c r="U5">
        <v>746</v>
      </c>
      <c r="V5">
        <v>43070</v>
      </c>
      <c r="W5" t="s">
        <v>3070</v>
      </c>
      <c r="X5" t="s">
        <v>3071</v>
      </c>
      <c r="Y5" t="s">
        <v>3072</v>
      </c>
      <c r="Z5" t="s">
        <v>3073</v>
      </c>
      <c r="AA5" t="s">
        <v>3074</v>
      </c>
      <c r="AB5" t="s">
        <v>3075</v>
      </c>
      <c r="AC5" t="s">
        <v>3076</v>
      </c>
      <c r="AD5" t="s">
        <v>3057</v>
      </c>
      <c r="AE5">
        <v>177.5</v>
      </c>
      <c r="AF5">
        <v>80.7</v>
      </c>
      <c r="AG5" t="s">
        <v>3077</v>
      </c>
      <c r="AH5">
        <v>157</v>
      </c>
      <c r="AI5" t="s">
        <v>3078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6675</v>
      </c>
    </row>
    <row r="6" spans="1:39" x14ac:dyDescent="0.3">
      <c r="A6">
        <v>46</v>
      </c>
      <c r="B6" t="s">
        <v>3018</v>
      </c>
      <c r="C6" t="s">
        <v>3019</v>
      </c>
      <c r="D6" t="s">
        <v>3079</v>
      </c>
      <c r="E6" t="s">
        <v>100</v>
      </c>
      <c r="F6" t="s">
        <v>3080</v>
      </c>
      <c r="G6" t="s">
        <v>3081</v>
      </c>
      <c r="H6" t="s">
        <v>3082</v>
      </c>
      <c r="I6" t="s">
        <v>2998</v>
      </c>
      <c r="J6" t="s">
        <v>3083</v>
      </c>
      <c r="K6" t="s">
        <v>3000</v>
      </c>
      <c r="L6" t="s">
        <v>3001</v>
      </c>
      <c r="M6" t="s">
        <v>3084</v>
      </c>
      <c r="N6" t="s">
        <v>3085</v>
      </c>
      <c r="O6" t="s">
        <v>3086</v>
      </c>
      <c r="P6" t="s">
        <v>3087</v>
      </c>
      <c r="Q6" t="s">
        <v>3088</v>
      </c>
      <c r="R6">
        <v>18924</v>
      </c>
      <c r="S6" t="s">
        <v>3007</v>
      </c>
      <c r="T6">
        <v>4929390470025680</v>
      </c>
      <c r="U6">
        <v>124</v>
      </c>
      <c r="V6">
        <v>43313</v>
      </c>
      <c r="W6" t="s">
        <v>3089</v>
      </c>
      <c r="X6" t="s">
        <v>3090</v>
      </c>
      <c r="Y6" t="s">
        <v>3072</v>
      </c>
      <c r="Z6" t="s">
        <v>3091</v>
      </c>
      <c r="AA6" t="s">
        <v>3092</v>
      </c>
      <c r="AB6" t="s">
        <v>3093</v>
      </c>
      <c r="AC6" t="s">
        <v>3094</v>
      </c>
      <c r="AD6" t="s">
        <v>3095</v>
      </c>
      <c r="AE6">
        <v>226.4</v>
      </c>
      <c r="AF6">
        <v>102.9</v>
      </c>
      <c r="AG6" t="s">
        <v>3096</v>
      </c>
      <c r="AH6">
        <v>168</v>
      </c>
      <c r="AI6" t="s">
        <v>3097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6676</v>
      </c>
    </row>
    <row r="7" spans="1:39" x14ac:dyDescent="0.3">
      <c r="A7">
        <v>48</v>
      </c>
      <c r="B7" t="s">
        <v>2992</v>
      </c>
      <c r="C7" t="s">
        <v>2993</v>
      </c>
      <c r="D7" t="s">
        <v>3098</v>
      </c>
      <c r="E7" t="s">
        <v>3099</v>
      </c>
      <c r="F7" t="s">
        <v>3100</v>
      </c>
      <c r="G7" t="s">
        <v>3101</v>
      </c>
      <c r="H7" t="s">
        <v>3102</v>
      </c>
      <c r="I7" t="s">
        <v>2998</v>
      </c>
      <c r="J7" t="s">
        <v>3103</v>
      </c>
      <c r="K7" t="s">
        <v>3000</v>
      </c>
      <c r="L7" t="s">
        <v>3001</v>
      </c>
      <c r="M7" t="s">
        <v>3104</v>
      </c>
      <c r="N7" t="s">
        <v>3105</v>
      </c>
      <c r="O7" t="s">
        <v>3106</v>
      </c>
      <c r="P7" t="s">
        <v>3107</v>
      </c>
      <c r="Q7" t="s">
        <v>3108</v>
      </c>
      <c r="R7">
        <v>21412</v>
      </c>
      <c r="S7" t="s">
        <v>3007</v>
      </c>
      <c r="T7">
        <v>4485044893729420</v>
      </c>
      <c r="U7">
        <v>687</v>
      </c>
      <c r="V7">
        <v>42856</v>
      </c>
      <c r="W7" t="s">
        <v>3109</v>
      </c>
      <c r="X7" t="s">
        <v>3110</v>
      </c>
      <c r="Y7" t="s">
        <v>3010</v>
      </c>
      <c r="Z7" t="s">
        <v>3111</v>
      </c>
      <c r="AA7" t="s">
        <v>3112</v>
      </c>
      <c r="AB7" t="s">
        <v>3113</v>
      </c>
      <c r="AC7" t="s">
        <v>3114</v>
      </c>
      <c r="AD7" t="s">
        <v>3057</v>
      </c>
      <c r="AE7">
        <v>150.5</v>
      </c>
      <c r="AF7">
        <v>68.400000000000006</v>
      </c>
      <c r="AG7" t="s">
        <v>3016</v>
      </c>
      <c r="AH7">
        <v>186</v>
      </c>
      <c r="AI7" t="s">
        <v>3115</v>
      </c>
      <c r="AJ7">
        <v>49.149808</v>
      </c>
      <c r="AK7">
        <v>-122.388766</v>
      </c>
      <c r="AL7" t="str">
        <f>CONCATENATE(Names!D7," ",Names!F7)</f>
        <v>Brian Healey</v>
      </c>
      <c r="AM7" t="s">
        <v>6677</v>
      </c>
    </row>
    <row r="8" spans="1:39" x14ac:dyDescent="0.3">
      <c r="A8">
        <v>50</v>
      </c>
      <c r="B8" t="s">
        <v>3018</v>
      </c>
      <c r="C8" t="s">
        <v>3060</v>
      </c>
      <c r="D8" t="s">
        <v>3116</v>
      </c>
      <c r="E8" t="s">
        <v>322</v>
      </c>
      <c r="F8" t="s">
        <v>3117</v>
      </c>
      <c r="G8" t="s">
        <v>3118</v>
      </c>
      <c r="H8" t="s">
        <v>19</v>
      </c>
      <c r="I8" t="s">
        <v>2998</v>
      </c>
      <c r="J8" t="s">
        <v>3119</v>
      </c>
      <c r="K8" t="s">
        <v>3000</v>
      </c>
      <c r="L8" t="s">
        <v>3001</v>
      </c>
      <c r="M8" t="s">
        <v>3120</v>
      </c>
      <c r="N8" t="s">
        <v>3121</v>
      </c>
      <c r="O8" t="s">
        <v>3122</v>
      </c>
      <c r="P8" t="s">
        <v>3123</v>
      </c>
      <c r="Q8" t="s">
        <v>3124</v>
      </c>
      <c r="R8">
        <v>29287</v>
      </c>
      <c r="S8" t="s">
        <v>3030</v>
      </c>
      <c r="T8">
        <v>5455154127820680</v>
      </c>
      <c r="U8">
        <v>706</v>
      </c>
      <c r="V8">
        <v>43160</v>
      </c>
      <c r="W8" t="s">
        <v>3125</v>
      </c>
      <c r="X8" t="s">
        <v>3126</v>
      </c>
      <c r="Y8" t="s">
        <v>3010</v>
      </c>
      <c r="Z8" t="s">
        <v>3127</v>
      </c>
      <c r="AA8" t="s">
        <v>3128</v>
      </c>
      <c r="AB8" t="s">
        <v>3129</v>
      </c>
      <c r="AC8" t="s">
        <v>3130</v>
      </c>
      <c r="AD8" t="s">
        <v>3131</v>
      </c>
      <c r="AE8">
        <v>172.9</v>
      </c>
      <c r="AF8">
        <v>78.599999999999994</v>
      </c>
      <c r="AG8" t="s">
        <v>3132</v>
      </c>
      <c r="AH8">
        <v>165</v>
      </c>
      <c r="AI8" t="s">
        <v>3133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6678</v>
      </c>
    </row>
    <row r="9" spans="1:39" x14ac:dyDescent="0.3">
      <c r="A9">
        <v>55</v>
      </c>
      <c r="B9" t="s">
        <v>2992</v>
      </c>
      <c r="C9" t="s">
        <v>2993</v>
      </c>
      <c r="D9" t="s">
        <v>3134</v>
      </c>
      <c r="E9" t="s">
        <v>3135</v>
      </c>
      <c r="F9" t="s">
        <v>3136</v>
      </c>
      <c r="G9" t="s">
        <v>3137</v>
      </c>
      <c r="H9" t="s">
        <v>3138</v>
      </c>
      <c r="I9" t="s">
        <v>2998</v>
      </c>
      <c r="J9" t="s">
        <v>3139</v>
      </c>
      <c r="K9" t="s">
        <v>3000</v>
      </c>
      <c r="L9" t="s">
        <v>3001</v>
      </c>
      <c r="M9" t="s">
        <v>3140</v>
      </c>
      <c r="N9" t="s">
        <v>3141</v>
      </c>
      <c r="O9" t="s">
        <v>3142</v>
      </c>
      <c r="P9" t="s">
        <v>3143</v>
      </c>
      <c r="Q9" t="s">
        <v>3144</v>
      </c>
      <c r="R9">
        <v>21706</v>
      </c>
      <c r="S9" t="s">
        <v>3007</v>
      </c>
      <c r="T9">
        <v>4916042802020680</v>
      </c>
      <c r="U9">
        <v>824</v>
      </c>
      <c r="V9">
        <v>43191</v>
      </c>
      <c r="W9" t="s">
        <v>3145</v>
      </c>
      <c r="X9" t="s">
        <v>3146</v>
      </c>
      <c r="Y9" t="s">
        <v>3010</v>
      </c>
      <c r="Z9" t="s">
        <v>3147</v>
      </c>
      <c r="AA9" t="s">
        <v>3148</v>
      </c>
      <c r="AB9" t="s">
        <v>3149</v>
      </c>
      <c r="AC9" t="s">
        <v>3150</v>
      </c>
      <c r="AD9" t="s">
        <v>3151</v>
      </c>
      <c r="AE9">
        <v>208.6</v>
      </c>
      <c r="AF9">
        <v>94.8</v>
      </c>
      <c r="AG9" t="s">
        <v>3096</v>
      </c>
      <c r="AH9">
        <v>168</v>
      </c>
      <c r="AI9" t="s">
        <v>3152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6679</v>
      </c>
    </row>
    <row r="10" spans="1:39" x14ac:dyDescent="0.3">
      <c r="A10">
        <v>56</v>
      </c>
      <c r="B10" t="s">
        <v>3018</v>
      </c>
      <c r="C10" t="s">
        <v>3060</v>
      </c>
      <c r="D10" t="s">
        <v>3153</v>
      </c>
      <c r="E10" t="s">
        <v>3154</v>
      </c>
      <c r="F10" t="s">
        <v>3155</v>
      </c>
      <c r="G10" t="s">
        <v>3156</v>
      </c>
      <c r="H10" t="s">
        <v>19</v>
      </c>
      <c r="I10" t="s">
        <v>2998</v>
      </c>
      <c r="J10" t="s">
        <v>41</v>
      </c>
      <c r="K10" t="s">
        <v>3000</v>
      </c>
      <c r="L10" t="s">
        <v>3001</v>
      </c>
      <c r="M10" t="s">
        <v>3157</v>
      </c>
      <c r="N10" t="s">
        <v>3158</v>
      </c>
      <c r="O10" t="s">
        <v>3159</v>
      </c>
      <c r="P10" t="s">
        <v>3160</v>
      </c>
      <c r="Q10" t="s">
        <v>3161</v>
      </c>
      <c r="R10">
        <v>26934</v>
      </c>
      <c r="S10" t="s">
        <v>3030</v>
      </c>
      <c r="T10">
        <v>5501171180516120</v>
      </c>
      <c r="U10">
        <v>426</v>
      </c>
      <c r="V10">
        <v>43070</v>
      </c>
      <c r="W10" t="s">
        <v>3162</v>
      </c>
      <c r="X10" t="s">
        <v>3163</v>
      </c>
      <c r="Y10" t="s">
        <v>3164</v>
      </c>
      <c r="Z10" t="s">
        <v>3165</v>
      </c>
      <c r="AA10" t="s">
        <v>3166</v>
      </c>
      <c r="AB10" t="s">
        <v>3167</v>
      </c>
      <c r="AC10" t="s">
        <v>3168</v>
      </c>
      <c r="AD10" t="s">
        <v>3057</v>
      </c>
      <c r="AE10">
        <v>225.1</v>
      </c>
      <c r="AF10">
        <v>102.3</v>
      </c>
      <c r="AG10" t="s">
        <v>3169</v>
      </c>
      <c r="AH10">
        <v>173</v>
      </c>
      <c r="AI10" t="s">
        <v>3170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6680</v>
      </c>
    </row>
    <row r="11" spans="1:39" x14ac:dyDescent="0.3">
      <c r="A11">
        <v>58</v>
      </c>
      <c r="B11" t="s">
        <v>2992</v>
      </c>
      <c r="C11" t="s">
        <v>2993</v>
      </c>
      <c r="D11" t="s">
        <v>3171</v>
      </c>
      <c r="E11" t="s">
        <v>322</v>
      </c>
      <c r="F11" t="s">
        <v>3172</v>
      </c>
      <c r="G11" t="s">
        <v>3173</v>
      </c>
      <c r="H11" t="s">
        <v>3174</v>
      </c>
      <c r="I11" t="s">
        <v>2998</v>
      </c>
      <c r="J11" t="s">
        <v>3175</v>
      </c>
      <c r="K11" t="s">
        <v>3000</v>
      </c>
      <c r="L11" t="s">
        <v>3001</v>
      </c>
      <c r="M11" t="s">
        <v>3176</v>
      </c>
      <c r="N11" t="s">
        <v>3177</v>
      </c>
      <c r="O11" t="s">
        <v>3178</v>
      </c>
      <c r="P11" t="s">
        <v>3179</v>
      </c>
      <c r="Q11" t="s">
        <v>3180</v>
      </c>
      <c r="R11">
        <v>21621</v>
      </c>
      <c r="S11" t="s">
        <v>3030</v>
      </c>
      <c r="T11">
        <v>5176627530133580</v>
      </c>
      <c r="U11">
        <v>969</v>
      </c>
      <c r="V11">
        <v>43770</v>
      </c>
      <c r="W11" t="s">
        <v>3181</v>
      </c>
      <c r="X11" t="s">
        <v>3182</v>
      </c>
      <c r="Y11" t="s">
        <v>3010</v>
      </c>
      <c r="Z11" t="s">
        <v>3183</v>
      </c>
      <c r="AA11" t="s">
        <v>3184</v>
      </c>
      <c r="AB11" t="s">
        <v>3185</v>
      </c>
      <c r="AC11" t="s">
        <v>3186</v>
      </c>
      <c r="AD11" t="s">
        <v>3151</v>
      </c>
      <c r="AE11">
        <v>250.4</v>
      </c>
      <c r="AF11">
        <v>113.8</v>
      </c>
      <c r="AG11" t="s">
        <v>3187</v>
      </c>
      <c r="AH11">
        <v>184</v>
      </c>
      <c r="AI11" t="s">
        <v>3188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6681</v>
      </c>
    </row>
    <row r="12" spans="1:39" x14ac:dyDescent="0.3">
      <c r="A12">
        <v>66</v>
      </c>
      <c r="B12" t="s">
        <v>3018</v>
      </c>
      <c r="C12" t="s">
        <v>3019</v>
      </c>
      <c r="D12" t="s">
        <v>3189</v>
      </c>
      <c r="E12" t="s">
        <v>3154</v>
      </c>
      <c r="F12" t="s">
        <v>3190</v>
      </c>
      <c r="G12" t="s">
        <v>3191</v>
      </c>
      <c r="H12" t="s">
        <v>3192</v>
      </c>
      <c r="I12" t="s">
        <v>2998</v>
      </c>
      <c r="J12" t="s">
        <v>3193</v>
      </c>
      <c r="K12" t="s">
        <v>3000</v>
      </c>
      <c r="L12" t="s">
        <v>3001</v>
      </c>
      <c r="M12" t="s">
        <v>3194</v>
      </c>
      <c r="N12" t="s">
        <v>3195</v>
      </c>
      <c r="O12" t="s">
        <v>3196</v>
      </c>
      <c r="P12" t="s">
        <v>3197</v>
      </c>
      <c r="Q12" t="s">
        <v>3198</v>
      </c>
      <c r="R12">
        <v>14587</v>
      </c>
      <c r="S12" t="s">
        <v>3030</v>
      </c>
      <c r="T12">
        <v>5500353859563750</v>
      </c>
      <c r="U12">
        <v>575</v>
      </c>
      <c r="V12">
        <v>43282</v>
      </c>
      <c r="W12" t="s">
        <v>3199</v>
      </c>
      <c r="X12" t="s">
        <v>3200</v>
      </c>
      <c r="Y12" t="s">
        <v>3072</v>
      </c>
      <c r="Z12" t="s">
        <v>3201</v>
      </c>
      <c r="AA12" t="s">
        <v>3202</v>
      </c>
      <c r="AB12" t="s">
        <v>3203</v>
      </c>
      <c r="AC12" t="s">
        <v>3204</v>
      </c>
      <c r="AD12" t="s">
        <v>3095</v>
      </c>
      <c r="AE12">
        <v>214.5</v>
      </c>
      <c r="AF12">
        <v>97.5</v>
      </c>
      <c r="AG12" t="s">
        <v>3205</v>
      </c>
      <c r="AH12">
        <v>170</v>
      </c>
      <c r="AI12" t="s">
        <v>3206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6682</v>
      </c>
    </row>
    <row r="13" spans="1:39" x14ac:dyDescent="0.3">
      <c r="A13">
        <v>67</v>
      </c>
      <c r="B13" t="s">
        <v>2992</v>
      </c>
      <c r="C13" t="s">
        <v>2993</v>
      </c>
      <c r="D13" t="s">
        <v>3207</v>
      </c>
      <c r="E13" t="s">
        <v>322</v>
      </c>
      <c r="F13" t="s">
        <v>3208</v>
      </c>
      <c r="G13" t="s">
        <v>3209</v>
      </c>
      <c r="H13" t="s">
        <v>3210</v>
      </c>
      <c r="I13" t="s">
        <v>2998</v>
      </c>
      <c r="J13" t="s">
        <v>3211</v>
      </c>
      <c r="K13" t="s">
        <v>3000</v>
      </c>
      <c r="L13" t="s">
        <v>3001</v>
      </c>
      <c r="M13" t="s">
        <v>3212</v>
      </c>
      <c r="N13" t="s">
        <v>3213</v>
      </c>
      <c r="O13" t="s">
        <v>3214</v>
      </c>
      <c r="P13" t="s">
        <v>3215</v>
      </c>
      <c r="Q13" t="s">
        <v>3216</v>
      </c>
      <c r="R13">
        <v>34450</v>
      </c>
      <c r="S13" t="s">
        <v>3007</v>
      </c>
      <c r="T13">
        <v>4556389088802860</v>
      </c>
      <c r="U13">
        <v>478</v>
      </c>
      <c r="V13">
        <v>43800</v>
      </c>
      <c r="W13" t="s">
        <v>3217</v>
      </c>
      <c r="X13" t="s">
        <v>3218</v>
      </c>
      <c r="Y13" t="s">
        <v>3219</v>
      </c>
      <c r="Z13" t="s">
        <v>3220</v>
      </c>
      <c r="AA13" t="s">
        <v>3221</v>
      </c>
      <c r="AB13" t="s">
        <v>3222</v>
      </c>
      <c r="AC13" t="s">
        <v>3223</v>
      </c>
      <c r="AD13" t="s">
        <v>3095</v>
      </c>
      <c r="AE13">
        <v>151.6</v>
      </c>
      <c r="AF13">
        <v>68.900000000000006</v>
      </c>
      <c r="AG13" t="s">
        <v>3205</v>
      </c>
      <c r="AH13">
        <v>171</v>
      </c>
      <c r="AI13" t="s">
        <v>3224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6683</v>
      </c>
    </row>
    <row r="14" spans="1:39" x14ac:dyDescent="0.3">
      <c r="A14">
        <v>77</v>
      </c>
      <c r="B14" t="s">
        <v>3018</v>
      </c>
      <c r="C14" t="s">
        <v>3019</v>
      </c>
      <c r="D14" t="s">
        <v>3225</v>
      </c>
      <c r="E14" t="s">
        <v>323</v>
      </c>
      <c r="F14" t="s">
        <v>3136</v>
      </c>
      <c r="G14" t="s">
        <v>3226</v>
      </c>
      <c r="H14" t="s">
        <v>3227</v>
      </c>
      <c r="I14" t="s">
        <v>2998</v>
      </c>
      <c r="J14" t="s">
        <v>3228</v>
      </c>
      <c r="K14" t="s">
        <v>3000</v>
      </c>
      <c r="L14" t="s">
        <v>3001</v>
      </c>
      <c r="M14" t="s">
        <v>3229</v>
      </c>
      <c r="N14" t="s">
        <v>3230</v>
      </c>
      <c r="O14" t="s">
        <v>3231</v>
      </c>
      <c r="P14" t="s">
        <v>3232</v>
      </c>
      <c r="Q14" t="s">
        <v>3233</v>
      </c>
      <c r="R14">
        <v>28007</v>
      </c>
      <c r="S14" t="s">
        <v>3030</v>
      </c>
      <c r="T14">
        <v>5170234964930250</v>
      </c>
      <c r="U14">
        <v>183</v>
      </c>
      <c r="V14">
        <v>42767</v>
      </c>
      <c r="W14" t="s">
        <v>3234</v>
      </c>
      <c r="X14" t="s">
        <v>3235</v>
      </c>
      <c r="Y14" t="s">
        <v>3072</v>
      </c>
      <c r="Z14" t="s">
        <v>3236</v>
      </c>
      <c r="AA14" t="s">
        <v>3237</v>
      </c>
      <c r="AB14" t="s">
        <v>3238</v>
      </c>
      <c r="AC14" t="s">
        <v>3239</v>
      </c>
      <c r="AD14" t="s">
        <v>3095</v>
      </c>
      <c r="AE14">
        <v>147.19999999999999</v>
      </c>
      <c r="AF14">
        <v>66.900000000000006</v>
      </c>
      <c r="AG14" t="s">
        <v>3039</v>
      </c>
      <c r="AH14">
        <v>156</v>
      </c>
      <c r="AI14" t="s">
        <v>3240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2992</v>
      </c>
      <c r="C15" t="s">
        <v>2993</v>
      </c>
      <c r="D15" t="s">
        <v>3171</v>
      </c>
      <c r="E15" t="s">
        <v>323</v>
      </c>
      <c r="F15" t="s">
        <v>3241</v>
      </c>
      <c r="G15" t="s">
        <v>3242</v>
      </c>
      <c r="H15" t="s">
        <v>3243</v>
      </c>
      <c r="I15" t="s">
        <v>2998</v>
      </c>
      <c r="J15" t="s">
        <v>3244</v>
      </c>
      <c r="K15" t="s">
        <v>3000</v>
      </c>
      <c r="L15" t="s">
        <v>3001</v>
      </c>
      <c r="M15" t="s">
        <v>3245</v>
      </c>
      <c r="N15" t="s">
        <v>3246</v>
      </c>
      <c r="O15" t="s">
        <v>3247</v>
      </c>
      <c r="P15" t="s">
        <v>3248</v>
      </c>
      <c r="Q15" t="s">
        <v>3249</v>
      </c>
      <c r="R15">
        <v>29059</v>
      </c>
      <c r="S15" t="s">
        <v>3030</v>
      </c>
      <c r="T15">
        <v>5594954541519580</v>
      </c>
      <c r="U15">
        <v>375</v>
      </c>
      <c r="V15">
        <v>43252</v>
      </c>
      <c r="W15" t="s">
        <v>3250</v>
      </c>
      <c r="X15" t="s">
        <v>3251</v>
      </c>
      <c r="Y15" t="s">
        <v>3010</v>
      </c>
      <c r="Z15" t="s">
        <v>3252</v>
      </c>
      <c r="AA15" t="s">
        <v>3253</v>
      </c>
      <c r="AB15" t="s">
        <v>3254</v>
      </c>
      <c r="AC15" t="s">
        <v>3255</v>
      </c>
      <c r="AD15" t="s">
        <v>3057</v>
      </c>
      <c r="AE15">
        <v>242</v>
      </c>
      <c r="AF15">
        <v>110</v>
      </c>
      <c r="AG15" t="s">
        <v>3256</v>
      </c>
      <c r="AH15">
        <v>179</v>
      </c>
      <c r="AI15" t="s">
        <v>3257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3018</v>
      </c>
      <c r="C16" t="s">
        <v>3019</v>
      </c>
      <c r="D16" t="s">
        <v>3258</v>
      </c>
      <c r="E16" t="s">
        <v>330</v>
      </c>
      <c r="F16" t="s">
        <v>3259</v>
      </c>
      <c r="G16" t="s">
        <v>3260</v>
      </c>
      <c r="H16" t="s">
        <v>3261</v>
      </c>
      <c r="I16" t="s">
        <v>2998</v>
      </c>
      <c r="J16" t="s">
        <v>3262</v>
      </c>
      <c r="K16" t="s">
        <v>3000</v>
      </c>
      <c r="L16" t="s">
        <v>3001</v>
      </c>
      <c r="M16" t="s">
        <v>3263</v>
      </c>
      <c r="N16" t="s">
        <v>3264</v>
      </c>
      <c r="O16" t="s">
        <v>3265</v>
      </c>
      <c r="P16" t="s">
        <v>3266</v>
      </c>
      <c r="Q16" t="s">
        <v>3267</v>
      </c>
      <c r="R16">
        <v>32609</v>
      </c>
      <c r="S16" t="s">
        <v>3030</v>
      </c>
      <c r="T16">
        <v>5459277770054430</v>
      </c>
      <c r="U16">
        <v>818</v>
      </c>
      <c r="V16">
        <v>43497</v>
      </c>
      <c r="W16" t="s">
        <v>3268</v>
      </c>
      <c r="X16" t="s">
        <v>3269</v>
      </c>
      <c r="Y16" t="s">
        <v>3010</v>
      </c>
      <c r="Z16" t="s">
        <v>3270</v>
      </c>
      <c r="AA16" t="s">
        <v>3271</v>
      </c>
      <c r="AB16" t="s">
        <v>3272</v>
      </c>
      <c r="AC16" t="s">
        <v>3273</v>
      </c>
      <c r="AD16" t="s">
        <v>3095</v>
      </c>
      <c r="AE16">
        <v>159.1</v>
      </c>
      <c r="AF16">
        <v>72.3</v>
      </c>
      <c r="AG16" t="s">
        <v>3077</v>
      </c>
      <c r="AH16">
        <v>157</v>
      </c>
      <c r="AI16" t="s">
        <v>3274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3018</v>
      </c>
      <c r="C17" t="s">
        <v>3019</v>
      </c>
      <c r="D17" t="s">
        <v>3275</v>
      </c>
      <c r="E17" t="s">
        <v>2995</v>
      </c>
      <c r="F17" t="s">
        <v>3276</v>
      </c>
      <c r="G17" t="s">
        <v>3277</v>
      </c>
      <c r="H17" t="s">
        <v>18</v>
      </c>
      <c r="I17" t="s">
        <v>2998</v>
      </c>
      <c r="J17" t="s">
        <v>3278</v>
      </c>
      <c r="K17" t="s">
        <v>3000</v>
      </c>
      <c r="L17" t="s">
        <v>3001</v>
      </c>
      <c r="M17" t="s">
        <v>3279</v>
      </c>
      <c r="N17" t="s">
        <v>3280</v>
      </c>
      <c r="O17" t="s">
        <v>3281</v>
      </c>
      <c r="P17" t="s">
        <v>3282</v>
      </c>
      <c r="Q17" t="s">
        <v>3283</v>
      </c>
      <c r="R17">
        <v>14694</v>
      </c>
      <c r="S17" t="s">
        <v>3030</v>
      </c>
      <c r="T17">
        <v>5148820730421280</v>
      </c>
      <c r="U17">
        <v>682</v>
      </c>
      <c r="V17">
        <v>43556</v>
      </c>
      <c r="W17" t="s">
        <v>3284</v>
      </c>
      <c r="X17" t="s">
        <v>3285</v>
      </c>
      <c r="Y17" t="s">
        <v>3286</v>
      </c>
      <c r="Z17" t="s">
        <v>3287</v>
      </c>
      <c r="AA17" t="s">
        <v>3288</v>
      </c>
      <c r="AB17" t="s">
        <v>3289</v>
      </c>
      <c r="AC17" t="s">
        <v>3290</v>
      </c>
      <c r="AD17" t="s">
        <v>3131</v>
      </c>
      <c r="AE17">
        <v>165.9</v>
      </c>
      <c r="AF17">
        <v>75.400000000000006</v>
      </c>
      <c r="AG17" t="s">
        <v>3205</v>
      </c>
      <c r="AH17">
        <v>169</v>
      </c>
      <c r="AI17" t="s">
        <v>3291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3018</v>
      </c>
      <c r="C18" t="s">
        <v>3019</v>
      </c>
      <c r="D18" t="s">
        <v>3292</v>
      </c>
      <c r="E18" t="s">
        <v>3099</v>
      </c>
      <c r="F18" t="s">
        <v>3293</v>
      </c>
      <c r="G18" t="s">
        <v>3294</v>
      </c>
      <c r="H18" t="s">
        <v>3295</v>
      </c>
      <c r="I18" t="s">
        <v>2998</v>
      </c>
      <c r="J18" t="s">
        <v>3296</v>
      </c>
      <c r="K18" t="s">
        <v>3000</v>
      </c>
      <c r="L18" t="s">
        <v>3001</v>
      </c>
      <c r="M18" t="s">
        <v>3297</v>
      </c>
      <c r="N18" t="s">
        <v>3298</v>
      </c>
      <c r="O18" t="s">
        <v>3299</v>
      </c>
      <c r="P18" t="s">
        <v>3300</v>
      </c>
      <c r="Q18" t="s">
        <v>3301</v>
      </c>
      <c r="R18">
        <v>24451</v>
      </c>
      <c r="S18" t="s">
        <v>3007</v>
      </c>
      <c r="T18">
        <v>4716519111244180</v>
      </c>
      <c r="U18">
        <v>241</v>
      </c>
      <c r="V18">
        <v>42217</v>
      </c>
      <c r="W18" t="s">
        <v>3302</v>
      </c>
      <c r="X18" t="s">
        <v>3303</v>
      </c>
      <c r="Y18" t="s">
        <v>3010</v>
      </c>
      <c r="Z18" t="s">
        <v>3304</v>
      </c>
      <c r="AA18" t="s">
        <v>3305</v>
      </c>
      <c r="AB18" t="s">
        <v>3306</v>
      </c>
      <c r="AC18" t="s">
        <v>3307</v>
      </c>
      <c r="AD18" t="s">
        <v>3131</v>
      </c>
      <c r="AE18">
        <v>230.6</v>
      </c>
      <c r="AF18">
        <v>104.8</v>
      </c>
      <c r="AG18" t="s">
        <v>3039</v>
      </c>
      <c r="AH18">
        <v>156</v>
      </c>
      <c r="AI18" t="s">
        <v>3308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2992</v>
      </c>
      <c r="C19" t="s">
        <v>2993</v>
      </c>
      <c r="D19" t="s">
        <v>3309</v>
      </c>
      <c r="E19" t="s">
        <v>3154</v>
      </c>
      <c r="F19" t="s">
        <v>3310</v>
      </c>
      <c r="G19" t="s">
        <v>3311</v>
      </c>
      <c r="H19" t="s">
        <v>3312</v>
      </c>
      <c r="I19" t="s">
        <v>2998</v>
      </c>
      <c r="J19" t="s">
        <v>3313</v>
      </c>
      <c r="K19" t="s">
        <v>3000</v>
      </c>
      <c r="L19" t="s">
        <v>3001</v>
      </c>
      <c r="M19" t="s">
        <v>3314</v>
      </c>
      <c r="N19" t="s">
        <v>3315</v>
      </c>
      <c r="O19" t="s">
        <v>3316</v>
      </c>
      <c r="P19" t="s">
        <v>3317</v>
      </c>
      <c r="Q19" t="s">
        <v>3318</v>
      </c>
      <c r="R19">
        <v>13878</v>
      </c>
      <c r="S19" t="s">
        <v>3030</v>
      </c>
      <c r="T19">
        <v>5595899012560200</v>
      </c>
      <c r="U19">
        <v>522</v>
      </c>
      <c r="V19">
        <v>42583</v>
      </c>
      <c r="W19" t="s">
        <v>3319</v>
      </c>
      <c r="X19" t="s">
        <v>3320</v>
      </c>
      <c r="Y19" t="s">
        <v>3321</v>
      </c>
      <c r="Z19" t="s">
        <v>3322</v>
      </c>
      <c r="AA19" t="s">
        <v>3323</v>
      </c>
      <c r="AB19" t="s">
        <v>3324</v>
      </c>
      <c r="AC19" t="s">
        <v>3325</v>
      </c>
      <c r="AD19" t="s">
        <v>3057</v>
      </c>
      <c r="AE19">
        <v>143.4</v>
      </c>
      <c r="AF19">
        <v>65.2</v>
      </c>
      <c r="AG19" t="s">
        <v>3187</v>
      </c>
      <c r="AH19">
        <v>184</v>
      </c>
      <c r="AI19" t="s">
        <v>3326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3018</v>
      </c>
      <c r="C20" t="s">
        <v>3019</v>
      </c>
      <c r="D20" t="s">
        <v>3327</v>
      </c>
      <c r="E20" t="s">
        <v>2995</v>
      </c>
      <c r="F20" t="s">
        <v>3328</v>
      </c>
      <c r="G20" t="s">
        <v>3329</v>
      </c>
      <c r="H20" t="s">
        <v>3330</v>
      </c>
      <c r="I20" t="s">
        <v>2998</v>
      </c>
      <c r="J20" t="s">
        <v>3331</v>
      </c>
      <c r="K20" t="s">
        <v>3000</v>
      </c>
      <c r="L20" t="s">
        <v>3001</v>
      </c>
      <c r="M20" t="s">
        <v>3332</v>
      </c>
      <c r="N20" t="s">
        <v>3333</v>
      </c>
      <c r="O20" t="s">
        <v>3334</v>
      </c>
      <c r="P20" t="s">
        <v>3335</v>
      </c>
      <c r="Q20" t="s">
        <v>3336</v>
      </c>
      <c r="R20">
        <v>28866</v>
      </c>
      <c r="S20" t="s">
        <v>3030</v>
      </c>
      <c r="T20">
        <v>5348280404769720</v>
      </c>
      <c r="U20">
        <v>185</v>
      </c>
      <c r="V20">
        <v>42736</v>
      </c>
      <c r="W20" t="s">
        <v>3337</v>
      </c>
      <c r="X20" t="s">
        <v>3338</v>
      </c>
      <c r="Y20" t="s">
        <v>3072</v>
      </c>
      <c r="Z20" t="s">
        <v>3339</v>
      </c>
      <c r="AA20" t="s">
        <v>3340</v>
      </c>
      <c r="AB20" t="s">
        <v>3341</v>
      </c>
      <c r="AC20" t="s">
        <v>3342</v>
      </c>
      <c r="AD20" t="s">
        <v>3095</v>
      </c>
      <c r="AE20">
        <v>119.2</v>
      </c>
      <c r="AF20">
        <v>54.2</v>
      </c>
      <c r="AG20" t="s">
        <v>3096</v>
      </c>
      <c r="AH20">
        <v>168</v>
      </c>
      <c r="AI20" t="s">
        <v>3343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3018</v>
      </c>
      <c r="C21" t="s">
        <v>3060</v>
      </c>
      <c r="D21" t="s">
        <v>3344</v>
      </c>
      <c r="E21" t="s">
        <v>330</v>
      </c>
      <c r="F21" t="s">
        <v>3345</v>
      </c>
      <c r="G21" t="s">
        <v>3346</v>
      </c>
      <c r="H21" t="s">
        <v>3347</v>
      </c>
      <c r="I21" t="s">
        <v>2998</v>
      </c>
      <c r="J21" t="s">
        <v>3348</v>
      </c>
      <c r="K21" t="s">
        <v>3000</v>
      </c>
      <c r="L21" t="s">
        <v>3001</v>
      </c>
      <c r="M21" t="s">
        <v>3349</v>
      </c>
      <c r="N21" t="s">
        <v>3350</v>
      </c>
      <c r="O21" t="s">
        <v>3351</v>
      </c>
      <c r="P21" t="s">
        <v>3352</v>
      </c>
      <c r="Q21" t="s">
        <v>3353</v>
      </c>
      <c r="R21">
        <v>15636</v>
      </c>
      <c r="S21" t="s">
        <v>3007</v>
      </c>
      <c r="T21">
        <v>4916000920276210</v>
      </c>
      <c r="U21">
        <v>954</v>
      </c>
      <c r="V21">
        <v>42186</v>
      </c>
      <c r="W21" t="s">
        <v>3354</v>
      </c>
      <c r="X21" t="s">
        <v>3355</v>
      </c>
      <c r="Y21" t="s">
        <v>3069</v>
      </c>
      <c r="Z21" t="s">
        <v>3356</v>
      </c>
      <c r="AA21" t="s">
        <v>3357</v>
      </c>
      <c r="AB21" t="s">
        <v>3358</v>
      </c>
      <c r="AC21" t="s">
        <v>3359</v>
      </c>
      <c r="AD21" t="s">
        <v>3151</v>
      </c>
      <c r="AE21">
        <v>218.7</v>
      </c>
      <c r="AF21">
        <v>99.4</v>
      </c>
      <c r="AG21" t="s">
        <v>3132</v>
      </c>
      <c r="AH21">
        <v>166</v>
      </c>
      <c r="AI21" t="s">
        <v>3360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2992</v>
      </c>
      <c r="C22" t="s">
        <v>2993</v>
      </c>
      <c r="D22" t="s">
        <v>3361</v>
      </c>
      <c r="E22" t="s">
        <v>3362</v>
      </c>
      <c r="F22" t="s">
        <v>3363</v>
      </c>
      <c r="G22" t="s">
        <v>3364</v>
      </c>
      <c r="H22" t="s">
        <v>2</v>
      </c>
      <c r="I22" t="s">
        <v>2998</v>
      </c>
      <c r="J22" t="s">
        <v>3365</v>
      </c>
      <c r="K22" t="s">
        <v>3000</v>
      </c>
      <c r="L22" t="s">
        <v>3001</v>
      </c>
      <c r="M22" t="s">
        <v>3366</v>
      </c>
      <c r="N22" t="s">
        <v>3367</v>
      </c>
      <c r="O22" t="s">
        <v>3368</v>
      </c>
      <c r="P22" t="s">
        <v>3369</v>
      </c>
      <c r="Q22" t="s">
        <v>3370</v>
      </c>
      <c r="R22">
        <v>27939</v>
      </c>
      <c r="S22" t="s">
        <v>3007</v>
      </c>
      <c r="T22">
        <v>4485383240077990</v>
      </c>
      <c r="U22">
        <v>469</v>
      </c>
      <c r="V22">
        <v>43252</v>
      </c>
      <c r="W22" t="s">
        <v>3371</v>
      </c>
      <c r="X22" t="s">
        <v>3372</v>
      </c>
      <c r="Y22" t="s">
        <v>3010</v>
      </c>
      <c r="Z22" t="s">
        <v>3373</v>
      </c>
      <c r="AA22" t="s">
        <v>3374</v>
      </c>
      <c r="AB22" t="s">
        <v>3375</v>
      </c>
      <c r="AC22" t="s">
        <v>3376</v>
      </c>
      <c r="AD22" t="s">
        <v>3095</v>
      </c>
      <c r="AE22">
        <v>172.7</v>
      </c>
      <c r="AF22">
        <v>78.5</v>
      </c>
      <c r="AG22" t="s">
        <v>3187</v>
      </c>
      <c r="AH22">
        <v>183</v>
      </c>
      <c r="AI22" t="s">
        <v>3377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2992</v>
      </c>
      <c r="C23" t="s">
        <v>2993</v>
      </c>
      <c r="D23" t="s">
        <v>3378</v>
      </c>
      <c r="E23" t="s">
        <v>2995</v>
      </c>
      <c r="F23" t="s">
        <v>3379</v>
      </c>
      <c r="G23" t="s">
        <v>3380</v>
      </c>
      <c r="H23" t="s">
        <v>18</v>
      </c>
      <c r="I23" t="s">
        <v>2998</v>
      </c>
      <c r="J23" t="s">
        <v>3381</v>
      </c>
      <c r="K23" t="s">
        <v>3000</v>
      </c>
      <c r="L23" t="s">
        <v>3001</v>
      </c>
      <c r="M23" t="s">
        <v>3382</v>
      </c>
      <c r="N23" t="s">
        <v>3383</v>
      </c>
      <c r="O23" t="s">
        <v>3384</v>
      </c>
      <c r="P23" t="s">
        <v>3385</v>
      </c>
      <c r="Q23" t="s">
        <v>3386</v>
      </c>
      <c r="R23">
        <v>25504</v>
      </c>
      <c r="S23" t="s">
        <v>3007</v>
      </c>
      <c r="T23">
        <v>4556480944029910</v>
      </c>
      <c r="U23">
        <v>823</v>
      </c>
      <c r="V23">
        <v>43282</v>
      </c>
      <c r="W23" t="s">
        <v>3387</v>
      </c>
      <c r="X23" t="s">
        <v>3388</v>
      </c>
      <c r="Y23" t="s">
        <v>3219</v>
      </c>
      <c r="Z23" t="s">
        <v>3389</v>
      </c>
      <c r="AA23" t="s">
        <v>3390</v>
      </c>
      <c r="AB23" t="s">
        <v>3391</v>
      </c>
      <c r="AC23" t="s">
        <v>3392</v>
      </c>
      <c r="AD23" t="s">
        <v>3057</v>
      </c>
      <c r="AE23">
        <v>218.2</v>
      </c>
      <c r="AF23">
        <v>99.2</v>
      </c>
      <c r="AG23" t="s">
        <v>3058</v>
      </c>
      <c r="AH23">
        <v>174</v>
      </c>
      <c r="AI23" t="s">
        <v>3393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2992</v>
      </c>
      <c r="C24" t="s">
        <v>2993</v>
      </c>
      <c r="D24" t="s">
        <v>3394</v>
      </c>
      <c r="E24" t="s">
        <v>323</v>
      </c>
      <c r="F24" t="s">
        <v>3395</v>
      </c>
      <c r="G24" t="s">
        <v>3396</v>
      </c>
      <c r="H24" t="s">
        <v>3397</v>
      </c>
      <c r="I24" t="s">
        <v>2998</v>
      </c>
      <c r="J24" t="s">
        <v>3398</v>
      </c>
      <c r="K24" t="s">
        <v>3000</v>
      </c>
      <c r="L24" t="s">
        <v>3001</v>
      </c>
      <c r="M24" t="s">
        <v>3399</v>
      </c>
      <c r="N24" t="s">
        <v>3400</v>
      </c>
      <c r="O24" t="s">
        <v>3401</v>
      </c>
      <c r="P24" t="s">
        <v>3402</v>
      </c>
      <c r="Q24" t="s">
        <v>3403</v>
      </c>
      <c r="R24">
        <v>16369</v>
      </c>
      <c r="S24" t="s">
        <v>3007</v>
      </c>
      <c r="T24">
        <v>4556750362977860</v>
      </c>
      <c r="U24">
        <v>541</v>
      </c>
      <c r="V24">
        <v>43132</v>
      </c>
      <c r="W24" t="s">
        <v>3404</v>
      </c>
      <c r="X24" t="s">
        <v>3405</v>
      </c>
      <c r="Y24" t="s">
        <v>3010</v>
      </c>
      <c r="Z24" t="s">
        <v>3406</v>
      </c>
      <c r="AA24" t="s">
        <v>3407</v>
      </c>
      <c r="AB24" t="s">
        <v>3408</v>
      </c>
      <c r="AC24" t="s">
        <v>3409</v>
      </c>
      <c r="AD24" t="s">
        <v>3095</v>
      </c>
      <c r="AE24">
        <v>165.2</v>
      </c>
      <c r="AF24">
        <v>75.099999999999994</v>
      </c>
      <c r="AG24" t="s">
        <v>3205</v>
      </c>
      <c r="AH24">
        <v>171</v>
      </c>
      <c r="AI24" t="s">
        <v>3410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2992</v>
      </c>
      <c r="C25" t="s">
        <v>2993</v>
      </c>
      <c r="D25" t="s">
        <v>3411</v>
      </c>
      <c r="E25" t="s">
        <v>3099</v>
      </c>
      <c r="F25" t="s">
        <v>3412</v>
      </c>
      <c r="G25" t="s">
        <v>3413</v>
      </c>
      <c r="H25" t="s">
        <v>3243</v>
      </c>
      <c r="I25" t="s">
        <v>2998</v>
      </c>
      <c r="J25" t="s">
        <v>3244</v>
      </c>
      <c r="K25" t="s">
        <v>3000</v>
      </c>
      <c r="L25" t="s">
        <v>3001</v>
      </c>
      <c r="M25" t="s">
        <v>3414</v>
      </c>
      <c r="N25" t="s">
        <v>3415</v>
      </c>
      <c r="O25" t="s">
        <v>3416</v>
      </c>
      <c r="P25" t="s">
        <v>3417</v>
      </c>
      <c r="Q25" t="s">
        <v>3418</v>
      </c>
      <c r="R25">
        <v>18976</v>
      </c>
      <c r="S25" t="s">
        <v>3007</v>
      </c>
      <c r="T25">
        <v>4716000272431220</v>
      </c>
      <c r="U25">
        <v>40</v>
      </c>
      <c r="V25">
        <v>43009</v>
      </c>
      <c r="W25" t="s">
        <v>3419</v>
      </c>
      <c r="X25" t="s">
        <v>3420</v>
      </c>
      <c r="Y25" t="s">
        <v>3010</v>
      </c>
      <c r="Z25" t="s">
        <v>3421</v>
      </c>
      <c r="AA25" t="s">
        <v>3422</v>
      </c>
      <c r="AB25" t="s">
        <v>3423</v>
      </c>
      <c r="AC25" t="s">
        <v>3424</v>
      </c>
      <c r="AD25" t="s">
        <v>3057</v>
      </c>
      <c r="AE25">
        <v>193.6</v>
      </c>
      <c r="AF25">
        <v>88</v>
      </c>
      <c r="AG25" t="s">
        <v>3016</v>
      </c>
      <c r="AH25">
        <v>185</v>
      </c>
      <c r="AI25" t="s">
        <v>3425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2992</v>
      </c>
      <c r="C26" t="s">
        <v>2993</v>
      </c>
      <c r="D26" t="s">
        <v>3426</v>
      </c>
      <c r="E26" t="s">
        <v>100</v>
      </c>
      <c r="F26" t="s">
        <v>3427</v>
      </c>
      <c r="G26" t="s">
        <v>3428</v>
      </c>
      <c r="H26" t="s">
        <v>3429</v>
      </c>
      <c r="I26" t="s">
        <v>2998</v>
      </c>
      <c r="J26" t="s">
        <v>3430</v>
      </c>
      <c r="K26" t="s">
        <v>3000</v>
      </c>
      <c r="L26" t="s">
        <v>3001</v>
      </c>
      <c r="M26" t="s">
        <v>3431</v>
      </c>
      <c r="N26" t="s">
        <v>3432</v>
      </c>
      <c r="O26" t="s">
        <v>3433</v>
      </c>
      <c r="P26" t="s">
        <v>3434</v>
      </c>
      <c r="Q26" t="s">
        <v>3318</v>
      </c>
      <c r="R26">
        <v>30596</v>
      </c>
      <c r="S26" t="s">
        <v>3007</v>
      </c>
      <c r="T26">
        <v>4716004125537570</v>
      </c>
      <c r="U26">
        <v>172</v>
      </c>
      <c r="V26">
        <v>43191</v>
      </c>
      <c r="W26" t="s">
        <v>3435</v>
      </c>
      <c r="X26" t="s">
        <v>3436</v>
      </c>
      <c r="Y26" t="s">
        <v>3010</v>
      </c>
      <c r="Z26" t="s">
        <v>3437</v>
      </c>
      <c r="AA26" t="s">
        <v>3438</v>
      </c>
      <c r="AB26" t="s">
        <v>3439</v>
      </c>
      <c r="AC26" t="s">
        <v>3440</v>
      </c>
      <c r="AD26" t="s">
        <v>3151</v>
      </c>
      <c r="AE26">
        <v>228.1</v>
      </c>
      <c r="AF26">
        <v>103.7</v>
      </c>
      <c r="AG26" t="s">
        <v>3441</v>
      </c>
      <c r="AH26">
        <v>180</v>
      </c>
      <c r="AI26" t="s">
        <v>3442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2992</v>
      </c>
      <c r="C27" t="s">
        <v>2993</v>
      </c>
      <c r="D27" t="s">
        <v>3443</v>
      </c>
      <c r="E27" t="s">
        <v>131</v>
      </c>
      <c r="F27" t="s">
        <v>3444</v>
      </c>
      <c r="G27" t="s">
        <v>3445</v>
      </c>
      <c r="H27" t="s">
        <v>2</v>
      </c>
      <c r="I27" t="s">
        <v>2998</v>
      </c>
      <c r="J27" t="s">
        <v>3064</v>
      </c>
      <c r="K27" t="s">
        <v>3000</v>
      </c>
      <c r="L27" t="s">
        <v>3001</v>
      </c>
      <c r="M27" t="s">
        <v>3446</v>
      </c>
      <c r="N27" t="s">
        <v>3447</v>
      </c>
      <c r="O27" t="s">
        <v>3448</v>
      </c>
      <c r="P27" t="s">
        <v>3449</v>
      </c>
      <c r="Q27" t="s">
        <v>3450</v>
      </c>
      <c r="R27">
        <v>23632</v>
      </c>
      <c r="S27" t="s">
        <v>3030</v>
      </c>
      <c r="T27">
        <v>5577577944947570</v>
      </c>
      <c r="U27">
        <v>364</v>
      </c>
      <c r="V27">
        <v>42614</v>
      </c>
      <c r="W27" t="s">
        <v>3451</v>
      </c>
      <c r="X27" t="s">
        <v>3452</v>
      </c>
      <c r="Y27" t="s">
        <v>3010</v>
      </c>
      <c r="Z27" t="s">
        <v>3453</v>
      </c>
      <c r="AA27" t="s">
        <v>3454</v>
      </c>
      <c r="AB27" t="s">
        <v>3455</v>
      </c>
      <c r="AC27" t="s">
        <v>3456</v>
      </c>
      <c r="AD27" t="s">
        <v>3151</v>
      </c>
      <c r="AE27">
        <v>150.9</v>
      </c>
      <c r="AF27">
        <v>68.599999999999994</v>
      </c>
      <c r="AG27" t="s">
        <v>3016</v>
      </c>
      <c r="AH27">
        <v>185</v>
      </c>
      <c r="AI27" t="s">
        <v>3457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2992</v>
      </c>
      <c r="C28" t="s">
        <v>2993</v>
      </c>
      <c r="D28" t="s">
        <v>3458</v>
      </c>
      <c r="E28" t="s">
        <v>322</v>
      </c>
      <c r="F28" t="s">
        <v>3459</v>
      </c>
      <c r="G28" t="s">
        <v>3460</v>
      </c>
      <c r="H28" t="s">
        <v>19</v>
      </c>
      <c r="I28" t="s">
        <v>2998</v>
      </c>
      <c r="J28" t="s">
        <v>3119</v>
      </c>
      <c r="K28" t="s">
        <v>3000</v>
      </c>
      <c r="L28" t="s">
        <v>3001</v>
      </c>
      <c r="M28" t="s">
        <v>3461</v>
      </c>
      <c r="N28" t="s">
        <v>3462</v>
      </c>
      <c r="O28" t="s">
        <v>3463</v>
      </c>
      <c r="P28" t="s">
        <v>3464</v>
      </c>
      <c r="Q28" t="s">
        <v>3465</v>
      </c>
      <c r="R28">
        <v>33071</v>
      </c>
      <c r="S28" t="s">
        <v>3030</v>
      </c>
      <c r="T28">
        <v>5291426038920880</v>
      </c>
      <c r="U28">
        <v>479</v>
      </c>
      <c r="V28">
        <v>42186</v>
      </c>
      <c r="W28" t="s">
        <v>3466</v>
      </c>
      <c r="X28" t="s">
        <v>3467</v>
      </c>
      <c r="Y28" t="s">
        <v>3033</v>
      </c>
      <c r="Z28" t="s">
        <v>3468</v>
      </c>
      <c r="AA28" t="s">
        <v>3469</v>
      </c>
      <c r="AB28" t="s">
        <v>3470</v>
      </c>
      <c r="AC28" t="s">
        <v>3471</v>
      </c>
      <c r="AD28" t="s">
        <v>3151</v>
      </c>
      <c r="AE28">
        <v>125.8</v>
      </c>
      <c r="AF28">
        <v>57.2</v>
      </c>
      <c r="AG28" t="s">
        <v>3472</v>
      </c>
      <c r="AH28">
        <v>189</v>
      </c>
      <c r="AI28" t="s">
        <v>3473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3018</v>
      </c>
      <c r="C29" t="s">
        <v>3019</v>
      </c>
      <c r="D29" t="s">
        <v>3474</v>
      </c>
      <c r="E29" t="s">
        <v>3475</v>
      </c>
      <c r="F29" t="s">
        <v>3476</v>
      </c>
      <c r="G29" t="s">
        <v>3477</v>
      </c>
      <c r="H29" t="s">
        <v>3397</v>
      </c>
      <c r="I29" t="s">
        <v>2998</v>
      </c>
      <c r="J29" t="s">
        <v>3398</v>
      </c>
      <c r="K29" t="s">
        <v>3000</v>
      </c>
      <c r="L29" t="s">
        <v>3001</v>
      </c>
      <c r="M29" t="s">
        <v>3478</v>
      </c>
      <c r="N29" t="s">
        <v>3479</v>
      </c>
      <c r="O29" t="s">
        <v>3480</v>
      </c>
      <c r="P29" t="s">
        <v>3481</v>
      </c>
      <c r="Q29" t="s">
        <v>3482</v>
      </c>
      <c r="R29">
        <v>14021</v>
      </c>
      <c r="S29" t="s">
        <v>3030</v>
      </c>
      <c r="T29">
        <v>5397871196298130</v>
      </c>
      <c r="U29">
        <v>804</v>
      </c>
      <c r="V29">
        <v>43313</v>
      </c>
      <c r="W29" t="s">
        <v>3483</v>
      </c>
      <c r="X29" t="s">
        <v>3484</v>
      </c>
      <c r="Y29" t="s">
        <v>3072</v>
      </c>
      <c r="Z29" t="s">
        <v>3485</v>
      </c>
      <c r="AA29" t="s">
        <v>3486</v>
      </c>
      <c r="AB29" t="s">
        <v>3487</v>
      </c>
      <c r="AC29" t="s">
        <v>3488</v>
      </c>
      <c r="AD29" t="s">
        <v>3057</v>
      </c>
      <c r="AE29">
        <v>167</v>
      </c>
      <c r="AF29">
        <v>75.900000000000006</v>
      </c>
      <c r="AG29" t="s">
        <v>3096</v>
      </c>
      <c r="AH29">
        <v>167</v>
      </c>
      <c r="AI29" t="s">
        <v>3489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3018</v>
      </c>
      <c r="C30" t="s">
        <v>3060</v>
      </c>
      <c r="D30" t="s">
        <v>3490</v>
      </c>
      <c r="E30" t="s">
        <v>322</v>
      </c>
      <c r="F30" t="s">
        <v>3491</v>
      </c>
      <c r="G30" t="s">
        <v>3492</v>
      </c>
      <c r="H30" t="s">
        <v>3493</v>
      </c>
      <c r="I30" t="s">
        <v>2998</v>
      </c>
      <c r="J30" t="s">
        <v>3494</v>
      </c>
      <c r="K30" t="s">
        <v>3000</v>
      </c>
      <c r="L30" t="s">
        <v>3001</v>
      </c>
      <c r="M30" t="s">
        <v>3495</v>
      </c>
      <c r="N30" t="s">
        <v>3496</v>
      </c>
      <c r="O30" t="s">
        <v>3497</v>
      </c>
      <c r="P30" t="s">
        <v>3498</v>
      </c>
      <c r="Q30" t="s">
        <v>3499</v>
      </c>
      <c r="R30">
        <v>23921</v>
      </c>
      <c r="S30" t="s">
        <v>3007</v>
      </c>
      <c r="T30">
        <v>4485146035894200</v>
      </c>
      <c r="U30">
        <v>915</v>
      </c>
      <c r="V30">
        <v>43739</v>
      </c>
      <c r="W30" t="s">
        <v>3500</v>
      </c>
      <c r="X30" t="s">
        <v>3501</v>
      </c>
      <c r="Y30" t="s">
        <v>3072</v>
      </c>
      <c r="Z30" t="s">
        <v>3502</v>
      </c>
      <c r="AA30" t="s">
        <v>3503</v>
      </c>
      <c r="AB30" t="s">
        <v>3504</v>
      </c>
      <c r="AC30" t="s">
        <v>3505</v>
      </c>
      <c r="AD30" t="s">
        <v>3151</v>
      </c>
      <c r="AE30">
        <v>226.6</v>
      </c>
      <c r="AF30">
        <v>103</v>
      </c>
      <c r="AG30" t="s">
        <v>3506</v>
      </c>
      <c r="AH30">
        <v>161</v>
      </c>
      <c r="AI30" t="s">
        <v>3507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2992</v>
      </c>
      <c r="C31" t="s">
        <v>2993</v>
      </c>
      <c r="D31" t="s">
        <v>3508</v>
      </c>
      <c r="E31" t="s">
        <v>3475</v>
      </c>
      <c r="F31" t="s">
        <v>3509</v>
      </c>
      <c r="G31" t="s">
        <v>3510</v>
      </c>
      <c r="H31" t="s">
        <v>19</v>
      </c>
      <c r="I31" t="s">
        <v>2998</v>
      </c>
      <c r="J31" t="s">
        <v>3511</v>
      </c>
      <c r="K31" t="s">
        <v>3000</v>
      </c>
      <c r="L31" t="s">
        <v>3001</v>
      </c>
      <c r="M31" t="s">
        <v>3512</v>
      </c>
      <c r="N31" t="s">
        <v>3513</v>
      </c>
      <c r="O31" t="s">
        <v>3514</v>
      </c>
      <c r="P31" t="s">
        <v>3515</v>
      </c>
      <c r="Q31" t="s">
        <v>3516</v>
      </c>
      <c r="R31">
        <v>22229</v>
      </c>
      <c r="S31" t="s">
        <v>3007</v>
      </c>
      <c r="T31">
        <v>4485957322304030</v>
      </c>
      <c r="U31">
        <v>848</v>
      </c>
      <c r="V31">
        <v>42156</v>
      </c>
      <c r="W31" t="s">
        <v>3517</v>
      </c>
      <c r="X31" t="s">
        <v>3518</v>
      </c>
      <c r="Y31" t="s">
        <v>3010</v>
      </c>
      <c r="Z31" t="s">
        <v>3519</v>
      </c>
      <c r="AA31" t="s">
        <v>3520</v>
      </c>
      <c r="AB31" t="s">
        <v>3521</v>
      </c>
      <c r="AC31" t="s">
        <v>3522</v>
      </c>
      <c r="AD31" t="s">
        <v>3095</v>
      </c>
      <c r="AE31">
        <v>141.5</v>
      </c>
      <c r="AF31">
        <v>64.3</v>
      </c>
      <c r="AG31" t="s">
        <v>3187</v>
      </c>
      <c r="AH31">
        <v>184</v>
      </c>
      <c r="AI31" t="s">
        <v>3523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3018</v>
      </c>
      <c r="C32" t="s">
        <v>3060</v>
      </c>
      <c r="D32" t="s">
        <v>3524</v>
      </c>
      <c r="E32" t="s">
        <v>2995</v>
      </c>
      <c r="F32" t="s">
        <v>3525</v>
      </c>
      <c r="G32" t="s">
        <v>3526</v>
      </c>
      <c r="H32" t="s">
        <v>19</v>
      </c>
      <c r="I32" t="s">
        <v>2998</v>
      </c>
      <c r="J32" t="s">
        <v>3511</v>
      </c>
      <c r="K32" t="s">
        <v>3000</v>
      </c>
      <c r="L32" t="s">
        <v>3001</v>
      </c>
      <c r="M32" t="s">
        <v>3527</v>
      </c>
      <c r="N32" t="s">
        <v>3528</v>
      </c>
      <c r="O32" t="s">
        <v>3529</v>
      </c>
      <c r="P32" t="s">
        <v>3530</v>
      </c>
      <c r="Q32" t="s">
        <v>3531</v>
      </c>
      <c r="R32">
        <v>32061</v>
      </c>
      <c r="S32" t="s">
        <v>3030</v>
      </c>
      <c r="T32">
        <v>5481997479252670</v>
      </c>
      <c r="U32">
        <v>22</v>
      </c>
      <c r="V32">
        <v>43647</v>
      </c>
      <c r="W32" t="s">
        <v>3532</v>
      </c>
      <c r="X32" t="s">
        <v>3533</v>
      </c>
      <c r="Y32" t="s">
        <v>3072</v>
      </c>
      <c r="Z32" t="s">
        <v>3534</v>
      </c>
      <c r="AA32" t="s">
        <v>3535</v>
      </c>
      <c r="AB32" t="s">
        <v>3536</v>
      </c>
      <c r="AC32" t="s">
        <v>3537</v>
      </c>
      <c r="AD32" t="s">
        <v>3095</v>
      </c>
      <c r="AE32">
        <v>206.6</v>
      </c>
      <c r="AF32">
        <v>93.9</v>
      </c>
      <c r="AG32" t="s">
        <v>3096</v>
      </c>
      <c r="AH32">
        <v>167</v>
      </c>
      <c r="AI32" t="s">
        <v>3538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2992</v>
      </c>
      <c r="C33" t="s">
        <v>2993</v>
      </c>
      <c r="D33" t="s">
        <v>3539</v>
      </c>
      <c r="E33" t="s">
        <v>3540</v>
      </c>
      <c r="F33" t="s">
        <v>3541</v>
      </c>
      <c r="G33" t="s">
        <v>3542</v>
      </c>
      <c r="H33" t="s">
        <v>15</v>
      </c>
      <c r="I33" t="s">
        <v>2998</v>
      </c>
      <c r="J33" t="s">
        <v>3543</v>
      </c>
      <c r="K33" t="s">
        <v>3000</v>
      </c>
      <c r="L33" t="s">
        <v>3001</v>
      </c>
      <c r="M33" t="s">
        <v>3544</v>
      </c>
      <c r="N33" t="s">
        <v>3545</v>
      </c>
      <c r="O33" t="s">
        <v>3546</v>
      </c>
      <c r="P33" t="s">
        <v>3547</v>
      </c>
      <c r="Q33" t="s">
        <v>3548</v>
      </c>
      <c r="R33">
        <v>22315</v>
      </c>
      <c r="S33" t="s">
        <v>3030</v>
      </c>
      <c r="T33">
        <v>5473336963531560</v>
      </c>
      <c r="U33">
        <v>284</v>
      </c>
      <c r="V33">
        <v>43709</v>
      </c>
      <c r="W33" t="s">
        <v>3549</v>
      </c>
      <c r="X33" t="s">
        <v>3550</v>
      </c>
      <c r="Y33" t="s">
        <v>3010</v>
      </c>
      <c r="Z33" t="s">
        <v>3551</v>
      </c>
      <c r="AA33" t="s">
        <v>3552</v>
      </c>
      <c r="AB33" t="s">
        <v>3553</v>
      </c>
      <c r="AC33" t="s">
        <v>3554</v>
      </c>
      <c r="AD33" t="s">
        <v>3095</v>
      </c>
      <c r="AE33">
        <v>203.1</v>
      </c>
      <c r="AF33">
        <v>92.3</v>
      </c>
      <c r="AG33" t="s">
        <v>3096</v>
      </c>
      <c r="AH33">
        <v>168</v>
      </c>
      <c r="AI33" t="s">
        <v>3555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3018</v>
      </c>
      <c r="C34" t="s">
        <v>3019</v>
      </c>
      <c r="D34" t="s">
        <v>3556</v>
      </c>
      <c r="E34" t="s">
        <v>3557</v>
      </c>
      <c r="F34" t="s">
        <v>3558</v>
      </c>
      <c r="G34" t="s">
        <v>3559</v>
      </c>
      <c r="H34" t="s">
        <v>3560</v>
      </c>
      <c r="I34" t="s">
        <v>2998</v>
      </c>
      <c r="J34" t="s">
        <v>3561</v>
      </c>
      <c r="K34" t="s">
        <v>3000</v>
      </c>
      <c r="L34" t="s">
        <v>3001</v>
      </c>
      <c r="M34" t="s">
        <v>3562</v>
      </c>
      <c r="N34" t="s">
        <v>3563</v>
      </c>
      <c r="O34" t="s">
        <v>3564</v>
      </c>
      <c r="P34" t="s">
        <v>3565</v>
      </c>
      <c r="Q34" t="s">
        <v>3566</v>
      </c>
      <c r="R34">
        <v>27238</v>
      </c>
      <c r="S34" t="s">
        <v>3030</v>
      </c>
      <c r="T34">
        <v>5404402877243230</v>
      </c>
      <c r="U34">
        <v>725</v>
      </c>
      <c r="V34">
        <v>43191</v>
      </c>
      <c r="W34" t="s">
        <v>3567</v>
      </c>
      <c r="X34" t="s">
        <v>3568</v>
      </c>
      <c r="Y34" t="s">
        <v>3033</v>
      </c>
      <c r="Z34" t="s">
        <v>3569</v>
      </c>
      <c r="AA34" t="s">
        <v>3570</v>
      </c>
      <c r="AB34" t="s">
        <v>3571</v>
      </c>
      <c r="AC34" t="s">
        <v>3572</v>
      </c>
      <c r="AD34" t="s">
        <v>3057</v>
      </c>
      <c r="AE34">
        <v>190.1</v>
      </c>
      <c r="AF34">
        <v>86.4</v>
      </c>
      <c r="AG34" t="s">
        <v>3096</v>
      </c>
      <c r="AH34">
        <v>168</v>
      </c>
      <c r="AI34" t="s">
        <v>3573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2992</v>
      </c>
      <c r="C35" t="s">
        <v>2993</v>
      </c>
      <c r="D35" t="s">
        <v>3394</v>
      </c>
      <c r="E35" t="s">
        <v>325</v>
      </c>
      <c r="F35" t="s">
        <v>3574</v>
      </c>
      <c r="G35" t="s">
        <v>3575</v>
      </c>
      <c r="H35" t="s">
        <v>3576</v>
      </c>
      <c r="I35" t="s">
        <v>2998</v>
      </c>
      <c r="J35" t="s">
        <v>3577</v>
      </c>
      <c r="K35" t="s">
        <v>3000</v>
      </c>
      <c r="L35" t="s">
        <v>3001</v>
      </c>
      <c r="M35" t="s">
        <v>3578</v>
      </c>
      <c r="N35" t="s">
        <v>3579</v>
      </c>
      <c r="O35" t="s">
        <v>3580</v>
      </c>
      <c r="P35" t="s">
        <v>3581</v>
      </c>
      <c r="Q35" t="s">
        <v>3582</v>
      </c>
      <c r="R35">
        <v>33681</v>
      </c>
      <c r="S35" t="s">
        <v>3007</v>
      </c>
      <c r="T35">
        <v>4916099250176820</v>
      </c>
      <c r="U35">
        <v>336</v>
      </c>
      <c r="V35">
        <v>42036</v>
      </c>
      <c r="W35" t="s">
        <v>3583</v>
      </c>
      <c r="X35" t="s">
        <v>3584</v>
      </c>
      <c r="Y35" t="s">
        <v>3010</v>
      </c>
      <c r="Z35" t="s">
        <v>3585</v>
      </c>
      <c r="AA35" t="s">
        <v>3586</v>
      </c>
      <c r="AB35" t="s">
        <v>3587</v>
      </c>
      <c r="AC35" t="s">
        <v>3588</v>
      </c>
      <c r="AD35" t="s">
        <v>3057</v>
      </c>
      <c r="AE35">
        <v>174.2</v>
      </c>
      <c r="AF35">
        <v>79.2</v>
      </c>
      <c r="AG35" t="s">
        <v>3016</v>
      </c>
      <c r="AH35">
        <v>186</v>
      </c>
      <c r="AI35" t="s">
        <v>3589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3018</v>
      </c>
      <c r="C36" t="s">
        <v>3060</v>
      </c>
      <c r="D36" t="s">
        <v>3590</v>
      </c>
      <c r="E36" t="s">
        <v>2995</v>
      </c>
      <c r="F36" t="s">
        <v>3591</v>
      </c>
      <c r="G36" t="s">
        <v>3592</v>
      </c>
      <c r="H36" t="s">
        <v>3593</v>
      </c>
      <c r="I36" t="s">
        <v>2998</v>
      </c>
      <c r="J36" t="s">
        <v>3594</v>
      </c>
      <c r="K36" t="s">
        <v>3000</v>
      </c>
      <c r="L36" t="s">
        <v>3001</v>
      </c>
      <c r="M36" t="s">
        <v>3595</v>
      </c>
      <c r="N36" t="s">
        <v>3596</v>
      </c>
      <c r="O36" t="s">
        <v>3597</v>
      </c>
      <c r="P36" t="s">
        <v>3598</v>
      </c>
      <c r="Q36" t="s">
        <v>2933</v>
      </c>
      <c r="R36">
        <v>21636</v>
      </c>
      <c r="S36" t="s">
        <v>3007</v>
      </c>
      <c r="T36">
        <v>4539384666188390</v>
      </c>
      <c r="U36">
        <v>727</v>
      </c>
      <c r="V36">
        <v>43040</v>
      </c>
      <c r="W36" t="s">
        <v>3599</v>
      </c>
      <c r="X36" t="s">
        <v>3600</v>
      </c>
      <c r="Y36" t="s">
        <v>3010</v>
      </c>
      <c r="Z36" t="s">
        <v>3601</v>
      </c>
      <c r="AA36" t="s">
        <v>3602</v>
      </c>
      <c r="AB36" t="s">
        <v>3603</v>
      </c>
      <c r="AC36" t="s">
        <v>3604</v>
      </c>
      <c r="AD36" t="s">
        <v>3151</v>
      </c>
      <c r="AE36">
        <v>225.7</v>
      </c>
      <c r="AF36">
        <v>102.6</v>
      </c>
      <c r="AG36" t="s">
        <v>3132</v>
      </c>
      <c r="AH36">
        <v>166</v>
      </c>
      <c r="AI36" t="s">
        <v>3605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3018</v>
      </c>
      <c r="C37" t="s">
        <v>3060</v>
      </c>
      <c r="D37" t="s">
        <v>3606</v>
      </c>
      <c r="E37" t="s">
        <v>100</v>
      </c>
      <c r="F37" t="s">
        <v>3607</v>
      </c>
      <c r="G37" t="s">
        <v>3608</v>
      </c>
      <c r="H37" t="s">
        <v>2</v>
      </c>
      <c r="I37" t="s">
        <v>2998</v>
      </c>
      <c r="J37" t="s">
        <v>3365</v>
      </c>
      <c r="K37" t="s">
        <v>3000</v>
      </c>
      <c r="L37" t="s">
        <v>3001</v>
      </c>
      <c r="M37" t="s">
        <v>3609</v>
      </c>
      <c r="N37" t="s">
        <v>3610</v>
      </c>
      <c r="O37" t="s">
        <v>3611</v>
      </c>
      <c r="P37" t="s">
        <v>3612</v>
      </c>
      <c r="Q37" t="s">
        <v>3613</v>
      </c>
      <c r="R37">
        <v>30398</v>
      </c>
      <c r="S37" t="s">
        <v>3030</v>
      </c>
      <c r="T37">
        <v>5471455017359370</v>
      </c>
      <c r="U37">
        <v>235</v>
      </c>
      <c r="V37">
        <v>43556</v>
      </c>
      <c r="W37" t="s">
        <v>3614</v>
      </c>
      <c r="X37" t="s">
        <v>3615</v>
      </c>
      <c r="Y37" t="s">
        <v>3069</v>
      </c>
      <c r="Z37" t="s">
        <v>3616</v>
      </c>
      <c r="AA37" t="s">
        <v>3617</v>
      </c>
      <c r="AB37" t="s">
        <v>3618</v>
      </c>
      <c r="AC37" t="s">
        <v>3619</v>
      </c>
      <c r="AD37" t="s">
        <v>3151</v>
      </c>
      <c r="AE37">
        <v>123</v>
      </c>
      <c r="AF37">
        <v>55.9</v>
      </c>
      <c r="AG37" t="s">
        <v>3169</v>
      </c>
      <c r="AH37">
        <v>173</v>
      </c>
      <c r="AI37" t="s">
        <v>3620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3018</v>
      </c>
      <c r="C38" t="s">
        <v>3060</v>
      </c>
      <c r="D38" t="s">
        <v>3621</v>
      </c>
      <c r="E38" t="s">
        <v>324</v>
      </c>
      <c r="F38" t="s">
        <v>3622</v>
      </c>
      <c r="G38" t="s">
        <v>3623</v>
      </c>
      <c r="H38" t="s">
        <v>19</v>
      </c>
      <c r="I38" t="s">
        <v>2998</v>
      </c>
      <c r="J38" t="s">
        <v>41</v>
      </c>
      <c r="K38" t="s">
        <v>3000</v>
      </c>
      <c r="L38" t="s">
        <v>3001</v>
      </c>
      <c r="M38" t="s">
        <v>3624</v>
      </c>
      <c r="N38" t="s">
        <v>3625</v>
      </c>
      <c r="O38" t="s">
        <v>3626</v>
      </c>
      <c r="P38" t="s">
        <v>3627</v>
      </c>
      <c r="Q38" t="s">
        <v>3628</v>
      </c>
      <c r="R38">
        <v>30670</v>
      </c>
      <c r="S38" t="s">
        <v>3007</v>
      </c>
      <c r="T38">
        <v>4929959369895440</v>
      </c>
      <c r="U38">
        <v>44</v>
      </c>
      <c r="V38">
        <v>42309</v>
      </c>
      <c r="W38" t="s">
        <v>3629</v>
      </c>
      <c r="X38" t="s">
        <v>3630</v>
      </c>
      <c r="Y38" t="s">
        <v>3033</v>
      </c>
      <c r="Z38" t="s">
        <v>3631</v>
      </c>
      <c r="AA38" t="s">
        <v>3035</v>
      </c>
      <c r="AB38" t="s">
        <v>3632</v>
      </c>
      <c r="AC38" t="s">
        <v>3633</v>
      </c>
      <c r="AD38" t="s">
        <v>3095</v>
      </c>
      <c r="AE38">
        <v>146.69999999999999</v>
      </c>
      <c r="AF38">
        <v>66.7</v>
      </c>
      <c r="AG38" t="s">
        <v>3169</v>
      </c>
      <c r="AH38">
        <v>173</v>
      </c>
      <c r="AI38" t="s">
        <v>3634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2992</v>
      </c>
      <c r="C39" t="s">
        <v>2993</v>
      </c>
      <c r="D39" t="s">
        <v>3635</v>
      </c>
      <c r="E39" t="s">
        <v>3154</v>
      </c>
      <c r="F39" t="s">
        <v>3636</v>
      </c>
      <c r="G39" t="s">
        <v>3637</v>
      </c>
      <c r="H39" t="s">
        <v>3638</v>
      </c>
      <c r="I39" t="s">
        <v>2998</v>
      </c>
      <c r="J39" t="s">
        <v>3639</v>
      </c>
      <c r="K39" t="s">
        <v>3000</v>
      </c>
      <c r="L39" t="s">
        <v>3001</v>
      </c>
      <c r="M39" t="s">
        <v>3640</v>
      </c>
      <c r="N39" t="s">
        <v>3641</v>
      </c>
      <c r="O39" t="s">
        <v>3642</v>
      </c>
      <c r="P39" t="s">
        <v>3643</v>
      </c>
      <c r="Q39" t="s">
        <v>3644</v>
      </c>
      <c r="R39">
        <v>14909</v>
      </c>
      <c r="S39" t="s">
        <v>3007</v>
      </c>
      <c r="T39">
        <v>4539726755144060</v>
      </c>
      <c r="U39">
        <v>508</v>
      </c>
      <c r="V39">
        <v>43435</v>
      </c>
      <c r="W39" t="s">
        <v>3645</v>
      </c>
      <c r="X39" t="s">
        <v>3646</v>
      </c>
      <c r="Y39" t="s">
        <v>3010</v>
      </c>
      <c r="Z39" t="s">
        <v>3647</v>
      </c>
      <c r="AA39" t="s">
        <v>3648</v>
      </c>
      <c r="AB39" t="s">
        <v>3649</v>
      </c>
      <c r="AC39" t="s">
        <v>3650</v>
      </c>
      <c r="AD39" t="s">
        <v>3095</v>
      </c>
      <c r="AE39">
        <v>143.4</v>
      </c>
      <c r="AF39">
        <v>65.2</v>
      </c>
      <c r="AG39" t="s">
        <v>3187</v>
      </c>
      <c r="AH39">
        <v>183</v>
      </c>
      <c r="AI39" t="s">
        <v>3651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3018</v>
      </c>
      <c r="C40" t="s">
        <v>3060</v>
      </c>
      <c r="D40" t="s">
        <v>3652</v>
      </c>
      <c r="E40" t="s">
        <v>3653</v>
      </c>
      <c r="F40" t="s">
        <v>3654</v>
      </c>
      <c r="G40" t="s">
        <v>3655</v>
      </c>
      <c r="H40" t="s">
        <v>2</v>
      </c>
      <c r="I40" t="s">
        <v>2998</v>
      </c>
      <c r="J40" t="s">
        <v>3656</v>
      </c>
      <c r="K40" t="s">
        <v>3000</v>
      </c>
      <c r="L40" t="s">
        <v>3001</v>
      </c>
      <c r="M40" t="s">
        <v>3657</v>
      </c>
      <c r="N40" t="s">
        <v>3658</v>
      </c>
      <c r="O40" t="s">
        <v>3659</v>
      </c>
      <c r="P40" t="s">
        <v>3660</v>
      </c>
      <c r="Q40" t="s">
        <v>3661</v>
      </c>
      <c r="R40">
        <v>24336</v>
      </c>
      <c r="S40" t="s">
        <v>3007</v>
      </c>
      <c r="T40">
        <v>4539709392003340</v>
      </c>
      <c r="U40">
        <v>813</v>
      </c>
      <c r="V40">
        <v>42491</v>
      </c>
      <c r="W40" t="s">
        <v>3662</v>
      </c>
      <c r="X40" t="s">
        <v>3663</v>
      </c>
      <c r="Y40" t="s">
        <v>3164</v>
      </c>
      <c r="Z40" t="s">
        <v>3664</v>
      </c>
      <c r="AA40" t="s">
        <v>3665</v>
      </c>
      <c r="AB40" t="s">
        <v>3666</v>
      </c>
      <c r="AC40" t="s">
        <v>3667</v>
      </c>
      <c r="AD40" t="s">
        <v>3095</v>
      </c>
      <c r="AE40">
        <v>155.30000000000001</v>
      </c>
      <c r="AF40">
        <v>70.599999999999994</v>
      </c>
      <c r="AG40" t="s">
        <v>3132</v>
      </c>
      <c r="AH40">
        <v>166</v>
      </c>
      <c r="AI40" t="s">
        <v>3668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3018</v>
      </c>
      <c r="C41" t="s">
        <v>3019</v>
      </c>
      <c r="D41" t="s">
        <v>3669</v>
      </c>
      <c r="E41" t="s">
        <v>2995</v>
      </c>
      <c r="F41" t="s">
        <v>3670</v>
      </c>
      <c r="G41" t="s">
        <v>3671</v>
      </c>
      <c r="H41" t="s">
        <v>19</v>
      </c>
      <c r="I41" t="s">
        <v>2998</v>
      </c>
      <c r="J41" t="s">
        <v>3672</v>
      </c>
      <c r="K41" t="s">
        <v>3000</v>
      </c>
      <c r="L41" t="s">
        <v>3001</v>
      </c>
      <c r="M41" t="s">
        <v>3673</v>
      </c>
      <c r="N41" t="s">
        <v>3674</v>
      </c>
      <c r="O41" t="s">
        <v>3675</v>
      </c>
      <c r="P41" t="s">
        <v>3676</v>
      </c>
      <c r="Q41" t="s">
        <v>3677</v>
      </c>
      <c r="R41">
        <v>18331</v>
      </c>
      <c r="S41" t="s">
        <v>3030</v>
      </c>
      <c r="T41">
        <v>5352392465776140</v>
      </c>
      <c r="U41">
        <v>130</v>
      </c>
      <c r="V41">
        <v>42767</v>
      </c>
      <c r="W41" t="s">
        <v>3678</v>
      </c>
      <c r="X41" t="s">
        <v>3679</v>
      </c>
      <c r="Y41" t="s">
        <v>3010</v>
      </c>
      <c r="Z41" t="s">
        <v>3680</v>
      </c>
      <c r="AA41" t="s">
        <v>3681</v>
      </c>
      <c r="AB41" t="s">
        <v>3682</v>
      </c>
      <c r="AC41" t="s">
        <v>3683</v>
      </c>
      <c r="AD41" t="s">
        <v>3151</v>
      </c>
      <c r="AE41">
        <v>216.5</v>
      </c>
      <c r="AF41">
        <v>98.4</v>
      </c>
      <c r="AG41" t="s">
        <v>3205</v>
      </c>
      <c r="AH41">
        <v>169</v>
      </c>
      <c r="AI41" t="s">
        <v>3684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3018</v>
      </c>
      <c r="C42" t="s">
        <v>3019</v>
      </c>
      <c r="D42" t="s">
        <v>3412</v>
      </c>
      <c r="E42" t="s">
        <v>3653</v>
      </c>
      <c r="F42" t="s">
        <v>3685</v>
      </c>
      <c r="G42" t="s">
        <v>3686</v>
      </c>
      <c r="H42" t="s">
        <v>3687</v>
      </c>
      <c r="I42" t="s">
        <v>2998</v>
      </c>
      <c r="J42" t="s">
        <v>3688</v>
      </c>
      <c r="K42" t="s">
        <v>3000</v>
      </c>
      <c r="L42" t="s">
        <v>3001</v>
      </c>
      <c r="M42" t="s">
        <v>3689</v>
      </c>
      <c r="N42" t="s">
        <v>3690</v>
      </c>
      <c r="O42" t="s">
        <v>3691</v>
      </c>
      <c r="P42" t="s">
        <v>3692</v>
      </c>
      <c r="Q42" t="s">
        <v>3693</v>
      </c>
      <c r="R42">
        <v>30819</v>
      </c>
      <c r="S42" t="s">
        <v>3007</v>
      </c>
      <c r="T42">
        <v>4556820375737440</v>
      </c>
      <c r="U42">
        <v>382</v>
      </c>
      <c r="V42">
        <v>42948</v>
      </c>
      <c r="W42" t="s">
        <v>3694</v>
      </c>
      <c r="X42" t="s">
        <v>3695</v>
      </c>
      <c r="Y42" t="s">
        <v>3219</v>
      </c>
      <c r="Z42" t="s">
        <v>3696</v>
      </c>
      <c r="AA42" t="s">
        <v>3697</v>
      </c>
      <c r="AB42" t="s">
        <v>3698</v>
      </c>
      <c r="AC42" t="s">
        <v>3699</v>
      </c>
      <c r="AD42" t="s">
        <v>3151</v>
      </c>
      <c r="AE42">
        <v>205.5</v>
      </c>
      <c r="AF42">
        <v>93.4</v>
      </c>
      <c r="AG42" t="s">
        <v>3096</v>
      </c>
      <c r="AH42">
        <v>168</v>
      </c>
      <c r="AI42" t="s">
        <v>3700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2992</v>
      </c>
      <c r="C43" t="s">
        <v>2993</v>
      </c>
      <c r="D43" t="s">
        <v>3701</v>
      </c>
      <c r="E43" t="s">
        <v>131</v>
      </c>
      <c r="F43" t="s">
        <v>3491</v>
      </c>
      <c r="G43" t="s">
        <v>3702</v>
      </c>
      <c r="H43" t="s">
        <v>3703</v>
      </c>
      <c r="I43" t="s">
        <v>2998</v>
      </c>
      <c r="J43" t="s">
        <v>3704</v>
      </c>
      <c r="K43" t="s">
        <v>3000</v>
      </c>
      <c r="L43" t="s">
        <v>3001</v>
      </c>
      <c r="M43" t="s">
        <v>3705</v>
      </c>
      <c r="N43" t="s">
        <v>3706</v>
      </c>
      <c r="O43" t="s">
        <v>3707</v>
      </c>
      <c r="P43" t="s">
        <v>3708</v>
      </c>
      <c r="Q43" t="s">
        <v>3709</v>
      </c>
      <c r="R43">
        <v>23701</v>
      </c>
      <c r="S43" t="s">
        <v>3007</v>
      </c>
      <c r="T43">
        <v>4916378851120780</v>
      </c>
      <c r="U43">
        <v>767</v>
      </c>
      <c r="V43">
        <v>42767</v>
      </c>
      <c r="W43" t="s">
        <v>3710</v>
      </c>
      <c r="X43" t="s">
        <v>3711</v>
      </c>
      <c r="Y43" t="s">
        <v>3219</v>
      </c>
      <c r="Z43" t="s">
        <v>3712</v>
      </c>
      <c r="AA43" t="s">
        <v>3713</v>
      </c>
      <c r="AB43" t="s">
        <v>3714</v>
      </c>
      <c r="AC43" t="s">
        <v>3715</v>
      </c>
      <c r="AD43" t="s">
        <v>3131</v>
      </c>
      <c r="AE43">
        <v>232.1</v>
      </c>
      <c r="AF43">
        <v>105.5</v>
      </c>
      <c r="AG43" t="s">
        <v>3441</v>
      </c>
      <c r="AH43">
        <v>180</v>
      </c>
      <c r="AI43" t="s">
        <v>3716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2992</v>
      </c>
      <c r="C44" t="s">
        <v>2993</v>
      </c>
      <c r="D44" t="s">
        <v>3717</v>
      </c>
      <c r="E44" t="s">
        <v>328</v>
      </c>
      <c r="F44" t="s">
        <v>3718</v>
      </c>
      <c r="G44" t="s">
        <v>3719</v>
      </c>
      <c r="H44" t="s">
        <v>3720</v>
      </c>
      <c r="I44" t="s">
        <v>2998</v>
      </c>
      <c r="J44" t="s">
        <v>3721</v>
      </c>
      <c r="K44" t="s">
        <v>3000</v>
      </c>
      <c r="L44" t="s">
        <v>3001</v>
      </c>
      <c r="M44" t="s">
        <v>3722</v>
      </c>
      <c r="N44" t="s">
        <v>3723</v>
      </c>
      <c r="O44" t="s">
        <v>3724</v>
      </c>
      <c r="P44" t="s">
        <v>3725</v>
      </c>
      <c r="Q44" t="s">
        <v>3328</v>
      </c>
      <c r="R44">
        <v>33962</v>
      </c>
      <c r="S44" t="s">
        <v>3030</v>
      </c>
      <c r="T44">
        <v>5350430634550290</v>
      </c>
      <c r="U44">
        <v>399</v>
      </c>
      <c r="V44">
        <v>42795</v>
      </c>
      <c r="W44" t="s">
        <v>3726</v>
      </c>
      <c r="X44" t="s">
        <v>3727</v>
      </c>
      <c r="Y44" t="s">
        <v>3010</v>
      </c>
      <c r="Z44" t="s">
        <v>3728</v>
      </c>
      <c r="AA44" t="s">
        <v>3729</v>
      </c>
      <c r="AB44" t="s">
        <v>3730</v>
      </c>
      <c r="AC44" t="s">
        <v>3731</v>
      </c>
      <c r="AD44" t="s">
        <v>3095</v>
      </c>
      <c r="AE44">
        <v>171.6</v>
      </c>
      <c r="AF44">
        <v>78</v>
      </c>
      <c r="AG44" t="s">
        <v>3187</v>
      </c>
      <c r="AH44">
        <v>182</v>
      </c>
      <c r="AI44" t="s">
        <v>3732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3018</v>
      </c>
      <c r="C45" t="s">
        <v>3060</v>
      </c>
      <c r="D45" t="s">
        <v>3733</v>
      </c>
      <c r="E45" t="s">
        <v>3653</v>
      </c>
      <c r="F45" t="s">
        <v>3734</v>
      </c>
      <c r="G45" t="s">
        <v>3735</v>
      </c>
      <c r="H45" t="s">
        <v>3736</v>
      </c>
      <c r="I45" t="s">
        <v>2998</v>
      </c>
      <c r="J45" t="s">
        <v>3737</v>
      </c>
      <c r="K45" t="s">
        <v>3000</v>
      </c>
      <c r="L45" t="s">
        <v>3001</v>
      </c>
      <c r="M45" t="s">
        <v>3738</v>
      </c>
      <c r="N45" t="s">
        <v>3739</v>
      </c>
      <c r="O45" t="s">
        <v>3740</v>
      </c>
      <c r="P45" t="s">
        <v>3741</v>
      </c>
      <c r="Q45" t="s">
        <v>3742</v>
      </c>
      <c r="R45">
        <v>22985</v>
      </c>
      <c r="S45" t="s">
        <v>3007</v>
      </c>
      <c r="T45">
        <v>4539916065181950</v>
      </c>
      <c r="U45">
        <v>717</v>
      </c>
      <c r="V45">
        <v>43101</v>
      </c>
      <c r="W45" t="s">
        <v>3743</v>
      </c>
      <c r="X45" t="s">
        <v>3744</v>
      </c>
      <c r="Y45" t="s">
        <v>3321</v>
      </c>
      <c r="Z45" t="s">
        <v>3745</v>
      </c>
      <c r="AA45" t="s">
        <v>3746</v>
      </c>
      <c r="AB45" t="s">
        <v>3747</v>
      </c>
      <c r="AC45" t="s">
        <v>3748</v>
      </c>
      <c r="AD45" t="s">
        <v>3095</v>
      </c>
      <c r="AE45">
        <v>171.8</v>
      </c>
      <c r="AF45">
        <v>78.099999999999994</v>
      </c>
      <c r="AG45" t="s">
        <v>3077</v>
      </c>
      <c r="AH45">
        <v>158</v>
      </c>
      <c r="AI45" t="s">
        <v>3749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2992</v>
      </c>
      <c r="C46" t="s">
        <v>2993</v>
      </c>
      <c r="D46" t="s">
        <v>3750</v>
      </c>
      <c r="E46" t="s">
        <v>3653</v>
      </c>
      <c r="F46" t="s">
        <v>3751</v>
      </c>
      <c r="G46" t="s">
        <v>3752</v>
      </c>
      <c r="H46" t="s">
        <v>2</v>
      </c>
      <c r="I46" t="s">
        <v>2998</v>
      </c>
      <c r="J46" t="s">
        <v>3753</v>
      </c>
      <c r="K46" t="s">
        <v>3000</v>
      </c>
      <c r="L46" t="s">
        <v>3001</v>
      </c>
      <c r="M46" t="s">
        <v>3754</v>
      </c>
      <c r="N46" t="s">
        <v>3755</v>
      </c>
      <c r="O46" t="s">
        <v>3756</v>
      </c>
      <c r="P46" t="s">
        <v>3757</v>
      </c>
      <c r="Q46" t="s">
        <v>3758</v>
      </c>
      <c r="R46">
        <v>31714</v>
      </c>
      <c r="S46" t="s">
        <v>3030</v>
      </c>
      <c r="T46">
        <v>5455463670396130</v>
      </c>
      <c r="U46">
        <v>263</v>
      </c>
      <c r="V46">
        <v>43374</v>
      </c>
      <c r="W46" t="s">
        <v>3759</v>
      </c>
      <c r="X46" t="s">
        <v>3760</v>
      </c>
      <c r="Y46" t="s">
        <v>3010</v>
      </c>
      <c r="Z46" t="s">
        <v>3761</v>
      </c>
      <c r="AA46" t="s">
        <v>3221</v>
      </c>
      <c r="AB46" t="s">
        <v>3762</v>
      </c>
      <c r="AC46" t="s">
        <v>3763</v>
      </c>
      <c r="AD46" t="s">
        <v>3151</v>
      </c>
      <c r="AE46">
        <v>134.19999999999999</v>
      </c>
      <c r="AF46">
        <v>61</v>
      </c>
      <c r="AG46" t="s">
        <v>3058</v>
      </c>
      <c r="AH46">
        <v>175</v>
      </c>
      <c r="AI46" t="s">
        <v>3764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2992</v>
      </c>
      <c r="C47" t="s">
        <v>2993</v>
      </c>
      <c r="D47" t="s">
        <v>3539</v>
      </c>
      <c r="E47" t="s">
        <v>100</v>
      </c>
      <c r="F47" t="s">
        <v>3765</v>
      </c>
      <c r="G47" t="s">
        <v>3766</v>
      </c>
      <c r="H47" t="s">
        <v>3767</v>
      </c>
      <c r="I47" t="s">
        <v>2998</v>
      </c>
      <c r="J47" t="s">
        <v>3768</v>
      </c>
      <c r="K47" t="s">
        <v>3000</v>
      </c>
      <c r="L47" t="s">
        <v>3001</v>
      </c>
      <c r="M47" t="s">
        <v>3769</v>
      </c>
      <c r="N47" t="s">
        <v>3770</v>
      </c>
      <c r="O47" t="s">
        <v>3771</v>
      </c>
      <c r="P47" t="s">
        <v>3772</v>
      </c>
      <c r="Q47" t="s">
        <v>3773</v>
      </c>
      <c r="R47">
        <v>33486</v>
      </c>
      <c r="S47" t="s">
        <v>3007</v>
      </c>
      <c r="T47">
        <v>4929162087842670</v>
      </c>
      <c r="U47">
        <v>507</v>
      </c>
      <c r="V47">
        <v>42583</v>
      </c>
      <c r="W47" t="s">
        <v>3774</v>
      </c>
      <c r="X47" t="s">
        <v>3775</v>
      </c>
      <c r="Y47" t="s">
        <v>3219</v>
      </c>
      <c r="Z47" t="s">
        <v>3776</v>
      </c>
      <c r="AA47" t="s">
        <v>3777</v>
      </c>
      <c r="AB47" t="s">
        <v>3778</v>
      </c>
      <c r="AC47" t="s">
        <v>3779</v>
      </c>
      <c r="AD47" t="s">
        <v>3151</v>
      </c>
      <c r="AE47">
        <v>216.7</v>
      </c>
      <c r="AF47">
        <v>98.5</v>
      </c>
      <c r="AG47" t="s">
        <v>3016</v>
      </c>
      <c r="AH47">
        <v>185</v>
      </c>
      <c r="AI47" t="s">
        <v>3780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2992</v>
      </c>
      <c r="C48" t="s">
        <v>2993</v>
      </c>
      <c r="D48" t="s">
        <v>3781</v>
      </c>
      <c r="E48" t="s">
        <v>325</v>
      </c>
      <c r="F48" t="s">
        <v>3782</v>
      </c>
      <c r="G48" t="s">
        <v>3783</v>
      </c>
      <c r="H48" t="s">
        <v>48</v>
      </c>
      <c r="I48" t="s">
        <v>2998</v>
      </c>
      <c r="J48" t="s">
        <v>3784</v>
      </c>
      <c r="K48" t="s">
        <v>3000</v>
      </c>
      <c r="L48" t="s">
        <v>3001</v>
      </c>
      <c r="M48" t="s">
        <v>3785</v>
      </c>
      <c r="N48" t="s">
        <v>3786</v>
      </c>
      <c r="O48" t="s">
        <v>3787</v>
      </c>
      <c r="P48" t="s">
        <v>3788</v>
      </c>
      <c r="Q48" t="s">
        <v>3789</v>
      </c>
      <c r="R48">
        <v>31731</v>
      </c>
      <c r="S48" t="s">
        <v>3007</v>
      </c>
      <c r="T48">
        <v>4539032742642340</v>
      </c>
      <c r="U48">
        <v>437</v>
      </c>
      <c r="V48">
        <v>42948</v>
      </c>
      <c r="W48" t="s">
        <v>3790</v>
      </c>
      <c r="X48" t="s">
        <v>3791</v>
      </c>
      <c r="Y48" t="s">
        <v>3010</v>
      </c>
      <c r="Z48" t="s">
        <v>3792</v>
      </c>
      <c r="AA48" t="s">
        <v>3793</v>
      </c>
      <c r="AB48" t="s">
        <v>3794</v>
      </c>
      <c r="AC48" t="s">
        <v>3795</v>
      </c>
      <c r="AD48" t="s">
        <v>3057</v>
      </c>
      <c r="AE48">
        <v>222.2</v>
      </c>
      <c r="AF48">
        <v>101</v>
      </c>
      <c r="AG48" t="s">
        <v>3205</v>
      </c>
      <c r="AH48">
        <v>169</v>
      </c>
      <c r="AI48" t="s">
        <v>3796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3018</v>
      </c>
      <c r="C49" t="s">
        <v>3019</v>
      </c>
      <c r="D49" t="s">
        <v>3797</v>
      </c>
      <c r="E49" t="s">
        <v>2995</v>
      </c>
      <c r="F49" t="s">
        <v>3198</v>
      </c>
      <c r="G49" t="s">
        <v>3798</v>
      </c>
      <c r="H49" t="s">
        <v>3243</v>
      </c>
      <c r="I49" t="s">
        <v>2998</v>
      </c>
      <c r="J49" t="s">
        <v>3799</v>
      </c>
      <c r="K49" t="s">
        <v>3000</v>
      </c>
      <c r="L49" t="s">
        <v>3001</v>
      </c>
      <c r="M49" t="s">
        <v>3800</v>
      </c>
      <c r="N49" t="s">
        <v>3801</v>
      </c>
      <c r="O49" t="s">
        <v>3802</v>
      </c>
      <c r="P49" t="s">
        <v>3803</v>
      </c>
      <c r="Q49" t="s">
        <v>3444</v>
      </c>
      <c r="R49">
        <v>34046</v>
      </c>
      <c r="S49" t="s">
        <v>3007</v>
      </c>
      <c r="T49">
        <v>4556109265568130</v>
      </c>
      <c r="U49">
        <v>804</v>
      </c>
      <c r="V49">
        <v>42917</v>
      </c>
      <c r="W49" t="s">
        <v>3804</v>
      </c>
      <c r="X49" t="s">
        <v>3805</v>
      </c>
      <c r="Y49" t="s">
        <v>3010</v>
      </c>
      <c r="Z49" t="s">
        <v>3806</v>
      </c>
      <c r="AA49" t="s">
        <v>3807</v>
      </c>
      <c r="AB49" t="s">
        <v>3808</v>
      </c>
      <c r="AC49" t="s">
        <v>3809</v>
      </c>
      <c r="AD49" t="s">
        <v>3151</v>
      </c>
      <c r="AE49">
        <v>196.2</v>
      </c>
      <c r="AF49">
        <v>89.2</v>
      </c>
      <c r="AG49" t="s">
        <v>3506</v>
      </c>
      <c r="AH49">
        <v>161</v>
      </c>
      <c r="AI49" t="s">
        <v>3810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3018</v>
      </c>
      <c r="C50" t="s">
        <v>3060</v>
      </c>
      <c r="D50" t="s">
        <v>3811</v>
      </c>
      <c r="E50" t="s">
        <v>3362</v>
      </c>
      <c r="F50" t="s">
        <v>3812</v>
      </c>
      <c r="G50" t="s">
        <v>3813</v>
      </c>
      <c r="H50" t="s">
        <v>3174</v>
      </c>
      <c r="I50" t="s">
        <v>2998</v>
      </c>
      <c r="J50" t="s">
        <v>3175</v>
      </c>
      <c r="K50" t="s">
        <v>3000</v>
      </c>
      <c r="L50" t="s">
        <v>3001</v>
      </c>
      <c r="M50" t="s">
        <v>3814</v>
      </c>
      <c r="N50" t="s">
        <v>3815</v>
      </c>
      <c r="O50" t="s">
        <v>3816</v>
      </c>
      <c r="P50" t="s">
        <v>3817</v>
      </c>
      <c r="Q50" t="s">
        <v>3818</v>
      </c>
      <c r="R50">
        <v>29448</v>
      </c>
      <c r="S50" t="s">
        <v>3030</v>
      </c>
      <c r="T50">
        <v>5137509452272370</v>
      </c>
      <c r="U50">
        <v>558</v>
      </c>
      <c r="V50">
        <v>42583</v>
      </c>
      <c r="W50" t="s">
        <v>3819</v>
      </c>
      <c r="X50" t="s">
        <v>3820</v>
      </c>
      <c r="Y50" t="s">
        <v>3072</v>
      </c>
      <c r="Z50" t="s">
        <v>3821</v>
      </c>
      <c r="AA50" t="s">
        <v>3822</v>
      </c>
      <c r="AB50" t="s">
        <v>3823</v>
      </c>
      <c r="AC50" t="s">
        <v>3824</v>
      </c>
      <c r="AD50" t="s">
        <v>3057</v>
      </c>
      <c r="AE50">
        <v>192.1</v>
      </c>
      <c r="AF50">
        <v>87.3</v>
      </c>
      <c r="AG50" t="s">
        <v>3058</v>
      </c>
      <c r="AH50">
        <v>174</v>
      </c>
      <c r="AI50" t="s">
        <v>3825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2992</v>
      </c>
      <c r="C51" t="s">
        <v>2993</v>
      </c>
      <c r="D51" t="s">
        <v>3826</v>
      </c>
      <c r="E51" t="s">
        <v>3362</v>
      </c>
      <c r="F51" t="s">
        <v>3042</v>
      </c>
      <c r="G51" t="s">
        <v>3827</v>
      </c>
      <c r="H51" t="s">
        <v>3138</v>
      </c>
      <c r="I51" t="s">
        <v>2998</v>
      </c>
      <c r="J51" t="s">
        <v>3139</v>
      </c>
      <c r="K51" t="s">
        <v>3000</v>
      </c>
      <c r="L51" t="s">
        <v>3001</v>
      </c>
      <c r="M51" t="s">
        <v>3828</v>
      </c>
      <c r="N51" t="s">
        <v>3829</v>
      </c>
      <c r="O51" t="s">
        <v>3830</v>
      </c>
      <c r="P51" t="s">
        <v>3831</v>
      </c>
      <c r="Q51" t="s">
        <v>3832</v>
      </c>
      <c r="R51">
        <v>19736</v>
      </c>
      <c r="S51" t="s">
        <v>3007</v>
      </c>
      <c r="T51">
        <v>4929168028258690</v>
      </c>
      <c r="U51">
        <v>347</v>
      </c>
      <c r="V51">
        <v>43800</v>
      </c>
      <c r="W51" t="s">
        <v>3833</v>
      </c>
      <c r="X51" t="s">
        <v>3834</v>
      </c>
      <c r="Y51" t="s">
        <v>3010</v>
      </c>
      <c r="Z51" t="s">
        <v>3835</v>
      </c>
      <c r="AA51" t="s">
        <v>3836</v>
      </c>
      <c r="AB51" t="s">
        <v>3837</v>
      </c>
      <c r="AC51" t="s">
        <v>3838</v>
      </c>
      <c r="AD51" t="s">
        <v>3095</v>
      </c>
      <c r="AE51">
        <v>165</v>
      </c>
      <c r="AF51">
        <v>75</v>
      </c>
      <c r="AG51" t="s">
        <v>3205</v>
      </c>
      <c r="AH51">
        <v>170</v>
      </c>
      <c r="AI51" t="s">
        <v>3839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3018</v>
      </c>
      <c r="C52" t="s">
        <v>3060</v>
      </c>
      <c r="D52" t="s">
        <v>3840</v>
      </c>
      <c r="E52" t="s">
        <v>3135</v>
      </c>
      <c r="F52" t="s">
        <v>3841</v>
      </c>
      <c r="G52" t="s">
        <v>3842</v>
      </c>
      <c r="H52" t="s">
        <v>19</v>
      </c>
      <c r="I52" t="s">
        <v>2998</v>
      </c>
      <c r="J52" t="s">
        <v>3843</v>
      </c>
      <c r="K52" t="s">
        <v>3000</v>
      </c>
      <c r="L52" t="s">
        <v>3001</v>
      </c>
      <c r="M52" t="s">
        <v>3844</v>
      </c>
      <c r="N52" t="s">
        <v>3845</v>
      </c>
      <c r="O52" t="s">
        <v>3846</v>
      </c>
      <c r="P52" t="s">
        <v>3847</v>
      </c>
      <c r="Q52" t="s">
        <v>3848</v>
      </c>
      <c r="R52">
        <v>21833</v>
      </c>
      <c r="S52" t="s">
        <v>3030</v>
      </c>
      <c r="T52">
        <v>5166193014292080</v>
      </c>
      <c r="U52">
        <v>506</v>
      </c>
      <c r="V52">
        <v>42856</v>
      </c>
      <c r="W52" t="s">
        <v>3849</v>
      </c>
      <c r="X52" t="s">
        <v>3850</v>
      </c>
      <c r="Y52" t="s">
        <v>3072</v>
      </c>
      <c r="Z52" t="s">
        <v>3851</v>
      </c>
      <c r="AA52" t="s">
        <v>3852</v>
      </c>
      <c r="AB52" t="s">
        <v>3853</v>
      </c>
      <c r="AC52" t="s">
        <v>3854</v>
      </c>
      <c r="AD52" t="s">
        <v>3038</v>
      </c>
      <c r="AE52">
        <v>193.2</v>
      </c>
      <c r="AF52">
        <v>87.8</v>
      </c>
      <c r="AG52" t="s">
        <v>3039</v>
      </c>
      <c r="AH52">
        <v>155</v>
      </c>
      <c r="AI52" t="s">
        <v>3855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3018</v>
      </c>
      <c r="C53" t="s">
        <v>3019</v>
      </c>
      <c r="D53" t="s">
        <v>3856</v>
      </c>
      <c r="E53" t="s">
        <v>322</v>
      </c>
      <c r="F53" t="s">
        <v>3857</v>
      </c>
      <c r="G53" t="s">
        <v>3858</v>
      </c>
      <c r="H53" t="s">
        <v>3859</v>
      </c>
      <c r="I53" t="s">
        <v>2998</v>
      </c>
      <c r="J53" t="s">
        <v>3860</v>
      </c>
      <c r="K53" t="s">
        <v>3000</v>
      </c>
      <c r="L53" t="s">
        <v>3001</v>
      </c>
      <c r="M53" t="s">
        <v>3861</v>
      </c>
      <c r="N53" t="s">
        <v>3862</v>
      </c>
      <c r="O53" t="s">
        <v>3863</v>
      </c>
      <c r="P53" t="s">
        <v>3864</v>
      </c>
      <c r="Q53" t="s">
        <v>3865</v>
      </c>
      <c r="R53">
        <v>33446</v>
      </c>
      <c r="S53" t="s">
        <v>3007</v>
      </c>
      <c r="T53">
        <v>4539015127402320</v>
      </c>
      <c r="U53">
        <v>907</v>
      </c>
      <c r="V53">
        <v>42705</v>
      </c>
      <c r="W53" t="s">
        <v>3866</v>
      </c>
      <c r="X53" t="s">
        <v>3867</v>
      </c>
      <c r="Y53" t="s">
        <v>3033</v>
      </c>
      <c r="Z53" t="s">
        <v>3868</v>
      </c>
      <c r="AA53" t="s">
        <v>3869</v>
      </c>
      <c r="AB53" t="s">
        <v>3870</v>
      </c>
      <c r="AC53" t="s">
        <v>3871</v>
      </c>
      <c r="AD53" t="s">
        <v>3057</v>
      </c>
      <c r="AE53">
        <v>149.19999999999999</v>
      </c>
      <c r="AF53">
        <v>67.8</v>
      </c>
      <c r="AG53" t="s">
        <v>3506</v>
      </c>
      <c r="AH53">
        <v>159</v>
      </c>
      <c r="AI53" t="s">
        <v>3872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3018</v>
      </c>
      <c r="C54" t="s">
        <v>3019</v>
      </c>
      <c r="D54" t="s">
        <v>3873</v>
      </c>
      <c r="E54" t="s">
        <v>3099</v>
      </c>
      <c r="F54" t="s">
        <v>2996</v>
      </c>
      <c r="G54" t="s">
        <v>3874</v>
      </c>
      <c r="H54" t="s">
        <v>19</v>
      </c>
      <c r="I54" t="s">
        <v>2998</v>
      </c>
      <c r="J54" t="s">
        <v>3843</v>
      </c>
      <c r="K54" t="s">
        <v>3000</v>
      </c>
      <c r="L54" t="s">
        <v>3001</v>
      </c>
      <c r="M54" t="s">
        <v>3875</v>
      </c>
      <c r="N54" t="s">
        <v>3876</v>
      </c>
      <c r="O54" t="s">
        <v>3877</v>
      </c>
      <c r="P54" t="s">
        <v>3878</v>
      </c>
      <c r="Q54" t="s">
        <v>3286</v>
      </c>
      <c r="R54">
        <v>27528</v>
      </c>
      <c r="S54" t="s">
        <v>3007</v>
      </c>
      <c r="T54">
        <v>4929480487490910</v>
      </c>
      <c r="U54">
        <v>970</v>
      </c>
      <c r="V54">
        <v>42675</v>
      </c>
      <c r="W54" t="s">
        <v>3879</v>
      </c>
      <c r="X54" t="s">
        <v>3880</v>
      </c>
      <c r="Y54" t="s">
        <v>3010</v>
      </c>
      <c r="Z54" t="s">
        <v>3881</v>
      </c>
      <c r="AA54" t="s">
        <v>3882</v>
      </c>
      <c r="AB54" t="s">
        <v>3883</v>
      </c>
      <c r="AC54" t="s">
        <v>3884</v>
      </c>
      <c r="AD54" t="s">
        <v>3151</v>
      </c>
      <c r="AE54">
        <v>112.6</v>
      </c>
      <c r="AF54">
        <v>51.2</v>
      </c>
      <c r="AG54" t="s">
        <v>3132</v>
      </c>
      <c r="AH54">
        <v>166</v>
      </c>
      <c r="AI54" t="s">
        <v>3885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2992</v>
      </c>
      <c r="C55" t="s">
        <v>2993</v>
      </c>
      <c r="D55" t="s">
        <v>3886</v>
      </c>
      <c r="E55" t="s">
        <v>325</v>
      </c>
      <c r="F55" t="s">
        <v>3887</v>
      </c>
      <c r="G55" t="s">
        <v>3888</v>
      </c>
      <c r="H55" t="s">
        <v>3889</v>
      </c>
      <c r="I55" t="s">
        <v>2998</v>
      </c>
      <c r="J55" t="s">
        <v>3890</v>
      </c>
      <c r="K55" t="s">
        <v>3000</v>
      </c>
      <c r="L55" t="s">
        <v>3001</v>
      </c>
      <c r="M55" t="s">
        <v>3891</v>
      </c>
      <c r="N55" t="s">
        <v>3892</v>
      </c>
      <c r="O55" t="s">
        <v>3893</v>
      </c>
      <c r="P55" t="s">
        <v>3894</v>
      </c>
      <c r="Q55" t="s">
        <v>3895</v>
      </c>
      <c r="R55">
        <v>14070</v>
      </c>
      <c r="S55" t="s">
        <v>3030</v>
      </c>
      <c r="T55">
        <v>5132220569111510</v>
      </c>
      <c r="U55">
        <v>240</v>
      </c>
      <c r="V55">
        <v>43282</v>
      </c>
      <c r="W55" t="s">
        <v>3896</v>
      </c>
      <c r="X55" t="s">
        <v>3897</v>
      </c>
      <c r="Y55" t="s">
        <v>3010</v>
      </c>
      <c r="Z55" t="s">
        <v>3898</v>
      </c>
      <c r="AA55" t="s">
        <v>3899</v>
      </c>
      <c r="AB55" t="s">
        <v>3900</v>
      </c>
      <c r="AC55" t="s">
        <v>3901</v>
      </c>
      <c r="AD55" t="s">
        <v>3057</v>
      </c>
      <c r="AE55">
        <v>217.6</v>
      </c>
      <c r="AF55">
        <v>98.9</v>
      </c>
      <c r="AG55" t="s">
        <v>3187</v>
      </c>
      <c r="AH55">
        <v>182</v>
      </c>
      <c r="AI55" t="s">
        <v>3902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3018</v>
      </c>
      <c r="C56" t="s">
        <v>3060</v>
      </c>
      <c r="D56" t="s">
        <v>3903</v>
      </c>
      <c r="E56" t="s">
        <v>3653</v>
      </c>
      <c r="F56" t="s">
        <v>3904</v>
      </c>
      <c r="G56" t="s">
        <v>3905</v>
      </c>
      <c r="H56" t="s">
        <v>2</v>
      </c>
      <c r="I56" t="s">
        <v>2998</v>
      </c>
      <c r="J56" t="s">
        <v>3906</v>
      </c>
      <c r="K56" t="s">
        <v>3000</v>
      </c>
      <c r="L56" t="s">
        <v>3001</v>
      </c>
      <c r="M56" t="s">
        <v>3907</v>
      </c>
      <c r="N56" t="s">
        <v>3908</v>
      </c>
      <c r="O56" t="s">
        <v>3909</v>
      </c>
      <c r="P56" t="s">
        <v>3910</v>
      </c>
      <c r="Q56" t="s">
        <v>3911</v>
      </c>
      <c r="R56">
        <v>21321</v>
      </c>
      <c r="S56" t="s">
        <v>3030</v>
      </c>
      <c r="T56">
        <v>5538777231771170</v>
      </c>
      <c r="U56">
        <v>257</v>
      </c>
      <c r="V56">
        <v>42917</v>
      </c>
      <c r="W56" t="s">
        <v>3912</v>
      </c>
      <c r="X56" t="s">
        <v>3913</v>
      </c>
      <c r="Y56" t="s">
        <v>3072</v>
      </c>
      <c r="Z56" t="s">
        <v>3914</v>
      </c>
      <c r="AA56" t="s">
        <v>3915</v>
      </c>
      <c r="AB56" t="s">
        <v>3916</v>
      </c>
      <c r="AC56" t="s">
        <v>3917</v>
      </c>
      <c r="AD56" t="s">
        <v>3151</v>
      </c>
      <c r="AE56">
        <v>207.9</v>
      </c>
      <c r="AF56">
        <v>94.5</v>
      </c>
      <c r="AG56" t="s">
        <v>3132</v>
      </c>
      <c r="AH56">
        <v>165</v>
      </c>
      <c r="AI56" t="s">
        <v>3918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3018</v>
      </c>
      <c r="C57" t="s">
        <v>3019</v>
      </c>
      <c r="D57" t="s">
        <v>3524</v>
      </c>
      <c r="E57" t="s">
        <v>2995</v>
      </c>
      <c r="F57" t="s">
        <v>3919</v>
      </c>
      <c r="G57" t="s">
        <v>3920</v>
      </c>
      <c r="H57" t="s">
        <v>3921</v>
      </c>
      <c r="I57" t="s">
        <v>2998</v>
      </c>
      <c r="J57" t="s">
        <v>3922</v>
      </c>
      <c r="K57" t="s">
        <v>3000</v>
      </c>
      <c r="L57" t="s">
        <v>3001</v>
      </c>
      <c r="M57" t="s">
        <v>3923</v>
      </c>
      <c r="N57" t="s">
        <v>3924</v>
      </c>
      <c r="O57" t="s">
        <v>3925</v>
      </c>
      <c r="P57" t="s">
        <v>3926</v>
      </c>
      <c r="Q57" t="s">
        <v>3927</v>
      </c>
      <c r="R57">
        <v>19089</v>
      </c>
      <c r="S57" t="s">
        <v>3030</v>
      </c>
      <c r="T57">
        <v>5431451069127230</v>
      </c>
      <c r="U57">
        <v>692</v>
      </c>
      <c r="V57">
        <v>43132</v>
      </c>
      <c r="W57" t="s">
        <v>3928</v>
      </c>
      <c r="X57" t="s">
        <v>3929</v>
      </c>
      <c r="Y57" t="s">
        <v>3010</v>
      </c>
      <c r="Z57" t="s">
        <v>3930</v>
      </c>
      <c r="AA57" t="s">
        <v>3931</v>
      </c>
      <c r="AB57" t="s">
        <v>3932</v>
      </c>
      <c r="AC57" t="s">
        <v>3933</v>
      </c>
      <c r="AD57" t="s">
        <v>3038</v>
      </c>
      <c r="AE57">
        <v>119.5</v>
      </c>
      <c r="AF57">
        <v>54.3</v>
      </c>
      <c r="AG57" t="s">
        <v>3205</v>
      </c>
      <c r="AH57">
        <v>169</v>
      </c>
      <c r="AI57" t="s">
        <v>3934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2992</v>
      </c>
      <c r="C58" t="s">
        <v>2993</v>
      </c>
      <c r="D58" t="s">
        <v>3935</v>
      </c>
      <c r="E58" t="s">
        <v>3653</v>
      </c>
      <c r="F58" t="s">
        <v>3936</v>
      </c>
      <c r="G58" t="s">
        <v>3937</v>
      </c>
      <c r="H58" t="s">
        <v>2</v>
      </c>
      <c r="I58" t="s">
        <v>2998</v>
      </c>
      <c r="J58" t="s">
        <v>3938</v>
      </c>
      <c r="K58" t="s">
        <v>3000</v>
      </c>
      <c r="L58" t="s">
        <v>3001</v>
      </c>
      <c r="M58" t="s">
        <v>3939</v>
      </c>
      <c r="N58" t="s">
        <v>3940</v>
      </c>
      <c r="O58" t="s">
        <v>3941</v>
      </c>
      <c r="P58" t="s">
        <v>3942</v>
      </c>
      <c r="Q58" t="s">
        <v>3943</v>
      </c>
      <c r="R58">
        <v>13657</v>
      </c>
      <c r="S58" t="s">
        <v>3007</v>
      </c>
      <c r="T58">
        <v>4485001996379110</v>
      </c>
      <c r="U58">
        <v>891</v>
      </c>
      <c r="V58">
        <v>43709</v>
      </c>
      <c r="W58" t="s">
        <v>3944</v>
      </c>
      <c r="X58" t="s">
        <v>3945</v>
      </c>
      <c r="Y58" t="s">
        <v>3219</v>
      </c>
      <c r="Z58" t="s">
        <v>3946</v>
      </c>
      <c r="AA58" t="s">
        <v>3947</v>
      </c>
      <c r="AB58" t="s">
        <v>3948</v>
      </c>
      <c r="AC58" t="s">
        <v>3949</v>
      </c>
      <c r="AD58" t="s">
        <v>3057</v>
      </c>
      <c r="AE58">
        <v>180.6</v>
      </c>
      <c r="AF58">
        <v>82.1</v>
      </c>
      <c r="AG58" t="s">
        <v>3096</v>
      </c>
      <c r="AH58">
        <v>167</v>
      </c>
      <c r="AI58" t="s">
        <v>3950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3018</v>
      </c>
      <c r="C59" t="s">
        <v>3060</v>
      </c>
      <c r="D59" t="s">
        <v>3951</v>
      </c>
      <c r="E59" t="s">
        <v>3475</v>
      </c>
      <c r="F59" t="s">
        <v>3361</v>
      </c>
      <c r="G59" t="s">
        <v>3952</v>
      </c>
      <c r="H59" t="s">
        <v>3261</v>
      </c>
      <c r="I59" t="s">
        <v>2998</v>
      </c>
      <c r="J59" t="s">
        <v>3262</v>
      </c>
      <c r="K59" t="s">
        <v>3000</v>
      </c>
      <c r="L59" t="s">
        <v>3001</v>
      </c>
      <c r="M59" t="s">
        <v>3953</v>
      </c>
      <c r="N59" t="s">
        <v>3954</v>
      </c>
      <c r="O59" t="s">
        <v>3955</v>
      </c>
      <c r="P59" t="s">
        <v>3956</v>
      </c>
      <c r="Q59" t="s">
        <v>3957</v>
      </c>
      <c r="R59">
        <v>33166</v>
      </c>
      <c r="S59" t="s">
        <v>3007</v>
      </c>
      <c r="T59">
        <v>4916462064084390</v>
      </c>
      <c r="U59">
        <v>6</v>
      </c>
      <c r="V59">
        <v>43344</v>
      </c>
      <c r="W59" t="s">
        <v>3958</v>
      </c>
      <c r="X59" t="s">
        <v>3959</v>
      </c>
      <c r="Y59" t="s">
        <v>3321</v>
      </c>
      <c r="Z59" t="s">
        <v>3960</v>
      </c>
      <c r="AA59" t="s">
        <v>3961</v>
      </c>
      <c r="AB59" t="s">
        <v>3962</v>
      </c>
      <c r="AC59" t="s">
        <v>3963</v>
      </c>
      <c r="AD59" t="s">
        <v>3095</v>
      </c>
      <c r="AE59">
        <v>214.1</v>
      </c>
      <c r="AF59">
        <v>97.3</v>
      </c>
      <c r="AG59" t="s">
        <v>3169</v>
      </c>
      <c r="AH59">
        <v>173</v>
      </c>
      <c r="AI59" t="s">
        <v>3964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2992</v>
      </c>
      <c r="C60" t="s">
        <v>2993</v>
      </c>
      <c r="D60" t="s">
        <v>3965</v>
      </c>
      <c r="E60" t="s">
        <v>326</v>
      </c>
      <c r="F60" t="s">
        <v>3966</v>
      </c>
      <c r="G60" t="s">
        <v>3967</v>
      </c>
      <c r="H60" t="s">
        <v>19</v>
      </c>
      <c r="I60" t="s">
        <v>2998</v>
      </c>
      <c r="J60" t="s">
        <v>3968</v>
      </c>
      <c r="K60" t="s">
        <v>3000</v>
      </c>
      <c r="L60" t="s">
        <v>3001</v>
      </c>
      <c r="M60" t="s">
        <v>3969</v>
      </c>
      <c r="N60" t="s">
        <v>3970</v>
      </c>
      <c r="O60" t="s">
        <v>3971</v>
      </c>
      <c r="P60" t="s">
        <v>3972</v>
      </c>
      <c r="Q60" t="s">
        <v>3973</v>
      </c>
      <c r="R60">
        <v>24039</v>
      </c>
      <c r="S60" t="s">
        <v>3030</v>
      </c>
      <c r="T60">
        <v>5375761645820650</v>
      </c>
      <c r="U60">
        <v>259</v>
      </c>
      <c r="V60">
        <v>42795</v>
      </c>
      <c r="W60" t="s">
        <v>3974</v>
      </c>
      <c r="X60" t="s">
        <v>3975</v>
      </c>
      <c r="Y60" t="s">
        <v>3010</v>
      </c>
      <c r="Z60" t="s">
        <v>3976</v>
      </c>
      <c r="AA60" t="s">
        <v>3977</v>
      </c>
      <c r="AB60" t="s">
        <v>3978</v>
      </c>
      <c r="AC60" t="s">
        <v>3979</v>
      </c>
      <c r="AD60" t="s">
        <v>3057</v>
      </c>
      <c r="AE60">
        <v>179.1</v>
      </c>
      <c r="AF60">
        <v>81.400000000000006</v>
      </c>
      <c r="AG60" t="s">
        <v>3169</v>
      </c>
      <c r="AH60">
        <v>173</v>
      </c>
      <c r="AI60" t="s">
        <v>3980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2992</v>
      </c>
      <c r="C61" t="s">
        <v>2993</v>
      </c>
      <c r="D61" t="s">
        <v>3981</v>
      </c>
      <c r="E61" t="s">
        <v>322</v>
      </c>
      <c r="F61" t="s">
        <v>3982</v>
      </c>
      <c r="G61" t="s">
        <v>3983</v>
      </c>
      <c r="H61" t="s">
        <v>3347</v>
      </c>
      <c r="I61" t="s">
        <v>2998</v>
      </c>
      <c r="J61" t="s">
        <v>3984</v>
      </c>
      <c r="K61" t="s">
        <v>3000</v>
      </c>
      <c r="L61" t="s">
        <v>3001</v>
      </c>
      <c r="M61" t="s">
        <v>3985</v>
      </c>
      <c r="N61" t="s">
        <v>3986</v>
      </c>
      <c r="O61" t="s">
        <v>3987</v>
      </c>
      <c r="P61" t="s">
        <v>3988</v>
      </c>
      <c r="Q61" t="s">
        <v>3989</v>
      </c>
      <c r="R61">
        <v>34014</v>
      </c>
      <c r="S61" t="s">
        <v>3007</v>
      </c>
      <c r="T61">
        <v>4556603574493390</v>
      </c>
      <c r="U61">
        <v>441</v>
      </c>
      <c r="V61">
        <v>42278</v>
      </c>
      <c r="W61" t="s">
        <v>3990</v>
      </c>
      <c r="X61" t="s">
        <v>3991</v>
      </c>
      <c r="Y61" t="s">
        <v>3286</v>
      </c>
      <c r="Z61" t="s">
        <v>3992</v>
      </c>
      <c r="AA61" t="s">
        <v>3993</v>
      </c>
      <c r="AB61" t="s">
        <v>3994</v>
      </c>
      <c r="AC61" t="s">
        <v>3995</v>
      </c>
      <c r="AD61" t="s">
        <v>3057</v>
      </c>
      <c r="AE61">
        <v>216.9</v>
      </c>
      <c r="AF61">
        <v>98.6</v>
      </c>
      <c r="AG61" t="s">
        <v>3472</v>
      </c>
      <c r="AH61">
        <v>189</v>
      </c>
      <c r="AI61" t="s">
        <v>3996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3018</v>
      </c>
      <c r="C62" t="s">
        <v>3019</v>
      </c>
      <c r="D62" t="s">
        <v>3652</v>
      </c>
      <c r="E62" t="s">
        <v>100</v>
      </c>
      <c r="F62" t="s">
        <v>3997</v>
      </c>
      <c r="G62" t="s">
        <v>3998</v>
      </c>
      <c r="H62" t="s">
        <v>3227</v>
      </c>
      <c r="I62" t="s">
        <v>2998</v>
      </c>
      <c r="J62" t="s">
        <v>3228</v>
      </c>
      <c r="K62" t="s">
        <v>3000</v>
      </c>
      <c r="L62" t="s">
        <v>3001</v>
      </c>
      <c r="M62" t="s">
        <v>3999</v>
      </c>
      <c r="N62" t="s">
        <v>4000</v>
      </c>
      <c r="O62" t="s">
        <v>4001</v>
      </c>
      <c r="P62" t="s">
        <v>4002</v>
      </c>
      <c r="Q62" t="s">
        <v>4003</v>
      </c>
      <c r="R62">
        <v>19119</v>
      </c>
      <c r="S62" t="s">
        <v>3007</v>
      </c>
      <c r="T62">
        <v>4485857286767500</v>
      </c>
      <c r="U62">
        <v>632</v>
      </c>
      <c r="V62">
        <v>42491</v>
      </c>
      <c r="W62" t="s">
        <v>4004</v>
      </c>
      <c r="X62" t="s">
        <v>4005</v>
      </c>
      <c r="Y62" t="s">
        <v>3010</v>
      </c>
      <c r="Z62" t="s">
        <v>4006</v>
      </c>
      <c r="AA62" t="s">
        <v>4007</v>
      </c>
      <c r="AB62" t="s">
        <v>4008</v>
      </c>
      <c r="AC62" t="s">
        <v>4009</v>
      </c>
      <c r="AD62" t="s">
        <v>3057</v>
      </c>
      <c r="AE62">
        <v>164.8</v>
      </c>
      <c r="AF62">
        <v>74.900000000000006</v>
      </c>
      <c r="AG62" t="s">
        <v>3506</v>
      </c>
      <c r="AH62">
        <v>160</v>
      </c>
      <c r="AI62" t="s">
        <v>4010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3018</v>
      </c>
      <c r="C63" t="s">
        <v>3060</v>
      </c>
      <c r="D63" t="s">
        <v>4011</v>
      </c>
      <c r="E63" t="s">
        <v>100</v>
      </c>
      <c r="F63" t="s">
        <v>3216</v>
      </c>
      <c r="G63" t="s">
        <v>4012</v>
      </c>
      <c r="H63" t="s">
        <v>3921</v>
      </c>
      <c r="I63" t="s">
        <v>2998</v>
      </c>
      <c r="J63" t="s">
        <v>3922</v>
      </c>
      <c r="K63" t="s">
        <v>3000</v>
      </c>
      <c r="L63" t="s">
        <v>3001</v>
      </c>
      <c r="M63" t="s">
        <v>4013</v>
      </c>
      <c r="N63" t="s">
        <v>4014</v>
      </c>
      <c r="O63" t="s">
        <v>4015</v>
      </c>
      <c r="P63" t="s">
        <v>4016</v>
      </c>
      <c r="Q63" t="s">
        <v>4017</v>
      </c>
      <c r="R63">
        <v>24730</v>
      </c>
      <c r="S63" t="s">
        <v>3030</v>
      </c>
      <c r="T63">
        <v>5505304700031810</v>
      </c>
      <c r="U63">
        <v>860</v>
      </c>
      <c r="V63">
        <v>43009</v>
      </c>
      <c r="W63" t="s">
        <v>4018</v>
      </c>
      <c r="X63" t="s">
        <v>4019</v>
      </c>
      <c r="Y63" t="s">
        <v>3072</v>
      </c>
      <c r="Z63" t="s">
        <v>4020</v>
      </c>
      <c r="AA63" t="s">
        <v>4021</v>
      </c>
      <c r="AB63" t="s">
        <v>4022</v>
      </c>
      <c r="AC63" t="s">
        <v>4023</v>
      </c>
      <c r="AD63" t="s">
        <v>3095</v>
      </c>
      <c r="AE63">
        <v>224.2</v>
      </c>
      <c r="AF63">
        <v>101.9</v>
      </c>
      <c r="AG63" t="s">
        <v>3039</v>
      </c>
      <c r="AH63">
        <v>155</v>
      </c>
      <c r="AI63" t="s">
        <v>4024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2992</v>
      </c>
      <c r="C64" t="s">
        <v>2993</v>
      </c>
      <c r="D64" t="s">
        <v>4025</v>
      </c>
      <c r="E64" t="s">
        <v>3557</v>
      </c>
      <c r="F64" t="s">
        <v>4026</v>
      </c>
      <c r="G64" t="s">
        <v>4027</v>
      </c>
      <c r="H64" t="s">
        <v>4028</v>
      </c>
      <c r="I64" t="s">
        <v>2998</v>
      </c>
      <c r="J64" t="s">
        <v>3348</v>
      </c>
      <c r="K64" t="s">
        <v>3000</v>
      </c>
      <c r="L64" t="s">
        <v>3001</v>
      </c>
      <c r="M64" t="s">
        <v>4029</v>
      </c>
      <c r="N64" t="s">
        <v>4030</v>
      </c>
      <c r="O64" t="s">
        <v>4031</v>
      </c>
      <c r="P64" t="s">
        <v>4032</v>
      </c>
      <c r="Q64" t="s">
        <v>4033</v>
      </c>
      <c r="R64">
        <v>16218</v>
      </c>
      <c r="S64" t="s">
        <v>3007</v>
      </c>
      <c r="T64">
        <v>4485360984845760</v>
      </c>
      <c r="U64">
        <v>677</v>
      </c>
      <c r="V64">
        <v>42979</v>
      </c>
      <c r="W64" t="s">
        <v>4034</v>
      </c>
      <c r="X64" t="s">
        <v>4035</v>
      </c>
      <c r="Y64" t="s">
        <v>3321</v>
      </c>
      <c r="Z64" t="s">
        <v>4036</v>
      </c>
      <c r="AA64" t="s">
        <v>4037</v>
      </c>
      <c r="AB64" t="s">
        <v>4038</v>
      </c>
      <c r="AC64" t="s">
        <v>4039</v>
      </c>
      <c r="AD64" t="s">
        <v>3151</v>
      </c>
      <c r="AE64">
        <v>229.2</v>
      </c>
      <c r="AF64">
        <v>104.2</v>
      </c>
      <c r="AG64" t="s">
        <v>3169</v>
      </c>
      <c r="AH64">
        <v>173</v>
      </c>
      <c r="AI64" t="s">
        <v>4040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3018</v>
      </c>
      <c r="C65" t="s">
        <v>4041</v>
      </c>
      <c r="D65" t="s">
        <v>4042</v>
      </c>
      <c r="E65" t="s">
        <v>100</v>
      </c>
      <c r="F65" t="s">
        <v>4043</v>
      </c>
      <c r="G65" t="s">
        <v>4044</v>
      </c>
      <c r="H65" t="s">
        <v>18</v>
      </c>
      <c r="I65" t="s">
        <v>2998</v>
      </c>
      <c r="J65" t="s">
        <v>3381</v>
      </c>
      <c r="K65" t="s">
        <v>3000</v>
      </c>
      <c r="L65" t="s">
        <v>3001</v>
      </c>
      <c r="M65" t="s">
        <v>4045</v>
      </c>
      <c r="N65" t="s">
        <v>4046</v>
      </c>
      <c r="O65" t="s">
        <v>4047</v>
      </c>
      <c r="P65" t="s">
        <v>4048</v>
      </c>
      <c r="Q65" t="s">
        <v>2996</v>
      </c>
      <c r="R65">
        <v>26871</v>
      </c>
      <c r="S65" t="s">
        <v>3007</v>
      </c>
      <c r="T65">
        <v>4929477174794870</v>
      </c>
      <c r="U65">
        <v>396</v>
      </c>
      <c r="V65">
        <v>42522</v>
      </c>
      <c r="W65" t="s">
        <v>4049</v>
      </c>
      <c r="X65" t="s">
        <v>4050</v>
      </c>
      <c r="Y65" t="s">
        <v>3219</v>
      </c>
      <c r="Z65" t="s">
        <v>4051</v>
      </c>
      <c r="AA65" t="s">
        <v>4052</v>
      </c>
      <c r="AB65" t="s">
        <v>4053</v>
      </c>
      <c r="AC65" t="s">
        <v>4054</v>
      </c>
      <c r="AD65" t="s">
        <v>3038</v>
      </c>
      <c r="AE65">
        <v>211.9</v>
      </c>
      <c r="AF65">
        <v>96.3</v>
      </c>
      <c r="AG65" t="s">
        <v>4055</v>
      </c>
      <c r="AH65">
        <v>163</v>
      </c>
      <c r="AI65" t="s">
        <v>4056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2992</v>
      </c>
      <c r="C66" t="s">
        <v>2993</v>
      </c>
      <c r="D66" t="s">
        <v>4057</v>
      </c>
      <c r="E66" t="s">
        <v>3154</v>
      </c>
      <c r="F66" t="s">
        <v>4058</v>
      </c>
      <c r="G66" t="s">
        <v>4059</v>
      </c>
      <c r="H66" t="s">
        <v>2</v>
      </c>
      <c r="I66" t="s">
        <v>2998</v>
      </c>
      <c r="J66" t="s">
        <v>3906</v>
      </c>
      <c r="K66" t="s">
        <v>3000</v>
      </c>
      <c r="L66" t="s">
        <v>3001</v>
      </c>
      <c r="M66" t="s">
        <v>4060</v>
      </c>
      <c r="N66" t="s">
        <v>4061</v>
      </c>
      <c r="O66" t="s">
        <v>4062</v>
      </c>
      <c r="P66" t="s">
        <v>4063</v>
      </c>
      <c r="Q66" t="s">
        <v>3216</v>
      </c>
      <c r="R66">
        <v>23681</v>
      </c>
      <c r="S66" t="s">
        <v>3030</v>
      </c>
      <c r="T66">
        <v>5374996813203890</v>
      </c>
      <c r="U66">
        <v>385</v>
      </c>
      <c r="V66">
        <v>43374</v>
      </c>
      <c r="W66" t="s">
        <v>4064</v>
      </c>
      <c r="X66" t="s">
        <v>4065</v>
      </c>
      <c r="Y66" t="s">
        <v>3010</v>
      </c>
      <c r="Z66" t="s">
        <v>4066</v>
      </c>
      <c r="AA66" t="s">
        <v>4067</v>
      </c>
      <c r="AB66" t="s">
        <v>4068</v>
      </c>
      <c r="AC66" t="s">
        <v>4069</v>
      </c>
      <c r="AD66" t="s">
        <v>3015</v>
      </c>
      <c r="AE66">
        <v>193.6</v>
      </c>
      <c r="AF66">
        <v>88</v>
      </c>
      <c r="AG66" t="s">
        <v>3205</v>
      </c>
      <c r="AH66">
        <v>169</v>
      </c>
      <c r="AI66" t="s">
        <v>4070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2992</v>
      </c>
      <c r="C67" t="s">
        <v>2993</v>
      </c>
      <c r="D67" t="s">
        <v>3171</v>
      </c>
      <c r="E67" t="s">
        <v>3362</v>
      </c>
      <c r="F67" t="s">
        <v>4071</v>
      </c>
      <c r="G67" t="s">
        <v>4072</v>
      </c>
      <c r="H67" t="s">
        <v>4073</v>
      </c>
      <c r="I67" t="s">
        <v>2998</v>
      </c>
      <c r="J67" t="s">
        <v>4074</v>
      </c>
      <c r="K67" t="s">
        <v>3000</v>
      </c>
      <c r="L67" t="s">
        <v>3001</v>
      </c>
      <c r="M67" t="s">
        <v>4075</v>
      </c>
      <c r="N67" t="s">
        <v>4076</v>
      </c>
      <c r="O67" t="s">
        <v>4077</v>
      </c>
      <c r="P67" t="s">
        <v>4078</v>
      </c>
      <c r="Q67" t="s">
        <v>4079</v>
      </c>
      <c r="R67">
        <v>23837</v>
      </c>
      <c r="S67" t="s">
        <v>3030</v>
      </c>
      <c r="T67">
        <v>5101024619669940</v>
      </c>
      <c r="U67">
        <v>434</v>
      </c>
      <c r="V67">
        <v>42095</v>
      </c>
      <c r="W67" t="s">
        <v>4080</v>
      </c>
      <c r="X67" t="s">
        <v>4081</v>
      </c>
      <c r="Y67" t="s">
        <v>3010</v>
      </c>
      <c r="Z67" t="s">
        <v>4082</v>
      </c>
      <c r="AA67" t="s">
        <v>4083</v>
      </c>
      <c r="AB67" t="s">
        <v>4084</v>
      </c>
      <c r="AC67" t="s">
        <v>4085</v>
      </c>
      <c r="AD67" t="s">
        <v>3038</v>
      </c>
      <c r="AE67">
        <v>214.3</v>
      </c>
      <c r="AF67">
        <v>97.4</v>
      </c>
      <c r="AG67" t="s">
        <v>3256</v>
      </c>
      <c r="AH67">
        <v>177</v>
      </c>
      <c r="AI67" t="s">
        <v>4086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2992</v>
      </c>
      <c r="C68" t="s">
        <v>2993</v>
      </c>
      <c r="D68" t="s">
        <v>4079</v>
      </c>
      <c r="E68" t="s">
        <v>2995</v>
      </c>
      <c r="F68" t="s">
        <v>4087</v>
      </c>
      <c r="G68" t="s">
        <v>4088</v>
      </c>
      <c r="H68" t="s">
        <v>4089</v>
      </c>
      <c r="I68" t="s">
        <v>2998</v>
      </c>
      <c r="J68" t="s">
        <v>4090</v>
      </c>
      <c r="K68" t="s">
        <v>3000</v>
      </c>
      <c r="L68" t="s">
        <v>3001</v>
      </c>
      <c r="M68" t="s">
        <v>4091</v>
      </c>
      <c r="N68" t="s">
        <v>4092</v>
      </c>
      <c r="O68" t="s">
        <v>4093</v>
      </c>
      <c r="P68" t="s">
        <v>4094</v>
      </c>
      <c r="Q68" t="s">
        <v>4095</v>
      </c>
      <c r="R68">
        <v>33750</v>
      </c>
      <c r="S68" t="s">
        <v>3007</v>
      </c>
      <c r="T68">
        <v>4556143766109160</v>
      </c>
      <c r="U68">
        <v>53</v>
      </c>
      <c r="V68">
        <v>42705</v>
      </c>
      <c r="W68" t="s">
        <v>4096</v>
      </c>
      <c r="X68" t="s">
        <v>4097</v>
      </c>
      <c r="Y68" t="s">
        <v>3321</v>
      </c>
      <c r="Z68" t="s">
        <v>4098</v>
      </c>
      <c r="AA68" t="s">
        <v>4099</v>
      </c>
      <c r="AB68" t="s">
        <v>4100</v>
      </c>
      <c r="AC68" t="s">
        <v>4101</v>
      </c>
      <c r="AD68" t="s">
        <v>3057</v>
      </c>
      <c r="AE68">
        <v>185.2</v>
      </c>
      <c r="AF68">
        <v>84.2</v>
      </c>
      <c r="AG68" t="s">
        <v>3169</v>
      </c>
      <c r="AH68">
        <v>172</v>
      </c>
      <c r="AI68" t="s">
        <v>4102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3018</v>
      </c>
      <c r="C69" t="s">
        <v>3019</v>
      </c>
      <c r="D69" t="s">
        <v>4103</v>
      </c>
      <c r="E69" t="s">
        <v>328</v>
      </c>
      <c r="F69" t="s">
        <v>4104</v>
      </c>
      <c r="G69" t="s">
        <v>4105</v>
      </c>
      <c r="H69" t="s">
        <v>19</v>
      </c>
      <c r="I69" t="s">
        <v>2998</v>
      </c>
      <c r="J69" t="s">
        <v>3968</v>
      </c>
      <c r="K69" t="s">
        <v>3000</v>
      </c>
      <c r="L69" t="s">
        <v>3001</v>
      </c>
      <c r="M69" t="s">
        <v>4106</v>
      </c>
      <c r="N69" t="s">
        <v>4107</v>
      </c>
      <c r="O69" t="s">
        <v>4108</v>
      </c>
      <c r="P69" t="s">
        <v>4109</v>
      </c>
      <c r="Q69" t="s">
        <v>3418</v>
      </c>
      <c r="R69">
        <v>15507</v>
      </c>
      <c r="S69" t="s">
        <v>3007</v>
      </c>
      <c r="T69">
        <v>4556477214286650</v>
      </c>
      <c r="U69">
        <v>959</v>
      </c>
      <c r="V69">
        <v>43678</v>
      </c>
      <c r="W69" t="s">
        <v>4110</v>
      </c>
      <c r="X69" t="s">
        <v>4111</v>
      </c>
      <c r="Y69" t="s">
        <v>3286</v>
      </c>
      <c r="Z69" t="s">
        <v>4112</v>
      </c>
      <c r="AA69" t="s">
        <v>4113</v>
      </c>
      <c r="AB69" t="s">
        <v>4114</v>
      </c>
      <c r="AC69" t="s">
        <v>4115</v>
      </c>
      <c r="AD69" t="s">
        <v>3151</v>
      </c>
      <c r="AE69">
        <v>182.8</v>
      </c>
      <c r="AF69">
        <v>83.1</v>
      </c>
      <c r="AG69" t="s">
        <v>3132</v>
      </c>
      <c r="AH69">
        <v>164</v>
      </c>
      <c r="AI69" t="s">
        <v>4116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3018</v>
      </c>
      <c r="C70" t="s">
        <v>3019</v>
      </c>
      <c r="D70" t="s">
        <v>4117</v>
      </c>
      <c r="E70" t="s">
        <v>3653</v>
      </c>
      <c r="F70" t="s">
        <v>3069</v>
      </c>
      <c r="G70" t="s">
        <v>4118</v>
      </c>
      <c r="H70" t="s">
        <v>2</v>
      </c>
      <c r="I70" t="s">
        <v>2998</v>
      </c>
      <c r="J70" t="s">
        <v>3365</v>
      </c>
      <c r="K70" t="s">
        <v>3000</v>
      </c>
      <c r="L70" t="s">
        <v>3001</v>
      </c>
      <c r="M70" t="s">
        <v>4119</v>
      </c>
      <c r="N70" t="s">
        <v>4120</v>
      </c>
      <c r="O70" t="s">
        <v>4121</v>
      </c>
      <c r="P70" t="s">
        <v>4122</v>
      </c>
      <c r="Q70" t="s">
        <v>3198</v>
      </c>
      <c r="R70">
        <v>18273</v>
      </c>
      <c r="S70" t="s">
        <v>3007</v>
      </c>
      <c r="T70">
        <v>4916039951166660</v>
      </c>
      <c r="U70">
        <v>836</v>
      </c>
      <c r="V70">
        <v>42767</v>
      </c>
      <c r="W70" t="s">
        <v>4123</v>
      </c>
      <c r="X70" t="s">
        <v>4124</v>
      </c>
      <c r="Y70" t="s">
        <v>3072</v>
      </c>
      <c r="Z70" t="s">
        <v>4125</v>
      </c>
      <c r="AA70" t="s">
        <v>4126</v>
      </c>
      <c r="AB70" t="s">
        <v>4127</v>
      </c>
      <c r="AC70" t="s">
        <v>4128</v>
      </c>
      <c r="AD70" t="s">
        <v>3151</v>
      </c>
      <c r="AE70">
        <v>208.1</v>
      </c>
      <c r="AF70">
        <v>94.6</v>
      </c>
      <c r="AG70" t="s">
        <v>3039</v>
      </c>
      <c r="AH70">
        <v>154</v>
      </c>
      <c r="AI70" t="s">
        <v>4129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2992</v>
      </c>
      <c r="C71" t="s">
        <v>2993</v>
      </c>
      <c r="D71" t="s">
        <v>4130</v>
      </c>
      <c r="E71" t="s">
        <v>2995</v>
      </c>
      <c r="F71" t="s">
        <v>3613</v>
      </c>
      <c r="G71" t="s">
        <v>4131</v>
      </c>
      <c r="H71" t="s">
        <v>4132</v>
      </c>
      <c r="I71" t="s">
        <v>2998</v>
      </c>
      <c r="J71" t="s">
        <v>4133</v>
      </c>
      <c r="K71" t="s">
        <v>3000</v>
      </c>
      <c r="L71" t="s">
        <v>3001</v>
      </c>
      <c r="M71" t="s">
        <v>4134</v>
      </c>
      <c r="N71" t="s">
        <v>4135</v>
      </c>
      <c r="O71" t="s">
        <v>4136</v>
      </c>
      <c r="P71" t="s">
        <v>4137</v>
      </c>
      <c r="Q71" t="s">
        <v>4138</v>
      </c>
      <c r="R71">
        <v>21393</v>
      </c>
      <c r="S71" t="s">
        <v>3007</v>
      </c>
      <c r="T71">
        <v>4485369147076750</v>
      </c>
      <c r="U71">
        <v>502</v>
      </c>
      <c r="V71">
        <v>42675</v>
      </c>
      <c r="W71" t="s">
        <v>4139</v>
      </c>
      <c r="X71" t="s">
        <v>4140</v>
      </c>
      <c r="Y71" t="s">
        <v>3010</v>
      </c>
      <c r="Z71" t="s">
        <v>4141</v>
      </c>
      <c r="AA71" t="s">
        <v>4142</v>
      </c>
      <c r="AB71" t="s">
        <v>4143</v>
      </c>
      <c r="AC71" t="s">
        <v>4144</v>
      </c>
      <c r="AD71" t="s">
        <v>3057</v>
      </c>
      <c r="AE71">
        <v>191.6</v>
      </c>
      <c r="AF71">
        <v>87.1</v>
      </c>
      <c r="AG71" t="s">
        <v>3132</v>
      </c>
      <c r="AH71">
        <v>166</v>
      </c>
      <c r="AI71" t="s">
        <v>4145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3018</v>
      </c>
      <c r="C72" t="s">
        <v>3060</v>
      </c>
      <c r="D72" t="s">
        <v>4146</v>
      </c>
      <c r="E72" t="s">
        <v>2995</v>
      </c>
      <c r="F72" t="s">
        <v>4147</v>
      </c>
      <c r="G72" t="s">
        <v>4148</v>
      </c>
      <c r="H72" t="s">
        <v>48</v>
      </c>
      <c r="I72" t="s">
        <v>2998</v>
      </c>
      <c r="J72" t="s">
        <v>3784</v>
      </c>
      <c r="K72" t="s">
        <v>3000</v>
      </c>
      <c r="L72" t="s">
        <v>3001</v>
      </c>
      <c r="M72" t="s">
        <v>4149</v>
      </c>
      <c r="N72" t="s">
        <v>4150</v>
      </c>
      <c r="O72" t="s">
        <v>4151</v>
      </c>
      <c r="P72" t="s">
        <v>4152</v>
      </c>
      <c r="Q72" t="s">
        <v>3395</v>
      </c>
      <c r="R72">
        <v>16312</v>
      </c>
      <c r="S72" t="s">
        <v>3007</v>
      </c>
      <c r="T72">
        <v>4716770652380410</v>
      </c>
      <c r="U72">
        <v>696</v>
      </c>
      <c r="V72">
        <v>42948</v>
      </c>
      <c r="W72" t="s">
        <v>4153</v>
      </c>
      <c r="X72" t="s">
        <v>4154</v>
      </c>
      <c r="Y72" t="s">
        <v>3010</v>
      </c>
      <c r="Z72" t="s">
        <v>4155</v>
      </c>
      <c r="AA72" t="s">
        <v>4156</v>
      </c>
      <c r="AB72" t="s">
        <v>4157</v>
      </c>
      <c r="AC72" t="s">
        <v>4158</v>
      </c>
      <c r="AD72" t="s">
        <v>3151</v>
      </c>
      <c r="AE72">
        <v>197.3</v>
      </c>
      <c r="AF72">
        <v>89.7</v>
      </c>
      <c r="AG72" t="s">
        <v>3132</v>
      </c>
      <c r="AH72">
        <v>165</v>
      </c>
      <c r="AI72" t="s">
        <v>4159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2992</v>
      </c>
      <c r="C73" t="s">
        <v>2993</v>
      </c>
      <c r="D73" t="s">
        <v>4160</v>
      </c>
      <c r="E73" t="s">
        <v>3154</v>
      </c>
      <c r="F73" t="s">
        <v>4161</v>
      </c>
      <c r="G73" t="s">
        <v>4162</v>
      </c>
      <c r="H73" t="s">
        <v>3261</v>
      </c>
      <c r="I73" t="s">
        <v>2998</v>
      </c>
      <c r="J73" t="s">
        <v>4163</v>
      </c>
      <c r="K73" t="s">
        <v>3000</v>
      </c>
      <c r="L73" t="s">
        <v>3001</v>
      </c>
      <c r="M73" t="s">
        <v>4164</v>
      </c>
      <c r="N73" t="s">
        <v>4165</v>
      </c>
      <c r="O73" t="s">
        <v>4166</v>
      </c>
      <c r="P73" t="s">
        <v>4167</v>
      </c>
      <c r="Q73" t="s">
        <v>3412</v>
      </c>
      <c r="R73">
        <v>20126</v>
      </c>
      <c r="S73" t="s">
        <v>3007</v>
      </c>
      <c r="T73">
        <v>4916357454632210</v>
      </c>
      <c r="U73">
        <v>88</v>
      </c>
      <c r="V73">
        <v>43466</v>
      </c>
      <c r="W73" t="s">
        <v>4168</v>
      </c>
      <c r="X73" t="s">
        <v>4169</v>
      </c>
      <c r="Y73" t="s">
        <v>3219</v>
      </c>
      <c r="Z73" t="s">
        <v>4170</v>
      </c>
      <c r="AA73" t="s">
        <v>4171</v>
      </c>
      <c r="AB73" t="s">
        <v>4172</v>
      </c>
      <c r="AC73" t="s">
        <v>4173</v>
      </c>
      <c r="AD73" t="s">
        <v>3095</v>
      </c>
      <c r="AE73">
        <v>155.5</v>
      </c>
      <c r="AF73">
        <v>70.7</v>
      </c>
      <c r="AG73" t="s">
        <v>3096</v>
      </c>
      <c r="AH73">
        <v>168</v>
      </c>
      <c r="AI73" t="s">
        <v>4174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2992</v>
      </c>
      <c r="C74" t="s">
        <v>2993</v>
      </c>
      <c r="D74" t="s">
        <v>4175</v>
      </c>
      <c r="E74" t="s">
        <v>327</v>
      </c>
      <c r="F74" t="s">
        <v>4176</v>
      </c>
      <c r="G74" t="s">
        <v>4177</v>
      </c>
      <c r="H74" t="s">
        <v>3243</v>
      </c>
      <c r="I74" t="s">
        <v>2998</v>
      </c>
      <c r="J74" t="s">
        <v>3799</v>
      </c>
      <c r="K74" t="s">
        <v>3000</v>
      </c>
      <c r="L74" t="s">
        <v>3001</v>
      </c>
      <c r="M74" t="s">
        <v>4178</v>
      </c>
      <c r="N74" t="s">
        <v>4179</v>
      </c>
      <c r="O74" t="s">
        <v>4180</v>
      </c>
      <c r="P74" t="s">
        <v>4181</v>
      </c>
      <c r="Q74" t="s">
        <v>3190</v>
      </c>
      <c r="R74">
        <v>34021</v>
      </c>
      <c r="S74" t="s">
        <v>3007</v>
      </c>
      <c r="T74">
        <v>4532344655196310</v>
      </c>
      <c r="U74">
        <v>929</v>
      </c>
      <c r="V74">
        <v>42767</v>
      </c>
      <c r="W74" t="s">
        <v>4182</v>
      </c>
      <c r="X74" t="s">
        <v>4183</v>
      </c>
      <c r="Y74" t="s">
        <v>3010</v>
      </c>
      <c r="Z74" t="s">
        <v>4184</v>
      </c>
      <c r="AA74" t="s">
        <v>3617</v>
      </c>
      <c r="AB74" t="s">
        <v>4185</v>
      </c>
      <c r="AC74" t="s">
        <v>4186</v>
      </c>
      <c r="AD74" t="s">
        <v>3151</v>
      </c>
      <c r="AE74">
        <v>127.8</v>
      </c>
      <c r="AF74">
        <v>58.1</v>
      </c>
      <c r="AG74" t="s">
        <v>3205</v>
      </c>
      <c r="AH74">
        <v>171</v>
      </c>
      <c r="AI74" t="s">
        <v>4187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3018</v>
      </c>
      <c r="C75" t="s">
        <v>3060</v>
      </c>
      <c r="D75" t="s">
        <v>3652</v>
      </c>
      <c r="E75" t="s">
        <v>2995</v>
      </c>
      <c r="F75" t="s">
        <v>4188</v>
      </c>
      <c r="G75" t="s">
        <v>4189</v>
      </c>
      <c r="H75" t="s">
        <v>3102</v>
      </c>
      <c r="I75" t="s">
        <v>2998</v>
      </c>
      <c r="J75" t="s">
        <v>3103</v>
      </c>
      <c r="K75" t="s">
        <v>3000</v>
      </c>
      <c r="L75" t="s">
        <v>3001</v>
      </c>
      <c r="M75" t="s">
        <v>4190</v>
      </c>
      <c r="N75" t="s">
        <v>4191</v>
      </c>
      <c r="O75" t="s">
        <v>4192</v>
      </c>
      <c r="P75" t="s">
        <v>4193</v>
      </c>
      <c r="Q75" t="s">
        <v>4194</v>
      </c>
      <c r="R75">
        <v>20182</v>
      </c>
      <c r="S75" t="s">
        <v>3030</v>
      </c>
      <c r="T75">
        <v>5153038736034600</v>
      </c>
      <c r="U75">
        <v>13</v>
      </c>
      <c r="V75">
        <v>42491</v>
      </c>
      <c r="W75" t="s">
        <v>4195</v>
      </c>
      <c r="X75" t="s">
        <v>4196</v>
      </c>
      <c r="Y75" t="s">
        <v>3010</v>
      </c>
      <c r="Z75" t="s">
        <v>4197</v>
      </c>
      <c r="AA75" t="s">
        <v>4198</v>
      </c>
      <c r="AB75" t="s">
        <v>4199</v>
      </c>
      <c r="AC75" t="s">
        <v>4200</v>
      </c>
      <c r="AD75" t="s">
        <v>3095</v>
      </c>
      <c r="AE75">
        <v>194.5</v>
      </c>
      <c r="AF75">
        <v>88.4</v>
      </c>
      <c r="AG75" t="s">
        <v>3077</v>
      </c>
      <c r="AH75">
        <v>158</v>
      </c>
      <c r="AI75" t="s">
        <v>4201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3018</v>
      </c>
      <c r="C76" t="s">
        <v>3060</v>
      </c>
      <c r="D76" t="s">
        <v>3292</v>
      </c>
      <c r="E76" t="s">
        <v>324</v>
      </c>
      <c r="F76" t="s">
        <v>4202</v>
      </c>
      <c r="G76" t="s">
        <v>4203</v>
      </c>
      <c r="H76" t="s">
        <v>2</v>
      </c>
      <c r="I76" t="s">
        <v>2998</v>
      </c>
      <c r="J76" t="s">
        <v>3365</v>
      </c>
      <c r="K76" t="s">
        <v>3000</v>
      </c>
      <c r="L76" t="s">
        <v>3001</v>
      </c>
      <c r="M76" t="s">
        <v>4204</v>
      </c>
      <c r="N76" t="s">
        <v>4205</v>
      </c>
      <c r="O76" t="s">
        <v>4206</v>
      </c>
      <c r="P76" t="s">
        <v>4207</v>
      </c>
      <c r="Q76" t="s">
        <v>4025</v>
      </c>
      <c r="R76">
        <v>21180</v>
      </c>
      <c r="S76" t="s">
        <v>3030</v>
      </c>
      <c r="T76">
        <v>5499105457219760</v>
      </c>
      <c r="U76">
        <v>736</v>
      </c>
      <c r="V76">
        <v>42552</v>
      </c>
      <c r="W76" t="s">
        <v>4208</v>
      </c>
      <c r="X76" t="s">
        <v>4209</v>
      </c>
      <c r="Y76" t="s">
        <v>3010</v>
      </c>
      <c r="Z76" t="s">
        <v>4210</v>
      </c>
      <c r="AA76" t="s">
        <v>4211</v>
      </c>
      <c r="AB76" t="s">
        <v>4212</v>
      </c>
      <c r="AC76" t="s">
        <v>4213</v>
      </c>
      <c r="AD76" t="s">
        <v>3057</v>
      </c>
      <c r="AE76">
        <v>207</v>
      </c>
      <c r="AF76">
        <v>94.1</v>
      </c>
      <c r="AG76" t="s">
        <v>4214</v>
      </c>
      <c r="AH76">
        <v>152</v>
      </c>
      <c r="AI76" t="s">
        <v>4215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3018</v>
      </c>
      <c r="C77" t="s">
        <v>3019</v>
      </c>
      <c r="D77" t="s">
        <v>4216</v>
      </c>
      <c r="E77" t="s">
        <v>3362</v>
      </c>
      <c r="F77" t="s">
        <v>2996</v>
      </c>
      <c r="G77" t="s">
        <v>4217</v>
      </c>
      <c r="H77" t="s">
        <v>3243</v>
      </c>
      <c r="I77" t="s">
        <v>2998</v>
      </c>
      <c r="J77" t="s">
        <v>3244</v>
      </c>
      <c r="K77" t="s">
        <v>3000</v>
      </c>
      <c r="L77" t="s">
        <v>3001</v>
      </c>
      <c r="M77" t="s">
        <v>4218</v>
      </c>
      <c r="N77" t="s">
        <v>4219</v>
      </c>
      <c r="O77" t="s">
        <v>4220</v>
      </c>
      <c r="P77" t="s">
        <v>4221</v>
      </c>
      <c r="Q77" t="s">
        <v>4222</v>
      </c>
      <c r="R77">
        <v>14771</v>
      </c>
      <c r="S77" t="s">
        <v>3030</v>
      </c>
      <c r="T77">
        <v>5116727733431700</v>
      </c>
      <c r="U77">
        <v>793</v>
      </c>
      <c r="V77">
        <v>42856</v>
      </c>
      <c r="W77" t="s">
        <v>4223</v>
      </c>
      <c r="X77" t="s">
        <v>4224</v>
      </c>
      <c r="Y77" t="s">
        <v>3010</v>
      </c>
      <c r="Z77" t="s">
        <v>4225</v>
      </c>
      <c r="AA77" t="s">
        <v>4226</v>
      </c>
      <c r="AB77" t="s">
        <v>4227</v>
      </c>
      <c r="AC77" t="s">
        <v>4228</v>
      </c>
      <c r="AD77" t="s">
        <v>3095</v>
      </c>
      <c r="AE77">
        <v>202</v>
      </c>
      <c r="AF77">
        <v>91.8</v>
      </c>
      <c r="AG77" t="s">
        <v>3205</v>
      </c>
      <c r="AH77">
        <v>171</v>
      </c>
      <c r="AI77" t="s">
        <v>4229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2992</v>
      </c>
      <c r="C78" t="s">
        <v>2993</v>
      </c>
      <c r="D78" t="s">
        <v>4230</v>
      </c>
      <c r="E78" t="s">
        <v>3154</v>
      </c>
      <c r="F78" t="s">
        <v>4231</v>
      </c>
      <c r="G78" t="s">
        <v>4232</v>
      </c>
      <c r="H78" t="s">
        <v>4233</v>
      </c>
      <c r="I78" t="s">
        <v>2998</v>
      </c>
      <c r="J78" t="s">
        <v>4234</v>
      </c>
      <c r="K78" t="s">
        <v>3000</v>
      </c>
      <c r="L78" t="s">
        <v>3001</v>
      </c>
      <c r="M78" t="s">
        <v>4235</v>
      </c>
      <c r="N78" t="s">
        <v>4236</v>
      </c>
      <c r="O78" t="s">
        <v>4237</v>
      </c>
      <c r="P78" t="s">
        <v>4238</v>
      </c>
      <c r="Q78" t="s">
        <v>4239</v>
      </c>
      <c r="R78">
        <v>28879</v>
      </c>
      <c r="S78" t="s">
        <v>3030</v>
      </c>
      <c r="T78">
        <v>5274026349370290</v>
      </c>
      <c r="U78">
        <v>321</v>
      </c>
      <c r="V78">
        <v>42156</v>
      </c>
      <c r="W78" t="s">
        <v>4240</v>
      </c>
      <c r="X78" t="s">
        <v>4241</v>
      </c>
      <c r="Y78" t="s">
        <v>3033</v>
      </c>
      <c r="Z78" t="s">
        <v>4242</v>
      </c>
      <c r="AA78" t="s">
        <v>4243</v>
      </c>
      <c r="AB78" t="s">
        <v>4244</v>
      </c>
      <c r="AC78" t="s">
        <v>4245</v>
      </c>
      <c r="AD78" t="s">
        <v>3095</v>
      </c>
      <c r="AE78">
        <v>202.2</v>
      </c>
      <c r="AF78">
        <v>91.9</v>
      </c>
      <c r="AG78" t="s">
        <v>3058</v>
      </c>
      <c r="AH78">
        <v>175</v>
      </c>
      <c r="AI78" t="s">
        <v>4246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2992</v>
      </c>
      <c r="C79" t="s">
        <v>2993</v>
      </c>
      <c r="D79" t="s">
        <v>4057</v>
      </c>
      <c r="E79" t="s">
        <v>4247</v>
      </c>
      <c r="F79" t="s">
        <v>3318</v>
      </c>
      <c r="G79" t="s">
        <v>4248</v>
      </c>
      <c r="H79" t="s">
        <v>4249</v>
      </c>
      <c r="I79" t="s">
        <v>2998</v>
      </c>
      <c r="J79" t="s">
        <v>4250</v>
      </c>
      <c r="K79" t="s">
        <v>3000</v>
      </c>
      <c r="L79" t="s">
        <v>3001</v>
      </c>
      <c r="M79" t="s">
        <v>4251</v>
      </c>
      <c r="N79" t="s">
        <v>4252</v>
      </c>
      <c r="O79" t="s">
        <v>4253</v>
      </c>
      <c r="P79" t="s">
        <v>4254</v>
      </c>
      <c r="Q79" t="s">
        <v>4255</v>
      </c>
      <c r="R79">
        <v>16254</v>
      </c>
      <c r="S79" t="s">
        <v>3007</v>
      </c>
      <c r="T79">
        <v>4929407916922110</v>
      </c>
      <c r="U79">
        <v>662</v>
      </c>
      <c r="V79">
        <v>42095</v>
      </c>
      <c r="W79" t="s">
        <v>4256</v>
      </c>
      <c r="X79" t="s">
        <v>4257</v>
      </c>
      <c r="Y79" t="s">
        <v>3010</v>
      </c>
      <c r="Z79" t="s">
        <v>4258</v>
      </c>
      <c r="AA79" t="s">
        <v>4259</v>
      </c>
      <c r="AB79" t="s">
        <v>4260</v>
      </c>
      <c r="AC79" t="s">
        <v>4261</v>
      </c>
      <c r="AD79" t="s">
        <v>3095</v>
      </c>
      <c r="AE79">
        <v>165.9</v>
      </c>
      <c r="AF79">
        <v>75.400000000000006</v>
      </c>
      <c r="AG79" t="s">
        <v>3058</v>
      </c>
      <c r="AH79">
        <v>174</v>
      </c>
      <c r="AI79" t="s">
        <v>4262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3018</v>
      </c>
      <c r="C80" t="s">
        <v>3060</v>
      </c>
      <c r="D80" t="s">
        <v>3327</v>
      </c>
      <c r="E80" t="s">
        <v>2995</v>
      </c>
      <c r="F80" t="s">
        <v>4263</v>
      </c>
      <c r="G80" t="s">
        <v>4264</v>
      </c>
      <c r="H80" t="s">
        <v>2</v>
      </c>
      <c r="I80" t="s">
        <v>2998</v>
      </c>
      <c r="J80" t="s">
        <v>3906</v>
      </c>
      <c r="K80" t="s">
        <v>3000</v>
      </c>
      <c r="L80" t="s">
        <v>3001</v>
      </c>
      <c r="M80" t="s">
        <v>4265</v>
      </c>
      <c r="N80" t="s">
        <v>4266</v>
      </c>
      <c r="O80" t="s">
        <v>4267</v>
      </c>
      <c r="P80" t="s">
        <v>4268</v>
      </c>
      <c r="Q80" t="s">
        <v>4269</v>
      </c>
      <c r="R80">
        <v>16674</v>
      </c>
      <c r="S80" t="s">
        <v>3007</v>
      </c>
      <c r="T80">
        <v>4532076369361500</v>
      </c>
      <c r="U80">
        <v>132</v>
      </c>
      <c r="V80">
        <v>42036</v>
      </c>
      <c r="W80" t="s">
        <v>4270</v>
      </c>
      <c r="X80" t="s">
        <v>4271</v>
      </c>
      <c r="Y80" t="s">
        <v>3219</v>
      </c>
      <c r="Z80" t="s">
        <v>4272</v>
      </c>
      <c r="AA80" t="s">
        <v>4273</v>
      </c>
      <c r="AB80" t="s">
        <v>4274</v>
      </c>
      <c r="AC80" t="s">
        <v>4275</v>
      </c>
      <c r="AD80" t="s">
        <v>3095</v>
      </c>
      <c r="AE80">
        <v>219.3</v>
      </c>
      <c r="AF80">
        <v>99.7</v>
      </c>
      <c r="AG80" t="s">
        <v>3205</v>
      </c>
      <c r="AH80">
        <v>169</v>
      </c>
      <c r="AI80" t="s">
        <v>4276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2992</v>
      </c>
      <c r="C81" t="s">
        <v>2993</v>
      </c>
      <c r="D81" t="s">
        <v>4277</v>
      </c>
      <c r="E81" t="s">
        <v>322</v>
      </c>
      <c r="F81" t="s">
        <v>4278</v>
      </c>
      <c r="G81" t="s">
        <v>4279</v>
      </c>
      <c r="H81" t="s">
        <v>4280</v>
      </c>
      <c r="I81" t="s">
        <v>2998</v>
      </c>
      <c r="J81" t="s">
        <v>4281</v>
      </c>
      <c r="K81" t="s">
        <v>3000</v>
      </c>
      <c r="L81" t="s">
        <v>3001</v>
      </c>
      <c r="M81" t="s">
        <v>4282</v>
      </c>
      <c r="N81" t="s">
        <v>4283</v>
      </c>
      <c r="O81" t="s">
        <v>4284</v>
      </c>
      <c r="P81" t="s">
        <v>4285</v>
      </c>
      <c r="Q81" t="s">
        <v>4286</v>
      </c>
      <c r="R81">
        <v>15559</v>
      </c>
      <c r="S81" t="s">
        <v>3007</v>
      </c>
      <c r="T81">
        <v>4485792470214100</v>
      </c>
      <c r="U81">
        <v>931</v>
      </c>
      <c r="V81">
        <v>42767</v>
      </c>
      <c r="W81" t="s">
        <v>4287</v>
      </c>
      <c r="X81" t="s">
        <v>4288</v>
      </c>
      <c r="Y81" t="s">
        <v>3321</v>
      </c>
      <c r="Z81" t="s">
        <v>4289</v>
      </c>
      <c r="AA81" t="s">
        <v>4290</v>
      </c>
      <c r="AB81" t="s">
        <v>4291</v>
      </c>
      <c r="AC81" t="s">
        <v>4292</v>
      </c>
      <c r="AD81" t="s">
        <v>3095</v>
      </c>
      <c r="AE81">
        <v>141.9</v>
      </c>
      <c r="AF81">
        <v>64.5</v>
      </c>
      <c r="AG81" t="s">
        <v>3187</v>
      </c>
      <c r="AH81">
        <v>182</v>
      </c>
      <c r="AI81" t="s">
        <v>4293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2992</v>
      </c>
      <c r="C82" t="s">
        <v>2993</v>
      </c>
      <c r="D82" t="s">
        <v>4294</v>
      </c>
      <c r="E82" t="s">
        <v>2995</v>
      </c>
      <c r="F82" t="s">
        <v>4295</v>
      </c>
      <c r="G82" t="s">
        <v>4296</v>
      </c>
      <c r="H82" t="s">
        <v>4297</v>
      </c>
      <c r="I82" t="s">
        <v>2998</v>
      </c>
      <c r="J82" t="s">
        <v>4298</v>
      </c>
      <c r="K82" t="s">
        <v>3000</v>
      </c>
      <c r="L82" t="s">
        <v>3001</v>
      </c>
      <c r="M82" t="s">
        <v>4299</v>
      </c>
      <c r="N82" t="s">
        <v>4300</v>
      </c>
      <c r="O82" t="s">
        <v>4301</v>
      </c>
      <c r="P82" t="s">
        <v>4302</v>
      </c>
      <c r="Q82" t="s">
        <v>4303</v>
      </c>
      <c r="R82">
        <v>27696</v>
      </c>
      <c r="S82" t="s">
        <v>3007</v>
      </c>
      <c r="T82">
        <v>4485298847377740</v>
      </c>
      <c r="U82">
        <v>702</v>
      </c>
      <c r="V82">
        <v>42736</v>
      </c>
      <c r="W82" t="s">
        <v>4304</v>
      </c>
      <c r="X82" t="s">
        <v>4305</v>
      </c>
      <c r="Y82" t="s">
        <v>3321</v>
      </c>
      <c r="Z82" t="s">
        <v>4306</v>
      </c>
      <c r="AA82" t="s">
        <v>4307</v>
      </c>
      <c r="AB82" t="s">
        <v>4308</v>
      </c>
      <c r="AC82" t="s">
        <v>4309</v>
      </c>
      <c r="AD82" t="s">
        <v>3095</v>
      </c>
      <c r="AE82">
        <v>247.5</v>
      </c>
      <c r="AF82">
        <v>112.5</v>
      </c>
      <c r="AG82" t="s">
        <v>3472</v>
      </c>
      <c r="AH82">
        <v>189</v>
      </c>
      <c r="AI82" t="s">
        <v>4310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3018</v>
      </c>
      <c r="C83" t="s">
        <v>3019</v>
      </c>
      <c r="D83" t="s">
        <v>4311</v>
      </c>
      <c r="E83" t="s">
        <v>4247</v>
      </c>
      <c r="F83" t="s">
        <v>4312</v>
      </c>
      <c r="G83" t="s">
        <v>4313</v>
      </c>
      <c r="H83" t="s">
        <v>4314</v>
      </c>
      <c r="I83" t="s">
        <v>2998</v>
      </c>
      <c r="J83" t="s">
        <v>4315</v>
      </c>
      <c r="K83" t="s">
        <v>3000</v>
      </c>
      <c r="L83" t="s">
        <v>3001</v>
      </c>
      <c r="M83" t="s">
        <v>4316</v>
      </c>
      <c r="N83" t="s">
        <v>4317</v>
      </c>
      <c r="O83" t="s">
        <v>4318</v>
      </c>
      <c r="P83" t="s">
        <v>4319</v>
      </c>
      <c r="Q83" t="s">
        <v>4320</v>
      </c>
      <c r="R83">
        <v>19439</v>
      </c>
      <c r="S83" t="s">
        <v>3007</v>
      </c>
      <c r="T83">
        <v>4485134624786160</v>
      </c>
      <c r="U83">
        <v>46</v>
      </c>
      <c r="V83">
        <v>43344</v>
      </c>
      <c r="W83" t="s">
        <v>4321</v>
      </c>
      <c r="X83" t="s">
        <v>4322</v>
      </c>
      <c r="Y83" t="s">
        <v>3164</v>
      </c>
      <c r="Z83" t="s">
        <v>4323</v>
      </c>
      <c r="AA83" t="s">
        <v>4324</v>
      </c>
      <c r="AB83" t="s">
        <v>4325</v>
      </c>
      <c r="AC83" t="s">
        <v>4326</v>
      </c>
      <c r="AD83" t="s">
        <v>3095</v>
      </c>
      <c r="AE83">
        <v>161.5</v>
      </c>
      <c r="AF83">
        <v>73.400000000000006</v>
      </c>
      <c r="AG83" t="s">
        <v>4214</v>
      </c>
      <c r="AH83">
        <v>153</v>
      </c>
      <c r="AI83" t="s">
        <v>4327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2992</v>
      </c>
      <c r="C84" t="s">
        <v>2993</v>
      </c>
      <c r="D84" t="s">
        <v>3443</v>
      </c>
      <c r="E84" t="s">
        <v>3362</v>
      </c>
      <c r="F84" t="s">
        <v>4328</v>
      </c>
      <c r="G84" t="s">
        <v>4329</v>
      </c>
      <c r="H84" t="s">
        <v>4330</v>
      </c>
      <c r="I84" t="s">
        <v>2998</v>
      </c>
      <c r="J84" t="s">
        <v>4331</v>
      </c>
      <c r="K84" t="s">
        <v>3000</v>
      </c>
      <c r="L84" t="s">
        <v>3001</v>
      </c>
      <c r="M84" t="s">
        <v>4332</v>
      </c>
      <c r="N84" t="s">
        <v>4333</v>
      </c>
      <c r="O84" t="s">
        <v>4334</v>
      </c>
      <c r="P84" t="s">
        <v>4335</v>
      </c>
      <c r="Q84" t="s">
        <v>4336</v>
      </c>
      <c r="R84">
        <v>21583</v>
      </c>
      <c r="S84" t="s">
        <v>3007</v>
      </c>
      <c r="T84">
        <v>4929588594216720</v>
      </c>
      <c r="U84">
        <v>233</v>
      </c>
      <c r="V84">
        <v>43525</v>
      </c>
      <c r="W84" t="s">
        <v>4337</v>
      </c>
      <c r="X84" t="s">
        <v>4338</v>
      </c>
      <c r="Y84" t="s">
        <v>3010</v>
      </c>
      <c r="Z84" t="s">
        <v>4339</v>
      </c>
      <c r="AA84" t="s">
        <v>4340</v>
      </c>
      <c r="AB84" t="s">
        <v>4341</v>
      </c>
      <c r="AC84" t="s">
        <v>4342</v>
      </c>
      <c r="AD84" t="s">
        <v>3151</v>
      </c>
      <c r="AE84">
        <v>235.4</v>
      </c>
      <c r="AF84">
        <v>107</v>
      </c>
      <c r="AG84" t="s">
        <v>3441</v>
      </c>
      <c r="AH84">
        <v>181</v>
      </c>
      <c r="AI84" t="s">
        <v>4343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3018</v>
      </c>
      <c r="C85" t="s">
        <v>3019</v>
      </c>
      <c r="D85" t="s">
        <v>4344</v>
      </c>
      <c r="E85" t="s">
        <v>2995</v>
      </c>
      <c r="F85" t="s">
        <v>4345</v>
      </c>
      <c r="G85" t="s">
        <v>4346</v>
      </c>
      <c r="H85" t="s">
        <v>4089</v>
      </c>
      <c r="I85" t="s">
        <v>2998</v>
      </c>
      <c r="J85" t="s">
        <v>4090</v>
      </c>
      <c r="K85" t="s">
        <v>3000</v>
      </c>
      <c r="L85" t="s">
        <v>3001</v>
      </c>
      <c r="M85" t="s">
        <v>4347</v>
      </c>
      <c r="N85" t="s">
        <v>4348</v>
      </c>
      <c r="O85" t="s">
        <v>4349</v>
      </c>
      <c r="P85" t="s">
        <v>4350</v>
      </c>
      <c r="Q85" t="s">
        <v>4351</v>
      </c>
      <c r="R85">
        <v>27263</v>
      </c>
      <c r="S85" t="s">
        <v>3030</v>
      </c>
      <c r="T85">
        <v>5363306913729700</v>
      </c>
      <c r="U85">
        <v>837</v>
      </c>
      <c r="V85">
        <v>42461</v>
      </c>
      <c r="W85" t="s">
        <v>4352</v>
      </c>
      <c r="X85" t="s">
        <v>4353</v>
      </c>
      <c r="Y85" t="s">
        <v>3164</v>
      </c>
      <c r="Z85" t="s">
        <v>4354</v>
      </c>
      <c r="AA85" t="s">
        <v>4355</v>
      </c>
      <c r="AB85" t="s">
        <v>4356</v>
      </c>
      <c r="AC85" t="s">
        <v>4357</v>
      </c>
      <c r="AD85" t="s">
        <v>3095</v>
      </c>
      <c r="AE85">
        <v>218.9</v>
      </c>
      <c r="AF85">
        <v>99.5</v>
      </c>
      <c r="AG85" t="s">
        <v>4055</v>
      </c>
      <c r="AH85">
        <v>163</v>
      </c>
      <c r="AI85" t="s">
        <v>4358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2992</v>
      </c>
      <c r="C86" t="s">
        <v>2993</v>
      </c>
      <c r="D86" t="s">
        <v>3677</v>
      </c>
      <c r="E86" t="s">
        <v>3475</v>
      </c>
      <c r="F86" t="s">
        <v>4359</v>
      </c>
      <c r="G86" t="s">
        <v>4360</v>
      </c>
      <c r="H86" t="s">
        <v>3397</v>
      </c>
      <c r="I86" t="s">
        <v>2998</v>
      </c>
      <c r="J86" t="s">
        <v>4361</v>
      </c>
      <c r="K86" t="s">
        <v>3000</v>
      </c>
      <c r="L86" t="s">
        <v>3001</v>
      </c>
      <c r="M86" t="s">
        <v>4362</v>
      </c>
      <c r="N86" t="s">
        <v>4363</v>
      </c>
      <c r="O86" t="s">
        <v>4364</v>
      </c>
      <c r="P86" t="s">
        <v>4365</v>
      </c>
      <c r="Q86" t="s">
        <v>4057</v>
      </c>
      <c r="R86">
        <v>18000</v>
      </c>
      <c r="S86" t="s">
        <v>3030</v>
      </c>
      <c r="T86">
        <v>5592618023783610</v>
      </c>
      <c r="U86">
        <v>968</v>
      </c>
      <c r="V86">
        <v>42979</v>
      </c>
      <c r="W86" t="s">
        <v>4366</v>
      </c>
      <c r="X86" t="s">
        <v>4367</v>
      </c>
      <c r="Y86" t="s">
        <v>3010</v>
      </c>
      <c r="Z86" t="s">
        <v>4368</v>
      </c>
      <c r="AA86" t="s">
        <v>4369</v>
      </c>
      <c r="AB86" t="s">
        <v>4370</v>
      </c>
      <c r="AC86" t="s">
        <v>4371</v>
      </c>
      <c r="AD86" t="s">
        <v>3015</v>
      </c>
      <c r="AE86">
        <v>238.7</v>
      </c>
      <c r="AF86">
        <v>108.5</v>
      </c>
      <c r="AG86" t="s">
        <v>3016</v>
      </c>
      <c r="AH86">
        <v>186</v>
      </c>
      <c r="AI86" t="s">
        <v>4372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3018</v>
      </c>
      <c r="C87" t="s">
        <v>3019</v>
      </c>
      <c r="D87" t="s">
        <v>4373</v>
      </c>
      <c r="E87" t="s">
        <v>3099</v>
      </c>
      <c r="F87" t="s">
        <v>4374</v>
      </c>
      <c r="G87" t="s">
        <v>4375</v>
      </c>
      <c r="H87" t="s">
        <v>3174</v>
      </c>
      <c r="I87" t="s">
        <v>2998</v>
      </c>
      <c r="J87" t="s">
        <v>3175</v>
      </c>
      <c r="K87" t="s">
        <v>3000</v>
      </c>
      <c r="L87" t="s">
        <v>3001</v>
      </c>
      <c r="M87" t="s">
        <v>4376</v>
      </c>
      <c r="N87" t="s">
        <v>4377</v>
      </c>
      <c r="O87" t="s">
        <v>4378</v>
      </c>
      <c r="P87" t="s">
        <v>4379</v>
      </c>
      <c r="Q87" t="s">
        <v>4295</v>
      </c>
      <c r="R87">
        <v>19161</v>
      </c>
      <c r="S87" t="s">
        <v>3007</v>
      </c>
      <c r="T87">
        <v>4485646572594640</v>
      </c>
      <c r="U87">
        <v>681</v>
      </c>
      <c r="V87">
        <v>43770</v>
      </c>
      <c r="W87" t="s">
        <v>4380</v>
      </c>
      <c r="X87" t="s">
        <v>4381</v>
      </c>
      <c r="Y87" t="s">
        <v>3072</v>
      </c>
      <c r="Z87" t="s">
        <v>4382</v>
      </c>
      <c r="AA87" t="s">
        <v>4383</v>
      </c>
      <c r="AB87" t="s">
        <v>4384</v>
      </c>
      <c r="AC87" t="s">
        <v>4385</v>
      </c>
      <c r="AD87" t="s">
        <v>3151</v>
      </c>
      <c r="AE87">
        <v>149.80000000000001</v>
      </c>
      <c r="AF87">
        <v>68.099999999999994</v>
      </c>
      <c r="AG87" t="s">
        <v>3132</v>
      </c>
      <c r="AH87">
        <v>164</v>
      </c>
      <c r="AI87" t="s">
        <v>4386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3018</v>
      </c>
      <c r="C88" t="s">
        <v>3019</v>
      </c>
      <c r="D88" t="s">
        <v>4387</v>
      </c>
      <c r="E88" t="s">
        <v>327</v>
      </c>
      <c r="F88" t="s">
        <v>4388</v>
      </c>
      <c r="G88" t="s">
        <v>4389</v>
      </c>
      <c r="H88" t="s">
        <v>3295</v>
      </c>
      <c r="I88" t="s">
        <v>2998</v>
      </c>
      <c r="J88" t="s">
        <v>4390</v>
      </c>
      <c r="K88" t="s">
        <v>3000</v>
      </c>
      <c r="L88" t="s">
        <v>3001</v>
      </c>
      <c r="M88" t="s">
        <v>4391</v>
      </c>
      <c r="N88" t="s">
        <v>4392</v>
      </c>
      <c r="O88" t="s">
        <v>4393</v>
      </c>
      <c r="P88" t="s">
        <v>4394</v>
      </c>
      <c r="Q88" t="s">
        <v>4395</v>
      </c>
      <c r="R88">
        <v>23301</v>
      </c>
      <c r="S88" t="s">
        <v>3007</v>
      </c>
      <c r="T88">
        <v>4539632637054550</v>
      </c>
      <c r="U88">
        <v>440</v>
      </c>
      <c r="V88">
        <v>42979</v>
      </c>
      <c r="W88" t="s">
        <v>4396</v>
      </c>
      <c r="X88" t="s">
        <v>4397</v>
      </c>
      <c r="Y88" t="s">
        <v>3219</v>
      </c>
      <c r="Z88" t="s">
        <v>4398</v>
      </c>
      <c r="AA88" t="s">
        <v>4399</v>
      </c>
      <c r="AB88" t="s">
        <v>4400</v>
      </c>
      <c r="AC88" t="s">
        <v>4401</v>
      </c>
      <c r="AD88" t="s">
        <v>3151</v>
      </c>
      <c r="AE88">
        <v>171.8</v>
      </c>
      <c r="AF88">
        <v>78.099999999999994</v>
      </c>
      <c r="AG88" t="s">
        <v>3096</v>
      </c>
      <c r="AH88">
        <v>167</v>
      </c>
      <c r="AI88" t="s">
        <v>4402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3018</v>
      </c>
      <c r="C89" t="s">
        <v>3060</v>
      </c>
      <c r="D89" t="s">
        <v>4403</v>
      </c>
      <c r="E89" t="s">
        <v>322</v>
      </c>
      <c r="F89" t="s">
        <v>3895</v>
      </c>
      <c r="G89" t="s">
        <v>4404</v>
      </c>
      <c r="H89" t="s">
        <v>19</v>
      </c>
      <c r="I89" t="s">
        <v>2998</v>
      </c>
      <c r="J89" t="s">
        <v>3843</v>
      </c>
      <c r="K89" t="s">
        <v>3000</v>
      </c>
      <c r="L89" t="s">
        <v>3001</v>
      </c>
      <c r="M89" t="s">
        <v>4405</v>
      </c>
      <c r="N89" t="s">
        <v>4406</v>
      </c>
      <c r="O89" t="s">
        <v>4407</v>
      </c>
      <c r="P89" t="s">
        <v>4408</v>
      </c>
      <c r="Q89" t="s">
        <v>4409</v>
      </c>
      <c r="R89">
        <v>13632</v>
      </c>
      <c r="S89" t="s">
        <v>3030</v>
      </c>
      <c r="T89">
        <v>5446101966112130</v>
      </c>
      <c r="U89">
        <v>724</v>
      </c>
      <c r="V89">
        <v>42370</v>
      </c>
      <c r="W89" t="s">
        <v>4410</v>
      </c>
      <c r="X89" t="s">
        <v>4411</v>
      </c>
      <c r="Y89" t="s">
        <v>3219</v>
      </c>
      <c r="Z89" t="s">
        <v>4412</v>
      </c>
      <c r="AA89" t="s">
        <v>4413</v>
      </c>
      <c r="AB89" t="s">
        <v>4414</v>
      </c>
      <c r="AC89" t="s">
        <v>4415</v>
      </c>
      <c r="AD89" t="s">
        <v>3095</v>
      </c>
      <c r="AE89">
        <v>146.69999999999999</v>
      </c>
      <c r="AF89">
        <v>66.7</v>
      </c>
      <c r="AG89" t="s">
        <v>3096</v>
      </c>
      <c r="AH89">
        <v>167</v>
      </c>
      <c r="AI89" t="s">
        <v>4416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3018</v>
      </c>
      <c r="C90" t="s">
        <v>3060</v>
      </c>
      <c r="D90" t="s">
        <v>4417</v>
      </c>
      <c r="E90" t="s">
        <v>3099</v>
      </c>
      <c r="F90" t="s">
        <v>4418</v>
      </c>
      <c r="G90" t="s">
        <v>4419</v>
      </c>
      <c r="H90" t="s">
        <v>4420</v>
      </c>
      <c r="I90" t="s">
        <v>2998</v>
      </c>
      <c r="J90" t="s">
        <v>4421</v>
      </c>
      <c r="K90" t="s">
        <v>3000</v>
      </c>
      <c r="L90" t="s">
        <v>3001</v>
      </c>
      <c r="M90" t="s">
        <v>4422</v>
      </c>
      <c r="N90" t="s">
        <v>4423</v>
      </c>
      <c r="O90" t="s">
        <v>4424</v>
      </c>
      <c r="P90" t="s">
        <v>4425</v>
      </c>
      <c r="Q90" t="s">
        <v>4426</v>
      </c>
      <c r="R90">
        <v>31931</v>
      </c>
      <c r="S90" t="s">
        <v>3007</v>
      </c>
      <c r="T90">
        <v>4929961010185900</v>
      </c>
      <c r="U90">
        <v>427</v>
      </c>
      <c r="V90">
        <v>43647</v>
      </c>
      <c r="W90" t="s">
        <v>4427</v>
      </c>
      <c r="X90" t="s">
        <v>4428</v>
      </c>
      <c r="Y90" t="s">
        <v>3010</v>
      </c>
      <c r="Z90" t="s">
        <v>4429</v>
      </c>
      <c r="AA90" t="s">
        <v>4430</v>
      </c>
      <c r="AB90" t="s">
        <v>4431</v>
      </c>
      <c r="AC90" t="s">
        <v>4432</v>
      </c>
      <c r="AD90" t="s">
        <v>3057</v>
      </c>
      <c r="AE90">
        <v>142.80000000000001</v>
      </c>
      <c r="AF90">
        <v>64.900000000000006</v>
      </c>
      <c r="AG90" t="s">
        <v>3096</v>
      </c>
      <c r="AH90">
        <v>167</v>
      </c>
      <c r="AI90" t="s">
        <v>4433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3018</v>
      </c>
      <c r="C91" t="s">
        <v>3019</v>
      </c>
      <c r="D91" t="s">
        <v>4434</v>
      </c>
      <c r="E91" t="s">
        <v>322</v>
      </c>
      <c r="F91" t="s">
        <v>4435</v>
      </c>
      <c r="G91" t="s">
        <v>4436</v>
      </c>
      <c r="H91" t="s">
        <v>2</v>
      </c>
      <c r="I91" t="s">
        <v>2998</v>
      </c>
      <c r="J91" t="s">
        <v>3365</v>
      </c>
      <c r="K91" t="s">
        <v>3000</v>
      </c>
      <c r="L91" t="s">
        <v>3001</v>
      </c>
      <c r="M91" t="s">
        <v>4437</v>
      </c>
      <c r="N91" t="s">
        <v>4438</v>
      </c>
      <c r="O91" t="s">
        <v>4439</v>
      </c>
      <c r="P91" t="s">
        <v>4440</v>
      </c>
      <c r="Q91" t="s">
        <v>4441</v>
      </c>
      <c r="R91">
        <v>16486</v>
      </c>
      <c r="S91" t="s">
        <v>3030</v>
      </c>
      <c r="T91">
        <v>5593155219338320</v>
      </c>
      <c r="U91">
        <v>295</v>
      </c>
      <c r="V91">
        <v>43070</v>
      </c>
      <c r="W91" t="s">
        <v>4442</v>
      </c>
      <c r="X91" t="s">
        <v>4443</v>
      </c>
      <c r="Y91" t="s">
        <v>3164</v>
      </c>
      <c r="Z91" t="s">
        <v>4444</v>
      </c>
      <c r="AA91" t="s">
        <v>4445</v>
      </c>
      <c r="AB91" t="s">
        <v>4446</v>
      </c>
      <c r="AC91" t="s">
        <v>4447</v>
      </c>
      <c r="AD91" t="s">
        <v>3095</v>
      </c>
      <c r="AE91">
        <v>193.8</v>
      </c>
      <c r="AF91">
        <v>88.1</v>
      </c>
      <c r="AG91" t="s">
        <v>4214</v>
      </c>
      <c r="AH91">
        <v>153</v>
      </c>
      <c r="AI91" t="s">
        <v>4448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3018</v>
      </c>
      <c r="C92" t="s">
        <v>3060</v>
      </c>
      <c r="D92" t="s">
        <v>4449</v>
      </c>
      <c r="E92" t="s">
        <v>3653</v>
      </c>
      <c r="F92" t="s">
        <v>4450</v>
      </c>
      <c r="G92" t="s">
        <v>4451</v>
      </c>
      <c r="H92" t="s">
        <v>19</v>
      </c>
      <c r="I92" t="s">
        <v>2998</v>
      </c>
      <c r="J92" t="s">
        <v>4452</v>
      </c>
      <c r="K92" t="s">
        <v>3000</v>
      </c>
      <c r="L92" t="s">
        <v>3001</v>
      </c>
      <c r="M92" t="s">
        <v>4453</v>
      </c>
      <c r="N92" t="s">
        <v>4454</v>
      </c>
      <c r="O92" t="s">
        <v>4455</v>
      </c>
      <c r="P92" t="s">
        <v>4456</v>
      </c>
      <c r="Q92" t="s">
        <v>4457</v>
      </c>
      <c r="R92">
        <v>19847</v>
      </c>
      <c r="S92" t="s">
        <v>3007</v>
      </c>
      <c r="T92">
        <v>4556697484298540</v>
      </c>
      <c r="U92">
        <v>98</v>
      </c>
      <c r="V92">
        <v>43221</v>
      </c>
      <c r="W92" t="s">
        <v>4458</v>
      </c>
      <c r="X92" t="s">
        <v>4459</v>
      </c>
      <c r="Y92" t="s">
        <v>3164</v>
      </c>
      <c r="Z92" t="s">
        <v>4460</v>
      </c>
      <c r="AA92" t="s">
        <v>4461</v>
      </c>
      <c r="AB92" t="s">
        <v>4462</v>
      </c>
      <c r="AC92" t="s">
        <v>4463</v>
      </c>
      <c r="AD92" t="s">
        <v>3057</v>
      </c>
      <c r="AE92">
        <v>176.4</v>
      </c>
      <c r="AF92">
        <v>80.2</v>
      </c>
      <c r="AG92" t="s">
        <v>3132</v>
      </c>
      <c r="AH92">
        <v>165</v>
      </c>
      <c r="AI92" t="s">
        <v>4464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3018</v>
      </c>
      <c r="C93" t="s">
        <v>3060</v>
      </c>
      <c r="D93" t="s">
        <v>4465</v>
      </c>
      <c r="E93" t="s">
        <v>3362</v>
      </c>
      <c r="F93" t="s">
        <v>4466</v>
      </c>
      <c r="G93" t="s">
        <v>4467</v>
      </c>
      <c r="H93" t="s">
        <v>4468</v>
      </c>
      <c r="I93" t="s">
        <v>2998</v>
      </c>
      <c r="J93" t="s">
        <v>4469</v>
      </c>
      <c r="K93" t="s">
        <v>3000</v>
      </c>
      <c r="L93" t="s">
        <v>3001</v>
      </c>
      <c r="M93" t="s">
        <v>4470</v>
      </c>
      <c r="N93" t="s">
        <v>4471</v>
      </c>
      <c r="O93" t="s">
        <v>4472</v>
      </c>
      <c r="P93" t="s">
        <v>4473</v>
      </c>
      <c r="Q93" t="s">
        <v>4474</v>
      </c>
      <c r="R93">
        <v>28871</v>
      </c>
      <c r="S93" t="s">
        <v>3030</v>
      </c>
      <c r="T93">
        <v>5569506901020870</v>
      </c>
      <c r="U93">
        <v>159</v>
      </c>
      <c r="V93">
        <v>43647</v>
      </c>
      <c r="W93" t="s">
        <v>4475</v>
      </c>
      <c r="X93" t="s">
        <v>4476</v>
      </c>
      <c r="Y93" t="s">
        <v>3010</v>
      </c>
      <c r="Z93" t="s">
        <v>4477</v>
      </c>
      <c r="AA93" t="s">
        <v>4478</v>
      </c>
      <c r="AB93" t="s">
        <v>4479</v>
      </c>
      <c r="AC93" t="s">
        <v>4480</v>
      </c>
      <c r="AD93" t="s">
        <v>3151</v>
      </c>
      <c r="AE93">
        <v>174.2</v>
      </c>
      <c r="AF93">
        <v>79.2</v>
      </c>
      <c r="AG93" t="s">
        <v>3096</v>
      </c>
      <c r="AH93">
        <v>167</v>
      </c>
      <c r="AI93" t="s">
        <v>4481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2992</v>
      </c>
      <c r="C94" t="s">
        <v>2993</v>
      </c>
      <c r="D94" t="s">
        <v>4482</v>
      </c>
      <c r="E94" t="s">
        <v>131</v>
      </c>
      <c r="F94" t="s">
        <v>3219</v>
      </c>
      <c r="G94" t="s">
        <v>4483</v>
      </c>
      <c r="H94" t="s">
        <v>4484</v>
      </c>
      <c r="I94" t="s">
        <v>2998</v>
      </c>
      <c r="J94" t="s">
        <v>4485</v>
      </c>
      <c r="K94" t="s">
        <v>3000</v>
      </c>
      <c r="L94" t="s">
        <v>3001</v>
      </c>
      <c r="M94" t="s">
        <v>4486</v>
      </c>
      <c r="N94" t="s">
        <v>4487</v>
      </c>
      <c r="O94" t="s">
        <v>4488</v>
      </c>
      <c r="P94" t="s">
        <v>4489</v>
      </c>
      <c r="Q94" t="s">
        <v>4490</v>
      </c>
      <c r="R94">
        <v>22161</v>
      </c>
      <c r="S94" t="s">
        <v>3030</v>
      </c>
      <c r="T94">
        <v>5419117354070530</v>
      </c>
      <c r="U94">
        <v>355</v>
      </c>
      <c r="V94">
        <v>43800</v>
      </c>
      <c r="W94" t="s">
        <v>4491</v>
      </c>
      <c r="X94" t="s">
        <v>4492</v>
      </c>
      <c r="Y94" t="s">
        <v>3010</v>
      </c>
      <c r="Z94" t="s">
        <v>4493</v>
      </c>
      <c r="AA94" t="s">
        <v>4369</v>
      </c>
      <c r="AB94" t="s">
        <v>4494</v>
      </c>
      <c r="AC94" t="s">
        <v>4495</v>
      </c>
      <c r="AD94" t="s">
        <v>3057</v>
      </c>
      <c r="AE94">
        <v>245.5</v>
      </c>
      <c r="AF94">
        <v>111.6</v>
      </c>
      <c r="AG94" t="s">
        <v>3058</v>
      </c>
      <c r="AH94">
        <v>176</v>
      </c>
      <c r="AI94" t="s">
        <v>4496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2992</v>
      </c>
      <c r="C95" t="s">
        <v>2993</v>
      </c>
      <c r="D95" t="s">
        <v>4497</v>
      </c>
      <c r="E95" t="s">
        <v>3362</v>
      </c>
      <c r="F95" t="s">
        <v>4498</v>
      </c>
      <c r="G95" t="s">
        <v>4499</v>
      </c>
      <c r="H95" t="s">
        <v>3736</v>
      </c>
      <c r="I95" t="s">
        <v>2998</v>
      </c>
      <c r="J95" t="s">
        <v>3737</v>
      </c>
      <c r="K95" t="s">
        <v>3000</v>
      </c>
      <c r="L95" t="s">
        <v>3001</v>
      </c>
      <c r="M95" t="s">
        <v>4500</v>
      </c>
      <c r="N95" t="s">
        <v>4501</v>
      </c>
      <c r="O95" t="s">
        <v>4502</v>
      </c>
      <c r="P95" t="s">
        <v>4503</v>
      </c>
      <c r="Q95" t="s">
        <v>4504</v>
      </c>
      <c r="R95">
        <v>26286</v>
      </c>
      <c r="S95" t="s">
        <v>3007</v>
      </c>
      <c r="T95">
        <v>4556900001278110</v>
      </c>
      <c r="U95">
        <v>436</v>
      </c>
      <c r="V95">
        <v>43435</v>
      </c>
      <c r="W95" t="s">
        <v>4505</v>
      </c>
      <c r="X95" t="s">
        <v>4506</v>
      </c>
      <c r="Y95" t="s">
        <v>3033</v>
      </c>
      <c r="Z95" t="s">
        <v>4507</v>
      </c>
      <c r="AA95" t="s">
        <v>4508</v>
      </c>
      <c r="AB95" t="s">
        <v>4509</v>
      </c>
      <c r="AC95" t="s">
        <v>4510</v>
      </c>
      <c r="AD95" t="s">
        <v>3151</v>
      </c>
      <c r="AE95">
        <v>174.2</v>
      </c>
      <c r="AF95">
        <v>79.2</v>
      </c>
      <c r="AG95" t="s">
        <v>3472</v>
      </c>
      <c r="AH95">
        <v>188</v>
      </c>
      <c r="AI95" t="s">
        <v>4511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3018</v>
      </c>
      <c r="C96" t="s">
        <v>3019</v>
      </c>
      <c r="D96" t="s">
        <v>4512</v>
      </c>
      <c r="E96" t="s">
        <v>3653</v>
      </c>
      <c r="F96" t="s">
        <v>3370</v>
      </c>
      <c r="G96" t="s">
        <v>4513</v>
      </c>
      <c r="H96" t="s">
        <v>2</v>
      </c>
      <c r="I96" t="s">
        <v>2998</v>
      </c>
      <c r="J96" t="s">
        <v>3938</v>
      </c>
      <c r="K96" t="s">
        <v>3000</v>
      </c>
      <c r="L96" t="s">
        <v>3001</v>
      </c>
      <c r="M96" t="s">
        <v>4514</v>
      </c>
      <c r="N96" t="s">
        <v>4515</v>
      </c>
      <c r="O96" t="s">
        <v>4516</v>
      </c>
      <c r="P96" t="s">
        <v>4517</v>
      </c>
      <c r="Q96" t="s">
        <v>4518</v>
      </c>
      <c r="R96">
        <v>32496</v>
      </c>
      <c r="S96" t="s">
        <v>3030</v>
      </c>
      <c r="T96">
        <v>5298189796222490</v>
      </c>
      <c r="U96">
        <v>333</v>
      </c>
      <c r="V96">
        <v>43040</v>
      </c>
      <c r="W96" t="s">
        <v>4519</v>
      </c>
      <c r="X96" t="s">
        <v>4520</v>
      </c>
      <c r="Y96" t="s">
        <v>3072</v>
      </c>
      <c r="Z96" t="s">
        <v>4521</v>
      </c>
      <c r="AA96" t="s">
        <v>3602</v>
      </c>
      <c r="AB96" t="s">
        <v>4522</v>
      </c>
      <c r="AC96" t="s">
        <v>4523</v>
      </c>
      <c r="AD96" t="s">
        <v>3151</v>
      </c>
      <c r="AE96">
        <v>186.3</v>
      </c>
      <c r="AF96">
        <v>84.7</v>
      </c>
      <c r="AG96" t="s">
        <v>3506</v>
      </c>
      <c r="AH96">
        <v>160</v>
      </c>
      <c r="AI96" t="s">
        <v>4524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3018</v>
      </c>
      <c r="C97" t="s">
        <v>3019</v>
      </c>
      <c r="D97" t="s">
        <v>4525</v>
      </c>
      <c r="E97" t="s">
        <v>3557</v>
      </c>
      <c r="F97" t="s">
        <v>4526</v>
      </c>
      <c r="G97" t="s">
        <v>4527</v>
      </c>
      <c r="H97" t="s">
        <v>2</v>
      </c>
      <c r="I97" t="s">
        <v>2998</v>
      </c>
      <c r="J97" t="s">
        <v>3365</v>
      </c>
      <c r="K97" t="s">
        <v>3000</v>
      </c>
      <c r="L97" t="s">
        <v>3001</v>
      </c>
      <c r="M97" t="s">
        <v>4528</v>
      </c>
      <c r="N97" t="s">
        <v>4529</v>
      </c>
      <c r="O97" t="s">
        <v>4530</v>
      </c>
      <c r="P97" t="s">
        <v>4531</v>
      </c>
      <c r="Q97" t="s">
        <v>4532</v>
      </c>
      <c r="R97">
        <v>21939</v>
      </c>
      <c r="S97" t="s">
        <v>3007</v>
      </c>
      <c r="T97">
        <v>4485737923936180</v>
      </c>
      <c r="U97">
        <v>757</v>
      </c>
      <c r="V97">
        <v>43586</v>
      </c>
      <c r="W97" t="s">
        <v>4533</v>
      </c>
      <c r="X97" t="s">
        <v>4534</v>
      </c>
      <c r="Y97" t="s">
        <v>3010</v>
      </c>
      <c r="Z97" t="s">
        <v>4535</v>
      </c>
      <c r="AA97" t="s">
        <v>4536</v>
      </c>
      <c r="AB97" t="s">
        <v>4537</v>
      </c>
      <c r="AC97" t="s">
        <v>4538</v>
      </c>
      <c r="AD97" t="s">
        <v>3057</v>
      </c>
      <c r="AE97">
        <v>207.2</v>
      </c>
      <c r="AF97">
        <v>94.2</v>
      </c>
      <c r="AG97" t="s">
        <v>3205</v>
      </c>
      <c r="AH97">
        <v>170</v>
      </c>
      <c r="AI97" t="s">
        <v>4539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3018</v>
      </c>
      <c r="C98" t="s">
        <v>3060</v>
      </c>
      <c r="D98" t="s">
        <v>4540</v>
      </c>
      <c r="E98" t="s">
        <v>2995</v>
      </c>
      <c r="F98" t="s">
        <v>4541</v>
      </c>
      <c r="G98" t="s">
        <v>4542</v>
      </c>
      <c r="H98" t="s">
        <v>3347</v>
      </c>
      <c r="I98" t="s">
        <v>2998</v>
      </c>
      <c r="J98" t="s">
        <v>3984</v>
      </c>
      <c r="K98" t="s">
        <v>3000</v>
      </c>
      <c r="L98" t="s">
        <v>3001</v>
      </c>
      <c r="M98" t="s">
        <v>4543</v>
      </c>
      <c r="N98" t="s">
        <v>4544</v>
      </c>
      <c r="O98" t="s">
        <v>4545</v>
      </c>
      <c r="P98" t="s">
        <v>4546</v>
      </c>
      <c r="Q98" t="s">
        <v>4043</v>
      </c>
      <c r="R98">
        <v>18738</v>
      </c>
      <c r="S98" t="s">
        <v>3030</v>
      </c>
      <c r="T98">
        <v>5308046634468260</v>
      </c>
      <c r="U98">
        <v>698</v>
      </c>
      <c r="V98">
        <v>42005</v>
      </c>
      <c r="W98" t="s">
        <v>4547</v>
      </c>
      <c r="X98" t="s">
        <v>4548</v>
      </c>
      <c r="Y98" t="s">
        <v>3010</v>
      </c>
      <c r="Z98" t="s">
        <v>4549</v>
      </c>
      <c r="AA98" t="s">
        <v>4550</v>
      </c>
      <c r="AB98" t="s">
        <v>4551</v>
      </c>
      <c r="AC98" t="s">
        <v>4552</v>
      </c>
      <c r="AD98" t="s">
        <v>3095</v>
      </c>
      <c r="AE98">
        <v>110</v>
      </c>
      <c r="AF98">
        <v>50</v>
      </c>
      <c r="AG98" t="s">
        <v>4214</v>
      </c>
      <c r="AH98">
        <v>153</v>
      </c>
      <c r="AI98" t="s">
        <v>4553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2992</v>
      </c>
      <c r="C99" t="s">
        <v>2993</v>
      </c>
      <c r="D99" t="s">
        <v>4554</v>
      </c>
      <c r="E99" t="s">
        <v>326</v>
      </c>
      <c r="F99" t="s">
        <v>4555</v>
      </c>
      <c r="G99" t="s">
        <v>4556</v>
      </c>
      <c r="H99" t="s">
        <v>4557</v>
      </c>
      <c r="I99" t="s">
        <v>2998</v>
      </c>
      <c r="J99" t="s">
        <v>4558</v>
      </c>
      <c r="K99" t="s">
        <v>3000</v>
      </c>
      <c r="L99" t="s">
        <v>3001</v>
      </c>
      <c r="M99" t="s">
        <v>4559</v>
      </c>
      <c r="N99" t="s">
        <v>4560</v>
      </c>
      <c r="O99" t="s">
        <v>4561</v>
      </c>
      <c r="P99" t="s">
        <v>4562</v>
      </c>
      <c r="Q99" t="s">
        <v>4563</v>
      </c>
      <c r="R99">
        <v>33771</v>
      </c>
      <c r="S99" t="s">
        <v>3007</v>
      </c>
      <c r="T99">
        <v>4916866971041800</v>
      </c>
      <c r="U99">
        <v>522</v>
      </c>
      <c r="V99">
        <v>42767</v>
      </c>
      <c r="W99" t="s">
        <v>4564</v>
      </c>
      <c r="X99" t="s">
        <v>4565</v>
      </c>
      <c r="Y99" t="s">
        <v>3219</v>
      </c>
      <c r="Z99" t="s">
        <v>4566</v>
      </c>
      <c r="AA99" t="s">
        <v>4567</v>
      </c>
      <c r="AB99" t="s">
        <v>4568</v>
      </c>
      <c r="AC99" t="s">
        <v>4569</v>
      </c>
      <c r="AD99" t="s">
        <v>3151</v>
      </c>
      <c r="AE99">
        <v>198.4</v>
      </c>
      <c r="AF99">
        <v>90.2</v>
      </c>
      <c r="AG99" t="s">
        <v>3016</v>
      </c>
      <c r="AH99">
        <v>185</v>
      </c>
      <c r="AI99" t="s">
        <v>4570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3018</v>
      </c>
      <c r="C100" t="s">
        <v>3019</v>
      </c>
      <c r="D100" t="s">
        <v>4571</v>
      </c>
      <c r="E100" t="s">
        <v>2995</v>
      </c>
      <c r="F100" t="s">
        <v>4345</v>
      </c>
      <c r="G100" t="s">
        <v>4572</v>
      </c>
      <c r="H100" t="s">
        <v>19</v>
      </c>
      <c r="I100" t="s">
        <v>2998</v>
      </c>
      <c r="J100" t="s">
        <v>41</v>
      </c>
      <c r="K100" t="s">
        <v>3000</v>
      </c>
      <c r="L100" t="s">
        <v>3001</v>
      </c>
      <c r="M100" t="s">
        <v>4573</v>
      </c>
      <c r="N100" t="s">
        <v>4574</v>
      </c>
      <c r="O100" t="s">
        <v>4575</v>
      </c>
      <c r="P100" t="s">
        <v>4576</v>
      </c>
      <c r="Q100" t="s">
        <v>4577</v>
      </c>
      <c r="R100">
        <v>17966</v>
      </c>
      <c r="S100" t="s">
        <v>3030</v>
      </c>
      <c r="T100">
        <v>5218535350393930</v>
      </c>
      <c r="U100">
        <v>932</v>
      </c>
      <c r="V100">
        <v>43160</v>
      </c>
      <c r="W100" t="s">
        <v>4578</v>
      </c>
      <c r="X100" t="s">
        <v>4579</v>
      </c>
      <c r="Y100" t="s">
        <v>3321</v>
      </c>
      <c r="Z100" t="s">
        <v>4580</v>
      </c>
      <c r="AA100" t="s">
        <v>4581</v>
      </c>
      <c r="AB100" t="s">
        <v>4582</v>
      </c>
      <c r="AC100" t="s">
        <v>4583</v>
      </c>
      <c r="AD100" t="s">
        <v>3057</v>
      </c>
      <c r="AE100">
        <v>193.6</v>
      </c>
      <c r="AF100">
        <v>88</v>
      </c>
      <c r="AG100" t="s">
        <v>3077</v>
      </c>
      <c r="AH100">
        <v>158</v>
      </c>
      <c r="AI100" t="s">
        <v>4584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2992</v>
      </c>
      <c r="C101" t="s">
        <v>2993</v>
      </c>
      <c r="D101" t="s">
        <v>4585</v>
      </c>
      <c r="E101" t="s">
        <v>2995</v>
      </c>
      <c r="F101" t="s">
        <v>4586</v>
      </c>
      <c r="G101" t="s">
        <v>4587</v>
      </c>
      <c r="H101" t="s">
        <v>19</v>
      </c>
      <c r="I101" t="s">
        <v>2998</v>
      </c>
      <c r="J101" t="s">
        <v>41</v>
      </c>
      <c r="K101" t="s">
        <v>3000</v>
      </c>
      <c r="L101" t="s">
        <v>3001</v>
      </c>
      <c r="M101" t="s">
        <v>4588</v>
      </c>
      <c r="N101" t="s">
        <v>4589</v>
      </c>
      <c r="O101" t="s">
        <v>4590</v>
      </c>
      <c r="P101" t="s">
        <v>4591</v>
      </c>
      <c r="Q101" t="s">
        <v>4592</v>
      </c>
      <c r="R101">
        <v>17081</v>
      </c>
      <c r="S101" t="s">
        <v>3030</v>
      </c>
      <c r="T101">
        <v>5564732146100370</v>
      </c>
      <c r="U101">
        <v>523</v>
      </c>
      <c r="V101">
        <v>42795</v>
      </c>
      <c r="W101" t="s">
        <v>4593</v>
      </c>
      <c r="X101" t="s">
        <v>4594</v>
      </c>
      <c r="Y101" t="s">
        <v>3010</v>
      </c>
      <c r="Z101" t="s">
        <v>4595</v>
      </c>
      <c r="AA101" t="s">
        <v>3648</v>
      </c>
      <c r="AB101" t="s">
        <v>4596</v>
      </c>
      <c r="AC101" t="s">
        <v>4597</v>
      </c>
      <c r="AD101" t="s">
        <v>3038</v>
      </c>
      <c r="AE101">
        <v>169.8</v>
      </c>
      <c r="AF101">
        <v>77.2</v>
      </c>
      <c r="AG101" t="s">
        <v>4055</v>
      </c>
      <c r="AH101">
        <v>163</v>
      </c>
      <c r="AI101" t="s">
        <v>4598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2992</v>
      </c>
      <c r="C102" t="s">
        <v>2993</v>
      </c>
      <c r="D102" t="s">
        <v>3677</v>
      </c>
      <c r="E102" t="s">
        <v>3135</v>
      </c>
      <c r="F102" t="s">
        <v>3136</v>
      </c>
      <c r="G102" t="s">
        <v>4599</v>
      </c>
      <c r="H102" t="s">
        <v>11</v>
      </c>
      <c r="I102" t="s">
        <v>2998</v>
      </c>
      <c r="J102" t="s">
        <v>4600</v>
      </c>
      <c r="K102" t="s">
        <v>3000</v>
      </c>
      <c r="L102" t="s">
        <v>3001</v>
      </c>
      <c r="M102" t="s">
        <v>4601</v>
      </c>
      <c r="N102" t="s">
        <v>4602</v>
      </c>
      <c r="O102" t="s">
        <v>4603</v>
      </c>
      <c r="P102" t="s">
        <v>4604</v>
      </c>
      <c r="Q102" t="s">
        <v>4605</v>
      </c>
      <c r="R102">
        <v>23493</v>
      </c>
      <c r="S102" t="s">
        <v>3030</v>
      </c>
      <c r="T102">
        <v>5122438467452050</v>
      </c>
      <c r="U102">
        <v>893</v>
      </c>
      <c r="V102">
        <v>43313</v>
      </c>
      <c r="W102" t="s">
        <v>4606</v>
      </c>
      <c r="X102" t="s">
        <v>4607</v>
      </c>
      <c r="Y102" t="s">
        <v>3010</v>
      </c>
      <c r="Z102" t="s">
        <v>4608</v>
      </c>
      <c r="AA102" t="s">
        <v>4609</v>
      </c>
      <c r="AB102" t="s">
        <v>4610</v>
      </c>
      <c r="AC102" t="s">
        <v>4611</v>
      </c>
      <c r="AD102" t="s">
        <v>3095</v>
      </c>
      <c r="AE102">
        <v>193.2</v>
      </c>
      <c r="AF102">
        <v>87.8</v>
      </c>
      <c r="AG102" t="s">
        <v>3205</v>
      </c>
      <c r="AH102">
        <v>171</v>
      </c>
      <c r="AI102" t="s">
        <v>4612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3018</v>
      </c>
      <c r="C103" t="s">
        <v>3019</v>
      </c>
      <c r="D103" t="s">
        <v>4613</v>
      </c>
      <c r="E103" t="s">
        <v>2995</v>
      </c>
      <c r="F103" t="s">
        <v>4614</v>
      </c>
      <c r="G103" t="s">
        <v>4615</v>
      </c>
      <c r="H103" t="s">
        <v>3921</v>
      </c>
      <c r="I103" t="s">
        <v>2998</v>
      </c>
      <c r="J103" t="s">
        <v>3922</v>
      </c>
      <c r="K103" t="s">
        <v>3000</v>
      </c>
      <c r="L103" t="s">
        <v>3001</v>
      </c>
      <c r="M103" t="s">
        <v>4616</v>
      </c>
      <c r="N103" t="s">
        <v>4617</v>
      </c>
      <c r="O103" t="s">
        <v>4618</v>
      </c>
      <c r="P103" t="s">
        <v>4619</v>
      </c>
      <c r="Q103" t="s">
        <v>4620</v>
      </c>
      <c r="R103">
        <v>20344</v>
      </c>
      <c r="S103" t="s">
        <v>3030</v>
      </c>
      <c r="T103">
        <v>5516327624489540</v>
      </c>
      <c r="U103">
        <v>495</v>
      </c>
      <c r="V103">
        <v>43282</v>
      </c>
      <c r="W103" t="s">
        <v>4621</v>
      </c>
      <c r="X103" t="s">
        <v>4622</v>
      </c>
      <c r="Y103" t="s">
        <v>3219</v>
      </c>
      <c r="Z103" t="s">
        <v>4623</v>
      </c>
      <c r="AA103" t="s">
        <v>4624</v>
      </c>
      <c r="AB103" t="s">
        <v>4625</v>
      </c>
      <c r="AC103" t="s">
        <v>4626</v>
      </c>
      <c r="AD103" t="s">
        <v>3095</v>
      </c>
      <c r="AE103">
        <v>207.2</v>
      </c>
      <c r="AF103">
        <v>94.2</v>
      </c>
      <c r="AG103" t="s">
        <v>3132</v>
      </c>
      <c r="AH103">
        <v>165</v>
      </c>
      <c r="AI103" t="s">
        <v>4627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2992</v>
      </c>
      <c r="C104" t="s">
        <v>2993</v>
      </c>
      <c r="D104" t="s">
        <v>4628</v>
      </c>
      <c r="E104" t="s">
        <v>325</v>
      </c>
      <c r="F104" t="s">
        <v>3548</v>
      </c>
      <c r="G104" t="s">
        <v>4629</v>
      </c>
      <c r="H104" t="s">
        <v>15</v>
      </c>
      <c r="I104" t="s">
        <v>2998</v>
      </c>
      <c r="J104" t="s">
        <v>4630</v>
      </c>
      <c r="K104" t="s">
        <v>3000</v>
      </c>
      <c r="L104" t="s">
        <v>3001</v>
      </c>
      <c r="M104" t="s">
        <v>4631</v>
      </c>
      <c r="N104" t="s">
        <v>4632</v>
      </c>
      <c r="O104" t="s">
        <v>4633</v>
      </c>
      <c r="P104" t="s">
        <v>4634</v>
      </c>
      <c r="Q104" t="s">
        <v>4635</v>
      </c>
      <c r="R104">
        <v>29549</v>
      </c>
      <c r="S104" t="s">
        <v>3007</v>
      </c>
      <c r="T104">
        <v>4556006750584020</v>
      </c>
      <c r="U104">
        <v>415</v>
      </c>
      <c r="V104">
        <v>43344</v>
      </c>
      <c r="W104" t="s">
        <v>4636</v>
      </c>
      <c r="X104" t="s">
        <v>4637</v>
      </c>
      <c r="Y104" t="s">
        <v>3010</v>
      </c>
      <c r="Z104" t="s">
        <v>4638</v>
      </c>
      <c r="AA104" t="s">
        <v>4639</v>
      </c>
      <c r="AB104" t="s">
        <v>4640</v>
      </c>
      <c r="AC104" t="s">
        <v>4641</v>
      </c>
      <c r="AD104" t="s">
        <v>3095</v>
      </c>
      <c r="AE104">
        <v>182.2</v>
      </c>
      <c r="AF104">
        <v>82.8</v>
      </c>
      <c r="AG104" t="s">
        <v>3096</v>
      </c>
      <c r="AH104">
        <v>168</v>
      </c>
      <c r="AI104" t="s">
        <v>4642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3018</v>
      </c>
      <c r="C105" t="s">
        <v>3060</v>
      </c>
      <c r="D105" t="s">
        <v>4643</v>
      </c>
      <c r="E105" t="s">
        <v>322</v>
      </c>
      <c r="F105" t="s">
        <v>4644</v>
      </c>
      <c r="G105" t="s">
        <v>4645</v>
      </c>
      <c r="H105" t="s">
        <v>4646</v>
      </c>
      <c r="I105" t="s">
        <v>2998</v>
      </c>
      <c r="J105" t="s">
        <v>4647</v>
      </c>
      <c r="K105" t="s">
        <v>3000</v>
      </c>
      <c r="L105" t="s">
        <v>3001</v>
      </c>
      <c r="M105" t="s">
        <v>4648</v>
      </c>
      <c r="N105" t="s">
        <v>4649</v>
      </c>
      <c r="O105" t="s">
        <v>4650</v>
      </c>
      <c r="P105" t="s">
        <v>4651</v>
      </c>
      <c r="Q105" t="s">
        <v>3219</v>
      </c>
      <c r="R105">
        <v>16535</v>
      </c>
      <c r="S105" t="s">
        <v>3030</v>
      </c>
      <c r="T105">
        <v>5510811939782190</v>
      </c>
      <c r="U105">
        <v>838</v>
      </c>
      <c r="V105">
        <v>42217</v>
      </c>
      <c r="W105" t="s">
        <v>4652</v>
      </c>
      <c r="X105" t="s">
        <v>4653</v>
      </c>
      <c r="Y105" t="s">
        <v>3219</v>
      </c>
      <c r="Z105" t="s">
        <v>4654</v>
      </c>
      <c r="AA105" t="s">
        <v>3012</v>
      </c>
      <c r="AB105" t="s">
        <v>4655</v>
      </c>
      <c r="AC105" t="s">
        <v>4656</v>
      </c>
      <c r="AD105" t="s">
        <v>3057</v>
      </c>
      <c r="AE105">
        <v>208.6</v>
      </c>
      <c r="AF105">
        <v>94.8</v>
      </c>
      <c r="AG105" t="s">
        <v>4214</v>
      </c>
      <c r="AH105">
        <v>152</v>
      </c>
      <c r="AI105" t="s">
        <v>4657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2992</v>
      </c>
      <c r="C106" t="s">
        <v>2993</v>
      </c>
      <c r="D106" t="s">
        <v>4658</v>
      </c>
      <c r="E106" t="s">
        <v>3135</v>
      </c>
      <c r="F106" t="s">
        <v>4659</v>
      </c>
      <c r="G106" t="s">
        <v>4660</v>
      </c>
      <c r="H106" t="s">
        <v>3243</v>
      </c>
      <c r="I106" t="s">
        <v>2998</v>
      </c>
      <c r="J106" t="s">
        <v>4661</v>
      </c>
      <c r="K106" t="s">
        <v>3000</v>
      </c>
      <c r="L106" t="s">
        <v>3001</v>
      </c>
      <c r="M106" t="s">
        <v>4662</v>
      </c>
      <c r="N106" t="s">
        <v>4663</v>
      </c>
      <c r="O106" t="s">
        <v>4664</v>
      </c>
      <c r="P106" t="s">
        <v>4665</v>
      </c>
      <c r="Q106" t="s">
        <v>4666</v>
      </c>
      <c r="R106">
        <v>18198</v>
      </c>
      <c r="S106" t="s">
        <v>3030</v>
      </c>
      <c r="T106">
        <v>5263111727367260</v>
      </c>
      <c r="U106">
        <v>725</v>
      </c>
      <c r="V106">
        <v>42856</v>
      </c>
      <c r="W106" t="s">
        <v>4667</v>
      </c>
      <c r="X106" t="s">
        <v>4668</v>
      </c>
      <c r="Y106" t="s">
        <v>3164</v>
      </c>
      <c r="Z106" t="s">
        <v>4669</v>
      </c>
      <c r="AA106" t="s">
        <v>3535</v>
      </c>
      <c r="AB106" t="s">
        <v>4670</v>
      </c>
      <c r="AC106" t="s">
        <v>4671</v>
      </c>
      <c r="AD106" t="s">
        <v>3057</v>
      </c>
      <c r="AE106">
        <v>169</v>
      </c>
      <c r="AF106">
        <v>76.8</v>
      </c>
      <c r="AG106" t="s">
        <v>3187</v>
      </c>
      <c r="AH106">
        <v>182</v>
      </c>
      <c r="AI106" t="s">
        <v>4672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3018</v>
      </c>
      <c r="C107" t="s">
        <v>3019</v>
      </c>
      <c r="D107" t="s">
        <v>4673</v>
      </c>
      <c r="E107" t="s">
        <v>2995</v>
      </c>
      <c r="F107" t="s">
        <v>4674</v>
      </c>
      <c r="G107" t="s">
        <v>4675</v>
      </c>
      <c r="H107" t="s">
        <v>11</v>
      </c>
      <c r="I107" t="s">
        <v>2998</v>
      </c>
      <c r="J107" t="s">
        <v>4676</v>
      </c>
      <c r="K107" t="s">
        <v>3000</v>
      </c>
      <c r="L107" t="s">
        <v>3001</v>
      </c>
      <c r="M107" t="s">
        <v>4677</v>
      </c>
      <c r="N107" t="s">
        <v>4678</v>
      </c>
      <c r="O107" t="s">
        <v>4679</v>
      </c>
      <c r="P107" t="s">
        <v>4680</v>
      </c>
      <c r="Q107" t="s">
        <v>4681</v>
      </c>
      <c r="R107">
        <v>20923</v>
      </c>
      <c r="S107" t="s">
        <v>3007</v>
      </c>
      <c r="T107">
        <v>4532299790581600</v>
      </c>
      <c r="U107">
        <v>909</v>
      </c>
      <c r="V107">
        <v>43282</v>
      </c>
      <c r="W107" t="s">
        <v>4682</v>
      </c>
      <c r="X107" t="s">
        <v>4683</v>
      </c>
      <c r="Y107" t="s">
        <v>3069</v>
      </c>
      <c r="Z107" t="s">
        <v>4684</v>
      </c>
      <c r="AA107" t="s">
        <v>4685</v>
      </c>
      <c r="AB107" t="s">
        <v>4686</v>
      </c>
      <c r="AC107" t="s">
        <v>4687</v>
      </c>
      <c r="AD107" t="s">
        <v>3057</v>
      </c>
      <c r="AE107">
        <v>142.30000000000001</v>
      </c>
      <c r="AF107">
        <v>64.7</v>
      </c>
      <c r="AG107" t="s">
        <v>3205</v>
      </c>
      <c r="AH107">
        <v>170</v>
      </c>
      <c r="AI107" t="s">
        <v>4688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3018</v>
      </c>
      <c r="C108" t="s">
        <v>3019</v>
      </c>
      <c r="D108" t="s">
        <v>3292</v>
      </c>
      <c r="E108" t="s">
        <v>2995</v>
      </c>
      <c r="F108" t="s">
        <v>4689</v>
      </c>
      <c r="G108" t="s">
        <v>4690</v>
      </c>
      <c r="H108" t="s">
        <v>3397</v>
      </c>
      <c r="I108" t="s">
        <v>2998</v>
      </c>
      <c r="J108" t="s">
        <v>4691</v>
      </c>
      <c r="K108" t="s">
        <v>3000</v>
      </c>
      <c r="L108" t="s">
        <v>3001</v>
      </c>
      <c r="M108" t="s">
        <v>4692</v>
      </c>
      <c r="N108" t="s">
        <v>4693</v>
      </c>
      <c r="O108" t="s">
        <v>4694</v>
      </c>
      <c r="P108" t="s">
        <v>4695</v>
      </c>
      <c r="Q108" t="s">
        <v>4696</v>
      </c>
      <c r="R108">
        <v>13810</v>
      </c>
      <c r="S108" t="s">
        <v>3007</v>
      </c>
      <c r="T108">
        <v>4716127454634710</v>
      </c>
      <c r="U108">
        <v>215</v>
      </c>
      <c r="V108">
        <v>42339</v>
      </c>
      <c r="W108" t="s">
        <v>4697</v>
      </c>
      <c r="X108" t="s">
        <v>4698</v>
      </c>
      <c r="Y108" t="s">
        <v>3164</v>
      </c>
      <c r="Z108" t="s">
        <v>4699</v>
      </c>
      <c r="AA108" t="s">
        <v>4700</v>
      </c>
      <c r="AB108" t="s">
        <v>4701</v>
      </c>
      <c r="AC108" t="s">
        <v>4702</v>
      </c>
      <c r="AD108" t="s">
        <v>3095</v>
      </c>
      <c r="AE108">
        <v>117</v>
      </c>
      <c r="AF108">
        <v>53.2</v>
      </c>
      <c r="AG108" t="s">
        <v>4055</v>
      </c>
      <c r="AH108">
        <v>163</v>
      </c>
      <c r="AI108" t="s">
        <v>4703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3018</v>
      </c>
      <c r="C109" t="s">
        <v>3019</v>
      </c>
      <c r="D109" t="s">
        <v>4704</v>
      </c>
      <c r="E109" t="s">
        <v>322</v>
      </c>
      <c r="F109" t="s">
        <v>4705</v>
      </c>
      <c r="G109" t="s">
        <v>4706</v>
      </c>
      <c r="H109" t="s">
        <v>19</v>
      </c>
      <c r="I109" t="s">
        <v>2998</v>
      </c>
      <c r="J109" t="s">
        <v>3672</v>
      </c>
      <c r="K109" t="s">
        <v>3000</v>
      </c>
      <c r="L109" t="s">
        <v>3001</v>
      </c>
      <c r="M109" t="s">
        <v>4707</v>
      </c>
      <c r="N109" t="s">
        <v>4708</v>
      </c>
      <c r="O109" t="s">
        <v>4709</v>
      </c>
      <c r="P109" t="s">
        <v>4710</v>
      </c>
      <c r="Q109" t="s">
        <v>4711</v>
      </c>
      <c r="R109">
        <v>32912</v>
      </c>
      <c r="S109" t="s">
        <v>3030</v>
      </c>
      <c r="T109">
        <v>5419988907510310</v>
      </c>
      <c r="U109">
        <v>206</v>
      </c>
      <c r="V109">
        <v>43009</v>
      </c>
      <c r="W109" t="s">
        <v>4712</v>
      </c>
      <c r="X109" t="s">
        <v>4713</v>
      </c>
      <c r="Y109" t="s">
        <v>3010</v>
      </c>
      <c r="Z109" t="s">
        <v>4714</v>
      </c>
      <c r="AA109" t="s">
        <v>4715</v>
      </c>
      <c r="AB109" t="s">
        <v>4716</v>
      </c>
      <c r="AC109" t="s">
        <v>4717</v>
      </c>
      <c r="AD109" t="s">
        <v>3057</v>
      </c>
      <c r="AE109">
        <v>206.4</v>
      </c>
      <c r="AF109">
        <v>93.8</v>
      </c>
      <c r="AG109" t="s">
        <v>4055</v>
      </c>
      <c r="AH109">
        <v>163</v>
      </c>
      <c r="AI109" t="s">
        <v>4718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3018</v>
      </c>
      <c r="C110" t="s">
        <v>3019</v>
      </c>
      <c r="D110" t="s">
        <v>4719</v>
      </c>
      <c r="E110" t="s">
        <v>325</v>
      </c>
      <c r="F110" t="s">
        <v>4720</v>
      </c>
      <c r="G110" t="s">
        <v>4721</v>
      </c>
      <c r="H110" t="s">
        <v>4722</v>
      </c>
      <c r="I110" t="s">
        <v>2998</v>
      </c>
      <c r="J110" t="s">
        <v>4723</v>
      </c>
      <c r="K110" t="s">
        <v>3000</v>
      </c>
      <c r="L110" t="s">
        <v>3001</v>
      </c>
      <c r="M110" t="s">
        <v>4724</v>
      </c>
      <c r="N110" t="s">
        <v>4725</v>
      </c>
      <c r="O110" t="s">
        <v>4726</v>
      </c>
      <c r="P110" t="s">
        <v>4727</v>
      </c>
      <c r="Q110" t="s">
        <v>4728</v>
      </c>
      <c r="R110">
        <v>16388</v>
      </c>
      <c r="S110" t="s">
        <v>3007</v>
      </c>
      <c r="T110">
        <v>4716445918373890</v>
      </c>
      <c r="U110">
        <v>351</v>
      </c>
      <c r="V110">
        <v>43586</v>
      </c>
      <c r="W110" t="s">
        <v>4729</v>
      </c>
      <c r="X110" t="s">
        <v>4730</v>
      </c>
      <c r="Y110" t="s">
        <v>3010</v>
      </c>
      <c r="Z110" t="s">
        <v>4731</v>
      </c>
      <c r="AA110" t="s">
        <v>4732</v>
      </c>
      <c r="AB110" t="s">
        <v>4733</v>
      </c>
      <c r="AC110" t="s">
        <v>4734</v>
      </c>
      <c r="AD110" t="s">
        <v>3057</v>
      </c>
      <c r="AE110">
        <v>210.1</v>
      </c>
      <c r="AF110">
        <v>95.5</v>
      </c>
      <c r="AG110" t="s">
        <v>3096</v>
      </c>
      <c r="AH110">
        <v>168</v>
      </c>
      <c r="AI110" t="s">
        <v>4735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2992</v>
      </c>
      <c r="C111" t="s">
        <v>4041</v>
      </c>
      <c r="D111" t="s">
        <v>4736</v>
      </c>
      <c r="E111" t="s">
        <v>131</v>
      </c>
      <c r="F111" t="s">
        <v>4737</v>
      </c>
      <c r="G111" t="s">
        <v>4738</v>
      </c>
      <c r="H111" t="s">
        <v>3560</v>
      </c>
      <c r="I111" t="s">
        <v>2998</v>
      </c>
      <c r="J111" t="s">
        <v>3561</v>
      </c>
      <c r="K111" t="s">
        <v>3000</v>
      </c>
      <c r="L111" t="s">
        <v>3001</v>
      </c>
      <c r="M111" t="s">
        <v>4739</v>
      </c>
      <c r="N111" t="s">
        <v>4740</v>
      </c>
      <c r="O111" t="s">
        <v>4741</v>
      </c>
      <c r="P111" t="s">
        <v>4742</v>
      </c>
      <c r="Q111" t="s">
        <v>4743</v>
      </c>
      <c r="R111">
        <v>19654</v>
      </c>
      <c r="S111" t="s">
        <v>3030</v>
      </c>
      <c r="T111">
        <v>5597959255121050</v>
      </c>
      <c r="U111">
        <v>991</v>
      </c>
      <c r="V111">
        <v>43101</v>
      </c>
      <c r="W111" t="s">
        <v>4744</v>
      </c>
      <c r="X111" t="s">
        <v>4745</v>
      </c>
      <c r="Y111" t="s">
        <v>3321</v>
      </c>
      <c r="Z111" t="s">
        <v>4746</v>
      </c>
      <c r="AA111" t="s">
        <v>4099</v>
      </c>
      <c r="AB111" t="s">
        <v>4747</v>
      </c>
      <c r="AC111" t="s">
        <v>4748</v>
      </c>
      <c r="AD111" t="s">
        <v>3151</v>
      </c>
      <c r="AE111">
        <v>212.3</v>
      </c>
      <c r="AF111">
        <v>96.5</v>
      </c>
      <c r="AG111" t="s">
        <v>3205</v>
      </c>
      <c r="AH111">
        <v>169</v>
      </c>
      <c r="AI111" t="s">
        <v>4749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3018</v>
      </c>
      <c r="C112" t="s">
        <v>3060</v>
      </c>
      <c r="D112" t="s">
        <v>4750</v>
      </c>
      <c r="E112" t="s">
        <v>3135</v>
      </c>
      <c r="F112" t="s">
        <v>4751</v>
      </c>
      <c r="G112" t="s">
        <v>4752</v>
      </c>
      <c r="H112" t="s">
        <v>3023</v>
      </c>
      <c r="I112" t="s">
        <v>2998</v>
      </c>
      <c r="J112" t="s">
        <v>3024</v>
      </c>
      <c r="K112" t="s">
        <v>3000</v>
      </c>
      <c r="L112" t="s">
        <v>3001</v>
      </c>
      <c r="M112" t="s">
        <v>4753</v>
      </c>
      <c r="N112" t="s">
        <v>4754</v>
      </c>
      <c r="O112" t="s">
        <v>4755</v>
      </c>
      <c r="P112" t="s">
        <v>4756</v>
      </c>
      <c r="Q112" t="s">
        <v>4757</v>
      </c>
      <c r="R112">
        <v>20596</v>
      </c>
      <c r="S112" t="s">
        <v>3030</v>
      </c>
      <c r="T112">
        <v>5163739240165560</v>
      </c>
      <c r="U112">
        <v>368</v>
      </c>
      <c r="V112">
        <v>42095</v>
      </c>
      <c r="W112" t="s">
        <v>4758</v>
      </c>
      <c r="X112" t="s">
        <v>4759</v>
      </c>
      <c r="Y112" t="s">
        <v>3010</v>
      </c>
      <c r="Z112" t="s">
        <v>4760</v>
      </c>
      <c r="AA112" t="s">
        <v>4761</v>
      </c>
      <c r="AB112" t="s">
        <v>4762</v>
      </c>
      <c r="AC112" t="s">
        <v>4763</v>
      </c>
      <c r="AD112" t="s">
        <v>3057</v>
      </c>
      <c r="AE112">
        <v>214.3</v>
      </c>
      <c r="AF112">
        <v>97.4</v>
      </c>
      <c r="AG112" t="s">
        <v>4055</v>
      </c>
      <c r="AH112">
        <v>163</v>
      </c>
      <c r="AI112" t="s">
        <v>4764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2992</v>
      </c>
      <c r="C113" t="s">
        <v>2993</v>
      </c>
      <c r="D113" t="s">
        <v>4765</v>
      </c>
      <c r="E113" t="s">
        <v>3362</v>
      </c>
      <c r="F113" t="s">
        <v>2996</v>
      </c>
      <c r="G113" t="s">
        <v>4766</v>
      </c>
      <c r="H113" t="s">
        <v>19</v>
      </c>
      <c r="I113" t="s">
        <v>2998</v>
      </c>
      <c r="J113" t="s">
        <v>41</v>
      </c>
      <c r="K113" t="s">
        <v>3000</v>
      </c>
      <c r="L113" t="s">
        <v>3001</v>
      </c>
      <c r="M113" t="s">
        <v>4767</v>
      </c>
      <c r="N113" t="s">
        <v>4768</v>
      </c>
      <c r="O113" t="s">
        <v>4769</v>
      </c>
      <c r="P113" t="s">
        <v>4770</v>
      </c>
      <c r="Q113" t="s">
        <v>4771</v>
      </c>
      <c r="R113">
        <v>25058</v>
      </c>
      <c r="S113" t="s">
        <v>3007</v>
      </c>
      <c r="T113">
        <v>4485869719506970</v>
      </c>
      <c r="U113">
        <v>114</v>
      </c>
      <c r="V113">
        <v>42370</v>
      </c>
      <c r="W113" t="s">
        <v>4772</v>
      </c>
      <c r="X113" t="s">
        <v>4773</v>
      </c>
      <c r="Y113" t="s">
        <v>3010</v>
      </c>
      <c r="Z113" t="s">
        <v>4774</v>
      </c>
      <c r="AA113" t="s">
        <v>4775</v>
      </c>
      <c r="AB113" t="s">
        <v>4776</v>
      </c>
      <c r="AC113" t="s">
        <v>4777</v>
      </c>
      <c r="AD113" t="s">
        <v>3057</v>
      </c>
      <c r="AE113">
        <v>211.6</v>
      </c>
      <c r="AF113">
        <v>96.2</v>
      </c>
      <c r="AG113" t="s">
        <v>3058</v>
      </c>
      <c r="AH113">
        <v>174</v>
      </c>
      <c r="AI113" t="s">
        <v>4778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2992</v>
      </c>
      <c r="C114" t="s">
        <v>2993</v>
      </c>
      <c r="D114" t="s">
        <v>3669</v>
      </c>
      <c r="E114" t="s">
        <v>2995</v>
      </c>
      <c r="F114" t="s">
        <v>4779</v>
      </c>
      <c r="G114" t="s">
        <v>4780</v>
      </c>
      <c r="H114" t="s">
        <v>4781</v>
      </c>
      <c r="I114" t="s">
        <v>2998</v>
      </c>
      <c r="J114" t="s">
        <v>4782</v>
      </c>
      <c r="K114" t="s">
        <v>3000</v>
      </c>
      <c r="L114" t="s">
        <v>3001</v>
      </c>
      <c r="M114" t="s">
        <v>4783</v>
      </c>
      <c r="N114" t="s">
        <v>4784</v>
      </c>
      <c r="O114" t="s">
        <v>4785</v>
      </c>
      <c r="P114" t="s">
        <v>4786</v>
      </c>
      <c r="Q114" t="s">
        <v>4787</v>
      </c>
      <c r="R114">
        <v>24489</v>
      </c>
      <c r="S114" t="s">
        <v>3007</v>
      </c>
      <c r="T114">
        <v>4556160808899140</v>
      </c>
      <c r="U114">
        <v>170</v>
      </c>
      <c r="V114">
        <v>43405</v>
      </c>
      <c r="W114" t="s">
        <v>4788</v>
      </c>
      <c r="X114" t="s">
        <v>4789</v>
      </c>
      <c r="Y114" t="s">
        <v>3010</v>
      </c>
      <c r="Z114" t="s">
        <v>4790</v>
      </c>
      <c r="AA114" t="s">
        <v>4791</v>
      </c>
      <c r="AB114" t="s">
        <v>4792</v>
      </c>
      <c r="AC114" t="s">
        <v>4793</v>
      </c>
      <c r="AD114" t="s">
        <v>4794</v>
      </c>
      <c r="AE114">
        <v>173.1</v>
      </c>
      <c r="AF114">
        <v>78.7</v>
      </c>
      <c r="AG114" t="s">
        <v>3058</v>
      </c>
      <c r="AH114">
        <v>176</v>
      </c>
      <c r="AI114" t="s">
        <v>4795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2992</v>
      </c>
      <c r="C115" t="s">
        <v>2993</v>
      </c>
      <c r="D115" t="s">
        <v>3443</v>
      </c>
      <c r="E115" t="s">
        <v>325</v>
      </c>
      <c r="F115" t="s">
        <v>4796</v>
      </c>
      <c r="G115" t="s">
        <v>4797</v>
      </c>
      <c r="H115" t="s">
        <v>4798</v>
      </c>
      <c r="I115" t="s">
        <v>2998</v>
      </c>
      <c r="J115" t="s">
        <v>4799</v>
      </c>
      <c r="K115" t="s">
        <v>3000</v>
      </c>
      <c r="L115" t="s">
        <v>3001</v>
      </c>
      <c r="M115" t="s">
        <v>4800</v>
      </c>
      <c r="N115" t="s">
        <v>4801</v>
      </c>
      <c r="O115" t="s">
        <v>4802</v>
      </c>
      <c r="P115" t="s">
        <v>4803</v>
      </c>
      <c r="Q115" t="s">
        <v>2996</v>
      </c>
      <c r="R115">
        <v>30243</v>
      </c>
      <c r="S115" t="s">
        <v>3007</v>
      </c>
      <c r="T115">
        <v>4539833781824280</v>
      </c>
      <c r="U115">
        <v>132</v>
      </c>
      <c r="V115">
        <v>43160</v>
      </c>
      <c r="W115" t="s">
        <v>4804</v>
      </c>
      <c r="X115" t="s">
        <v>4805</v>
      </c>
      <c r="Y115" t="s">
        <v>3010</v>
      </c>
      <c r="Z115" t="s">
        <v>4806</v>
      </c>
      <c r="AA115" t="s">
        <v>4807</v>
      </c>
      <c r="AB115" t="s">
        <v>4808</v>
      </c>
      <c r="AC115" t="s">
        <v>4809</v>
      </c>
      <c r="AD115" t="s">
        <v>3095</v>
      </c>
      <c r="AE115">
        <v>148.30000000000001</v>
      </c>
      <c r="AF115">
        <v>67.400000000000006</v>
      </c>
      <c r="AG115" t="s">
        <v>3256</v>
      </c>
      <c r="AH115">
        <v>178</v>
      </c>
      <c r="AI115" t="s">
        <v>4810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3018</v>
      </c>
      <c r="C116" t="s">
        <v>3060</v>
      </c>
      <c r="D116" t="s">
        <v>4811</v>
      </c>
      <c r="E116" t="s">
        <v>3475</v>
      </c>
      <c r="F116" t="s">
        <v>4812</v>
      </c>
      <c r="G116" t="s">
        <v>4813</v>
      </c>
      <c r="H116" t="s">
        <v>4557</v>
      </c>
      <c r="I116" t="s">
        <v>2998</v>
      </c>
      <c r="J116" t="s">
        <v>4814</v>
      </c>
      <c r="K116" t="s">
        <v>3000</v>
      </c>
      <c r="L116" t="s">
        <v>3001</v>
      </c>
      <c r="M116" t="s">
        <v>4815</v>
      </c>
      <c r="N116" t="s">
        <v>4816</v>
      </c>
      <c r="O116" t="s">
        <v>4817</v>
      </c>
      <c r="P116" t="s">
        <v>4818</v>
      </c>
      <c r="Q116" t="s">
        <v>2996</v>
      </c>
      <c r="R116">
        <v>23302</v>
      </c>
      <c r="S116" t="s">
        <v>3030</v>
      </c>
      <c r="T116">
        <v>5125904128482250</v>
      </c>
      <c r="U116">
        <v>754</v>
      </c>
      <c r="V116">
        <v>42583</v>
      </c>
      <c r="W116" t="s">
        <v>4819</v>
      </c>
      <c r="X116" t="s">
        <v>4820</v>
      </c>
      <c r="Y116" t="s">
        <v>3072</v>
      </c>
      <c r="Z116" t="s">
        <v>3421</v>
      </c>
      <c r="AA116" t="s">
        <v>4821</v>
      </c>
      <c r="AB116" t="s">
        <v>4822</v>
      </c>
      <c r="AC116" t="s">
        <v>4823</v>
      </c>
      <c r="AD116" t="s">
        <v>3131</v>
      </c>
      <c r="AE116">
        <v>214.3</v>
      </c>
      <c r="AF116">
        <v>97.4</v>
      </c>
      <c r="AG116" t="s">
        <v>3169</v>
      </c>
      <c r="AH116">
        <v>172</v>
      </c>
      <c r="AI116" t="s">
        <v>4824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3018</v>
      </c>
      <c r="C117" t="s">
        <v>3019</v>
      </c>
      <c r="D117" t="s">
        <v>4525</v>
      </c>
      <c r="E117" t="s">
        <v>2995</v>
      </c>
      <c r="F117" t="s">
        <v>4825</v>
      </c>
      <c r="G117" t="s">
        <v>4826</v>
      </c>
      <c r="H117" t="s">
        <v>3767</v>
      </c>
      <c r="I117" t="s">
        <v>2998</v>
      </c>
      <c r="J117" t="s">
        <v>3768</v>
      </c>
      <c r="K117" t="s">
        <v>3000</v>
      </c>
      <c r="L117" t="s">
        <v>3001</v>
      </c>
      <c r="M117" t="s">
        <v>4827</v>
      </c>
      <c r="N117" t="s">
        <v>4828</v>
      </c>
      <c r="O117" t="s">
        <v>4829</v>
      </c>
      <c r="P117" t="s">
        <v>4830</v>
      </c>
      <c r="Q117" t="s">
        <v>4831</v>
      </c>
      <c r="R117">
        <v>14202</v>
      </c>
      <c r="S117" t="s">
        <v>3030</v>
      </c>
      <c r="T117">
        <v>5146889531699860</v>
      </c>
      <c r="U117">
        <v>533</v>
      </c>
      <c r="V117">
        <v>42156</v>
      </c>
      <c r="W117" t="s">
        <v>4832</v>
      </c>
      <c r="X117" t="s">
        <v>4833</v>
      </c>
      <c r="Y117" t="s">
        <v>3010</v>
      </c>
      <c r="Z117" t="s">
        <v>4834</v>
      </c>
      <c r="AA117" t="s">
        <v>4835</v>
      </c>
      <c r="AB117" t="s">
        <v>4836</v>
      </c>
      <c r="AC117" t="s">
        <v>4837</v>
      </c>
      <c r="AD117" t="s">
        <v>4794</v>
      </c>
      <c r="AE117">
        <v>113.1</v>
      </c>
      <c r="AF117">
        <v>51.4</v>
      </c>
      <c r="AG117" t="s">
        <v>3039</v>
      </c>
      <c r="AH117">
        <v>154</v>
      </c>
      <c r="AI117" t="s">
        <v>4838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2992</v>
      </c>
      <c r="C118" t="s">
        <v>2993</v>
      </c>
      <c r="D118" t="s">
        <v>3394</v>
      </c>
      <c r="E118" t="s">
        <v>327</v>
      </c>
      <c r="F118" t="s">
        <v>4839</v>
      </c>
      <c r="G118" t="s">
        <v>4840</v>
      </c>
      <c r="H118" t="s">
        <v>50</v>
      </c>
      <c r="I118" t="s">
        <v>2998</v>
      </c>
      <c r="J118" t="s">
        <v>4841</v>
      </c>
      <c r="K118" t="s">
        <v>3000</v>
      </c>
      <c r="L118" t="s">
        <v>3001</v>
      </c>
      <c r="M118" t="s">
        <v>4842</v>
      </c>
      <c r="N118" t="s">
        <v>4843</v>
      </c>
      <c r="O118" t="s">
        <v>4844</v>
      </c>
      <c r="P118" t="s">
        <v>4845</v>
      </c>
      <c r="Q118" t="s">
        <v>4846</v>
      </c>
      <c r="R118">
        <v>13985</v>
      </c>
      <c r="S118" t="s">
        <v>3030</v>
      </c>
      <c r="T118">
        <v>5515738006251740</v>
      </c>
      <c r="U118">
        <v>100</v>
      </c>
      <c r="V118">
        <v>43586</v>
      </c>
      <c r="W118" t="s">
        <v>4847</v>
      </c>
      <c r="X118" t="s">
        <v>4848</v>
      </c>
      <c r="Y118" t="s">
        <v>3010</v>
      </c>
      <c r="Z118" t="s">
        <v>4849</v>
      </c>
      <c r="AA118" t="s">
        <v>4850</v>
      </c>
      <c r="AB118" t="s">
        <v>4851</v>
      </c>
      <c r="AC118" t="s">
        <v>4852</v>
      </c>
      <c r="AD118" t="s">
        <v>3095</v>
      </c>
      <c r="AE118">
        <v>213.2</v>
      </c>
      <c r="AF118">
        <v>96.9</v>
      </c>
      <c r="AG118" t="s">
        <v>3187</v>
      </c>
      <c r="AH118">
        <v>183</v>
      </c>
      <c r="AI118" t="s">
        <v>4853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2992</v>
      </c>
      <c r="C119" t="s">
        <v>2993</v>
      </c>
      <c r="D119" t="s">
        <v>3635</v>
      </c>
      <c r="E119" t="s">
        <v>2995</v>
      </c>
      <c r="F119" t="s">
        <v>2996</v>
      </c>
      <c r="G119" t="s">
        <v>4854</v>
      </c>
      <c r="H119" t="s">
        <v>3347</v>
      </c>
      <c r="I119" t="s">
        <v>2998</v>
      </c>
      <c r="J119" t="s">
        <v>3984</v>
      </c>
      <c r="K119" t="s">
        <v>3000</v>
      </c>
      <c r="L119" t="s">
        <v>3001</v>
      </c>
      <c r="M119" t="s">
        <v>4855</v>
      </c>
      <c r="N119" t="s">
        <v>4856</v>
      </c>
      <c r="O119" t="s">
        <v>4857</v>
      </c>
      <c r="P119" t="s">
        <v>4858</v>
      </c>
      <c r="Q119" t="s">
        <v>3006</v>
      </c>
      <c r="R119">
        <v>33663</v>
      </c>
      <c r="S119" t="s">
        <v>3007</v>
      </c>
      <c r="T119">
        <v>4556682234049730</v>
      </c>
      <c r="U119">
        <v>649</v>
      </c>
      <c r="V119">
        <v>43009</v>
      </c>
      <c r="W119" t="s">
        <v>4859</v>
      </c>
      <c r="X119" t="s">
        <v>4860</v>
      </c>
      <c r="Y119" t="s">
        <v>3321</v>
      </c>
      <c r="Z119" t="s">
        <v>4861</v>
      </c>
      <c r="AA119" t="s">
        <v>4862</v>
      </c>
      <c r="AB119" t="s">
        <v>4863</v>
      </c>
      <c r="AC119" t="s">
        <v>4864</v>
      </c>
      <c r="AD119" t="s">
        <v>3057</v>
      </c>
      <c r="AE119">
        <v>225.9</v>
      </c>
      <c r="AF119">
        <v>102.7</v>
      </c>
      <c r="AG119" t="s">
        <v>4865</v>
      </c>
      <c r="AH119">
        <v>190</v>
      </c>
      <c r="AI119" t="s">
        <v>4866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2992</v>
      </c>
      <c r="C120" t="s">
        <v>2993</v>
      </c>
      <c r="D120" t="s">
        <v>4867</v>
      </c>
      <c r="E120" t="s">
        <v>3135</v>
      </c>
      <c r="F120" t="s">
        <v>4868</v>
      </c>
      <c r="G120" t="s">
        <v>4869</v>
      </c>
      <c r="H120" t="s">
        <v>4870</v>
      </c>
      <c r="I120" t="s">
        <v>2998</v>
      </c>
      <c r="J120" t="s">
        <v>4871</v>
      </c>
      <c r="K120" t="s">
        <v>3000</v>
      </c>
      <c r="L120" t="s">
        <v>3001</v>
      </c>
      <c r="M120" t="s">
        <v>4872</v>
      </c>
      <c r="N120" t="s">
        <v>4873</v>
      </c>
      <c r="O120" t="s">
        <v>4874</v>
      </c>
      <c r="P120" t="s">
        <v>4875</v>
      </c>
      <c r="Q120" t="s">
        <v>3591</v>
      </c>
      <c r="R120">
        <v>18997</v>
      </c>
      <c r="S120" t="s">
        <v>3007</v>
      </c>
      <c r="T120">
        <v>4916275723250530</v>
      </c>
      <c r="U120">
        <v>58</v>
      </c>
      <c r="V120">
        <v>43556</v>
      </c>
      <c r="W120" t="s">
        <v>4876</v>
      </c>
      <c r="X120" t="s">
        <v>4877</v>
      </c>
      <c r="Y120" t="s">
        <v>3321</v>
      </c>
      <c r="Z120" t="s">
        <v>4731</v>
      </c>
      <c r="AA120" t="s">
        <v>4878</v>
      </c>
      <c r="AB120" t="s">
        <v>4879</v>
      </c>
      <c r="AC120" t="s">
        <v>4880</v>
      </c>
      <c r="AD120" t="s">
        <v>3095</v>
      </c>
      <c r="AE120">
        <v>187.9</v>
      </c>
      <c r="AF120">
        <v>85.4</v>
      </c>
      <c r="AG120" t="s">
        <v>3441</v>
      </c>
      <c r="AH120">
        <v>181</v>
      </c>
      <c r="AI120" t="s">
        <v>4881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2992</v>
      </c>
      <c r="C121" t="s">
        <v>2993</v>
      </c>
      <c r="D121" t="s">
        <v>4882</v>
      </c>
      <c r="E121" t="s">
        <v>3154</v>
      </c>
      <c r="F121" t="s">
        <v>3318</v>
      </c>
      <c r="G121" t="s">
        <v>4883</v>
      </c>
      <c r="H121" t="s">
        <v>4884</v>
      </c>
      <c r="I121" t="s">
        <v>2998</v>
      </c>
      <c r="J121" t="s">
        <v>4885</v>
      </c>
      <c r="K121" t="s">
        <v>3000</v>
      </c>
      <c r="L121" t="s">
        <v>3001</v>
      </c>
      <c r="M121" t="s">
        <v>4886</v>
      </c>
      <c r="N121" t="s">
        <v>4887</v>
      </c>
      <c r="O121" t="s">
        <v>4888</v>
      </c>
      <c r="P121" t="s">
        <v>4889</v>
      </c>
      <c r="Q121" t="s">
        <v>4890</v>
      </c>
      <c r="R121">
        <v>25536</v>
      </c>
      <c r="S121" t="s">
        <v>3030</v>
      </c>
      <c r="T121">
        <v>5414290779777070</v>
      </c>
      <c r="U121">
        <v>208</v>
      </c>
      <c r="V121">
        <v>42705</v>
      </c>
      <c r="W121" t="s">
        <v>4891</v>
      </c>
      <c r="X121" t="s">
        <v>4892</v>
      </c>
      <c r="Y121" t="s">
        <v>3321</v>
      </c>
      <c r="Z121" t="s">
        <v>4893</v>
      </c>
      <c r="AA121" t="s">
        <v>4894</v>
      </c>
      <c r="AB121" t="s">
        <v>4895</v>
      </c>
      <c r="AC121" t="s">
        <v>4896</v>
      </c>
      <c r="AD121" t="s">
        <v>3057</v>
      </c>
      <c r="AE121">
        <v>165</v>
      </c>
      <c r="AF121">
        <v>75</v>
      </c>
      <c r="AG121" t="s">
        <v>3016</v>
      </c>
      <c r="AH121">
        <v>185</v>
      </c>
      <c r="AI121" t="s">
        <v>4897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2992</v>
      </c>
      <c r="C122" t="s">
        <v>2993</v>
      </c>
      <c r="D122" t="s">
        <v>3378</v>
      </c>
      <c r="E122" t="s">
        <v>326</v>
      </c>
      <c r="F122" t="s">
        <v>4104</v>
      </c>
      <c r="G122" t="s">
        <v>4898</v>
      </c>
      <c r="H122" t="s">
        <v>3295</v>
      </c>
      <c r="I122" t="s">
        <v>2998</v>
      </c>
      <c r="J122" t="s">
        <v>3296</v>
      </c>
      <c r="K122" t="s">
        <v>3000</v>
      </c>
      <c r="L122" t="s">
        <v>3001</v>
      </c>
      <c r="M122" t="s">
        <v>4899</v>
      </c>
      <c r="N122" t="s">
        <v>4900</v>
      </c>
      <c r="O122" t="s">
        <v>4901</v>
      </c>
      <c r="P122" t="s">
        <v>4902</v>
      </c>
      <c r="Q122" t="s">
        <v>4903</v>
      </c>
      <c r="R122">
        <v>17662</v>
      </c>
      <c r="S122" t="s">
        <v>3030</v>
      </c>
      <c r="T122">
        <v>5422829014022100</v>
      </c>
      <c r="U122">
        <v>521</v>
      </c>
      <c r="V122">
        <v>42461</v>
      </c>
      <c r="W122" t="s">
        <v>4904</v>
      </c>
      <c r="X122" t="s">
        <v>4905</v>
      </c>
      <c r="Y122" t="s">
        <v>3010</v>
      </c>
      <c r="Z122" t="s">
        <v>4906</v>
      </c>
      <c r="AA122" t="s">
        <v>4907</v>
      </c>
      <c r="AB122" t="s">
        <v>4908</v>
      </c>
      <c r="AC122" t="s">
        <v>4909</v>
      </c>
      <c r="AD122" t="s">
        <v>3057</v>
      </c>
      <c r="AE122">
        <v>183.7</v>
      </c>
      <c r="AF122">
        <v>83.5</v>
      </c>
      <c r="AG122" t="s">
        <v>3205</v>
      </c>
      <c r="AH122">
        <v>171</v>
      </c>
      <c r="AI122" t="s">
        <v>4910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2992</v>
      </c>
      <c r="C123" t="s">
        <v>2993</v>
      </c>
      <c r="D123" t="s">
        <v>4911</v>
      </c>
      <c r="E123" t="s">
        <v>3154</v>
      </c>
      <c r="F123" t="s">
        <v>4839</v>
      </c>
      <c r="G123" t="s">
        <v>4912</v>
      </c>
      <c r="H123" t="s">
        <v>4132</v>
      </c>
      <c r="I123" t="s">
        <v>2998</v>
      </c>
      <c r="J123" t="s">
        <v>4133</v>
      </c>
      <c r="K123" t="s">
        <v>3000</v>
      </c>
      <c r="L123" t="s">
        <v>3001</v>
      </c>
      <c r="M123" t="s">
        <v>4913</v>
      </c>
      <c r="N123" t="s">
        <v>4914</v>
      </c>
      <c r="O123" t="s">
        <v>4915</v>
      </c>
      <c r="P123" t="s">
        <v>4916</v>
      </c>
      <c r="Q123" t="s">
        <v>4917</v>
      </c>
      <c r="R123">
        <v>27160</v>
      </c>
      <c r="S123" t="s">
        <v>3007</v>
      </c>
      <c r="T123">
        <v>4916342115243980</v>
      </c>
      <c r="U123">
        <v>883</v>
      </c>
      <c r="V123">
        <v>43647</v>
      </c>
      <c r="W123" t="s">
        <v>4918</v>
      </c>
      <c r="X123" t="s">
        <v>4919</v>
      </c>
      <c r="Y123" t="s">
        <v>3010</v>
      </c>
      <c r="Z123" t="s">
        <v>4920</v>
      </c>
      <c r="AA123" t="s">
        <v>4921</v>
      </c>
      <c r="AB123" t="s">
        <v>4922</v>
      </c>
      <c r="AC123" t="s">
        <v>4923</v>
      </c>
      <c r="AD123" t="s">
        <v>3095</v>
      </c>
      <c r="AE123">
        <v>240.5</v>
      </c>
      <c r="AF123">
        <v>109.3</v>
      </c>
      <c r="AG123" t="s">
        <v>3016</v>
      </c>
      <c r="AH123">
        <v>186</v>
      </c>
      <c r="AI123" t="s">
        <v>4924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2992</v>
      </c>
      <c r="C124" t="s">
        <v>2993</v>
      </c>
      <c r="D124" t="s">
        <v>4554</v>
      </c>
      <c r="E124" t="s">
        <v>329</v>
      </c>
      <c r="F124" t="s">
        <v>4925</v>
      </c>
      <c r="G124" t="s">
        <v>4926</v>
      </c>
      <c r="H124" t="s">
        <v>4927</v>
      </c>
      <c r="I124" t="s">
        <v>2998</v>
      </c>
      <c r="J124" t="s">
        <v>4928</v>
      </c>
      <c r="K124" t="s">
        <v>3000</v>
      </c>
      <c r="L124" t="s">
        <v>3001</v>
      </c>
      <c r="M124" t="s">
        <v>4929</v>
      </c>
      <c r="N124" t="s">
        <v>4930</v>
      </c>
      <c r="O124" t="s">
        <v>4931</v>
      </c>
      <c r="P124" t="s">
        <v>4932</v>
      </c>
      <c r="Q124" t="s">
        <v>4263</v>
      </c>
      <c r="R124">
        <v>30456</v>
      </c>
      <c r="S124" t="s">
        <v>3030</v>
      </c>
      <c r="T124">
        <v>5261365140959160</v>
      </c>
      <c r="U124">
        <v>323</v>
      </c>
      <c r="V124">
        <v>43132</v>
      </c>
      <c r="W124" t="s">
        <v>4933</v>
      </c>
      <c r="X124" t="s">
        <v>4934</v>
      </c>
      <c r="Y124" t="s">
        <v>3010</v>
      </c>
      <c r="Z124" t="s">
        <v>4935</v>
      </c>
      <c r="AA124" t="s">
        <v>4907</v>
      </c>
      <c r="AB124" t="s">
        <v>4936</v>
      </c>
      <c r="AC124" t="s">
        <v>4937</v>
      </c>
      <c r="AD124" t="s">
        <v>3151</v>
      </c>
      <c r="AE124">
        <v>177.3</v>
      </c>
      <c r="AF124">
        <v>80.599999999999994</v>
      </c>
      <c r="AG124" t="s">
        <v>3187</v>
      </c>
      <c r="AH124">
        <v>182</v>
      </c>
      <c r="AI124" t="s">
        <v>4938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3018</v>
      </c>
      <c r="C125" t="s">
        <v>4041</v>
      </c>
      <c r="D125" t="s">
        <v>4939</v>
      </c>
      <c r="E125" t="s">
        <v>3362</v>
      </c>
      <c r="F125" t="s">
        <v>3198</v>
      </c>
      <c r="G125" t="s">
        <v>4940</v>
      </c>
      <c r="H125" t="s">
        <v>4941</v>
      </c>
      <c r="I125" t="s">
        <v>2998</v>
      </c>
      <c r="J125" t="s">
        <v>4942</v>
      </c>
      <c r="K125" t="s">
        <v>3000</v>
      </c>
      <c r="L125" t="s">
        <v>3001</v>
      </c>
      <c r="M125" t="s">
        <v>4943</v>
      </c>
      <c r="N125" t="s">
        <v>4944</v>
      </c>
      <c r="O125" t="s">
        <v>4945</v>
      </c>
      <c r="P125" t="s">
        <v>4946</v>
      </c>
      <c r="Q125" t="s">
        <v>3566</v>
      </c>
      <c r="R125">
        <v>30263</v>
      </c>
      <c r="S125" t="s">
        <v>3007</v>
      </c>
      <c r="T125">
        <v>4539312199529070</v>
      </c>
      <c r="U125">
        <v>449</v>
      </c>
      <c r="V125">
        <v>42705</v>
      </c>
      <c r="W125" t="s">
        <v>4947</v>
      </c>
      <c r="X125" t="s">
        <v>4948</v>
      </c>
      <c r="Y125" t="s">
        <v>3164</v>
      </c>
      <c r="Z125" t="s">
        <v>4949</v>
      </c>
      <c r="AA125" t="s">
        <v>4950</v>
      </c>
      <c r="AB125" t="s">
        <v>4951</v>
      </c>
      <c r="AC125" t="s">
        <v>4952</v>
      </c>
      <c r="AD125" t="s">
        <v>3095</v>
      </c>
      <c r="AE125">
        <v>218.5</v>
      </c>
      <c r="AF125">
        <v>99.3</v>
      </c>
      <c r="AG125" t="s">
        <v>3506</v>
      </c>
      <c r="AH125">
        <v>159</v>
      </c>
      <c r="AI125" t="s">
        <v>4953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2992</v>
      </c>
      <c r="C126" t="s">
        <v>2993</v>
      </c>
      <c r="D126" t="s">
        <v>4954</v>
      </c>
      <c r="E126" t="s">
        <v>325</v>
      </c>
      <c r="F126" t="s">
        <v>4955</v>
      </c>
      <c r="G126" t="s">
        <v>4956</v>
      </c>
      <c r="H126" t="s">
        <v>4280</v>
      </c>
      <c r="I126" t="s">
        <v>2998</v>
      </c>
      <c r="J126" t="s">
        <v>4281</v>
      </c>
      <c r="K126" t="s">
        <v>3000</v>
      </c>
      <c r="L126" t="s">
        <v>3001</v>
      </c>
      <c r="M126" t="s">
        <v>4957</v>
      </c>
      <c r="N126" t="s">
        <v>4958</v>
      </c>
      <c r="O126" t="s">
        <v>4959</v>
      </c>
      <c r="P126" t="s">
        <v>4960</v>
      </c>
      <c r="Q126" t="s">
        <v>4961</v>
      </c>
      <c r="R126">
        <v>20634</v>
      </c>
      <c r="S126" t="s">
        <v>3030</v>
      </c>
      <c r="T126">
        <v>5378200957082370</v>
      </c>
      <c r="U126">
        <v>142</v>
      </c>
      <c r="V126">
        <v>43101</v>
      </c>
      <c r="W126" t="s">
        <v>4962</v>
      </c>
      <c r="X126" t="s">
        <v>4963</v>
      </c>
      <c r="Y126" t="s">
        <v>3010</v>
      </c>
      <c r="Z126" t="s">
        <v>4964</v>
      </c>
      <c r="AA126" t="s">
        <v>3012</v>
      </c>
      <c r="AB126" t="s">
        <v>4965</v>
      </c>
      <c r="AC126" t="s">
        <v>4966</v>
      </c>
      <c r="AD126" t="s">
        <v>3151</v>
      </c>
      <c r="AE126">
        <v>210.5</v>
      </c>
      <c r="AF126">
        <v>95.7</v>
      </c>
      <c r="AG126" t="s">
        <v>3016</v>
      </c>
      <c r="AH126">
        <v>186</v>
      </c>
      <c r="AI126" t="s">
        <v>4967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2992</v>
      </c>
      <c r="C127" t="s">
        <v>2993</v>
      </c>
      <c r="D127" t="s">
        <v>4968</v>
      </c>
      <c r="E127" t="s">
        <v>2995</v>
      </c>
      <c r="F127" t="s">
        <v>4969</v>
      </c>
      <c r="G127" t="s">
        <v>4970</v>
      </c>
      <c r="H127" t="s">
        <v>2</v>
      </c>
      <c r="I127" t="s">
        <v>2998</v>
      </c>
      <c r="J127" t="s">
        <v>3906</v>
      </c>
      <c r="K127" t="s">
        <v>3000</v>
      </c>
      <c r="L127" t="s">
        <v>3001</v>
      </c>
      <c r="M127" t="s">
        <v>4971</v>
      </c>
      <c r="N127" t="s">
        <v>4972</v>
      </c>
      <c r="O127" t="s">
        <v>4973</v>
      </c>
      <c r="P127" t="s">
        <v>4974</v>
      </c>
      <c r="Q127" t="s">
        <v>4474</v>
      </c>
      <c r="R127">
        <v>25258</v>
      </c>
      <c r="S127" t="s">
        <v>3030</v>
      </c>
      <c r="T127">
        <v>5452790814384290</v>
      </c>
      <c r="U127">
        <v>875</v>
      </c>
      <c r="V127">
        <v>42795</v>
      </c>
      <c r="W127" t="s">
        <v>4975</v>
      </c>
      <c r="X127" t="s">
        <v>4976</v>
      </c>
      <c r="Y127" t="s">
        <v>3010</v>
      </c>
      <c r="Z127" t="s">
        <v>4977</v>
      </c>
      <c r="AA127" t="s">
        <v>4978</v>
      </c>
      <c r="AB127" t="s">
        <v>4979</v>
      </c>
      <c r="AC127" t="s">
        <v>4980</v>
      </c>
      <c r="AD127" t="s">
        <v>3015</v>
      </c>
      <c r="AE127">
        <v>163.19999999999999</v>
      </c>
      <c r="AF127">
        <v>74.2</v>
      </c>
      <c r="AG127" t="s">
        <v>3187</v>
      </c>
      <c r="AH127">
        <v>182</v>
      </c>
      <c r="AI127" t="s">
        <v>4981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2992</v>
      </c>
      <c r="C128" t="s">
        <v>2993</v>
      </c>
      <c r="D128" t="s">
        <v>4982</v>
      </c>
      <c r="E128" t="s">
        <v>328</v>
      </c>
      <c r="F128" t="s">
        <v>4605</v>
      </c>
      <c r="G128" t="s">
        <v>4983</v>
      </c>
      <c r="H128" t="s">
        <v>4280</v>
      </c>
      <c r="I128" t="s">
        <v>2998</v>
      </c>
      <c r="J128" t="s">
        <v>4281</v>
      </c>
      <c r="K128" t="s">
        <v>3000</v>
      </c>
      <c r="L128" t="s">
        <v>3001</v>
      </c>
      <c r="M128" t="s">
        <v>4984</v>
      </c>
      <c r="N128" t="s">
        <v>4985</v>
      </c>
      <c r="O128" t="s">
        <v>4986</v>
      </c>
      <c r="P128" t="s">
        <v>4987</v>
      </c>
      <c r="Q128" t="s">
        <v>4988</v>
      </c>
      <c r="R128">
        <v>15301</v>
      </c>
      <c r="S128" t="s">
        <v>3007</v>
      </c>
      <c r="T128">
        <v>4916696288513080</v>
      </c>
      <c r="U128">
        <v>66</v>
      </c>
      <c r="V128">
        <v>42795</v>
      </c>
      <c r="W128" t="s">
        <v>4989</v>
      </c>
      <c r="X128" t="s">
        <v>4990</v>
      </c>
      <c r="Y128" t="s">
        <v>3010</v>
      </c>
      <c r="Z128" t="s">
        <v>4991</v>
      </c>
      <c r="AA128" t="s">
        <v>4992</v>
      </c>
      <c r="AB128" t="s">
        <v>4993</v>
      </c>
      <c r="AC128" t="s">
        <v>4994</v>
      </c>
      <c r="AD128" t="s">
        <v>3131</v>
      </c>
      <c r="AE128">
        <v>232.8</v>
      </c>
      <c r="AF128">
        <v>105.8</v>
      </c>
      <c r="AG128" t="s">
        <v>3256</v>
      </c>
      <c r="AH128">
        <v>178</v>
      </c>
      <c r="AI128" t="s">
        <v>4995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3018</v>
      </c>
      <c r="C129" t="s">
        <v>3019</v>
      </c>
      <c r="D129" t="s">
        <v>4996</v>
      </c>
      <c r="E129" t="s">
        <v>322</v>
      </c>
      <c r="F129" t="s">
        <v>4997</v>
      </c>
      <c r="G129" t="s">
        <v>4998</v>
      </c>
      <c r="H129" t="s">
        <v>19</v>
      </c>
      <c r="I129" t="s">
        <v>2998</v>
      </c>
      <c r="J129" t="s">
        <v>3119</v>
      </c>
      <c r="K129" t="s">
        <v>3000</v>
      </c>
      <c r="L129" t="s">
        <v>3001</v>
      </c>
      <c r="M129" t="s">
        <v>4999</v>
      </c>
      <c r="N129" t="s">
        <v>5000</v>
      </c>
      <c r="O129" t="s">
        <v>5001</v>
      </c>
      <c r="P129" t="s">
        <v>5002</v>
      </c>
      <c r="Q129" t="s">
        <v>5003</v>
      </c>
      <c r="R129">
        <v>25229</v>
      </c>
      <c r="S129" t="s">
        <v>3030</v>
      </c>
      <c r="T129">
        <v>5327462357326370</v>
      </c>
      <c r="U129">
        <v>808</v>
      </c>
      <c r="V129">
        <v>42186</v>
      </c>
      <c r="W129" t="s">
        <v>5004</v>
      </c>
      <c r="X129" t="s">
        <v>5005</v>
      </c>
      <c r="Y129" t="s">
        <v>3072</v>
      </c>
      <c r="Z129" t="s">
        <v>5006</v>
      </c>
      <c r="AA129" t="s">
        <v>5007</v>
      </c>
      <c r="AB129" t="s">
        <v>5008</v>
      </c>
      <c r="AC129" t="s">
        <v>5009</v>
      </c>
      <c r="AD129" t="s">
        <v>3095</v>
      </c>
      <c r="AE129">
        <v>118.1</v>
      </c>
      <c r="AF129">
        <v>53.7</v>
      </c>
      <c r="AG129" t="s">
        <v>3039</v>
      </c>
      <c r="AH129">
        <v>155</v>
      </c>
      <c r="AI129" t="s">
        <v>5010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2992</v>
      </c>
      <c r="C130" t="s">
        <v>2993</v>
      </c>
      <c r="D130" t="s">
        <v>3394</v>
      </c>
      <c r="E130" t="s">
        <v>322</v>
      </c>
      <c r="F130" t="s">
        <v>5011</v>
      </c>
      <c r="G130" t="s">
        <v>5012</v>
      </c>
      <c r="H130" t="s">
        <v>5013</v>
      </c>
      <c r="I130" t="s">
        <v>2998</v>
      </c>
      <c r="J130" t="s">
        <v>5014</v>
      </c>
      <c r="K130" t="s">
        <v>3000</v>
      </c>
      <c r="L130" t="s">
        <v>3001</v>
      </c>
      <c r="M130" t="s">
        <v>5015</v>
      </c>
      <c r="N130" t="s">
        <v>5016</v>
      </c>
      <c r="O130" t="s">
        <v>5017</v>
      </c>
      <c r="P130" t="s">
        <v>5018</v>
      </c>
      <c r="Q130" t="s">
        <v>3677</v>
      </c>
      <c r="R130">
        <v>23331</v>
      </c>
      <c r="S130" t="s">
        <v>3007</v>
      </c>
      <c r="T130">
        <v>4485502697281220</v>
      </c>
      <c r="U130">
        <v>851</v>
      </c>
      <c r="V130">
        <v>43070</v>
      </c>
      <c r="W130" t="s">
        <v>5019</v>
      </c>
      <c r="X130" t="s">
        <v>5020</v>
      </c>
      <c r="Y130" t="s">
        <v>3219</v>
      </c>
      <c r="Z130" t="s">
        <v>5021</v>
      </c>
      <c r="AA130" t="s">
        <v>5022</v>
      </c>
      <c r="AB130" t="s">
        <v>5023</v>
      </c>
      <c r="AC130" t="s">
        <v>5024</v>
      </c>
      <c r="AD130" t="s">
        <v>3095</v>
      </c>
      <c r="AE130">
        <v>187.7</v>
      </c>
      <c r="AF130">
        <v>85.3</v>
      </c>
      <c r="AG130" t="s">
        <v>3016</v>
      </c>
      <c r="AH130">
        <v>186</v>
      </c>
      <c r="AI130" t="s">
        <v>5025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3018</v>
      </c>
      <c r="C131" t="s">
        <v>3019</v>
      </c>
      <c r="D131" t="s">
        <v>5026</v>
      </c>
      <c r="E131" t="s">
        <v>325</v>
      </c>
      <c r="F131" t="s">
        <v>5027</v>
      </c>
      <c r="G131" t="s">
        <v>5028</v>
      </c>
      <c r="H131" t="s">
        <v>2</v>
      </c>
      <c r="I131" t="s">
        <v>2998</v>
      </c>
      <c r="J131" t="s">
        <v>3365</v>
      </c>
      <c r="K131" t="s">
        <v>3000</v>
      </c>
      <c r="L131" t="s">
        <v>3001</v>
      </c>
      <c r="M131" t="s">
        <v>5029</v>
      </c>
      <c r="N131" t="s">
        <v>5030</v>
      </c>
      <c r="O131" t="s">
        <v>5031</v>
      </c>
      <c r="P131" t="s">
        <v>5032</v>
      </c>
      <c r="Q131" t="s">
        <v>5033</v>
      </c>
      <c r="R131">
        <v>14783</v>
      </c>
      <c r="S131" t="s">
        <v>3030</v>
      </c>
      <c r="T131">
        <v>5290102379576160</v>
      </c>
      <c r="U131">
        <v>57</v>
      </c>
      <c r="V131">
        <v>42736</v>
      </c>
      <c r="W131" t="s">
        <v>5034</v>
      </c>
      <c r="X131" t="s">
        <v>5035</v>
      </c>
      <c r="Y131" t="s">
        <v>3010</v>
      </c>
      <c r="Z131" t="s">
        <v>5036</v>
      </c>
      <c r="AA131" t="s">
        <v>5037</v>
      </c>
      <c r="AB131" t="s">
        <v>5038</v>
      </c>
      <c r="AC131" t="s">
        <v>5039</v>
      </c>
      <c r="AD131" t="s">
        <v>3151</v>
      </c>
      <c r="AE131">
        <v>208.1</v>
      </c>
      <c r="AF131">
        <v>94.6</v>
      </c>
      <c r="AG131" t="s">
        <v>3096</v>
      </c>
      <c r="AH131">
        <v>167</v>
      </c>
      <c r="AI131" t="s">
        <v>5040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2992</v>
      </c>
      <c r="C132" t="s">
        <v>2993</v>
      </c>
      <c r="D132" t="s">
        <v>3443</v>
      </c>
      <c r="E132" t="s">
        <v>325</v>
      </c>
      <c r="F132" t="s">
        <v>5041</v>
      </c>
      <c r="G132" t="s">
        <v>5042</v>
      </c>
      <c r="H132" t="s">
        <v>3243</v>
      </c>
      <c r="I132" t="s">
        <v>2998</v>
      </c>
      <c r="J132" t="s">
        <v>3799</v>
      </c>
      <c r="K132" t="s">
        <v>3000</v>
      </c>
      <c r="L132" t="s">
        <v>3001</v>
      </c>
      <c r="M132" t="s">
        <v>5043</v>
      </c>
      <c r="N132" t="s">
        <v>5044</v>
      </c>
      <c r="O132" t="s">
        <v>5045</v>
      </c>
      <c r="P132" t="s">
        <v>5046</v>
      </c>
      <c r="Q132" t="s">
        <v>5047</v>
      </c>
      <c r="R132">
        <v>30190</v>
      </c>
      <c r="S132" t="s">
        <v>3030</v>
      </c>
      <c r="T132">
        <v>5404961433105030</v>
      </c>
      <c r="U132">
        <v>413</v>
      </c>
      <c r="V132">
        <v>42583</v>
      </c>
      <c r="W132" t="s">
        <v>5048</v>
      </c>
      <c r="X132" t="s">
        <v>5049</v>
      </c>
      <c r="Y132" t="s">
        <v>3010</v>
      </c>
      <c r="Z132" t="s">
        <v>5050</v>
      </c>
      <c r="AA132" t="s">
        <v>5051</v>
      </c>
      <c r="AB132" t="s">
        <v>5052</v>
      </c>
      <c r="AC132" t="s">
        <v>5053</v>
      </c>
      <c r="AD132" t="s">
        <v>3057</v>
      </c>
      <c r="AE132">
        <v>169.6</v>
      </c>
      <c r="AF132">
        <v>77.099999999999994</v>
      </c>
      <c r="AG132" t="s">
        <v>3205</v>
      </c>
      <c r="AH132">
        <v>169</v>
      </c>
      <c r="AI132" t="s">
        <v>5054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2992</v>
      </c>
      <c r="C133" t="s">
        <v>2993</v>
      </c>
      <c r="D133" t="s">
        <v>3171</v>
      </c>
      <c r="E133" t="s">
        <v>328</v>
      </c>
      <c r="F133" t="s">
        <v>5055</v>
      </c>
      <c r="G133" t="s">
        <v>5056</v>
      </c>
      <c r="H133" t="s">
        <v>19</v>
      </c>
      <c r="I133" t="s">
        <v>2998</v>
      </c>
      <c r="J133" t="s">
        <v>3119</v>
      </c>
      <c r="K133" t="s">
        <v>3000</v>
      </c>
      <c r="L133" t="s">
        <v>3001</v>
      </c>
      <c r="M133" t="s">
        <v>5057</v>
      </c>
      <c r="N133" t="s">
        <v>5058</v>
      </c>
      <c r="O133" t="s">
        <v>5059</v>
      </c>
      <c r="P133" t="s">
        <v>5060</v>
      </c>
      <c r="Q133" t="s">
        <v>3717</v>
      </c>
      <c r="R133">
        <v>27318</v>
      </c>
      <c r="S133" t="s">
        <v>3007</v>
      </c>
      <c r="T133">
        <v>4532173823350320</v>
      </c>
      <c r="U133">
        <v>608</v>
      </c>
      <c r="V133">
        <v>43282</v>
      </c>
      <c r="W133" t="s">
        <v>5061</v>
      </c>
      <c r="X133" t="s">
        <v>5062</v>
      </c>
      <c r="Y133" t="s">
        <v>3010</v>
      </c>
      <c r="Z133" t="s">
        <v>5063</v>
      </c>
      <c r="AA133" t="s">
        <v>5064</v>
      </c>
      <c r="AB133" t="s">
        <v>5065</v>
      </c>
      <c r="AC133" t="s">
        <v>5066</v>
      </c>
      <c r="AD133" t="s">
        <v>3057</v>
      </c>
      <c r="AE133">
        <v>223.3</v>
      </c>
      <c r="AF133">
        <v>101.5</v>
      </c>
      <c r="AG133" t="s">
        <v>3187</v>
      </c>
      <c r="AH133">
        <v>184</v>
      </c>
      <c r="AI133" t="s">
        <v>5067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2992</v>
      </c>
      <c r="C134" t="s">
        <v>2993</v>
      </c>
      <c r="D134" t="s">
        <v>3394</v>
      </c>
      <c r="E134" t="s">
        <v>4247</v>
      </c>
      <c r="F134" t="s">
        <v>5068</v>
      </c>
      <c r="G134" t="s">
        <v>5069</v>
      </c>
      <c r="H134" t="s">
        <v>11</v>
      </c>
      <c r="I134" t="s">
        <v>2998</v>
      </c>
      <c r="J134" t="s">
        <v>5070</v>
      </c>
      <c r="K134" t="s">
        <v>3000</v>
      </c>
      <c r="L134" t="s">
        <v>3001</v>
      </c>
      <c r="M134" t="s">
        <v>5071</v>
      </c>
      <c r="N134" t="s">
        <v>5072</v>
      </c>
      <c r="O134" t="s">
        <v>5073</v>
      </c>
      <c r="P134" t="s">
        <v>5074</v>
      </c>
      <c r="Q134" t="s">
        <v>5075</v>
      </c>
      <c r="R134">
        <v>23811</v>
      </c>
      <c r="S134" t="s">
        <v>3007</v>
      </c>
      <c r="T134">
        <v>4716954576901950</v>
      </c>
      <c r="U134">
        <v>206</v>
      </c>
      <c r="V134">
        <v>42217</v>
      </c>
      <c r="W134" t="s">
        <v>5076</v>
      </c>
      <c r="X134" t="s">
        <v>5077</v>
      </c>
      <c r="Y134" t="s">
        <v>3219</v>
      </c>
      <c r="Z134" t="s">
        <v>5078</v>
      </c>
      <c r="AA134" t="s">
        <v>5079</v>
      </c>
      <c r="AB134" t="s">
        <v>5080</v>
      </c>
      <c r="AC134" t="s">
        <v>5081</v>
      </c>
      <c r="AD134" t="s">
        <v>3095</v>
      </c>
      <c r="AE134">
        <v>194.5</v>
      </c>
      <c r="AF134">
        <v>88.4</v>
      </c>
      <c r="AG134" t="s">
        <v>3256</v>
      </c>
      <c r="AH134">
        <v>179</v>
      </c>
      <c r="AI134" t="s">
        <v>5082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2992</v>
      </c>
      <c r="C135" t="s">
        <v>2993</v>
      </c>
      <c r="D135" t="s">
        <v>5083</v>
      </c>
      <c r="E135" t="s">
        <v>322</v>
      </c>
      <c r="F135" t="s">
        <v>2996</v>
      </c>
      <c r="G135" t="s">
        <v>5084</v>
      </c>
      <c r="H135" t="s">
        <v>2</v>
      </c>
      <c r="I135" t="s">
        <v>2998</v>
      </c>
      <c r="J135" t="s">
        <v>3365</v>
      </c>
      <c r="K135" t="s">
        <v>3000</v>
      </c>
      <c r="L135" t="s">
        <v>3001</v>
      </c>
      <c r="M135" t="s">
        <v>5085</v>
      </c>
      <c r="N135" t="s">
        <v>5086</v>
      </c>
      <c r="O135" t="s">
        <v>5087</v>
      </c>
      <c r="P135" t="s">
        <v>5088</v>
      </c>
      <c r="Q135" t="s">
        <v>5089</v>
      </c>
      <c r="R135">
        <v>33962</v>
      </c>
      <c r="S135" t="s">
        <v>3007</v>
      </c>
      <c r="T135">
        <v>4916913029124010</v>
      </c>
      <c r="U135">
        <v>861</v>
      </c>
      <c r="V135">
        <v>42125</v>
      </c>
      <c r="W135" t="s">
        <v>5090</v>
      </c>
      <c r="X135" t="s">
        <v>5091</v>
      </c>
      <c r="Y135" t="s">
        <v>3010</v>
      </c>
      <c r="Z135" t="s">
        <v>5092</v>
      </c>
      <c r="AA135" t="s">
        <v>5093</v>
      </c>
      <c r="AB135" t="s">
        <v>5094</v>
      </c>
      <c r="AC135" t="s">
        <v>5095</v>
      </c>
      <c r="AD135" t="s">
        <v>3095</v>
      </c>
      <c r="AE135">
        <v>159.9</v>
      </c>
      <c r="AF135">
        <v>72.7</v>
      </c>
      <c r="AG135" t="s">
        <v>3441</v>
      </c>
      <c r="AH135">
        <v>180</v>
      </c>
      <c r="AI135" t="s">
        <v>5096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3018</v>
      </c>
      <c r="C136" t="s">
        <v>3060</v>
      </c>
      <c r="D136" t="s">
        <v>5097</v>
      </c>
      <c r="E136" t="s">
        <v>327</v>
      </c>
      <c r="F136" t="s">
        <v>5098</v>
      </c>
      <c r="G136" t="s">
        <v>5099</v>
      </c>
      <c r="H136" t="s">
        <v>19</v>
      </c>
      <c r="I136" t="s">
        <v>2998</v>
      </c>
      <c r="J136" t="s">
        <v>4452</v>
      </c>
      <c r="K136" t="s">
        <v>3000</v>
      </c>
      <c r="L136" t="s">
        <v>3001</v>
      </c>
      <c r="M136" t="s">
        <v>5100</v>
      </c>
      <c r="N136" t="s">
        <v>5101</v>
      </c>
      <c r="O136" t="s">
        <v>5102</v>
      </c>
      <c r="P136" t="s">
        <v>5103</v>
      </c>
      <c r="Q136" t="s">
        <v>5104</v>
      </c>
      <c r="R136">
        <v>23023</v>
      </c>
      <c r="S136" t="s">
        <v>3007</v>
      </c>
      <c r="T136">
        <v>4916377501522100</v>
      </c>
      <c r="U136">
        <v>391</v>
      </c>
      <c r="V136">
        <v>42887</v>
      </c>
      <c r="W136" t="s">
        <v>5105</v>
      </c>
      <c r="X136" t="s">
        <v>5106</v>
      </c>
      <c r="Y136" t="s">
        <v>3321</v>
      </c>
      <c r="Z136" t="s">
        <v>5107</v>
      </c>
      <c r="AA136" t="s">
        <v>5108</v>
      </c>
      <c r="AB136" t="s">
        <v>5109</v>
      </c>
      <c r="AC136" t="s">
        <v>5110</v>
      </c>
      <c r="AD136" t="s">
        <v>3057</v>
      </c>
      <c r="AE136">
        <v>220.7</v>
      </c>
      <c r="AF136">
        <v>100.3</v>
      </c>
      <c r="AG136" t="s">
        <v>4055</v>
      </c>
      <c r="AH136">
        <v>163</v>
      </c>
      <c r="AI136" t="s">
        <v>5111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2992</v>
      </c>
      <c r="C137" t="s">
        <v>2993</v>
      </c>
      <c r="D137" t="s">
        <v>5112</v>
      </c>
      <c r="E137" t="s">
        <v>322</v>
      </c>
      <c r="F137" t="s">
        <v>2996</v>
      </c>
      <c r="G137" t="s">
        <v>5113</v>
      </c>
      <c r="H137" t="s">
        <v>5114</v>
      </c>
      <c r="I137" t="s">
        <v>2998</v>
      </c>
      <c r="J137" t="s">
        <v>5115</v>
      </c>
      <c r="K137" t="s">
        <v>3000</v>
      </c>
      <c r="L137" t="s">
        <v>3001</v>
      </c>
      <c r="M137" t="s">
        <v>5116</v>
      </c>
      <c r="N137" t="s">
        <v>5117</v>
      </c>
      <c r="O137" t="s">
        <v>5118</v>
      </c>
      <c r="P137" t="s">
        <v>5119</v>
      </c>
      <c r="Q137" t="s">
        <v>3459</v>
      </c>
      <c r="R137">
        <v>23771</v>
      </c>
      <c r="S137" t="s">
        <v>3030</v>
      </c>
      <c r="T137">
        <v>5517432741592750</v>
      </c>
      <c r="U137">
        <v>954</v>
      </c>
      <c r="V137">
        <v>43191</v>
      </c>
      <c r="W137" t="s">
        <v>5120</v>
      </c>
      <c r="X137" t="s">
        <v>5121</v>
      </c>
      <c r="Y137" t="s">
        <v>3010</v>
      </c>
      <c r="Z137" t="s">
        <v>5122</v>
      </c>
      <c r="AA137" t="s">
        <v>5123</v>
      </c>
      <c r="AB137" t="s">
        <v>5124</v>
      </c>
      <c r="AC137" t="s">
        <v>5125</v>
      </c>
      <c r="AD137" t="s">
        <v>3095</v>
      </c>
      <c r="AE137">
        <v>222</v>
      </c>
      <c r="AF137">
        <v>100.9</v>
      </c>
      <c r="AG137" t="s">
        <v>3016</v>
      </c>
      <c r="AH137">
        <v>186</v>
      </c>
      <c r="AI137" t="s">
        <v>5126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3018</v>
      </c>
      <c r="C138" t="s">
        <v>3019</v>
      </c>
      <c r="D138" t="s">
        <v>3153</v>
      </c>
      <c r="E138" t="s">
        <v>2995</v>
      </c>
      <c r="F138" t="s">
        <v>5127</v>
      </c>
      <c r="G138" t="s">
        <v>5128</v>
      </c>
      <c r="H138" t="s">
        <v>5129</v>
      </c>
      <c r="I138" t="s">
        <v>2998</v>
      </c>
      <c r="J138" t="s">
        <v>5130</v>
      </c>
      <c r="K138" t="s">
        <v>3000</v>
      </c>
      <c r="L138" t="s">
        <v>3001</v>
      </c>
      <c r="M138" t="s">
        <v>5131</v>
      </c>
      <c r="N138" t="s">
        <v>5132</v>
      </c>
      <c r="O138" t="s">
        <v>5133</v>
      </c>
      <c r="P138" t="s">
        <v>5134</v>
      </c>
      <c r="Q138" t="s">
        <v>5135</v>
      </c>
      <c r="R138">
        <v>22822</v>
      </c>
      <c r="S138" t="s">
        <v>3030</v>
      </c>
      <c r="T138">
        <v>5537918479384510</v>
      </c>
      <c r="U138">
        <v>899</v>
      </c>
      <c r="V138">
        <v>43770</v>
      </c>
      <c r="W138" t="s">
        <v>5136</v>
      </c>
      <c r="X138" t="s">
        <v>5137</v>
      </c>
      <c r="Y138" t="s">
        <v>3072</v>
      </c>
      <c r="Z138" t="s">
        <v>5138</v>
      </c>
      <c r="AA138" t="s">
        <v>4508</v>
      </c>
      <c r="AB138" t="s">
        <v>5139</v>
      </c>
      <c r="AC138" t="s">
        <v>5140</v>
      </c>
      <c r="AD138" t="s">
        <v>3151</v>
      </c>
      <c r="AE138">
        <v>196.7</v>
      </c>
      <c r="AF138">
        <v>89.4</v>
      </c>
      <c r="AG138" t="s">
        <v>3132</v>
      </c>
      <c r="AH138">
        <v>165</v>
      </c>
      <c r="AI138" t="s">
        <v>5141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3018</v>
      </c>
      <c r="C139" t="s">
        <v>3060</v>
      </c>
      <c r="D139" t="s">
        <v>3153</v>
      </c>
      <c r="E139" t="s">
        <v>131</v>
      </c>
      <c r="F139" t="s">
        <v>2996</v>
      </c>
      <c r="G139" t="s">
        <v>5142</v>
      </c>
      <c r="H139" t="s">
        <v>5143</v>
      </c>
      <c r="I139" t="s">
        <v>2998</v>
      </c>
      <c r="J139" t="s">
        <v>5144</v>
      </c>
      <c r="K139" t="s">
        <v>3000</v>
      </c>
      <c r="L139" t="s">
        <v>3001</v>
      </c>
      <c r="M139" t="s">
        <v>5145</v>
      </c>
      <c r="N139" t="s">
        <v>5146</v>
      </c>
      <c r="O139" t="s">
        <v>5147</v>
      </c>
      <c r="P139" t="s">
        <v>5148</v>
      </c>
      <c r="Q139" t="s">
        <v>5149</v>
      </c>
      <c r="R139">
        <v>25280</v>
      </c>
      <c r="S139" t="s">
        <v>3030</v>
      </c>
      <c r="T139">
        <v>5555944900313870</v>
      </c>
      <c r="U139">
        <v>550</v>
      </c>
      <c r="V139">
        <v>42036</v>
      </c>
      <c r="W139" t="s">
        <v>5150</v>
      </c>
      <c r="X139" t="s">
        <v>5151</v>
      </c>
      <c r="Y139" t="s">
        <v>3219</v>
      </c>
      <c r="Z139" t="s">
        <v>5152</v>
      </c>
      <c r="AA139" t="s">
        <v>5153</v>
      </c>
      <c r="AB139" t="s">
        <v>5154</v>
      </c>
      <c r="AC139" t="s">
        <v>5155</v>
      </c>
      <c r="AD139" t="s">
        <v>3095</v>
      </c>
      <c r="AE139">
        <v>117</v>
      </c>
      <c r="AF139">
        <v>53.2</v>
      </c>
      <c r="AG139" t="s">
        <v>3506</v>
      </c>
      <c r="AH139">
        <v>161</v>
      </c>
      <c r="AI139" t="s">
        <v>5156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2992</v>
      </c>
      <c r="C140" t="s">
        <v>2993</v>
      </c>
      <c r="D140" t="s">
        <v>5157</v>
      </c>
      <c r="E140" t="s">
        <v>131</v>
      </c>
      <c r="F140" t="s">
        <v>3613</v>
      </c>
      <c r="G140" t="s">
        <v>5158</v>
      </c>
      <c r="H140" t="s">
        <v>5159</v>
      </c>
      <c r="I140" t="s">
        <v>2998</v>
      </c>
      <c r="J140" t="s">
        <v>5160</v>
      </c>
      <c r="K140" t="s">
        <v>3000</v>
      </c>
      <c r="L140" t="s">
        <v>3001</v>
      </c>
      <c r="M140" t="s">
        <v>5161</v>
      </c>
      <c r="N140" t="s">
        <v>5162</v>
      </c>
      <c r="O140" t="s">
        <v>5163</v>
      </c>
      <c r="P140" t="s">
        <v>5164</v>
      </c>
      <c r="Q140" t="s">
        <v>5165</v>
      </c>
      <c r="R140">
        <v>28714</v>
      </c>
      <c r="S140" t="s">
        <v>3007</v>
      </c>
      <c r="T140">
        <v>4929534822593410</v>
      </c>
      <c r="U140">
        <v>451</v>
      </c>
      <c r="V140">
        <v>43617</v>
      </c>
      <c r="W140" t="s">
        <v>5166</v>
      </c>
      <c r="X140" t="s">
        <v>5167</v>
      </c>
      <c r="Y140" t="s">
        <v>3286</v>
      </c>
      <c r="Z140" t="s">
        <v>5168</v>
      </c>
      <c r="AA140" t="s">
        <v>5169</v>
      </c>
      <c r="AB140" t="s">
        <v>5170</v>
      </c>
      <c r="AC140" t="s">
        <v>5171</v>
      </c>
      <c r="AD140" t="s">
        <v>3131</v>
      </c>
      <c r="AE140">
        <v>216.7</v>
      </c>
      <c r="AF140">
        <v>98.5</v>
      </c>
      <c r="AG140" t="s">
        <v>3016</v>
      </c>
      <c r="AH140">
        <v>186</v>
      </c>
      <c r="AI140" t="s">
        <v>5172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2992</v>
      </c>
      <c r="C141" t="s">
        <v>4041</v>
      </c>
      <c r="D141" t="s">
        <v>5173</v>
      </c>
      <c r="E141" t="s">
        <v>3099</v>
      </c>
      <c r="F141" t="s">
        <v>3887</v>
      </c>
      <c r="G141" t="s">
        <v>5174</v>
      </c>
      <c r="H141" t="s">
        <v>4280</v>
      </c>
      <c r="I141" t="s">
        <v>2998</v>
      </c>
      <c r="J141" t="s">
        <v>4281</v>
      </c>
      <c r="K141" t="s">
        <v>3000</v>
      </c>
      <c r="L141" t="s">
        <v>3001</v>
      </c>
      <c r="M141" t="s">
        <v>5175</v>
      </c>
      <c r="N141" t="s">
        <v>5176</v>
      </c>
      <c r="O141" t="s">
        <v>5177</v>
      </c>
      <c r="P141" t="s">
        <v>5178</v>
      </c>
      <c r="Q141" t="s">
        <v>4771</v>
      </c>
      <c r="R141">
        <v>34757</v>
      </c>
      <c r="S141" t="s">
        <v>3007</v>
      </c>
      <c r="T141">
        <v>4716658042218260</v>
      </c>
      <c r="U141">
        <v>575</v>
      </c>
      <c r="V141">
        <v>42064</v>
      </c>
      <c r="W141" t="s">
        <v>5179</v>
      </c>
      <c r="X141" t="s">
        <v>5180</v>
      </c>
      <c r="Y141" t="s">
        <v>3010</v>
      </c>
      <c r="Z141" t="s">
        <v>5122</v>
      </c>
      <c r="AA141" t="s">
        <v>5181</v>
      </c>
      <c r="AB141" t="s">
        <v>5182</v>
      </c>
      <c r="AC141" t="s">
        <v>5183</v>
      </c>
      <c r="AD141" t="s">
        <v>3057</v>
      </c>
      <c r="AE141">
        <v>122.3</v>
      </c>
      <c r="AF141">
        <v>55.6</v>
      </c>
      <c r="AG141" t="s">
        <v>3187</v>
      </c>
      <c r="AH141">
        <v>182</v>
      </c>
      <c r="AI141" t="s">
        <v>5184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3018</v>
      </c>
      <c r="C142" t="s">
        <v>3019</v>
      </c>
      <c r="D142" t="s">
        <v>3556</v>
      </c>
      <c r="E142" t="s">
        <v>322</v>
      </c>
      <c r="F142" t="s">
        <v>5185</v>
      </c>
      <c r="G142" t="s">
        <v>5186</v>
      </c>
      <c r="H142" t="s">
        <v>18</v>
      </c>
      <c r="I142" t="s">
        <v>2998</v>
      </c>
      <c r="J142" t="s">
        <v>3381</v>
      </c>
      <c r="K142" t="s">
        <v>3000</v>
      </c>
      <c r="L142" t="s">
        <v>3001</v>
      </c>
      <c r="M142" t="s">
        <v>5187</v>
      </c>
      <c r="N142" t="s">
        <v>5188</v>
      </c>
      <c r="O142" t="s">
        <v>5189</v>
      </c>
      <c r="P142" t="s">
        <v>5190</v>
      </c>
      <c r="Q142" t="s">
        <v>5191</v>
      </c>
      <c r="R142">
        <v>19562</v>
      </c>
      <c r="S142" t="s">
        <v>3030</v>
      </c>
      <c r="T142">
        <v>5249550133578060</v>
      </c>
      <c r="U142">
        <v>905</v>
      </c>
      <c r="V142">
        <v>42370</v>
      </c>
      <c r="W142" t="s">
        <v>5192</v>
      </c>
      <c r="X142" t="s">
        <v>5193</v>
      </c>
      <c r="Y142" t="s">
        <v>3010</v>
      </c>
      <c r="Z142" t="s">
        <v>5194</v>
      </c>
      <c r="AA142" t="s">
        <v>3777</v>
      </c>
      <c r="AB142" t="s">
        <v>5195</v>
      </c>
      <c r="AC142" t="s">
        <v>5196</v>
      </c>
      <c r="AD142" t="s">
        <v>3095</v>
      </c>
      <c r="AE142">
        <v>218.7</v>
      </c>
      <c r="AF142">
        <v>99.4</v>
      </c>
      <c r="AG142" t="s">
        <v>3096</v>
      </c>
      <c r="AH142">
        <v>168</v>
      </c>
      <c r="AI142" t="s">
        <v>5197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2992</v>
      </c>
      <c r="C143" t="s">
        <v>2993</v>
      </c>
      <c r="D143" t="s">
        <v>3886</v>
      </c>
      <c r="E143" t="s">
        <v>3135</v>
      </c>
      <c r="F143" t="s">
        <v>5198</v>
      </c>
      <c r="G143" t="s">
        <v>5199</v>
      </c>
      <c r="H143" t="s">
        <v>3023</v>
      </c>
      <c r="I143" t="s">
        <v>2998</v>
      </c>
      <c r="J143" t="s">
        <v>3024</v>
      </c>
      <c r="K143" t="s">
        <v>3000</v>
      </c>
      <c r="L143" t="s">
        <v>3001</v>
      </c>
      <c r="M143" t="s">
        <v>5200</v>
      </c>
      <c r="N143" t="s">
        <v>5201</v>
      </c>
      <c r="O143" t="s">
        <v>5202</v>
      </c>
      <c r="P143" t="s">
        <v>5203</v>
      </c>
      <c r="Q143" t="s">
        <v>5204</v>
      </c>
      <c r="R143">
        <v>31444</v>
      </c>
      <c r="S143" t="s">
        <v>3030</v>
      </c>
      <c r="T143">
        <v>5365466744458130</v>
      </c>
      <c r="U143">
        <v>270</v>
      </c>
      <c r="V143">
        <v>42948</v>
      </c>
      <c r="W143" t="s">
        <v>5205</v>
      </c>
      <c r="X143" t="s">
        <v>5206</v>
      </c>
      <c r="Y143" t="s">
        <v>3033</v>
      </c>
      <c r="Z143" t="s">
        <v>5207</v>
      </c>
      <c r="AA143" t="s">
        <v>5208</v>
      </c>
      <c r="AB143" t="s">
        <v>5209</v>
      </c>
      <c r="AC143" t="s">
        <v>5210</v>
      </c>
      <c r="AD143" t="s">
        <v>3095</v>
      </c>
      <c r="AE143">
        <v>166.1</v>
      </c>
      <c r="AF143">
        <v>75.5</v>
      </c>
      <c r="AG143" t="s">
        <v>3058</v>
      </c>
      <c r="AH143">
        <v>175</v>
      </c>
      <c r="AI143" t="s">
        <v>5211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3018</v>
      </c>
      <c r="C144" t="s">
        <v>3060</v>
      </c>
      <c r="D144" t="s">
        <v>5212</v>
      </c>
      <c r="E144" t="s">
        <v>328</v>
      </c>
      <c r="F144" t="s">
        <v>5213</v>
      </c>
      <c r="G144" t="s">
        <v>5214</v>
      </c>
      <c r="H144" t="s">
        <v>2</v>
      </c>
      <c r="I144" t="s">
        <v>2998</v>
      </c>
      <c r="J144" t="s">
        <v>3906</v>
      </c>
      <c r="K144" t="s">
        <v>3000</v>
      </c>
      <c r="L144" t="s">
        <v>3001</v>
      </c>
      <c r="M144" t="s">
        <v>5215</v>
      </c>
      <c r="N144" t="s">
        <v>5216</v>
      </c>
      <c r="O144" t="s">
        <v>5217</v>
      </c>
      <c r="P144" t="s">
        <v>5218</v>
      </c>
      <c r="Q144" t="s">
        <v>5219</v>
      </c>
      <c r="R144">
        <v>26208</v>
      </c>
      <c r="S144" t="s">
        <v>3007</v>
      </c>
      <c r="T144">
        <v>4556631467912120</v>
      </c>
      <c r="U144">
        <v>744</v>
      </c>
      <c r="V144">
        <v>42005</v>
      </c>
      <c r="W144" t="s">
        <v>5220</v>
      </c>
      <c r="X144" t="s">
        <v>5221</v>
      </c>
      <c r="Y144" t="s">
        <v>3010</v>
      </c>
      <c r="Z144" t="s">
        <v>5222</v>
      </c>
      <c r="AA144" t="s">
        <v>5223</v>
      </c>
      <c r="AB144" t="s">
        <v>5224</v>
      </c>
      <c r="AC144" t="s">
        <v>5225</v>
      </c>
      <c r="AD144" t="s">
        <v>3095</v>
      </c>
      <c r="AE144">
        <v>119</v>
      </c>
      <c r="AF144">
        <v>54.1</v>
      </c>
      <c r="AG144" t="s">
        <v>3077</v>
      </c>
      <c r="AH144">
        <v>158</v>
      </c>
      <c r="AI144" t="s">
        <v>5226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3018</v>
      </c>
      <c r="C145" t="s">
        <v>3019</v>
      </c>
      <c r="D145" t="s">
        <v>4643</v>
      </c>
      <c r="E145" t="s">
        <v>2995</v>
      </c>
      <c r="F145" t="s">
        <v>5227</v>
      </c>
      <c r="G145" t="s">
        <v>5228</v>
      </c>
      <c r="H145" t="s">
        <v>5229</v>
      </c>
      <c r="I145" t="s">
        <v>2998</v>
      </c>
      <c r="J145" t="s">
        <v>5230</v>
      </c>
      <c r="K145" t="s">
        <v>3000</v>
      </c>
      <c r="L145" t="s">
        <v>3001</v>
      </c>
      <c r="M145" t="s">
        <v>5231</v>
      </c>
      <c r="N145" t="s">
        <v>5232</v>
      </c>
      <c r="O145" t="s">
        <v>5233</v>
      </c>
      <c r="P145" t="s">
        <v>5234</v>
      </c>
      <c r="Q145" t="s">
        <v>5235</v>
      </c>
      <c r="R145">
        <v>28390</v>
      </c>
      <c r="S145" t="s">
        <v>3007</v>
      </c>
      <c r="T145">
        <v>4485868173088770</v>
      </c>
      <c r="U145">
        <v>601</v>
      </c>
      <c r="V145">
        <v>43647</v>
      </c>
      <c r="W145" t="s">
        <v>5236</v>
      </c>
      <c r="X145" t="s">
        <v>5237</v>
      </c>
      <c r="Y145" t="s">
        <v>3072</v>
      </c>
      <c r="Z145" t="s">
        <v>5238</v>
      </c>
      <c r="AA145" t="s">
        <v>5239</v>
      </c>
      <c r="AB145" t="s">
        <v>5240</v>
      </c>
      <c r="AC145" t="s">
        <v>5241</v>
      </c>
      <c r="AD145" t="s">
        <v>3038</v>
      </c>
      <c r="AE145">
        <v>225.9</v>
      </c>
      <c r="AF145">
        <v>102.7</v>
      </c>
      <c r="AG145" t="s">
        <v>3205</v>
      </c>
      <c r="AH145">
        <v>170</v>
      </c>
      <c r="AI145" t="s">
        <v>5242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2992</v>
      </c>
      <c r="C146" t="s">
        <v>2993</v>
      </c>
      <c r="D146" t="s">
        <v>5243</v>
      </c>
      <c r="E146" t="s">
        <v>325</v>
      </c>
      <c r="F146" t="s">
        <v>5244</v>
      </c>
      <c r="G146" t="s">
        <v>5245</v>
      </c>
      <c r="H146" t="s">
        <v>19</v>
      </c>
      <c r="I146" t="s">
        <v>2998</v>
      </c>
      <c r="J146" t="s">
        <v>3843</v>
      </c>
      <c r="K146" t="s">
        <v>3000</v>
      </c>
      <c r="L146" t="s">
        <v>3001</v>
      </c>
      <c r="M146" t="s">
        <v>5246</v>
      </c>
      <c r="N146" t="s">
        <v>5247</v>
      </c>
      <c r="O146" t="s">
        <v>5248</v>
      </c>
      <c r="P146" t="s">
        <v>5249</v>
      </c>
      <c r="Q146" t="s">
        <v>5250</v>
      </c>
      <c r="R146">
        <v>33859</v>
      </c>
      <c r="S146" t="s">
        <v>3030</v>
      </c>
      <c r="T146">
        <v>5424272977425470</v>
      </c>
      <c r="U146">
        <v>10</v>
      </c>
      <c r="V146">
        <v>42064</v>
      </c>
      <c r="W146" t="s">
        <v>5251</v>
      </c>
      <c r="X146" t="s">
        <v>5252</v>
      </c>
      <c r="Y146" t="s">
        <v>3010</v>
      </c>
      <c r="Z146" t="s">
        <v>5253</v>
      </c>
      <c r="AA146" t="s">
        <v>5254</v>
      </c>
      <c r="AB146" t="s">
        <v>5255</v>
      </c>
      <c r="AC146" t="s">
        <v>5256</v>
      </c>
      <c r="AD146" t="s">
        <v>3057</v>
      </c>
      <c r="AE146">
        <v>126.1</v>
      </c>
      <c r="AF146">
        <v>57.3</v>
      </c>
      <c r="AG146" t="s">
        <v>3016</v>
      </c>
      <c r="AH146">
        <v>185</v>
      </c>
      <c r="AI146" t="s">
        <v>5257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3018</v>
      </c>
      <c r="C147" t="s">
        <v>3060</v>
      </c>
      <c r="D147" t="s">
        <v>5258</v>
      </c>
      <c r="E147" t="s">
        <v>325</v>
      </c>
      <c r="F147" t="s">
        <v>5259</v>
      </c>
      <c r="G147" t="s">
        <v>5260</v>
      </c>
      <c r="H147" t="s">
        <v>5261</v>
      </c>
      <c r="I147" t="s">
        <v>2998</v>
      </c>
      <c r="J147" t="s">
        <v>5262</v>
      </c>
      <c r="K147" t="s">
        <v>3000</v>
      </c>
      <c r="L147" t="s">
        <v>3001</v>
      </c>
      <c r="M147" t="s">
        <v>5263</v>
      </c>
      <c r="N147" t="s">
        <v>5264</v>
      </c>
      <c r="O147" t="s">
        <v>5265</v>
      </c>
      <c r="P147" t="s">
        <v>5266</v>
      </c>
      <c r="Q147" t="s">
        <v>3516</v>
      </c>
      <c r="R147">
        <v>22061</v>
      </c>
      <c r="S147" t="s">
        <v>3030</v>
      </c>
      <c r="T147">
        <v>5557162397151160</v>
      </c>
      <c r="U147">
        <v>584</v>
      </c>
      <c r="V147">
        <v>43525</v>
      </c>
      <c r="W147" t="s">
        <v>5267</v>
      </c>
      <c r="X147" t="s">
        <v>5268</v>
      </c>
      <c r="Y147" t="s">
        <v>3072</v>
      </c>
      <c r="Z147" t="s">
        <v>5269</v>
      </c>
      <c r="AA147" t="s">
        <v>5270</v>
      </c>
      <c r="AB147" t="s">
        <v>5271</v>
      </c>
      <c r="AC147" t="s">
        <v>5272</v>
      </c>
      <c r="AD147" t="s">
        <v>3095</v>
      </c>
      <c r="AE147">
        <v>138.4</v>
      </c>
      <c r="AF147">
        <v>62.9</v>
      </c>
      <c r="AG147" t="s">
        <v>3039</v>
      </c>
      <c r="AH147">
        <v>155</v>
      </c>
      <c r="AI147" t="s">
        <v>5273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3018</v>
      </c>
      <c r="C148" t="s">
        <v>3060</v>
      </c>
      <c r="D148" t="s">
        <v>5274</v>
      </c>
      <c r="E148" t="s">
        <v>3653</v>
      </c>
      <c r="F148" t="s">
        <v>5275</v>
      </c>
      <c r="G148" t="s">
        <v>5276</v>
      </c>
      <c r="H148" t="s">
        <v>3397</v>
      </c>
      <c r="I148" t="s">
        <v>2998</v>
      </c>
      <c r="J148" t="s">
        <v>3398</v>
      </c>
      <c r="K148" t="s">
        <v>3000</v>
      </c>
      <c r="L148" t="s">
        <v>3001</v>
      </c>
      <c r="M148" t="s">
        <v>5277</v>
      </c>
      <c r="N148" t="s">
        <v>5278</v>
      </c>
      <c r="O148" t="s">
        <v>5279</v>
      </c>
      <c r="P148" t="s">
        <v>5280</v>
      </c>
      <c r="Q148" t="s">
        <v>5281</v>
      </c>
      <c r="R148">
        <v>19388</v>
      </c>
      <c r="S148" t="s">
        <v>3007</v>
      </c>
      <c r="T148">
        <v>4716309878378280</v>
      </c>
      <c r="U148">
        <v>357</v>
      </c>
      <c r="V148">
        <v>43617</v>
      </c>
      <c r="W148" t="s">
        <v>5282</v>
      </c>
      <c r="X148" t="s">
        <v>5283</v>
      </c>
      <c r="Y148" t="s">
        <v>3164</v>
      </c>
      <c r="Z148" t="s">
        <v>5284</v>
      </c>
      <c r="AA148" t="s">
        <v>5285</v>
      </c>
      <c r="AB148" t="s">
        <v>5286</v>
      </c>
      <c r="AC148" t="s">
        <v>5287</v>
      </c>
      <c r="AD148" t="s">
        <v>3151</v>
      </c>
      <c r="AE148">
        <v>189.6</v>
      </c>
      <c r="AF148">
        <v>86.2</v>
      </c>
      <c r="AG148" t="s">
        <v>3039</v>
      </c>
      <c r="AH148">
        <v>155</v>
      </c>
      <c r="AI148" t="s">
        <v>5288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2992</v>
      </c>
      <c r="C149" t="s">
        <v>2993</v>
      </c>
      <c r="D149" t="s">
        <v>5289</v>
      </c>
      <c r="E149" t="s">
        <v>2995</v>
      </c>
      <c r="F149" t="s">
        <v>5290</v>
      </c>
      <c r="G149" t="s">
        <v>5291</v>
      </c>
      <c r="H149" t="s">
        <v>48</v>
      </c>
      <c r="I149" t="s">
        <v>2998</v>
      </c>
      <c r="J149" t="s">
        <v>3784</v>
      </c>
      <c r="K149" t="s">
        <v>3000</v>
      </c>
      <c r="L149" t="s">
        <v>3001</v>
      </c>
      <c r="M149" t="s">
        <v>5292</v>
      </c>
      <c r="N149" t="s">
        <v>5293</v>
      </c>
      <c r="O149" t="s">
        <v>5294</v>
      </c>
      <c r="P149" t="s">
        <v>5295</v>
      </c>
      <c r="Q149" t="s">
        <v>5296</v>
      </c>
      <c r="R149">
        <v>13786</v>
      </c>
      <c r="S149" t="s">
        <v>3030</v>
      </c>
      <c r="T149">
        <v>5376053846537080</v>
      </c>
      <c r="U149">
        <v>604</v>
      </c>
      <c r="V149">
        <v>42064</v>
      </c>
      <c r="W149" t="s">
        <v>5297</v>
      </c>
      <c r="X149" t="s">
        <v>5298</v>
      </c>
      <c r="Y149" t="s">
        <v>3010</v>
      </c>
      <c r="Z149" t="s">
        <v>5299</v>
      </c>
      <c r="AA149" t="s">
        <v>5300</v>
      </c>
      <c r="AB149" t="s">
        <v>5301</v>
      </c>
      <c r="AC149" t="s">
        <v>5302</v>
      </c>
      <c r="AD149" t="s">
        <v>3095</v>
      </c>
      <c r="AE149">
        <v>131.1</v>
      </c>
      <c r="AF149">
        <v>59.6</v>
      </c>
      <c r="AG149" t="s">
        <v>3187</v>
      </c>
      <c r="AH149">
        <v>183</v>
      </c>
      <c r="AI149" t="s">
        <v>5303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2992</v>
      </c>
      <c r="C150" t="s">
        <v>2993</v>
      </c>
      <c r="D150" t="s">
        <v>5304</v>
      </c>
      <c r="E150" t="s">
        <v>330</v>
      </c>
      <c r="F150" t="s">
        <v>5305</v>
      </c>
      <c r="G150" t="s">
        <v>5306</v>
      </c>
      <c r="H150" t="s">
        <v>14</v>
      </c>
      <c r="I150" t="s">
        <v>2998</v>
      </c>
      <c r="J150" t="s">
        <v>5307</v>
      </c>
      <c r="K150" t="s">
        <v>3000</v>
      </c>
      <c r="L150" t="s">
        <v>3001</v>
      </c>
      <c r="M150" t="s">
        <v>5308</v>
      </c>
      <c r="N150" t="s">
        <v>5309</v>
      </c>
      <c r="O150" t="s">
        <v>5310</v>
      </c>
      <c r="P150" t="s">
        <v>5311</v>
      </c>
      <c r="Q150" t="s">
        <v>5312</v>
      </c>
      <c r="R150">
        <v>14546</v>
      </c>
      <c r="S150" t="s">
        <v>3007</v>
      </c>
      <c r="T150">
        <v>4539450755008020</v>
      </c>
      <c r="U150">
        <v>521</v>
      </c>
      <c r="V150">
        <v>43497</v>
      </c>
      <c r="W150" t="s">
        <v>5313</v>
      </c>
      <c r="X150" t="s">
        <v>5314</v>
      </c>
      <c r="Y150" t="s">
        <v>3010</v>
      </c>
      <c r="Z150" t="s">
        <v>5315</v>
      </c>
      <c r="AA150" t="s">
        <v>5316</v>
      </c>
      <c r="AB150" t="s">
        <v>5317</v>
      </c>
      <c r="AC150" t="s">
        <v>5318</v>
      </c>
      <c r="AD150" t="s">
        <v>3095</v>
      </c>
      <c r="AE150">
        <v>180</v>
      </c>
      <c r="AF150">
        <v>81.8</v>
      </c>
      <c r="AG150" t="s">
        <v>3169</v>
      </c>
      <c r="AH150">
        <v>173</v>
      </c>
      <c r="AI150" t="s">
        <v>5319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V2903"/>
  <sheetViews>
    <sheetView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5328</v>
      </c>
      <c r="E1" t="s">
        <v>5335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5364</v>
      </c>
    </row>
    <row r="2" spans="1:22" x14ac:dyDescent="0.3">
      <c r="A2">
        <v>1</v>
      </c>
      <c r="B2" t="s">
        <v>9</v>
      </c>
      <c r="C2" t="s">
        <v>7</v>
      </c>
      <c r="D2" t="s">
        <v>5326</v>
      </c>
      <c r="E2" t="s">
        <v>5332</v>
      </c>
      <c r="F2" t="s">
        <v>27</v>
      </c>
      <c r="G2">
        <f ca="1">RANDBETWEEN(10000000,50000000)</f>
        <v>28784032</v>
      </c>
      <c r="H2">
        <f ca="1">RANDBETWEEN(100,1000)</f>
        <v>627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5362</v>
      </c>
      <c r="U2" t="s">
        <v>76</v>
      </c>
      <c r="V2" t="s">
        <v>5365</v>
      </c>
    </row>
    <row r="3" spans="1:22" x14ac:dyDescent="0.3">
      <c r="A3">
        <f>A2+1</f>
        <v>2</v>
      </c>
      <c r="B3" t="s">
        <v>10</v>
      </c>
      <c r="C3" t="s">
        <v>5336</v>
      </c>
      <c r="D3" t="s">
        <v>5329</v>
      </c>
      <c r="E3" t="s">
        <v>5333</v>
      </c>
      <c r="F3" t="s">
        <v>28</v>
      </c>
      <c r="G3">
        <f t="shared" ref="G3:G11" ca="1" si="0">RANDBETWEEN(10000000,50000000)</f>
        <v>49253804</v>
      </c>
      <c r="H3">
        <f t="shared" ref="H3:H11" ca="1" si="1">RANDBETWEEN(100,1000)</f>
        <v>577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5361</v>
      </c>
      <c r="U3" t="s">
        <v>5363</v>
      </c>
      <c r="V3" t="s">
        <v>5366</v>
      </c>
    </row>
    <row r="4" spans="1:22" x14ac:dyDescent="0.3">
      <c r="A4">
        <f t="shared" ref="A4:A67" si="2">A3+1</f>
        <v>3</v>
      </c>
      <c r="B4" t="s">
        <v>11</v>
      </c>
      <c r="C4" t="s">
        <v>5337</v>
      </c>
      <c r="D4" t="s">
        <v>5331</v>
      </c>
      <c r="E4" t="s">
        <v>5334</v>
      </c>
      <c r="F4" t="s">
        <v>29</v>
      </c>
      <c r="G4">
        <f t="shared" ca="1" si="0"/>
        <v>23028499</v>
      </c>
      <c r="H4">
        <f t="shared" ca="1" si="1"/>
        <v>191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5360</v>
      </c>
      <c r="U4" t="s">
        <v>76</v>
      </c>
      <c r="V4" t="s">
        <v>5367</v>
      </c>
    </row>
    <row r="5" spans="1:22" x14ac:dyDescent="0.3">
      <c r="A5">
        <f t="shared" si="2"/>
        <v>4</v>
      </c>
      <c r="B5" t="s">
        <v>12</v>
      </c>
      <c r="C5" t="s">
        <v>5330</v>
      </c>
      <c r="F5" t="s">
        <v>30</v>
      </c>
      <c r="G5">
        <f t="shared" ca="1" si="0"/>
        <v>35597527</v>
      </c>
      <c r="H5">
        <f t="shared" ca="1" si="1"/>
        <v>536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5368</v>
      </c>
    </row>
    <row r="6" spans="1:22" x14ac:dyDescent="0.3">
      <c r="A6">
        <f t="shared" si="2"/>
        <v>5</v>
      </c>
      <c r="B6" t="s">
        <v>13</v>
      </c>
      <c r="C6" t="s">
        <v>5338</v>
      </c>
      <c r="F6" t="s">
        <v>31</v>
      </c>
      <c r="G6">
        <f t="shared" ca="1" si="0"/>
        <v>36395823</v>
      </c>
      <c r="H6">
        <f t="shared" ca="1" si="1"/>
        <v>523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5369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46744525</v>
      </c>
      <c r="H7">
        <f t="shared" ca="1" si="1"/>
        <v>304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5322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28113994</v>
      </c>
      <c r="H8">
        <f t="shared" ca="1" si="1"/>
        <v>803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21199211</v>
      </c>
      <c r="H9">
        <f t="shared" ca="1" si="1"/>
        <v>685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41936999</v>
      </c>
      <c r="H10">
        <f t="shared" ca="1" si="1"/>
        <v>672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40578354</v>
      </c>
      <c r="H11">
        <f t="shared" ca="1" si="1"/>
        <v>295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5385</v>
      </c>
      <c r="C1" t="s">
        <v>5389</v>
      </c>
      <c r="D1" t="s">
        <v>5390</v>
      </c>
      <c r="E1" t="s">
        <v>77</v>
      </c>
      <c r="F1" t="s">
        <v>5378</v>
      </c>
      <c r="G1" t="s">
        <v>5391</v>
      </c>
      <c r="H1" t="s">
        <v>5392</v>
      </c>
      <c r="I1" t="s">
        <v>7</v>
      </c>
      <c r="J1" t="s">
        <v>5393</v>
      </c>
      <c r="K1" t="s">
        <v>5394</v>
      </c>
      <c r="L1" t="s">
        <v>5388</v>
      </c>
      <c r="M1" t="s">
        <v>5395</v>
      </c>
      <c r="N1" t="s">
        <v>5396</v>
      </c>
      <c r="P1" t="s">
        <v>6876</v>
      </c>
      <c r="Q1" t="s">
        <v>6877</v>
      </c>
      <c r="R1" t="s">
        <v>6878</v>
      </c>
      <c r="S1" t="s">
        <v>6875</v>
      </c>
    </row>
    <row r="2" spans="1:19" x14ac:dyDescent="0.3">
      <c r="A2">
        <v>1</v>
      </c>
      <c r="B2" t="s">
        <v>5397</v>
      </c>
      <c r="C2" t="s">
        <v>5398</v>
      </c>
      <c r="D2" t="s">
        <v>5399</v>
      </c>
      <c r="E2" t="s">
        <v>5400</v>
      </c>
      <c r="F2" t="s">
        <v>5401</v>
      </c>
      <c r="G2" t="s">
        <v>5402</v>
      </c>
      <c r="H2" t="s">
        <v>1</v>
      </c>
      <c r="I2" t="s">
        <v>5403</v>
      </c>
      <c r="J2" t="s">
        <v>5404</v>
      </c>
      <c r="K2" t="s">
        <v>5405</v>
      </c>
      <c r="L2" t="str">
        <f ca="1">UPPER(LEFT(H2,3)&amp;TEXT(RANDBETWEEN(1,120),"000"))</f>
        <v>EDW081</v>
      </c>
      <c r="M2" t="s">
        <v>5406</v>
      </c>
      <c r="N2" t="s">
        <v>5407</v>
      </c>
      <c r="P2">
        <v>1</v>
      </c>
      <c r="Q2" t="s">
        <v>5534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5408</v>
      </c>
      <c r="C3" t="s">
        <v>5409</v>
      </c>
      <c r="D3" t="s">
        <v>5410</v>
      </c>
      <c r="E3" t="s">
        <v>5411</v>
      </c>
      <c r="F3" t="s">
        <v>5412</v>
      </c>
      <c r="G3" t="s">
        <v>5413</v>
      </c>
      <c r="H3" t="s">
        <v>5414</v>
      </c>
      <c r="I3" t="s">
        <v>5415</v>
      </c>
      <c r="J3" t="s">
        <v>5416</v>
      </c>
      <c r="K3" t="s">
        <v>5417</v>
      </c>
      <c r="L3" t="str">
        <f t="shared" ref="L3:L11" ca="1" si="0">UPPER(LEFT(H3,3)&amp;TEXT(RANDBETWEEN(1,120),"000"))</f>
        <v>MCA035</v>
      </c>
      <c r="M3" t="s">
        <v>5418</v>
      </c>
      <c r="N3" t="s">
        <v>5407</v>
      </c>
      <c r="P3">
        <v>2</v>
      </c>
      <c r="Q3" t="s">
        <v>5534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5419</v>
      </c>
      <c r="C4" t="s">
        <v>5420</v>
      </c>
      <c r="D4" t="s">
        <v>5421</v>
      </c>
      <c r="E4" t="s">
        <v>5422</v>
      </c>
      <c r="F4" t="s">
        <v>5423</v>
      </c>
      <c r="G4" t="s">
        <v>5424</v>
      </c>
      <c r="H4" t="s">
        <v>5425</v>
      </c>
      <c r="I4" t="s">
        <v>5426</v>
      </c>
      <c r="J4" t="s">
        <v>5427</v>
      </c>
      <c r="K4" t="s">
        <v>5428</v>
      </c>
      <c r="L4" t="str">
        <f t="shared" ca="1" si="0"/>
        <v>CLO098</v>
      </c>
      <c r="M4" t="s">
        <v>5429</v>
      </c>
      <c r="N4" t="s">
        <v>5407</v>
      </c>
      <c r="P4">
        <v>9</v>
      </c>
      <c r="Q4" t="s">
        <v>5534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5430</v>
      </c>
      <c r="C5" t="s">
        <v>5431</v>
      </c>
      <c r="D5" t="s">
        <v>5432</v>
      </c>
      <c r="E5" t="s">
        <v>5433</v>
      </c>
      <c r="F5" t="s">
        <v>5434</v>
      </c>
      <c r="G5" t="s">
        <v>5435</v>
      </c>
      <c r="H5" t="s">
        <v>5436</v>
      </c>
      <c r="I5" t="s">
        <v>5437</v>
      </c>
      <c r="J5" t="s">
        <v>5438</v>
      </c>
      <c r="K5" t="s">
        <v>5439</v>
      </c>
      <c r="L5" t="str">
        <f t="shared" ca="1" si="0"/>
        <v>ARB003</v>
      </c>
      <c r="M5" t="s">
        <v>5440</v>
      </c>
      <c r="N5" t="s">
        <v>5407</v>
      </c>
      <c r="P5">
        <v>1</v>
      </c>
      <c r="Q5" t="s">
        <v>5635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5441</v>
      </c>
      <c r="C6" t="s">
        <v>5442</v>
      </c>
      <c r="D6" t="s">
        <v>5443</v>
      </c>
      <c r="E6" t="s">
        <v>5444</v>
      </c>
      <c r="F6" t="s">
        <v>5445</v>
      </c>
      <c r="G6" t="s">
        <v>5446</v>
      </c>
      <c r="H6" t="s">
        <v>5447</v>
      </c>
      <c r="I6" t="s">
        <v>5448</v>
      </c>
      <c r="J6" t="s">
        <v>5449</v>
      </c>
      <c r="K6" t="s">
        <v>5450</v>
      </c>
      <c r="L6" t="str">
        <f t="shared" ca="1" si="0"/>
        <v>ARG043</v>
      </c>
      <c r="M6" s="2" t="s">
        <v>5451</v>
      </c>
      <c r="N6" t="s">
        <v>5407</v>
      </c>
      <c r="P6">
        <v>2</v>
      </c>
      <c r="Q6" t="s">
        <v>5635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5452</v>
      </c>
      <c r="C7" t="s">
        <v>5453</v>
      </c>
      <c r="D7" t="s">
        <v>5454</v>
      </c>
      <c r="E7" t="s">
        <v>5455</v>
      </c>
      <c r="F7" t="s">
        <v>5456</v>
      </c>
      <c r="G7" t="s">
        <v>5457</v>
      </c>
      <c r="H7" t="s">
        <v>5458</v>
      </c>
      <c r="I7" t="s">
        <v>5459</v>
      </c>
      <c r="J7" t="s">
        <v>5460</v>
      </c>
      <c r="K7" t="s">
        <v>5461</v>
      </c>
      <c r="L7" t="str">
        <f t="shared" ca="1" si="0"/>
        <v>ASH075</v>
      </c>
      <c r="M7" t="s">
        <v>5462</v>
      </c>
      <c r="N7" t="s">
        <v>5407</v>
      </c>
      <c r="P7">
        <v>9</v>
      </c>
      <c r="Q7" t="s">
        <v>5635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5463</v>
      </c>
      <c r="C8" t="s">
        <v>5464</v>
      </c>
      <c r="D8" t="s">
        <v>5465</v>
      </c>
      <c r="E8" t="s">
        <v>5466</v>
      </c>
      <c r="F8" t="s">
        <v>5467</v>
      </c>
      <c r="G8" t="s">
        <v>5468</v>
      </c>
      <c r="H8" t="s">
        <v>5469</v>
      </c>
      <c r="I8" t="s">
        <v>5470</v>
      </c>
      <c r="J8" t="s">
        <v>5471</v>
      </c>
      <c r="K8" t="s">
        <v>5472</v>
      </c>
      <c r="L8" t="str">
        <f t="shared" ca="1" si="0"/>
        <v>FBA112</v>
      </c>
      <c r="M8" t="s">
        <v>5473</v>
      </c>
      <c r="N8" t="s">
        <v>5407</v>
      </c>
      <c r="P8">
        <v>1</v>
      </c>
      <c r="Q8" t="s">
        <v>5638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5474</v>
      </c>
      <c r="C9" t="s">
        <v>5475</v>
      </c>
      <c r="D9" t="s">
        <v>5476</v>
      </c>
      <c r="E9" t="s">
        <v>5477</v>
      </c>
      <c r="F9" t="s">
        <v>5478</v>
      </c>
      <c r="G9" t="s">
        <v>5479</v>
      </c>
      <c r="H9" t="s">
        <v>5480</v>
      </c>
      <c r="I9" t="s">
        <v>5481</v>
      </c>
      <c r="J9" t="s">
        <v>5482</v>
      </c>
      <c r="K9" t="s">
        <v>5483</v>
      </c>
      <c r="L9" t="str">
        <f t="shared" ca="1" si="0"/>
        <v>BIC037</v>
      </c>
      <c r="M9" t="s">
        <v>5484</v>
      </c>
      <c r="N9" t="s">
        <v>5407</v>
      </c>
      <c r="P9">
        <v>2</v>
      </c>
      <c r="Q9" t="s">
        <v>5638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5485</v>
      </c>
      <c r="C10" t="s">
        <v>5486</v>
      </c>
      <c r="D10" t="s">
        <v>5487</v>
      </c>
      <c r="E10" t="s">
        <v>5488</v>
      </c>
      <c r="F10" t="s">
        <v>5489</v>
      </c>
      <c r="G10" t="s">
        <v>5490</v>
      </c>
      <c r="H10" t="s">
        <v>5491</v>
      </c>
      <c r="I10" t="s">
        <v>5492</v>
      </c>
      <c r="J10" t="s">
        <v>5493</v>
      </c>
      <c r="K10" t="s">
        <v>5494</v>
      </c>
      <c r="L10" t="str">
        <f t="shared" ca="1" si="0"/>
        <v>BRA114</v>
      </c>
      <c r="M10" t="s">
        <v>5495</v>
      </c>
      <c r="N10" t="s">
        <v>5407</v>
      </c>
      <c r="P10">
        <v>9</v>
      </c>
      <c r="Q10" t="s">
        <v>5638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5496</v>
      </c>
      <c r="C11" t="s">
        <v>5497</v>
      </c>
      <c r="D11" t="s">
        <v>5498</v>
      </c>
      <c r="E11" t="s">
        <v>5499</v>
      </c>
      <c r="F11" t="s">
        <v>5500</v>
      </c>
      <c r="G11" t="s">
        <v>5501</v>
      </c>
      <c r="H11" t="s">
        <v>5502</v>
      </c>
      <c r="I11" t="s">
        <v>5503</v>
      </c>
      <c r="J11" t="s">
        <v>5504</v>
      </c>
      <c r="K11" t="s">
        <v>5505</v>
      </c>
      <c r="L11" t="str">
        <f t="shared" ca="1" si="0"/>
        <v>HEA058</v>
      </c>
      <c r="M11" t="s">
        <v>5506</v>
      </c>
      <c r="N11" t="s">
        <v>5407</v>
      </c>
      <c r="P11">
        <v>1</v>
      </c>
      <c r="Q11" t="s">
        <v>5639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5507</v>
      </c>
      <c r="J12" t="s">
        <v>5508</v>
      </c>
      <c r="K12" t="s">
        <v>5509</v>
      </c>
      <c r="L12" t="s">
        <v>5510</v>
      </c>
      <c r="N12" t="s">
        <v>5407</v>
      </c>
      <c r="P12">
        <v>2</v>
      </c>
      <c r="Q12" t="s">
        <v>5639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5511</v>
      </c>
      <c r="J13" t="s">
        <v>5512</v>
      </c>
      <c r="K13" t="s">
        <v>5513</v>
      </c>
      <c r="L13" t="s">
        <v>5514</v>
      </c>
      <c r="N13" t="s">
        <v>5407</v>
      </c>
      <c r="P13">
        <v>9</v>
      </c>
      <c r="Q13" t="s">
        <v>5639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5515</v>
      </c>
      <c r="J14" t="s">
        <v>5516</v>
      </c>
      <c r="K14" t="s">
        <v>5517</v>
      </c>
      <c r="L14" t="s">
        <v>5518</v>
      </c>
      <c r="N14" t="s">
        <v>5407</v>
      </c>
      <c r="P14">
        <v>1</v>
      </c>
      <c r="Q14" t="s">
        <v>5640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5519</v>
      </c>
      <c r="K15" t="s">
        <v>5520</v>
      </c>
      <c r="P15">
        <v>2</v>
      </c>
      <c r="Q15" t="s">
        <v>5640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5521</v>
      </c>
      <c r="K16" t="s">
        <v>5522</v>
      </c>
      <c r="P16">
        <v>9</v>
      </c>
      <c r="Q16" t="s">
        <v>5640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5523</v>
      </c>
      <c r="K17" t="s">
        <v>5524</v>
      </c>
      <c r="P17">
        <v>1</v>
      </c>
      <c r="Q17" t="s">
        <v>5641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5525</v>
      </c>
      <c r="K18" t="s">
        <v>5526</v>
      </c>
      <c r="P18">
        <v>2</v>
      </c>
      <c r="Q18" t="s">
        <v>5641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5527</v>
      </c>
      <c r="K19" t="s">
        <v>5528</v>
      </c>
      <c r="P19">
        <v>9</v>
      </c>
      <c r="Q19" t="s">
        <v>5641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5529</v>
      </c>
      <c r="K20" t="s">
        <v>5530</v>
      </c>
      <c r="P20">
        <v>1</v>
      </c>
      <c r="Q20" t="s">
        <v>5649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5531</v>
      </c>
      <c r="K21" t="s">
        <v>5532</v>
      </c>
      <c r="P21">
        <v>2</v>
      </c>
      <c r="Q21" t="s">
        <v>5649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5533</v>
      </c>
      <c r="K22" t="s">
        <v>5534</v>
      </c>
      <c r="P22">
        <v>9</v>
      </c>
      <c r="Q22" t="s">
        <v>5649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5535</v>
      </c>
      <c r="K23" t="s">
        <v>5536</v>
      </c>
      <c r="S23" s="1"/>
    </row>
    <row r="24" spans="1:19" x14ac:dyDescent="0.3">
      <c r="A24">
        <v>23</v>
      </c>
      <c r="J24" t="s">
        <v>5537</v>
      </c>
      <c r="K24" t="s">
        <v>5538</v>
      </c>
      <c r="S24" s="1"/>
    </row>
    <row r="25" spans="1:19" x14ac:dyDescent="0.3">
      <c r="A25">
        <v>24</v>
      </c>
      <c r="J25" t="s">
        <v>5539</v>
      </c>
      <c r="K25" t="s">
        <v>5540</v>
      </c>
      <c r="S25" s="1"/>
    </row>
    <row r="26" spans="1:19" x14ac:dyDescent="0.3">
      <c r="A26">
        <v>25</v>
      </c>
      <c r="J26" t="s">
        <v>5541</v>
      </c>
      <c r="K26" t="s">
        <v>5542</v>
      </c>
      <c r="S26" s="1"/>
    </row>
    <row r="27" spans="1:19" x14ac:dyDescent="0.3">
      <c r="A27">
        <v>26</v>
      </c>
      <c r="J27" t="s">
        <v>5543</v>
      </c>
      <c r="K27" t="s">
        <v>5543</v>
      </c>
      <c r="S27" s="1"/>
    </row>
    <row r="28" spans="1:19" x14ac:dyDescent="0.3">
      <c r="A28">
        <v>27</v>
      </c>
      <c r="J28" t="s">
        <v>5544</v>
      </c>
      <c r="K28" t="s">
        <v>5545</v>
      </c>
      <c r="S28" s="1"/>
    </row>
    <row r="29" spans="1:19" x14ac:dyDescent="0.3">
      <c r="A29">
        <v>28</v>
      </c>
      <c r="J29" t="s">
        <v>5546</v>
      </c>
      <c r="K29" t="s">
        <v>5547</v>
      </c>
    </row>
    <row r="30" spans="1:19" x14ac:dyDescent="0.3">
      <c r="A30">
        <v>29</v>
      </c>
      <c r="J30" t="s">
        <v>5548</v>
      </c>
      <c r="K30" t="s">
        <v>5549</v>
      </c>
    </row>
    <row r="31" spans="1:19" x14ac:dyDescent="0.3">
      <c r="A31">
        <v>30</v>
      </c>
      <c r="J31" t="s">
        <v>5550</v>
      </c>
      <c r="K31" t="s">
        <v>5551</v>
      </c>
    </row>
    <row r="32" spans="1:19" x14ac:dyDescent="0.3">
      <c r="A32">
        <v>31</v>
      </c>
      <c r="J32" t="s">
        <v>5552</v>
      </c>
      <c r="K32" t="s">
        <v>5553</v>
      </c>
    </row>
    <row r="33" spans="1:11" x14ac:dyDescent="0.3">
      <c r="A33">
        <v>32</v>
      </c>
      <c r="J33" t="s">
        <v>5554</v>
      </c>
      <c r="K33" t="s">
        <v>5555</v>
      </c>
    </row>
    <row r="34" spans="1:11" x14ac:dyDescent="0.3">
      <c r="A34">
        <v>33</v>
      </c>
      <c r="J34" t="s">
        <v>5556</v>
      </c>
      <c r="K34" t="s">
        <v>5557</v>
      </c>
    </row>
    <row r="35" spans="1:11" x14ac:dyDescent="0.3">
      <c r="A35">
        <v>34</v>
      </c>
      <c r="J35" t="s">
        <v>5558</v>
      </c>
      <c r="K35" t="s">
        <v>5559</v>
      </c>
    </row>
    <row r="36" spans="1:11" x14ac:dyDescent="0.3">
      <c r="A36">
        <v>35</v>
      </c>
      <c r="J36" t="s">
        <v>5560</v>
      </c>
      <c r="K36" t="s">
        <v>5561</v>
      </c>
    </row>
    <row r="37" spans="1:11" x14ac:dyDescent="0.3">
      <c r="A37">
        <v>36</v>
      </c>
      <c r="J37" t="s">
        <v>5562</v>
      </c>
      <c r="K37" t="s">
        <v>5563</v>
      </c>
    </row>
    <row r="38" spans="1:11" x14ac:dyDescent="0.3">
      <c r="A38">
        <v>37</v>
      </c>
      <c r="J38" t="s">
        <v>5564</v>
      </c>
      <c r="K38" t="s">
        <v>5565</v>
      </c>
    </row>
    <row r="39" spans="1:11" x14ac:dyDescent="0.3">
      <c r="A39">
        <v>38</v>
      </c>
      <c r="J39" t="s">
        <v>5566</v>
      </c>
      <c r="K39" t="s">
        <v>5567</v>
      </c>
    </row>
    <row r="40" spans="1:11" x14ac:dyDescent="0.3">
      <c r="A40">
        <v>39</v>
      </c>
      <c r="J40" t="s">
        <v>5568</v>
      </c>
      <c r="K40" t="s">
        <v>5569</v>
      </c>
    </row>
    <row r="41" spans="1:11" x14ac:dyDescent="0.3">
      <c r="A41">
        <v>40</v>
      </c>
      <c r="J41" t="s">
        <v>5570</v>
      </c>
      <c r="K41" t="s">
        <v>5571</v>
      </c>
    </row>
    <row r="42" spans="1:11" x14ac:dyDescent="0.3">
      <c r="A42">
        <v>41</v>
      </c>
      <c r="J42" t="s">
        <v>5572</v>
      </c>
      <c r="K42" t="s">
        <v>5573</v>
      </c>
    </row>
    <row r="43" spans="1:11" x14ac:dyDescent="0.3">
      <c r="A43">
        <v>42</v>
      </c>
      <c r="J43" t="s">
        <v>5574</v>
      </c>
      <c r="K43" t="s">
        <v>5575</v>
      </c>
    </row>
    <row r="44" spans="1:11" x14ac:dyDescent="0.3">
      <c r="A44">
        <v>43</v>
      </c>
      <c r="J44" t="s">
        <v>5576</v>
      </c>
      <c r="K44" t="s">
        <v>5577</v>
      </c>
    </row>
    <row r="45" spans="1:11" x14ac:dyDescent="0.3">
      <c r="A45">
        <v>44</v>
      </c>
      <c r="J45" t="s">
        <v>5578</v>
      </c>
      <c r="K45" t="s">
        <v>5579</v>
      </c>
    </row>
    <row r="46" spans="1:11" x14ac:dyDescent="0.3">
      <c r="A46">
        <v>45</v>
      </c>
      <c r="J46" t="s">
        <v>5580</v>
      </c>
      <c r="K46" t="s">
        <v>5581</v>
      </c>
    </row>
    <row r="47" spans="1:11" x14ac:dyDescent="0.3">
      <c r="A47">
        <v>46</v>
      </c>
      <c r="J47" t="s">
        <v>5582</v>
      </c>
      <c r="K47" t="s">
        <v>5583</v>
      </c>
    </row>
    <row r="48" spans="1:11" x14ac:dyDescent="0.3">
      <c r="A48">
        <v>47</v>
      </c>
      <c r="J48" t="s">
        <v>5584</v>
      </c>
      <c r="K48" t="s">
        <v>5585</v>
      </c>
    </row>
    <row r="49" spans="1:11" x14ac:dyDescent="0.3">
      <c r="A49">
        <v>48</v>
      </c>
      <c r="J49" t="s">
        <v>5586</v>
      </c>
      <c r="K49" t="s">
        <v>5587</v>
      </c>
    </row>
    <row r="50" spans="1:11" x14ac:dyDescent="0.3">
      <c r="A50">
        <v>49</v>
      </c>
      <c r="J50" t="s">
        <v>5588</v>
      </c>
      <c r="K50" t="s">
        <v>5589</v>
      </c>
    </row>
    <row r="51" spans="1:11" x14ac:dyDescent="0.3">
      <c r="A51">
        <v>50</v>
      </c>
      <c r="J51" t="s">
        <v>5590</v>
      </c>
      <c r="K51" t="s">
        <v>5591</v>
      </c>
    </row>
    <row r="52" spans="1:11" x14ac:dyDescent="0.3">
      <c r="A52">
        <v>51</v>
      </c>
      <c r="J52" t="s">
        <v>5592</v>
      </c>
      <c r="K52" t="s">
        <v>5593</v>
      </c>
    </row>
    <row r="53" spans="1:11" x14ac:dyDescent="0.3">
      <c r="A53">
        <v>52</v>
      </c>
      <c r="J53" t="s">
        <v>5594</v>
      </c>
      <c r="K53" t="s">
        <v>5595</v>
      </c>
    </row>
    <row r="54" spans="1:11" x14ac:dyDescent="0.3">
      <c r="A54">
        <v>53</v>
      </c>
      <c r="J54" t="s">
        <v>5596</v>
      </c>
      <c r="K54" t="s">
        <v>5597</v>
      </c>
    </row>
    <row r="55" spans="1:11" x14ac:dyDescent="0.3">
      <c r="A55">
        <v>54</v>
      </c>
      <c r="J55" t="s">
        <v>5598</v>
      </c>
      <c r="K55" t="s">
        <v>5599</v>
      </c>
    </row>
    <row r="56" spans="1:11" x14ac:dyDescent="0.3">
      <c r="A56">
        <v>55</v>
      </c>
      <c r="J56" t="s">
        <v>5600</v>
      </c>
      <c r="K56" t="s">
        <v>5601</v>
      </c>
    </row>
    <row r="57" spans="1:11" x14ac:dyDescent="0.3">
      <c r="A57">
        <v>56</v>
      </c>
      <c r="J57" t="s">
        <v>5602</v>
      </c>
      <c r="K57" t="s">
        <v>5603</v>
      </c>
    </row>
    <row r="58" spans="1:11" x14ac:dyDescent="0.3">
      <c r="A58">
        <v>57</v>
      </c>
      <c r="J58" t="s">
        <v>5604</v>
      </c>
      <c r="K58" t="s">
        <v>5605</v>
      </c>
    </row>
    <row r="59" spans="1:11" x14ac:dyDescent="0.3">
      <c r="A59">
        <v>58</v>
      </c>
      <c r="J59" t="s">
        <v>5606</v>
      </c>
      <c r="K59" t="s">
        <v>5607</v>
      </c>
    </row>
    <row r="60" spans="1:11" x14ac:dyDescent="0.3">
      <c r="A60">
        <v>59</v>
      </c>
      <c r="J60" t="s">
        <v>5608</v>
      </c>
      <c r="K60" t="s">
        <v>5609</v>
      </c>
    </row>
    <row r="61" spans="1:11" x14ac:dyDescent="0.3">
      <c r="A61">
        <v>60</v>
      </c>
      <c r="J61" t="s">
        <v>5610</v>
      </c>
      <c r="K61" t="s">
        <v>5611</v>
      </c>
    </row>
    <row r="62" spans="1:11" x14ac:dyDescent="0.3">
      <c r="A62">
        <v>61</v>
      </c>
      <c r="J62" t="s">
        <v>5612</v>
      </c>
      <c r="K62" t="s">
        <v>5613</v>
      </c>
    </row>
    <row r="63" spans="1:11" x14ac:dyDescent="0.3">
      <c r="A63">
        <v>62</v>
      </c>
      <c r="J63" t="s">
        <v>5614</v>
      </c>
      <c r="K63" t="s">
        <v>5615</v>
      </c>
    </row>
    <row r="64" spans="1:11" x14ac:dyDescent="0.3">
      <c r="A64">
        <v>63</v>
      </c>
      <c r="J64" t="s">
        <v>5616</v>
      </c>
      <c r="K64" t="s">
        <v>5617</v>
      </c>
    </row>
    <row r="65" spans="1:11" x14ac:dyDescent="0.3">
      <c r="A65">
        <v>64</v>
      </c>
      <c r="J65" t="s">
        <v>5618</v>
      </c>
      <c r="K65" t="s">
        <v>5619</v>
      </c>
    </row>
    <row r="66" spans="1:11" x14ac:dyDescent="0.3">
      <c r="A66">
        <v>65</v>
      </c>
      <c r="J66" t="s">
        <v>5620</v>
      </c>
      <c r="K66" t="s">
        <v>5621</v>
      </c>
    </row>
    <row r="67" spans="1:11" x14ac:dyDescent="0.3">
      <c r="A67">
        <v>66</v>
      </c>
      <c r="J67" t="s">
        <v>5622</v>
      </c>
      <c r="K67" t="s">
        <v>5623</v>
      </c>
    </row>
    <row r="68" spans="1:11" x14ac:dyDescent="0.3">
      <c r="A68">
        <v>67</v>
      </c>
      <c r="J68" t="s">
        <v>5624</v>
      </c>
      <c r="K68" t="s">
        <v>5625</v>
      </c>
    </row>
    <row r="69" spans="1:11" x14ac:dyDescent="0.3">
      <c r="A69">
        <v>68</v>
      </c>
      <c r="J69" t="s">
        <v>5626</v>
      </c>
      <c r="K69" t="s">
        <v>5627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5665</v>
      </c>
      <c r="B1" t="s">
        <v>5686</v>
      </c>
    </row>
    <row r="2" spans="1:2" x14ac:dyDescent="0.3">
      <c r="A2" t="s">
        <v>5384</v>
      </c>
      <c r="B2" t="s">
        <v>5687</v>
      </c>
    </row>
    <row r="3" spans="1:2" x14ac:dyDescent="0.3">
      <c r="A3" t="s">
        <v>5666</v>
      </c>
      <c r="B3" t="s">
        <v>5687</v>
      </c>
    </row>
    <row r="4" spans="1:2" x14ac:dyDescent="0.3">
      <c r="A4" t="s">
        <v>5667</v>
      </c>
      <c r="B4" t="s">
        <v>5687</v>
      </c>
    </row>
    <row r="5" spans="1:2" x14ac:dyDescent="0.3">
      <c r="A5" t="s">
        <v>5668</v>
      </c>
      <c r="B5" t="s">
        <v>5687</v>
      </c>
    </row>
    <row r="6" spans="1:2" x14ac:dyDescent="0.3">
      <c r="A6" t="s">
        <v>5669</v>
      </c>
      <c r="B6" t="s">
        <v>5687</v>
      </c>
    </row>
    <row r="7" spans="1:2" hidden="1" x14ac:dyDescent="0.3">
      <c r="A7" t="s">
        <v>5670</v>
      </c>
      <c r="B7" t="s">
        <v>326</v>
      </c>
    </row>
    <row r="8" spans="1:2" hidden="1" x14ac:dyDescent="0.3">
      <c r="A8" t="s">
        <v>5671</v>
      </c>
      <c r="B8" t="s">
        <v>326</v>
      </c>
    </row>
    <row r="9" spans="1:2" x14ac:dyDescent="0.3">
      <c r="A9" t="s">
        <v>5672</v>
      </c>
      <c r="B9" t="s">
        <v>5687</v>
      </c>
    </row>
    <row r="10" spans="1:2" x14ac:dyDescent="0.3">
      <c r="A10" t="s">
        <v>5628</v>
      </c>
      <c r="B10" t="s">
        <v>5687</v>
      </c>
    </row>
    <row r="11" spans="1:2" x14ac:dyDescent="0.3">
      <c r="A11" t="s">
        <v>5673</v>
      </c>
      <c r="B11" t="s">
        <v>5687</v>
      </c>
    </row>
    <row r="12" spans="1:2" x14ac:dyDescent="0.3">
      <c r="A12" t="s">
        <v>5634</v>
      </c>
      <c r="B12" t="s">
        <v>5687</v>
      </c>
    </row>
    <row r="13" spans="1:2" x14ac:dyDescent="0.3">
      <c r="A13" t="s">
        <v>5674</v>
      </c>
      <c r="B13" t="s">
        <v>5687</v>
      </c>
    </row>
    <row r="14" spans="1:2" hidden="1" x14ac:dyDescent="0.3">
      <c r="A14" t="s">
        <v>5675</v>
      </c>
      <c r="B14" t="s">
        <v>326</v>
      </c>
    </row>
    <row r="15" spans="1:2" x14ac:dyDescent="0.3">
      <c r="A15" t="s">
        <v>5676</v>
      </c>
      <c r="B15" t="s">
        <v>5687</v>
      </c>
    </row>
    <row r="16" spans="1:2" x14ac:dyDescent="0.3">
      <c r="A16" t="s">
        <v>7</v>
      </c>
      <c r="B16" t="s">
        <v>5687</v>
      </c>
    </row>
    <row r="17" spans="1:2" x14ac:dyDescent="0.3">
      <c r="A17" t="s">
        <v>54</v>
      </c>
      <c r="B17" t="s">
        <v>5687</v>
      </c>
    </row>
    <row r="18" spans="1:2" hidden="1" x14ac:dyDescent="0.3">
      <c r="A18" t="s">
        <v>5677</v>
      </c>
      <c r="B18" t="s">
        <v>326</v>
      </c>
    </row>
    <row r="19" spans="1:2" hidden="1" x14ac:dyDescent="0.3">
      <c r="A19" t="s">
        <v>5629</v>
      </c>
      <c r="B19" t="s">
        <v>326</v>
      </c>
    </row>
    <row r="20" spans="1:2" hidden="1" x14ac:dyDescent="0.3">
      <c r="A20" t="s">
        <v>5678</v>
      </c>
      <c r="B20" t="s">
        <v>326</v>
      </c>
    </row>
    <row r="21" spans="1:2" hidden="1" x14ac:dyDescent="0.3">
      <c r="A21" t="s">
        <v>5679</v>
      </c>
      <c r="B21" t="s">
        <v>326</v>
      </c>
    </row>
    <row r="22" spans="1:2" hidden="1" x14ac:dyDescent="0.3">
      <c r="A22" t="s">
        <v>5680</v>
      </c>
      <c r="B22" t="s">
        <v>326</v>
      </c>
    </row>
    <row r="23" spans="1:2" hidden="1" x14ac:dyDescent="0.3">
      <c r="A23" t="s">
        <v>5681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5374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5320</v>
      </c>
      <c r="B29" t="s">
        <v>322</v>
      </c>
    </row>
    <row r="30" spans="1:2" hidden="1" x14ac:dyDescent="0.3">
      <c r="A30" t="s">
        <v>5682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5683</v>
      </c>
      <c r="B32" t="s">
        <v>322</v>
      </c>
    </row>
    <row r="33" spans="1:2" hidden="1" x14ac:dyDescent="0.3">
      <c r="A33" t="s">
        <v>5684</v>
      </c>
      <c r="B33" t="s">
        <v>322</v>
      </c>
    </row>
    <row r="34" spans="1:2" hidden="1" x14ac:dyDescent="0.3">
      <c r="A34" t="s">
        <v>5685</v>
      </c>
      <c r="B34" t="s">
        <v>322</v>
      </c>
    </row>
    <row r="35" spans="1:2" hidden="1" x14ac:dyDescent="0.3">
      <c r="A35" t="s">
        <v>5321</v>
      </c>
      <c r="B35" t="s">
        <v>322</v>
      </c>
    </row>
  </sheetData>
  <autoFilter ref="A1:B35" xr:uid="{00000000-0009-0000-0000-00000D000000}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J31"/>
  <sheetViews>
    <sheetView workbookViewId="0">
      <pane ySplit="1" topLeftCell="A2" activePane="bottomLeft" state="frozen"/>
      <selection pane="bottomLeft" activeCell="J1" sqref="J1"/>
    </sheetView>
  </sheetViews>
  <sheetFormatPr defaultRowHeight="14.4" x14ac:dyDescent="0.3"/>
  <cols>
    <col min="1" max="1" width="10.5546875" bestFit="1" customWidth="1"/>
    <col min="2" max="2" width="17.44140625" bestFit="1" customWidth="1"/>
    <col min="3" max="3" width="17.4414062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5324</v>
      </c>
      <c r="C1" t="s">
        <v>7880</v>
      </c>
      <c r="D1" t="s">
        <v>75</v>
      </c>
      <c r="E1" t="s">
        <v>5664</v>
      </c>
      <c r="F1" t="s">
        <v>73</v>
      </c>
      <c r="G1" t="s">
        <v>70</v>
      </c>
      <c r="H1" t="s">
        <v>71</v>
      </c>
      <c r="I1" t="s">
        <v>5323</v>
      </c>
      <c r="J1" t="s">
        <v>7863</v>
      </c>
    </row>
    <row r="2" spans="1:10" x14ac:dyDescent="0.3">
      <c r="A2" t="s">
        <v>74</v>
      </c>
      <c r="B2" t="s">
        <v>2949</v>
      </c>
      <c r="C2">
        <v>2</v>
      </c>
      <c r="D2" t="str">
        <f>+"rg:{ 'id': '" &amp; C2 &amp; "'}"</f>
        <v>rg:{ 'id': '2'}</v>
      </c>
      <c r="E2">
        <v>1</v>
      </c>
      <c r="F2" t="s">
        <v>2923</v>
      </c>
      <c r="G2" s="2" t="s">
        <v>6510</v>
      </c>
      <c r="H2" t="s">
        <v>76</v>
      </c>
      <c r="I2" s="3">
        <v>200000</v>
      </c>
      <c r="J2">
        <f>C2</f>
        <v>2</v>
      </c>
    </row>
    <row r="3" spans="1:10" x14ac:dyDescent="0.3">
      <c r="A3" t="s">
        <v>74</v>
      </c>
      <c r="B3" t="s">
        <v>2949</v>
      </c>
      <c r="C3">
        <v>2</v>
      </c>
      <c r="D3" t="str">
        <f t="shared" ref="D3:D31" si="0">+"rg:{ 'id': '" &amp; C3 &amp; "'}"</f>
        <v>rg:{ 'id': '2'}</v>
      </c>
      <c r="E3">
        <v>2</v>
      </c>
      <c r="F3" t="s">
        <v>7882</v>
      </c>
      <c r="G3" s="2" t="s">
        <v>6510</v>
      </c>
      <c r="H3" t="s">
        <v>76</v>
      </c>
      <c r="I3" s="3">
        <v>200001</v>
      </c>
      <c r="J3">
        <f t="shared" ref="J3:J31" si="1">C3</f>
        <v>2</v>
      </c>
    </row>
    <row r="4" spans="1:10" x14ac:dyDescent="0.3">
      <c r="A4" t="s">
        <v>74</v>
      </c>
      <c r="B4" t="s">
        <v>2949</v>
      </c>
      <c r="C4">
        <v>2</v>
      </c>
      <c r="D4" t="str">
        <f t="shared" si="0"/>
        <v>rg:{ 'id': '2'}</v>
      </c>
      <c r="E4">
        <v>3</v>
      </c>
      <c r="F4" t="s">
        <v>7883</v>
      </c>
      <c r="G4" s="2" t="s">
        <v>6510</v>
      </c>
      <c r="H4" t="s">
        <v>76</v>
      </c>
      <c r="I4" s="3">
        <v>200002</v>
      </c>
      <c r="J4">
        <f t="shared" si="1"/>
        <v>2</v>
      </c>
    </row>
    <row r="5" spans="1:10" x14ac:dyDescent="0.3">
      <c r="A5" t="s">
        <v>74</v>
      </c>
      <c r="B5" t="s">
        <v>2926</v>
      </c>
      <c r="C5">
        <v>1</v>
      </c>
      <c r="D5" t="str">
        <f t="shared" si="0"/>
        <v>rg:{ 'id': '1'}</v>
      </c>
      <c r="E5">
        <v>4</v>
      </c>
      <c r="F5" t="s">
        <v>2924</v>
      </c>
      <c r="G5" s="2" t="s">
        <v>6510</v>
      </c>
      <c r="H5" t="s">
        <v>76</v>
      </c>
      <c r="I5" s="3">
        <v>200003</v>
      </c>
      <c r="J5">
        <f t="shared" si="1"/>
        <v>1</v>
      </c>
    </row>
    <row r="6" spans="1:10" x14ac:dyDescent="0.3">
      <c r="A6" t="s">
        <v>74</v>
      </c>
      <c r="B6" t="s">
        <v>2926</v>
      </c>
      <c r="C6">
        <v>1</v>
      </c>
      <c r="D6" t="str">
        <f t="shared" si="0"/>
        <v>rg:{ 'id': '1'}</v>
      </c>
      <c r="E6">
        <v>5</v>
      </c>
      <c r="F6" t="s">
        <v>2925</v>
      </c>
      <c r="G6" s="2" t="s">
        <v>6510</v>
      </c>
      <c r="H6" t="s">
        <v>76</v>
      </c>
      <c r="I6" s="3">
        <v>200004</v>
      </c>
      <c r="J6">
        <f t="shared" si="1"/>
        <v>1</v>
      </c>
    </row>
    <row r="7" spans="1:10" x14ac:dyDescent="0.3">
      <c r="A7" t="s">
        <v>74</v>
      </c>
      <c r="B7" t="s">
        <v>2926</v>
      </c>
      <c r="C7">
        <v>1</v>
      </c>
      <c r="D7" t="str">
        <f t="shared" si="0"/>
        <v>rg:{ 'id': '1'}</v>
      </c>
      <c r="E7">
        <v>6</v>
      </c>
      <c r="F7" t="s">
        <v>2926</v>
      </c>
      <c r="G7" s="2" t="s">
        <v>6510</v>
      </c>
      <c r="H7" t="s">
        <v>76</v>
      </c>
      <c r="I7" s="3">
        <v>200005</v>
      </c>
      <c r="J7">
        <f t="shared" si="1"/>
        <v>1</v>
      </c>
    </row>
    <row r="8" spans="1:10" x14ac:dyDescent="0.3">
      <c r="A8" t="s">
        <v>74</v>
      </c>
      <c r="B8" t="s">
        <v>2926</v>
      </c>
      <c r="C8">
        <v>1</v>
      </c>
      <c r="D8" t="str">
        <f t="shared" si="0"/>
        <v>rg:{ 'id': '1'}</v>
      </c>
      <c r="E8">
        <v>7</v>
      </c>
      <c r="F8" t="s">
        <v>10</v>
      </c>
      <c r="G8" s="2" t="s">
        <v>6510</v>
      </c>
      <c r="H8" t="s">
        <v>76</v>
      </c>
      <c r="I8" s="3">
        <v>200006</v>
      </c>
      <c r="J8">
        <f t="shared" si="1"/>
        <v>1</v>
      </c>
    </row>
    <row r="9" spans="1:10" x14ac:dyDescent="0.3">
      <c r="A9" t="s">
        <v>74</v>
      </c>
      <c r="B9" t="s">
        <v>2951</v>
      </c>
      <c r="C9">
        <v>5</v>
      </c>
      <c r="D9" t="str">
        <f t="shared" si="0"/>
        <v>rg:{ 'id': '5'}</v>
      </c>
      <c r="E9">
        <v>8</v>
      </c>
      <c r="F9" t="s">
        <v>2927</v>
      </c>
      <c r="G9" s="2" t="s">
        <v>6510</v>
      </c>
      <c r="H9" t="s">
        <v>76</v>
      </c>
      <c r="I9" s="3">
        <v>200007</v>
      </c>
      <c r="J9">
        <f t="shared" si="1"/>
        <v>5</v>
      </c>
    </row>
    <row r="10" spans="1:10" x14ac:dyDescent="0.3">
      <c r="A10" t="s">
        <v>74</v>
      </c>
      <c r="B10" t="s">
        <v>22</v>
      </c>
      <c r="C10">
        <v>4</v>
      </c>
      <c r="D10" t="str">
        <f t="shared" si="0"/>
        <v>rg:{ 'id': '4'}</v>
      </c>
      <c r="E10">
        <v>9</v>
      </c>
      <c r="F10" t="s">
        <v>2928</v>
      </c>
      <c r="G10" s="2" t="s">
        <v>6510</v>
      </c>
      <c r="H10" t="s">
        <v>76</v>
      </c>
      <c r="I10" s="3">
        <v>200008</v>
      </c>
      <c r="J10">
        <f t="shared" si="1"/>
        <v>4</v>
      </c>
    </row>
    <row r="11" spans="1:10" x14ac:dyDescent="0.3">
      <c r="A11" t="s">
        <v>74</v>
      </c>
      <c r="B11" t="s">
        <v>22</v>
      </c>
      <c r="C11">
        <v>4</v>
      </c>
      <c r="D11" t="str">
        <f t="shared" si="0"/>
        <v>rg:{ 'id': '4'}</v>
      </c>
      <c r="E11">
        <v>10</v>
      </c>
      <c r="F11" t="s">
        <v>2929</v>
      </c>
      <c r="G11" s="2" t="s">
        <v>6510</v>
      </c>
      <c r="H11" t="s">
        <v>76</v>
      </c>
      <c r="I11" s="3">
        <v>200009</v>
      </c>
      <c r="J11">
        <f t="shared" si="1"/>
        <v>4</v>
      </c>
    </row>
    <row r="12" spans="1:10" x14ac:dyDescent="0.3">
      <c r="A12" t="s">
        <v>74</v>
      </c>
      <c r="B12" t="s">
        <v>2950</v>
      </c>
      <c r="C12">
        <v>3</v>
      </c>
      <c r="D12" t="str">
        <f t="shared" si="0"/>
        <v>rg:{ 'id': '3'}</v>
      </c>
      <c r="E12">
        <v>11</v>
      </c>
      <c r="F12" t="s">
        <v>13</v>
      </c>
      <c r="G12" s="2" t="s">
        <v>6510</v>
      </c>
      <c r="H12" t="s">
        <v>76</v>
      </c>
      <c r="I12" s="3">
        <v>200010</v>
      </c>
      <c r="J12">
        <f t="shared" si="1"/>
        <v>3</v>
      </c>
    </row>
    <row r="13" spans="1:10" x14ac:dyDescent="0.3">
      <c r="A13" t="s">
        <v>74</v>
      </c>
      <c r="B13" t="s">
        <v>2950</v>
      </c>
      <c r="C13">
        <v>3</v>
      </c>
      <c r="D13" t="str">
        <f t="shared" si="0"/>
        <v>rg:{ 'id': '3'}</v>
      </c>
      <c r="E13">
        <v>12</v>
      </c>
      <c r="F13" t="s">
        <v>2930</v>
      </c>
      <c r="G13" s="2" t="s">
        <v>6510</v>
      </c>
      <c r="H13" t="s">
        <v>76</v>
      </c>
      <c r="I13" s="3">
        <v>200011</v>
      </c>
      <c r="J13">
        <f t="shared" si="1"/>
        <v>3</v>
      </c>
    </row>
    <row r="14" spans="1:10" x14ac:dyDescent="0.3">
      <c r="A14" t="s">
        <v>74</v>
      </c>
      <c r="B14" t="s">
        <v>2951</v>
      </c>
      <c r="C14">
        <v>5</v>
      </c>
      <c r="D14" t="str">
        <f t="shared" si="0"/>
        <v>rg:{ 'id': '5'}</v>
      </c>
      <c r="E14">
        <v>13</v>
      </c>
      <c r="F14" t="s">
        <v>2931</v>
      </c>
      <c r="G14" s="2" t="s">
        <v>6510</v>
      </c>
      <c r="H14" t="s">
        <v>76</v>
      </c>
      <c r="I14" s="3">
        <v>200012</v>
      </c>
      <c r="J14">
        <f t="shared" si="1"/>
        <v>5</v>
      </c>
    </row>
    <row r="15" spans="1:10" x14ac:dyDescent="0.3">
      <c r="A15" t="s">
        <v>74</v>
      </c>
      <c r="B15" t="s">
        <v>2952</v>
      </c>
      <c r="C15">
        <v>6</v>
      </c>
      <c r="D15" t="str">
        <f t="shared" si="0"/>
        <v>rg:{ 'id': '6'}</v>
      </c>
      <c r="E15">
        <v>14</v>
      </c>
      <c r="F15" t="s">
        <v>2932</v>
      </c>
      <c r="G15" s="2" t="s">
        <v>6510</v>
      </c>
      <c r="H15" t="s">
        <v>76</v>
      </c>
      <c r="I15" s="3">
        <v>200013</v>
      </c>
      <c r="J15">
        <f t="shared" si="1"/>
        <v>6</v>
      </c>
    </row>
    <row r="16" spans="1:10" x14ac:dyDescent="0.3">
      <c r="A16" t="s">
        <v>74</v>
      </c>
      <c r="B16" t="s">
        <v>2952</v>
      </c>
      <c r="C16">
        <v>6</v>
      </c>
      <c r="D16" t="str">
        <f t="shared" si="0"/>
        <v>rg:{ 'id': '6'}</v>
      </c>
      <c r="E16">
        <v>15</v>
      </c>
      <c r="F16" t="s">
        <v>2933</v>
      </c>
      <c r="G16" s="2" t="s">
        <v>6510</v>
      </c>
      <c r="H16" t="s">
        <v>76</v>
      </c>
      <c r="I16" s="3">
        <v>200014</v>
      </c>
      <c r="J16">
        <f t="shared" si="1"/>
        <v>6</v>
      </c>
    </row>
    <row r="17" spans="1:10" x14ac:dyDescent="0.3">
      <c r="A17" t="s">
        <v>74</v>
      </c>
      <c r="B17" t="s">
        <v>2953</v>
      </c>
      <c r="C17">
        <v>7</v>
      </c>
      <c r="D17" t="str">
        <f t="shared" si="0"/>
        <v>rg:{ 'id': '7'}</v>
      </c>
      <c r="E17">
        <v>16</v>
      </c>
      <c r="F17" t="s">
        <v>2934</v>
      </c>
      <c r="G17" s="2" t="s">
        <v>6510</v>
      </c>
      <c r="H17" t="s">
        <v>76</v>
      </c>
      <c r="I17" s="3">
        <v>200015</v>
      </c>
      <c r="J17">
        <f t="shared" si="1"/>
        <v>7</v>
      </c>
    </row>
    <row r="18" spans="1:10" x14ac:dyDescent="0.3">
      <c r="A18" t="s">
        <v>74</v>
      </c>
      <c r="B18" t="s">
        <v>2953</v>
      </c>
      <c r="C18">
        <v>7</v>
      </c>
      <c r="D18" t="str">
        <f t="shared" si="0"/>
        <v>rg:{ 'id': '7'}</v>
      </c>
      <c r="E18">
        <v>17</v>
      </c>
      <c r="F18" t="s">
        <v>2935</v>
      </c>
      <c r="G18" s="2" t="s">
        <v>6510</v>
      </c>
      <c r="H18" t="s">
        <v>76</v>
      </c>
      <c r="I18" s="3">
        <v>200016</v>
      </c>
      <c r="J18">
        <f t="shared" si="1"/>
        <v>7</v>
      </c>
    </row>
    <row r="19" spans="1:10" x14ac:dyDescent="0.3">
      <c r="A19" t="s">
        <v>74</v>
      </c>
      <c r="B19" t="s">
        <v>2953</v>
      </c>
      <c r="C19">
        <v>7</v>
      </c>
      <c r="D19" t="str">
        <f t="shared" si="0"/>
        <v>rg:{ 'id': '7'}</v>
      </c>
      <c r="E19">
        <v>18</v>
      </c>
      <c r="F19" t="s">
        <v>2936</v>
      </c>
      <c r="G19" s="2" t="s">
        <v>6510</v>
      </c>
      <c r="H19" t="s">
        <v>76</v>
      </c>
      <c r="I19" s="3">
        <v>200017</v>
      </c>
      <c r="J19">
        <f t="shared" si="1"/>
        <v>7</v>
      </c>
    </row>
    <row r="20" spans="1:10" x14ac:dyDescent="0.3">
      <c r="A20" t="s">
        <v>74</v>
      </c>
      <c r="B20" t="s">
        <v>2937</v>
      </c>
      <c r="C20">
        <v>9</v>
      </c>
      <c r="D20" t="str">
        <f t="shared" si="0"/>
        <v>rg:{ 'id': '9'}</v>
      </c>
      <c r="E20">
        <v>19</v>
      </c>
      <c r="F20" t="s">
        <v>2937</v>
      </c>
      <c r="G20" s="2" t="s">
        <v>6510</v>
      </c>
      <c r="H20" t="s">
        <v>76</v>
      </c>
      <c r="I20" s="3">
        <v>200018</v>
      </c>
      <c r="J20">
        <f t="shared" si="1"/>
        <v>9</v>
      </c>
    </row>
    <row r="21" spans="1:10" x14ac:dyDescent="0.3">
      <c r="A21" t="s">
        <v>74</v>
      </c>
      <c r="B21" t="s">
        <v>2937</v>
      </c>
      <c r="C21">
        <v>9</v>
      </c>
      <c r="D21" t="str">
        <f t="shared" si="0"/>
        <v>rg:{ 'id': '9'}</v>
      </c>
      <c r="E21">
        <v>20</v>
      </c>
      <c r="F21" t="s">
        <v>2938</v>
      </c>
      <c r="G21" s="2" t="s">
        <v>6510</v>
      </c>
      <c r="H21" t="s">
        <v>76</v>
      </c>
      <c r="I21" s="3">
        <v>200019</v>
      </c>
      <c r="J21">
        <f t="shared" si="1"/>
        <v>9</v>
      </c>
    </row>
    <row r="22" spans="1:10" x14ac:dyDescent="0.3">
      <c r="A22" t="s">
        <v>74</v>
      </c>
      <c r="B22" t="s">
        <v>2954</v>
      </c>
      <c r="C22">
        <v>8</v>
      </c>
      <c r="D22" t="str">
        <f t="shared" si="0"/>
        <v>rg:{ 'id': '8'}</v>
      </c>
      <c r="E22">
        <v>21</v>
      </c>
      <c r="F22" t="s">
        <v>2939</v>
      </c>
      <c r="G22" s="2" t="s">
        <v>6510</v>
      </c>
      <c r="H22" t="s">
        <v>76</v>
      </c>
      <c r="I22" s="3">
        <v>200020</v>
      </c>
      <c r="J22">
        <f t="shared" si="1"/>
        <v>8</v>
      </c>
    </row>
    <row r="23" spans="1:10" x14ac:dyDescent="0.3">
      <c r="A23" t="s">
        <v>74</v>
      </c>
      <c r="B23" t="s">
        <v>2954</v>
      </c>
      <c r="C23">
        <v>8</v>
      </c>
      <c r="D23" t="str">
        <f t="shared" si="0"/>
        <v>rg:{ 'id': '8'}</v>
      </c>
      <c r="E23">
        <v>22</v>
      </c>
      <c r="F23" t="s">
        <v>2940</v>
      </c>
      <c r="G23" s="2" t="s">
        <v>6510</v>
      </c>
      <c r="H23" t="s">
        <v>76</v>
      </c>
      <c r="I23" s="3">
        <v>200021</v>
      </c>
      <c r="J23">
        <f t="shared" si="1"/>
        <v>8</v>
      </c>
    </row>
    <row r="24" spans="1:10" x14ac:dyDescent="0.3">
      <c r="A24" t="s">
        <v>74</v>
      </c>
      <c r="B24" t="s">
        <v>2937</v>
      </c>
      <c r="C24">
        <v>9</v>
      </c>
      <c r="D24" t="str">
        <f t="shared" si="0"/>
        <v>rg:{ 'id': '9'}</v>
      </c>
      <c r="E24">
        <v>23</v>
      </c>
      <c r="F24" t="s">
        <v>2941</v>
      </c>
      <c r="G24" s="2" t="s">
        <v>6510</v>
      </c>
      <c r="H24" t="s">
        <v>76</v>
      </c>
      <c r="I24" s="3">
        <v>200022</v>
      </c>
      <c r="J24">
        <f t="shared" si="1"/>
        <v>9</v>
      </c>
    </row>
    <row r="25" spans="1:10" x14ac:dyDescent="0.3">
      <c r="A25" t="s">
        <v>74</v>
      </c>
      <c r="B25" t="s">
        <v>2955</v>
      </c>
      <c r="C25">
        <v>10</v>
      </c>
      <c r="D25" t="str">
        <f t="shared" si="0"/>
        <v>rg:{ 'id': '10'}</v>
      </c>
      <c r="E25">
        <v>24</v>
      </c>
      <c r="F25" t="s">
        <v>2942</v>
      </c>
      <c r="G25" s="2" t="s">
        <v>6510</v>
      </c>
      <c r="H25" t="s">
        <v>76</v>
      </c>
      <c r="I25" s="3">
        <v>200023</v>
      </c>
      <c r="J25">
        <f t="shared" si="1"/>
        <v>10</v>
      </c>
    </row>
    <row r="26" spans="1:10" x14ac:dyDescent="0.3">
      <c r="A26" t="s">
        <v>74</v>
      </c>
      <c r="B26" t="s">
        <v>2955</v>
      </c>
      <c r="C26">
        <v>10</v>
      </c>
      <c r="D26" t="str">
        <f t="shared" si="0"/>
        <v>rg:{ 'id': '10'}</v>
      </c>
      <c r="E26">
        <v>25</v>
      </c>
      <c r="F26" t="s">
        <v>2943</v>
      </c>
      <c r="G26" s="2" t="s">
        <v>6510</v>
      </c>
      <c r="H26" t="s">
        <v>76</v>
      </c>
      <c r="I26" s="3">
        <v>200024</v>
      </c>
      <c r="J26">
        <f t="shared" si="1"/>
        <v>10</v>
      </c>
    </row>
    <row r="27" spans="1:10" x14ac:dyDescent="0.3">
      <c r="A27" t="s">
        <v>74</v>
      </c>
      <c r="B27" t="s">
        <v>2944</v>
      </c>
      <c r="C27">
        <v>11</v>
      </c>
      <c r="D27" t="str">
        <f t="shared" si="0"/>
        <v>rg:{ 'id': '11'}</v>
      </c>
      <c r="E27">
        <v>26</v>
      </c>
      <c r="F27" t="s">
        <v>2944</v>
      </c>
      <c r="G27" s="2" t="s">
        <v>6510</v>
      </c>
      <c r="H27" t="s">
        <v>76</v>
      </c>
      <c r="I27" s="3">
        <v>200025</v>
      </c>
      <c r="J27">
        <f t="shared" si="1"/>
        <v>11</v>
      </c>
    </row>
    <row r="28" spans="1:10" x14ac:dyDescent="0.3">
      <c r="A28" t="s">
        <v>74</v>
      </c>
      <c r="B28" t="s">
        <v>2944</v>
      </c>
      <c r="C28">
        <v>11</v>
      </c>
      <c r="D28" t="str">
        <f t="shared" si="0"/>
        <v>rg:{ 'id': '11'}</v>
      </c>
      <c r="E28">
        <v>27</v>
      </c>
      <c r="F28" t="s">
        <v>2945</v>
      </c>
      <c r="G28" s="2" t="s">
        <v>6510</v>
      </c>
      <c r="H28" t="s">
        <v>76</v>
      </c>
      <c r="I28" s="3">
        <v>200026</v>
      </c>
      <c r="J28">
        <f t="shared" si="1"/>
        <v>11</v>
      </c>
    </row>
    <row r="29" spans="1:10" x14ac:dyDescent="0.3">
      <c r="A29" t="s">
        <v>74</v>
      </c>
      <c r="B29" t="s">
        <v>2955</v>
      </c>
      <c r="C29">
        <v>10</v>
      </c>
      <c r="D29" t="str">
        <f t="shared" si="0"/>
        <v>rg:{ 'id': '10'}</v>
      </c>
      <c r="E29">
        <v>28</v>
      </c>
      <c r="F29" t="s">
        <v>2946</v>
      </c>
      <c r="G29" s="2" t="s">
        <v>6510</v>
      </c>
      <c r="H29" t="s">
        <v>76</v>
      </c>
      <c r="I29" s="3">
        <v>200027</v>
      </c>
      <c r="J29">
        <f t="shared" si="1"/>
        <v>10</v>
      </c>
    </row>
    <row r="30" spans="1:10" x14ac:dyDescent="0.3">
      <c r="A30" t="s">
        <v>74</v>
      </c>
      <c r="B30" t="s">
        <v>2947</v>
      </c>
      <c r="C30">
        <v>12</v>
      </c>
      <c r="D30" t="str">
        <f t="shared" si="0"/>
        <v>rg:{ 'id': '12'}</v>
      </c>
      <c r="E30">
        <v>99</v>
      </c>
      <c r="F30" t="s">
        <v>2947</v>
      </c>
      <c r="G30" s="2" t="s">
        <v>6510</v>
      </c>
      <c r="H30" t="s">
        <v>76</v>
      </c>
      <c r="I30" s="3">
        <v>200028</v>
      </c>
      <c r="J30">
        <f t="shared" si="1"/>
        <v>12</v>
      </c>
    </row>
    <row r="31" spans="1:10" x14ac:dyDescent="0.3">
      <c r="A31" t="s">
        <v>74</v>
      </c>
      <c r="B31" t="s">
        <v>2948</v>
      </c>
      <c r="C31">
        <v>13</v>
      </c>
      <c r="D31" t="str">
        <f t="shared" si="0"/>
        <v>rg:{ 'id': '13'}</v>
      </c>
      <c r="E31">
        <v>999</v>
      </c>
      <c r="F31" t="s">
        <v>2948</v>
      </c>
      <c r="G31" s="2" t="s">
        <v>6510</v>
      </c>
      <c r="H31" t="s">
        <v>76</v>
      </c>
      <c r="I31" s="3">
        <v>200029</v>
      </c>
      <c r="J31">
        <f t="shared" si="1"/>
        <v>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L88"/>
  <sheetViews>
    <sheetView workbookViewId="0">
      <pane ySplit="1" topLeftCell="A59" activePane="bottomLeft" state="frozen"/>
      <selection pane="bottomLeft" activeCell="F74" sqref="F74:F86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44140625" customWidth="1"/>
    <col min="5" max="5" width="17.88671875" customWidth="1"/>
    <col min="6" max="6" width="18" customWidth="1"/>
    <col min="7" max="7" width="15.33203125" bestFit="1" customWidth="1"/>
    <col min="8" max="8" width="11" customWidth="1"/>
    <col min="11" max="11" width="36.109375" bestFit="1" customWidth="1"/>
    <col min="12" max="12" width="18.44140625" bestFit="1" customWidth="1"/>
  </cols>
  <sheetData>
    <row r="1" spans="1:12" x14ac:dyDescent="0.3">
      <c r="A1" t="s">
        <v>68</v>
      </c>
      <c r="B1" t="s">
        <v>7877</v>
      </c>
      <c r="C1" t="s">
        <v>5375</v>
      </c>
      <c r="D1" t="s">
        <v>7881</v>
      </c>
      <c r="E1" t="s">
        <v>5376</v>
      </c>
      <c r="F1" t="s">
        <v>73</v>
      </c>
      <c r="G1" t="s">
        <v>7878</v>
      </c>
      <c r="H1" t="s">
        <v>70</v>
      </c>
      <c r="I1" t="s">
        <v>71</v>
      </c>
      <c r="J1" t="s">
        <v>5323</v>
      </c>
      <c r="K1" t="s">
        <v>6930</v>
      </c>
      <c r="L1" t="s">
        <v>7868</v>
      </c>
    </row>
    <row r="2" spans="1:12" x14ac:dyDescent="0.3">
      <c r="A2" t="s">
        <v>5374</v>
      </c>
      <c r="B2">
        <f>_xlfn.NUMBERVALUE(MID(E2,13,6))</f>
        <v>200000</v>
      </c>
      <c r="C2" t="s">
        <v>2923</v>
      </c>
      <c r="D2">
        <f>VLOOKUP(C2,ServiceAreas.csv!F:J,5,FALSE)</f>
        <v>2</v>
      </c>
      <c r="E2" t="s">
        <v>6531</v>
      </c>
      <c r="F2" t="s">
        <v>5343</v>
      </c>
      <c r="G2">
        <v>1</v>
      </c>
      <c r="H2" s="2" t="s">
        <v>6510</v>
      </c>
      <c r="I2" t="s">
        <v>76</v>
      </c>
      <c r="J2" s="3">
        <f>200000+G2</f>
        <v>200001</v>
      </c>
      <c r="K2" t="str">
        <f t="shared" ref="K2:K33" si="0">F2</f>
        <v>Cobble Hill</v>
      </c>
      <c r="L2" t="str">
        <f t="shared" ref="L2:L33" si="1">C2</f>
        <v>South Island</v>
      </c>
    </row>
    <row r="3" spans="1:12" x14ac:dyDescent="0.3">
      <c r="A3" t="s">
        <v>5374</v>
      </c>
      <c r="B3">
        <f t="shared" ref="B3:B66" si="2">_xlfn.NUMBERVALUE(MID(E3,13,6))</f>
        <v>200000</v>
      </c>
      <c r="C3" t="s">
        <v>2923</v>
      </c>
      <c r="D3">
        <f>VLOOKUP(C3,ServiceAreas.csv!F:J,5,FALSE)</f>
        <v>2</v>
      </c>
      <c r="E3" t="s">
        <v>6531</v>
      </c>
      <c r="F3" t="s">
        <v>5352</v>
      </c>
      <c r="G3">
        <v>2</v>
      </c>
      <c r="H3" s="2" t="s">
        <v>6510</v>
      </c>
      <c r="I3" t="s">
        <v>76</v>
      </c>
      <c r="J3" s="3">
        <f t="shared" ref="J3:J66" si="3">200000+G3</f>
        <v>200002</v>
      </c>
      <c r="K3" t="str">
        <f t="shared" si="0"/>
        <v>Lake Cowichan</v>
      </c>
      <c r="L3" t="str">
        <f t="shared" si="1"/>
        <v>South Island</v>
      </c>
    </row>
    <row r="4" spans="1:12" x14ac:dyDescent="0.3">
      <c r="A4" t="s">
        <v>5374</v>
      </c>
      <c r="B4">
        <f t="shared" si="2"/>
        <v>200000</v>
      </c>
      <c r="C4" t="s">
        <v>2923</v>
      </c>
      <c r="D4">
        <f>VLOOKUP(C4,ServiceAreas.csv!F:J,5,FALSE)</f>
        <v>2</v>
      </c>
      <c r="E4" t="s">
        <v>6531</v>
      </c>
      <c r="F4" t="s">
        <v>3295</v>
      </c>
      <c r="G4">
        <v>3</v>
      </c>
      <c r="H4" s="2" t="s">
        <v>6510</v>
      </c>
      <c r="I4" t="s">
        <v>76</v>
      </c>
      <c r="J4" s="3">
        <f t="shared" si="3"/>
        <v>200003</v>
      </c>
      <c r="K4" t="str">
        <f t="shared" si="0"/>
        <v>Duncan</v>
      </c>
      <c r="L4" t="str">
        <f t="shared" si="1"/>
        <v>South Island</v>
      </c>
    </row>
    <row r="5" spans="1:12" x14ac:dyDescent="0.3">
      <c r="A5" t="s">
        <v>5374</v>
      </c>
      <c r="B5">
        <f t="shared" si="2"/>
        <v>200000</v>
      </c>
      <c r="C5" t="s">
        <v>2923</v>
      </c>
      <c r="D5">
        <f>VLOOKUP(C5,ServiceAreas.csv!F:J,5,FALSE)</f>
        <v>2</v>
      </c>
      <c r="E5" t="s">
        <v>6531</v>
      </c>
      <c r="F5" t="s">
        <v>5386</v>
      </c>
      <c r="G5">
        <v>4</v>
      </c>
      <c r="H5" s="2" t="s">
        <v>6510</v>
      </c>
      <c r="I5" t="s">
        <v>76</v>
      </c>
      <c r="J5" s="3">
        <f t="shared" si="3"/>
        <v>200004</v>
      </c>
      <c r="K5" t="str">
        <f t="shared" si="0"/>
        <v>Saanich Peninsula</v>
      </c>
      <c r="L5" t="str">
        <f t="shared" si="1"/>
        <v>South Island</v>
      </c>
    </row>
    <row r="6" spans="1:12" x14ac:dyDescent="0.3">
      <c r="A6" t="s">
        <v>5374</v>
      </c>
      <c r="B6">
        <f t="shared" si="2"/>
        <v>200000</v>
      </c>
      <c r="C6" t="s">
        <v>2923</v>
      </c>
      <c r="D6">
        <f>VLOOKUP(C6,ServiceAreas.csv!F:J,5,FALSE)</f>
        <v>2</v>
      </c>
      <c r="E6" t="s">
        <v>6531</v>
      </c>
      <c r="F6" t="s">
        <v>6484</v>
      </c>
      <c r="G6">
        <v>5</v>
      </c>
      <c r="H6" s="2" t="s">
        <v>6510</v>
      </c>
      <c r="I6" t="s">
        <v>76</v>
      </c>
      <c r="J6" s="3">
        <f t="shared" si="3"/>
        <v>200005</v>
      </c>
      <c r="K6" t="str">
        <f t="shared" si="0"/>
        <v>Western Communities</v>
      </c>
      <c r="L6" t="str">
        <f t="shared" si="1"/>
        <v>South Island</v>
      </c>
    </row>
    <row r="7" spans="1:12" x14ac:dyDescent="0.3">
      <c r="A7" t="s">
        <v>5374</v>
      </c>
      <c r="B7">
        <f t="shared" si="2"/>
        <v>200001</v>
      </c>
      <c r="C7" t="s">
        <v>7882</v>
      </c>
      <c r="D7">
        <f>VLOOKUP(C7,ServiceAreas.csv!F:J,5,FALSE)</f>
        <v>2</v>
      </c>
      <c r="E7" t="s">
        <v>6512</v>
      </c>
      <c r="F7" t="s">
        <v>6456</v>
      </c>
      <c r="G7">
        <v>6</v>
      </c>
      <c r="H7" s="2" t="s">
        <v>6510</v>
      </c>
      <c r="I7" t="s">
        <v>76</v>
      </c>
      <c r="J7" s="3">
        <f t="shared" si="3"/>
        <v>200006</v>
      </c>
      <c r="K7" t="str">
        <f t="shared" si="0"/>
        <v>Nanaimo/Ladysmith/Lantzville</v>
      </c>
      <c r="L7" t="str">
        <f t="shared" si="1"/>
        <v>Central Island</v>
      </c>
    </row>
    <row r="8" spans="1:12" x14ac:dyDescent="0.3">
      <c r="A8" t="s">
        <v>5374</v>
      </c>
      <c r="B8">
        <f t="shared" si="2"/>
        <v>200001</v>
      </c>
      <c r="C8" t="s">
        <v>7882</v>
      </c>
      <c r="D8">
        <f>VLOOKUP(C8,ServiceAreas.csv!F:J,5,FALSE)</f>
        <v>2</v>
      </c>
      <c r="E8" t="s">
        <v>6512</v>
      </c>
      <c r="F8" t="s">
        <v>6457</v>
      </c>
      <c r="G8">
        <v>7</v>
      </c>
      <c r="H8" s="2" t="s">
        <v>6510</v>
      </c>
      <c r="I8" t="s">
        <v>76</v>
      </c>
      <c r="J8" s="3">
        <f t="shared" si="3"/>
        <v>200007</v>
      </c>
      <c r="K8" t="str">
        <f t="shared" si="0"/>
        <v>Parksville/Qualicum</v>
      </c>
      <c r="L8" t="str">
        <f t="shared" si="1"/>
        <v>Central Island</v>
      </c>
    </row>
    <row r="9" spans="1:12" x14ac:dyDescent="0.3">
      <c r="A9" t="s">
        <v>5374</v>
      </c>
      <c r="B9">
        <f t="shared" si="2"/>
        <v>200001</v>
      </c>
      <c r="C9" t="s">
        <v>7882</v>
      </c>
      <c r="D9">
        <f>VLOOKUP(C9,ServiceAreas.csv!F:J,5,FALSE)</f>
        <v>2</v>
      </c>
      <c r="E9" t="s">
        <v>6512</v>
      </c>
      <c r="F9" t="s">
        <v>3720</v>
      </c>
      <c r="G9">
        <v>8</v>
      </c>
      <c r="H9" s="2" t="s">
        <v>6510</v>
      </c>
      <c r="I9" t="s">
        <v>76</v>
      </c>
      <c r="J9" s="3">
        <f t="shared" si="3"/>
        <v>200008</v>
      </c>
      <c r="K9" t="str">
        <f t="shared" si="0"/>
        <v>Port Alberni</v>
      </c>
      <c r="L9" t="str">
        <f t="shared" si="1"/>
        <v>Central Island</v>
      </c>
    </row>
    <row r="10" spans="1:12" x14ac:dyDescent="0.3">
      <c r="A10" t="s">
        <v>5374</v>
      </c>
      <c r="B10">
        <f t="shared" si="2"/>
        <v>200001</v>
      </c>
      <c r="C10" t="s">
        <v>7882</v>
      </c>
      <c r="D10">
        <f>VLOOKUP(C10,ServiceAreas.csv!F:J,5,FALSE)</f>
        <v>2</v>
      </c>
      <c r="E10" t="s">
        <v>6512</v>
      </c>
      <c r="F10" t="s">
        <v>6458</v>
      </c>
      <c r="G10">
        <v>9</v>
      </c>
      <c r="H10" s="2" t="s">
        <v>6510</v>
      </c>
      <c r="I10" t="s">
        <v>76</v>
      </c>
      <c r="J10" s="3">
        <f t="shared" si="3"/>
        <v>200009</v>
      </c>
      <c r="K10" t="str">
        <f t="shared" si="0"/>
        <v>Ucluelet/Tofino</v>
      </c>
      <c r="L10" t="str">
        <f t="shared" si="1"/>
        <v>Central Island</v>
      </c>
    </row>
    <row r="11" spans="1:12" x14ac:dyDescent="0.3">
      <c r="A11" t="s">
        <v>5374</v>
      </c>
      <c r="B11">
        <f t="shared" si="2"/>
        <v>200001</v>
      </c>
      <c r="C11" t="s">
        <v>7882</v>
      </c>
      <c r="D11">
        <f>VLOOKUP(C11,ServiceAreas.csv!F:J,5,FALSE)</f>
        <v>2</v>
      </c>
      <c r="E11" t="s">
        <v>6512</v>
      </c>
      <c r="F11" t="s">
        <v>5349</v>
      </c>
      <c r="G11">
        <v>10</v>
      </c>
      <c r="H11" s="2" t="s">
        <v>6510</v>
      </c>
      <c r="I11" t="s">
        <v>76</v>
      </c>
      <c r="J11" s="3">
        <f t="shared" si="3"/>
        <v>200010</v>
      </c>
      <c r="K11" t="str">
        <f t="shared" si="0"/>
        <v>Gabriola Island</v>
      </c>
      <c r="L11" t="str">
        <f t="shared" si="1"/>
        <v>Central Island</v>
      </c>
    </row>
    <row r="12" spans="1:12" x14ac:dyDescent="0.3">
      <c r="A12" t="s">
        <v>5374</v>
      </c>
      <c r="B12">
        <f t="shared" si="2"/>
        <v>200002</v>
      </c>
      <c r="C12" t="s">
        <v>7883</v>
      </c>
      <c r="D12">
        <f>VLOOKUP(C12,ServiceAreas.csv!F:J,5,FALSE)</f>
        <v>2</v>
      </c>
      <c r="E12" t="s">
        <v>6524</v>
      </c>
      <c r="F12" t="s">
        <v>4781</v>
      </c>
      <c r="G12">
        <v>11</v>
      </c>
      <c r="H12" s="2" t="s">
        <v>6510</v>
      </c>
      <c r="I12" t="s">
        <v>76</v>
      </c>
      <c r="J12" s="3">
        <f t="shared" si="3"/>
        <v>200011</v>
      </c>
      <c r="K12" t="str">
        <f t="shared" si="0"/>
        <v>Courtenay</v>
      </c>
      <c r="L12" t="str">
        <f t="shared" si="1"/>
        <v>North Island</v>
      </c>
    </row>
    <row r="13" spans="1:12" x14ac:dyDescent="0.3">
      <c r="A13" t="s">
        <v>5374</v>
      </c>
      <c r="B13">
        <f t="shared" si="2"/>
        <v>200002</v>
      </c>
      <c r="C13" t="s">
        <v>7883</v>
      </c>
      <c r="D13">
        <f>VLOOKUP(C13,ServiceAreas.csv!F:J,5,FALSE)</f>
        <v>2</v>
      </c>
      <c r="E13" t="s">
        <v>6524</v>
      </c>
      <c r="F13" t="s">
        <v>5341</v>
      </c>
      <c r="G13">
        <v>12</v>
      </c>
      <c r="H13" s="2" t="s">
        <v>6510</v>
      </c>
      <c r="I13" t="s">
        <v>76</v>
      </c>
      <c r="J13" s="3">
        <f t="shared" si="3"/>
        <v>200012</v>
      </c>
      <c r="K13" t="str">
        <f t="shared" si="0"/>
        <v>Campbell River</v>
      </c>
      <c r="L13" t="str">
        <f t="shared" si="1"/>
        <v>North Island</v>
      </c>
    </row>
    <row r="14" spans="1:12" x14ac:dyDescent="0.3">
      <c r="A14" t="s">
        <v>5374</v>
      </c>
      <c r="B14">
        <f t="shared" si="2"/>
        <v>200002</v>
      </c>
      <c r="C14" t="s">
        <v>7883</v>
      </c>
      <c r="D14">
        <f>VLOOKUP(C14,ServiceAreas.csv!F:J,5,FALSE)</f>
        <v>2</v>
      </c>
      <c r="E14" t="s">
        <v>6524</v>
      </c>
      <c r="F14" t="s">
        <v>3767</v>
      </c>
      <c r="G14">
        <v>13</v>
      </c>
      <c r="H14" s="2" t="s">
        <v>6510</v>
      </c>
      <c r="I14" t="s">
        <v>76</v>
      </c>
      <c r="J14" s="3">
        <f t="shared" si="3"/>
        <v>200013</v>
      </c>
      <c r="K14" t="str">
        <f t="shared" si="0"/>
        <v>Port Hardy</v>
      </c>
      <c r="L14" t="str">
        <f t="shared" si="1"/>
        <v>North Island</v>
      </c>
    </row>
    <row r="15" spans="1:12" x14ac:dyDescent="0.3">
      <c r="A15" t="s">
        <v>5374</v>
      </c>
      <c r="B15">
        <f t="shared" si="2"/>
        <v>200002</v>
      </c>
      <c r="C15" t="s">
        <v>7883</v>
      </c>
      <c r="D15">
        <f>VLOOKUP(C15,ServiceAreas.csv!F:J,5,FALSE)</f>
        <v>2</v>
      </c>
      <c r="E15" t="s">
        <v>6524</v>
      </c>
      <c r="F15" t="s">
        <v>5350</v>
      </c>
      <c r="G15">
        <v>14</v>
      </c>
      <c r="H15" s="2" t="s">
        <v>6510</v>
      </c>
      <c r="I15" t="s">
        <v>76</v>
      </c>
      <c r="J15" s="3">
        <f t="shared" si="3"/>
        <v>200014</v>
      </c>
      <c r="K15" t="str">
        <f t="shared" si="0"/>
        <v>Gold River</v>
      </c>
      <c r="L15" t="str">
        <f t="shared" si="1"/>
        <v>North Island</v>
      </c>
    </row>
    <row r="16" spans="1:12" x14ac:dyDescent="0.3">
      <c r="A16" t="s">
        <v>5374</v>
      </c>
      <c r="B16">
        <f t="shared" si="2"/>
        <v>200004</v>
      </c>
      <c r="C16" t="s">
        <v>2925</v>
      </c>
      <c r="D16">
        <f>VLOOKUP(C16,ServiceAreas.csv!F:J,5,FALSE)</f>
        <v>1</v>
      </c>
      <c r="E16" t="s">
        <v>6535</v>
      </c>
      <c r="F16" t="s">
        <v>5354</v>
      </c>
      <c r="G16">
        <v>15</v>
      </c>
      <c r="H16" s="2" t="s">
        <v>6510</v>
      </c>
      <c r="I16" t="s">
        <v>76</v>
      </c>
      <c r="J16" s="3">
        <f t="shared" si="3"/>
        <v>200015</v>
      </c>
      <c r="K16" t="str">
        <f t="shared" si="0"/>
        <v>Powell River</v>
      </c>
      <c r="L16" t="str">
        <f t="shared" si="1"/>
        <v>Sunshine Coast</v>
      </c>
    </row>
    <row r="17" spans="1:12" x14ac:dyDescent="0.3">
      <c r="A17" t="s">
        <v>5374</v>
      </c>
      <c r="B17">
        <f t="shared" si="2"/>
        <v>200005</v>
      </c>
      <c r="C17" t="s">
        <v>2926</v>
      </c>
      <c r="D17">
        <f>VLOOKUP(C17,ServiceAreas.csv!F:J,5,FALSE)</f>
        <v>1</v>
      </c>
      <c r="E17" t="s">
        <v>6519</v>
      </c>
      <c r="F17" t="s">
        <v>6471</v>
      </c>
      <c r="G17">
        <v>16</v>
      </c>
      <c r="H17" s="2" t="s">
        <v>6510</v>
      </c>
      <c r="I17" t="s">
        <v>76</v>
      </c>
      <c r="J17" s="3">
        <f t="shared" si="3"/>
        <v>200016</v>
      </c>
      <c r="K17" t="str">
        <f t="shared" si="0"/>
        <v>Lower Mainland-Surrey/Langley</v>
      </c>
      <c r="L17" t="str">
        <f t="shared" si="1"/>
        <v>Lower Mainland</v>
      </c>
    </row>
    <row r="18" spans="1:12" x14ac:dyDescent="0.3">
      <c r="A18" t="s">
        <v>5374</v>
      </c>
      <c r="B18">
        <f t="shared" si="2"/>
        <v>200005</v>
      </c>
      <c r="C18" t="s">
        <v>2926</v>
      </c>
      <c r="D18">
        <f>VLOOKUP(C18,ServiceAreas.csv!F:J,5,FALSE)</f>
        <v>1</v>
      </c>
      <c r="E18" t="s">
        <v>6519</v>
      </c>
      <c r="F18" t="s">
        <v>6472</v>
      </c>
      <c r="G18">
        <v>17</v>
      </c>
      <c r="H18" s="2" t="s">
        <v>6510</v>
      </c>
      <c r="I18" t="s">
        <v>76</v>
      </c>
      <c r="J18" s="3">
        <f t="shared" si="3"/>
        <v>200017</v>
      </c>
      <c r="K18" t="str">
        <f t="shared" si="0"/>
        <v>Lower Mainland-Coquitlam/Burnaby/Van</v>
      </c>
      <c r="L18" t="str">
        <f t="shared" si="1"/>
        <v>Lower Mainland</v>
      </c>
    </row>
    <row r="19" spans="1:12" x14ac:dyDescent="0.3">
      <c r="A19" t="s">
        <v>5374</v>
      </c>
      <c r="B19">
        <f t="shared" si="2"/>
        <v>200005</v>
      </c>
      <c r="C19" t="s">
        <v>2926</v>
      </c>
      <c r="D19">
        <f>VLOOKUP(C19,ServiceAreas.csv!F:J,5,FALSE)</f>
        <v>1</v>
      </c>
      <c r="E19" t="s">
        <v>6519</v>
      </c>
      <c r="F19" t="s">
        <v>6473</v>
      </c>
      <c r="G19">
        <v>18</v>
      </c>
      <c r="H19" s="2" t="s">
        <v>6510</v>
      </c>
      <c r="I19" t="s">
        <v>76</v>
      </c>
      <c r="J19" s="3">
        <f t="shared" si="3"/>
        <v>200018</v>
      </c>
      <c r="K19" t="str">
        <f t="shared" si="0"/>
        <v>Lower Mainland-Delta/Richmond</v>
      </c>
      <c r="L19" t="str">
        <f t="shared" si="1"/>
        <v>Lower Mainland</v>
      </c>
    </row>
    <row r="20" spans="1:12" x14ac:dyDescent="0.3">
      <c r="A20" t="s">
        <v>5374</v>
      </c>
      <c r="B20">
        <f t="shared" si="2"/>
        <v>200006</v>
      </c>
      <c r="C20" t="s">
        <v>10</v>
      </c>
      <c r="D20">
        <f>VLOOKUP(C20,ServiceAreas.csv!F:J,5,FALSE)</f>
        <v>1</v>
      </c>
      <c r="E20" t="s">
        <v>6516</v>
      </c>
      <c r="F20" t="s">
        <v>6465</v>
      </c>
      <c r="G20">
        <v>19</v>
      </c>
      <c r="H20" s="2" t="s">
        <v>6510</v>
      </c>
      <c r="I20" t="s">
        <v>76</v>
      </c>
      <c r="J20" s="3">
        <f t="shared" si="3"/>
        <v>200019</v>
      </c>
      <c r="K20" t="str">
        <f t="shared" si="0"/>
        <v>Chilliwack/Rosedale</v>
      </c>
      <c r="L20" t="str">
        <f t="shared" si="1"/>
        <v>Fraser Valley</v>
      </c>
    </row>
    <row r="21" spans="1:12" x14ac:dyDescent="0.3">
      <c r="A21" t="s">
        <v>5374</v>
      </c>
      <c r="B21">
        <f t="shared" si="2"/>
        <v>200006</v>
      </c>
      <c r="C21" t="s">
        <v>10</v>
      </c>
      <c r="D21">
        <f>VLOOKUP(C21,ServiceAreas.csv!F:J,5,FALSE)</f>
        <v>1</v>
      </c>
      <c r="E21" t="s">
        <v>6516</v>
      </c>
      <c r="F21" t="s">
        <v>6466</v>
      </c>
      <c r="G21">
        <v>20</v>
      </c>
      <c r="H21" s="2" t="s">
        <v>6510</v>
      </c>
      <c r="I21" t="s">
        <v>76</v>
      </c>
      <c r="J21" s="3">
        <f t="shared" si="3"/>
        <v>200020</v>
      </c>
      <c r="K21" t="str">
        <f t="shared" si="0"/>
        <v>Hope/Allison Pass</v>
      </c>
      <c r="L21" t="str">
        <f t="shared" si="1"/>
        <v>Fraser Valley</v>
      </c>
    </row>
    <row r="22" spans="1:12" x14ac:dyDescent="0.3">
      <c r="A22" t="s">
        <v>5374</v>
      </c>
      <c r="B22">
        <f t="shared" si="2"/>
        <v>200006</v>
      </c>
      <c r="C22" t="s">
        <v>10</v>
      </c>
      <c r="D22">
        <f>VLOOKUP(C22,ServiceAreas.csv!F:J,5,FALSE)</f>
        <v>1</v>
      </c>
      <c r="E22" t="s">
        <v>6516</v>
      </c>
      <c r="F22" t="s">
        <v>3102</v>
      </c>
      <c r="G22">
        <v>21</v>
      </c>
      <c r="H22" s="2" t="s">
        <v>6510</v>
      </c>
      <c r="I22" t="s">
        <v>76</v>
      </c>
      <c r="J22" s="3">
        <f t="shared" si="3"/>
        <v>200021</v>
      </c>
      <c r="K22" t="str">
        <f t="shared" si="0"/>
        <v>Abbotsford</v>
      </c>
      <c r="L22" t="str">
        <f t="shared" si="1"/>
        <v>Fraser Valley</v>
      </c>
    </row>
    <row r="23" spans="1:12" x14ac:dyDescent="0.3">
      <c r="A23" t="s">
        <v>5374</v>
      </c>
      <c r="B23">
        <f t="shared" si="2"/>
        <v>200007</v>
      </c>
      <c r="C23" t="s">
        <v>2927</v>
      </c>
      <c r="D23">
        <f>VLOOKUP(C23,ServiceAreas.csv!F:J,5,FALSE)</f>
        <v>5</v>
      </c>
      <c r="E23" t="s">
        <v>6532</v>
      </c>
      <c r="F23" t="s">
        <v>6485</v>
      </c>
      <c r="G23">
        <v>22</v>
      </c>
      <c r="H23" s="2" t="s">
        <v>6510</v>
      </c>
      <c r="I23" t="s">
        <v>76</v>
      </c>
      <c r="J23" s="3">
        <f t="shared" si="3"/>
        <v>200022</v>
      </c>
      <c r="K23" t="str">
        <f t="shared" si="0"/>
        <v>Penticton Rd. Management Area</v>
      </c>
      <c r="L23" t="str">
        <f t="shared" si="1"/>
        <v>South Okanagan</v>
      </c>
    </row>
    <row r="24" spans="1:12" x14ac:dyDescent="0.3">
      <c r="A24" t="s">
        <v>5374</v>
      </c>
      <c r="B24">
        <f t="shared" si="2"/>
        <v>200007</v>
      </c>
      <c r="C24" t="s">
        <v>2927</v>
      </c>
      <c r="D24">
        <f>VLOOKUP(C24,ServiceAreas.csv!F:J,5,FALSE)</f>
        <v>5</v>
      </c>
      <c r="E24" t="s">
        <v>6532</v>
      </c>
      <c r="F24" t="s">
        <v>6486</v>
      </c>
      <c r="G24">
        <v>23</v>
      </c>
      <c r="H24" s="2" t="s">
        <v>6510</v>
      </c>
      <c r="I24" t="s">
        <v>76</v>
      </c>
      <c r="J24" s="3">
        <f t="shared" si="3"/>
        <v>200023</v>
      </c>
      <c r="K24" t="str">
        <f t="shared" si="0"/>
        <v>Kelowna Road Management Area</v>
      </c>
      <c r="L24" t="str">
        <f t="shared" si="1"/>
        <v>South Okanagan</v>
      </c>
    </row>
    <row r="25" spans="1:12" x14ac:dyDescent="0.3">
      <c r="A25" t="s">
        <v>5374</v>
      </c>
      <c r="B25">
        <f t="shared" si="2"/>
        <v>200007</v>
      </c>
      <c r="C25" t="s">
        <v>2927</v>
      </c>
      <c r="D25">
        <f>VLOOKUP(C25,ServiceAreas.csv!F:J,5,FALSE)</f>
        <v>5</v>
      </c>
      <c r="E25" t="s">
        <v>6532</v>
      </c>
      <c r="F25" t="s">
        <v>6487</v>
      </c>
      <c r="G25">
        <v>24</v>
      </c>
      <c r="H25" s="2" t="s">
        <v>6510</v>
      </c>
      <c r="I25" t="s">
        <v>76</v>
      </c>
      <c r="J25" s="3">
        <f t="shared" si="3"/>
        <v>200024</v>
      </c>
      <c r="K25" t="str">
        <f t="shared" si="0"/>
        <v>Princeton Road Management Area</v>
      </c>
      <c r="L25" t="str">
        <f t="shared" si="1"/>
        <v>South Okanagan</v>
      </c>
    </row>
    <row r="26" spans="1:12" x14ac:dyDescent="0.3">
      <c r="A26" t="s">
        <v>5374</v>
      </c>
      <c r="B26">
        <f t="shared" si="2"/>
        <v>200007</v>
      </c>
      <c r="C26" t="s">
        <v>2927</v>
      </c>
      <c r="D26">
        <f>VLOOKUP(C26,ServiceAreas.csv!F:J,5,FALSE)</f>
        <v>5</v>
      </c>
      <c r="E26" t="s">
        <v>6532</v>
      </c>
      <c r="F26" t="s">
        <v>6488</v>
      </c>
      <c r="G26">
        <v>25</v>
      </c>
      <c r="H26" s="2" t="s">
        <v>6510</v>
      </c>
      <c r="I26" t="s">
        <v>76</v>
      </c>
      <c r="J26" s="3">
        <f t="shared" si="3"/>
        <v>200025</v>
      </c>
      <c r="K26" t="str">
        <f t="shared" si="0"/>
        <v>Oliver/Osoyoos Rd. Mgmt. Area</v>
      </c>
      <c r="L26" t="str">
        <f t="shared" si="1"/>
        <v>South Okanagan</v>
      </c>
    </row>
    <row r="27" spans="1:12" x14ac:dyDescent="0.3">
      <c r="A27" t="s">
        <v>5374</v>
      </c>
      <c r="B27">
        <f t="shared" si="2"/>
        <v>200007</v>
      </c>
      <c r="C27" t="s">
        <v>2927</v>
      </c>
      <c r="D27">
        <f>VLOOKUP(C27,ServiceAreas.csv!F:J,5,FALSE)</f>
        <v>5</v>
      </c>
      <c r="E27" t="s">
        <v>6532</v>
      </c>
      <c r="F27" t="s">
        <v>6489</v>
      </c>
      <c r="G27">
        <v>26</v>
      </c>
      <c r="H27" s="2" t="s">
        <v>6510</v>
      </c>
      <c r="I27" t="s">
        <v>76</v>
      </c>
      <c r="J27" s="3">
        <f t="shared" si="3"/>
        <v>200026</v>
      </c>
      <c r="K27" t="str">
        <f t="shared" si="0"/>
        <v>Peachland/Westbank Rd.Mgt.Area</v>
      </c>
      <c r="L27" t="str">
        <f t="shared" si="1"/>
        <v>South Okanagan</v>
      </c>
    </row>
    <row r="28" spans="1:12" x14ac:dyDescent="0.3">
      <c r="A28" t="s">
        <v>5374</v>
      </c>
      <c r="B28">
        <f t="shared" si="2"/>
        <v>200008</v>
      </c>
      <c r="C28" t="s">
        <v>2928</v>
      </c>
      <c r="D28">
        <f>VLOOKUP(C28,ServiceAreas.csv!F:J,5,FALSE)</f>
        <v>4</v>
      </c>
      <c r="E28" t="s">
        <v>6517</v>
      </c>
      <c r="F28" t="s">
        <v>6467</v>
      </c>
      <c r="G28">
        <v>27</v>
      </c>
      <c r="H28" s="2" t="s">
        <v>6510</v>
      </c>
      <c r="I28" t="s">
        <v>76</v>
      </c>
      <c r="J28" s="3">
        <f t="shared" si="3"/>
        <v>200027</v>
      </c>
      <c r="K28" t="str">
        <f t="shared" si="0"/>
        <v>Castlegar And Area</v>
      </c>
      <c r="L28" t="str">
        <f t="shared" si="1"/>
        <v>Kootenay Boundary</v>
      </c>
    </row>
    <row r="29" spans="1:12" x14ac:dyDescent="0.3">
      <c r="A29" t="s">
        <v>5374</v>
      </c>
      <c r="B29">
        <f t="shared" si="2"/>
        <v>200008</v>
      </c>
      <c r="C29" t="s">
        <v>2928</v>
      </c>
      <c r="D29">
        <f>VLOOKUP(C29,ServiceAreas.csv!F:J,5,FALSE)</f>
        <v>4</v>
      </c>
      <c r="E29" t="s">
        <v>6517</v>
      </c>
      <c r="F29" t="s">
        <v>6468</v>
      </c>
      <c r="G29">
        <v>28</v>
      </c>
      <c r="H29" s="2" t="s">
        <v>6510</v>
      </c>
      <c r="I29" t="s">
        <v>76</v>
      </c>
      <c r="J29" s="3">
        <f t="shared" si="3"/>
        <v>200028</v>
      </c>
      <c r="K29" t="str">
        <f t="shared" si="0"/>
        <v>Grand Forks And Area</v>
      </c>
      <c r="L29" t="str">
        <f t="shared" si="1"/>
        <v>Kootenay Boundary</v>
      </c>
    </row>
    <row r="30" spans="1:12" x14ac:dyDescent="0.3">
      <c r="A30" t="s">
        <v>5374</v>
      </c>
      <c r="B30">
        <f t="shared" si="2"/>
        <v>200008</v>
      </c>
      <c r="C30" t="s">
        <v>2928</v>
      </c>
      <c r="D30">
        <f>VLOOKUP(C30,ServiceAreas.csv!F:J,5,FALSE)</f>
        <v>4</v>
      </c>
      <c r="E30" t="s">
        <v>6517</v>
      </c>
      <c r="F30" t="s">
        <v>6469</v>
      </c>
      <c r="G30">
        <v>29</v>
      </c>
      <c r="H30" s="2" t="s">
        <v>6510</v>
      </c>
      <c r="I30" t="s">
        <v>76</v>
      </c>
      <c r="J30" s="3">
        <f t="shared" si="3"/>
        <v>200029</v>
      </c>
      <c r="K30" t="str">
        <f t="shared" si="0"/>
        <v>Rock Creek And Area</v>
      </c>
      <c r="L30" t="str">
        <f t="shared" si="1"/>
        <v>Kootenay Boundary</v>
      </c>
    </row>
    <row r="31" spans="1:12" x14ac:dyDescent="0.3">
      <c r="A31" t="s">
        <v>5374</v>
      </c>
      <c r="B31">
        <f t="shared" si="2"/>
        <v>200008</v>
      </c>
      <c r="C31" t="s">
        <v>2928</v>
      </c>
      <c r="D31">
        <f>VLOOKUP(C31,ServiceAreas.csv!F:J,5,FALSE)</f>
        <v>4</v>
      </c>
      <c r="E31" t="s">
        <v>6517</v>
      </c>
      <c r="F31" t="s">
        <v>6470</v>
      </c>
      <c r="G31">
        <v>30</v>
      </c>
      <c r="H31" s="2" t="s">
        <v>6510</v>
      </c>
      <c r="I31" t="s">
        <v>76</v>
      </c>
      <c r="J31" s="3">
        <f t="shared" si="3"/>
        <v>200030</v>
      </c>
      <c r="K31" t="str">
        <f t="shared" si="0"/>
        <v>Rossland And Area</v>
      </c>
      <c r="L31" t="str">
        <f t="shared" si="1"/>
        <v>Kootenay Boundary</v>
      </c>
    </row>
    <row r="32" spans="1:12" x14ac:dyDescent="0.3">
      <c r="A32" t="s">
        <v>5374</v>
      </c>
      <c r="B32">
        <f t="shared" si="2"/>
        <v>200009</v>
      </c>
      <c r="C32" t="s">
        <v>2929</v>
      </c>
      <c r="D32">
        <f>VLOOKUP(C32,ServiceAreas.csv!F:J,5,FALSE)</f>
        <v>4</v>
      </c>
      <c r="E32" t="s">
        <v>6513</v>
      </c>
      <c r="F32" t="s">
        <v>6459</v>
      </c>
      <c r="G32">
        <v>31</v>
      </c>
      <c r="H32" s="2" t="s">
        <v>6510</v>
      </c>
      <c r="I32" t="s">
        <v>76</v>
      </c>
      <c r="J32" s="3">
        <f t="shared" si="3"/>
        <v>200031</v>
      </c>
      <c r="K32" t="str">
        <f t="shared" si="0"/>
        <v>Central Koot., New Denver</v>
      </c>
      <c r="L32" t="str">
        <f t="shared" si="1"/>
        <v>Central Kootenay</v>
      </c>
    </row>
    <row r="33" spans="1:12" x14ac:dyDescent="0.3">
      <c r="A33" t="s">
        <v>5374</v>
      </c>
      <c r="B33">
        <f t="shared" si="2"/>
        <v>200009</v>
      </c>
      <c r="C33" t="s">
        <v>2929</v>
      </c>
      <c r="D33">
        <f>VLOOKUP(C33,ServiceAreas.csv!F:J,5,FALSE)</f>
        <v>4</v>
      </c>
      <c r="E33" t="s">
        <v>6513</v>
      </c>
      <c r="F33" t="s">
        <v>6460</v>
      </c>
      <c r="G33">
        <v>32</v>
      </c>
      <c r="H33" s="2" t="s">
        <v>6510</v>
      </c>
      <c r="I33" t="s">
        <v>76</v>
      </c>
      <c r="J33" s="3">
        <f t="shared" si="3"/>
        <v>200032</v>
      </c>
      <c r="K33" t="str">
        <f t="shared" si="0"/>
        <v>Central Koot., Nakusp</v>
      </c>
      <c r="L33" t="str">
        <f t="shared" si="1"/>
        <v>Central Kootenay</v>
      </c>
    </row>
    <row r="34" spans="1:12" x14ac:dyDescent="0.3">
      <c r="A34" t="s">
        <v>5374</v>
      </c>
      <c r="B34">
        <f t="shared" si="2"/>
        <v>200009</v>
      </c>
      <c r="C34" t="s">
        <v>2929</v>
      </c>
      <c r="D34">
        <f>VLOOKUP(C34,ServiceAreas.csv!F:J,5,FALSE)</f>
        <v>4</v>
      </c>
      <c r="E34" t="s">
        <v>6513</v>
      </c>
      <c r="F34" t="s">
        <v>5344</v>
      </c>
      <c r="G34">
        <v>33</v>
      </c>
      <c r="H34" s="2" t="s">
        <v>6510</v>
      </c>
      <c r="I34" t="s">
        <v>76</v>
      </c>
      <c r="J34" s="3">
        <f t="shared" si="3"/>
        <v>200033</v>
      </c>
      <c r="K34" t="str">
        <f t="shared" ref="K34:K65" si="4">F34</f>
        <v>Creston</v>
      </c>
      <c r="L34" t="str">
        <f t="shared" ref="L34:L65" si="5">C34</f>
        <v>Central Kootenay</v>
      </c>
    </row>
    <row r="35" spans="1:12" x14ac:dyDescent="0.3">
      <c r="A35" t="s">
        <v>5374</v>
      </c>
      <c r="B35">
        <f t="shared" si="2"/>
        <v>200009</v>
      </c>
      <c r="C35" t="s">
        <v>2929</v>
      </c>
      <c r="D35">
        <f>VLOOKUP(C35,ServiceAreas.csv!F:J,5,FALSE)</f>
        <v>4</v>
      </c>
      <c r="E35" t="s">
        <v>6513</v>
      </c>
      <c r="F35" t="s">
        <v>6461</v>
      </c>
      <c r="G35">
        <v>34</v>
      </c>
      <c r="H35" s="2" t="s">
        <v>6510</v>
      </c>
      <c r="I35" t="s">
        <v>76</v>
      </c>
      <c r="J35" s="3">
        <f t="shared" si="3"/>
        <v>200034</v>
      </c>
      <c r="K35" t="str">
        <f t="shared" si="4"/>
        <v>Central Kootenay Nelson</v>
      </c>
      <c r="L35" t="str">
        <f t="shared" si="5"/>
        <v>Central Kootenay</v>
      </c>
    </row>
    <row r="36" spans="1:12" x14ac:dyDescent="0.3">
      <c r="A36" t="s">
        <v>5374</v>
      </c>
      <c r="B36">
        <f t="shared" si="2"/>
        <v>200009</v>
      </c>
      <c r="C36" t="s">
        <v>2929</v>
      </c>
      <c r="D36">
        <f>VLOOKUP(C36,ServiceAreas.csv!F:J,5,FALSE)</f>
        <v>4</v>
      </c>
      <c r="E36" t="s">
        <v>6513</v>
      </c>
      <c r="F36" t="s">
        <v>6462</v>
      </c>
      <c r="G36">
        <v>35</v>
      </c>
      <c r="H36" s="2" t="s">
        <v>6510</v>
      </c>
      <c r="I36" t="s">
        <v>76</v>
      </c>
      <c r="J36" s="3">
        <f t="shared" si="3"/>
        <v>200035</v>
      </c>
      <c r="K36" t="str">
        <f t="shared" si="4"/>
        <v>Out Of District</v>
      </c>
      <c r="L36" t="str">
        <f t="shared" si="5"/>
        <v>Central Kootenay</v>
      </c>
    </row>
    <row r="37" spans="1:12" x14ac:dyDescent="0.3">
      <c r="A37" t="s">
        <v>5374</v>
      </c>
      <c r="B37">
        <f t="shared" si="2"/>
        <v>200009</v>
      </c>
      <c r="C37" t="s">
        <v>2929</v>
      </c>
      <c r="D37">
        <f>VLOOKUP(C37,ServiceAreas.csv!F:J,5,FALSE)</f>
        <v>4</v>
      </c>
      <c r="E37" t="s">
        <v>6513</v>
      </c>
      <c r="F37" t="s">
        <v>6463</v>
      </c>
      <c r="G37">
        <v>36</v>
      </c>
      <c r="H37" s="2" t="s">
        <v>6510</v>
      </c>
      <c r="I37" t="s">
        <v>76</v>
      </c>
      <c r="J37" s="3">
        <f t="shared" si="3"/>
        <v>200036</v>
      </c>
      <c r="K37" t="str">
        <f t="shared" si="4"/>
        <v>Central Kootenay Salmo</v>
      </c>
      <c r="L37" t="str">
        <f t="shared" si="5"/>
        <v>Central Kootenay</v>
      </c>
    </row>
    <row r="38" spans="1:12" x14ac:dyDescent="0.3">
      <c r="A38" t="s">
        <v>5374</v>
      </c>
      <c r="B38">
        <f t="shared" si="2"/>
        <v>200010</v>
      </c>
      <c r="C38" t="s">
        <v>13</v>
      </c>
      <c r="D38">
        <f>VLOOKUP(C38,ServiceAreas.csv!F:J,5,FALSE)</f>
        <v>3</v>
      </c>
      <c r="E38" t="s">
        <v>6514</v>
      </c>
      <c r="F38" t="s">
        <v>3576</v>
      </c>
      <c r="G38">
        <v>37</v>
      </c>
      <c r="H38" s="2" t="s">
        <v>6510</v>
      </c>
      <c r="I38" t="s">
        <v>76</v>
      </c>
      <c r="J38" s="3">
        <f t="shared" si="3"/>
        <v>200037</v>
      </c>
      <c r="K38" t="str">
        <f t="shared" si="4"/>
        <v>Cranbrook</v>
      </c>
      <c r="L38" t="str">
        <f t="shared" si="5"/>
        <v>East Kootenay</v>
      </c>
    </row>
    <row r="39" spans="1:12" x14ac:dyDescent="0.3">
      <c r="A39" t="s">
        <v>5374</v>
      </c>
      <c r="B39">
        <f t="shared" si="2"/>
        <v>200010</v>
      </c>
      <c r="C39" t="s">
        <v>13</v>
      </c>
      <c r="D39">
        <f>VLOOKUP(C39,ServiceAreas.csv!F:J,5,FALSE)</f>
        <v>3</v>
      </c>
      <c r="E39" t="s">
        <v>6514</v>
      </c>
      <c r="F39" t="s">
        <v>6464</v>
      </c>
      <c r="G39">
        <v>38</v>
      </c>
      <c r="H39" s="2" t="s">
        <v>6510</v>
      </c>
      <c r="I39" t="s">
        <v>76</v>
      </c>
      <c r="J39" s="3">
        <f t="shared" si="3"/>
        <v>200038</v>
      </c>
      <c r="K39" t="str">
        <f t="shared" si="4"/>
        <v>Fernie/Sparwood</v>
      </c>
      <c r="L39" t="str">
        <f t="shared" si="5"/>
        <v>East Kootenay</v>
      </c>
    </row>
    <row r="40" spans="1:12" x14ac:dyDescent="0.3">
      <c r="A40" t="s">
        <v>5374</v>
      </c>
      <c r="B40">
        <f t="shared" si="2"/>
        <v>200010</v>
      </c>
      <c r="C40" t="s">
        <v>13</v>
      </c>
      <c r="D40">
        <f>VLOOKUP(C40,ServiceAreas.csv!F:J,5,FALSE)</f>
        <v>3</v>
      </c>
      <c r="E40" t="s">
        <v>6514</v>
      </c>
      <c r="F40" t="s">
        <v>4484</v>
      </c>
      <c r="G40">
        <v>39</v>
      </c>
      <c r="H40" s="2" t="s">
        <v>6510</v>
      </c>
      <c r="I40" t="s">
        <v>76</v>
      </c>
      <c r="J40" s="3">
        <f t="shared" si="3"/>
        <v>200039</v>
      </c>
      <c r="K40" t="str">
        <f t="shared" si="4"/>
        <v>Invermere</v>
      </c>
      <c r="L40" t="str">
        <f t="shared" si="5"/>
        <v>East Kootenay</v>
      </c>
    </row>
    <row r="41" spans="1:12" x14ac:dyDescent="0.3">
      <c r="A41" t="s">
        <v>5374</v>
      </c>
      <c r="B41">
        <f t="shared" si="2"/>
        <v>200011</v>
      </c>
      <c r="C41" t="s">
        <v>2930</v>
      </c>
      <c r="D41">
        <f>VLOOKUP(C41,ServiceAreas.csv!F:J,5,FALSE)</f>
        <v>3</v>
      </c>
      <c r="E41" t="s">
        <v>6528</v>
      </c>
      <c r="F41" t="s">
        <v>5357</v>
      </c>
      <c r="G41">
        <v>40</v>
      </c>
      <c r="H41" s="2" t="s">
        <v>6510</v>
      </c>
      <c r="I41" t="s">
        <v>76</v>
      </c>
      <c r="J41" s="3">
        <f t="shared" si="3"/>
        <v>200040</v>
      </c>
      <c r="K41" t="str">
        <f t="shared" si="4"/>
        <v>Revelstoke</v>
      </c>
      <c r="L41" t="str">
        <f t="shared" si="5"/>
        <v>Selkirk</v>
      </c>
    </row>
    <row r="42" spans="1:12" x14ac:dyDescent="0.3">
      <c r="A42" t="s">
        <v>5374</v>
      </c>
      <c r="B42">
        <f t="shared" si="2"/>
        <v>200011</v>
      </c>
      <c r="C42" t="s">
        <v>2930</v>
      </c>
      <c r="D42">
        <f>VLOOKUP(C42,ServiceAreas.csv!F:J,5,FALSE)</f>
        <v>3</v>
      </c>
      <c r="E42" t="s">
        <v>6528</v>
      </c>
      <c r="F42" t="s">
        <v>5229</v>
      </c>
      <c r="G42">
        <v>41</v>
      </c>
      <c r="H42" s="2" t="s">
        <v>6510</v>
      </c>
      <c r="I42" t="s">
        <v>76</v>
      </c>
      <c r="J42" s="3">
        <f t="shared" si="3"/>
        <v>200041</v>
      </c>
      <c r="K42" t="str">
        <f t="shared" si="4"/>
        <v>Golden</v>
      </c>
      <c r="L42" t="str">
        <f t="shared" si="5"/>
        <v>Selkirk</v>
      </c>
    </row>
    <row r="43" spans="1:12" x14ac:dyDescent="0.3">
      <c r="A43" t="s">
        <v>5374</v>
      </c>
      <c r="B43">
        <f t="shared" si="2"/>
        <v>200012</v>
      </c>
      <c r="C43" t="s">
        <v>2931</v>
      </c>
      <c r="D43">
        <f>VLOOKUP(C43,ServiceAreas.csv!F:J,5,FALSE)</f>
        <v>5</v>
      </c>
      <c r="E43" t="s">
        <v>6526</v>
      </c>
      <c r="F43" t="s">
        <v>6476</v>
      </c>
      <c r="G43">
        <v>42</v>
      </c>
      <c r="H43" s="2" t="s">
        <v>6510</v>
      </c>
      <c r="I43" t="s">
        <v>76</v>
      </c>
      <c r="J43" s="3">
        <f t="shared" si="3"/>
        <v>200042</v>
      </c>
      <c r="K43" t="str">
        <f t="shared" si="4"/>
        <v>Chase/Celista</v>
      </c>
      <c r="L43" t="str">
        <f t="shared" si="5"/>
        <v>Okanagan - Shuswap</v>
      </c>
    </row>
    <row r="44" spans="1:12" x14ac:dyDescent="0.3">
      <c r="A44" t="s">
        <v>5374</v>
      </c>
      <c r="B44">
        <f t="shared" si="2"/>
        <v>200012</v>
      </c>
      <c r="C44" t="s">
        <v>2931</v>
      </c>
      <c r="D44">
        <f>VLOOKUP(C44,ServiceAreas.csv!F:J,5,FALSE)</f>
        <v>5</v>
      </c>
      <c r="E44" t="s">
        <v>6526</v>
      </c>
      <c r="F44" t="s">
        <v>5346</v>
      </c>
      <c r="G44">
        <v>43</v>
      </c>
      <c r="H44" s="2" t="s">
        <v>6510</v>
      </c>
      <c r="I44" t="s">
        <v>76</v>
      </c>
      <c r="J44" s="3">
        <f t="shared" si="3"/>
        <v>200043</v>
      </c>
      <c r="K44" t="str">
        <f t="shared" si="4"/>
        <v>Enderby</v>
      </c>
      <c r="L44" t="str">
        <f t="shared" si="5"/>
        <v>Okanagan - Shuswap</v>
      </c>
    </row>
    <row r="45" spans="1:12" x14ac:dyDescent="0.3">
      <c r="A45" t="s">
        <v>5374</v>
      </c>
      <c r="B45">
        <f t="shared" si="2"/>
        <v>200012</v>
      </c>
      <c r="C45" t="s">
        <v>2931</v>
      </c>
      <c r="D45">
        <f>VLOOKUP(C45,ServiceAreas.csv!F:J,5,FALSE)</f>
        <v>5</v>
      </c>
      <c r="E45" t="s">
        <v>6526</v>
      </c>
      <c r="F45" t="s">
        <v>5347</v>
      </c>
      <c r="G45">
        <v>44</v>
      </c>
      <c r="H45" s="2" t="s">
        <v>6510</v>
      </c>
      <c r="I45" t="s">
        <v>76</v>
      </c>
      <c r="J45" s="3">
        <f t="shared" si="3"/>
        <v>200044</v>
      </c>
      <c r="K45" t="str">
        <f t="shared" si="4"/>
        <v>Falkland</v>
      </c>
      <c r="L45" t="str">
        <f t="shared" si="5"/>
        <v>Okanagan - Shuswap</v>
      </c>
    </row>
    <row r="46" spans="1:12" x14ac:dyDescent="0.3">
      <c r="A46" t="s">
        <v>5374</v>
      </c>
      <c r="B46">
        <f t="shared" si="2"/>
        <v>200012</v>
      </c>
      <c r="C46" t="s">
        <v>2931</v>
      </c>
      <c r="D46">
        <f>VLOOKUP(C46,ServiceAreas.csv!F:J,5,FALSE)</f>
        <v>5</v>
      </c>
      <c r="E46" t="s">
        <v>6526</v>
      </c>
      <c r="F46" t="s">
        <v>6477</v>
      </c>
      <c r="G46">
        <v>45</v>
      </c>
      <c r="H46" s="2" t="s">
        <v>6510</v>
      </c>
      <c r="I46" t="s">
        <v>76</v>
      </c>
      <c r="J46" s="3">
        <f t="shared" si="3"/>
        <v>200045</v>
      </c>
      <c r="K46" t="str">
        <f t="shared" si="4"/>
        <v>Lumby/Cherryville</v>
      </c>
      <c r="L46" t="str">
        <f t="shared" si="5"/>
        <v>Okanagan - Shuswap</v>
      </c>
    </row>
    <row r="47" spans="1:12" x14ac:dyDescent="0.3">
      <c r="A47" t="s">
        <v>5374</v>
      </c>
      <c r="B47">
        <f t="shared" si="2"/>
        <v>200012</v>
      </c>
      <c r="C47" t="s">
        <v>2931</v>
      </c>
      <c r="D47">
        <f>VLOOKUP(C47,ServiceAreas.csv!F:J,5,FALSE)</f>
        <v>5</v>
      </c>
      <c r="E47" t="s">
        <v>6526</v>
      </c>
      <c r="F47" t="s">
        <v>24</v>
      </c>
      <c r="G47">
        <v>46</v>
      </c>
      <c r="H47" s="2" t="s">
        <v>6510</v>
      </c>
      <c r="I47" t="s">
        <v>76</v>
      </c>
      <c r="J47" s="3">
        <f t="shared" si="3"/>
        <v>200046</v>
      </c>
      <c r="K47" t="str">
        <f t="shared" si="4"/>
        <v>Salmon Arm</v>
      </c>
      <c r="L47" t="str">
        <f t="shared" si="5"/>
        <v>Okanagan - Shuswap</v>
      </c>
    </row>
    <row r="48" spans="1:12" x14ac:dyDescent="0.3">
      <c r="A48" t="s">
        <v>5374</v>
      </c>
      <c r="B48">
        <f t="shared" si="2"/>
        <v>200012</v>
      </c>
      <c r="C48" t="s">
        <v>2931</v>
      </c>
      <c r="D48">
        <f>VLOOKUP(C48,ServiceAreas.csv!F:J,5,FALSE)</f>
        <v>5</v>
      </c>
      <c r="E48" t="s">
        <v>6526</v>
      </c>
      <c r="F48" t="s">
        <v>4330</v>
      </c>
      <c r="G48">
        <v>47</v>
      </c>
      <c r="H48" s="2" t="s">
        <v>6510</v>
      </c>
      <c r="I48" t="s">
        <v>76</v>
      </c>
      <c r="J48" s="3">
        <f t="shared" si="3"/>
        <v>200047</v>
      </c>
      <c r="K48" t="str">
        <f t="shared" si="4"/>
        <v>Sicamous</v>
      </c>
      <c r="L48" t="str">
        <f t="shared" si="5"/>
        <v>Okanagan - Shuswap</v>
      </c>
    </row>
    <row r="49" spans="1:12" x14ac:dyDescent="0.3">
      <c r="A49" t="s">
        <v>5374</v>
      </c>
      <c r="B49">
        <f t="shared" si="2"/>
        <v>200012</v>
      </c>
      <c r="C49" t="s">
        <v>2931</v>
      </c>
      <c r="D49">
        <f>VLOOKUP(C49,ServiceAreas.csv!F:J,5,FALSE)</f>
        <v>5</v>
      </c>
      <c r="E49" t="s">
        <v>6526</v>
      </c>
      <c r="F49" t="s">
        <v>48</v>
      </c>
      <c r="G49">
        <v>48</v>
      </c>
      <c r="H49" s="2" t="s">
        <v>6510</v>
      </c>
      <c r="I49" t="s">
        <v>76</v>
      </c>
      <c r="J49" s="3">
        <f t="shared" si="3"/>
        <v>200048</v>
      </c>
      <c r="K49" t="str">
        <f t="shared" si="4"/>
        <v>Vernon</v>
      </c>
      <c r="L49" t="str">
        <f t="shared" si="5"/>
        <v>Okanagan - Shuswap</v>
      </c>
    </row>
    <row r="50" spans="1:12" x14ac:dyDescent="0.3">
      <c r="A50" t="s">
        <v>5374</v>
      </c>
      <c r="B50">
        <f t="shared" si="2"/>
        <v>200013</v>
      </c>
      <c r="C50" t="s">
        <v>2932</v>
      </c>
      <c r="D50">
        <f>VLOOKUP(C50,ServiceAreas.csv!F:J,5,FALSE)</f>
        <v>6</v>
      </c>
      <c r="E50" t="s">
        <v>6521</v>
      </c>
      <c r="F50" t="s">
        <v>5353</v>
      </c>
      <c r="G50">
        <v>49</v>
      </c>
      <c r="H50" s="2" t="s">
        <v>6510</v>
      </c>
      <c r="I50" t="s">
        <v>76</v>
      </c>
      <c r="J50" s="3">
        <f t="shared" si="3"/>
        <v>200049</v>
      </c>
      <c r="K50" t="str">
        <f t="shared" si="4"/>
        <v>Merritt</v>
      </c>
      <c r="L50" t="str">
        <f t="shared" si="5"/>
        <v>Nicola</v>
      </c>
    </row>
    <row r="51" spans="1:12" x14ac:dyDescent="0.3">
      <c r="A51" t="s">
        <v>5374</v>
      </c>
      <c r="B51">
        <f t="shared" si="2"/>
        <v>200014</v>
      </c>
      <c r="C51" t="s">
        <v>2933</v>
      </c>
      <c r="D51">
        <f>VLOOKUP(C51,ServiceAreas.csv!F:J,5,FALSE)</f>
        <v>6</v>
      </c>
      <c r="E51" t="s">
        <v>6536</v>
      </c>
      <c r="F51" t="s">
        <v>5339</v>
      </c>
      <c r="G51">
        <v>50</v>
      </c>
      <c r="H51" s="2" t="s">
        <v>6510</v>
      </c>
      <c r="I51" t="s">
        <v>76</v>
      </c>
      <c r="J51" s="3">
        <f t="shared" si="3"/>
        <v>200050</v>
      </c>
      <c r="K51" t="str">
        <f t="shared" si="4"/>
        <v>Barriere</v>
      </c>
      <c r="L51" t="str">
        <f t="shared" si="5"/>
        <v>Thompson</v>
      </c>
    </row>
    <row r="52" spans="1:12" x14ac:dyDescent="0.3">
      <c r="A52" t="s">
        <v>5374</v>
      </c>
      <c r="B52">
        <f t="shared" si="2"/>
        <v>200014</v>
      </c>
      <c r="C52" t="s">
        <v>2933</v>
      </c>
      <c r="D52">
        <f>VLOOKUP(C52,ServiceAreas.csv!F:J,5,FALSE)</f>
        <v>6</v>
      </c>
      <c r="E52" t="s">
        <v>6536</v>
      </c>
      <c r="F52" t="s">
        <v>3687</v>
      </c>
      <c r="G52">
        <v>51</v>
      </c>
      <c r="H52" s="2" t="s">
        <v>6510</v>
      </c>
      <c r="I52" t="s">
        <v>76</v>
      </c>
      <c r="J52" s="3">
        <f t="shared" si="3"/>
        <v>200051</v>
      </c>
      <c r="K52" t="str">
        <f t="shared" si="4"/>
        <v>Clearwater</v>
      </c>
      <c r="L52" t="str">
        <f t="shared" si="5"/>
        <v>Thompson</v>
      </c>
    </row>
    <row r="53" spans="1:12" x14ac:dyDescent="0.3">
      <c r="A53" t="s">
        <v>5374</v>
      </c>
      <c r="B53">
        <f t="shared" si="2"/>
        <v>200014</v>
      </c>
      <c r="C53" t="s">
        <v>2933</v>
      </c>
      <c r="D53">
        <f>VLOOKUP(C53,ServiceAreas.csv!F:J,5,FALSE)</f>
        <v>6</v>
      </c>
      <c r="E53" t="s">
        <v>6536</v>
      </c>
      <c r="F53" t="s">
        <v>6491</v>
      </c>
      <c r="G53">
        <v>52</v>
      </c>
      <c r="H53" s="2" t="s">
        <v>6510</v>
      </c>
      <c r="I53" t="s">
        <v>76</v>
      </c>
      <c r="J53" s="3">
        <f t="shared" si="3"/>
        <v>200052</v>
      </c>
      <c r="K53" t="str">
        <f t="shared" si="4"/>
        <v>Kamloops &amp; Savona</v>
      </c>
      <c r="L53" t="str">
        <f t="shared" si="5"/>
        <v>Thompson</v>
      </c>
    </row>
    <row r="54" spans="1:12" x14ac:dyDescent="0.3">
      <c r="A54" t="s">
        <v>5374</v>
      </c>
      <c r="B54">
        <f t="shared" si="2"/>
        <v>200015</v>
      </c>
      <c r="C54" t="s">
        <v>2934</v>
      </c>
      <c r="D54">
        <f>VLOOKUP(C54,ServiceAreas.csv!F:J,5,FALSE)</f>
        <v>7</v>
      </c>
      <c r="E54" t="s">
        <v>6530</v>
      </c>
      <c r="F54" t="s">
        <v>6481</v>
      </c>
      <c r="G54">
        <v>53</v>
      </c>
      <c r="H54" s="2" t="s">
        <v>6510</v>
      </c>
      <c r="I54" t="s">
        <v>76</v>
      </c>
      <c r="J54" s="3">
        <f t="shared" si="3"/>
        <v>200053</v>
      </c>
      <c r="K54" t="str">
        <f t="shared" si="4"/>
        <v>100 Mile-Clinton</v>
      </c>
      <c r="L54" t="str">
        <f t="shared" si="5"/>
        <v>South Cariboo</v>
      </c>
    </row>
    <row r="55" spans="1:12" x14ac:dyDescent="0.3">
      <c r="A55" t="s">
        <v>5374</v>
      </c>
      <c r="B55">
        <f t="shared" si="2"/>
        <v>200015</v>
      </c>
      <c r="C55" t="s">
        <v>2934</v>
      </c>
      <c r="D55">
        <f>VLOOKUP(C55,ServiceAreas.csv!F:J,5,FALSE)</f>
        <v>7</v>
      </c>
      <c r="E55" t="s">
        <v>6530</v>
      </c>
      <c r="F55" t="s">
        <v>6482</v>
      </c>
      <c r="G55">
        <v>54</v>
      </c>
      <c r="H55" s="2" t="s">
        <v>6510</v>
      </c>
      <c r="I55" t="s">
        <v>76</v>
      </c>
      <c r="J55" s="3">
        <f t="shared" si="3"/>
        <v>200054</v>
      </c>
      <c r="K55" t="str">
        <f t="shared" si="4"/>
        <v>Lillooet-Goldbridge</v>
      </c>
      <c r="L55" t="str">
        <f t="shared" si="5"/>
        <v>South Cariboo</v>
      </c>
    </row>
    <row r="56" spans="1:12" x14ac:dyDescent="0.3">
      <c r="A56" t="s">
        <v>5374</v>
      </c>
      <c r="B56">
        <f t="shared" si="2"/>
        <v>200015</v>
      </c>
      <c r="C56" t="s">
        <v>2934</v>
      </c>
      <c r="D56">
        <f>VLOOKUP(C56,ServiceAreas.csv!F:J,5,FALSE)</f>
        <v>7</v>
      </c>
      <c r="E56" t="s">
        <v>6530</v>
      </c>
      <c r="F56" t="s">
        <v>6483</v>
      </c>
      <c r="G56">
        <v>55</v>
      </c>
      <c r="H56" s="2" t="s">
        <v>6510</v>
      </c>
      <c r="I56" t="s">
        <v>76</v>
      </c>
      <c r="J56" s="3">
        <f t="shared" si="3"/>
        <v>200055</v>
      </c>
      <c r="K56" t="str">
        <f t="shared" si="4"/>
        <v>20 Mile-Spences Bridge</v>
      </c>
      <c r="L56" t="str">
        <f t="shared" si="5"/>
        <v>South Cariboo</v>
      </c>
    </row>
    <row r="57" spans="1:12" x14ac:dyDescent="0.3">
      <c r="A57" t="s">
        <v>5374</v>
      </c>
      <c r="B57">
        <f t="shared" si="2"/>
        <v>200015</v>
      </c>
      <c r="C57" t="s">
        <v>2934</v>
      </c>
      <c r="D57">
        <f>VLOOKUP(C57,ServiceAreas.csv!F:J,5,FALSE)</f>
        <v>7</v>
      </c>
      <c r="E57" t="s">
        <v>6530</v>
      </c>
      <c r="F57" t="s">
        <v>5340</v>
      </c>
      <c r="G57">
        <v>56</v>
      </c>
      <c r="H57" s="2" t="s">
        <v>6510</v>
      </c>
      <c r="I57" t="s">
        <v>76</v>
      </c>
      <c r="J57" s="3">
        <f t="shared" si="3"/>
        <v>200056</v>
      </c>
      <c r="K57" t="str">
        <f t="shared" si="4"/>
        <v>Bridge Lake</v>
      </c>
      <c r="L57" t="str">
        <f t="shared" si="5"/>
        <v>South Cariboo</v>
      </c>
    </row>
    <row r="58" spans="1:12" x14ac:dyDescent="0.3">
      <c r="A58" t="s">
        <v>5374</v>
      </c>
      <c r="B58">
        <f t="shared" si="2"/>
        <v>200016</v>
      </c>
      <c r="C58" t="s">
        <v>2935</v>
      </c>
      <c r="D58">
        <f>VLOOKUP(C58,ServiceAreas.csv!F:J,5,FALSE)</f>
        <v>7</v>
      </c>
      <c r="E58" t="s">
        <v>6511</v>
      </c>
      <c r="F58" t="s">
        <v>2953</v>
      </c>
      <c r="G58">
        <v>57</v>
      </c>
      <c r="H58" s="2" t="s">
        <v>6510</v>
      </c>
      <c r="I58" t="s">
        <v>76</v>
      </c>
      <c r="J58" s="3">
        <f t="shared" si="3"/>
        <v>200057</v>
      </c>
      <c r="K58" t="str">
        <f t="shared" si="4"/>
        <v>Cariboo</v>
      </c>
      <c r="L58" t="str">
        <f t="shared" si="5"/>
        <v>Central Cariboo</v>
      </c>
    </row>
    <row r="59" spans="1:12" x14ac:dyDescent="0.3">
      <c r="A59" t="s">
        <v>5374</v>
      </c>
      <c r="B59">
        <f t="shared" si="2"/>
        <v>200016</v>
      </c>
      <c r="C59" t="s">
        <v>2935</v>
      </c>
      <c r="D59">
        <f>VLOOKUP(C59,ServiceAreas.csv!F:J,5,FALSE)</f>
        <v>7</v>
      </c>
      <c r="E59" t="s">
        <v>6511</v>
      </c>
      <c r="F59" t="s">
        <v>6455</v>
      </c>
      <c r="G59">
        <v>58</v>
      </c>
      <c r="H59" s="2" t="s">
        <v>6510</v>
      </c>
      <c r="I59" t="s">
        <v>76</v>
      </c>
      <c r="J59" s="3">
        <f t="shared" si="3"/>
        <v>200058</v>
      </c>
      <c r="K59" t="str">
        <f t="shared" si="4"/>
        <v>Chilcotin</v>
      </c>
      <c r="L59" t="str">
        <f t="shared" si="5"/>
        <v>Central Cariboo</v>
      </c>
    </row>
    <row r="60" spans="1:12" x14ac:dyDescent="0.3">
      <c r="A60" t="s">
        <v>5374</v>
      </c>
      <c r="B60">
        <f t="shared" si="2"/>
        <v>200017</v>
      </c>
      <c r="C60" t="s">
        <v>2936</v>
      </c>
      <c r="D60">
        <f>VLOOKUP(C60,ServiceAreas.csv!F:J,5,FALSE)</f>
        <v>7</v>
      </c>
      <c r="E60" t="s">
        <v>6522</v>
      </c>
      <c r="F60" t="s">
        <v>6474</v>
      </c>
      <c r="G60">
        <v>59</v>
      </c>
      <c r="H60" s="2" t="s">
        <v>6510</v>
      </c>
      <c r="I60" t="s">
        <v>76</v>
      </c>
      <c r="J60" s="3">
        <f t="shared" si="3"/>
        <v>200059</v>
      </c>
      <c r="K60" t="str">
        <f t="shared" si="4"/>
        <v>North Cariboo District</v>
      </c>
      <c r="L60" t="str">
        <f t="shared" si="5"/>
        <v>North Cariboo</v>
      </c>
    </row>
    <row r="61" spans="1:12" x14ac:dyDescent="0.3">
      <c r="A61" t="s">
        <v>5374</v>
      </c>
      <c r="B61">
        <f t="shared" si="2"/>
        <v>200018</v>
      </c>
      <c r="C61" t="s">
        <v>2937</v>
      </c>
      <c r="D61">
        <f>VLOOKUP(C61,ServiceAreas.csv!F:J,5,FALSE)</f>
        <v>9</v>
      </c>
      <c r="E61" t="s">
        <v>6515</v>
      </c>
      <c r="F61" t="s">
        <v>15</v>
      </c>
      <c r="G61">
        <v>60</v>
      </c>
      <c r="H61" s="2" t="s">
        <v>6510</v>
      </c>
      <c r="I61" t="s">
        <v>76</v>
      </c>
      <c r="J61" s="3">
        <f t="shared" si="3"/>
        <v>200060</v>
      </c>
      <c r="K61" t="str">
        <f t="shared" si="4"/>
        <v>Prince George</v>
      </c>
      <c r="L61" t="str">
        <f t="shared" si="5"/>
        <v>Fort George</v>
      </c>
    </row>
    <row r="62" spans="1:12" x14ac:dyDescent="0.3">
      <c r="A62" t="s">
        <v>5374</v>
      </c>
      <c r="B62">
        <f t="shared" si="2"/>
        <v>200019</v>
      </c>
      <c r="C62" t="s">
        <v>2938</v>
      </c>
      <c r="D62">
        <f>VLOOKUP(C62,ServiceAreas.csv!F:J,5,FALSE)</f>
        <v>9</v>
      </c>
      <c r="E62" t="s">
        <v>6527</v>
      </c>
      <c r="F62" t="s">
        <v>6478</v>
      </c>
      <c r="G62">
        <v>61</v>
      </c>
      <c r="H62" s="2" t="s">
        <v>6510</v>
      </c>
      <c r="I62" t="s">
        <v>76</v>
      </c>
      <c r="J62" s="3">
        <f t="shared" si="3"/>
        <v>200061</v>
      </c>
      <c r="K62" t="str">
        <f t="shared" si="4"/>
        <v>Crescent Spur To Horsey Creek</v>
      </c>
      <c r="L62" t="str">
        <f t="shared" si="5"/>
        <v>Robson</v>
      </c>
    </row>
    <row r="63" spans="1:12" x14ac:dyDescent="0.3">
      <c r="A63" t="s">
        <v>5374</v>
      </c>
      <c r="B63">
        <f t="shared" si="2"/>
        <v>200019</v>
      </c>
      <c r="C63" t="s">
        <v>2938</v>
      </c>
      <c r="D63">
        <f>VLOOKUP(C63,ServiceAreas.csv!F:J,5,FALSE)</f>
        <v>9</v>
      </c>
      <c r="E63" t="s">
        <v>6527</v>
      </c>
      <c r="F63" t="s">
        <v>6479</v>
      </c>
      <c r="G63">
        <v>62</v>
      </c>
      <c r="H63" s="2" t="s">
        <v>6510</v>
      </c>
      <c r="I63" t="s">
        <v>76</v>
      </c>
      <c r="J63" s="3">
        <f t="shared" si="3"/>
        <v>200062</v>
      </c>
      <c r="K63" t="str">
        <f t="shared" si="4"/>
        <v>Horsey Ck-Border S To Albreda</v>
      </c>
      <c r="L63" t="str">
        <f t="shared" si="5"/>
        <v>Robson</v>
      </c>
    </row>
    <row r="64" spans="1:12" x14ac:dyDescent="0.3">
      <c r="A64" t="s">
        <v>5374</v>
      </c>
      <c r="B64">
        <f t="shared" si="2"/>
        <v>200019</v>
      </c>
      <c r="C64" t="s">
        <v>2938</v>
      </c>
      <c r="D64">
        <f>VLOOKUP(C64,ServiceAreas.csv!F:J,5,FALSE)</f>
        <v>9</v>
      </c>
      <c r="E64" t="s">
        <v>6527</v>
      </c>
      <c r="F64" t="s">
        <v>6480</v>
      </c>
      <c r="G64">
        <v>63</v>
      </c>
      <c r="H64" s="2" t="s">
        <v>6510</v>
      </c>
      <c r="I64" t="s">
        <v>76</v>
      </c>
      <c r="J64" s="3">
        <f t="shared" si="3"/>
        <v>200063</v>
      </c>
      <c r="K64" t="str">
        <f t="shared" si="4"/>
        <v>Albreda To Mcmurphy</v>
      </c>
      <c r="L64" t="str">
        <f t="shared" si="5"/>
        <v>Robson</v>
      </c>
    </row>
    <row r="65" spans="1:12" x14ac:dyDescent="0.3">
      <c r="A65" t="s">
        <v>5374</v>
      </c>
      <c r="B65">
        <f t="shared" si="2"/>
        <v>200020</v>
      </c>
      <c r="C65" t="s">
        <v>2939</v>
      </c>
      <c r="D65">
        <f>VLOOKUP(C65,ServiceAreas.csv!F:J,5,FALSE)</f>
        <v>8</v>
      </c>
      <c r="E65" t="s">
        <v>6533</v>
      </c>
      <c r="F65" t="s">
        <v>5129</v>
      </c>
      <c r="G65">
        <v>64</v>
      </c>
      <c r="H65" s="2" t="s">
        <v>6510</v>
      </c>
      <c r="I65" t="s">
        <v>76</v>
      </c>
      <c r="J65" s="3">
        <f t="shared" si="3"/>
        <v>200064</v>
      </c>
      <c r="K65" t="str">
        <f t="shared" si="4"/>
        <v>Chetwynd</v>
      </c>
      <c r="L65" t="str">
        <f t="shared" si="5"/>
        <v>South Peace</v>
      </c>
    </row>
    <row r="66" spans="1:12" x14ac:dyDescent="0.3">
      <c r="A66" t="s">
        <v>5374</v>
      </c>
      <c r="B66">
        <f t="shared" si="2"/>
        <v>200020</v>
      </c>
      <c r="C66" t="s">
        <v>2939</v>
      </c>
      <c r="D66">
        <f>VLOOKUP(C66,ServiceAreas.csv!F:J,5,FALSE)</f>
        <v>8</v>
      </c>
      <c r="E66" t="s">
        <v>6533</v>
      </c>
      <c r="F66" t="s">
        <v>17</v>
      </c>
      <c r="G66">
        <v>65</v>
      </c>
      <c r="H66" s="2" t="s">
        <v>6510</v>
      </c>
      <c r="I66" t="s">
        <v>76</v>
      </c>
      <c r="J66" s="3">
        <f t="shared" si="3"/>
        <v>200065</v>
      </c>
      <c r="K66" t="str">
        <f t="shared" ref="K66:K88" si="6">F66</f>
        <v>Dawson Creek</v>
      </c>
      <c r="L66" t="str">
        <f t="shared" ref="L66:L88" si="7">C66</f>
        <v>South Peace</v>
      </c>
    </row>
    <row r="67" spans="1:12" x14ac:dyDescent="0.3">
      <c r="A67" t="s">
        <v>5374</v>
      </c>
      <c r="B67">
        <f t="shared" ref="B67:B88" si="8">_xlfn.NUMBERVALUE(MID(E67,13,6))</f>
        <v>200020</v>
      </c>
      <c r="C67" t="s">
        <v>2939</v>
      </c>
      <c r="D67">
        <f>VLOOKUP(C67,ServiceAreas.csv!F:J,5,FALSE)</f>
        <v>8</v>
      </c>
      <c r="E67" t="s">
        <v>6533</v>
      </c>
      <c r="F67" t="s">
        <v>5359</v>
      </c>
      <c r="G67">
        <v>66</v>
      </c>
      <c r="H67" s="2" t="s">
        <v>6510</v>
      </c>
      <c r="I67" t="s">
        <v>76</v>
      </c>
      <c r="J67" s="3">
        <f t="shared" ref="J67:J88" si="9">200000+G67</f>
        <v>200066</v>
      </c>
      <c r="K67" t="str">
        <f t="shared" si="6"/>
        <v>Tumbler Ridge</v>
      </c>
      <c r="L67" t="str">
        <f t="shared" si="7"/>
        <v>South Peace</v>
      </c>
    </row>
    <row r="68" spans="1:12" x14ac:dyDescent="0.3">
      <c r="A68" t="s">
        <v>5374</v>
      </c>
      <c r="B68">
        <f t="shared" si="8"/>
        <v>200021</v>
      </c>
      <c r="C68" t="s">
        <v>2940</v>
      </c>
      <c r="D68">
        <f>VLOOKUP(C68,ServiceAreas.csv!F:J,5,FALSE)</f>
        <v>8</v>
      </c>
      <c r="E68" t="s">
        <v>6525</v>
      </c>
      <c r="F68" t="s">
        <v>5342</v>
      </c>
      <c r="G68">
        <v>67</v>
      </c>
      <c r="H68" s="2" t="s">
        <v>6510</v>
      </c>
      <c r="I68" t="s">
        <v>76</v>
      </c>
      <c r="J68" s="3">
        <f t="shared" si="9"/>
        <v>200067</v>
      </c>
      <c r="K68" t="str">
        <f t="shared" si="6"/>
        <v>Clayhurst</v>
      </c>
      <c r="L68" t="str">
        <f t="shared" si="7"/>
        <v>North Peace</v>
      </c>
    </row>
    <row r="69" spans="1:12" x14ac:dyDescent="0.3">
      <c r="A69" t="s">
        <v>5374</v>
      </c>
      <c r="B69">
        <f t="shared" si="8"/>
        <v>200021</v>
      </c>
      <c r="C69" t="s">
        <v>2940</v>
      </c>
      <c r="D69">
        <f>VLOOKUP(C69,ServiceAreas.csv!F:J,5,FALSE)</f>
        <v>8</v>
      </c>
      <c r="E69" t="s">
        <v>6525</v>
      </c>
      <c r="F69" t="s">
        <v>5348</v>
      </c>
      <c r="G69">
        <v>68</v>
      </c>
      <c r="H69" s="2" t="s">
        <v>6510</v>
      </c>
      <c r="I69" t="s">
        <v>76</v>
      </c>
      <c r="J69" s="3">
        <f t="shared" si="9"/>
        <v>200068</v>
      </c>
      <c r="K69" t="str">
        <f t="shared" si="6"/>
        <v>Fort St. John</v>
      </c>
      <c r="L69" t="str">
        <f t="shared" si="7"/>
        <v>North Peace</v>
      </c>
    </row>
    <row r="70" spans="1:12" x14ac:dyDescent="0.3">
      <c r="A70" t="s">
        <v>5374</v>
      </c>
      <c r="B70">
        <f t="shared" si="8"/>
        <v>200021</v>
      </c>
      <c r="C70" t="s">
        <v>2940</v>
      </c>
      <c r="D70">
        <f>VLOOKUP(C70,ServiceAreas.csv!F:J,5,FALSE)</f>
        <v>8</v>
      </c>
      <c r="E70" t="s">
        <v>6525</v>
      </c>
      <c r="F70" t="s">
        <v>3921</v>
      </c>
      <c r="G70">
        <v>69</v>
      </c>
      <c r="H70" s="2" t="s">
        <v>6510</v>
      </c>
      <c r="I70" t="s">
        <v>76</v>
      </c>
      <c r="J70" s="3">
        <f t="shared" si="9"/>
        <v>200069</v>
      </c>
      <c r="K70" t="str">
        <f t="shared" si="6"/>
        <v>Fort Nelson</v>
      </c>
      <c r="L70" t="str">
        <f t="shared" si="7"/>
        <v>North Peace</v>
      </c>
    </row>
    <row r="71" spans="1:12" x14ac:dyDescent="0.3">
      <c r="A71" t="s">
        <v>5374</v>
      </c>
      <c r="B71">
        <f t="shared" si="8"/>
        <v>200021</v>
      </c>
      <c r="C71" t="s">
        <v>2940</v>
      </c>
      <c r="D71">
        <f>VLOOKUP(C71,ServiceAreas.csv!F:J,5,FALSE)</f>
        <v>8</v>
      </c>
      <c r="E71" t="s">
        <v>6525</v>
      </c>
      <c r="F71" t="s">
        <v>5355</v>
      </c>
      <c r="G71">
        <v>70</v>
      </c>
      <c r="H71" s="2" t="s">
        <v>6510</v>
      </c>
      <c r="I71" t="s">
        <v>76</v>
      </c>
      <c r="J71" s="3">
        <f t="shared" si="9"/>
        <v>200070</v>
      </c>
      <c r="K71" t="str">
        <f t="shared" si="6"/>
        <v>Prespatou</v>
      </c>
      <c r="L71" t="str">
        <f t="shared" si="7"/>
        <v>North Peace</v>
      </c>
    </row>
    <row r="72" spans="1:12" x14ac:dyDescent="0.3">
      <c r="A72" t="s">
        <v>5374</v>
      </c>
      <c r="B72">
        <f t="shared" si="8"/>
        <v>200022</v>
      </c>
      <c r="C72" t="s">
        <v>2941</v>
      </c>
      <c r="D72">
        <f>VLOOKUP(C72,ServiceAreas.csv!F:J,5,FALSE)</f>
        <v>9</v>
      </c>
      <c r="E72" t="s">
        <v>6520</v>
      </c>
      <c r="F72" t="s">
        <v>49</v>
      </c>
      <c r="G72">
        <v>71</v>
      </c>
      <c r="H72" s="2" t="s">
        <v>6510</v>
      </c>
      <c r="I72" t="s">
        <v>76</v>
      </c>
      <c r="J72" s="3">
        <f t="shared" si="9"/>
        <v>200071</v>
      </c>
      <c r="K72" t="str">
        <f t="shared" si="6"/>
        <v>Vanderhoof</v>
      </c>
      <c r="L72" t="str">
        <f t="shared" si="7"/>
        <v>Nechako</v>
      </c>
    </row>
    <row r="73" spans="1:12" x14ac:dyDescent="0.3">
      <c r="A73" t="s">
        <v>5374</v>
      </c>
      <c r="B73">
        <f t="shared" si="8"/>
        <v>200022</v>
      </c>
      <c r="C73" t="s">
        <v>2941</v>
      </c>
      <c r="D73">
        <f>VLOOKUP(C73,ServiceAreas.csv!F:J,5,FALSE)</f>
        <v>9</v>
      </c>
      <c r="E73" t="s">
        <v>6520</v>
      </c>
      <c r="F73" t="s">
        <v>5755</v>
      </c>
      <c r="G73">
        <v>72</v>
      </c>
      <c r="H73" s="2" t="s">
        <v>6510</v>
      </c>
      <c r="I73" t="s">
        <v>76</v>
      </c>
      <c r="J73" s="3">
        <f t="shared" si="9"/>
        <v>200072</v>
      </c>
      <c r="K73" t="str">
        <f t="shared" si="6"/>
        <v>Fort St James</v>
      </c>
      <c r="L73" t="str">
        <f t="shared" si="7"/>
        <v>Nechako</v>
      </c>
    </row>
    <row r="74" spans="1:12" x14ac:dyDescent="0.3">
      <c r="A74" t="s">
        <v>5374</v>
      </c>
      <c r="B74">
        <f t="shared" si="8"/>
        <v>200023</v>
      </c>
      <c r="C74" t="s">
        <v>2942</v>
      </c>
      <c r="D74">
        <f>VLOOKUP(C74,ServiceAreas.csv!F:J,5,FALSE)</f>
        <v>10</v>
      </c>
      <c r="E74" t="s">
        <v>6518</v>
      </c>
      <c r="F74" t="s">
        <v>4884</v>
      </c>
      <c r="G74">
        <v>73</v>
      </c>
      <c r="H74" s="2" t="s">
        <v>6510</v>
      </c>
      <c r="I74" t="s">
        <v>76</v>
      </c>
      <c r="J74" s="3">
        <f t="shared" si="9"/>
        <v>200073</v>
      </c>
      <c r="K74" t="str">
        <f t="shared" si="6"/>
        <v>Burns Lake</v>
      </c>
      <c r="L74" t="str">
        <f t="shared" si="7"/>
        <v>Lakes</v>
      </c>
    </row>
    <row r="75" spans="1:12" x14ac:dyDescent="0.3">
      <c r="A75" t="s">
        <v>5374</v>
      </c>
      <c r="B75">
        <f t="shared" si="8"/>
        <v>200023</v>
      </c>
      <c r="C75" t="s">
        <v>2942</v>
      </c>
      <c r="D75">
        <f>VLOOKUP(C75,ServiceAreas.csv!F:J,5,FALSE)</f>
        <v>10</v>
      </c>
      <c r="E75" t="s">
        <v>6518</v>
      </c>
      <c r="F75" t="s">
        <v>4420</v>
      </c>
      <c r="G75">
        <v>74</v>
      </c>
      <c r="H75" s="2" t="s">
        <v>6510</v>
      </c>
      <c r="I75" t="s">
        <v>76</v>
      </c>
      <c r="J75" s="3">
        <f t="shared" si="9"/>
        <v>200074</v>
      </c>
      <c r="K75" t="str">
        <f t="shared" si="6"/>
        <v>Houston</v>
      </c>
      <c r="L75" t="str">
        <f t="shared" si="7"/>
        <v>Lakes</v>
      </c>
    </row>
    <row r="76" spans="1:12" x14ac:dyDescent="0.3">
      <c r="A76" t="s">
        <v>5374</v>
      </c>
      <c r="B76">
        <f t="shared" si="8"/>
        <v>200024</v>
      </c>
      <c r="C76" t="s">
        <v>2943</v>
      </c>
      <c r="D76">
        <f>VLOOKUP(C76,ServiceAreas.csv!F:J,5,FALSE)</f>
        <v>10</v>
      </c>
      <c r="E76" t="s">
        <v>6509</v>
      </c>
      <c r="F76" t="s">
        <v>6452</v>
      </c>
      <c r="G76">
        <v>75</v>
      </c>
      <c r="H76" s="2" t="s">
        <v>6510</v>
      </c>
      <c r="I76" t="s">
        <v>76</v>
      </c>
      <c r="J76" s="3">
        <f t="shared" si="9"/>
        <v>200075</v>
      </c>
      <c r="K76" t="str">
        <f t="shared" si="6"/>
        <v>Smithers/Telkwa</v>
      </c>
      <c r="L76" t="str">
        <f t="shared" si="7"/>
        <v>Bulkley - Nass</v>
      </c>
    </row>
    <row r="77" spans="1:12" x14ac:dyDescent="0.3">
      <c r="A77" t="s">
        <v>5374</v>
      </c>
      <c r="B77">
        <f t="shared" si="8"/>
        <v>200024</v>
      </c>
      <c r="C77" t="s">
        <v>2943</v>
      </c>
      <c r="D77">
        <f>VLOOKUP(C77,ServiceAreas.csv!F:J,5,FALSE)</f>
        <v>10</v>
      </c>
      <c r="E77" t="s">
        <v>6509</v>
      </c>
      <c r="F77" t="s">
        <v>6453</v>
      </c>
      <c r="G77">
        <v>76</v>
      </c>
      <c r="H77" s="2" t="s">
        <v>6510</v>
      </c>
      <c r="I77" t="s">
        <v>76</v>
      </c>
      <c r="J77" s="3">
        <f t="shared" si="9"/>
        <v>200076</v>
      </c>
      <c r="K77" t="str">
        <f t="shared" si="6"/>
        <v>Hazelton/Kitwanga</v>
      </c>
      <c r="L77" t="str">
        <f t="shared" si="7"/>
        <v>Bulkley - Nass</v>
      </c>
    </row>
    <row r="78" spans="1:12" x14ac:dyDescent="0.3">
      <c r="A78" t="s">
        <v>5374</v>
      </c>
      <c r="B78">
        <f t="shared" si="8"/>
        <v>200024</v>
      </c>
      <c r="C78" t="s">
        <v>2943</v>
      </c>
      <c r="D78">
        <f>VLOOKUP(C78,ServiceAreas.csv!F:J,5,FALSE)</f>
        <v>10</v>
      </c>
      <c r="E78" t="s">
        <v>6509</v>
      </c>
      <c r="F78" t="s">
        <v>6454</v>
      </c>
      <c r="G78">
        <v>77</v>
      </c>
      <c r="H78" s="2" t="s">
        <v>6510</v>
      </c>
      <c r="I78" t="s">
        <v>76</v>
      </c>
      <c r="J78" s="3">
        <f t="shared" si="9"/>
        <v>200077</v>
      </c>
      <c r="K78" t="str">
        <f t="shared" si="6"/>
        <v>Stewart/Meziadin</v>
      </c>
      <c r="L78" t="str">
        <f t="shared" si="7"/>
        <v>Bulkley - Nass</v>
      </c>
    </row>
    <row r="79" spans="1:12" x14ac:dyDescent="0.3">
      <c r="A79" t="s">
        <v>5374</v>
      </c>
      <c r="B79">
        <f t="shared" si="8"/>
        <v>200025</v>
      </c>
      <c r="C79" t="s">
        <v>2944</v>
      </c>
      <c r="D79">
        <f>VLOOKUP(C79,ServiceAreas.csv!F:J,5,FALSE)</f>
        <v>11</v>
      </c>
      <c r="E79" t="s">
        <v>6529</v>
      </c>
      <c r="F79" t="s">
        <v>5351</v>
      </c>
      <c r="G79">
        <v>78</v>
      </c>
      <c r="H79" s="2" t="s">
        <v>6510</v>
      </c>
      <c r="I79" t="s">
        <v>76</v>
      </c>
      <c r="J79" s="3">
        <f t="shared" si="9"/>
        <v>200078</v>
      </c>
      <c r="K79" t="str">
        <f t="shared" si="6"/>
        <v>Kitimat</v>
      </c>
      <c r="L79" t="str">
        <f t="shared" si="7"/>
        <v>Skeena</v>
      </c>
    </row>
    <row r="80" spans="1:12" x14ac:dyDescent="0.3">
      <c r="A80" t="s">
        <v>5374</v>
      </c>
      <c r="B80">
        <f t="shared" si="8"/>
        <v>200025</v>
      </c>
      <c r="C80" t="s">
        <v>2944</v>
      </c>
      <c r="D80">
        <f>VLOOKUP(C80,ServiceAreas.csv!F:J,5,FALSE)</f>
        <v>11</v>
      </c>
      <c r="E80" t="s">
        <v>6529</v>
      </c>
      <c r="F80" t="s">
        <v>4249</v>
      </c>
      <c r="G80">
        <v>79</v>
      </c>
      <c r="H80" s="2" t="s">
        <v>6510</v>
      </c>
      <c r="I80" t="s">
        <v>76</v>
      </c>
      <c r="J80" s="3">
        <f t="shared" si="9"/>
        <v>200079</v>
      </c>
      <c r="K80" t="str">
        <f t="shared" si="6"/>
        <v>Terrace</v>
      </c>
      <c r="L80" t="str">
        <f t="shared" si="7"/>
        <v>Skeena</v>
      </c>
    </row>
    <row r="81" spans="1:12" x14ac:dyDescent="0.3">
      <c r="A81" t="s">
        <v>5374</v>
      </c>
      <c r="B81">
        <f t="shared" si="8"/>
        <v>200026</v>
      </c>
      <c r="C81" t="s">
        <v>2945</v>
      </c>
      <c r="D81">
        <f>VLOOKUP(C81,ServiceAreas.csv!F:J,5,FALSE)</f>
        <v>11</v>
      </c>
      <c r="E81" t="s">
        <v>6523</v>
      </c>
      <c r="F81" t="s">
        <v>5356</v>
      </c>
      <c r="G81">
        <v>80</v>
      </c>
      <c r="H81" s="2" t="s">
        <v>6510</v>
      </c>
      <c r="I81" t="s">
        <v>76</v>
      </c>
      <c r="J81" s="3">
        <f t="shared" si="9"/>
        <v>200080</v>
      </c>
      <c r="K81" t="str">
        <f t="shared" si="6"/>
        <v>Prince Rupert</v>
      </c>
      <c r="L81" t="str">
        <f t="shared" si="7"/>
        <v>North Coast</v>
      </c>
    </row>
    <row r="82" spans="1:12" x14ac:dyDescent="0.3">
      <c r="A82" t="s">
        <v>5374</v>
      </c>
      <c r="B82">
        <f t="shared" si="8"/>
        <v>200026</v>
      </c>
      <c r="C82" t="s">
        <v>2945</v>
      </c>
      <c r="D82">
        <f>VLOOKUP(C82,ServiceAreas.csv!F:J,5,FALSE)</f>
        <v>11</v>
      </c>
      <c r="E82" t="s">
        <v>6523</v>
      </c>
      <c r="F82" t="s">
        <v>6475</v>
      </c>
      <c r="G82">
        <v>81</v>
      </c>
      <c r="H82" s="2" t="s">
        <v>6510</v>
      </c>
      <c r="I82" t="s">
        <v>76</v>
      </c>
      <c r="J82" s="3">
        <f t="shared" si="9"/>
        <v>200081</v>
      </c>
      <c r="K82" t="str">
        <f t="shared" si="6"/>
        <v>Queen Charlotte Islands</v>
      </c>
      <c r="L82" t="str">
        <f t="shared" si="7"/>
        <v>North Coast</v>
      </c>
    </row>
    <row r="83" spans="1:12" x14ac:dyDescent="0.3">
      <c r="A83" t="s">
        <v>5374</v>
      </c>
      <c r="B83">
        <f t="shared" si="8"/>
        <v>200027</v>
      </c>
      <c r="C83" t="s">
        <v>2946</v>
      </c>
      <c r="D83">
        <f>VLOOKUP(C83,ServiceAreas.csv!F:J,5,FALSE)</f>
        <v>10</v>
      </c>
      <c r="E83" t="s">
        <v>6534</v>
      </c>
      <c r="F83" t="s">
        <v>3703</v>
      </c>
      <c r="G83">
        <v>82</v>
      </c>
      <c r="H83" s="2" t="s">
        <v>6510</v>
      </c>
      <c r="I83" t="s">
        <v>76</v>
      </c>
      <c r="J83" s="3">
        <f t="shared" si="9"/>
        <v>200082</v>
      </c>
      <c r="K83" t="str">
        <f t="shared" si="6"/>
        <v>Atlin</v>
      </c>
      <c r="L83" t="str">
        <f t="shared" si="7"/>
        <v>Stikine</v>
      </c>
    </row>
    <row r="84" spans="1:12" x14ac:dyDescent="0.3">
      <c r="A84" t="s">
        <v>5374</v>
      </c>
      <c r="B84">
        <f t="shared" si="8"/>
        <v>200027</v>
      </c>
      <c r="C84" t="s">
        <v>2946</v>
      </c>
      <c r="D84">
        <f>VLOOKUP(C84,ServiceAreas.csv!F:J,5,FALSE)</f>
        <v>10</v>
      </c>
      <c r="E84" t="s">
        <v>6534</v>
      </c>
      <c r="F84" t="s">
        <v>6490</v>
      </c>
      <c r="G84">
        <v>83</v>
      </c>
      <c r="H84" s="2" t="s">
        <v>6510</v>
      </c>
      <c r="I84" t="s">
        <v>76</v>
      </c>
      <c r="J84" s="3">
        <f t="shared" si="9"/>
        <v>200083</v>
      </c>
      <c r="K84" t="str">
        <f t="shared" si="6"/>
        <v>Iskut &amp; Bob Quinn</v>
      </c>
      <c r="L84" t="str">
        <f t="shared" si="7"/>
        <v>Stikine</v>
      </c>
    </row>
    <row r="85" spans="1:12" x14ac:dyDescent="0.3">
      <c r="A85" t="s">
        <v>5374</v>
      </c>
      <c r="B85">
        <f t="shared" si="8"/>
        <v>200027</v>
      </c>
      <c r="C85" t="s">
        <v>2946</v>
      </c>
      <c r="D85">
        <f>VLOOKUP(C85,ServiceAreas.csv!F:J,5,FALSE)</f>
        <v>10</v>
      </c>
      <c r="E85" t="s">
        <v>6534</v>
      </c>
      <c r="F85" t="s">
        <v>5345</v>
      </c>
      <c r="G85">
        <v>84</v>
      </c>
      <c r="H85" s="2" t="s">
        <v>6510</v>
      </c>
      <c r="I85" t="s">
        <v>76</v>
      </c>
      <c r="J85" s="3">
        <f t="shared" si="9"/>
        <v>200084</v>
      </c>
      <c r="K85" t="str">
        <f t="shared" si="6"/>
        <v>Dease Lake</v>
      </c>
      <c r="L85" t="str">
        <f t="shared" si="7"/>
        <v>Stikine</v>
      </c>
    </row>
    <row r="86" spans="1:12" x14ac:dyDescent="0.3">
      <c r="A86" t="s">
        <v>5374</v>
      </c>
      <c r="B86">
        <f t="shared" si="8"/>
        <v>200027</v>
      </c>
      <c r="C86" t="s">
        <v>2946</v>
      </c>
      <c r="D86">
        <f>VLOOKUP(C86,ServiceAreas.csv!F:J,5,FALSE)</f>
        <v>10</v>
      </c>
      <c r="E86" t="s">
        <v>6534</v>
      </c>
      <c r="F86" t="s">
        <v>5358</v>
      </c>
      <c r="G86">
        <v>85</v>
      </c>
      <c r="H86" s="2" t="s">
        <v>6510</v>
      </c>
      <c r="I86" t="s">
        <v>76</v>
      </c>
      <c r="J86" s="3">
        <f t="shared" si="9"/>
        <v>200085</v>
      </c>
      <c r="K86" t="str">
        <f t="shared" si="6"/>
        <v>Telegraph Creek</v>
      </c>
      <c r="L86" t="str">
        <f t="shared" si="7"/>
        <v>Stikine</v>
      </c>
    </row>
    <row r="87" spans="1:12" x14ac:dyDescent="0.3">
      <c r="A87" t="s">
        <v>5374</v>
      </c>
      <c r="B87">
        <f t="shared" si="8"/>
        <v>200028</v>
      </c>
      <c r="C87" t="s">
        <v>2947</v>
      </c>
      <c r="D87">
        <f>VLOOKUP(C87,ServiceAreas.csv!F:J,5,FALSE)</f>
        <v>12</v>
      </c>
      <c r="E87" t="s">
        <v>6537</v>
      </c>
      <c r="F87" t="s">
        <v>2947</v>
      </c>
      <c r="G87">
        <v>86</v>
      </c>
      <c r="H87" s="2" t="s">
        <v>6510</v>
      </c>
      <c r="I87" t="s">
        <v>76</v>
      </c>
      <c r="J87" s="3">
        <f t="shared" si="9"/>
        <v>200086</v>
      </c>
      <c r="K87" t="str">
        <f t="shared" si="6"/>
        <v>NON-BC</v>
      </c>
      <c r="L87" t="str">
        <f t="shared" si="7"/>
        <v>NON-BC</v>
      </c>
    </row>
    <row r="88" spans="1:12" x14ac:dyDescent="0.3">
      <c r="A88" t="s">
        <v>5374</v>
      </c>
      <c r="B88">
        <f t="shared" si="8"/>
        <v>200029</v>
      </c>
      <c r="C88" t="s">
        <v>2948</v>
      </c>
      <c r="D88">
        <f>VLOOKUP(C88,ServiceAreas.csv!F:J,5,FALSE)</f>
        <v>13</v>
      </c>
      <c r="E88" t="s">
        <v>6538</v>
      </c>
      <c r="F88" t="s">
        <v>2948</v>
      </c>
      <c r="G88">
        <v>87</v>
      </c>
      <c r="H88" s="2" t="s">
        <v>6510</v>
      </c>
      <c r="I88" t="s">
        <v>76</v>
      </c>
      <c r="J88" s="3">
        <f t="shared" si="9"/>
        <v>200087</v>
      </c>
      <c r="K88" t="str">
        <f t="shared" si="6"/>
        <v>Unknown</v>
      </c>
      <c r="L88" t="str">
        <f t="shared" si="7"/>
        <v>Unknown</v>
      </c>
    </row>
  </sheetData>
  <sortState ref="A2:L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2017-12-27T18:18:27Z</dcterms:modified>
</cp:coreProperties>
</file>