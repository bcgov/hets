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activeTab="1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HETS Data" sheetId="50" r:id="rId7"/>
    <sheet name="Names" sheetId="28" r:id="rId8"/>
    <sheet name="Lookups" sheetId="9" r:id="rId9"/>
    <sheet name="Lookups (2)" sheetId="46" r:id="rId10"/>
    <sheet name="Tables" sheetId="49" r:id="rId11"/>
    <sheet name="EquipmentTypes.csv" sheetId="48" r:id="rId12"/>
    <sheet name="ServiceAreas.csv" sheetId="25" r:id="rId13"/>
    <sheet name="LocalAreas.csv" sheetId="40" r:id="rId14"/>
  </sheets>
  <functionGroups builtInGroupCount="18"/>
  <definedNames>
    <definedName name="_xlnm._FilterDatabase" localSheetId="1" hidden="1">Equipment.csv!$A$1:$AU$205</definedName>
    <definedName name="_xlnm._FilterDatabase" localSheetId="6" hidden="1">'HETS Data'!$A$1:$AE$199</definedName>
    <definedName name="_xlnm._FilterDatabase" localSheetId="0" hidden="1">Owners.csv!$A$1:$AA$112</definedName>
    <definedName name="_xlnm._FilterDatabase" localSheetId="3" hidden="1">Project.csv!$A$1:$P$284</definedName>
    <definedName name="_xlnm._FilterDatabase" localSheetId="10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L2" i="43" l="1"/>
  <c r="L3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M2" i="43"/>
  <c r="M3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" i="4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H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C3" i="43" s="1"/>
  <c r="B4" i="43"/>
  <c r="C4" i="43" s="1"/>
  <c r="B5" i="43"/>
  <c r="C5" i="43" s="1"/>
  <c r="B6" i="43"/>
  <c r="C6" i="43" s="1"/>
  <c r="B7" i="43"/>
  <c r="C7" i="43" s="1"/>
  <c r="B8" i="43"/>
  <c r="C8" i="43" s="1"/>
  <c r="B9" i="43"/>
  <c r="C9" i="43" s="1"/>
  <c r="B10" i="43"/>
  <c r="C10" i="43" s="1"/>
  <c r="B11" i="43"/>
  <c r="C11" i="43" s="1"/>
  <c r="B12" i="43"/>
  <c r="C12" i="43" s="1"/>
  <c r="B13" i="43"/>
  <c r="C13" i="43" s="1"/>
  <c r="B14" i="43"/>
  <c r="C14" i="43" s="1"/>
  <c r="B15" i="43"/>
  <c r="C15" i="43" s="1"/>
  <c r="B16" i="43"/>
  <c r="C16" i="43" s="1"/>
  <c r="B17" i="43"/>
  <c r="C17" i="43" s="1"/>
  <c r="B18" i="43"/>
  <c r="C18" i="43" s="1"/>
  <c r="B19" i="43"/>
  <c r="C19" i="43" s="1"/>
  <c r="B20" i="43"/>
  <c r="C20" i="43" s="1"/>
  <c r="B21" i="43"/>
  <c r="C21" i="43" s="1"/>
  <c r="B22" i="43"/>
  <c r="C22" i="43" s="1"/>
  <c r="B23" i="43"/>
  <c r="C23" i="43" s="1"/>
  <c r="B24" i="43"/>
  <c r="C24" i="43" s="1"/>
  <c r="B25" i="43"/>
  <c r="C25" i="43" s="1"/>
  <c r="B26" i="43"/>
  <c r="C26" i="43" s="1"/>
  <c r="B27" i="43"/>
  <c r="C27" i="43" s="1"/>
  <c r="B28" i="43"/>
  <c r="C28" i="43" s="1"/>
  <c r="B29" i="43"/>
  <c r="C29" i="43" s="1"/>
  <c r="B30" i="43"/>
  <c r="C30" i="43" s="1"/>
  <c r="B31" i="43"/>
  <c r="C31" i="43" s="1"/>
  <c r="B32" i="43"/>
  <c r="C32" i="43" s="1"/>
  <c r="B33" i="43"/>
  <c r="C33" i="43" s="1"/>
  <c r="B34" i="43"/>
  <c r="C34" i="43" s="1"/>
  <c r="B35" i="43"/>
  <c r="C35" i="43" s="1"/>
  <c r="B36" i="43"/>
  <c r="C36" i="43" s="1"/>
  <c r="B37" i="43"/>
  <c r="C37" i="43" s="1"/>
  <c r="B38" i="43"/>
  <c r="C38" i="43" s="1"/>
  <c r="B39" i="43"/>
  <c r="C39" i="43" s="1"/>
  <c r="B40" i="43"/>
  <c r="C40" i="43" s="1"/>
  <c r="B41" i="43"/>
  <c r="C41" i="43" s="1"/>
  <c r="B42" i="43"/>
  <c r="C42" i="43" s="1"/>
  <c r="B43" i="43"/>
  <c r="C43" i="43" s="1"/>
  <c r="B44" i="43"/>
  <c r="C44" i="43" s="1"/>
  <c r="B45" i="43"/>
  <c r="C45" i="43" s="1"/>
  <c r="B46" i="43"/>
  <c r="C46" i="43" s="1"/>
  <c r="B47" i="43"/>
  <c r="C47" i="43" s="1"/>
  <c r="B48" i="43"/>
  <c r="C48" i="43" s="1"/>
  <c r="B49" i="43"/>
  <c r="C49" i="43" s="1"/>
  <c r="B50" i="43"/>
  <c r="C50" i="43" s="1"/>
  <c r="B51" i="43"/>
  <c r="C51" i="43" s="1"/>
  <c r="B52" i="43"/>
  <c r="C52" i="43" s="1"/>
  <c r="B53" i="43"/>
  <c r="C53" i="43" s="1"/>
  <c r="B54" i="43"/>
  <c r="C54" i="43" s="1"/>
  <c r="B55" i="43"/>
  <c r="C55" i="43" s="1"/>
  <c r="B56" i="43"/>
  <c r="C56" i="43" s="1"/>
  <c r="B57" i="43"/>
  <c r="C57" i="43" s="1"/>
  <c r="B58" i="43"/>
  <c r="C58" i="43" s="1"/>
  <c r="B59" i="43"/>
  <c r="C59" i="43" s="1"/>
  <c r="B60" i="43"/>
  <c r="C60" i="43" s="1"/>
  <c r="B61" i="43"/>
  <c r="C61" i="43" s="1"/>
  <c r="B62" i="43"/>
  <c r="C62" i="43" s="1"/>
  <c r="B63" i="43"/>
  <c r="C63" i="43" s="1"/>
  <c r="B64" i="43"/>
  <c r="C64" i="43" s="1"/>
  <c r="B65" i="43"/>
  <c r="C65" i="43" s="1"/>
  <c r="B66" i="43"/>
  <c r="C66" i="43" s="1"/>
  <c r="B67" i="43"/>
  <c r="C67" i="43" s="1"/>
  <c r="B68" i="43"/>
  <c r="C68" i="43" s="1"/>
  <c r="B69" i="43"/>
  <c r="C69" i="43" s="1"/>
  <c r="B70" i="43"/>
  <c r="C70" i="43" s="1"/>
  <c r="B71" i="43"/>
  <c r="C71" i="43" s="1"/>
  <c r="B72" i="43"/>
  <c r="C72" i="43" s="1"/>
  <c r="B73" i="43"/>
  <c r="C73" i="43" s="1"/>
  <c r="B74" i="43"/>
  <c r="C74" i="43" s="1"/>
  <c r="B75" i="43"/>
  <c r="C75" i="43" s="1"/>
  <c r="B76" i="43"/>
  <c r="C76" i="43" s="1"/>
  <c r="B77" i="43"/>
  <c r="C77" i="43" s="1"/>
  <c r="B78" i="43"/>
  <c r="C78" i="43" s="1"/>
  <c r="B79" i="43"/>
  <c r="C79" i="43" s="1"/>
  <c r="B80" i="43"/>
  <c r="C80" i="43" s="1"/>
  <c r="B81" i="43"/>
  <c r="C81" i="43" s="1"/>
  <c r="B82" i="43"/>
  <c r="C82" i="43" s="1"/>
  <c r="B83" i="43"/>
  <c r="C83" i="43" s="1"/>
  <c r="B84" i="43"/>
  <c r="C84" i="43" s="1"/>
  <c r="B85" i="43"/>
  <c r="C85" i="43" s="1"/>
  <c r="B86" i="43"/>
  <c r="C86" i="43" s="1"/>
  <c r="B87" i="43"/>
  <c r="C87" i="43" s="1"/>
  <c r="B88" i="43"/>
  <c r="C88" i="43" s="1"/>
  <c r="B89" i="43"/>
  <c r="C89" i="43" s="1"/>
  <c r="B90" i="43"/>
  <c r="C90" i="43" s="1"/>
  <c r="B91" i="43"/>
  <c r="C91" i="43" s="1"/>
  <c r="B92" i="43"/>
  <c r="C92" i="43" s="1"/>
  <c r="B93" i="43"/>
  <c r="C93" i="43" s="1"/>
  <c r="B94" i="43"/>
  <c r="C94" i="43" s="1"/>
  <c r="B95" i="43"/>
  <c r="C95" i="43" s="1"/>
  <c r="B96" i="43"/>
  <c r="C96" i="43" s="1"/>
  <c r="B97" i="43"/>
  <c r="C97" i="43" s="1"/>
  <c r="B98" i="43"/>
  <c r="C98" i="43" s="1"/>
  <c r="B99" i="43"/>
  <c r="C99" i="43" s="1"/>
  <c r="B100" i="43"/>
  <c r="C100" i="43" s="1"/>
  <c r="B101" i="43"/>
  <c r="C101" i="43" s="1"/>
  <c r="B102" i="43"/>
  <c r="C102" i="43" s="1"/>
  <c r="B103" i="43"/>
  <c r="C103" i="43" s="1"/>
  <c r="B104" i="43"/>
  <c r="C104" i="43" s="1"/>
  <c r="B105" i="43"/>
  <c r="C105" i="43" s="1"/>
  <c r="B106" i="43"/>
  <c r="C106" i="43" s="1"/>
  <c r="B107" i="43"/>
  <c r="C107" i="43" s="1"/>
  <c r="B108" i="43"/>
  <c r="C108" i="43" s="1"/>
  <c r="B109" i="43"/>
  <c r="C109" i="43" s="1"/>
  <c r="B110" i="43"/>
  <c r="C110" i="43" s="1"/>
  <c r="B111" i="43"/>
  <c r="C111" i="43" s="1"/>
  <c r="B112" i="43"/>
  <c r="C112" i="43" s="1"/>
  <c r="B113" i="43"/>
  <c r="C113" i="43" s="1"/>
  <c r="B114" i="43"/>
  <c r="C114" i="43" s="1"/>
  <c r="B115" i="43"/>
  <c r="C115" i="43" s="1"/>
  <c r="B116" i="43"/>
  <c r="C116" i="43" s="1"/>
  <c r="B117" i="43"/>
  <c r="C117" i="43" s="1"/>
  <c r="B118" i="43"/>
  <c r="C118" i="43" s="1"/>
  <c r="B119" i="43"/>
  <c r="C119" i="43" s="1"/>
  <c r="B120" i="43"/>
  <c r="C120" i="43" s="1"/>
  <c r="B121" i="43"/>
  <c r="C121" i="43" s="1"/>
  <c r="B122" i="43"/>
  <c r="C122" i="43" s="1"/>
  <c r="B123" i="43"/>
  <c r="C123" i="43" s="1"/>
  <c r="B124" i="43"/>
  <c r="C124" i="43" s="1"/>
  <c r="B125" i="43"/>
  <c r="C125" i="43" s="1"/>
  <c r="B126" i="43"/>
  <c r="C126" i="43" s="1"/>
  <c r="B127" i="43"/>
  <c r="C127" i="43" s="1"/>
  <c r="B128" i="43"/>
  <c r="C128" i="43" s="1"/>
  <c r="B129" i="43"/>
  <c r="C129" i="43" s="1"/>
  <c r="B130" i="43"/>
  <c r="C130" i="43" s="1"/>
  <c r="B131" i="43"/>
  <c r="C131" i="43" s="1"/>
  <c r="B132" i="43"/>
  <c r="C132" i="43" s="1"/>
  <c r="B133" i="43"/>
  <c r="C133" i="43" s="1"/>
  <c r="B134" i="43"/>
  <c r="C134" i="43" s="1"/>
  <c r="B135" i="43"/>
  <c r="C135" i="43" s="1"/>
  <c r="B136" i="43"/>
  <c r="C136" i="43" s="1"/>
  <c r="B137" i="43"/>
  <c r="C137" i="43" s="1"/>
  <c r="B138" i="43"/>
  <c r="C138" i="43" s="1"/>
  <c r="B139" i="43"/>
  <c r="C139" i="43" s="1"/>
  <c r="B140" i="43"/>
  <c r="C140" i="43" s="1"/>
  <c r="B141" i="43"/>
  <c r="C141" i="43" s="1"/>
  <c r="B142" i="43"/>
  <c r="C142" i="43" s="1"/>
  <c r="B143" i="43"/>
  <c r="C143" i="43" s="1"/>
  <c r="B144" i="43"/>
  <c r="C144" i="43" s="1"/>
  <c r="B145" i="43"/>
  <c r="C145" i="43" s="1"/>
  <c r="B146" i="43"/>
  <c r="C146" i="43" s="1"/>
  <c r="B147" i="43"/>
  <c r="C147" i="43" s="1"/>
  <c r="B148" i="43"/>
  <c r="C148" i="43" s="1"/>
  <c r="B149" i="43"/>
  <c r="C149" i="43" s="1"/>
  <c r="B150" i="43"/>
  <c r="C150" i="43" s="1"/>
  <c r="B151" i="43"/>
  <c r="C151" i="43" s="1"/>
  <c r="B152" i="43"/>
  <c r="C152" i="43" s="1"/>
  <c r="B153" i="43"/>
  <c r="C153" i="43" s="1"/>
  <c r="B154" i="43"/>
  <c r="C154" i="43" s="1"/>
  <c r="B155" i="43"/>
  <c r="C155" i="43" s="1"/>
  <c r="B156" i="43"/>
  <c r="C156" i="43" s="1"/>
  <c r="B157" i="43"/>
  <c r="C157" i="43" s="1"/>
  <c r="B158" i="43"/>
  <c r="C158" i="43" s="1"/>
  <c r="B159" i="43"/>
  <c r="C159" i="43" s="1"/>
  <c r="B160" i="43"/>
  <c r="C160" i="43" s="1"/>
  <c r="B161" i="43"/>
  <c r="C161" i="43" s="1"/>
  <c r="B162" i="43"/>
  <c r="C162" i="43" s="1"/>
  <c r="B163" i="43"/>
  <c r="C163" i="43" s="1"/>
  <c r="B164" i="43"/>
  <c r="C164" i="43" s="1"/>
  <c r="B165" i="43"/>
  <c r="C165" i="43" s="1"/>
  <c r="B166" i="43"/>
  <c r="C166" i="43" s="1"/>
  <c r="B167" i="43"/>
  <c r="C167" i="43" s="1"/>
  <c r="B168" i="43"/>
  <c r="C168" i="43" s="1"/>
  <c r="B169" i="43"/>
  <c r="C169" i="43" s="1"/>
  <c r="B170" i="43"/>
  <c r="C170" i="43" s="1"/>
  <c r="B171" i="43"/>
  <c r="C171" i="43" s="1"/>
  <c r="B172" i="43"/>
  <c r="C172" i="43" s="1"/>
  <c r="B173" i="43"/>
  <c r="C173" i="43" s="1"/>
  <c r="B174" i="43"/>
  <c r="C174" i="43" s="1"/>
  <c r="B175" i="43"/>
  <c r="C175" i="43" s="1"/>
  <c r="B176" i="43"/>
  <c r="C176" i="43" s="1"/>
  <c r="B177" i="43"/>
  <c r="C177" i="43" s="1"/>
  <c r="B178" i="43"/>
  <c r="C178" i="43" s="1"/>
  <c r="B179" i="43"/>
  <c r="C179" i="43" s="1"/>
  <c r="B180" i="43"/>
  <c r="C180" i="43" s="1"/>
  <c r="B181" i="43"/>
  <c r="C181" i="43" s="1"/>
  <c r="B182" i="43"/>
  <c r="C182" i="43" s="1"/>
  <c r="B183" i="43"/>
  <c r="C183" i="43" s="1"/>
  <c r="B184" i="43"/>
  <c r="C184" i="43" s="1"/>
  <c r="B185" i="43"/>
  <c r="C185" i="43" s="1"/>
  <c r="B186" i="43"/>
  <c r="C186" i="43" s="1"/>
  <c r="B187" i="43"/>
  <c r="C187" i="43" s="1"/>
  <c r="B188" i="43"/>
  <c r="C188" i="43" s="1"/>
  <c r="B189" i="43"/>
  <c r="C189" i="43" s="1"/>
  <c r="B190" i="43"/>
  <c r="C190" i="43" s="1"/>
  <c r="B191" i="43"/>
  <c r="C191" i="43" s="1"/>
  <c r="B192" i="43"/>
  <c r="C192" i="43" s="1"/>
  <c r="B193" i="43"/>
  <c r="C193" i="43" s="1"/>
  <c r="B194" i="43"/>
  <c r="C194" i="43" s="1"/>
  <c r="B195" i="43"/>
  <c r="C195" i="43" s="1"/>
  <c r="B196" i="43"/>
  <c r="C196" i="43" s="1"/>
  <c r="B197" i="43"/>
  <c r="C197" i="43" s="1"/>
  <c r="B198" i="43"/>
  <c r="C198" i="43" s="1"/>
  <c r="B199" i="43"/>
  <c r="C199" i="43" s="1"/>
  <c r="B200" i="43"/>
  <c r="C200" i="43" s="1"/>
  <c r="B201" i="43"/>
  <c r="C201" i="43" s="1"/>
  <c r="B202" i="43"/>
  <c r="C202" i="43" s="1"/>
  <c r="B203" i="43"/>
  <c r="C203" i="43" s="1"/>
  <c r="B204" i="43"/>
  <c r="C204" i="43" s="1"/>
  <c r="B205" i="43"/>
  <c r="C205" i="43" s="1"/>
  <c r="B206" i="43"/>
  <c r="C206" i="43" s="1"/>
  <c r="B207" i="43"/>
  <c r="C207" i="43" s="1"/>
  <c r="B208" i="43"/>
  <c r="C208" i="43" s="1"/>
  <c r="B209" i="43"/>
  <c r="C209" i="43" s="1"/>
  <c r="B210" i="43"/>
  <c r="C210" i="43" s="1"/>
  <c r="B211" i="43"/>
  <c r="C211" i="43" s="1"/>
  <c r="B212" i="43"/>
  <c r="C212" i="43" s="1"/>
  <c r="B213" i="43"/>
  <c r="C213" i="43" s="1"/>
  <c r="B214" i="43"/>
  <c r="C214" i="43" s="1"/>
  <c r="B215" i="43"/>
  <c r="C215" i="43" s="1"/>
  <c r="B216" i="43"/>
  <c r="C216" i="43" s="1"/>
  <c r="B217" i="43"/>
  <c r="C217" i="43" s="1"/>
  <c r="B218" i="43"/>
  <c r="C218" i="43" s="1"/>
  <c r="B219" i="43"/>
  <c r="C219" i="43" s="1"/>
  <c r="B220" i="43"/>
  <c r="C220" i="43" s="1"/>
  <c r="B221" i="43"/>
  <c r="C221" i="43" s="1"/>
  <c r="B222" i="43"/>
  <c r="C222" i="43" s="1"/>
  <c r="B223" i="43"/>
  <c r="C223" i="43" s="1"/>
  <c r="B224" i="43"/>
  <c r="C224" i="43" s="1"/>
  <c r="B225" i="43"/>
  <c r="C225" i="43" s="1"/>
  <c r="B226" i="43"/>
  <c r="C226" i="43" s="1"/>
  <c r="B227" i="43"/>
  <c r="C227" i="43" s="1"/>
  <c r="B228" i="43"/>
  <c r="C228" i="43" s="1"/>
  <c r="B229" i="43"/>
  <c r="C229" i="43" s="1"/>
  <c r="B230" i="43"/>
  <c r="C230" i="43" s="1"/>
  <c r="B231" i="43"/>
  <c r="C231" i="43" s="1"/>
  <c r="B232" i="43"/>
  <c r="C232" i="43" s="1"/>
  <c r="B233" i="43"/>
  <c r="C233" i="43" s="1"/>
  <c r="B234" i="43"/>
  <c r="C234" i="43" s="1"/>
  <c r="B235" i="43"/>
  <c r="C235" i="43" s="1"/>
  <c r="B236" i="43"/>
  <c r="C236" i="43" s="1"/>
  <c r="B237" i="43"/>
  <c r="C237" i="43" s="1"/>
  <c r="B238" i="43"/>
  <c r="C238" i="43" s="1"/>
  <c r="B239" i="43"/>
  <c r="C239" i="43" s="1"/>
  <c r="B240" i="43"/>
  <c r="C240" i="43" s="1"/>
  <c r="B241" i="43"/>
  <c r="C241" i="43" s="1"/>
  <c r="B242" i="43"/>
  <c r="C242" i="43" s="1"/>
  <c r="B243" i="43"/>
  <c r="C243" i="43" s="1"/>
  <c r="B244" i="43"/>
  <c r="C244" i="43" s="1"/>
  <c r="B245" i="43"/>
  <c r="C245" i="43" s="1"/>
  <c r="B246" i="43"/>
  <c r="C246" i="43" s="1"/>
  <c r="B247" i="43"/>
  <c r="C247" i="43" s="1"/>
  <c r="B248" i="43"/>
  <c r="C248" i="43" s="1"/>
  <c r="B249" i="43"/>
  <c r="C249" i="43" s="1"/>
  <c r="B250" i="43"/>
  <c r="C250" i="43" s="1"/>
  <c r="B251" i="43"/>
  <c r="C251" i="43" s="1"/>
  <c r="B252" i="43"/>
  <c r="C252" i="43" s="1"/>
  <c r="B253" i="43"/>
  <c r="C253" i="43" s="1"/>
  <c r="B254" i="43"/>
  <c r="C254" i="43" s="1"/>
  <c r="B255" i="43"/>
  <c r="C255" i="43" s="1"/>
  <c r="B256" i="43"/>
  <c r="C256" i="43" s="1"/>
  <c r="B257" i="43"/>
  <c r="C257" i="43" s="1"/>
  <c r="B258" i="43"/>
  <c r="C258" i="43" s="1"/>
  <c r="B259" i="43"/>
  <c r="C259" i="43" s="1"/>
  <c r="B260" i="43"/>
  <c r="C260" i="43" s="1"/>
  <c r="B261" i="43"/>
  <c r="C261" i="43" s="1"/>
  <c r="B262" i="43"/>
  <c r="C262" i="43" s="1"/>
  <c r="B263" i="43"/>
  <c r="C263" i="43" s="1"/>
  <c r="B264" i="43"/>
  <c r="C264" i="43" s="1"/>
  <c r="B265" i="43"/>
  <c r="C265" i="43" s="1"/>
  <c r="B266" i="43"/>
  <c r="C266" i="43" s="1"/>
  <c r="B267" i="43"/>
  <c r="C267" i="43" s="1"/>
  <c r="B268" i="43"/>
  <c r="C268" i="43" s="1"/>
  <c r="B269" i="43"/>
  <c r="C269" i="43" s="1"/>
  <c r="B270" i="43"/>
  <c r="C270" i="43" s="1"/>
  <c r="B271" i="43"/>
  <c r="C271" i="43" s="1"/>
  <c r="B272" i="43"/>
  <c r="C272" i="43" s="1"/>
  <c r="B273" i="43"/>
  <c r="C273" i="43" s="1"/>
  <c r="B274" i="43"/>
  <c r="C274" i="43" s="1"/>
  <c r="B275" i="43"/>
  <c r="C275" i="43" s="1"/>
  <c r="B276" i="43"/>
  <c r="C276" i="43" s="1"/>
  <c r="B277" i="43"/>
  <c r="C277" i="43" s="1"/>
  <c r="B278" i="43"/>
  <c r="C278" i="43" s="1"/>
  <c r="B279" i="43"/>
  <c r="C279" i="43" s="1"/>
  <c r="B280" i="43"/>
  <c r="C280" i="43" s="1"/>
  <c r="B281" i="43"/>
  <c r="C281" i="43" s="1"/>
  <c r="B282" i="43"/>
  <c r="C282" i="43" s="1"/>
  <c r="B283" i="43"/>
  <c r="C283" i="43" s="1"/>
  <c r="B284" i="43"/>
  <c r="C284" i="43" s="1"/>
  <c r="B2" i="43"/>
  <c r="C2" i="43" s="1"/>
  <c r="R21" i="51" l="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D110" i="51" l="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D111" i="51" l="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326" i="45"/>
  <c r="I327" i="45"/>
  <c r="I328" i="45"/>
  <c r="I329" i="45"/>
  <c r="I330" i="45"/>
  <c r="I2" i="45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9" i="2"/>
  <c r="L70" i="2"/>
  <c r="L71" i="2"/>
  <c r="L72" i="2"/>
  <c r="L73" i="2"/>
  <c r="L75" i="2"/>
  <c r="L76" i="2"/>
  <c r="L79" i="2"/>
  <c r="L82" i="2"/>
  <c r="L84" i="2"/>
  <c r="L85" i="2"/>
  <c r="L86" i="2"/>
  <c r="L87" i="2"/>
  <c r="L88" i="2"/>
  <c r="L89" i="2"/>
  <c r="L90" i="2"/>
  <c r="L91" i="2"/>
  <c r="L92" i="2"/>
  <c r="L94" i="2"/>
  <c r="L96" i="2"/>
  <c r="L97" i="2"/>
  <c r="L98" i="2"/>
  <c r="L99" i="2"/>
  <c r="L100" i="2"/>
  <c r="L101" i="2"/>
  <c r="L102" i="2"/>
  <c r="L103" i="2"/>
  <c r="L108" i="2"/>
  <c r="L109" i="2"/>
  <c r="L110" i="2"/>
  <c r="L111" i="2"/>
  <c r="L112" i="2"/>
  <c r="L2" i="2"/>
  <c r="D112" i="51" l="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K326" i="45"/>
  <c r="K327" i="45"/>
  <c r="K328" i="45"/>
  <c r="K329" i="45"/>
  <c r="K330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326" i="45"/>
  <c r="J327" i="45"/>
  <c r="J328" i="45"/>
  <c r="J329" i="45"/>
  <c r="J330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326" i="45" s="1"/>
  <c r="B327" i="45" s="1"/>
  <c r="B328" i="45" s="1"/>
  <c r="B329" i="45" s="1"/>
  <c r="B330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D2" i="45" l="1"/>
  <c r="E2" i="45" s="1"/>
  <c r="D80" i="45"/>
  <c r="D144" i="45"/>
  <c r="D295" i="45"/>
  <c r="E295" i="45" s="1"/>
  <c r="D287" i="45"/>
  <c r="E287" i="45" s="1"/>
  <c r="D267" i="45"/>
  <c r="E267" i="45" s="1"/>
  <c r="D255" i="45"/>
  <c r="E255" i="45" s="1"/>
  <c r="D243" i="45"/>
  <c r="E243" i="45" s="1"/>
  <c r="D302" i="45"/>
  <c r="E302" i="45" s="1"/>
  <c r="D294" i="45"/>
  <c r="E294" i="45" s="1"/>
  <c r="D290" i="45"/>
  <c r="E290" i="45" s="1"/>
  <c r="D282" i="45"/>
  <c r="E282" i="45" s="1"/>
  <c r="D278" i="45"/>
  <c r="E278" i="45" s="1"/>
  <c r="D274" i="45"/>
  <c r="E274" i="45" s="1"/>
  <c r="D270" i="45"/>
  <c r="E270" i="45" s="1"/>
  <c r="D266" i="45"/>
  <c r="E266" i="45" s="1"/>
  <c r="D262" i="45"/>
  <c r="E262" i="45" s="1"/>
  <c r="D254" i="45"/>
  <c r="E254" i="45" s="1"/>
  <c r="D246" i="45"/>
  <c r="E246" i="45" s="1"/>
  <c r="D234" i="45"/>
  <c r="E234" i="45" s="1"/>
  <c r="D230" i="45"/>
  <c r="E230" i="45" s="1"/>
  <c r="D226" i="45"/>
  <c r="E226" i="45" s="1"/>
  <c r="D218" i="45"/>
  <c r="E218" i="45" s="1"/>
  <c r="D259" i="45"/>
  <c r="E259" i="45" s="1"/>
  <c r="D214" i="45"/>
  <c r="E214" i="45" s="1"/>
  <c r="D210" i="45"/>
  <c r="E210" i="45" s="1"/>
  <c r="D184" i="45"/>
  <c r="E184" i="45" s="1"/>
  <c r="D176" i="45"/>
  <c r="E176" i="45" s="1"/>
  <c r="D164" i="45"/>
  <c r="E164" i="45" s="1"/>
  <c r="D160" i="45"/>
  <c r="E160" i="45" s="1"/>
  <c r="D281" i="45"/>
  <c r="E281" i="45" s="1"/>
  <c r="D148" i="45"/>
  <c r="E148" i="45" s="1"/>
  <c r="D140" i="45"/>
  <c r="E140" i="45" s="1"/>
  <c r="D136" i="45"/>
  <c r="E136" i="45" s="1"/>
  <c r="D272" i="45"/>
  <c r="E272" i="45" s="1"/>
  <c r="D132" i="45"/>
  <c r="E132" i="45" s="1"/>
  <c r="D128" i="45"/>
  <c r="E128" i="45" s="1"/>
  <c r="D124" i="45"/>
  <c r="E124" i="45" s="1"/>
  <c r="D120" i="45"/>
  <c r="E120" i="45" s="1"/>
  <c r="D143" i="45"/>
  <c r="E143" i="45" s="1"/>
  <c r="D112" i="45"/>
  <c r="E112" i="45" s="1"/>
  <c r="D108" i="45"/>
  <c r="E108" i="45" s="1"/>
  <c r="D104" i="45"/>
  <c r="E104" i="45" s="1"/>
  <c r="D299" i="45"/>
  <c r="E299" i="45" s="1"/>
  <c r="D100" i="45"/>
  <c r="D172" i="45"/>
  <c r="E172" i="45" s="1"/>
  <c r="D92" i="45"/>
  <c r="E92" i="45" s="1"/>
  <c r="D228" i="45"/>
  <c r="E228" i="45" s="1"/>
  <c r="D88" i="45"/>
  <c r="E88" i="45" s="1"/>
  <c r="D224" i="45"/>
  <c r="E224" i="45" s="1"/>
  <c r="D84" i="45"/>
  <c r="E84" i="45" s="1"/>
  <c r="D276" i="45"/>
  <c r="E276" i="45" s="1"/>
  <c r="D76" i="45"/>
  <c r="E76" i="45" s="1"/>
  <c r="D156" i="45"/>
  <c r="E156" i="45" s="1"/>
  <c r="D72" i="45"/>
  <c r="E72" i="45" s="1"/>
  <c r="D68" i="45"/>
  <c r="E68" i="45" s="1"/>
  <c r="D85" i="45"/>
  <c r="E85" i="45" s="1"/>
  <c r="D329" i="45"/>
  <c r="D64" i="45"/>
  <c r="E64" i="45" s="1"/>
  <c r="D325" i="45"/>
  <c r="E325" i="45" s="1"/>
  <c r="D60" i="45"/>
  <c r="E60" i="45" s="1"/>
  <c r="D321" i="45"/>
  <c r="E321" i="45" s="1"/>
  <c r="D127" i="45"/>
  <c r="E127" i="45" s="1"/>
  <c r="D56" i="45"/>
  <c r="E56" i="45" s="1"/>
  <c r="D317" i="45"/>
  <c r="E317" i="45" s="1"/>
  <c r="D52" i="45"/>
  <c r="E52" i="45" s="1"/>
  <c r="D188" i="45"/>
  <c r="E188" i="45" s="1"/>
  <c r="D313" i="45"/>
  <c r="E313" i="45" s="1"/>
  <c r="D48" i="45"/>
  <c r="E48" i="45" s="1"/>
  <c r="D309" i="45"/>
  <c r="E309" i="45" s="1"/>
  <c r="D44" i="45"/>
  <c r="E44" i="45" s="1"/>
  <c r="D300" i="45"/>
  <c r="E300" i="45" s="1"/>
  <c r="D305" i="45"/>
  <c r="D40" i="45"/>
  <c r="E40" i="45" s="1"/>
  <c r="D292" i="45"/>
  <c r="E292" i="45" s="1"/>
  <c r="D174" i="45"/>
  <c r="E174" i="45" s="1"/>
  <c r="D178" i="45"/>
  <c r="D250" i="45"/>
  <c r="E250" i="45" s="1"/>
  <c r="D36" i="45"/>
  <c r="E36" i="45" s="1"/>
  <c r="D150" i="45"/>
  <c r="E150" i="45" s="1"/>
  <c r="D32" i="45"/>
  <c r="E32" i="45" s="1"/>
  <c r="D28" i="45"/>
  <c r="E28" i="45" s="1"/>
  <c r="D24" i="45"/>
  <c r="E24" i="45" s="1"/>
  <c r="D20" i="45"/>
  <c r="E20" i="45" s="1"/>
  <c r="D16" i="45"/>
  <c r="E16" i="45" s="1"/>
  <c r="D12" i="45"/>
  <c r="E12" i="45" s="1"/>
  <c r="D8" i="45"/>
  <c r="E8" i="45" s="1"/>
  <c r="D4" i="45"/>
  <c r="E4" i="45" s="1"/>
  <c r="D297" i="45"/>
  <c r="E297" i="45" s="1"/>
  <c r="D293" i="45"/>
  <c r="E293" i="45" s="1"/>
  <c r="D285" i="45"/>
  <c r="E285" i="45" s="1"/>
  <c r="D269" i="45"/>
  <c r="E269" i="45" s="1"/>
  <c r="D265" i="45"/>
  <c r="E265" i="45" s="1"/>
  <c r="D257" i="45"/>
  <c r="E257" i="45" s="1"/>
  <c r="D253" i="45"/>
  <c r="E253" i="45" s="1"/>
  <c r="D237" i="45"/>
  <c r="E237" i="45" s="1"/>
  <c r="D229" i="45"/>
  <c r="E229" i="45" s="1"/>
  <c r="D217" i="45"/>
  <c r="E217" i="45" s="1"/>
  <c r="D277" i="45"/>
  <c r="E277" i="45" s="1"/>
  <c r="D213" i="45"/>
  <c r="E213" i="45" s="1"/>
  <c r="D207" i="45"/>
  <c r="E207" i="45" s="1"/>
  <c r="D209" i="45"/>
  <c r="E209" i="45" s="1"/>
  <c r="D203" i="45"/>
  <c r="E203" i="45" s="1"/>
  <c r="D195" i="45"/>
  <c r="E195" i="45" s="1"/>
  <c r="D179" i="45"/>
  <c r="E179" i="45" s="1"/>
  <c r="D175" i="45"/>
  <c r="E175" i="45" s="1"/>
  <c r="D159" i="45"/>
  <c r="E159" i="45" s="1"/>
  <c r="D155" i="45"/>
  <c r="E155" i="45" s="1"/>
  <c r="D151" i="45"/>
  <c r="E151" i="45" s="1"/>
  <c r="D147" i="45"/>
  <c r="E147" i="45" s="1"/>
  <c r="D139" i="45"/>
  <c r="E139" i="45" s="1"/>
  <c r="D131" i="45"/>
  <c r="E131" i="45" s="1"/>
  <c r="D227" i="45"/>
  <c r="E227" i="45" s="1"/>
  <c r="D123" i="45"/>
  <c r="E123" i="45" s="1"/>
  <c r="D115" i="45"/>
  <c r="E115" i="45" s="1"/>
  <c r="D247" i="45"/>
  <c r="E247" i="45" s="1"/>
  <c r="D301" i="45"/>
  <c r="E301" i="45" s="1"/>
  <c r="D107" i="45"/>
  <c r="E107" i="45" s="1"/>
  <c r="D99" i="45"/>
  <c r="E99" i="45" s="1"/>
  <c r="D95" i="45"/>
  <c r="E95" i="45" s="1"/>
  <c r="D91" i="45"/>
  <c r="E91" i="45" s="1"/>
  <c r="D171" i="45"/>
  <c r="E171" i="45" s="1"/>
  <c r="D87" i="45"/>
  <c r="E87" i="45" s="1"/>
  <c r="D83" i="45"/>
  <c r="E83" i="45" s="1"/>
  <c r="D75" i="45"/>
  <c r="E75" i="45" s="1"/>
  <c r="D67" i="45"/>
  <c r="E67" i="45" s="1"/>
  <c r="D328" i="45"/>
  <c r="E328" i="45" s="1"/>
  <c r="D63" i="45"/>
  <c r="E63" i="45" s="1"/>
  <c r="D103" i="45"/>
  <c r="E103" i="45" s="1"/>
  <c r="D324" i="45"/>
  <c r="E324" i="45" s="1"/>
  <c r="D59" i="45"/>
  <c r="E59" i="45" s="1"/>
  <c r="D320" i="45"/>
  <c r="E320" i="45" s="1"/>
  <c r="D55" i="45"/>
  <c r="E55" i="45" s="1"/>
  <c r="D316" i="45"/>
  <c r="E316" i="45" s="1"/>
  <c r="D173" i="45"/>
  <c r="E173" i="45" s="1"/>
  <c r="D51" i="45"/>
  <c r="E51" i="45" s="1"/>
  <c r="D312" i="45"/>
  <c r="E312" i="45" s="1"/>
  <c r="D47" i="45"/>
  <c r="E47" i="45" s="1"/>
  <c r="D308" i="45"/>
  <c r="E308" i="45" s="1"/>
  <c r="D137" i="45"/>
  <c r="E137" i="45" s="1"/>
  <c r="D43" i="45"/>
  <c r="E43" i="45" s="1"/>
  <c r="D304" i="45"/>
  <c r="E304" i="45" s="1"/>
  <c r="D39" i="45"/>
  <c r="E39" i="45" s="1"/>
  <c r="D110" i="45"/>
  <c r="E110" i="45" s="1"/>
  <c r="D35" i="45"/>
  <c r="E35" i="45" s="1"/>
  <c r="D31" i="45"/>
  <c r="E31" i="45" s="1"/>
  <c r="D27" i="45"/>
  <c r="E27" i="45" s="1"/>
  <c r="D215" i="45"/>
  <c r="E215" i="45" s="1"/>
  <c r="D263" i="45"/>
  <c r="E263" i="45" s="1"/>
  <c r="D180" i="45"/>
  <c r="E180" i="45" s="1"/>
  <c r="D23" i="45"/>
  <c r="E23" i="45" s="1"/>
  <c r="D19" i="45"/>
  <c r="E19" i="45" s="1"/>
  <c r="D15" i="45"/>
  <c r="E15" i="45" s="1"/>
  <c r="D11" i="45"/>
  <c r="E11" i="45" s="1"/>
  <c r="D223" i="45"/>
  <c r="E223" i="45" s="1"/>
  <c r="D311" i="45"/>
  <c r="E311" i="45" s="1"/>
  <c r="D50" i="45"/>
  <c r="E50" i="45" s="1"/>
  <c r="D7" i="45"/>
  <c r="E7" i="45" s="1"/>
  <c r="D3" i="45"/>
  <c r="E3" i="45" s="1"/>
  <c r="D273" i="45"/>
  <c r="E273" i="45" s="1"/>
  <c r="D296" i="45"/>
  <c r="E296" i="45" s="1"/>
  <c r="D280" i="45"/>
  <c r="E280" i="45" s="1"/>
  <c r="D264" i="45"/>
  <c r="E264" i="45" s="1"/>
  <c r="D260" i="45"/>
  <c r="E260" i="45" s="1"/>
  <c r="D256" i="45"/>
  <c r="E256" i="45" s="1"/>
  <c r="D248" i="45"/>
  <c r="E248" i="45" s="1"/>
  <c r="D298" i="45"/>
  <c r="D244" i="45"/>
  <c r="E244" i="45" s="1"/>
  <c r="D240" i="45"/>
  <c r="E240" i="45" s="1"/>
  <c r="D236" i="45"/>
  <c r="E236" i="45" s="1"/>
  <c r="D232" i="45"/>
  <c r="E232" i="45" s="1"/>
  <c r="D216" i="45"/>
  <c r="E216" i="45" s="1"/>
  <c r="D212" i="45"/>
  <c r="E212" i="45" s="1"/>
  <c r="D208" i="45"/>
  <c r="E208" i="45" s="1"/>
  <c r="D206" i="45"/>
  <c r="E206" i="45" s="1"/>
  <c r="D202" i="45"/>
  <c r="E202" i="45" s="1"/>
  <c r="D198" i="45"/>
  <c r="E198" i="45" s="1"/>
  <c r="D194" i="45"/>
  <c r="E194" i="45" s="1"/>
  <c r="D190" i="45"/>
  <c r="E190" i="45" s="1"/>
  <c r="D186" i="45"/>
  <c r="E186" i="45" s="1"/>
  <c r="D182" i="45"/>
  <c r="E182" i="45" s="1"/>
  <c r="D170" i="45"/>
  <c r="E170" i="45" s="1"/>
  <c r="D286" i="45"/>
  <c r="E286" i="45" s="1"/>
  <c r="D166" i="45"/>
  <c r="E166" i="45" s="1"/>
  <c r="D158" i="45"/>
  <c r="E158" i="45" s="1"/>
  <c r="D222" i="45"/>
  <c r="E222" i="45" s="1"/>
  <c r="D154" i="45"/>
  <c r="E154" i="45" s="1"/>
  <c r="D225" i="45"/>
  <c r="E225" i="45" s="1"/>
  <c r="D146" i="45"/>
  <c r="E146" i="45" s="1"/>
  <c r="D199" i="45"/>
  <c r="E199" i="45" s="1"/>
  <c r="D142" i="45"/>
  <c r="E142" i="45" s="1"/>
  <c r="D191" i="45"/>
  <c r="E191" i="45" s="1"/>
  <c r="D197" i="45"/>
  <c r="E197" i="45" s="1"/>
  <c r="D138" i="45"/>
  <c r="E138" i="45" s="1"/>
  <c r="D167" i="45"/>
  <c r="E167" i="45" s="1"/>
  <c r="D134" i="45"/>
  <c r="E134" i="45" s="1"/>
  <c r="D130" i="45"/>
  <c r="E130" i="45" s="1"/>
  <c r="D126" i="45"/>
  <c r="E126" i="45" s="1"/>
  <c r="D118" i="45"/>
  <c r="E118" i="45" s="1"/>
  <c r="D122" i="45"/>
  <c r="E122" i="45" s="1"/>
  <c r="D152" i="45"/>
  <c r="E152" i="45" s="1"/>
  <c r="D268" i="45"/>
  <c r="E268" i="45" s="1"/>
  <c r="D106" i="45"/>
  <c r="E106" i="45" s="1"/>
  <c r="D114" i="45"/>
  <c r="E114" i="45" s="1"/>
  <c r="D288" i="45"/>
  <c r="E288" i="45" s="1"/>
  <c r="D102" i="45"/>
  <c r="E102" i="45" s="1"/>
  <c r="D238" i="45"/>
  <c r="E238" i="45" s="1"/>
  <c r="D98" i="45"/>
  <c r="E98" i="45" s="1"/>
  <c r="D94" i="45"/>
  <c r="E94" i="45" s="1"/>
  <c r="D90" i="45"/>
  <c r="E90" i="45" s="1"/>
  <c r="D86" i="45"/>
  <c r="E86" i="45" s="1"/>
  <c r="D82" i="45"/>
  <c r="E82" i="45" s="1"/>
  <c r="D284" i="45"/>
  <c r="E284" i="45" s="1"/>
  <c r="D205" i="45"/>
  <c r="E205" i="45" s="1"/>
  <c r="D78" i="45"/>
  <c r="E78" i="45" s="1"/>
  <c r="D74" i="45"/>
  <c r="E74" i="45" s="1"/>
  <c r="D258" i="45"/>
  <c r="E258" i="45" s="1"/>
  <c r="D135" i="45"/>
  <c r="E135" i="45" s="1"/>
  <c r="D271" i="45"/>
  <c r="E271" i="45" s="1"/>
  <c r="D204" i="45"/>
  <c r="E204" i="45" s="1"/>
  <c r="D97" i="45"/>
  <c r="E97" i="45" s="1"/>
  <c r="D233" i="45"/>
  <c r="E233" i="45" s="1"/>
  <c r="D70" i="45"/>
  <c r="E70" i="45" s="1"/>
  <c r="D79" i="45"/>
  <c r="E79" i="45" s="1"/>
  <c r="D327" i="45"/>
  <c r="E327" i="45" s="1"/>
  <c r="D96" i="45"/>
  <c r="E96" i="45" s="1"/>
  <c r="D192" i="45"/>
  <c r="E192" i="45" s="1"/>
  <c r="D200" i="45"/>
  <c r="E200" i="45" s="1"/>
  <c r="D66" i="45"/>
  <c r="E66" i="45" s="1"/>
  <c r="D323" i="45"/>
  <c r="E323" i="45" s="1"/>
  <c r="D116" i="45"/>
  <c r="E116" i="45" s="1"/>
  <c r="D62" i="45"/>
  <c r="E62" i="45" s="1"/>
  <c r="D319" i="45"/>
  <c r="E319" i="45" s="1"/>
  <c r="D58" i="45"/>
  <c r="E58" i="45" s="1"/>
  <c r="D315" i="45"/>
  <c r="E315" i="45" s="1"/>
  <c r="D54" i="45"/>
  <c r="E54" i="45" s="1"/>
  <c r="D307" i="45"/>
  <c r="E307" i="45" s="1"/>
  <c r="D46" i="45"/>
  <c r="E46" i="45" s="1"/>
  <c r="D303" i="45"/>
  <c r="E303" i="45" s="1"/>
  <c r="D220" i="45"/>
  <c r="E220" i="45" s="1"/>
  <c r="D42" i="45"/>
  <c r="E42" i="45" s="1"/>
  <c r="D249" i="45"/>
  <c r="E249" i="45" s="1"/>
  <c r="D38" i="45"/>
  <c r="E38" i="45" s="1"/>
  <c r="D111" i="45"/>
  <c r="E111" i="45" s="1"/>
  <c r="D187" i="45"/>
  <c r="E187" i="45" s="1"/>
  <c r="D34" i="45"/>
  <c r="E34" i="45" s="1"/>
  <c r="D30" i="45"/>
  <c r="E30" i="45" s="1"/>
  <c r="D26" i="45"/>
  <c r="E26" i="45" s="1"/>
  <c r="D22" i="45"/>
  <c r="E22" i="45" s="1"/>
  <c r="D18" i="45"/>
  <c r="E18" i="45" s="1"/>
  <c r="D242" i="45"/>
  <c r="E242" i="45" s="1"/>
  <c r="D196" i="45"/>
  <c r="E196" i="45" s="1"/>
  <c r="D252" i="45"/>
  <c r="E252" i="45" s="1"/>
  <c r="D14" i="45"/>
  <c r="E14" i="45" s="1"/>
  <c r="D10" i="45"/>
  <c r="E10" i="45" s="1"/>
  <c r="D6" i="45"/>
  <c r="E6" i="45" s="1"/>
  <c r="D291" i="45"/>
  <c r="E291" i="45" s="1"/>
  <c r="D283" i="45"/>
  <c r="E283" i="45" s="1"/>
  <c r="D275" i="45"/>
  <c r="E275" i="45" s="1"/>
  <c r="D239" i="45"/>
  <c r="E239" i="45" s="1"/>
  <c r="D289" i="45"/>
  <c r="E289" i="45" s="1"/>
  <c r="D235" i="45"/>
  <c r="E235" i="45" s="1"/>
  <c r="D231" i="45"/>
  <c r="E231" i="45" s="1"/>
  <c r="D219" i="45"/>
  <c r="E219" i="45" s="1"/>
  <c r="D211" i="45"/>
  <c r="E211" i="45" s="1"/>
  <c r="D193" i="45"/>
  <c r="E193" i="45" s="1"/>
  <c r="D221" i="45"/>
  <c r="E221" i="45" s="1"/>
  <c r="D189" i="45"/>
  <c r="E189" i="45" s="1"/>
  <c r="D185" i="45"/>
  <c r="E185" i="45" s="1"/>
  <c r="D181" i="45"/>
  <c r="E181" i="45" s="1"/>
  <c r="D177" i="45"/>
  <c r="E177" i="45" s="1"/>
  <c r="D169" i="45"/>
  <c r="E169" i="45" s="1"/>
  <c r="D165" i="45"/>
  <c r="E165" i="45" s="1"/>
  <c r="D157" i="45"/>
  <c r="E157" i="45" s="1"/>
  <c r="D153" i="45"/>
  <c r="E153" i="45" s="1"/>
  <c r="D149" i="45"/>
  <c r="E149" i="45" s="1"/>
  <c r="D145" i="45"/>
  <c r="E145" i="45" s="1"/>
  <c r="D141" i="45"/>
  <c r="E141" i="45" s="1"/>
  <c r="D129" i="45"/>
  <c r="E129" i="45" s="1"/>
  <c r="D133" i="45"/>
  <c r="E133" i="45" s="1"/>
  <c r="D162" i="45"/>
  <c r="E162" i="45" s="1"/>
  <c r="D251" i="45"/>
  <c r="E251" i="45" s="1"/>
  <c r="D125" i="45"/>
  <c r="E125" i="45" s="1"/>
  <c r="D121" i="45"/>
  <c r="E121" i="45" s="1"/>
  <c r="D279" i="45"/>
  <c r="E279" i="45" s="1"/>
  <c r="D117" i="45"/>
  <c r="E117" i="45" s="1"/>
  <c r="D113" i="45"/>
  <c r="E113" i="45" s="1"/>
  <c r="D109" i="45"/>
  <c r="E109" i="45" s="1"/>
  <c r="D245" i="45"/>
  <c r="E245" i="45" s="1"/>
  <c r="D105" i="45"/>
  <c r="E105" i="45" s="1"/>
  <c r="D241" i="45"/>
  <c r="E241" i="45" s="1"/>
  <c r="D101" i="45"/>
  <c r="E101" i="45" s="1"/>
  <c r="D93" i="45"/>
  <c r="E93" i="45" s="1"/>
  <c r="D201" i="45"/>
  <c r="E201" i="45" s="1"/>
  <c r="D89" i="45"/>
  <c r="E89" i="45" s="1"/>
  <c r="D81" i="45"/>
  <c r="E81" i="45" s="1"/>
  <c r="D77" i="45"/>
  <c r="E77" i="45" s="1"/>
  <c r="D73" i="45"/>
  <c r="E73" i="45" s="1"/>
  <c r="D69" i="45"/>
  <c r="E69" i="45" s="1"/>
  <c r="D330" i="45"/>
  <c r="E330" i="45" s="1"/>
  <c r="D65" i="45"/>
  <c r="E65" i="45" s="1"/>
  <c r="D326" i="45"/>
  <c r="E326" i="45" s="1"/>
  <c r="D119" i="45"/>
  <c r="E119" i="45" s="1"/>
  <c r="D61" i="45"/>
  <c r="E61" i="45" s="1"/>
  <c r="D322" i="45"/>
  <c r="E322" i="45" s="1"/>
  <c r="D57" i="45"/>
  <c r="E57" i="45" s="1"/>
  <c r="D318" i="45"/>
  <c r="E318" i="45" s="1"/>
  <c r="D168" i="45"/>
  <c r="E168" i="45" s="1"/>
  <c r="D53" i="45"/>
  <c r="E53" i="45" s="1"/>
  <c r="D261" i="45"/>
  <c r="E261" i="45" s="1"/>
  <c r="D314" i="45"/>
  <c r="E314" i="45" s="1"/>
  <c r="D183" i="45"/>
  <c r="E183" i="45" s="1"/>
  <c r="D49" i="45"/>
  <c r="E49" i="45" s="1"/>
  <c r="D310" i="45"/>
  <c r="E310" i="45" s="1"/>
  <c r="D45" i="45"/>
  <c r="E45" i="45" s="1"/>
  <c r="D306" i="45"/>
  <c r="E306" i="45" s="1"/>
  <c r="D41" i="45"/>
  <c r="E41" i="45" s="1"/>
  <c r="D37" i="45"/>
  <c r="E37" i="45" s="1"/>
  <c r="D33" i="45"/>
  <c r="E33" i="45" s="1"/>
  <c r="D71" i="45"/>
  <c r="E71" i="45" s="1"/>
  <c r="D163" i="45"/>
  <c r="E163" i="45" s="1"/>
  <c r="D29" i="45"/>
  <c r="E29" i="45" s="1"/>
  <c r="D25" i="45"/>
  <c r="E25" i="45" s="1"/>
  <c r="D21" i="45"/>
  <c r="E21" i="45" s="1"/>
  <c r="D17" i="45"/>
  <c r="E17" i="45" s="1"/>
  <c r="D13" i="45"/>
  <c r="E13" i="45" s="1"/>
  <c r="D9" i="45"/>
  <c r="E9" i="45" s="1"/>
  <c r="D5" i="45"/>
  <c r="E5" i="45" s="1"/>
  <c r="D161" i="45"/>
  <c r="E161" i="45" s="1"/>
  <c r="D113" i="51"/>
  <c r="E298" i="45"/>
  <c r="E178" i="45"/>
  <c r="E329" i="45"/>
  <c r="E305" i="45"/>
  <c r="I3" i="43"/>
  <c r="E144" i="45"/>
  <c r="E100" i="45"/>
  <c r="E80" i="45"/>
  <c r="L329" i="45"/>
  <c r="L330" i="45"/>
  <c r="L326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8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7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D114" i="51" l="1"/>
  <c r="I4" i="43"/>
  <c r="R2" i="2"/>
  <c r="D115" i="51" l="1"/>
  <c r="I5" i="43"/>
  <c r="D116" i="51" l="1"/>
  <c r="I6" i="43"/>
  <c r="L82" i="27"/>
  <c r="L120" i="27" l="1"/>
  <c r="L137" i="27"/>
  <c r="L144" i="27"/>
  <c r="L122" i="27"/>
  <c r="L83" i="27"/>
  <c r="M184" i="27"/>
  <c r="L145" i="27"/>
  <c r="L131" i="27"/>
  <c r="L146" i="27"/>
  <c r="L103" i="27"/>
  <c r="L85" i="27"/>
  <c r="L88" i="27"/>
  <c r="L115" i="27"/>
  <c r="L139" i="27"/>
  <c r="L87" i="27"/>
  <c r="L89" i="27"/>
  <c r="L125" i="27"/>
  <c r="L143" i="27"/>
  <c r="L123" i="27"/>
  <c r="M120" i="27"/>
  <c r="M165" i="27"/>
  <c r="M168" i="27"/>
  <c r="M104" i="27"/>
  <c r="M40" i="27"/>
  <c r="M121" i="27"/>
  <c r="M57" i="27"/>
  <c r="M133" i="27"/>
  <c r="M21" i="27"/>
  <c r="M148" i="27"/>
  <c r="M84" i="27"/>
  <c r="M20" i="27"/>
  <c r="M192" i="27"/>
  <c r="M128" i="27"/>
  <c r="M64" i="27"/>
  <c r="M145" i="27"/>
  <c r="M81" i="27"/>
  <c r="M17" i="27"/>
  <c r="M140" i="27"/>
  <c r="M76" i="27"/>
  <c r="M12" i="27"/>
  <c r="M93" i="27"/>
  <c r="M29" i="27"/>
  <c r="M3" i="27"/>
  <c r="M175" i="27"/>
  <c r="M111" i="27"/>
  <c r="M47" i="27"/>
  <c r="M142" i="27"/>
  <c r="M78" i="27"/>
  <c r="M14" i="27"/>
  <c r="M161" i="27"/>
  <c r="M162" i="27"/>
  <c r="M139" i="27"/>
  <c r="M75" i="27"/>
  <c r="M11" i="27"/>
  <c r="M106" i="27"/>
  <c r="M42" i="27"/>
  <c r="M189" i="27"/>
  <c r="M200" i="27"/>
  <c r="M167" i="27"/>
  <c r="M103" i="27"/>
  <c r="M39" i="27"/>
  <c r="M134" i="27"/>
  <c r="M70" i="27"/>
  <c r="M6" i="27"/>
  <c r="M153" i="27"/>
  <c r="M195" i="27"/>
  <c r="M131" i="27"/>
  <c r="M67" i="27"/>
  <c r="M198" i="27"/>
  <c r="M98" i="27"/>
  <c r="M34" i="27"/>
  <c r="M181" i="27"/>
  <c r="M152" i="27"/>
  <c r="M24" i="27"/>
  <c r="M41" i="27"/>
  <c r="M117" i="27"/>
  <c r="M196" i="27"/>
  <c r="M132" i="27"/>
  <c r="M68" i="27"/>
  <c r="M101" i="27"/>
  <c r="M176" i="27"/>
  <c r="M112" i="27"/>
  <c r="M48" i="27"/>
  <c r="M129" i="27"/>
  <c r="M65" i="27"/>
  <c r="M188" i="27"/>
  <c r="M124" i="27"/>
  <c r="M60" i="27"/>
  <c r="M141" i="27"/>
  <c r="M77" i="27"/>
  <c r="M13" i="27"/>
  <c r="M203" i="27"/>
  <c r="M159" i="27"/>
  <c r="M95" i="27"/>
  <c r="M31" i="27"/>
  <c r="M126" i="27"/>
  <c r="M62" i="27"/>
  <c r="M170" i="27"/>
  <c r="M4" i="27"/>
  <c r="M187" i="27"/>
  <c r="M123" i="27"/>
  <c r="M59" i="27"/>
  <c r="M166" i="27"/>
  <c r="M90" i="27"/>
  <c r="M26" i="27"/>
  <c r="M173" i="27"/>
  <c r="M190" i="27"/>
  <c r="M151" i="27"/>
  <c r="M87" i="27"/>
  <c r="M23" i="27"/>
  <c r="M118" i="27"/>
  <c r="M54" i="27"/>
  <c r="M150" i="27"/>
  <c r="M149" i="27"/>
  <c r="M179" i="27"/>
  <c r="M115" i="27"/>
  <c r="M51" i="27"/>
  <c r="M146" i="27"/>
  <c r="M82" i="27"/>
  <c r="M18" i="27"/>
  <c r="M88" i="27"/>
  <c r="M105" i="27"/>
  <c r="M136" i="27"/>
  <c r="M72" i="27"/>
  <c r="M8" i="27"/>
  <c r="M89" i="27"/>
  <c r="M25" i="27"/>
  <c r="M85" i="27"/>
  <c r="M180" i="27"/>
  <c r="M116" i="27"/>
  <c r="M52" i="27"/>
  <c r="M69" i="27"/>
  <c r="M160" i="27"/>
  <c r="M96" i="27"/>
  <c r="M32" i="27"/>
  <c r="M113" i="27"/>
  <c r="M49" i="27"/>
  <c r="M172" i="27"/>
  <c r="M108" i="27"/>
  <c r="M44" i="27"/>
  <c r="M125" i="27"/>
  <c r="M61" i="27"/>
  <c r="M174" i="27"/>
  <c r="M143" i="27"/>
  <c r="M79" i="27"/>
  <c r="M15" i="27"/>
  <c r="M110" i="27"/>
  <c r="M46" i="27"/>
  <c r="M193" i="27"/>
  <c r="M202" i="27"/>
  <c r="M171" i="27"/>
  <c r="M107" i="27"/>
  <c r="M43" i="27"/>
  <c r="M138" i="27"/>
  <c r="M74" i="27"/>
  <c r="M10" i="27"/>
  <c r="M5" i="27"/>
  <c r="M199" i="27"/>
  <c r="M135" i="27"/>
  <c r="M71" i="27"/>
  <c r="M7" i="27"/>
  <c r="M102" i="27"/>
  <c r="M38" i="27"/>
  <c r="M185" i="27"/>
  <c r="M204" i="27"/>
  <c r="M163" i="27"/>
  <c r="M99" i="27"/>
  <c r="M35" i="27"/>
  <c r="M130" i="27"/>
  <c r="M66" i="27"/>
  <c r="M186" i="27"/>
  <c r="M157" i="27"/>
  <c r="M56" i="27"/>
  <c r="M137" i="27"/>
  <c r="M73" i="27"/>
  <c r="M9" i="27"/>
  <c r="M53" i="27"/>
  <c r="M164" i="27"/>
  <c r="M100" i="27"/>
  <c r="M36" i="27"/>
  <c r="M37" i="27"/>
  <c r="M144" i="27"/>
  <c r="M80" i="27"/>
  <c r="M16" i="27"/>
  <c r="M97" i="27"/>
  <c r="M33" i="27"/>
  <c r="M156" i="27"/>
  <c r="M92" i="27"/>
  <c r="M28" i="27"/>
  <c r="M109" i="27"/>
  <c r="M45" i="27"/>
  <c r="M191" i="27"/>
  <c r="M127" i="27"/>
  <c r="M63" i="27"/>
  <c r="M182" i="27"/>
  <c r="M94" i="27"/>
  <c r="M30" i="27"/>
  <c r="M177" i="27"/>
  <c r="M194" i="27"/>
  <c r="M155" i="27"/>
  <c r="M91" i="27"/>
  <c r="M27" i="27"/>
  <c r="M122" i="27"/>
  <c r="M58" i="27"/>
  <c r="M158" i="27"/>
  <c r="M201" i="27"/>
  <c r="M183" i="27"/>
  <c r="M119" i="27"/>
  <c r="M55" i="27"/>
  <c r="M154" i="27"/>
  <c r="M86" i="27"/>
  <c r="M22" i="27"/>
  <c r="M169" i="27"/>
  <c r="M178" i="27"/>
  <c r="M147" i="27"/>
  <c r="M83" i="27"/>
  <c r="M19" i="27"/>
  <c r="M114" i="27"/>
  <c r="M50" i="27"/>
  <c r="M197" i="27"/>
  <c r="M2" i="27"/>
  <c r="D117" i="51"/>
  <c r="I7" i="43"/>
  <c r="D118" i="51" l="1"/>
  <c r="I8" i="43"/>
  <c r="D119" i="51" l="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G164" i="43" s="1"/>
  <c r="G165" i="43" s="1"/>
  <c r="G166" i="43" s="1"/>
  <c r="G167" i="43" s="1"/>
  <c r="G168" i="43" s="1"/>
  <c r="G169" i="43" s="1"/>
  <c r="G170" i="43" s="1"/>
  <c r="G171" i="43" s="1"/>
  <c r="G172" i="43" s="1"/>
  <c r="G173" i="43" s="1"/>
  <c r="G174" i="43" s="1"/>
  <c r="G175" i="43" s="1"/>
  <c r="G176" i="43" s="1"/>
  <c r="G177" i="43" s="1"/>
  <c r="G178" i="43" s="1"/>
  <c r="G179" i="43" s="1"/>
  <c r="G180" i="43" s="1"/>
  <c r="G181" i="43" s="1"/>
  <c r="G182" i="43" s="1"/>
  <c r="G183" i="43" s="1"/>
  <c r="G184" i="43" s="1"/>
  <c r="G185" i="43" s="1"/>
  <c r="G186" i="43" s="1"/>
  <c r="G187" i="43" s="1"/>
  <c r="G188" i="43" s="1"/>
  <c r="G189" i="43" s="1"/>
  <c r="G190" i="43" s="1"/>
  <c r="G191" i="43" s="1"/>
  <c r="G192" i="43" s="1"/>
  <c r="G193" i="43" s="1"/>
  <c r="G194" i="43" s="1"/>
  <c r="G195" i="43" s="1"/>
  <c r="G196" i="43" s="1"/>
  <c r="G197" i="43" s="1"/>
  <c r="G198" i="43" s="1"/>
  <c r="G199" i="43" s="1"/>
  <c r="G200" i="43" s="1"/>
  <c r="G201" i="43" s="1"/>
  <c r="G202" i="43" s="1"/>
  <c r="G203" i="43" s="1"/>
  <c r="G204" i="43" s="1"/>
  <c r="G205" i="43" s="1"/>
  <c r="G206" i="43" s="1"/>
  <c r="G207" i="43" s="1"/>
  <c r="G208" i="43" s="1"/>
  <c r="G209" i="43" s="1"/>
  <c r="G210" i="43" s="1"/>
  <c r="G211" i="43" s="1"/>
  <c r="G212" i="43" s="1"/>
  <c r="G213" i="43" s="1"/>
  <c r="G214" i="43" s="1"/>
  <c r="G215" i="43" s="1"/>
  <c r="G216" i="43" s="1"/>
  <c r="G217" i="43" s="1"/>
  <c r="G218" i="43" s="1"/>
  <c r="G219" i="43" s="1"/>
  <c r="G220" i="43" s="1"/>
  <c r="G221" i="43" s="1"/>
  <c r="G222" i="43" s="1"/>
  <c r="G223" i="43" s="1"/>
  <c r="G224" i="43" s="1"/>
  <c r="G225" i="43" s="1"/>
  <c r="G226" i="43" s="1"/>
  <c r="G227" i="43" s="1"/>
  <c r="G228" i="43" s="1"/>
  <c r="G229" i="43" s="1"/>
  <c r="G230" i="43" s="1"/>
  <c r="G231" i="43" s="1"/>
  <c r="G232" i="43" s="1"/>
  <c r="G233" i="43" s="1"/>
  <c r="G234" i="43" s="1"/>
  <c r="G235" i="43" s="1"/>
  <c r="G236" i="43" s="1"/>
  <c r="G237" i="43" s="1"/>
  <c r="G238" i="43" s="1"/>
  <c r="G239" i="43" s="1"/>
  <c r="G240" i="43" s="1"/>
  <c r="G241" i="43" s="1"/>
  <c r="G242" i="43" s="1"/>
  <c r="G243" i="43" s="1"/>
  <c r="G244" i="43" s="1"/>
  <c r="G245" i="43" s="1"/>
  <c r="G246" i="43" s="1"/>
  <c r="G247" i="43" s="1"/>
  <c r="G248" i="43" s="1"/>
  <c r="G249" i="43" s="1"/>
  <c r="G250" i="43" s="1"/>
  <c r="G251" i="43" s="1"/>
  <c r="G252" i="43" s="1"/>
  <c r="G253" i="43" s="1"/>
  <c r="G254" i="43" s="1"/>
  <c r="G255" i="43" s="1"/>
  <c r="G256" i="43" s="1"/>
  <c r="G257" i="43" s="1"/>
  <c r="G258" i="43" s="1"/>
  <c r="G259" i="43" s="1"/>
  <c r="G260" i="43" s="1"/>
  <c r="G261" i="43" s="1"/>
  <c r="G262" i="43" s="1"/>
  <c r="G263" i="43" s="1"/>
  <c r="G264" i="43" s="1"/>
  <c r="G265" i="43" s="1"/>
  <c r="G266" i="43" s="1"/>
  <c r="G267" i="43" s="1"/>
  <c r="G268" i="43" s="1"/>
  <c r="G269" i="43" s="1"/>
  <c r="G270" i="43" s="1"/>
  <c r="G271" i="43" s="1"/>
  <c r="G272" i="43" s="1"/>
  <c r="G273" i="43" s="1"/>
  <c r="G274" i="43" s="1"/>
  <c r="G275" i="43" s="1"/>
  <c r="G276" i="43" s="1"/>
  <c r="G277" i="43" s="1"/>
  <c r="G278" i="43" s="1"/>
  <c r="G279" i="43" s="1"/>
  <c r="G280" i="43" s="1"/>
  <c r="G281" i="43" s="1"/>
  <c r="G282" i="43" s="1"/>
  <c r="G283" i="43" s="1"/>
  <c r="G284" i="43" s="1"/>
  <c r="F2" i="43"/>
  <c r="F3" i="43" s="1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69" i="43"/>
  <c r="D223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146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W87" i="2"/>
  <c r="W85" i="2"/>
  <c r="W76" i="2"/>
  <c r="W65" i="2"/>
  <c r="W13" i="2"/>
  <c r="S13" i="2"/>
  <c r="S3" i="2"/>
  <c r="S4" i="2"/>
  <c r="S5" i="2"/>
  <c r="S6" i="2"/>
  <c r="S7" i="2"/>
  <c r="S8" i="2"/>
  <c r="S9" i="2"/>
  <c r="S10" i="2"/>
  <c r="S11" i="2"/>
  <c r="S12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F4" i="43" l="1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I111" i="2" s="1"/>
  <c r="J111" i="2" s="1"/>
  <c r="K111" i="2" s="1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F5" i="43" l="1"/>
  <c r="D121" i="51"/>
  <c r="I4" i="2"/>
  <c r="J4" i="2" s="1"/>
  <c r="I11" i="43"/>
  <c r="I23" i="2"/>
  <c r="J23" i="2" s="1"/>
  <c r="K23" i="2" s="1"/>
  <c r="I17" i="2"/>
  <c r="J17" i="2" s="1"/>
  <c r="K17" i="2" s="1"/>
  <c r="I103" i="2"/>
  <c r="J103" i="2" s="1"/>
  <c r="K103" i="2" s="1"/>
  <c r="I26" i="2"/>
  <c r="J26" i="2" s="1"/>
  <c r="K26" i="2" s="1"/>
  <c r="I75" i="2"/>
  <c r="J75" i="2" s="1"/>
  <c r="K75" i="2" s="1"/>
  <c r="I99" i="2"/>
  <c r="J99" i="2" s="1"/>
  <c r="K99" i="2" s="1"/>
  <c r="I95" i="2"/>
  <c r="J95" i="2" s="1"/>
  <c r="K95" i="2" s="1"/>
  <c r="I91" i="2"/>
  <c r="J91" i="2" s="1"/>
  <c r="K91" i="2" s="1"/>
  <c r="I87" i="2"/>
  <c r="J87" i="2" s="1"/>
  <c r="K87" i="2" s="1"/>
  <c r="I83" i="2"/>
  <c r="J83" i="2" s="1"/>
  <c r="K83" i="2" s="1"/>
  <c r="I79" i="2"/>
  <c r="J79" i="2" s="1"/>
  <c r="K79" i="2" s="1"/>
  <c r="I71" i="2"/>
  <c r="J71" i="2" s="1"/>
  <c r="K71" i="2" s="1"/>
  <c r="I63" i="2"/>
  <c r="J63" i="2" s="1"/>
  <c r="K63" i="2" s="1"/>
  <c r="I55" i="2"/>
  <c r="J55" i="2" s="1"/>
  <c r="K55" i="2" s="1"/>
  <c r="I47" i="2"/>
  <c r="J47" i="2" s="1"/>
  <c r="K47" i="2" s="1"/>
  <c r="I39" i="2"/>
  <c r="J39" i="2" s="1"/>
  <c r="K39" i="2" s="1"/>
  <c r="I35" i="2"/>
  <c r="J35" i="2" s="1"/>
  <c r="K35" i="2" s="1"/>
  <c r="I27" i="2"/>
  <c r="J27" i="2" s="1"/>
  <c r="K27" i="2" s="1"/>
  <c r="I19" i="2"/>
  <c r="J19" i="2" s="1"/>
  <c r="K19" i="2" s="1"/>
  <c r="I106" i="2"/>
  <c r="J106" i="2" s="1"/>
  <c r="K106" i="2" s="1"/>
  <c r="I98" i="2"/>
  <c r="J98" i="2" s="1"/>
  <c r="K98" i="2" s="1"/>
  <c r="I90" i="2"/>
  <c r="J90" i="2" s="1"/>
  <c r="K90" i="2" s="1"/>
  <c r="I82" i="2"/>
  <c r="J82" i="2" s="1"/>
  <c r="K82" i="2" s="1"/>
  <c r="I74" i="2"/>
  <c r="J74" i="2" s="1"/>
  <c r="K74" i="2" s="1"/>
  <c r="I70" i="2"/>
  <c r="J70" i="2" s="1"/>
  <c r="K70" i="2" s="1"/>
  <c r="I62" i="2"/>
  <c r="J62" i="2" s="1"/>
  <c r="K62" i="2" s="1"/>
  <c r="I50" i="2"/>
  <c r="J50" i="2" s="1"/>
  <c r="K50" i="2" s="1"/>
  <c r="I42" i="2"/>
  <c r="J42" i="2" s="1"/>
  <c r="K42" i="2" s="1"/>
  <c r="I38" i="2"/>
  <c r="J38" i="2" s="1"/>
  <c r="K38" i="2" s="1"/>
  <c r="I34" i="2"/>
  <c r="J34" i="2" s="1"/>
  <c r="K34" i="2" s="1"/>
  <c r="I30" i="2"/>
  <c r="J30" i="2" s="1"/>
  <c r="K30" i="2" s="1"/>
  <c r="I22" i="2"/>
  <c r="J22" i="2" s="1"/>
  <c r="K22" i="2" s="1"/>
  <c r="I14" i="2"/>
  <c r="J14" i="2" s="1"/>
  <c r="I10" i="2"/>
  <c r="J10" i="2" s="1"/>
  <c r="I6" i="2"/>
  <c r="J6" i="2" s="1"/>
  <c r="I112" i="2"/>
  <c r="J112" i="2" s="1"/>
  <c r="K112" i="2" s="1"/>
  <c r="I108" i="2"/>
  <c r="J108" i="2" s="1"/>
  <c r="K108" i="2" s="1"/>
  <c r="I104" i="2"/>
  <c r="J104" i="2" s="1"/>
  <c r="K104" i="2" s="1"/>
  <c r="I100" i="2"/>
  <c r="J100" i="2" s="1"/>
  <c r="K100" i="2" s="1"/>
  <c r="I96" i="2"/>
  <c r="J96" i="2" s="1"/>
  <c r="K96" i="2" s="1"/>
  <c r="I92" i="2"/>
  <c r="J92" i="2" s="1"/>
  <c r="K92" i="2" s="1"/>
  <c r="I88" i="2"/>
  <c r="J88" i="2" s="1"/>
  <c r="K88" i="2" s="1"/>
  <c r="I84" i="2"/>
  <c r="J84" i="2" s="1"/>
  <c r="K84" i="2" s="1"/>
  <c r="I80" i="2"/>
  <c r="J80" i="2" s="1"/>
  <c r="K80" i="2" s="1"/>
  <c r="I76" i="2"/>
  <c r="J76" i="2" s="1"/>
  <c r="K76" i="2" s="1"/>
  <c r="I72" i="2"/>
  <c r="J72" i="2" s="1"/>
  <c r="K72" i="2" s="1"/>
  <c r="I68" i="2"/>
  <c r="J68" i="2" s="1"/>
  <c r="K68" i="2" s="1"/>
  <c r="I64" i="2"/>
  <c r="J64" i="2" s="1"/>
  <c r="K64" i="2" s="1"/>
  <c r="I60" i="2"/>
  <c r="J60" i="2" s="1"/>
  <c r="K60" i="2" s="1"/>
  <c r="I56" i="2"/>
  <c r="J56" i="2" s="1"/>
  <c r="K56" i="2" s="1"/>
  <c r="I52" i="2"/>
  <c r="J52" i="2" s="1"/>
  <c r="K52" i="2" s="1"/>
  <c r="I48" i="2"/>
  <c r="J48" i="2" s="1"/>
  <c r="K48" i="2" s="1"/>
  <c r="I44" i="2"/>
  <c r="J44" i="2" s="1"/>
  <c r="K44" i="2" s="1"/>
  <c r="I40" i="2"/>
  <c r="J40" i="2" s="1"/>
  <c r="K40" i="2" s="1"/>
  <c r="I36" i="2"/>
  <c r="J36" i="2" s="1"/>
  <c r="K36" i="2" s="1"/>
  <c r="I32" i="2"/>
  <c r="J32" i="2" s="1"/>
  <c r="K32" i="2" s="1"/>
  <c r="I28" i="2"/>
  <c r="J28" i="2" s="1"/>
  <c r="K28" i="2" s="1"/>
  <c r="I24" i="2"/>
  <c r="J24" i="2" s="1"/>
  <c r="K24" i="2" s="1"/>
  <c r="I20" i="2"/>
  <c r="J20" i="2" s="1"/>
  <c r="K20" i="2" s="1"/>
  <c r="I18" i="2"/>
  <c r="J18" i="2" s="1"/>
  <c r="K18" i="2" s="1"/>
  <c r="I2" i="2"/>
  <c r="J2" i="2" s="1"/>
  <c r="K2" i="2" s="1"/>
  <c r="I13" i="2"/>
  <c r="J13" i="2" s="1"/>
  <c r="I9" i="2"/>
  <c r="J9" i="2" s="1"/>
  <c r="I5" i="2"/>
  <c r="J5" i="2" s="1"/>
  <c r="I107" i="2"/>
  <c r="J107" i="2" s="1"/>
  <c r="K107" i="2" s="1"/>
  <c r="I67" i="2"/>
  <c r="J67" i="2" s="1"/>
  <c r="K67" i="2" s="1"/>
  <c r="I59" i="2"/>
  <c r="J59" i="2" s="1"/>
  <c r="K59" i="2" s="1"/>
  <c r="I51" i="2"/>
  <c r="J51" i="2" s="1"/>
  <c r="K51" i="2" s="1"/>
  <c r="I43" i="2"/>
  <c r="J43" i="2" s="1"/>
  <c r="K43" i="2" s="1"/>
  <c r="I31" i="2"/>
  <c r="J31" i="2" s="1"/>
  <c r="K31" i="2" s="1"/>
  <c r="I16" i="2"/>
  <c r="J16" i="2" s="1"/>
  <c r="I12" i="2"/>
  <c r="J12" i="2" s="1"/>
  <c r="I8" i="2"/>
  <c r="J8" i="2" s="1"/>
  <c r="I110" i="2"/>
  <c r="J110" i="2" s="1"/>
  <c r="K110" i="2" s="1"/>
  <c r="I102" i="2"/>
  <c r="J102" i="2" s="1"/>
  <c r="K102" i="2" s="1"/>
  <c r="I94" i="2"/>
  <c r="J94" i="2" s="1"/>
  <c r="K94" i="2" s="1"/>
  <c r="I86" i="2"/>
  <c r="J86" i="2" s="1"/>
  <c r="K86" i="2" s="1"/>
  <c r="I78" i="2"/>
  <c r="J78" i="2" s="1"/>
  <c r="K78" i="2" s="1"/>
  <c r="I66" i="2"/>
  <c r="J66" i="2" s="1"/>
  <c r="K66" i="2" s="1"/>
  <c r="I58" i="2"/>
  <c r="J58" i="2" s="1"/>
  <c r="K58" i="2" s="1"/>
  <c r="I54" i="2"/>
  <c r="J54" i="2" s="1"/>
  <c r="K54" i="2" s="1"/>
  <c r="I46" i="2"/>
  <c r="J46" i="2" s="1"/>
  <c r="K46" i="2" s="1"/>
  <c r="I15" i="2"/>
  <c r="J15" i="2" s="1"/>
  <c r="I11" i="2"/>
  <c r="J11" i="2" s="1"/>
  <c r="I7" i="2"/>
  <c r="J7" i="2" s="1"/>
  <c r="I3" i="2"/>
  <c r="J3" i="2" s="1"/>
  <c r="I109" i="2"/>
  <c r="J109" i="2" s="1"/>
  <c r="K109" i="2" s="1"/>
  <c r="I105" i="2"/>
  <c r="J105" i="2" s="1"/>
  <c r="K105" i="2" s="1"/>
  <c r="I101" i="2"/>
  <c r="J101" i="2" s="1"/>
  <c r="K101" i="2" s="1"/>
  <c r="I97" i="2"/>
  <c r="J97" i="2" s="1"/>
  <c r="K97" i="2" s="1"/>
  <c r="I93" i="2"/>
  <c r="J93" i="2" s="1"/>
  <c r="K93" i="2" s="1"/>
  <c r="I89" i="2"/>
  <c r="J89" i="2" s="1"/>
  <c r="K89" i="2" s="1"/>
  <c r="I85" i="2"/>
  <c r="J85" i="2" s="1"/>
  <c r="K85" i="2" s="1"/>
  <c r="I81" i="2"/>
  <c r="J81" i="2" s="1"/>
  <c r="K81" i="2" s="1"/>
  <c r="I77" i="2"/>
  <c r="J77" i="2" s="1"/>
  <c r="K77" i="2" s="1"/>
  <c r="I73" i="2"/>
  <c r="J73" i="2" s="1"/>
  <c r="K73" i="2" s="1"/>
  <c r="I69" i="2"/>
  <c r="J69" i="2" s="1"/>
  <c r="K69" i="2" s="1"/>
  <c r="I65" i="2"/>
  <c r="J65" i="2" s="1"/>
  <c r="K65" i="2" s="1"/>
  <c r="I61" i="2"/>
  <c r="J61" i="2" s="1"/>
  <c r="K61" i="2" s="1"/>
  <c r="I57" i="2"/>
  <c r="J57" i="2" s="1"/>
  <c r="K57" i="2" s="1"/>
  <c r="I53" i="2"/>
  <c r="J53" i="2" s="1"/>
  <c r="K53" i="2" s="1"/>
  <c r="I49" i="2"/>
  <c r="J49" i="2" s="1"/>
  <c r="K49" i="2" s="1"/>
  <c r="I45" i="2"/>
  <c r="J45" i="2" s="1"/>
  <c r="K45" i="2" s="1"/>
  <c r="I41" i="2"/>
  <c r="J41" i="2" s="1"/>
  <c r="K41" i="2" s="1"/>
  <c r="I37" i="2"/>
  <c r="J37" i="2" s="1"/>
  <c r="K37" i="2" s="1"/>
  <c r="I33" i="2"/>
  <c r="J33" i="2" s="1"/>
  <c r="K33" i="2" s="1"/>
  <c r="I29" i="2"/>
  <c r="J29" i="2" s="1"/>
  <c r="K29" i="2" s="1"/>
  <c r="I25" i="2"/>
  <c r="J25" i="2" s="1"/>
  <c r="K25" i="2" s="1"/>
  <c r="I21" i="2"/>
  <c r="J21" i="2" s="1"/>
  <c r="K21" i="2" s="1"/>
  <c r="A3" i="42"/>
  <c r="A4" i="42"/>
  <c r="A2" i="42"/>
  <c r="F6" i="43" l="1"/>
  <c r="D122" i="51"/>
  <c r="I12" i="43"/>
  <c r="F7" i="43" l="1"/>
  <c r="D123" i="51"/>
  <c r="I13" i="43"/>
  <c r="G3" i="48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E30" i="48"/>
  <c r="E29" i="48"/>
  <c r="E28" i="48"/>
  <c r="E27" i="48"/>
  <c r="E26" i="48"/>
  <c r="E25" i="48"/>
  <c r="E24" i="48"/>
  <c r="E23" i="48"/>
  <c r="E22" i="48"/>
  <c r="E21" i="48"/>
  <c r="E20" i="48"/>
  <c r="E19" i="48"/>
  <c r="E18" i="48"/>
  <c r="E17" i="48"/>
  <c r="E16" i="48"/>
  <c r="E15" i="48"/>
  <c r="E14" i="48"/>
  <c r="E13" i="48"/>
  <c r="E12" i="48"/>
  <c r="E11" i="48"/>
  <c r="E10" i="48"/>
  <c r="E9" i="48"/>
  <c r="E8" i="48"/>
  <c r="E7" i="48"/>
  <c r="E6" i="48"/>
  <c r="E5" i="48"/>
  <c r="E4" i="48"/>
  <c r="E3" i="48"/>
  <c r="E2" i="48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F8" i="43" l="1"/>
  <c r="D124" i="51"/>
  <c r="I14" i="43"/>
  <c r="L11" i="46"/>
  <c r="L10" i="46"/>
  <c r="L9" i="46"/>
  <c r="L8" i="46"/>
  <c r="L7" i="46"/>
  <c r="L6" i="46"/>
  <c r="L5" i="46"/>
  <c r="L4" i="46"/>
  <c r="L3" i="46"/>
  <c r="L2" i="46"/>
  <c r="E4" i="42"/>
  <c r="E2" i="42"/>
  <c r="E1" i="42"/>
  <c r="E3" i="42"/>
  <c r="E5" i="42"/>
  <c r="F9" i="43" l="1"/>
  <c r="D125" i="51"/>
  <c r="I15" i="43"/>
  <c r="C24" i="48"/>
  <c r="C16" i="48"/>
  <c r="C10" i="48"/>
  <c r="C8" i="48"/>
  <c r="C2" i="48"/>
  <c r="C31" i="48"/>
  <c r="C29" i="48"/>
  <c r="C27" i="48"/>
  <c r="C25" i="48"/>
  <c r="C23" i="48"/>
  <c r="C21" i="48"/>
  <c r="C19" i="48"/>
  <c r="C17" i="48"/>
  <c r="C15" i="48"/>
  <c r="C13" i="48"/>
  <c r="C11" i="48"/>
  <c r="C9" i="48"/>
  <c r="C7" i="48"/>
  <c r="C5" i="48"/>
  <c r="C3" i="48"/>
  <c r="F10" i="43" l="1"/>
  <c r="D126" i="51"/>
  <c r="I16" i="43"/>
  <c r="D17" i="48"/>
  <c r="D2" i="48"/>
  <c r="D9" i="48"/>
  <c r="D3" i="48"/>
  <c r="D5" i="48"/>
  <c r="D21" i="48"/>
  <c r="D23" i="48"/>
  <c r="D16" i="48"/>
  <c r="C18" i="48"/>
  <c r="C26" i="48"/>
  <c r="C4" i="48"/>
  <c r="C12" i="48"/>
  <c r="C20" i="48"/>
  <c r="C28" i="48"/>
  <c r="C6" i="48"/>
  <c r="C14" i="48"/>
  <c r="C22" i="48"/>
  <c r="C30" i="48"/>
  <c r="D25" i="48"/>
  <c r="D7" i="48"/>
  <c r="D31" i="48"/>
  <c r="D11" i="48"/>
  <c r="D19" i="48"/>
  <c r="D27" i="48"/>
  <c r="D15" i="48"/>
  <c r="D10" i="48"/>
  <c r="D13" i="48"/>
  <c r="D29" i="48"/>
  <c r="D8" i="48"/>
  <c r="D24" i="48"/>
  <c r="F11" i="43" l="1"/>
  <c r="D127" i="51"/>
  <c r="I17" i="43"/>
  <c r="G202" i="45"/>
  <c r="H202" i="45" s="1"/>
  <c r="G25" i="45"/>
  <c r="H25" i="45" s="1"/>
  <c r="G9" i="45"/>
  <c r="H9" i="45" s="1"/>
  <c r="G236" i="45"/>
  <c r="H236" i="45" s="1"/>
  <c r="G81" i="45"/>
  <c r="H81" i="45" s="1"/>
  <c r="G4" i="45"/>
  <c r="H4" i="45" s="1"/>
  <c r="G78" i="45"/>
  <c r="H78" i="45" s="1"/>
  <c r="G132" i="45"/>
  <c r="H132" i="45" s="1"/>
  <c r="G197" i="45"/>
  <c r="H197" i="45" s="1"/>
  <c r="G253" i="45"/>
  <c r="H253" i="45" s="1"/>
  <c r="G268" i="45"/>
  <c r="H268" i="45" s="1"/>
  <c r="G49" i="45"/>
  <c r="H49" i="45" s="1"/>
  <c r="G22" i="45"/>
  <c r="H22" i="45" s="1"/>
  <c r="G103" i="45"/>
  <c r="H103" i="45" s="1"/>
  <c r="G183" i="45"/>
  <c r="H183" i="45" s="1"/>
  <c r="G185" i="45"/>
  <c r="H185" i="45" s="1"/>
  <c r="G214" i="45"/>
  <c r="H214" i="45" s="1"/>
  <c r="G115" i="45"/>
  <c r="H115" i="45" s="1"/>
  <c r="G77" i="45"/>
  <c r="H77" i="45" s="1"/>
  <c r="G326" i="45"/>
  <c r="H326" i="45" s="1"/>
  <c r="G97" i="45"/>
  <c r="H97" i="45" s="1"/>
  <c r="G206" i="45"/>
  <c r="H206" i="45" s="1"/>
  <c r="G21" i="45"/>
  <c r="H21" i="45" s="1"/>
  <c r="G196" i="45"/>
  <c r="H196" i="45" s="1"/>
  <c r="G229" i="45"/>
  <c r="H229" i="45" s="1"/>
  <c r="G3" i="45"/>
  <c r="H3" i="45" s="1"/>
  <c r="G116" i="45"/>
  <c r="H116" i="45" s="1"/>
  <c r="G74" i="45"/>
  <c r="H74" i="45" s="1"/>
  <c r="G51" i="45"/>
  <c r="H51" i="45" s="1"/>
  <c r="G10" i="45"/>
  <c r="H10" i="45" s="1"/>
  <c r="G209" i="45"/>
  <c r="H209" i="45" s="1"/>
  <c r="G48" i="45"/>
  <c r="H48" i="45" s="1"/>
  <c r="G245" i="45"/>
  <c r="H245" i="45" s="1"/>
  <c r="G59" i="45"/>
  <c r="H59" i="45" s="1"/>
  <c r="G208" i="45"/>
  <c r="H208" i="45" s="1"/>
  <c r="G287" i="45"/>
  <c r="H287" i="45" s="1"/>
  <c r="G257" i="45"/>
  <c r="H257" i="45" s="1"/>
  <c r="G121" i="45"/>
  <c r="H121" i="45" s="1"/>
  <c r="G175" i="45"/>
  <c r="H175" i="45" s="1"/>
  <c r="G109" i="45"/>
  <c r="H109" i="45" s="1"/>
  <c r="G194" i="45"/>
  <c r="H194" i="45" s="1"/>
  <c r="G151" i="45"/>
  <c r="H151" i="45" s="1"/>
  <c r="G122" i="45"/>
  <c r="H122" i="45" s="1"/>
  <c r="G308" i="45"/>
  <c r="H308" i="45" s="1"/>
  <c r="G155" i="45"/>
  <c r="H155" i="45" s="1"/>
  <c r="G234" i="45"/>
  <c r="H234" i="45" s="1"/>
  <c r="G123" i="45"/>
  <c r="H123" i="45" s="1"/>
  <c r="G330" i="45"/>
  <c r="H330" i="45" s="1"/>
  <c r="G254" i="45"/>
  <c r="H254" i="45" s="1"/>
  <c r="G167" i="45"/>
  <c r="H167" i="45" s="1"/>
  <c r="G203" i="45"/>
  <c r="H203" i="45" s="1"/>
  <c r="G130" i="45"/>
  <c r="H130" i="45" s="1"/>
  <c r="G179" i="45"/>
  <c r="H179" i="45" s="1"/>
  <c r="G57" i="45"/>
  <c r="H57" i="45" s="1"/>
  <c r="G235" i="45"/>
  <c r="H235" i="45" s="1"/>
  <c r="G33" i="45"/>
  <c r="H33" i="45" s="1"/>
  <c r="G305" i="45"/>
  <c r="H305" i="45" s="1"/>
  <c r="G112" i="45"/>
  <c r="H112" i="45" s="1"/>
  <c r="G23" i="45"/>
  <c r="H23" i="45" s="1"/>
  <c r="G79" i="45"/>
  <c r="H79" i="45" s="1"/>
  <c r="G232" i="45"/>
  <c r="H232" i="45" s="1"/>
  <c r="G133" i="45"/>
  <c r="H133" i="45" s="1"/>
  <c r="G15" i="45"/>
  <c r="H15" i="45" s="1"/>
  <c r="G328" i="45"/>
  <c r="H328" i="45" s="1"/>
  <c r="G312" i="45"/>
  <c r="H312" i="45" s="1"/>
  <c r="G172" i="45"/>
  <c r="H172" i="45" s="1"/>
  <c r="G47" i="45"/>
  <c r="H47" i="45" s="1"/>
  <c r="G125" i="45"/>
  <c r="H125" i="45" s="1"/>
  <c r="G292" i="45"/>
  <c r="H292" i="45" s="1"/>
  <c r="G72" i="45"/>
  <c r="H72" i="45" s="1"/>
  <c r="G135" i="45"/>
  <c r="H135" i="45" s="1"/>
  <c r="G90" i="45"/>
  <c r="H90" i="45" s="1"/>
  <c r="G31" i="45"/>
  <c r="H31" i="45" s="1"/>
  <c r="G56" i="45"/>
  <c r="H56" i="45" s="1"/>
  <c r="G30" i="45"/>
  <c r="H30" i="45" s="1"/>
  <c r="G86" i="45"/>
  <c r="H86" i="45" s="1"/>
  <c r="G113" i="45"/>
  <c r="H113" i="45" s="1"/>
  <c r="G32" i="45"/>
  <c r="H32" i="45" s="1"/>
  <c r="G304" i="45"/>
  <c r="H304" i="45" s="1"/>
  <c r="G156" i="45"/>
  <c r="H156" i="45" s="1"/>
  <c r="G173" i="45"/>
  <c r="H173" i="45" s="1"/>
  <c r="G262" i="45"/>
  <c r="H262" i="45" s="1"/>
  <c r="G291" i="45"/>
  <c r="H291" i="45" s="1"/>
  <c r="G177" i="45"/>
  <c r="H177" i="45" s="1"/>
  <c r="G239" i="45"/>
  <c r="H239" i="45" s="1"/>
  <c r="G286" i="45"/>
  <c r="H286" i="45" s="1"/>
  <c r="G169" i="45"/>
  <c r="H169" i="45" s="1"/>
  <c r="G240" i="45"/>
  <c r="H240" i="45" s="1"/>
  <c r="G324" i="45"/>
  <c r="H324" i="45" s="1"/>
  <c r="G108" i="45"/>
  <c r="H108" i="45" s="1"/>
  <c r="G153" i="45"/>
  <c r="H153" i="45" s="1"/>
  <c r="G277" i="45"/>
  <c r="H277" i="45" s="1"/>
  <c r="G238" i="45"/>
  <c r="H238" i="45" s="1"/>
  <c r="G189" i="45"/>
  <c r="H189" i="45" s="1"/>
  <c r="G176" i="45"/>
  <c r="H176" i="45" s="1"/>
  <c r="G12" i="45"/>
  <c r="H12" i="45" s="1"/>
  <c r="G258" i="45"/>
  <c r="H258" i="45" s="1"/>
  <c r="G278" i="45"/>
  <c r="H278" i="45" s="1"/>
  <c r="G298" i="45"/>
  <c r="H298" i="45" s="1"/>
  <c r="G154" i="45"/>
  <c r="H154" i="45" s="1"/>
  <c r="G251" i="45"/>
  <c r="H251" i="45" s="1"/>
  <c r="G271" i="45"/>
  <c r="H271" i="45" s="1"/>
  <c r="G191" i="45"/>
  <c r="H191" i="45" s="1"/>
  <c r="G180" i="45"/>
  <c r="H180" i="45" s="1"/>
  <c r="G201" i="45"/>
  <c r="H201" i="45" s="1"/>
  <c r="G142" i="45"/>
  <c r="H142" i="45" s="1"/>
  <c r="G242" i="45"/>
  <c r="H242" i="45" s="1"/>
  <c r="G114" i="45"/>
  <c r="H114" i="45" s="1"/>
  <c r="G215" i="45"/>
  <c r="H215" i="45" s="1"/>
  <c r="G255" i="45"/>
  <c r="H255" i="45" s="1"/>
  <c r="G282" i="45"/>
  <c r="H282" i="45" s="1"/>
  <c r="G107" i="45"/>
  <c r="H107" i="45" s="1"/>
  <c r="G42" i="45"/>
  <c r="H42" i="45" s="1"/>
  <c r="G99" i="45"/>
  <c r="H99" i="45" s="1"/>
  <c r="G284" i="45"/>
  <c r="H284" i="45" s="1"/>
  <c r="G233" i="45"/>
  <c r="H233" i="45" s="1"/>
  <c r="G82" i="45"/>
  <c r="H82" i="45" s="1"/>
  <c r="G27" i="45"/>
  <c r="H27" i="45" s="1"/>
  <c r="G54" i="45"/>
  <c r="H54" i="45" s="1"/>
  <c r="G273" i="45"/>
  <c r="H273" i="45" s="1"/>
  <c r="G160" i="45"/>
  <c r="H160" i="45" s="1"/>
  <c r="G145" i="45"/>
  <c r="H145" i="45" s="1"/>
  <c r="G128" i="45"/>
  <c r="H128" i="45" s="1"/>
  <c r="G178" i="45"/>
  <c r="H178" i="45" s="1"/>
  <c r="G216" i="45"/>
  <c r="H216" i="45" s="1"/>
  <c r="G14" i="45"/>
  <c r="H14" i="45" s="1"/>
  <c r="G174" i="45"/>
  <c r="H174" i="45" s="1"/>
  <c r="G181" i="45"/>
  <c r="H181" i="45" s="1"/>
  <c r="G301" i="45"/>
  <c r="H301" i="45" s="1"/>
  <c r="G290" i="45"/>
  <c r="H290" i="45" s="1"/>
  <c r="G55" i="45"/>
  <c r="H55" i="45" s="1"/>
  <c r="G192" i="45"/>
  <c r="H192" i="45" s="1"/>
  <c r="G165" i="45"/>
  <c r="H165" i="45" s="1"/>
  <c r="G11" i="45"/>
  <c r="H11" i="45" s="1"/>
  <c r="G317" i="45"/>
  <c r="H317" i="45" s="1"/>
  <c r="G170" i="45"/>
  <c r="H170" i="45" s="1"/>
  <c r="G221" i="45"/>
  <c r="H221" i="45" s="1"/>
  <c r="G120" i="45"/>
  <c r="H120" i="45" s="1"/>
  <c r="G50" i="45"/>
  <c r="H50" i="45" s="1"/>
  <c r="G243" i="45"/>
  <c r="H243" i="45" s="1"/>
  <c r="G85" i="45"/>
  <c r="H85" i="45" s="1"/>
  <c r="G94" i="45"/>
  <c r="H94" i="45" s="1"/>
  <c r="G241" i="45"/>
  <c r="H241" i="45" s="1"/>
  <c r="G228" i="45"/>
  <c r="H228" i="45" s="1"/>
  <c r="G325" i="45"/>
  <c r="H325" i="45" s="1"/>
  <c r="G35" i="45"/>
  <c r="H35" i="45" s="1"/>
  <c r="G226" i="45"/>
  <c r="H226" i="45" s="1"/>
  <c r="G159" i="45"/>
  <c r="H159" i="45" s="1"/>
  <c r="G138" i="45"/>
  <c r="H138" i="45" s="1"/>
  <c r="G110" i="45"/>
  <c r="H110" i="45" s="1"/>
  <c r="G249" i="45"/>
  <c r="H249" i="45" s="1"/>
  <c r="G63" i="45"/>
  <c r="H63" i="45" s="1"/>
  <c r="G19" i="45"/>
  <c r="H19" i="45" s="1"/>
  <c r="G184" i="45"/>
  <c r="H184" i="45" s="1"/>
  <c r="G164" i="45"/>
  <c r="H164" i="45" s="1"/>
  <c r="G224" i="45"/>
  <c r="H224" i="45" s="1"/>
  <c r="G204" i="45"/>
  <c r="H204" i="45" s="1"/>
  <c r="G137" i="45"/>
  <c r="H137" i="45" s="1"/>
  <c r="G161" i="45"/>
  <c r="H161" i="45" s="1"/>
  <c r="G329" i="45"/>
  <c r="H329" i="45" s="1"/>
  <c r="G111" i="45"/>
  <c r="H111" i="45" s="1"/>
  <c r="G199" i="45"/>
  <c r="H199" i="45" s="1"/>
  <c r="G227" i="45"/>
  <c r="H227" i="45" s="1"/>
  <c r="G141" i="45"/>
  <c r="H141" i="45" s="1"/>
  <c r="G281" i="45"/>
  <c r="H281" i="45" s="1"/>
  <c r="G285" i="45"/>
  <c r="H285" i="45" s="1"/>
  <c r="G18" i="45"/>
  <c r="H18" i="45" s="1"/>
  <c r="G162" i="45"/>
  <c r="H162" i="45" s="1"/>
  <c r="G274" i="45"/>
  <c r="H274" i="45" s="1"/>
  <c r="G20" i="45"/>
  <c r="H20" i="45" s="1"/>
  <c r="G28" i="45"/>
  <c r="H28" i="45" s="1"/>
  <c r="G104" i="45"/>
  <c r="H104" i="45" s="1"/>
  <c r="G288" i="45"/>
  <c r="H288" i="45" s="1"/>
  <c r="G276" i="45"/>
  <c r="H276" i="45" s="1"/>
  <c r="G219" i="45"/>
  <c r="H219" i="45" s="1"/>
  <c r="G293" i="45"/>
  <c r="H293" i="45" s="1"/>
  <c r="G250" i="45"/>
  <c r="H250" i="45" s="1"/>
  <c r="G100" i="45"/>
  <c r="H100" i="45" s="1"/>
  <c r="G252" i="45"/>
  <c r="H252" i="45" s="1"/>
  <c r="G190" i="45"/>
  <c r="H190" i="45" s="1"/>
  <c r="G40" i="45"/>
  <c r="H40" i="45" s="1"/>
  <c r="G256" i="45"/>
  <c r="H256" i="45" s="1"/>
  <c r="G295" i="45"/>
  <c r="H295" i="45" s="1"/>
  <c r="G270" i="45"/>
  <c r="H270" i="45" s="1"/>
  <c r="G89" i="45"/>
  <c r="H89" i="45" s="1"/>
  <c r="G289" i="45"/>
  <c r="H289" i="45" s="1"/>
  <c r="G327" i="45"/>
  <c r="H327" i="45" s="1"/>
  <c r="G314" i="45"/>
  <c r="H314" i="45" s="1"/>
  <c r="G195" i="45"/>
  <c r="H195" i="45" s="1"/>
  <c r="G315" i="45"/>
  <c r="H315" i="45" s="1"/>
  <c r="G75" i="45"/>
  <c r="H75" i="45" s="1"/>
  <c r="G131" i="45"/>
  <c r="H131" i="45" s="1"/>
  <c r="G231" i="45"/>
  <c r="H231" i="45" s="1"/>
  <c r="G299" i="45"/>
  <c r="H299" i="45" s="1"/>
  <c r="G65" i="45"/>
  <c r="H65" i="45" s="1"/>
  <c r="G225" i="45"/>
  <c r="H225" i="45" s="1"/>
  <c r="G140" i="45"/>
  <c r="H140" i="45" s="1"/>
  <c r="G102" i="45"/>
  <c r="H102" i="45" s="1"/>
  <c r="G198" i="45"/>
  <c r="H198" i="45" s="1"/>
  <c r="G144" i="45"/>
  <c r="H144" i="45" s="1"/>
  <c r="G152" i="45"/>
  <c r="H152" i="45" s="1"/>
  <c r="G248" i="45"/>
  <c r="H248" i="45" s="1"/>
  <c r="G260" i="45"/>
  <c r="H260" i="45" s="1"/>
  <c r="G83" i="45"/>
  <c r="H83" i="45" s="1"/>
  <c r="G87" i="45"/>
  <c r="H87" i="45" s="1"/>
  <c r="G95" i="45"/>
  <c r="H95" i="45" s="1"/>
  <c r="G171" i="45"/>
  <c r="H171" i="45" s="1"/>
  <c r="G13" i="45"/>
  <c r="H13" i="45" s="1"/>
  <c r="G61" i="45"/>
  <c r="H61" i="45" s="1"/>
  <c r="G69" i="45"/>
  <c r="H69" i="45" s="1"/>
  <c r="G117" i="45"/>
  <c r="H117" i="45" s="1"/>
  <c r="G129" i="45"/>
  <c r="H129" i="45" s="1"/>
  <c r="G213" i="45"/>
  <c r="H213" i="45" s="1"/>
  <c r="G106" i="45"/>
  <c r="H106" i="45" s="1"/>
  <c r="G218" i="45"/>
  <c r="H218" i="45" s="1"/>
  <c r="G36" i="45"/>
  <c r="H36" i="45" s="1"/>
  <c r="G92" i="45"/>
  <c r="H92" i="45" s="1"/>
  <c r="G244" i="45"/>
  <c r="H244" i="45" s="1"/>
  <c r="G7" i="45"/>
  <c r="H7" i="45" s="1"/>
  <c r="G39" i="45"/>
  <c r="H39" i="45" s="1"/>
  <c r="G127" i="45"/>
  <c r="H127" i="45" s="1"/>
  <c r="G247" i="45"/>
  <c r="H247" i="45" s="1"/>
  <c r="G323" i="45"/>
  <c r="H323" i="45" s="1"/>
  <c r="G5" i="45"/>
  <c r="H5" i="45" s="1"/>
  <c r="G149" i="45"/>
  <c r="H149" i="45" s="1"/>
  <c r="G217" i="45"/>
  <c r="H217" i="45" s="1"/>
  <c r="G76" i="45"/>
  <c r="H76" i="45" s="1"/>
  <c r="G62" i="45"/>
  <c r="H62" i="45" s="1"/>
  <c r="G182" i="45"/>
  <c r="H182" i="45" s="1"/>
  <c r="G222" i="45"/>
  <c r="H222" i="45" s="1"/>
  <c r="G64" i="45"/>
  <c r="H64" i="45" s="1"/>
  <c r="G264" i="45"/>
  <c r="H264" i="45" s="1"/>
  <c r="G84" i="45"/>
  <c r="H84" i="45" s="1"/>
  <c r="G43" i="45"/>
  <c r="H43" i="45" s="1"/>
  <c r="G303" i="45"/>
  <c r="H303" i="45" s="1"/>
  <c r="G88" i="45"/>
  <c r="H88" i="45" s="1"/>
  <c r="G148" i="45"/>
  <c r="H148" i="45" s="1"/>
  <c r="G297" i="45"/>
  <c r="H297" i="45" s="1"/>
  <c r="G319" i="45"/>
  <c r="H319" i="45" s="1"/>
  <c r="G296" i="45"/>
  <c r="H296" i="45" s="1"/>
  <c r="G16" i="45"/>
  <c r="H16" i="45" s="1"/>
  <c r="G58" i="45"/>
  <c r="H58" i="45" s="1"/>
  <c r="G93" i="45"/>
  <c r="H93" i="45" s="1"/>
  <c r="G269" i="45"/>
  <c r="H269" i="45" s="1"/>
  <c r="G166" i="45"/>
  <c r="H166" i="45" s="1"/>
  <c r="G143" i="45"/>
  <c r="H143" i="45" s="1"/>
  <c r="G163" i="45"/>
  <c r="H163" i="45" s="1"/>
  <c r="G207" i="45"/>
  <c r="H207" i="45" s="1"/>
  <c r="G267" i="45"/>
  <c r="H267" i="45" s="1"/>
  <c r="G279" i="45"/>
  <c r="H279" i="45" s="1"/>
  <c r="G29" i="45"/>
  <c r="H29" i="45" s="1"/>
  <c r="G73" i="45"/>
  <c r="H73" i="45" s="1"/>
  <c r="G26" i="45"/>
  <c r="H26" i="45" s="1"/>
  <c r="G322" i="45"/>
  <c r="H322" i="45" s="1"/>
  <c r="G44" i="45"/>
  <c r="H44" i="45" s="1"/>
  <c r="G124" i="45"/>
  <c r="H124" i="45" s="1"/>
  <c r="G46" i="45"/>
  <c r="H46" i="45" s="1"/>
  <c r="G134" i="45"/>
  <c r="H134" i="45" s="1"/>
  <c r="G294" i="45"/>
  <c r="H294" i="45" s="1"/>
  <c r="G96" i="45"/>
  <c r="H96" i="45" s="1"/>
  <c r="G168" i="45"/>
  <c r="H168" i="45" s="1"/>
  <c r="G280" i="45"/>
  <c r="H280" i="45" s="1"/>
  <c r="G212" i="45"/>
  <c r="H212" i="45" s="1"/>
  <c r="G283" i="45"/>
  <c r="H283" i="45" s="1"/>
  <c r="G193" i="45"/>
  <c r="H193" i="45" s="1"/>
  <c r="G313" i="45"/>
  <c r="H313" i="45" s="1"/>
  <c r="G6" i="45"/>
  <c r="H6" i="45" s="1"/>
  <c r="G146" i="45"/>
  <c r="H146" i="45" s="1"/>
  <c r="G60" i="45"/>
  <c r="H60" i="45" s="1"/>
  <c r="G220" i="45"/>
  <c r="H220" i="45" s="1"/>
  <c r="G126" i="45"/>
  <c r="H126" i="45" s="1"/>
  <c r="G302" i="45"/>
  <c r="H302" i="45" s="1"/>
  <c r="G200" i="45"/>
  <c r="H200" i="45" s="1"/>
  <c r="G187" i="45"/>
  <c r="H187" i="45" s="1"/>
  <c r="G237" i="45"/>
  <c r="H237" i="45" s="1"/>
  <c r="G321" i="45"/>
  <c r="H321" i="45" s="1"/>
  <c r="G306" i="45"/>
  <c r="H306" i="45" s="1"/>
  <c r="G71" i="45"/>
  <c r="H71" i="45" s="1"/>
  <c r="G158" i="45"/>
  <c r="H158" i="45" s="1"/>
  <c r="G8" i="45"/>
  <c r="H8" i="45" s="1"/>
  <c r="G67" i="45"/>
  <c r="H67" i="45" s="1"/>
  <c r="G157" i="45"/>
  <c r="H157" i="45" s="1"/>
  <c r="G37" i="45"/>
  <c r="H37" i="45" s="1"/>
  <c r="G150" i="45"/>
  <c r="H150" i="45" s="1"/>
  <c r="G261" i="45"/>
  <c r="H261" i="45" s="1"/>
  <c r="G259" i="45"/>
  <c r="H259" i="45" s="1"/>
  <c r="G263" i="45"/>
  <c r="H263" i="45" s="1"/>
  <c r="G311" i="45"/>
  <c r="H311" i="45" s="1"/>
  <c r="G41" i="45"/>
  <c r="H41" i="45" s="1"/>
  <c r="G45" i="45"/>
  <c r="H45" i="45" s="1"/>
  <c r="G98" i="45"/>
  <c r="H98" i="45" s="1"/>
  <c r="G68" i="45"/>
  <c r="H68" i="45" s="1"/>
  <c r="G118" i="45"/>
  <c r="H118" i="45" s="1"/>
  <c r="G246" i="45"/>
  <c r="H246" i="45" s="1"/>
  <c r="G272" i="45"/>
  <c r="H272" i="45" s="1"/>
  <c r="G320" i="45"/>
  <c r="H320" i="45" s="1"/>
  <c r="G211" i="45"/>
  <c r="H211" i="45" s="1"/>
  <c r="G275" i="45"/>
  <c r="H275" i="45" s="1"/>
  <c r="G17" i="45"/>
  <c r="H17" i="45" s="1"/>
  <c r="G105" i="45"/>
  <c r="H105" i="45" s="1"/>
  <c r="G34" i="45"/>
  <c r="H34" i="45" s="1"/>
  <c r="G188" i="45"/>
  <c r="H188" i="45" s="1"/>
  <c r="G316" i="45"/>
  <c r="H316" i="45" s="1"/>
  <c r="G70" i="45"/>
  <c r="H70" i="45" s="1"/>
  <c r="G230" i="45"/>
  <c r="H230" i="45" s="1"/>
  <c r="G318" i="45"/>
  <c r="H318" i="45" s="1"/>
  <c r="G24" i="45"/>
  <c r="H24" i="45" s="1"/>
  <c r="G80" i="45"/>
  <c r="H80" i="45" s="1"/>
  <c r="G101" i="45"/>
  <c r="H101" i="45" s="1"/>
  <c r="G119" i="45"/>
  <c r="H119" i="45" s="1"/>
  <c r="G53" i="45"/>
  <c r="H53" i="45" s="1"/>
  <c r="G38" i="45"/>
  <c r="H38" i="45" s="1"/>
  <c r="G309" i="45"/>
  <c r="H309" i="45" s="1"/>
  <c r="G136" i="45"/>
  <c r="H136" i="45" s="1"/>
  <c r="G210" i="45"/>
  <c r="H210" i="45" s="1"/>
  <c r="G139" i="45"/>
  <c r="H139" i="45" s="1"/>
  <c r="G223" i="45"/>
  <c r="H223" i="45" s="1"/>
  <c r="G266" i="45"/>
  <c r="H266" i="45" s="1"/>
  <c r="G52" i="45"/>
  <c r="H52" i="45" s="1"/>
  <c r="G265" i="45"/>
  <c r="H265" i="45" s="1"/>
  <c r="G147" i="45"/>
  <c r="H147" i="45" s="1"/>
  <c r="G300" i="45"/>
  <c r="H300" i="45" s="1"/>
  <c r="G307" i="45"/>
  <c r="H307" i="45" s="1"/>
  <c r="G91" i="45"/>
  <c r="H91" i="45" s="1"/>
  <c r="G310" i="45"/>
  <c r="H310" i="45" s="1"/>
  <c r="G66" i="45"/>
  <c r="H66" i="45" s="1"/>
  <c r="G205" i="45"/>
  <c r="H205" i="45" s="1"/>
  <c r="G186" i="45"/>
  <c r="H186" i="45" s="1"/>
  <c r="G2" i="45"/>
  <c r="H2" i="45" s="1"/>
  <c r="D28" i="48"/>
  <c r="D22" i="48"/>
  <c r="D20" i="48"/>
  <c r="D18" i="48"/>
  <c r="D30" i="48"/>
  <c r="D26" i="48"/>
  <c r="D12" i="48"/>
  <c r="D6" i="48"/>
  <c r="D4" i="48"/>
  <c r="D14" i="48"/>
  <c r="F12" i="43" l="1"/>
  <c r="D128" i="51"/>
  <c r="I18" i="43"/>
  <c r="F13" i="43" l="1"/>
  <c r="D129" i="51"/>
  <c r="I19" i="43"/>
  <c r="K16" i="2"/>
  <c r="K15" i="2"/>
  <c r="K12" i="2"/>
  <c r="K11" i="2"/>
  <c r="K8" i="2"/>
  <c r="K7" i="2"/>
  <c r="K4" i="2"/>
  <c r="K3" i="2"/>
  <c r="C3" i="2"/>
  <c r="F14" i="43" l="1"/>
  <c r="D130" i="51"/>
  <c r="I20" i="43"/>
  <c r="C4" i="2"/>
  <c r="K5" i="2"/>
  <c r="K9" i="2"/>
  <c r="K13" i="2"/>
  <c r="K6" i="2"/>
  <c r="K10" i="2"/>
  <c r="K14" i="2"/>
  <c r="F15" i="43" l="1"/>
  <c r="D131" i="51"/>
  <c r="I21" i="43"/>
  <c r="C5" i="2"/>
  <c r="F16" i="43" l="1"/>
  <c r="D132" i="51"/>
  <c r="I22" i="43"/>
  <c r="C6" i="2"/>
  <c r="F17" i="43" l="1"/>
  <c r="D133" i="51"/>
  <c r="I23" i="43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F18" i="43" l="1"/>
  <c r="D134" i="51"/>
  <c r="I24" i="43"/>
  <c r="C8" i="2"/>
  <c r="A3" i="9"/>
  <c r="F19" i="43" l="1"/>
  <c r="D135" i="51"/>
  <c r="I25" i="43"/>
  <c r="C9" i="2"/>
  <c r="A4" i="9"/>
  <c r="A5" i="9" s="1"/>
  <c r="F20" i="43" l="1"/>
  <c r="D136" i="51"/>
  <c r="I26" i="43"/>
  <c r="C10" i="2"/>
  <c r="A6" i="9"/>
  <c r="F21" i="43" l="1"/>
  <c r="D137" i="51"/>
  <c r="I27" i="43"/>
  <c r="C11" i="2"/>
  <c r="A7" i="9"/>
  <c r="F22" i="43" l="1"/>
  <c r="D138" i="51"/>
  <c r="I28" i="43"/>
  <c r="C12" i="2"/>
  <c r="A8" i="9"/>
  <c r="F23" i="43" l="1"/>
  <c r="D139" i="51"/>
  <c r="I29" i="43"/>
  <c r="C13" i="2"/>
  <c r="A9" i="9"/>
  <c r="F24" i="43" l="1"/>
  <c r="I30" i="43"/>
  <c r="C14" i="2"/>
  <c r="A10" i="9"/>
  <c r="F25" i="43" l="1"/>
  <c r="I31" i="43"/>
  <c r="C15" i="2"/>
  <c r="A11" i="9"/>
  <c r="F26" i="43" l="1"/>
  <c r="I32" i="43"/>
  <c r="C16" i="2"/>
  <c r="A12" i="9"/>
  <c r="F27" i="43" l="1"/>
  <c r="C17" i="2"/>
  <c r="I33" i="43"/>
  <c r="A13" i="9"/>
  <c r="H11" i="9"/>
  <c r="H10" i="9"/>
  <c r="H9" i="9"/>
  <c r="H8" i="9"/>
  <c r="H7" i="9"/>
  <c r="H6" i="9"/>
  <c r="H5" i="9"/>
  <c r="H4" i="9"/>
  <c r="H3" i="9"/>
  <c r="H2" i="9"/>
  <c r="F28" i="43" l="1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F29" i="43" l="1"/>
  <c r="C19" i="2"/>
  <c r="I35" i="43"/>
  <c r="F30" i="43" l="1"/>
  <c r="C20" i="2"/>
  <c r="I36" i="43"/>
  <c r="F31" i="43" l="1"/>
  <c r="C21" i="2"/>
  <c r="I37" i="43"/>
  <c r="F32" i="43" l="1"/>
  <c r="C22" i="2"/>
  <c r="I38" i="43"/>
  <c r="F33" i="43" l="1"/>
  <c r="C23" i="2"/>
  <c r="I39" i="43"/>
  <c r="F34" i="43" l="1"/>
  <c r="C24" i="2"/>
  <c r="I40" i="43"/>
  <c r="F35" i="43" l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F164" i="43" s="1"/>
  <c r="F165" i="43" s="1"/>
  <c r="F166" i="43" s="1"/>
  <c r="F167" i="43" s="1"/>
  <c r="F168" i="43" s="1"/>
  <c r="F169" i="43" s="1"/>
  <c r="F170" i="43" s="1"/>
  <c r="F171" i="43" s="1"/>
  <c r="F172" i="43" s="1"/>
  <c r="F173" i="43" s="1"/>
  <c r="F174" i="43" s="1"/>
  <c r="F175" i="43" s="1"/>
  <c r="F176" i="43" s="1"/>
  <c r="F177" i="43" s="1"/>
  <c r="F178" i="43" s="1"/>
  <c r="F179" i="43" s="1"/>
  <c r="F180" i="43" s="1"/>
  <c r="F181" i="43" s="1"/>
  <c r="F182" i="43" s="1"/>
  <c r="F183" i="43" s="1"/>
  <c r="F184" i="43" s="1"/>
  <c r="F185" i="43" s="1"/>
  <c r="F186" i="43" s="1"/>
  <c r="F187" i="43" s="1"/>
  <c r="F188" i="43" s="1"/>
  <c r="F189" i="43" s="1"/>
  <c r="F190" i="43" s="1"/>
  <c r="F191" i="43" s="1"/>
  <c r="F192" i="43" s="1"/>
  <c r="F193" i="43" s="1"/>
  <c r="F194" i="43" s="1"/>
  <c r="F195" i="43" s="1"/>
  <c r="F196" i="43" s="1"/>
  <c r="F197" i="43" s="1"/>
  <c r="F198" i="43" s="1"/>
  <c r="F199" i="43" s="1"/>
  <c r="F200" i="43" s="1"/>
  <c r="F201" i="43" s="1"/>
  <c r="F202" i="43" s="1"/>
  <c r="F203" i="43" s="1"/>
  <c r="F204" i="43" s="1"/>
  <c r="F205" i="43" s="1"/>
  <c r="F206" i="43" s="1"/>
  <c r="F207" i="43" s="1"/>
  <c r="F208" i="43" s="1"/>
  <c r="F209" i="43" s="1"/>
  <c r="F210" i="43" s="1"/>
  <c r="F211" i="43" s="1"/>
  <c r="F212" i="43" s="1"/>
  <c r="F213" i="43" s="1"/>
  <c r="F214" i="43" s="1"/>
  <c r="F215" i="43" s="1"/>
  <c r="F216" i="43" s="1"/>
  <c r="F217" i="43" s="1"/>
  <c r="F218" i="43" s="1"/>
  <c r="F219" i="43" s="1"/>
  <c r="F220" i="43" s="1"/>
  <c r="F221" i="43" s="1"/>
  <c r="F222" i="43" s="1"/>
  <c r="F223" i="43" s="1"/>
  <c r="F224" i="43" s="1"/>
  <c r="F225" i="43" s="1"/>
  <c r="F226" i="43" s="1"/>
  <c r="F227" i="43" s="1"/>
  <c r="F228" i="43" s="1"/>
  <c r="F229" i="43" s="1"/>
  <c r="F230" i="43" s="1"/>
  <c r="F231" i="43" s="1"/>
  <c r="F232" i="43" s="1"/>
  <c r="F233" i="43" s="1"/>
  <c r="F234" i="43" s="1"/>
  <c r="F235" i="43" s="1"/>
  <c r="F236" i="43" s="1"/>
  <c r="F237" i="43" s="1"/>
  <c r="F238" i="43" s="1"/>
  <c r="F239" i="43" s="1"/>
  <c r="F240" i="43" s="1"/>
  <c r="F241" i="43" s="1"/>
  <c r="F242" i="43" s="1"/>
  <c r="F243" i="43" s="1"/>
  <c r="F244" i="43" s="1"/>
  <c r="F245" i="43" s="1"/>
  <c r="F246" i="43" s="1"/>
  <c r="F247" i="43" s="1"/>
  <c r="F248" i="43" s="1"/>
  <c r="F249" i="43" s="1"/>
  <c r="F250" i="43" s="1"/>
  <c r="F251" i="43" s="1"/>
  <c r="F252" i="43" s="1"/>
  <c r="F253" i="43" s="1"/>
  <c r="F254" i="43" s="1"/>
  <c r="F255" i="43" s="1"/>
  <c r="F256" i="43" s="1"/>
  <c r="F257" i="43" s="1"/>
  <c r="F258" i="43" s="1"/>
  <c r="F259" i="43" s="1"/>
  <c r="F260" i="43" s="1"/>
  <c r="F261" i="43" s="1"/>
  <c r="F262" i="43" s="1"/>
  <c r="F263" i="43" s="1"/>
  <c r="F264" i="43" s="1"/>
  <c r="F265" i="43" s="1"/>
  <c r="F266" i="43" s="1"/>
  <c r="F267" i="43" s="1"/>
  <c r="F268" i="43" s="1"/>
  <c r="F269" i="43" s="1"/>
  <c r="F270" i="43" s="1"/>
  <c r="F271" i="43" s="1"/>
  <c r="F272" i="43" s="1"/>
  <c r="F273" i="43" s="1"/>
  <c r="F274" i="43" s="1"/>
  <c r="F275" i="43" s="1"/>
  <c r="F276" i="43" s="1"/>
  <c r="F277" i="43" s="1"/>
  <c r="F278" i="43" s="1"/>
  <c r="F279" i="43" s="1"/>
  <c r="F280" i="43" s="1"/>
  <c r="F281" i="43" s="1"/>
  <c r="F282" i="43" s="1"/>
  <c r="F283" i="43" s="1"/>
  <c r="F284" i="43" s="1"/>
  <c r="C25" i="2"/>
  <c r="I41" i="43"/>
  <c r="C26" i="2" l="1"/>
  <c r="I42" i="43"/>
  <c r="C27" i="2" l="1"/>
  <c r="I43" i="43"/>
  <c r="C28" i="2" l="1"/>
  <c r="I44" i="43"/>
  <c r="C29" i="2" l="1"/>
  <c r="I45" i="43"/>
  <c r="C30" i="2" l="1"/>
  <c r="I46" i="43"/>
  <c r="C31" i="2" l="1"/>
  <c r="I47" i="43"/>
  <c r="C32" i="2" l="1"/>
  <c r="I48" i="43"/>
  <c r="C33" i="2" l="1"/>
  <c r="I49" i="43"/>
  <c r="C34" i="2" l="1"/>
  <c r="C35" i="2" l="1"/>
  <c r="I50" i="43"/>
  <c r="C36" i="2" l="1"/>
  <c r="I51" i="43"/>
  <c r="C37" i="2" l="1"/>
  <c r="I52" i="43"/>
  <c r="C38" i="2" l="1"/>
  <c r="I53" i="43"/>
  <c r="C39" i="2" l="1"/>
  <c r="I54" i="43"/>
  <c r="C40" i="2" l="1"/>
  <c r="I55" i="43"/>
  <c r="C41" i="2" l="1"/>
  <c r="I56" i="43"/>
  <c r="C42" i="2" l="1"/>
  <c r="I57" i="43"/>
  <c r="C43" i="2" l="1"/>
  <c r="I58" i="43"/>
  <c r="C44" i="2" l="1"/>
  <c r="I59" i="43"/>
  <c r="C45" i="2" l="1"/>
  <c r="I60" i="43"/>
  <c r="C46" i="2" l="1"/>
  <c r="I61" i="43"/>
  <c r="C47" i="2" l="1"/>
  <c r="I62" i="43"/>
  <c r="C48" i="2" l="1"/>
  <c r="I63" i="43"/>
  <c r="C49" i="2" l="1"/>
  <c r="I64" i="43"/>
  <c r="C50" i="2" l="1"/>
  <c r="I65" i="43"/>
  <c r="C51" i="2" l="1"/>
  <c r="I66" i="43"/>
  <c r="C52" i="2" l="1"/>
  <c r="I67" i="43"/>
  <c r="C53" i="2" l="1"/>
  <c r="I68" i="43"/>
  <c r="C54" i="2" l="1"/>
  <c r="I69" i="43"/>
  <c r="C55" i="2" l="1"/>
  <c r="C56" i="2" l="1"/>
  <c r="I70" i="43"/>
  <c r="C57" i="2" l="1"/>
  <c r="I71" i="43"/>
  <c r="C58" i="2" l="1"/>
  <c r="I72" i="43"/>
  <c r="C59" i="2" l="1"/>
  <c r="I73" i="43"/>
  <c r="C60" i="2" l="1"/>
  <c r="I74" i="43"/>
  <c r="C61" i="2" l="1"/>
  <c r="I75" i="43"/>
  <c r="C62" i="2" l="1"/>
  <c r="I76" i="43"/>
  <c r="C63" i="2" l="1"/>
  <c r="I77" i="43"/>
  <c r="C64" i="2" l="1"/>
  <c r="C65" i="2" l="1"/>
  <c r="I78" i="43"/>
  <c r="C66" i="2" l="1"/>
  <c r="I79" i="43"/>
  <c r="C67" i="2" l="1"/>
  <c r="I80" i="43"/>
  <c r="C68" i="2" l="1"/>
  <c r="I81" i="43"/>
  <c r="C69" i="2" l="1"/>
  <c r="I82" i="43"/>
  <c r="C70" i="2" l="1"/>
  <c r="I83" i="43"/>
  <c r="C71" i="2" l="1"/>
  <c r="I84" i="43"/>
  <c r="C72" i="2" l="1"/>
  <c r="I85" i="43"/>
  <c r="C73" i="2" l="1"/>
  <c r="I86" i="43"/>
  <c r="C74" i="2" l="1"/>
  <c r="I87" i="43"/>
  <c r="C75" i="2" l="1"/>
  <c r="I88" i="43"/>
  <c r="C76" i="2" l="1"/>
  <c r="I89" i="43"/>
  <c r="C77" i="2" l="1"/>
  <c r="I90" i="43"/>
  <c r="C78" i="2" l="1"/>
  <c r="I91" i="43"/>
  <c r="C79" i="2" l="1"/>
  <c r="I92" i="43"/>
  <c r="C80" i="2" l="1"/>
  <c r="I93" i="43"/>
  <c r="C81" i="2" l="1"/>
  <c r="I94" i="43"/>
  <c r="C82" i="2" l="1"/>
  <c r="I95" i="43"/>
  <c r="C83" i="2" l="1"/>
  <c r="I96" i="43"/>
  <c r="C84" i="2" l="1"/>
  <c r="I97" i="43"/>
  <c r="C85" i="2" l="1"/>
  <c r="I98" i="43"/>
  <c r="C86" i="2" l="1"/>
  <c r="I99" i="43"/>
  <c r="C87" i="2" l="1"/>
  <c r="I100" i="43"/>
  <c r="C88" i="2" l="1"/>
  <c r="I101" i="43"/>
  <c r="C89" i="2" l="1"/>
  <c r="I102" i="43"/>
  <c r="C90" i="2" l="1"/>
  <c r="I103" i="43"/>
  <c r="C91" i="2" l="1"/>
  <c r="I104" i="43"/>
  <c r="C92" i="2" l="1"/>
  <c r="I105" i="43"/>
  <c r="C93" i="2" l="1"/>
  <c r="I106" i="43"/>
  <c r="C94" i="2" l="1"/>
  <c r="I107" i="43"/>
  <c r="C95" i="2" l="1"/>
  <c r="C96" i="2" l="1"/>
  <c r="I108" i="43"/>
  <c r="C97" i="2" l="1"/>
  <c r="I109" i="43"/>
  <c r="C98" i="2" l="1"/>
  <c r="I110" i="43"/>
  <c r="C99" i="2" l="1"/>
  <c r="I111" i="43"/>
  <c r="C100" i="2" l="1"/>
  <c r="I112" i="43"/>
  <c r="C101" i="2" l="1"/>
  <c r="I113" i="43"/>
  <c r="C102" i="2" l="1"/>
  <c r="I114" i="43"/>
  <c r="C103" i="2" l="1"/>
  <c r="I115" i="43"/>
  <c r="C104" i="2" l="1"/>
  <c r="I116" i="43"/>
  <c r="C105" i="2" l="1"/>
  <c r="I117" i="43"/>
  <c r="C106" i="2" l="1"/>
  <c r="I118" i="43"/>
  <c r="C107" i="2" l="1"/>
  <c r="I119" i="43"/>
  <c r="C108" i="2" l="1"/>
  <c r="I120" i="43"/>
  <c r="C109" i="2" l="1"/>
  <c r="I121" i="43"/>
  <c r="C110" i="2" l="1"/>
  <c r="I122" i="43"/>
  <c r="C111" i="2" l="1"/>
  <c r="I123" i="43"/>
  <c r="C112" i="2" l="1"/>
  <c r="I124" i="43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  <c r="I164" i="43" l="1"/>
  <c r="I165" i="43" l="1"/>
  <c r="I166" i="43" l="1"/>
  <c r="I167" i="43" l="1"/>
  <c r="I168" i="43" l="1"/>
  <c r="I169" i="43" l="1"/>
  <c r="I170" i="43" l="1"/>
  <c r="I171" i="43" l="1"/>
  <c r="I172" i="43" l="1"/>
  <c r="I173" i="43" l="1"/>
  <c r="I174" i="43" l="1"/>
  <c r="I175" i="43" l="1"/>
  <c r="I176" i="43" l="1"/>
  <c r="I177" i="43" l="1"/>
  <c r="I178" i="43" l="1"/>
  <c r="I179" i="43" l="1"/>
  <c r="I180" i="43" l="1"/>
  <c r="I181" i="43" l="1"/>
  <c r="I182" i="43" l="1"/>
  <c r="I183" i="43" l="1"/>
  <c r="I184" i="43" l="1"/>
  <c r="I185" i="43" l="1"/>
  <c r="I186" i="43" l="1"/>
  <c r="I187" i="43" l="1"/>
  <c r="I188" i="43" l="1"/>
  <c r="I189" i="43" l="1"/>
  <c r="I190" i="43" l="1"/>
  <c r="I191" i="43" l="1"/>
  <c r="I192" i="43" l="1"/>
  <c r="I193" i="43" l="1"/>
  <c r="I194" i="43" l="1"/>
  <c r="I195" i="43" l="1"/>
  <c r="I196" i="43" l="1"/>
  <c r="I197" i="43" l="1"/>
  <c r="I198" i="43" l="1"/>
  <c r="I199" i="43" l="1"/>
  <c r="I200" i="43" l="1"/>
  <c r="I201" i="43" l="1"/>
  <c r="I202" i="43" l="1"/>
  <c r="I203" i="43" l="1"/>
  <c r="I204" i="43" l="1"/>
  <c r="I205" i="43" l="1"/>
  <c r="I206" i="43" l="1"/>
  <c r="I207" i="43" l="1"/>
  <c r="I208" i="43" l="1"/>
  <c r="I209" i="43" l="1"/>
  <c r="I210" i="43" l="1"/>
  <c r="I211" i="43" l="1"/>
  <c r="I212" i="43" l="1"/>
  <c r="I213" i="43" l="1"/>
  <c r="I214" i="43" l="1"/>
  <c r="I215" i="43" l="1"/>
  <c r="I216" i="43" l="1"/>
  <c r="I217" i="43" l="1"/>
  <c r="I218" i="43" l="1"/>
  <c r="I219" i="43" l="1"/>
  <c r="I220" i="43" l="1"/>
  <c r="I221" i="43" l="1"/>
  <c r="I222" i="43" l="1"/>
  <c r="I223" i="43" l="1"/>
  <c r="I224" i="43" l="1"/>
  <c r="I225" i="43" l="1"/>
  <c r="I226" i="43" l="1"/>
  <c r="I227" i="43" l="1"/>
  <c r="I228" i="43" l="1"/>
  <c r="I229" i="43" l="1"/>
  <c r="I230" i="43" l="1"/>
  <c r="I231" i="43" l="1"/>
  <c r="I232" i="43" l="1"/>
  <c r="I233" i="43" l="1"/>
  <c r="I234" i="43" l="1"/>
  <c r="I235" i="43" l="1"/>
  <c r="I236" i="43" l="1"/>
  <c r="I237" i="43" l="1"/>
  <c r="I238" i="43" l="1"/>
  <c r="I239" i="43" l="1"/>
  <c r="I240" i="43" l="1"/>
  <c r="I241" i="43" l="1"/>
  <c r="I242" i="43" l="1"/>
  <c r="I243" i="43" l="1"/>
  <c r="I244" i="43" l="1"/>
  <c r="I245" i="43" l="1"/>
  <c r="I246" i="43" l="1"/>
  <c r="I247" i="43" l="1"/>
  <c r="I248" i="43" l="1"/>
  <c r="I249" i="43" l="1"/>
  <c r="I250" i="43" l="1"/>
  <c r="L197" i="27" l="1"/>
  <c r="L189" i="27"/>
  <c r="L194" i="27"/>
  <c r="I251" i="43"/>
  <c r="L199" i="27" l="1"/>
  <c r="L202" i="27"/>
  <c r="L91" i="27"/>
  <c r="L112" i="27"/>
  <c r="L204" i="27"/>
  <c r="L33" i="27"/>
  <c r="L203" i="27"/>
  <c r="L9" i="27"/>
  <c r="L60" i="27"/>
  <c r="L52" i="27"/>
  <c r="L72" i="27"/>
  <c r="L104" i="27"/>
  <c r="L8" i="27"/>
  <c r="L4" i="27"/>
  <c r="L35" i="27"/>
  <c r="L11" i="27"/>
  <c r="L102" i="27"/>
  <c r="L79" i="27"/>
  <c r="L19" i="27"/>
  <c r="L86" i="27"/>
  <c r="L77" i="27"/>
  <c r="L21" i="27"/>
  <c r="L64" i="27"/>
  <c r="L90" i="27"/>
  <c r="L51" i="27"/>
  <c r="L42" i="27"/>
  <c r="L114" i="27"/>
  <c r="L97" i="27"/>
  <c r="L39" i="27"/>
  <c r="L201" i="27"/>
  <c r="L116" i="27"/>
  <c r="L84" i="27"/>
  <c r="L100" i="27"/>
  <c r="L3" i="27"/>
  <c r="L34" i="27"/>
  <c r="L32" i="27"/>
  <c r="L63" i="27"/>
  <c r="L75" i="27"/>
  <c r="L43" i="27"/>
  <c r="L46" i="27"/>
  <c r="L101" i="27"/>
  <c r="L66" i="27"/>
  <c r="L98" i="27"/>
  <c r="L56" i="27"/>
  <c r="L105" i="27"/>
  <c r="L48" i="27"/>
  <c r="L74" i="27"/>
  <c r="L7" i="27"/>
  <c r="L76" i="27"/>
  <c r="L38" i="27"/>
  <c r="L93" i="27"/>
  <c r="L61" i="27"/>
  <c r="L57" i="27"/>
  <c r="L108" i="27"/>
  <c r="L70" i="27"/>
  <c r="L6" i="27"/>
  <c r="L55" i="27"/>
  <c r="L110" i="27"/>
  <c r="L92" i="27"/>
  <c r="L59" i="27"/>
  <c r="L96" i="27"/>
  <c r="L81" i="27"/>
  <c r="L113" i="27"/>
  <c r="L17" i="27"/>
  <c r="L29" i="27"/>
  <c r="L200" i="27"/>
  <c r="L16" i="27"/>
  <c r="L47" i="27"/>
  <c r="L36" i="27"/>
  <c r="L68" i="27"/>
  <c r="L99" i="27"/>
  <c r="L71" i="27"/>
  <c r="L31" i="27"/>
  <c r="L58" i="27"/>
  <c r="L37" i="27"/>
  <c r="L5" i="27"/>
  <c r="L54" i="27"/>
  <c r="L53" i="27"/>
  <c r="L25" i="27"/>
  <c r="L28" i="27"/>
  <c r="L20" i="27"/>
  <c r="L69" i="27"/>
  <c r="L106" i="27"/>
  <c r="L15" i="27"/>
  <c r="L49" i="27"/>
  <c r="L22" i="27"/>
  <c r="L67" i="27"/>
  <c r="L94" i="27"/>
  <c r="L24" i="27"/>
  <c r="L73" i="27"/>
  <c r="L41" i="27"/>
  <c r="L80" i="27"/>
  <c r="L109" i="27"/>
  <c r="L13" i="27"/>
  <c r="L45" i="27"/>
  <c r="L44" i="27"/>
  <c r="L12" i="27"/>
  <c r="L107" i="27"/>
  <c r="L30" i="27"/>
  <c r="L50" i="27"/>
  <c r="L18" i="27"/>
  <c r="L27" i="27"/>
  <c r="L62" i="27"/>
  <c r="L78" i="27"/>
  <c r="L26" i="27"/>
  <c r="L23" i="27"/>
  <c r="L65" i="27"/>
  <c r="L117" i="27"/>
  <c r="L95" i="27"/>
  <c r="L111" i="27"/>
  <c r="L40" i="27"/>
  <c r="L10" i="27"/>
  <c r="L14" i="27"/>
  <c r="L118" i="27"/>
  <c r="L119" i="27"/>
  <c r="L121" i="27"/>
  <c r="L126" i="27"/>
  <c r="L124" i="27"/>
  <c r="L127" i="27"/>
  <c r="L128" i="27"/>
  <c r="L130" i="27"/>
  <c r="L132" i="27"/>
  <c r="L129" i="27"/>
  <c r="L134" i="27"/>
  <c r="L133" i="27"/>
  <c r="L135" i="27"/>
  <c r="L136" i="27"/>
  <c r="L138" i="27"/>
  <c r="L140" i="27"/>
  <c r="L141" i="27"/>
  <c r="L142" i="27"/>
  <c r="L148" i="27"/>
  <c r="L147" i="27"/>
  <c r="L149" i="27"/>
  <c r="L150" i="27"/>
  <c r="L153" i="27"/>
  <c r="L152" i="27"/>
  <c r="L151" i="27"/>
  <c r="L155" i="27"/>
  <c r="L156" i="27"/>
  <c r="L154" i="27"/>
  <c r="L159" i="27"/>
  <c r="L157" i="27"/>
  <c r="L158" i="27"/>
  <c r="L160" i="27"/>
  <c r="L162" i="27"/>
  <c r="L164" i="27"/>
  <c r="L165" i="27"/>
  <c r="L161" i="27"/>
  <c r="L163" i="27"/>
  <c r="L166" i="27"/>
  <c r="L169" i="27"/>
  <c r="L167" i="27"/>
  <c r="L168" i="27"/>
  <c r="L172" i="27"/>
  <c r="L171" i="27"/>
  <c r="L174" i="27"/>
  <c r="L173" i="27"/>
  <c r="L170" i="27"/>
  <c r="L175" i="27"/>
  <c r="L176" i="27"/>
  <c r="L177" i="27"/>
  <c r="L178" i="27"/>
  <c r="L182" i="27"/>
  <c r="L180" i="27"/>
  <c r="L179" i="27"/>
  <c r="L181" i="27"/>
  <c r="L185" i="27"/>
  <c r="L184" i="27"/>
  <c r="L183" i="27"/>
  <c r="L188" i="27"/>
  <c r="L186" i="27"/>
  <c r="L187" i="27"/>
  <c r="L190" i="27"/>
  <c r="L192" i="27"/>
  <c r="L198" i="27"/>
  <c r="L195" i="27"/>
  <c r="L191" i="27"/>
  <c r="L196" i="27"/>
  <c r="L193" i="27"/>
  <c r="L2" i="27"/>
  <c r="I252" i="43"/>
  <c r="K193" i="27" l="1"/>
  <c r="K198" i="27"/>
  <c r="K192" i="27"/>
  <c r="K2" i="27"/>
  <c r="K82" i="27"/>
  <c r="K145" i="27"/>
  <c r="K103" i="27"/>
  <c r="K146" i="27"/>
  <c r="K88" i="27"/>
  <c r="K123" i="27"/>
  <c r="K144" i="27"/>
  <c r="K137" i="27"/>
  <c r="K83" i="27"/>
  <c r="K131" i="27"/>
  <c r="K87" i="27"/>
  <c r="K143" i="27"/>
  <c r="K125" i="27"/>
  <c r="K120" i="27"/>
  <c r="K122" i="27"/>
  <c r="K85" i="27"/>
  <c r="K139" i="27"/>
  <c r="K115" i="27"/>
  <c r="K89" i="27"/>
  <c r="K195" i="27"/>
  <c r="K187" i="27"/>
  <c r="K184" i="27"/>
  <c r="K180" i="27"/>
  <c r="K176" i="27"/>
  <c r="K174" i="27"/>
  <c r="K167" i="27"/>
  <c r="K161" i="27"/>
  <c r="K160" i="27"/>
  <c r="K154" i="27"/>
  <c r="K152" i="27"/>
  <c r="K147" i="27"/>
  <c r="K140" i="27"/>
  <c r="K133" i="27"/>
  <c r="K130" i="27"/>
  <c r="K126" i="27"/>
  <c r="K14" i="27"/>
  <c r="K95" i="27"/>
  <c r="K26" i="27"/>
  <c r="K18" i="27"/>
  <c r="K12" i="27"/>
  <c r="K109" i="27"/>
  <c r="K24" i="27"/>
  <c r="K49" i="27"/>
  <c r="K20" i="27"/>
  <c r="K54" i="27"/>
  <c r="K31" i="27"/>
  <c r="K36" i="27"/>
  <c r="K29" i="27"/>
  <c r="K96" i="27"/>
  <c r="K55" i="27"/>
  <c r="K57" i="27"/>
  <c r="K76" i="27"/>
  <c r="K105" i="27"/>
  <c r="K101" i="27"/>
  <c r="K63" i="27"/>
  <c r="K100" i="27"/>
  <c r="K39" i="27"/>
  <c r="K51" i="27"/>
  <c r="K77" i="27"/>
  <c r="K102" i="27"/>
  <c r="K8" i="27"/>
  <c r="K60" i="27"/>
  <c r="K204" i="27"/>
  <c r="K199" i="27"/>
  <c r="K186" i="27"/>
  <c r="K182" i="27"/>
  <c r="K175" i="27"/>
  <c r="K171" i="27"/>
  <c r="K169" i="27"/>
  <c r="K165" i="27"/>
  <c r="K158" i="27"/>
  <c r="K156" i="27"/>
  <c r="K153" i="27"/>
  <c r="K148" i="27"/>
  <c r="K138" i="27"/>
  <c r="K134" i="27"/>
  <c r="K128" i="27"/>
  <c r="K121" i="27"/>
  <c r="K10" i="27"/>
  <c r="K117" i="27"/>
  <c r="K78" i="27"/>
  <c r="K50" i="27"/>
  <c r="K44" i="27"/>
  <c r="K80" i="27"/>
  <c r="K94" i="27"/>
  <c r="K15" i="27"/>
  <c r="K28" i="27"/>
  <c r="K5" i="27"/>
  <c r="K71" i="27"/>
  <c r="K47" i="27"/>
  <c r="K17" i="27"/>
  <c r="K59" i="27"/>
  <c r="K6" i="27"/>
  <c r="K61" i="27"/>
  <c r="K7" i="27"/>
  <c r="K56" i="27"/>
  <c r="K46" i="27"/>
  <c r="K32" i="27"/>
  <c r="K84" i="27"/>
  <c r="K97" i="27"/>
  <c r="K90" i="27"/>
  <c r="K86" i="27"/>
  <c r="K11" i="27"/>
  <c r="K104" i="27"/>
  <c r="K9" i="27"/>
  <c r="K112" i="27"/>
  <c r="K197" i="27"/>
  <c r="K185" i="27"/>
  <c r="K188" i="27"/>
  <c r="K181" i="27"/>
  <c r="K178" i="27"/>
  <c r="K170" i="27"/>
  <c r="K172" i="27"/>
  <c r="K166" i="27"/>
  <c r="K164" i="27"/>
  <c r="K157" i="27"/>
  <c r="K155" i="27"/>
  <c r="K150" i="27"/>
  <c r="K142" i="27"/>
  <c r="K136" i="27"/>
  <c r="K129" i="27"/>
  <c r="K127" i="27"/>
  <c r="K119" i="27"/>
  <c r="K40" i="27"/>
  <c r="K65" i="27"/>
  <c r="K62" i="27"/>
  <c r="K30" i="27"/>
  <c r="K45" i="27"/>
  <c r="K41" i="27"/>
  <c r="K67" i="27"/>
  <c r="K106" i="27"/>
  <c r="K25" i="27"/>
  <c r="K37" i="27"/>
  <c r="K99" i="27"/>
  <c r="K16" i="27"/>
  <c r="K113" i="27"/>
  <c r="K92" i="27"/>
  <c r="K70" i="27"/>
  <c r="K93" i="27"/>
  <c r="K74" i="27"/>
  <c r="K98" i="27"/>
  <c r="K43" i="27"/>
  <c r="K34" i="27"/>
  <c r="K116" i="27"/>
  <c r="K114" i="27"/>
  <c r="K64" i="27"/>
  <c r="K19" i="27"/>
  <c r="K72" i="27"/>
  <c r="K203" i="27"/>
  <c r="K91" i="27"/>
  <c r="K189" i="27"/>
  <c r="K196" i="27"/>
  <c r="K191" i="27"/>
  <c r="K190" i="27"/>
  <c r="K183" i="27"/>
  <c r="K179" i="27"/>
  <c r="K177" i="27"/>
  <c r="K173" i="27"/>
  <c r="K168" i="27"/>
  <c r="K163" i="27"/>
  <c r="K162" i="27"/>
  <c r="K159" i="27"/>
  <c r="K151" i="27"/>
  <c r="K149" i="27"/>
  <c r="K141" i="27"/>
  <c r="K135" i="27"/>
  <c r="K132" i="27"/>
  <c r="K124" i="27"/>
  <c r="K118" i="27"/>
  <c r="K111" i="27"/>
  <c r="K23" i="27"/>
  <c r="K27" i="27"/>
  <c r="K107" i="27"/>
  <c r="K13" i="27"/>
  <c r="K73" i="27"/>
  <c r="K22" i="27"/>
  <c r="K69" i="27"/>
  <c r="K53" i="27"/>
  <c r="K58" i="27"/>
  <c r="K68" i="27"/>
  <c r="K200" i="27"/>
  <c r="K81" i="27"/>
  <c r="K110" i="27"/>
  <c r="K108" i="27"/>
  <c r="K38" i="27"/>
  <c r="K48" i="27"/>
  <c r="K66" i="27"/>
  <c r="K75" i="27"/>
  <c r="K3" i="27"/>
  <c r="K201" i="27"/>
  <c r="K42" i="27"/>
  <c r="K21" i="27"/>
  <c r="K79" i="27"/>
  <c r="K4" i="27"/>
  <c r="K52" i="27"/>
  <c r="K33" i="27"/>
  <c r="K202" i="27"/>
  <c r="K194" i="27"/>
  <c r="K35" i="27"/>
  <c r="I253" i="43"/>
  <c r="I254" i="43" l="1"/>
  <c r="I255" i="43" l="1"/>
  <c r="I256" i="43" l="1"/>
  <c r="I257" i="43" l="1"/>
  <c r="I258" i="43" l="1"/>
  <c r="I259" i="43" l="1"/>
  <c r="I260" i="43" l="1"/>
  <c r="I261" i="43" l="1"/>
  <c r="I262" i="43" l="1"/>
  <c r="I263" i="43" l="1"/>
  <c r="I264" i="43" l="1"/>
  <c r="I265" i="43" l="1"/>
  <c r="I266" i="43" l="1"/>
  <c r="I267" i="43" l="1"/>
  <c r="I268" i="43" l="1"/>
  <c r="I269" i="43" l="1"/>
  <c r="I270" i="43" l="1"/>
  <c r="I271" i="43" l="1"/>
  <c r="I272" i="43" l="1"/>
  <c r="I273" i="43" l="1"/>
  <c r="I274" i="43" l="1"/>
  <c r="I275" i="43" l="1"/>
  <c r="I276" i="43" l="1"/>
  <c r="I277" i="43" l="1"/>
  <c r="I278" i="43" l="1"/>
  <c r="I279" i="43" l="1"/>
  <c r="I280" i="43" l="1"/>
  <c r="I281" i="43" l="1"/>
  <c r="I282" i="43" l="1"/>
  <c r="I283" i="43" l="1"/>
  <c r="I284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L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U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A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D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<sst xmlns="http://schemas.openxmlformats.org/spreadsheetml/2006/main" count="24078" uniqueCount="8621">
  <si>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</si>
  <si>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</si>
  <si>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</si>
  <si>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</si>
  <si>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</si>
  <si>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</si>
  <si>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</si>
  <si>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</si>
  <si>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</si>
  <si>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</si>
  <si>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</si>
  <si>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</si>
  <si>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</si>
  <si>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</si>
  <si>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</si>
  <si>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</si>
  <si>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</si>
  <si>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</si>
  <si>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</si>
  <si>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</si>
  <si>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</si>
  <si>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</si>
  <si>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</si>
  <si>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</si>
  <si>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</si>
  <si>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</si>
  <si>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</si>
  <si>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</si>
  <si>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</si>
  <si>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</si>
  <si>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</si>
  <si>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</si>
  <si>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</si>
  <si>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</si>
  <si>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</si>
  <si>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</si>
  <si>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</si>
  <si>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</si>
  <si>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</si>
  <si>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</si>
  <si>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</si>
  <si>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</si>
  <si>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</si>
  <si>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</si>
  <si>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</si>
  <si>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</si>
  <si>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</si>
  <si>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</si>
  <si>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</si>
  <si>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</si>
  <si>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</si>
  <si>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</si>
  <si>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</si>
  <si>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</si>
  <si>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</si>
  <si>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</si>
  <si>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</si>
  <si>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</si>
  <si>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</si>
  <si>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</si>
  <si>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</si>
  <si>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</si>
  <si>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</si>
  <si>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</si>
  <si>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</si>
  <si>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</si>
  <si>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</si>
  <si>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</si>
  <si>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</si>
  <si>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</si>
  <si>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</si>
  <si>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</si>
  <si>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</si>
  <si>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</si>
  <si>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</si>
  <si>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</si>
  <si>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</si>
  <si>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</si>
  <si>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</si>
  <si>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</si>
  <si>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</si>
  <si>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</si>
  <si>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</si>
  <si>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</si>
  <si>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</si>
  <si>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</si>
  <si>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</si>
  <si>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</si>
  <si>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</si>
  <si>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</si>
  <si>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</si>
  <si>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</si>
  <si>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</si>
  <si>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</si>
  <si>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</si>
  <si>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</si>
  <si>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</si>
  <si>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</si>
  <si>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</si>
  <si>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</si>
  <si>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</si>
  <si>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</si>
  <si>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</si>
  <si>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</si>
  <si>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</si>
  <si>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</si>
  <si>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</si>
  <si>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</si>
  <si>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</si>
  <si>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</si>
  <si>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</si>
  <si>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</si>
  <si>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</si>
  <si>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</si>
  <si>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</si>
  <si>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</si>
  <si>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</si>
  <si>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</si>
  <si>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</si>
  <si>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</si>
  <si>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</si>
  <si>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</si>
  <si>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</si>
  <si>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</si>
  <si>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</si>
  <si>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</si>
  <si>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</si>
  <si>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</si>
  <si>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</si>
  <si>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</si>
  <si>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</si>
  <si>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</si>
  <si>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</si>
  <si>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</si>
  <si>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</si>
  <si>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</si>
  <si>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</si>
  <si>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</si>
  <si>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</si>
  <si>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</si>
  <si>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</si>
  <si>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</si>
  <si>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</si>
  <si>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</si>
  <si>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</si>
  <si>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</si>
  <si>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</si>
  <si>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</si>
  <si>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</si>
  <si>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</si>
  <si>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</si>
  <si>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</si>
  <si>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</si>
  <si>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</si>
  <si>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</si>
  <si>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</si>
  <si>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</si>
  <si>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</si>
  <si>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</si>
  <si>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</si>
  <si>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</si>
  <si>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</si>
  <si>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</si>
  <si>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</si>
  <si>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</si>
  <si>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</si>
  <si>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</si>
  <si>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</si>
  <si>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</si>
  <si>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</si>
  <si>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</si>
  <si>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</si>
  <si>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</si>
  <si>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</si>
  <si>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</si>
  <si>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</si>
  <si>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</si>
  <si>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</si>
  <si>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</si>
  <si>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</si>
  <si>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</si>
  <si>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</si>
  <si>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</si>
  <si>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</si>
  <si>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</si>
  <si>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</si>
  <si>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</si>
  <si>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</si>
  <si>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</si>
  <si>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</si>
  <si>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</si>
  <si>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</si>
  <si>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</si>
  <si>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</si>
  <si>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</si>
  <si>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</si>
  <si>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</si>
  <si>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</si>
  <si>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</si>
  <si>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</si>
  <si>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</si>
  <si>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</si>
  <si>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</si>
  <si>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</si>
  <si>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</si>
  <si>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</si>
  <si>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</si>
  <si>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</si>
  <si>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</si>
  <si>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</si>
  <si>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</si>
  <si>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</si>
  <si>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</si>
  <si>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</si>
  <si>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</si>
  <si>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</si>
  <si>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</si>
  <si>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</si>
  <si>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</si>
  <si>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</si>
  <si>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</si>
  <si>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</si>
  <si>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</si>
  <si>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</si>
  <si>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</si>
  <si>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</si>
  <si>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</si>
  <si>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</si>
  <si>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</si>
  <si>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</si>
  <si>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</si>
  <si>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</si>
  <si>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</si>
  <si>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</si>
  <si>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</si>
  <si>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</si>
  <si>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</si>
  <si>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</si>
  <si>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</si>
  <si>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</si>
  <si>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</si>
  <si>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</si>
  <si>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</si>
  <si>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</si>
  <si>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</si>
  <si>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</si>
  <si>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</si>
  <si>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</si>
  <si>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</si>
  <si>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</si>
  <si>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</si>
  <si>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</si>
  <si>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</si>
  <si>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</si>
  <si>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</si>
  <si>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</si>
  <si>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</si>
  <si>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</si>
  <si>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</si>
  <si>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</si>
  <si>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</si>
  <si>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</si>
  <si>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</si>
  <si>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</si>
  <si>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</si>
  <si>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</si>
  <si>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</si>
  <si>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</si>
  <si>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</si>
  <si>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</si>
  <si>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</si>
  <si>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</si>
  <si>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</si>
  <si>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</si>
  <si>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</si>
  <si>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</si>
  <si>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</si>
  <si>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</si>
  <si>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</si>
  <si>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</si>
  <si>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</si>
  <si>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</si>
  <si>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</si>
  <si>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</si>
  <si>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</si>
  <si>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</si>
  <si>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</si>
  <si>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</si>
  <si>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</si>
  <si>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</si>
  <si>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</si>
  <si>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</si>
  <si>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</si>
  <si>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</si>
  <si>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</si>
  <si>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</si>
  <si>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</si>
  <si>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</si>
  <si>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</si>
  <si>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</si>
  <si>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</si>
  <si>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</si>
  <si>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</si>
  <si>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</si>
  <si>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</si>
  <si>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</si>
  <si>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</si>
  <si>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</si>
  <si>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</si>
  <si>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</si>
  <si>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</si>
  <si>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</si>
  <si>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</si>
  <si>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</si>
  <si>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</si>
  <si>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</si>
  <si>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</si>
  <si>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</si>
  <si>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</si>
  <si>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</si>
  <si>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</si>
  <si>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</si>
  <si>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</si>
  <si>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</si>
  <si>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</si>
  <si>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</si>
  <si>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</si>
  <si>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</si>
  <si>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</si>
  <si>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</si>
  <si>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</si>
  <si>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</si>
  <si>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</si>
  <si>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</si>
  <si>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</si>
  <si>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</si>
  <si>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</si>
  <si>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</si>
  <si>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</si>
  <si>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</si>
  <si>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</si>
  <si>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</si>
  <si>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</si>
  <si>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</si>
  <si>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</si>
  <si>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</si>
  <si>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</si>
  <si>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</si>
  <si>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</si>
  <si>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</si>
  <si>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</si>
  <si>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</si>
  <si>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</si>
  <si>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</si>
  <si>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</si>
  <si>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</si>
  <si>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</si>
  <si>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</si>
  <si>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</si>
  <si>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</si>
  <si>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</si>
  <si>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</si>
  <si>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</si>
  <si>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</si>
  <si>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</si>
  <si>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</si>
  <si>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</si>
  <si>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</si>
  <si>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</si>
  <si>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</si>
  <si>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</si>
  <si>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</si>
  <si>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</si>
  <si>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</si>
  <si>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</si>
  <si>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</si>
  <si>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</si>
  <si>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</si>
  <si>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</si>
  <si>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</si>
  <si>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</si>
  <si>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</si>
  <si>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</si>
  <si>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</si>
  <si>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</si>
  <si>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</si>
  <si>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</si>
  <si>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</si>
  <si>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</si>
  <si>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</si>
  <si>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</si>
  <si>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</si>
  <si>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</si>
  <si>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</si>
  <si>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</si>
  <si>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</si>
  <si>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</si>
  <si>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</si>
  <si>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</si>
  <si>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</si>
  <si>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</si>
  <si>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</si>
  <si>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</si>
  <si>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</si>
  <si>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</si>
  <si>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</si>
  <si>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</si>
  <si>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</si>
  <si>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</si>
  <si>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</si>
  <si>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</si>
  <si>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</si>
  <si>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</si>
  <si>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</si>
  <si>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</si>
  <si>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</si>
  <si>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</si>
  <si>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</si>
  <si>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</si>
  <si>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</si>
  <si>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</si>
  <si>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</si>
  <si>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</si>
  <si>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</si>
  <si>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</si>
  <si>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</si>
  <si>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</si>
  <si>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</si>
  <si>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</si>
  <si>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</si>
  <si>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</si>
  <si>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</si>
  <si>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</si>
  <si>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</si>
  <si>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</si>
  <si>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</si>
  <si>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</si>
  <si>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</si>
  <si>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</si>
  <si>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</si>
  <si>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</si>
  <si>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</si>
  <si>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</si>
  <si>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</si>
  <si>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</si>
  <si>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</si>
  <si>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</si>
  <si>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</si>
  <si>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</si>
  <si>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</si>
  <si>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</si>
  <si>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</si>
  <si>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</si>
  <si>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</si>
  <si>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</si>
  <si>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</si>
  <si>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</si>
  <si>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</si>
  <si>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</si>
  <si>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</si>
  <si>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</si>
  <si>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</si>
  <si>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</si>
  <si>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</si>
  <si>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</si>
  <si>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</si>
  <si>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</si>
  <si>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</si>
  <si>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</si>
  <si>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</si>
  <si>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</si>
  <si>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</si>
  <si>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</si>
  <si>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</si>
  <si>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</si>
  <si>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</si>
  <si>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</si>
  <si>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</si>
  <si>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</si>
  <si>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</si>
  <si>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</si>
  <si>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</si>
  <si>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</si>
  <si>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</si>
  <si>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</si>
  <si>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</si>
  <si>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</si>
  <si>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</si>
  <si>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</si>
  <si>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</si>
  <si>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</si>
  <si>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</si>
  <si>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</si>
  <si>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</si>
  <si>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</si>
  <si>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</si>
  <si>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</si>
  <si>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</si>
  <si>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</si>
  <si>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</si>
  <si>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</si>
  <si>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</si>
  <si>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</si>
  <si>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</si>
  <si>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</si>
  <si>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</si>
  <si>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</si>
  <si>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</si>
  <si>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</si>
  <si>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</si>
  <si>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</si>
  <si>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</si>
  <si>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</si>
  <si>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</si>
  <si>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</si>
  <si>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</si>
  <si>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</si>
  <si>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</si>
  <si>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</si>
  <si>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</si>
  <si>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</si>
  <si>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</si>
  <si>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</si>
  <si>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</si>
  <si>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</si>
  <si>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</si>
  <si>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</si>
  <si>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</si>
  <si>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</si>
  <si>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</si>
  <si>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</si>
  <si>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</si>
  <si>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</si>
  <si>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</si>
  <si>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</si>
  <si>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</si>
  <si>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</si>
  <si>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</si>
  <si>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</si>
  <si>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</si>
  <si>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</si>
  <si>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</si>
  <si>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</si>
  <si>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</si>
  <si>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</si>
  <si>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</si>
  <si>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</si>
  <si>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</si>
  <si>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</si>
  <si>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</si>
  <si>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</si>
  <si>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</si>
  <si>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</si>
  <si>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</si>
  <si>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</si>
  <si>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</si>
  <si>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</si>
  <si>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</si>
  <si>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</si>
  <si>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</si>
  <si>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</si>
  <si>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</si>
  <si>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</si>
  <si>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</si>
  <si>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</si>
  <si>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</si>
  <si>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</si>
  <si>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</si>
  <si>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</si>
  <si>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</si>
  <si>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</si>
  <si>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</si>
  <si>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</si>
  <si>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</si>
  <si>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</si>
  <si>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</si>
  <si>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</si>
  <si>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</si>
  <si>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</si>
  <si>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</si>
  <si>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</si>
  <si>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</si>
  <si>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</si>
  <si>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</si>
  <si>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</si>
  <si>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</si>
  <si>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</si>
  <si>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</si>
  <si>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</si>
  <si>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</si>
  <si>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</si>
  <si>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</si>
  <si>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</si>
  <si>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</si>
  <si>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</si>
  <si>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</si>
  <si>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</si>
  <si>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</si>
  <si>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</si>
  <si>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</si>
  <si>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</si>
  <si>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</si>
  <si>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</si>
  <si>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</si>
  <si>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</si>
  <si>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</si>
  <si>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</si>
  <si>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</si>
  <si>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</si>
  <si>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</si>
  <si>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</si>
  <si>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</si>
  <si>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</si>
  <si>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</si>
  <si>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</si>
  <si>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</si>
  <si>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</si>
  <si>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</si>
  <si>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</si>
  <si>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</si>
  <si>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</si>
  <si>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</si>
  <si>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</si>
  <si>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</si>
  <si>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</si>
  <si>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</si>
  <si>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</si>
  <si>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</si>
  <si>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</si>
  <si>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</si>
  <si>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</si>
  <si>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</si>
  <si>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</si>
  <si>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</si>
  <si>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</si>
  <si>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</si>
  <si>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</si>
  <si>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</si>
  <si>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</si>
  <si>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</si>
  <si>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</si>
  <si>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</si>
  <si>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</si>
  <si>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</si>
  <si>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</si>
  <si>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</si>
  <si>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</si>
  <si>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</si>
  <si>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</si>
  <si>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</si>
  <si>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</si>
  <si>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</si>
  <si>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</si>
  <si>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</si>
  <si>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</si>
  <si>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</si>
  <si>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</si>
  <si>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</si>
  <si>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</si>
  <si>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</si>
  <si>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</si>
  <si>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</si>
  <si>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</si>
  <si>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</si>
  <si>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</si>
  <si>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</si>
  <si>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</si>
  <si>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</si>
  <si>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</si>
  <si>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</si>
  <si>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</si>
  <si>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</si>
  <si>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</si>
  <si>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</si>
  <si>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</si>
  <si>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</si>
  <si>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</si>
  <si>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</si>
  <si>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</si>
  <si>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</si>
  <si>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</si>
  <si>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</si>
  <si>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</si>
  <si>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</si>
  <si>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</si>
  <si>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</si>
  <si>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</si>
  <si>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</si>
  <si>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</si>
  <si>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</si>
  <si>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</si>
  <si>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</si>
  <si>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</si>
  <si>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</si>
  <si>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</si>
  <si>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</si>
  <si>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</si>
  <si>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</si>
  <si>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</si>
  <si>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</si>
  <si>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</si>
  <si>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</si>
  <si>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</si>
  <si>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</si>
  <si>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</si>
  <si>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</si>
  <si>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</si>
  <si>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</si>
  <si>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</si>
  <si>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</si>
  <si>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</si>
  <si>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</si>
  <si>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</si>
  <si>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</si>
  <si>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</si>
  <si>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</si>
  <si>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</si>
  <si>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</si>
  <si>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</si>
  <si>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</si>
  <si>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</si>
  <si>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</si>
  <si>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</si>
  <si>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</si>
  <si>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</si>
  <si>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</si>
  <si>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</si>
  <si>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</si>
  <si>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</si>
  <si>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</si>
  <si>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</si>
  <si>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</si>
  <si>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</si>
  <si>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</si>
  <si>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</si>
  <si>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</si>
  <si>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</si>
  <si>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</si>
  <si>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</si>
  <si>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</si>
  <si>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</si>
  <si>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</si>
  <si>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</si>
  <si>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</si>
  <si>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</si>
  <si>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</si>
  <si>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</si>
  <si>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</si>
  <si>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</si>
  <si>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</si>
  <si>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</si>
  <si>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</si>
  <si>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</si>
  <si>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</si>
  <si>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</si>
  <si>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</si>
  <si>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</si>
  <si>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</si>
  <si>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</si>
  <si>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</si>
  <si>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</si>
  <si>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</si>
  <si>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</si>
  <si>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</si>
  <si>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</si>
  <si>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</si>
  <si>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</si>
  <si>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</si>
  <si>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</si>
  <si>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</si>
  <si>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</si>
  <si>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</si>
  <si>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</si>
  <si>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</si>
  <si>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</si>
  <si>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</si>
  <si>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</si>
  <si>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</si>
  <si>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</si>
  <si>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</si>
  <si>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</si>
  <si>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</si>
  <si>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</si>
  <si>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</si>
  <si>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</si>
  <si>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</si>
  <si>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</si>
  <si>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</si>
  <si>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</si>
  <si>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</si>
  <si>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</si>
  <si>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</si>
  <si>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</si>
  <si>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</si>
  <si>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</si>
  <si>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</si>
  <si>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</si>
  <si>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</si>
  <si>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</si>
  <si>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</si>
  <si>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</si>
  <si>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</si>
  <si>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</si>
  <si>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</si>
  <si>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</si>
  <si>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</si>
  <si>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</si>
  <si>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</si>
  <si>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</si>
  <si>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</si>
  <si>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</si>
  <si>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</si>
  <si>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</si>
  <si>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</si>
  <si>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</si>
  <si>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</si>
  <si>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</si>
  <si>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</si>
  <si>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</si>
  <si>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</si>
  <si>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</si>
  <si>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</si>
  <si>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</si>
  <si>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</si>
  <si>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</si>
  <si>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</si>
  <si>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</si>
  <si>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</si>
  <si>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</si>
  <si>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</si>
  <si>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</si>
  <si>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</si>
  <si>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</si>
  <si>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</si>
  <si>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</si>
  <si>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</si>
  <si>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</si>
  <si>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</si>
  <si>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</si>
  <si>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</si>
  <si>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</si>
  <si>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</si>
  <si>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</si>
  <si>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</si>
  <si>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</si>
  <si>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</si>
  <si>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</si>
  <si>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</si>
  <si>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</si>
  <si>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</si>
  <si>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</si>
  <si>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</si>
  <si>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</si>
  <si>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</si>
  <si>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</si>
  <si>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</si>
  <si>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</si>
  <si>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</si>
  <si>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</si>
  <si>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</si>
  <si>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</si>
  <si>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</si>
  <si>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</si>
  <si>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</si>
  <si>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</si>
  <si>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</si>
  <si>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</si>
  <si>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</si>
  <si>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</si>
  <si>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</si>
  <si>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</si>
  <si>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</si>
  <si>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</si>
  <si>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</si>
  <si>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</si>
  <si>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</si>
  <si>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</si>
  <si>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</si>
  <si>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</si>
  <si>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</si>
  <si>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</si>
  <si>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</si>
  <si>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</si>
  <si>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</si>
  <si>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</si>
  <si>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</si>
  <si>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</si>
  <si>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</si>
  <si>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</si>
  <si>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</si>
  <si>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</si>
  <si>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</si>
  <si>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</si>
  <si>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</si>
  <si>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</si>
  <si>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</si>
  <si>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</si>
  <si>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</si>
  <si>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</si>
  <si>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</si>
  <si>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</si>
  <si>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</si>
  <si>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</si>
  <si>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</si>
  <si>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</si>
  <si>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</si>
  <si>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</si>
  <si>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</si>
  <si>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</si>
  <si>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</si>
  <si>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</si>
  <si>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</si>
  <si>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</si>
  <si>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</si>
  <si>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</si>
  <si>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</si>
  <si>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</si>
  <si>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</si>
  <si>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</si>
  <si>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</si>
  <si>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</si>
  <si>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</si>
  <si>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</si>
  <si>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</si>
  <si>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</si>
  <si>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</si>
  <si>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</si>
  <si>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</si>
  <si>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</si>
  <si>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</si>
  <si>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</si>
  <si>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</si>
  <si>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</si>
  <si>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</si>
  <si>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</si>
  <si>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</si>
  <si>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</si>
  <si>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</si>
  <si>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</si>
  <si>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</si>
  <si>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</si>
  <si>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</si>
  <si>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</si>
  <si>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</si>
  <si>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</si>
  <si>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</si>
  <si>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</si>
  <si>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</si>
  <si>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</si>
  <si>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</si>
  <si>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</si>
  <si>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</si>
  <si>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</si>
  <si>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</si>
  <si>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</si>
  <si>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</si>
  <si>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</si>
  <si>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</si>
  <si>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</si>
  <si>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</si>
  <si>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</si>
  <si>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</si>
  <si>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</si>
  <si>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</si>
  <si>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</si>
  <si>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</si>
  <si>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</si>
  <si>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</si>
  <si>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</si>
  <si>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</si>
  <si>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</si>
  <si>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</si>
  <si>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</si>
  <si>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</si>
  <si>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</si>
  <si>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</si>
  <si>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</si>
  <si>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</si>
  <si>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</si>
  <si>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</si>
  <si>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</si>
  <si>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</si>
  <si>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</si>
  <si>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</si>
  <si>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</si>
  <si>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</si>
  <si>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</si>
  <si>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</si>
  <si>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</si>
  <si>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</si>
  <si>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</si>
  <si>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</si>
  <si>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</si>
  <si>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</si>
  <si>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</si>
  <si>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</si>
  <si>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</si>
  <si>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</si>
  <si>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</si>
  <si>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</si>
  <si>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</si>
  <si>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</si>
  <si>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</si>
  <si>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</si>
  <si>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</si>
  <si>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</si>
  <si>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</si>
  <si>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</si>
  <si>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</si>
  <si>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</si>
  <si>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</si>
  <si>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</si>
  <si>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</si>
  <si>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</si>
  <si>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</si>
  <si>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</si>
  <si>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</si>
  <si>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</si>
  <si>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</si>
  <si>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</si>
  <si>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</si>
  <si>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</si>
  <si>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</si>
  <si>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</si>
  <si>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</si>
  <si>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</si>
  <si>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</si>
  <si>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</si>
  <si>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</si>
  <si>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</si>
  <si>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</si>
  <si>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</si>
  <si>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</si>
  <si>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</si>
  <si>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</si>
  <si>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</si>
  <si>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</si>
  <si>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</si>
  <si>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</si>
  <si>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</si>
  <si>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</si>
  <si>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</si>
  <si>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</si>
  <si>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</si>
  <si>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</si>
  <si>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</si>
  <si>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</si>
  <si>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</si>
  <si>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</si>
  <si>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</si>
  <si>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</si>
  <si>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</si>
  <si>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</si>
  <si>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</si>
  <si>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</si>
  <si>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</si>
  <si>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</si>
  <si>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</si>
  <si>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</si>
  <si>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</si>
  <si>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</si>
  <si>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</si>
  <si>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</si>
  <si>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</si>
  <si>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</si>
  <si>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</si>
  <si>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</si>
  <si>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</si>
  <si>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</si>
  <si>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</si>
  <si>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</si>
  <si>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</si>
  <si>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</si>
  <si>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</si>
  <si>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</si>
  <si>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</si>
  <si>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</si>
  <si>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</si>
  <si>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</si>
  <si>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</si>
  <si>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</si>
  <si>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</si>
  <si>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</si>
  <si>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</si>
  <si>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</si>
  <si>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</si>
  <si>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</si>
  <si>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</si>
  <si>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</si>
  <si>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</si>
  <si>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</si>
  <si>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</si>
  <si>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</si>
  <si>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</si>
  <si>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</si>
  <si>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</si>
  <si>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</si>
  <si>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</si>
  <si>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</si>
  <si>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</si>
  <si>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</si>
  <si>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</si>
  <si>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</si>
  <si>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</si>
  <si>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</si>
  <si>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</si>
  <si>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</si>
  <si>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</si>
  <si>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</si>
  <si>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</si>
  <si>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</si>
  <si>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</si>
  <si>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</si>
  <si>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</si>
  <si>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</si>
  <si>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</si>
  <si>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</si>
  <si>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</si>
  <si>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</si>
  <si>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</si>
  <si>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</si>
  <si>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</si>
  <si>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</si>
  <si>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</si>
  <si>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</si>
  <si>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</si>
  <si>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</si>
  <si>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</si>
  <si>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</si>
  <si>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</si>
  <si>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</si>
  <si>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</si>
  <si>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</si>
  <si>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</si>
  <si>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</si>
  <si>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</si>
  <si>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</si>
  <si>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</si>
  <si>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</si>
  <si>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</si>
  <si>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</si>
  <si>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</si>
  <si>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</si>
  <si>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</si>
  <si>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</si>
  <si>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</si>
  <si>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</si>
  <si>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</si>
  <si>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</si>
  <si>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</si>
  <si>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</si>
  <si>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</si>
  <si>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</si>
  <si>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</si>
  <si>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</si>
  <si>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</si>
  <si>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</si>
  <si>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</si>
  <si>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</si>
  <si>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</si>
  <si>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</si>
  <si>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</si>
  <si>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</si>
  <si>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</si>
  <si>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</si>
  <si>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</si>
  <si>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</si>
  <si>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</si>
  <si>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</si>
  <si>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</si>
  <si>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</si>
  <si>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</si>
  <si>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</si>
  <si>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</si>
  <si>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</si>
  <si>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</si>
  <si>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</si>
  <si>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</si>
  <si>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</si>
  <si>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</si>
  <si>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</si>
  <si>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</si>
  <si>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</si>
  <si>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</si>
  <si>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</si>
  <si>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</si>
  <si>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</si>
  <si>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</si>
  <si>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</si>
  <si>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</si>
  <si>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</si>
  <si>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</si>
  <si>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</si>
  <si>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</si>
  <si>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</si>
  <si>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</si>
  <si>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</si>
  <si>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</si>
  <si>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</si>
  <si>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</si>
  <si>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</si>
  <si>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</si>
  <si>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</si>
  <si>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</si>
  <si>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</si>
  <si>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</si>
  <si>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</si>
  <si>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</si>
  <si>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</si>
  <si>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</si>
  <si>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</si>
  <si>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</si>
  <si>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</si>
  <si>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</si>
  <si>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</si>
  <si>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</si>
  <si>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</si>
  <si>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</si>
  <si>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</si>
  <si>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</si>
  <si>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</si>
  <si>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</si>
  <si>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</si>
  <si>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</si>
  <si>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</si>
  <si>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</si>
  <si>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</si>
  <si>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</si>
  <si>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</si>
  <si>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</si>
  <si>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</si>
  <si>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</si>
  <si>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</si>
  <si>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</si>
  <si>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</si>
  <si>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</si>
  <si>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</si>
  <si>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</si>
  <si>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</si>
  <si>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</si>
  <si>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</si>
  <si>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</si>
  <si>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</si>
  <si>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</si>
  <si>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</si>
  <si>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</si>
  <si>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</si>
  <si>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</si>
  <si>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</si>
  <si>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</si>
  <si>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</si>
  <si>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</si>
  <si>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</si>
  <si>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</si>
  <si>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</si>
  <si>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</si>
  <si>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</si>
  <si>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</si>
  <si>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</si>
  <si>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</si>
  <si>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</si>
  <si>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</si>
  <si>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</si>
  <si>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</si>
  <si>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</si>
  <si>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</si>
  <si>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</si>
  <si>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</si>
  <si>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</si>
  <si>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</si>
  <si>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</si>
  <si>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</si>
  <si>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</si>
  <si>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</si>
  <si>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</si>
  <si>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</si>
  <si>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</si>
  <si>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</si>
  <si>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</si>
  <si>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</si>
  <si>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</si>
  <si>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</si>
  <si>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</si>
  <si>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</si>
  <si>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</si>
  <si>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</si>
  <si>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</si>
  <si>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</si>
  <si>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</si>
  <si>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</si>
  <si>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</si>
  <si>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</si>
  <si>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</si>
  <si>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</si>
  <si>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</si>
  <si>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</si>
  <si>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</si>
  <si>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</si>
  <si>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</si>
  <si>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</si>
  <si>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</si>
  <si>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</si>
  <si>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</si>
  <si>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</si>
  <si>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</si>
  <si>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</si>
  <si>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</si>
  <si>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</si>
  <si>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</si>
  <si>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</si>
  <si>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</si>
  <si>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</si>
  <si>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</si>
  <si>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</si>
  <si>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</si>
  <si>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</si>
  <si>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</si>
  <si>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</si>
  <si>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</si>
  <si>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</si>
  <si>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</si>
  <si>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</si>
  <si>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</si>
  <si>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</si>
  <si>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</si>
  <si>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</si>
  <si>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</si>
  <si>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</si>
  <si>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</si>
  <si>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</si>
  <si>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</si>
  <si>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</si>
  <si>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</si>
  <si>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</si>
  <si>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</si>
  <si>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</si>
  <si>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</si>
  <si>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</si>
  <si>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</si>
  <si>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</si>
  <si>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</si>
  <si>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</si>
  <si>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</si>
  <si>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</si>
  <si>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</si>
  <si>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</si>
  <si>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</si>
  <si>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</si>
  <si>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</si>
  <si>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</si>
  <si>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</si>
  <si>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</si>
  <si>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</si>
  <si>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</si>
  <si>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</si>
  <si>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</si>
  <si>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</si>
  <si>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</si>
  <si>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</si>
  <si>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</si>
  <si>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</si>
  <si>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</si>
  <si>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</si>
  <si>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</si>
  <si>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</si>
  <si>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</si>
  <si>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</si>
  <si>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</si>
  <si>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</si>
  <si>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</si>
  <si>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</si>
  <si>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</si>
  <si>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</si>
  <si>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</si>
  <si>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</si>
  <si>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</si>
  <si>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</si>
  <si>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</si>
  <si>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</si>
  <si>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</si>
  <si>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</si>
  <si>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</si>
  <si>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</si>
  <si>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</si>
  <si>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</si>
  <si>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</si>
  <si>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</si>
  <si>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</si>
  <si>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</si>
  <si>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</si>
  <si>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</si>
  <si>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</si>
  <si>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</si>
  <si>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</si>
  <si>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</si>
  <si>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</si>
  <si>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</si>
  <si>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</si>
  <si>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</si>
  <si>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</si>
  <si>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</si>
  <si>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</si>
  <si>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</si>
  <si>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</si>
  <si>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</si>
  <si>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</si>
  <si>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</si>
  <si>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</si>
  <si>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</si>
  <si>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</si>
  <si>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</si>
  <si>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</si>
  <si>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</si>
  <si>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</si>
  <si>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</si>
  <si>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</si>
  <si>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</si>
  <si>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</si>
  <si>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</si>
  <si>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</si>
  <si>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</si>
  <si>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</si>
  <si>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</si>
  <si>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</si>
  <si>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</si>
  <si>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</si>
  <si>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</si>
  <si>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</si>
  <si>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</si>
  <si>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</si>
  <si>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</si>
  <si>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</si>
  <si>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</si>
  <si>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</si>
  <si>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</si>
  <si>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</si>
  <si>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</si>
  <si>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</si>
  <si>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</si>
  <si>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</si>
  <si>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</si>
  <si>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</si>
  <si>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</si>
  <si>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</si>
  <si>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</si>
  <si>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</si>
  <si>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</si>
  <si>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</si>
  <si>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</si>
  <si>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</si>
  <si>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</si>
  <si>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</si>
  <si>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</si>
  <si>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</si>
  <si>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</si>
  <si>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</si>
  <si>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</si>
  <si>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</si>
  <si>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</si>
  <si>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</si>
  <si>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</si>
  <si>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</si>
  <si>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</si>
  <si>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</si>
  <si>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</si>
  <si>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</si>
  <si>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</si>
  <si>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</si>
  <si>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</si>
  <si>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</si>
  <si>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</si>
  <si>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</si>
  <si>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</si>
  <si>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</si>
  <si>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</si>
  <si>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</si>
  <si>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</si>
  <si>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</si>
  <si>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</si>
  <si>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</si>
  <si>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</si>
  <si>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</si>
  <si>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</si>
  <si>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</si>
  <si>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</si>
  <si>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</si>
  <si>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</si>
  <si>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</si>
  <si>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</si>
  <si>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</si>
  <si>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</si>
  <si>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</si>
  <si>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</si>
  <si>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</si>
  <si>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</si>
  <si>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</si>
  <si>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</si>
  <si>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</si>
  <si>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</si>
  <si>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</si>
  <si>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</si>
  <si>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</si>
  <si>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</si>
  <si>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</si>
  <si>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</si>
  <si>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</si>
  <si>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</si>
  <si>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</si>
  <si>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</si>
  <si>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</si>
  <si>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</si>
  <si>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</si>
  <si>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</si>
  <si>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</si>
  <si>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</si>
  <si>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</si>
  <si>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</si>
  <si>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</si>
  <si>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</si>
  <si>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</si>
  <si>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</si>
  <si>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</si>
  <si>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</si>
  <si>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</si>
  <si>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</si>
  <si>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</si>
  <si>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</si>
  <si>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</si>
  <si>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</si>
  <si>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</si>
  <si>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</si>
  <si>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</si>
  <si>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</si>
  <si>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</si>
  <si>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</si>
  <si>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</si>
  <si>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</si>
  <si>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</si>
  <si>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</si>
  <si>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</si>
  <si>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</si>
  <si>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</si>
  <si>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</si>
  <si>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</si>
  <si>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</si>
  <si>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</si>
  <si>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</si>
  <si>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</si>
  <si>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</si>
  <si>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</si>
  <si>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</si>
  <si>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</si>
  <si>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</si>
  <si>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</si>
  <si>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</si>
  <si>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</si>
  <si>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</si>
  <si>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</si>
  <si>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</si>
  <si>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</si>
  <si>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</si>
  <si>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</si>
  <si>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</si>
  <si>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</si>
  <si>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</si>
  <si>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</si>
  <si>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</si>
  <si>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</si>
  <si>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</si>
  <si>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</si>
  <si>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</si>
  <si>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</si>
  <si>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</si>
  <si>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</si>
  <si>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</si>
  <si>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</si>
  <si>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</si>
  <si>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</si>
  <si>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</si>
  <si>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</si>
  <si>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</si>
  <si>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</si>
  <si>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</si>
  <si>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</si>
  <si>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</si>
  <si>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</si>
  <si>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</si>
  <si>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</si>
  <si>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</si>
  <si>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</si>
  <si>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</si>
  <si>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</si>
  <si>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</si>
  <si>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</si>
  <si>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</si>
  <si>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</si>
  <si>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</si>
  <si>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</si>
  <si>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</si>
  <si>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</si>
  <si>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</si>
  <si>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</si>
  <si>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</si>
  <si>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</si>
  <si>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</si>
  <si>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</si>
  <si>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</si>
  <si>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</si>
  <si>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</si>
  <si>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</si>
  <si>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</si>
  <si>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</si>
  <si>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</si>
  <si>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</si>
  <si>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</si>
  <si>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</si>
  <si>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</si>
  <si>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</si>
  <si>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</si>
  <si>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</si>
  <si>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</si>
  <si>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</si>
  <si>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</si>
  <si>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</si>
  <si>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</si>
  <si>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</si>
  <si>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</si>
  <si>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</si>
  <si>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</si>
  <si>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</si>
  <si>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</si>
  <si>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</si>
  <si>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</si>
  <si>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</si>
  <si>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</si>
  <si>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</si>
  <si>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</si>
  <si>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</si>
  <si>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</si>
  <si>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</si>
  <si>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</si>
  <si>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</si>
  <si>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</si>
  <si>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</si>
  <si>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</si>
  <si>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</si>
  <si>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</si>
  <si>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</si>
  <si>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</si>
  <si>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</si>
  <si>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</si>
  <si>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</si>
  <si>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</si>
  <si>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</si>
  <si>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</si>
  <si>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</si>
  <si>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</si>
  <si>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</si>
  <si>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</si>
  <si>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</si>
  <si>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</si>
  <si>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</si>
  <si>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</si>
  <si>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</si>
  <si>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</si>
  <si>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</si>
  <si>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</si>
  <si>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</si>
  <si>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</si>
  <si>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</si>
  <si>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</si>
  <si>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</si>
  <si>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</si>
  <si>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</si>
  <si>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</si>
  <si>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</si>
  <si>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</si>
  <si>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</si>
  <si>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</si>
  <si>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</si>
  <si>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</si>
  <si>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</si>
  <si>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</si>
  <si>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</si>
  <si>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</si>
  <si>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</si>
  <si>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</si>
  <si>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</si>
  <si>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</si>
  <si>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</si>
  <si>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</si>
  <si>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</si>
  <si>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</si>
  <si>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</si>
  <si>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</si>
  <si>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</si>
  <si>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</si>
  <si>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</si>
  <si>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</si>
  <si>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</si>
  <si>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</si>
  <si>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</si>
  <si>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</si>
  <si>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</si>
  <si>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</si>
  <si>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</si>
  <si>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</si>
  <si>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</si>
  <si>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</si>
  <si>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</si>
  <si>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</si>
  <si>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</si>
  <si>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</si>
  <si>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</si>
  <si>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</si>
  <si>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</si>
  <si>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</si>
  <si>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</si>
  <si>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</si>
  <si>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</si>
  <si>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</si>
  <si>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</si>
  <si>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</si>
  <si>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</si>
  <si>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</si>
  <si>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</si>
  <si>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</si>
  <si>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</si>
  <si>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</si>
  <si>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</si>
  <si>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</si>
  <si>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</si>
  <si>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</si>
  <si>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</si>
  <si>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</si>
  <si>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</si>
  <si>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</si>
  <si>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</si>
  <si>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</si>
  <si>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</si>
  <si>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</si>
  <si>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</si>
  <si>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</si>
  <si>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</si>
  <si>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</si>
  <si>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</si>
  <si>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</si>
  <si>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</si>
  <si>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</si>
  <si>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</si>
  <si>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</si>
  <si>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</si>
  <si>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</si>
  <si>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</si>
  <si>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</si>
  <si>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</si>
  <si>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</si>
  <si>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</si>
  <si>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</si>
  <si>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</si>
  <si>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</si>
  <si>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</si>
  <si>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</si>
  <si>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</si>
  <si>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</si>
  <si>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</si>
  <si>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</si>
  <si>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</si>
  <si>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</si>
  <si>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</si>
  <si>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</si>
  <si>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</si>
  <si>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</si>
  <si>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</si>
  <si>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</si>
  <si>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</si>
  <si>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</si>
  <si>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</si>
  <si>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</si>
  <si>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</si>
  <si>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</si>
  <si>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</si>
  <si>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</si>
  <si>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</si>
  <si>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</si>
  <si>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</si>
  <si>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</si>
  <si>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</si>
  <si>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</si>
  <si>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</si>
  <si>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</si>
  <si>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</si>
  <si>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</si>
  <si>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</si>
  <si>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</si>
  <si>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</si>
  <si>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</si>
  <si>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</si>
  <si>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</si>
  <si>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</si>
  <si>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</si>
  <si>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</si>
  <si>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</si>
  <si>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</si>
  <si>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</si>
  <si>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</si>
  <si>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</si>
  <si>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</si>
  <si>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</si>
  <si>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</si>
  <si>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</si>
  <si>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</si>
  <si>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</si>
  <si>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</si>
  <si>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</si>
  <si>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</si>
  <si>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</si>
  <si>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</si>
  <si>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</si>
  <si>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</si>
  <si>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</si>
  <si>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</si>
  <si>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</si>
  <si>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</si>
  <si>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</si>
  <si>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</si>
  <si>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</si>
  <si>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</si>
  <si>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</si>
  <si>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</si>
  <si>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</si>
  <si>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</si>
  <si>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</si>
  <si>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</si>
  <si>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</si>
  <si>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</si>
  <si>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</si>
  <si>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</si>
  <si>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</si>
  <si>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</si>
  <si>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</si>
  <si>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</si>
  <si>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</si>
  <si>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</si>
  <si>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</si>
  <si>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</si>
  <si>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</si>
  <si>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</si>
  <si>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</si>
  <si>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</si>
  <si>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</si>
  <si>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</si>
  <si>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</si>
  <si>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</si>
  <si>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</si>
  <si>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</si>
  <si>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</si>
  <si>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</si>
  <si>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</si>
  <si>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</si>
  <si>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</si>
  <si>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</si>
  <si>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</si>
  <si>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</si>
  <si>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</si>
  <si>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</si>
  <si>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</si>
  <si>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</si>
  <si>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</si>
  <si>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</si>
  <si>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</si>
  <si>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</si>
  <si>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</si>
  <si>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</si>
  <si>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</si>
  <si>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</si>
  <si>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</si>
  <si>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</si>
  <si>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</si>
  <si>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</si>
  <si>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</si>
  <si>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</si>
  <si>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</si>
  <si>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</si>
  <si>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</si>
  <si>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</si>
  <si>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</si>
  <si>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</si>
  <si>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</si>
  <si>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</si>
  <si>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</si>
  <si>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</si>
  <si>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</si>
  <si>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</si>
  <si>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</si>
  <si>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</si>
  <si>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</si>
  <si>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</si>
  <si>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</si>
  <si>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</si>
  <si>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</si>
  <si>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</si>
  <si>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</si>
  <si>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</si>
  <si>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</si>
  <si>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</si>
  <si>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</si>
  <si>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</si>
  <si>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</si>
  <si>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</si>
  <si>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</si>
  <si>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</si>
  <si>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</si>
  <si>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</si>
  <si>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</si>
  <si>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</si>
  <si>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</si>
  <si>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</si>
  <si>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</si>
  <si>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</si>
  <si>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</si>
  <si>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</si>
  <si>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</si>
  <si>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</si>
  <si>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</si>
  <si>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</si>
  <si>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</si>
  <si>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</si>
  <si>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</si>
  <si>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</si>
  <si>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</si>
  <si>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</si>
  <si>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</si>
  <si>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</si>
  <si>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</si>
  <si>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</si>
  <si>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</si>
  <si>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</si>
  <si>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</si>
  <si>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</si>
  <si>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</si>
  <si>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</si>
  <si>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</si>
  <si>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</si>
  <si>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</si>
  <si>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</si>
  <si>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</si>
  <si>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</si>
  <si>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</si>
  <si>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</si>
  <si>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</si>
  <si>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</si>
  <si>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</si>
  <si>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</si>
  <si>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</si>
  <si>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</si>
  <si>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</si>
  <si>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</si>
  <si>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</si>
  <si>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</si>
  <si>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</si>
  <si>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</si>
  <si>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</si>
  <si>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</si>
  <si>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</si>
  <si>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</si>
  <si>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</si>
  <si>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</si>
  <si>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</si>
  <si>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</si>
  <si>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</si>
  <si>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</si>
  <si>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</si>
  <si>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</si>
  <si>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</si>
  <si>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</si>
  <si>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</si>
  <si>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</si>
  <si>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</si>
  <si>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</si>
  <si>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</si>
  <si>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</si>
  <si>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</si>
  <si>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</si>
  <si>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</si>
  <si>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</si>
  <si>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</si>
  <si>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</si>
  <si>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</si>
  <si>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</si>
  <si>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</si>
  <si>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</si>
  <si>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</si>
  <si>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</si>
  <si>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</si>
  <si>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</si>
  <si>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</si>
  <si>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</si>
  <si>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</si>
  <si>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</si>
  <si>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</si>
  <si>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</si>
  <si>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</si>
  <si>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</si>
  <si>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</si>
  <si>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</si>
  <si>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</si>
  <si>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</si>
  <si>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</si>
  <si>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</si>
  <si>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</si>
  <si>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</si>
  <si>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</si>
  <si>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</si>
  <si>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</si>
  <si>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</si>
  <si>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</si>
  <si>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</si>
  <si>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</si>
  <si>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</si>
  <si>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</si>
  <si>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</si>
  <si>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</si>
  <si>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</si>
  <si>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</si>
  <si>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</si>
  <si>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</si>
  <si>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</si>
  <si>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</si>
  <si>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</si>
  <si>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</si>
  <si>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</si>
  <si>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</si>
  <si>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</si>
  <si>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</si>
  <si>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</si>
  <si>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</si>
  <si>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</si>
  <si>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</si>
  <si>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</si>
  <si>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</si>
  <si>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</si>
  <si>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</si>
  <si>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</si>
  <si>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</si>
  <si>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</si>
  <si>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</si>
  <si>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</si>
  <si>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</si>
  <si>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</si>
  <si>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</si>
  <si>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</si>
  <si>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</si>
  <si>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</si>
  <si>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</si>
  <si>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</si>
  <si>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</si>
  <si>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</si>
  <si>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</si>
  <si>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</si>
  <si>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</si>
  <si>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</si>
  <si>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</si>
  <si>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</si>
  <si>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</si>
  <si>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</si>
  <si>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</si>
  <si>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</si>
  <si>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</si>
  <si>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</si>
  <si>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</si>
  <si>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</si>
  <si>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</si>
  <si>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</si>
  <si>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</si>
  <si>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</si>
  <si>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</si>
  <si>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</si>
  <si>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</si>
  <si>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</si>
  <si>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</si>
  <si>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</si>
  <si>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</si>
  <si>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</si>
  <si>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</si>
  <si>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</si>
  <si>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</si>
  <si>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</si>
  <si>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</si>
  <si>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</si>
  <si>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</si>
  <si>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</si>
  <si>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</si>
  <si>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</si>
  <si>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</si>
  <si>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</si>
  <si>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</si>
  <si>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</si>
  <si>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</si>
  <si>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</si>
  <si>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</si>
  <si>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</si>
  <si>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</si>
  <si>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</si>
  <si>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</si>
  <si>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</si>
  <si>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</si>
  <si>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</si>
  <si>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</si>
  <si>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</si>
  <si>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</si>
  <si>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</si>
  <si>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</si>
  <si>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</si>
  <si>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</si>
  <si>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</si>
  <si>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</si>
  <si>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</si>
  <si>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</si>
  <si>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</si>
  <si>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</si>
  <si>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</si>
  <si>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</si>
  <si>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</si>
  <si>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</si>
  <si>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</si>
  <si>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</si>
  <si>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</si>
  <si>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</si>
  <si>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</si>
  <si>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</si>
  <si>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</si>
  <si>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</si>
  <si>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</si>
  <si>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</si>
  <si>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</si>
  <si>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</si>
  <si>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</si>
  <si>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</si>
  <si>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</si>
  <si>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</si>
  <si>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</si>
  <si>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</si>
  <si>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</si>
  <si>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</si>
  <si>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</si>
  <si>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</si>
  <si>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</si>
  <si>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</si>
  <si>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</si>
  <si>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</si>
  <si>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</si>
  <si>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</si>
  <si>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</si>
  <si>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</si>
  <si>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</si>
  <si>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</si>
  <si>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</si>
  <si>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</si>
  <si>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</si>
  <si>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</si>
  <si>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</si>
  <si>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</si>
  <si>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</si>
  <si>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</si>
  <si>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</si>
  <si>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</si>
  <si>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</si>
  <si>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</si>
  <si>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</si>
  <si>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</si>
  <si>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</si>
  <si>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</si>
  <si>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</si>
  <si>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</si>
  <si>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</si>
  <si>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</si>
  <si>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</si>
  <si>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</si>
  <si>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</si>
  <si>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</si>
  <si>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</si>
  <si>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</si>
  <si>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</si>
  <si>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</si>
  <si>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</si>
  <si>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</si>
  <si>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</si>
  <si>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</si>
  <si>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</si>
  <si>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</si>
  <si>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</si>
  <si>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</si>
  <si>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</si>
  <si>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</si>
  <si>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</si>
  <si>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</si>
  <si>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</si>
  <si>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</si>
  <si>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</si>
  <si>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</si>
  <si>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</si>
  <si>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</si>
  <si>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</si>
  <si>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</si>
  <si>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</si>
  <si>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</si>
  <si>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</si>
  <si>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</si>
  <si>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</si>
  <si>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</si>
  <si>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</si>
  <si>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</si>
  <si>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</si>
  <si>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</si>
  <si>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</si>
  <si>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</si>
  <si>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</si>
  <si>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</si>
  <si>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</si>
  <si>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</si>
  <si>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</si>
  <si>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</si>
  <si>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</si>
  <si>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</si>
  <si>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</si>
  <si>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</si>
  <si>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</si>
  <si>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</si>
  <si>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</si>
  <si>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</si>
  <si>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</si>
  <si>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</si>
  <si>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</si>
  <si>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</si>
  <si>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</si>
  <si>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</si>
  <si>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</si>
  <si>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</si>
  <si>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</si>
  <si>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</si>
  <si>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</si>
  <si>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</si>
  <si>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</si>
  <si>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</si>
  <si>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</si>
  <si>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</si>
  <si>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</si>
  <si>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</si>
  <si>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</si>
  <si>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</si>
  <si>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</si>
  <si>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</si>
  <si>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</si>
  <si>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</si>
  <si>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</si>
  <si>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</si>
  <si>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</si>
  <si>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</si>
  <si>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</si>
  <si>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</si>
  <si>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</si>
  <si>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</si>
  <si>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</si>
  <si>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</si>
  <si>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</si>
  <si>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</si>
  <si>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</si>
  <si>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</si>
  <si>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</si>
  <si>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</si>
  <si>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</si>
  <si>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</si>
  <si>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</si>
  <si>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</si>
  <si>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</si>
  <si>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</si>
  <si>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</si>
  <si>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</si>
  <si>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</si>
  <si>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</si>
  <si>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</si>
  <si>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</si>
  <si>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</si>
  <si>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</si>
  <si>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</si>
  <si>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</si>
  <si>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</si>
  <si>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</si>
  <si>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</si>
  <si>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</si>
  <si>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</si>
  <si>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</si>
  <si>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</si>
  <si>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</si>
  <si>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</si>
  <si>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</si>
  <si>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</si>
  <si>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</si>
  <si>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</si>
  <si>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</si>
  <si>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</si>
  <si>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</si>
  <si>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</si>
  <si>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</si>
  <si>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</si>
  <si>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</si>
  <si>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</si>
  <si>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</si>
  <si>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</si>
  <si>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</si>
  <si>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</si>
  <si>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</si>
  <si>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</si>
  <si>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</si>
  <si>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</si>
  <si>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</si>
  <si>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</si>
  <si>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</si>
  <si>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</si>
  <si>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</si>
  <si>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</si>
  <si>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</si>
  <si>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</si>
  <si>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</si>
  <si>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</si>
  <si>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</si>
  <si>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</si>
  <si>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</si>
  <si>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</si>
  <si>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</si>
  <si>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</si>
  <si>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</si>
  <si>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</si>
  <si>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</si>
  <si>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</si>
  <si>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</si>
  <si>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</si>
  <si>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</si>
  <si>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</si>
  <si>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</si>
  <si>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</si>
  <si>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</si>
  <si>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</si>
  <si>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</si>
  <si>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</si>
  <si>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</si>
  <si>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</si>
  <si>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</si>
  <si>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</si>
  <si>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</si>
  <si>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</si>
  <si>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</si>
  <si>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</si>
  <si>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</si>
  <si>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</si>
  <si>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</si>
  <si>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</si>
  <si>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</si>
  <si>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</si>
  <si>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</si>
  <si>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</si>
  <si>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</si>
  <si>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</si>
  <si>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</si>
  <si>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</si>
  <si>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</si>
  <si>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</si>
  <si>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</si>
  <si>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</si>
  <si>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</si>
  <si>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</si>
  <si>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</si>
  <si>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</si>
  <si>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</si>
  <si>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</si>
  <si>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</si>
  <si>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</si>
  <si>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</si>
  <si>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</si>
  <si>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</si>
  <si>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</si>
  <si>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</si>
  <si>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</si>
  <si>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</si>
  <si>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</si>
  <si>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</si>
  <si>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</si>
  <si>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</si>
  <si>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</si>
  <si>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</si>
  <si>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</si>
  <si>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</si>
  <si>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</si>
  <si>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</si>
  <si>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</si>
  <si>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</si>
  <si>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</si>
  <si>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</si>
  <si>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</si>
  <si>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</si>
  <si>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</si>
  <si>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</si>
  <si>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</si>
  <si>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</si>
  <si>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</si>
  <si>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</si>
  <si>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</si>
  <si>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</si>
  <si>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</si>
  <si>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</si>
  <si>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</si>
  <si>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</si>
  <si>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</si>
  <si>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</si>
  <si>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</si>
  <si>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</si>
  <si>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</si>
  <si>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</si>
  <si>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</si>
  <si>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</si>
  <si>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</si>
  <si>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</si>
  <si>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</si>
  <si>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</si>
  <si>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</si>
  <si>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</si>
  <si>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</si>
  <si>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</si>
  <si>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</si>
  <si>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</si>
  <si>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</si>
  <si>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</si>
  <si>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</si>
  <si>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</si>
  <si>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</si>
  <si>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</si>
  <si>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</si>
  <si>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</si>
  <si>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</si>
  <si>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</si>
  <si>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</si>
  <si>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</si>
  <si>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</si>
  <si>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</si>
  <si>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</si>
  <si>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</si>
  <si>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</si>
  <si>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</si>
  <si>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</si>
  <si>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</si>
  <si>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</si>
  <si>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</si>
  <si>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</si>
  <si>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</si>
  <si>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</si>
  <si>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</si>
  <si>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</si>
  <si>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</si>
  <si>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</si>
  <si>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</si>
  <si>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</si>
  <si>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</si>
  <si>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</si>
  <si>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</si>
  <si>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</si>
  <si>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</si>
  <si>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</si>
  <si>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</si>
  <si>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</si>
  <si>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</si>
  <si>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</si>
  <si>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</si>
  <si>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</si>
  <si>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</si>
  <si>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</si>
  <si>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</si>
  <si>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</si>
  <si>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</si>
  <si>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</si>
  <si>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</si>
  <si>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</si>
  <si>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</si>
  <si>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</si>
  <si>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</si>
  <si>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</si>
  <si>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</si>
  <si>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</si>
  <si>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</si>
  <si>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</si>
  <si>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</si>
  <si>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</si>
  <si>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</si>
  <si>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</si>
  <si>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</si>
  <si>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</si>
  <si>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</si>
  <si>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</si>
  <si>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</si>
  <si>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</si>
  <si>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</si>
  <si>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</si>
  <si>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</si>
  <si>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</si>
  <si>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</si>
  <si>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</si>
  <si>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</si>
  <si>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</si>
  <si>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</si>
  <si>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</si>
  <si>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</si>
  <si>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</si>
  <si>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</si>
  <si>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</si>
  <si>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</si>
  <si>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</si>
  <si>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</si>
  <si>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</si>
  <si>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</si>
  <si>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</si>
  <si>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</si>
  <si>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</si>
  <si>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</si>
  <si>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</si>
  <si>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</si>
  <si>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</si>
  <si>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</si>
  <si>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</si>
  <si>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</si>
  <si>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</si>
  <si>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</si>
  <si>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</si>
  <si>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</si>
  <si>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</si>
  <si>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</si>
  <si>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</si>
  <si>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</si>
  <si>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</si>
  <si>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</si>
  <si>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</si>
  <si>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</si>
  <si>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</si>
  <si>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</si>
  <si>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</si>
  <si>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</si>
  <si>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</si>
  <si>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</si>
  <si>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</si>
  <si>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</si>
  <si>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</si>
  <si>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</si>
  <si>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</si>
  <si>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</si>
  <si>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</si>
  <si>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</si>
  <si>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</si>
  <si>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</si>
  <si>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</si>
  <si>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</si>
  <si>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</si>
  <si>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</si>
  <si>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</si>
  <si>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</si>
  <si>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</si>
  <si>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</si>
  <si>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</si>
  <si>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</si>
  <si>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</si>
  <si>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</si>
  <si>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</si>
  <si>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</si>
  <si>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</si>
  <si>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</si>
  <si>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</si>
  <si>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</si>
  <si>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</si>
  <si>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</si>
  <si>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</si>
  <si>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</si>
  <si>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</si>
  <si>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</si>
  <si>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</si>
  <si>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</si>
  <si>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</si>
  <si>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</si>
  <si>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</si>
  <si>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</si>
  <si>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</si>
  <si>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</si>
  <si>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</si>
  <si>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</si>
  <si>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</si>
  <si>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</si>
  <si>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</si>
  <si>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</si>
  <si>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</si>
  <si>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</si>
  <si>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</si>
  <si>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</si>
  <si>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</si>
  <si>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</si>
  <si>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</si>
  <si>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</si>
  <si>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</si>
  <si>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</si>
  <si>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</si>
  <si>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</si>
  <si>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</si>
  <si>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</si>
  <si>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</si>
  <si>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</si>
  <si>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</si>
  <si>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</si>
  <si>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</si>
  <si>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</si>
  <si>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</si>
  <si>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</si>
  <si>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</si>
  <si>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</si>
  <si>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</si>
  <si>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</si>
  <si>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</si>
  <si>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</si>
  <si>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</si>
  <si>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</si>
  <si>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</si>
  <si>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</si>
  <si>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</si>
  <si>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</si>
  <si>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</si>
  <si>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</si>
  <si>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</si>
  <si>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</si>
  <si>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</si>
  <si>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</si>
  <si>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</si>
  <si>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</si>
  <si>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</si>
  <si>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</si>
  <si>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</si>
  <si>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</si>
  <si>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</si>
  <si>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</si>
  <si>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</si>
  <si>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</si>
  <si>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</si>
  <si>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</si>
  <si>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</si>
  <si>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</si>
  <si>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</si>
  <si>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</si>
  <si>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</si>
  <si>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</si>
  <si>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</si>
  <si>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</si>
  <si>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</si>
  <si>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</si>
  <si>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</si>
  <si>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</si>
  <si>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</si>
  <si>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</si>
  <si>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</si>
  <si>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</si>
  <si>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</si>
  <si>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</si>
  <si>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</si>
  <si>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</si>
  <si>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</si>
  <si>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</si>
  <si>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</si>
  <si>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</si>
  <si>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</si>
  <si>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</si>
  <si>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</si>
  <si>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</si>
  <si>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</si>
  <si>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</si>
  <si>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</si>
  <si>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</si>
  <si>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</si>
  <si>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</si>
  <si>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</si>
  <si>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</si>
  <si>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</si>
  <si>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</si>
  <si>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</si>
  <si>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</si>
  <si>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</si>
  <si>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</si>
  <si>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</si>
  <si>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</si>
  <si>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</si>
  <si>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</si>
  <si>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</si>
  <si>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</si>
  <si>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</si>
  <si>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</si>
  <si>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</si>
  <si>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</si>
  <si>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</si>
  <si>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</si>
  <si>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</si>
  <si>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</si>
  <si>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</si>
  <si>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</si>
  <si>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</si>
  <si>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</si>
  <si>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</si>
  <si>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</si>
  <si>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</si>
  <si>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</si>
  <si>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</si>
  <si>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</si>
  <si>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</si>
  <si>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</si>
  <si>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</si>
  <si>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</si>
  <si>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</si>
  <si>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</si>
  <si>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</si>
  <si>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</si>
  <si>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</si>
  <si>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</si>
  <si>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</si>
  <si>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</si>
  <si>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</si>
  <si>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</si>
  <si>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</si>
  <si>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</si>
  <si>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</si>
  <si>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</si>
  <si>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</si>
  <si>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</si>
  <si>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</si>
  <si>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</si>
  <si>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</si>
  <si>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</si>
  <si>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</si>
  <si>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</si>
  <si>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</si>
  <si>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</si>
  <si>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</si>
  <si>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</si>
  <si>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</si>
  <si>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</si>
  <si>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</si>
  <si>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</si>
  <si>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</si>
  <si>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</si>
  <si>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</si>
  <si>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</si>
  <si>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</si>
  <si>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</si>
  <si>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</si>
  <si>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</si>
  <si>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</si>
  <si>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</si>
  <si>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</si>
  <si>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</si>
  <si>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</si>
  <si>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</si>
  <si>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</si>
  <si>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</si>
  <si>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</si>
  <si>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</si>
  <si>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</si>
  <si>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</si>
  <si>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</si>
  <si>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</si>
  <si>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</si>
  <si>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</si>
  <si>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</si>
  <si>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</si>
  <si>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</si>
  <si>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</si>
  <si>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</si>
  <si>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</si>
  <si>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</si>
  <si>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</si>
  <si>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</si>
  <si>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</si>
  <si>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</si>
  <si>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</si>
  <si>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</si>
  <si>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</si>
  <si>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</si>
  <si>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</si>
  <si>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</si>
  <si>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</si>
  <si>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</si>
  <si>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</si>
  <si>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</si>
  <si>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</si>
  <si>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</si>
  <si>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</si>
  <si>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</si>
  <si>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</si>
  <si>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</si>
  <si>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</si>
  <si>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</si>
  <si>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</si>
  <si>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</si>
  <si>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</si>
  <si>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</si>
  <si>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</si>
  <si>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</si>
  <si>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</si>
  <si>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</si>
  <si>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</si>
  <si>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</si>
  <si>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</si>
  <si>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</si>
  <si>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</si>
  <si>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</si>
  <si>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</si>
  <si>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</si>
  <si>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</si>
  <si>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</si>
  <si>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</si>
  <si>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</si>
  <si>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</si>
  <si>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</si>
  <si>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</si>
  <si>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</si>
  <si>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</si>
  <si>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</si>
  <si>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</si>
  <si>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</si>
  <si>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</si>
  <si>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</si>
  <si>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</si>
  <si>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</si>
  <si>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</si>
  <si>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</si>
  <si>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</si>
  <si>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</si>
  <si>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</si>
  <si>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</si>
  <si>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</si>
  <si>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</si>
  <si>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</si>
  <si>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</si>
  <si>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</si>
  <si>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</si>
  <si>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</si>
  <si>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</si>
  <si>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</si>
  <si>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</si>
  <si>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</si>
  <si>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</si>
  <si>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</si>
  <si>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</si>
  <si>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</si>
  <si>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</si>
  <si>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</si>
  <si>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</si>
  <si>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</si>
  <si>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</si>
  <si>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</si>
  <si>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</si>
  <si>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</si>
  <si>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</si>
  <si>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</si>
  <si>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</si>
  <si>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</si>
  <si>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</si>
  <si>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</si>
  <si>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</si>
  <si>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</si>
  <si>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</si>
  <si>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</si>
  <si>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</si>
  <si>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</si>
  <si>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</si>
  <si>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</si>
  <si>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</si>
  <si>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</si>
  <si>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</si>
  <si>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</si>
  <si>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</si>
  <si>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</si>
  <si>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</si>
  <si>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</si>
  <si>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</si>
  <si>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</si>
  <si>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</si>
  <si>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</si>
  <si>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</si>
  <si>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</si>
  <si>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</si>
  <si>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</si>
  <si>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</si>
  <si>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</si>
  <si>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</si>
  <si>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</si>
  <si>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</si>
  <si>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</si>
  <si>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</si>
  <si>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</si>
  <si>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</si>
  <si>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</si>
  <si>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</si>
  <si>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</si>
  <si>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</si>
  <si>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</si>
  <si>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</si>
  <si>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</si>
  <si>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</si>
  <si>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</si>
  <si>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</si>
  <si>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</si>
  <si>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</si>
  <si>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</si>
  <si>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</si>
  <si>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</si>
  <si>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</si>
  <si>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</si>
  <si>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</si>
  <si>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</si>
  <si>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</si>
  <si>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</si>
  <si>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</si>
  <si>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</si>
  <si>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</si>
  <si>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</si>
  <si>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</si>
  <si>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</si>
  <si>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</si>
  <si>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</si>
  <si>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</si>
  <si>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</si>
  <si>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</si>
  <si>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</si>
  <si>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</si>
  <si>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</si>
  <si>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</si>
  <si>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</si>
  <si>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</si>
  <si>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</si>
  <si>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</si>
  <si>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</si>
  <si>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</si>
  <si>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</si>
  <si>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</si>
  <si>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</si>
  <si>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</si>
  <si>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</si>
  <si>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</si>
  <si>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</si>
  <si>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</si>
  <si>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</si>
  <si>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</si>
  <si>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</si>
  <si>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</si>
  <si>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</si>
  <si>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</si>
  <si>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</si>
  <si>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</si>
  <si>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</si>
  <si>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</si>
  <si>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</si>
  <si>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</si>
  <si>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</si>
  <si>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</si>
  <si>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</si>
  <si>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</si>
  <si>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</si>
  <si>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</si>
  <si>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</si>
  <si>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</si>
  <si>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</si>
  <si>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</si>
  <si>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</si>
  <si>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</si>
  <si>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</si>
  <si>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</si>
  <si>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</si>
  <si>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</si>
  <si>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</si>
  <si>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</si>
  <si>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</si>
  <si>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</si>
  <si>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</si>
  <si>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</si>
  <si>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</si>
  <si>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</si>
  <si>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</si>
  <si>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</si>
  <si>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</si>
  <si>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</si>
  <si>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</si>
  <si>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</si>
  <si>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</si>
  <si>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</si>
  <si>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</si>
  <si>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</si>
  <si>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</si>
  <si>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</si>
  <si>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</si>
  <si>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</si>
  <si>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</si>
  <si>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</si>
  <si>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</si>
  <si>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</si>
  <si>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</si>
  <si>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</si>
  <si>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</si>
  <si>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</si>
  <si>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</si>
  <si>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</si>
  <si>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</si>
  <si>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</si>
  <si>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</si>
  <si>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</si>
  <si>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</si>
  <si>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</si>
  <si>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</si>
  <si>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</si>
  <si>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</si>
  <si>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</si>
  <si>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</si>
  <si>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</si>
  <si>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</si>
  <si>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</si>
  <si>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</si>
  <si>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</si>
  <si>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</si>
  <si>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</si>
  <si>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</si>
  <si>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</si>
  <si>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</si>
  <si>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</si>
  <si>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</si>
  <si>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</si>
  <si>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</si>
  <si>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</si>
  <si>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</si>
  <si>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</si>
  <si>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</si>
  <si>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</si>
  <si>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</si>
  <si>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</si>
  <si>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</si>
  <si>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</si>
  <si>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</si>
  <si>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</si>
  <si>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</si>
  <si>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</si>
  <si>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</si>
  <si>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</si>
  <si>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</si>
  <si>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</si>
  <si>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</si>
  <si>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</si>
  <si>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</si>
  <si>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</si>
  <si>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</si>
  <si>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</si>
  <si>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</si>
  <si>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</si>
  <si>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</si>
  <si>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</si>
  <si>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</si>
  <si>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</si>
  <si>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</si>
  <si>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</si>
  <si>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</si>
  <si>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</si>
  <si>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</si>
  <si>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</si>
  <si>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</si>
  <si>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</si>
  <si>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</si>
  <si>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</si>
  <si>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</si>
  <si>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</si>
  <si>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</si>
  <si>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</si>
  <si>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</si>
  <si>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</si>
  <si>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</si>
  <si>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</si>
  <si>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</si>
  <si>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</si>
  <si>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</si>
  <si>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</si>
  <si>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</si>
  <si>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</si>
  <si>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</si>
  <si>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</si>
  <si>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</si>
  <si>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</si>
  <si>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</si>
  <si>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</si>
  <si>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</si>
  <si>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</si>
  <si>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</si>
  <si>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</si>
  <si>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</si>
  <si>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</si>
  <si>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</si>
  <si>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</si>
  <si>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</si>
  <si>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</si>
  <si>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</si>
  <si>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</si>
  <si>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</si>
  <si>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</si>
  <si>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</si>
  <si>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</si>
  <si>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</si>
  <si>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</si>
  <si>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</si>
  <si>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</si>
  <si>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</si>
  <si>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</si>
  <si>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</si>
  <si>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</si>
  <si>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</si>
  <si>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</si>
  <si>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</si>
  <si>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</si>
  <si>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</si>
  <si>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</si>
  <si>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</si>
  <si>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</si>
  <si>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</si>
  <si>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</si>
  <si>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</si>
  <si>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</si>
  <si>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</si>
  <si>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</si>
  <si>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</si>
  <si>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</si>
  <si>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</si>
  <si>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</si>
  <si>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</si>
  <si>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</si>
  <si>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</si>
  <si>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</si>
  <si>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</si>
  <si>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</si>
  <si>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</si>
  <si>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</si>
  <si>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</si>
  <si>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</si>
  <si>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</si>
  <si>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</si>
  <si>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</si>
  <si>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</si>
  <si>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</si>
  <si>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</si>
  <si>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</si>
  <si>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</si>
  <si>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</si>
  <si>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</si>
  <si>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</si>
  <si>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</si>
  <si>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</si>
  <si>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</si>
  <si>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</si>
  <si>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</si>
  <si>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</si>
  <si>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</si>
  <si>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</si>
  <si>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</si>
  <si>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</si>
  <si>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</si>
  <si>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</si>
  <si>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</si>
  <si>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</si>
  <si>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</si>
  <si>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</si>
  <si>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</si>
  <si>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</si>
  <si>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</si>
  <si>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</si>
  <si>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</si>
  <si>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</si>
  <si>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</si>
  <si>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</si>
  <si>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</si>
  <si>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</si>
  <si>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</si>
  <si>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</si>
  <si>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</si>
  <si>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</si>
  <si>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</si>
  <si>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</si>
  <si>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</si>
  <si>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</si>
  <si>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</si>
  <si>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</si>
  <si>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</si>
  <si>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</si>
  <si>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</si>
  <si>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</si>
  <si>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</si>
  <si>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</si>
  <si>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</si>
  <si>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</si>
  <si>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</si>
  <si>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</si>
  <si>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</si>
  <si>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</si>
  <si>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</si>
  <si>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</si>
  <si>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</si>
  <si>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</si>
  <si>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</si>
  <si>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</si>
  <si>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</si>
  <si>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</si>
  <si>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</si>
  <si>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</si>
  <si>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</si>
  <si>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</si>
  <si>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</si>
  <si>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</si>
  <si>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</si>
  <si>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</si>
  <si>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</si>
  <si>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</si>
  <si>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</si>
  <si>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</si>
  <si>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</si>
  <si>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</si>
  <si>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</si>
  <si>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</si>
  <si>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</si>
  <si>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</si>
  <si>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</si>
  <si>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</si>
  <si>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</si>
  <si>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</si>
  <si>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</si>
  <si>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</si>
  <si>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</si>
  <si>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</si>
  <si>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</si>
  <si>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</si>
  <si>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</si>
  <si>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</si>
  <si>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</si>
  <si>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</si>
  <si>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</si>
  <si>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</si>
  <si>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</si>
  <si>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</si>
  <si>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</si>
  <si>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</si>
  <si>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</si>
  <si>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</si>
  <si>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</si>
  <si>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</si>
  <si>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</si>
  <si>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</si>
  <si>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</si>
  <si>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</si>
  <si>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</si>
  <si>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</si>
  <si>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</si>
  <si>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</si>
  <si>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</si>
  <si>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</si>
  <si>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</si>
  <si>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</si>
  <si>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</si>
  <si>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</si>
  <si>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</si>
  <si>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</si>
  <si>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</si>
  <si>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</si>
  <si>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</si>
  <si>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</si>
  <si>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</si>
  <si>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</si>
  <si>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</si>
  <si>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</si>
  <si>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</si>
  <si>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</si>
  <si>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</si>
  <si>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</si>
  <si>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</si>
  <si>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</si>
  <si>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</si>
  <si>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</si>
  <si>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</si>
  <si>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</si>
  <si>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</si>
  <si>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</si>
  <si>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</si>
  <si>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</si>
  <si>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</si>
  <si>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</si>
  <si>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</si>
  <si>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</si>
  <si>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</si>
  <si>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</si>
  <si>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</si>
  <si>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</si>
  <si>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</si>
  <si>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</si>
  <si>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</si>
  <si>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</si>
  <si>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</si>
  <si>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</si>
  <si>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</si>
  <si>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</si>
  <si>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</si>
  <si>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</si>
  <si>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</si>
  <si>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</si>
  <si>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</si>
  <si>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</si>
  <si>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</si>
  <si>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</si>
  <si>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</si>
  <si>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</si>
  <si>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</si>
  <si>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</si>
  <si>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</si>
  <si>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</si>
  <si>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</si>
  <si>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</si>
  <si>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</si>
  <si>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</si>
  <si>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</si>
  <si>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</si>
  <si>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</si>
  <si>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</si>
  <si>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</si>
  <si>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</si>
  <si>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</si>
  <si>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</si>
  <si>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</si>
  <si>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</si>
  <si>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</si>
  <si>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</si>
  <si>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</si>
  <si>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</si>
  <si>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</si>
  <si>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</si>
  <si>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</si>
  <si>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</si>
  <si>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</si>
  <si>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</si>
  <si>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</si>
  <si>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</si>
  <si>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</si>
  <si>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</si>
  <si>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</si>
  <si>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</si>
  <si>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</si>
  <si>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</si>
  <si>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</si>
  <si>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</si>
  <si>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</si>
  <si>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</si>
  <si>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</si>
  <si>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</si>
  <si>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</si>
  <si>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</si>
  <si>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</si>
  <si>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</si>
  <si>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</si>
  <si>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</si>
  <si>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</si>
  <si>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</si>
  <si>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</si>
  <si>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</si>
  <si>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</si>
  <si>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</si>
  <si>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</si>
  <si>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</si>
  <si>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</si>
  <si>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</si>
  <si>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</si>
  <si>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</si>
  <si>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</si>
  <si>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</si>
  <si>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</si>
  <si>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</si>
  <si>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</si>
  <si>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</si>
  <si>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</si>
  <si>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</si>
  <si>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</si>
  <si>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</si>
  <si>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</si>
  <si>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</si>
  <si>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</si>
  <si>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</si>
  <si>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</si>
  <si>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</si>
  <si>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</si>
  <si>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</si>
  <si>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</si>
  <si>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</si>
  <si>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</si>
  <si>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</si>
  <si>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</si>
  <si>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</si>
  <si>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</si>
  <si>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</si>
  <si>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</si>
  <si>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</si>
  <si>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</si>
  <si>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</si>
  <si>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</si>
  <si>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</si>
  <si>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</si>
  <si>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</si>
  <si>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</si>
  <si>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</si>
  <si>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</si>
  <si>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</si>
  <si>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</si>
  <si>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</si>
  <si>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</si>
  <si>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</si>
  <si>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</si>
  <si>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</si>
  <si>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</si>
  <si>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</si>
  <si>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</si>
  <si>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</si>
  <si>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</si>
  <si>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</si>
  <si>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</si>
  <si>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</si>
  <si>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</si>
  <si>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</si>
  <si>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</si>
  <si>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</si>
  <si>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</si>
  <si>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</si>
  <si>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</si>
  <si>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</si>
  <si>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</si>
  <si>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</si>
  <si>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</si>
  <si>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</si>
  <si>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</si>
  <si>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</si>
  <si>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</si>
  <si>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</si>
  <si>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</si>
  <si>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</si>
  <si>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</si>
  <si>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</si>
  <si>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</si>
  <si>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</si>
  <si>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</si>
  <si>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</si>
  <si>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</si>
  <si>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</si>
  <si>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</si>
  <si>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</si>
  <si>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</si>
  <si>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</si>
  <si>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</si>
  <si>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</si>
  <si>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</si>
  <si>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</si>
  <si>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</si>
  <si>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</si>
  <si>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</si>
  <si>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</si>
  <si>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</si>
  <si>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</si>
  <si>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</si>
  <si>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</si>
  <si>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</si>
  <si>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</si>
  <si>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</si>
  <si>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</si>
  <si>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</si>
  <si>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</si>
  <si>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</si>
  <si>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</si>
  <si>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</si>
  <si>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</si>
  <si>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</si>
  <si>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</si>
  <si>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</si>
  <si>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</si>
  <si>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</si>
  <si>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</si>
  <si>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</si>
  <si>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</si>
  <si>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</si>
  <si>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</si>
  <si>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</si>
  <si>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</si>
  <si>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</si>
  <si>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</si>
  <si>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</si>
  <si>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</si>
  <si>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</si>
  <si>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</si>
  <si>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</si>
  <si>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</si>
  <si>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</si>
  <si>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</si>
  <si>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</si>
  <si>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</si>
  <si>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</si>
  <si>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</si>
  <si>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</si>
  <si>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</si>
  <si>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</si>
  <si>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</si>
  <si>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</si>
  <si>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</si>
  <si>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</si>
  <si>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</si>
  <si>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</si>
  <si>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</si>
  <si>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</si>
  <si>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</si>
  <si>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</si>
  <si>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</si>
  <si>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</si>
  <si>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</si>
  <si>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</si>
  <si>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</si>
  <si>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</si>
  <si>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</si>
  <si>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</si>
  <si>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</si>
  <si>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</si>
  <si>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</si>
  <si>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</si>
  <si>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</si>
  <si>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</si>
  <si>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</si>
  <si>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</si>
  <si>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</si>
  <si>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</si>
  <si>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</si>
  <si>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</si>
  <si>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</si>
  <si>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</si>
  <si>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</si>
  <si>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</si>
  <si>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</si>
  <si>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</si>
  <si>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</si>
  <si>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</si>
  <si>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</si>
  <si>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</si>
  <si>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</si>
  <si>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</si>
  <si>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</si>
  <si>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</si>
  <si>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</si>
  <si>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</si>
  <si>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</si>
  <si>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</si>
  <si>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</si>
  <si>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</si>
  <si>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</si>
  <si>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</si>
  <si>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</si>
  <si>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</si>
  <si>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</si>
  <si>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</si>
  <si>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</si>
  <si>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</si>
  <si>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</si>
  <si>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</si>
  <si>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</si>
  <si>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</si>
  <si>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</si>
  <si>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</si>
  <si>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</si>
  <si>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</si>
  <si>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</si>
  <si>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</si>
  <si>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</si>
  <si>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</si>
  <si>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</si>
  <si>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</si>
  <si>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</si>
  <si>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</si>
  <si>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</si>
  <si>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</si>
  <si>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</si>
  <si>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</si>
  <si>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</si>
  <si>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</si>
  <si>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</si>
  <si>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</si>
  <si>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</si>
  <si>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</si>
  <si>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</si>
  <si>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</si>
  <si>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</si>
  <si>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</si>
  <si>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</si>
  <si>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</si>
  <si>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</si>
  <si>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</si>
  <si>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</si>
  <si>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</si>
  <si>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</si>
  <si>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</si>
  <si>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</si>
  <si>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</si>
  <si>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</si>
  <si>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</si>
  <si>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</si>
  <si>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</si>
  <si>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</si>
  <si>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</si>
  <si>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</si>
  <si>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</si>
  <si>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</si>
  <si>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</si>
  <si>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</si>
  <si>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</si>
  <si>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</si>
  <si>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</si>
  <si>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</si>
  <si>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</si>
  <si>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</si>
  <si>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</si>
  <si>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</si>
  <si>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</si>
  <si>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</si>
  <si>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</si>
  <si>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</si>
  <si>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</si>
  <si>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</si>
  <si>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</si>
  <si>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</si>
  <si>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</si>
  <si>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</si>
  <si>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</si>
  <si>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</si>
  <si>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</si>
  <si>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</si>
  <si>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</si>
  <si>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</si>
  <si>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</si>
  <si>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</si>
  <si>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</si>
  <si>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</si>
  <si>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</si>
  <si>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</si>
  <si>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</si>
  <si>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</si>
  <si>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</si>
  <si>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</si>
  <si>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</si>
  <si>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</si>
  <si>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</si>
  <si>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</si>
  <si>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</si>
  <si>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</si>
  <si>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</si>
  <si>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</si>
  <si>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</si>
  <si>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</si>
  <si>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</si>
  <si>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</si>
  <si>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</si>
  <si>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</si>
  <si>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</si>
  <si>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</si>
  <si>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</si>
  <si>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</si>
  <si>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</si>
  <si>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</si>
  <si>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</si>
  <si>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</si>
  <si>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</si>
  <si>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</si>
  <si>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</si>
  <si>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</si>
  <si>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</si>
  <si>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</si>
  <si>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</si>
  <si>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</si>
  <si>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</si>
  <si>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</si>
  <si>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</si>
  <si>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</si>
  <si>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</si>
  <si>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</si>
  <si>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</si>
  <si>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</si>
  <si>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</si>
  <si>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</si>
  <si>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</si>
  <si>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</si>
  <si>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</si>
  <si>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</si>
  <si>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</si>
  <si>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</si>
  <si>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</si>
  <si>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</si>
  <si>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</si>
  <si>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</si>
  <si>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</si>
  <si>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</si>
  <si>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</si>
  <si>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</si>
  <si>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</si>
  <si>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</si>
  <si>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</si>
  <si>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</si>
  <si>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</si>
  <si>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</si>
  <si>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</si>
  <si>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</si>
  <si>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</si>
  <si>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</si>
  <si>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</si>
  <si>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</si>
  <si>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</si>
  <si>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</si>
  <si>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</si>
  <si>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</si>
  <si>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</si>
  <si>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</si>
  <si>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</si>
  <si>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</si>
  <si>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</si>
  <si>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</si>
  <si>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</si>
  <si>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</si>
  <si>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</si>
  <si>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</si>
  <si>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</si>
  <si>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</si>
  <si>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</si>
  <si>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</si>
  <si>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</si>
  <si>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</si>
  <si>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</si>
  <si>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</si>
  <si>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</si>
  <si>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</si>
  <si>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</si>
  <si>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</si>
  <si>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</si>
  <si>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</si>
  <si>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</si>
  <si>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</si>
  <si>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</si>
  <si>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</si>
  <si>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</si>
  <si>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</si>
  <si>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</si>
  <si>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</si>
  <si>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</si>
  <si>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</si>
  <si>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</si>
  <si>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</si>
  <si>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</si>
  <si>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</si>
  <si>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</si>
  <si>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</si>
  <si>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</si>
  <si>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</si>
  <si>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</si>
  <si>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</si>
  <si>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</si>
  <si>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</si>
  <si>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</si>
  <si>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</si>
  <si>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</si>
  <si>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</si>
  <si>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</si>
  <si>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</si>
  <si>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</si>
  <si>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</si>
  <si>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</si>
  <si>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</si>
  <si>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</si>
  <si>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</si>
  <si>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</si>
  <si>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</si>
  <si>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</si>
  <si>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</si>
  <si>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</si>
  <si>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</si>
  <si>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</si>
  <si>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</si>
  <si>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</si>
  <si>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</si>
  <si>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</si>
  <si>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</si>
  <si>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</si>
  <si>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</si>
  <si>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</si>
  <si>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</si>
  <si>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</si>
  <si>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</si>
  <si>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</si>
  <si>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</si>
  <si>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</si>
  <si>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</si>
  <si>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</si>
  <si>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</si>
  <si>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</si>
  <si>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</si>
  <si>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</si>
  <si>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</si>
  <si>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</si>
  <si>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</si>
  <si>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</si>
  <si>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</si>
  <si>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</si>
  <si>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</si>
  <si>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</si>
  <si>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</si>
  <si>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</si>
  <si>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</si>
  <si>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</si>
  <si>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</si>
  <si>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</si>
  <si>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</si>
  <si>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</si>
  <si>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</si>
  <si>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</si>
  <si>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</si>
  <si>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</si>
  <si>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</si>
  <si>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</si>
  <si>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</si>
  <si>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</si>
  <si>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</si>
  <si>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</si>
  <si>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</si>
  <si>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</si>
  <si>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</si>
  <si>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</si>
  <si>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</si>
  <si>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</si>
  <si>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</si>
  <si>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</si>
  <si>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</si>
  <si>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</si>
  <si>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</si>
  <si>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</si>
  <si>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</si>
  <si>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</si>
  <si>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</si>
  <si>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</si>
  <si>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</si>
  <si>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</si>
  <si>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</si>
  <si>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</si>
  <si>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</si>
  <si>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</si>
  <si>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</si>
  <si>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</si>
  <si>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</si>
  <si>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</si>
  <si>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</si>
  <si>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</si>
  <si>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</si>
  <si>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</si>
  <si>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</si>
  <si>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</si>
  <si>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</si>
  <si>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</si>
  <si>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</si>
  <si>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</si>
  <si>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</si>
  <si>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</si>
  <si>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</si>
  <si>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</si>
  <si>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</si>
  <si>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</si>
  <si>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</si>
  <si>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</si>
  <si>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</si>
  <si>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</si>
  <si>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</si>
  <si>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</si>
  <si>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</si>
  <si>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</si>
  <si>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</si>
  <si>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</si>
  <si>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</si>
  <si>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</si>
  <si>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</si>
  <si>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</si>
  <si>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</si>
  <si>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</si>
  <si>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</si>
  <si>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</si>
  <si>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</si>
  <si>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</si>
  <si>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</si>
  <si>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</si>
  <si>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</si>
  <si>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</si>
  <si>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</si>
  <si>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</si>
  <si>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</si>
  <si>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</si>
  <si>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</si>
  <si>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</si>
  <si>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</si>
  <si>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</si>
  <si>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</si>
  <si>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</si>
  <si>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</si>
  <si>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</si>
  <si>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</si>
  <si>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</si>
  <si>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</si>
  <si>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</si>
  <si>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</si>
  <si>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</si>
  <si>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</si>
  <si>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</si>
  <si>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</si>
  <si>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</si>
  <si>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</si>
  <si>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</si>
  <si>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</si>
  <si>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</si>
  <si>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</si>
  <si>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</si>
  <si>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</si>
  <si>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</si>
  <si>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</si>
  <si>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</si>
  <si>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</si>
  <si>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</si>
  <si>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</si>
  <si>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</si>
  <si>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</si>
  <si>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</si>
  <si>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</si>
  <si>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</si>
  <si>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</si>
  <si>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</si>
  <si>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</si>
  <si>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</si>
  <si>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</si>
  <si>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</si>
  <si>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</si>
  <si>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</si>
  <si>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</si>
  <si>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</si>
  <si>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</si>
  <si>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</si>
  <si>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</si>
  <si>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</si>
  <si>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</si>
  <si>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</si>
  <si>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</si>
  <si>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</si>
  <si>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</si>
  <si>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</si>
  <si>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</si>
  <si>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</si>
  <si>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</si>
  <si>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</si>
  <si>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</si>
  <si>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</si>
  <si>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</si>
  <si>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</si>
  <si>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</si>
  <si>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</si>
  <si>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</si>
  <si>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</si>
  <si>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</si>
  <si>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</si>
  <si>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</si>
  <si>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</si>
  <si>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</si>
  <si>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</si>
  <si>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</si>
  <si>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</si>
  <si>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</si>
  <si>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</si>
  <si>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</si>
  <si>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</si>
  <si>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</si>
  <si>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</si>
  <si>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</si>
  <si>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</si>
  <si>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</si>
  <si>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</si>
  <si>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</si>
  <si>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</si>
  <si>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</si>
  <si>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</si>
  <si>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</si>
  <si>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</si>
  <si>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</si>
  <si>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</si>
  <si>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</si>
  <si>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</si>
  <si>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</si>
  <si>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</si>
  <si>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</si>
  <si>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</si>
  <si>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</si>
  <si>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</si>
  <si>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</si>
  <si>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</si>
  <si>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</si>
  <si>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</si>
  <si>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</si>
  <si>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</si>
  <si>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</si>
  <si>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</si>
  <si>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</si>
  <si>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</si>
  <si>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</si>
  <si>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</si>
  <si>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</si>
  <si>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</si>
  <si>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</si>
  <si>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</si>
  <si>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</si>
  <si>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</si>
  <si>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</si>
  <si>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</si>
  <si>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</si>
  <si>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</si>
  <si>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</si>
  <si>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</si>
  <si>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</si>
  <si>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</si>
  <si>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</si>
  <si>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</si>
  <si>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</si>
  <si>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</si>
  <si>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</si>
  <si>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</si>
  <si>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</si>
  <si>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</si>
  <si>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</si>
  <si>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</si>
  <si>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</si>
  <si>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</si>
  <si>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</si>
  <si>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</si>
  <si>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</si>
  <si>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</si>
  <si>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</si>
  <si>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</si>
  <si>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</si>
  <si>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</si>
  <si>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</si>
  <si>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</si>
  <si>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</si>
  <si>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</si>
  <si>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</si>
  <si>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</si>
  <si>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</si>
  <si>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</si>
  <si>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</si>
  <si>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</si>
  <si>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</si>
  <si>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</si>
  <si>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</si>
  <si>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</si>
  <si>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</si>
  <si>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</si>
  <si>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</si>
  <si>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</si>
  <si>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</si>
  <si>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</si>
  <si>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</si>
  <si>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</si>
  <si>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</si>
  <si>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</si>
  <si>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</si>
  <si>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</si>
  <si>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</si>
  <si>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</si>
  <si>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</si>
  <si>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</si>
  <si>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</si>
  <si>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</si>
  <si>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</si>
  <si>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</si>
  <si>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</si>
  <si>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</si>
  <si>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</si>
  <si>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</si>
  <si>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</si>
  <si>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</si>
  <si>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</si>
  <si>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</si>
  <si>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</si>
  <si>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</si>
  <si>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</si>
  <si>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</si>
  <si>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</si>
  <si>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</si>
  <si>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</si>
  <si>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</si>
  <si>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</si>
  <si>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</si>
  <si>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</si>
  <si>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</si>
  <si>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</si>
  <si>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</si>
  <si>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</si>
  <si>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</si>
  <si>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</si>
  <si>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</si>
  <si>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</si>
  <si>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</si>
  <si>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</si>
  <si>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</si>
  <si>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</si>
  <si>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</si>
  <si>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</si>
  <si>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</si>
  <si>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</si>
  <si>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</si>
  <si>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</si>
  <si>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</si>
  <si>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</si>
  <si>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</si>
  <si>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</si>
  <si>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</si>
  <si>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</si>
  <si>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</si>
  <si>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</si>
  <si>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</si>
  <si>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</si>
  <si>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</si>
  <si>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</si>
  <si>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</si>
  <si>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</si>
  <si>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</si>
  <si>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</si>
  <si>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</si>
  <si>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</si>
  <si>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</si>
  <si>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</si>
  <si>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</si>
  <si>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</si>
  <si>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</si>
  <si>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</si>
  <si>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</si>
  <si>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</si>
  <si>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</si>
  <si>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</si>
  <si>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</si>
  <si>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</si>
  <si>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</si>
  <si>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</si>
  <si>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</si>
  <si>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</si>
  <si>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</si>
  <si>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</si>
  <si>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</si>
  <si>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</si>
  <si>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</si>
  <si>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</si>
  <si>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</si>
  <si>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</si>
  <si>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</si>
  <si>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</si>
  <si>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</si>
  <si>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</si>
  <si>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</si>
  <si>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</si>
  <si>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</si>
  <si>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</si>
  <si>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</si>
  <si>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</si>
  <si>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</si>
  <si>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</si>
  <si>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</si>
  <si>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</si>
  <si>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</si>
  <si>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</si>
  <si>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</si>
  <si>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</si>
  <si>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</si>
  <si>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</si>
  <si>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</si>
  <si>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</si>
  <si>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</si>
  <si>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</si>
  <si>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</si>
  <si>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</si>
  <si>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</si>
  <si>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</si>
  <si>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</si>
  <si>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</si>
  <si>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</si>
  <si>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</si>
  <si>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</si>
  <si>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</si>
  <si>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</si>
  <si>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</si>
  <si>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</si>
  <si>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</si>
  <si>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</si>
  <si>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</si>
  <si>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</si>
  <si>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</si>
  <si>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</si>
  <si>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</si>
  <si>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</si>
  <si>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</si>
  <si>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</si>
  <si>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</si>
  <si>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</si>
  <si>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</si>
  <si>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</si>
  <si>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</si>
  <si>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</si>
  <si>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</si>
  <si>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</si>
  <si>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</si>
  <si>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</si>
  <si>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</si>
  <si>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</si>
  <si>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</si>
  <si>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</si>
  <si>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</si>
  <si>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</si>
  <si>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</si>
  <si>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</si>
  <si>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</si>
  <si>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</si>
  <si>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</si>
  <si>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</si>
  <si>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</si>
  <si>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</si>
  <si>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</si>
  <si>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</si>
  <si>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</si>
  <si>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</si>
  <si>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</si>
  <si>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</si>
  <si>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</si>
  <si>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</si>
  <si>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</si>
  <si>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</si>
  <si>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</si>
  <si>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</si>
  <si>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</si>
  <si>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</si>
  <si>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</si>
  <si>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</si>
  <si>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</si>
  <si>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</si>
  <si>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</si>
  <si>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</si>
  <si>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</si>
  <si>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</si>
  <si>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</si>
  <si>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</si>
  <si>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</si>
  <si>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</si>
  <si>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</si>
  <si>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</si>
  <si>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</si>
  <si>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</si>
  <si>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</si>
  <si>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</si>
  <si>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</si>
  <si>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</si>
  <si>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</si>
  <si>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</si>
  <si>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</si>
  <si>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</si>
  <si>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</si>
  <si>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</si>
  <si>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</si>
  <si>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</si>
  <si>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</si>
  <si>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</si>
  <si>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</si>
  <si>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</si>
  <si>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</si>
  <si>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</si>
  <si>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</si>
  <si>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</si>
  <si>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</si>
  <si>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</si>
  <si>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</si>
  <si>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</si>
  <si>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</si>
  <si>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</si>
  <si>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</si>
  <si>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</si>
  <si>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</si>
  <si>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</si>
  <si>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</si>
  <si>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</si>
  <si>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</si>
  <si>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</si>
  <si>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</si>
  <si>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</si>
  <si>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</si>
  <si>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</si>
  <si>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</si>
  <si>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</si>
  <si>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</si>
  <si>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</si>
  <si>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</si>
  <si>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</si>
  <si>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</si>
  <si>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</si>
  <si>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</si>
  <si>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</si>
  <si>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</si>
  <si>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</si>
  <si>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</si>
  <si>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</si>
  <si>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</si>
  <si>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</si>
  <si>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</si>
  <si>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</si>
  <si>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</si>
  <si>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</si>
  <si>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</si>
  <si>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</si>
  <si>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</si>
  <si>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</si>
  <si>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</si>
  <si>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</si>
  <si>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</si>
  <si>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</si>
  <si>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</si>
  <si>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</si>
  <si>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</si>
  <si>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</si>
  <si>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</si>
  <si>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</si>
  <si>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</si>
  <si>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</si>
  <si>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</si>
  <si>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</si>
  <si>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</si>
  <si>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</si>
  <si>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</si>
  <si>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</si>
  <si>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</si>
  <si>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</si>
  <si>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</si>
  <si>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</si>
  <si>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</si>
  <si>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</si>
  <si>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</si>
  <si>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</si>
  <si>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</si>
  <si>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</si>
  <si>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</si>
  <si>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</si>
  <si>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</si>
  <si>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</si>
  <si>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</si>
  <si>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</si>
  <si>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</si>
  <si>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</si>
  <si>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</si>
  <si>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</si>
  <si>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</si>
  <si>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</si>
  <si>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</si>
  <si>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</si>
  <si>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</si>
  <si>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</si>
  <si>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</si>
  <si>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</si>
  <si>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</si>
  <si>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</si>
  <si>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</si>
  <si>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</si>
  <si>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</si>
  <si>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</si>
  <si>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</si>
  <si>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</si>
  <si>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</si>
  <si>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</si>
  <si>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</si>
  <si>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</si>
  <si>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</si>
  <si>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</si>
  <si>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</si>
  <si>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</si>
  <si>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</si>
  <si>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</si>
  <si>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</si>
  <si>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</si>
  <si>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</si>
  <si>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</si>
  <si>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</si>
  <si>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</si>
  <si>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</si>
  <si>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</si>
  <si>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</si>
  <si>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</si>
  <si>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</si>
  <si>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</si>
  <si>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</si>
  <si>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</si>
  <si>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</si>
  <si>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</si>
  <si>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</si>
  <si>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</si>
  <si>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</si>
  <si>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</si>
  <si>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</si>
  <si>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</si>
  <si>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</si>
  <si>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</si>
  <si>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</si>
  <si>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</si>
  <si>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</si>
  <si>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</si>
  <si>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</si>
  <si>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</si>
  <si>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</si>
  <si>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</si>
  <si>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</si>
  <si>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</si>
  <si>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</si>
  <si>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</si>
  <si>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</si>
  <si>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</si>
  <si>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</si>
  <si>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</si>
  <si>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</si>
  <si>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</si>
  <si>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</si>
  <si>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</si>
  <si>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</si>
  <si>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</si>
  <si>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</si>
  <si>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</si>
  <si>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</si>
  <si>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</si>
  <si>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</si>
  <si>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</si>
  <si>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</si>
  <si>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</si>
  <si>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</si>
  <si>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</si>
  <si>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</si>
  <si>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</si>
  <si>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</si>
  <si>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</si>
  <si>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</si>
  <si>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</si>
  <si>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</si>
  <si>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</si>
  <si>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</si>
  <si>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</si>
  <si>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</si>
  <si>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</si>
  <si>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</si>
  <si>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</si>
  <si>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</si>
  <si>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</si>
  <si>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</si>
  <si>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</si>
  <si>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</si>
  <si>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</si>
  <si>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</si>
  <si>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</si>
  <si>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</si>
  <si>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</si>
  <si>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</si>
  <si>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</si>
  <si>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</si>
  <si>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</si>
  <si>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</si>
  <si>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</si>
  <si>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</si>
  <si>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</si>
  <si>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</si>
  <si>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</si>
  <si>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</si>
  <si>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</si>
  <si>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</si>
  <si>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</si>
  <si>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</si>
  <si>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</si>
  <si>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</si>
  <si>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</si>
  <si>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</si>
  <si>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</si>
  <si>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</si>
  <si>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</si>
  <si>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</si>
  <si>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</si>
  <si>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</si>
  <si>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</si>
  <si>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</si>
  <si>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</si>
  <si>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</si>
  <si>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</si>
  <si>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</si>
  <si>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</si>
  <si>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</si>
  <si>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</si>
  <si>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</si>
  <si>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</si>
  <si>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</si>
  <si>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</si>
  <si>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</si>
  <si>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</si>
  <si>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</si>
  <si>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</si>
  <si>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</si>
  <si>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</si>
  <si>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</si>
  <si>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</si>
  <si>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</si>
  <si>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</si>
  <si>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</si>
  <si>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</si>
  <si>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</si>
  <si>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</si>
  <si>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</si>
  <si>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</si>
  <si>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</si>
  <si>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</si>
  <si>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</si>
  <si>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</si>
  <si>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</si>
  <si>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</si>
  <si>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</si>
  <si>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</si>
  <si>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</si>
  <si>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</si>
  <si>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</si>
  <si>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</si>
  <si>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</si>
  <si>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</si>
  <si>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</si>
  <si>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</si>
  <si>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</si>
  <si>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</si>
  <si>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</si>
  <si>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</si>
  <si>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</si>
  <si>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</si>
  <si>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</si>
  <si>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</si>
  <si>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</si>
  <si>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</si>
  <si>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</si>
  <si>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</si>
  <si>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</si>
  <si>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</si>
  <si>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</si>
  <si>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</si>
  <si>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</si>
  <si>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</si>
  <si>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</si>
  <si>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</si>
  <si>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</si>
  <si>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</si>
  <si>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</si>
  <si>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</si>
  <si>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</si>
  <si>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</si>
  <si>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</si>
  <si>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</si>
  <si>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</si>
  <si>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</si>
  <si>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</si>
  <si>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</si>
  <si>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</si>
  <si>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</si>
  <si>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</si>
  <si>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</si>
  <si>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</si>
  <si>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</si>
  <si>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</si>
  <si>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</si>
  <si>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</si>
  <si>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</si>
  <si>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</si>
  <si>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</si>
  <si>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</si>
  <si>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</si>
  <si>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</si>
  <si>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</si>
  <si>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</si>
  <si>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</si>
  <si>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</si>
  <si>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</si>
  <si>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</si>
  <si>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</si>
  <si>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</si>
  <si>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</si>
  <si>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</si>
  <si>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</si>
  <si>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</si>
  <si>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</si>
  <si>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</si>
  <si>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</si>
  <si>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</si>
  <si>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</si>
  <si>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</si>
  <si>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</si>
  <si>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</si>
  <si>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</si>
  <si>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</si>
  <si>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</si>
  <si>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</si>
  <si>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</si>
  <si>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</si>
  <si>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</si>
  <si>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</si>
  <si>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</si>
  <si>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</si>
  <si>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</si>
  <si>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</si>
  <si>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</si>
  <si>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</si>
  <si>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</si>
  <si>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</si>
  <si>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</si>
  <si>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</si>
  <si>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</si>
  <si>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</si>
  <si>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</si>
  <si>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</si>
  <si>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</si>
  <si>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</si>
  <si>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</si>
  <si>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</si>
  <si>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</si>
  <si>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</si>
  <si>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</si>
  <si>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</si>
  <si>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</si>
  <si>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</si>
  <si>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</si>
  <si>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</si>
  <si>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</si>
  <si>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</si>
  <si>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</si>
  <si>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</si>
  <si>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</si>
  <si>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</si>
  <si>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</si>
  <si>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</si>
  <si>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</si>
  <si>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</si>
  <si>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</si>
  <si>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</si>
  <si>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</si>
  <si>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</si>
  <si>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</si>
  <si>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</si>
  <si>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</si>
  <si>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</si>
  <si>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</si>
  <si>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</si>
  <si>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</si>
  <si>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</si>
  <si>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</si>
  <si>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</si>
  <si>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</si>
  <si>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</si>
  <si>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</si>
  <si>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</si>
  <si>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</si>
  <si>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</si>
  <si>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</si>
  <si>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</si>
  <si>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</si>
  <si>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</si>
  <si>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</si>
  <si>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</si>
  <si>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</si>
  <si>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</si>
  <si>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</si>
  <si>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</si>
  <si>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</si>
  <si>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</si>
  <si>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</si>
  <si>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</si>
  <si>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</si>
  <si>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</si>
  <si>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</si>
  <si>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</si>
  <si>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</si>
  <si>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</si>
  <si>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</si>
  <si>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</si>
  <si>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</si>
  <si>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</si>
  <si>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</si>
  <si>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</si>
  <si>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</si>
  <si>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</si>
  <si>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</si>
  <si>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</si>
  <si>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</si>
  <si>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</si>
  <si>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</si>
  <si>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</si>
  <si>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</si>
  <si>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</si>
  <si>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</si>
  <si>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</si>
  <si>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</si>
  <si>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</si>
  <si>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</si>
  <si>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</si>
  <si>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</si>
  <si>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</si>
  <si>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</si>
  <si>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</si>
  <si>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</si>
  <si>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</si>
  <si>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</si>
  <si>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</si>
  <si>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</si>
  <si>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</si>
  <si>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</si>
  <si>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</si>
  <si>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</si>
  <si>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</si>
  <si>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</si>
  <si>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</si>
  <si>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</si>
  <si>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</si>
  <si>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</si>
  <si>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</si>
  <si>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</si>
  <si>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</si>
  <si>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</si>
  <si>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</si>
  <si>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</si>
  <si>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</si>
  <si>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</si>
  <si>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</si>
  <si>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</si>
  <si>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</si>
  <si>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</si>
  <si>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</si>
  <si>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</si>
  <si>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</si>
  <si>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</si>
  <si>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</si>
  <si>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</si>
  <si>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</si>
  <si>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</si>
  <si>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</si>
  <si>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</si>
  <si>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</si>
  <si>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</si>
  <si>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</si>
  <si>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</si>
  <si>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</si>
  <si>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</si>
  <si>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</si>
  <si>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</si>
  <si>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</si>
  <si>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</si>
  <si>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</si>
  <si>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</si>
  <si>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</si>
  <si>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</si>
  <si>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</si>
  <si>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</si>
  <si>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</si>
  <si>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</si>
  <si>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</si>
  <si>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</si>
  <si>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</si>
  <si>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</si>
  <si>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</si>
  <si>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</si>
  <si>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</si>
  <si>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</si>
  <si>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</si>
  <si>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</si>
  <si>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</si>
  <si>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</si>
  <si>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</si>
  <si>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</si>
  <si>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</si>
  <si>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</si>
  <si>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</si>
  <si>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</si>
  <si>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</si>
  <si>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</si>
  <si>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</si>
  <si>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</si>
  <si>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</si>
  <si>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</si>
  <si>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</si>
  <si>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</si>
  <si>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</si>
  <si>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</si>
  <si>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</si>
  <si>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</si>
  <si>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</si>
  <si>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</si>
  <si>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</si>
  <si>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</si>
  <si>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</si>
  <si>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</si>
  <si>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</si>
  <si>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</si>
  <si>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</si>
  <si>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</si>
  <si>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</si>
  <si>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</si>
  <si>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</si>
  <si>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</si>
  <si>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</si>
  <si>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</si>
  <si>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</si>
  <si>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</si>
  <si>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</si>
  <si>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</si>
  <si>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</si>
  <si>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</si>
  <si>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</si>
  <si>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</si>
  <si>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</si>
  <si>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</si>
  <si>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</si>
  <si>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</si>
  <si>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</si>
  <si>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</si>
  <si>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</si>
  <si>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</si>
  <si>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</si>
  <si>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</si>
  <si>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</si>
  <si>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</si>
  <si>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</si>
  <si>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</si>
  <si>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</si>
  <si>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</si>
  <si>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</si>
  <si>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</si>
  <si>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</si>
  <si>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</si>
  <si>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</si>
  <si>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</si>
  <si>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</si>
  <si>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</si>
  <si>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</si>
  <si>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</si>
  <si>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</si>
  <si>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</si>
  <si>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</si>
  <si>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</si>
  <si>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</si>
  <si>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</si>
  <si>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</si>
  <si>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</si>
  <si>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</si>
  <si>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</si>
  <si>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</si>
  <si>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</si>
  <si>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</si>
  <si>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</si>
  <si>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</si>
  <si>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</si>
  <si>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</si>
  <si>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</si>
  <si>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</si>
  <si>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</si>
  <si>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</si>
  <si>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</si>
  <si>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</si>
  <si>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</si>
  <si>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</si>
  <si>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</si>
  <si>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</si>
  <si>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</si>
  <si>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</si>
  <si>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</si>
  <si>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</si>
  <si>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</si>
  <si>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</si>
  <si>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</si>
  <si>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</si>
  <si>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</si>
  <si>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</si>
  <si>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</si>
  <si>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</si>
  <si>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</si>
  <si>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</si>
  <si>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</si>
  <si>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</si>
  <si>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</si>
  <si>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</si>
  <si>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</si>
  <si>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</si>
  <si>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</si>
  <si>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</si>
  <si>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</si>
  <si>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</si>
  <si>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</si>
  <si>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</si>
  <si>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</si>
  <si>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</si>
  <si>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</si>
  <si>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</si>
  <si>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</si>
  <si>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</si>
  <si>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</si>
  <si>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</si>
  <si>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</si>
  <si>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</si>
  <si>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</si>
  <si>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</si>
  <si>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</si>
  <si>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</si>
  <si>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</si>
  <si>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</si>
  <si>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</si>
  <si>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</si>
  <si>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</si>
  <si>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</si>
  <si>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</si>
  <si>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</si>
  <si>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</si>
  <si>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</si>
  <si>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</si>
  <si>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</si>
  <si>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</si>
  <si>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</si>
  <si>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</si>
  <si>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</si>
  <si>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</si>
  <si>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</si>
  <si>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</si>
  <si>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</si>
  <si>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</si>
  <si>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</si>
  <si>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</si>
  <si>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</si>
  <si>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</si>
  <si>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</si>
  <si>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</si>
  <si>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</si>
  <si>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</si>
  <si>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</si>
  <si>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</si>
  <si>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</si>
  <si>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</si>
  <si>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</si>
  <si>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</si>
  <si>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</si>
  <si>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</si>
  <si>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</si>
  <si>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</si>
  <si>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</si>
  <si>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</si>
  <si>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</si>
  <si>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</si>
  <si>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</si>
  <si>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</si>
  <si>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</si>
  <si>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</si>
  <si>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</si>
  <si>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</si>
  <si>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</si>
  <si>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</si>
  <si>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</si>
  <si>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</si>
  <si>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</si>
  <si>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</si>
  <si>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</si>
  <si>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</si>
  <si>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</si>
  <si>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</si>
  <si>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</si>
  <si>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</si>
  <si>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</si>
  <si>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</si>
  <si>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</si>
  <si>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</si>
  <si>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</si>
  <si>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</si>
  <si>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</si>
  <si>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</si>
  <si>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</si>
  <si>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</si>
  <si>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</si>
  <si>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</si>
  <si>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</si>
  <si>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</si>
  <si>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</si>
  <si>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</si>
  <si>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</si>
  <si>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</si>
  <si>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</si>
  <si>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</si>
  <si>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</si>
  <si>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</si>
  <si>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</si>
  <si>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</si>
  <si>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</si>
  <si>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</si>
  <si>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</si>
  <si>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</si>
  <si>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</si>
  <si>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</si>
  <si>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</si>
  <si>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</si>
  <si>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</si>
  <si>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</si>
  <si>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</si>
  <si>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</si>
  <si>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</si>
  <si>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</si>
  <si>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</si>
  <si>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</si>
  <si>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</si>
  <si>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</si>
  <si>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</si>
  <si>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</si>
  <si>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</si>
  <si>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</si>
  <si>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</si>
  <si>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</si>
  <si>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</si>
  <si>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</si>
  <si>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</si>
  <si>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</si>
  <si>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</si>
  <si>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</si>
  <si>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</si>
  <si>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</si>
  <si>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</si>
  <si>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</si>
  <si>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</si>
  <si>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</si>
  <si>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</si>
  <si>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</si>
  <si>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</si>
  <si>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</si>
  <si>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</si>
  <si>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</si>
  <si>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</si>
  <si>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</si>
  <si>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</si>
  <si>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</si>
  <si>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</si>
  <si>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</si>
  <si>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</si>
  <si>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</si>
  <si>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</si>
  <si>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</si>
  <si>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</si>
  <si>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</si>
  <si>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</si>
  <si>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</si>
  <si>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</si>
  <si>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</si>
  <si>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</si>
  <si>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</si>
  <si>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</si>
  <si>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</si>
  <si>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</si>
  <si>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</si>
  <si>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</si>
  <si>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</si>
  <si>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</si>
  <si>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</si>
  <si>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</si>
  <si>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</si>
  <si>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</si>
  <si>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</si>
  <si>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</si>
  <si>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</si>
  <si>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</si>
  <si>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</si>
  <si>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</si>
  <si>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</si>
  <si>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</si>
  <si>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</si>
  <si>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</si>
  <si>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</si>
  <si>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</si>
  <si>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</si>
  <si>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</si>
  <si>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</si>
  <si>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</si>
  <si>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</si>
  <si>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</si>
  <si>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</si>
  <si>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</si>
  <si>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</si>
  <si>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</si>
  <si>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</si>
  <si>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</si>
  <si>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</si>
  <si>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</si>
  <si>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</si>
  <si>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</si>
  <si>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</si>
  <si>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</si>
  <si>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</si>
  <si>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</si>
  <si>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</si>
  <si>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</si>
  <si>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</si>
  <si>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</si>
  <si>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</si>
  <si>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</si>
  <si>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</si>
  <si>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</si>
  <si>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</si>
  <si>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</si>
  <si>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</si>
  <si>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</si>
  <si>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</si>
  <si>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</si>
  <si>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</si>
  <si>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</si>
  <si>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</si>
  <si>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</si>
  <si>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</si>
  <si>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</si>
  <si>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</si>
  <si>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</si>
  <si>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</si>
  <si>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</si>
  <si>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</si>
  <si>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</si>
  <si>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</si>
  <si>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</si>
  <si>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</si>
  <si>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</si>
  <si>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</si>
  <si>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</si>
  <si>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</si>
  <si>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</si>
  <si>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</si>
  <si>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</si>
  <si>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</si>
  <si>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</si>
  <si>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</si>
  <si>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</si>
  <si>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</si>
  <si>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</si>
  <si>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</si>
  <si>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</si>
  <si>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</si>
  <si>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</si>
  <si>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</si>
  <si>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</si>
  <si>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</si>
  <si>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</si>
  <si>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</si>
  <si>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</si>
  <si>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</si>
  <si>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</si>
  <si>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</si>
  <si>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</si>
  <si>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</si>
  <si>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</si>
  <si>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</si>
  <si>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</si>
  <si>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</si>
  <si>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</si>
  <si>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</si>
  <si>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</si>
  <si>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</si>
  <si>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</si>
  <si>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</si>
  <si>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</si>
  <si>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</si>
  <si>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</si>
  <si>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</si>
  <si>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</si>
  <si>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</si>
  <si>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</si>
  <si>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</si>
  <si>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</si>
  <si>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</si>
  <si>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</si>
  <si>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</si>
  <si>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</si>
  <si>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</si>
  <si>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</si>
  <si>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</si>
  <si>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</si>
  <si>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</si>
  <si>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</si>
  <si>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</si>
  <si>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</si>
  <si>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</si>
  <si>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</si>
  <si>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</si>
  <si>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</si>
  <si>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</si>
  <si>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</si>
  <si>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</si>
  <si>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</si>
  <si>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</si>
  <si>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</si>
  <si>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</si>
  <si>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</si>
  <si>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</si>
  <si>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</si>
  <si>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</si>
  <si>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</si>
  <si>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</si>
  <si>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</si>
  <si>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</si>
  <si>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</si>
  <si>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</si>
  <si>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</si>
  <si>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</si>
  <si>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</si>
  <si>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</si>
  <si>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</si>
  <si>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</si>
  <si>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</si>
  <si>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</si>
  <si>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</si>
  <si>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</si>
  <si>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</si>
  <si>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</si>
  <si>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</si>
  <si>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</si>
  <si>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</si>
  <si>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</si>
  <si>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</si>
  <si>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</si>
  <si>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</si>
  <si>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</si>
  <si>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</si>
  <si>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</si>
  <si>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</si>
  <si>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</si>
  <si>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</si>
  <si>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</si>
  <si>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</si>
  <si>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</si>
  <si>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</si>
  <si>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</si>
  <si>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</si>
  <si>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</si>
  <si>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</si>
  <si>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</si>
  <si>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</si>
  <si>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</si>
  <si>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</si>
  <si>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</si>
  <si>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</si>
  <si>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</si>
  <si>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</si>
  <si>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</si>
  <si>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</si>
  <si>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</si>
  <si>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</si>
  <si>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</si>
  <si>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</si>
  <si>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</si>
  <si>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</si>
  <si>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</si>
  <si>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</si>
  <si>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</si>
  <si>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</si>
  <si>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</si>
  <si>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</si>
  <si>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</si>
  <si>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</si>
  <si>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</si>
  <si>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</si>
  <si>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</si>
  <si>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</si>
  <si>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</si>
  <si>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</si>
  <si>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</si>
  <si>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</si>
  <si>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</si>
  <si>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</si>
  <si>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</si>
  <si>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</si>
  <si>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</si>
  <si>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</si>
  <si>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</si>
  <si>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</si>
  <si>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</si>
  <si>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</si>
  <si>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</si>
  <si>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</si>
  <si>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</si>
  <si>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</si>
  <si>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</si>
  <si>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</si>
  <si>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</si>
  <si>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</si>
  <si>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</si>
  <si>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</si>
  <si>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</si>
  <si>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</si>
  <si>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</si>
  <si>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</si>
  <si>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</si>
  <si>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</si>
  <si>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</si>
  <si>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</si>
  <si>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</si>
  <si>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</si>
  <si>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</si>
  <si>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</si>
  <si>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</si>
  <si>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</si>
  <si>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</si>
  <si>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</si>
  <si>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</si>
  <si>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</si>
  <si>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</si>
  <si>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</si>
  <si>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code</t>
  </si>
  <si>
    <t>description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</si>
  <si>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</si>
  <si>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</si>
  <si>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</si>
  <si>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</si>
  <si>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</si>
  <si>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</si>
  <si>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</si>
  <si>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</si>
  <si>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</si>
  <si>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</si>
  <si>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</si>
  <si>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</si>
  <si>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</si>
  <si>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</si>
  <si>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</si>
  <si>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</si>
  <si>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</si>
  <si>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</si>
  <si>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</si>
  <si>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</si>
  <si>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</si>
  <si>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</si>
  <si>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</si>
  <si>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</si>
  <si>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</si>
  <si>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</si>
  <si>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</si>
  <si>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</si>
  <si>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</si>
  <si>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</si>
  <si>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</si>
  <si>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</si>
  <si>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</si>
  <si>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</si>
  <si>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</si>
  <si>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</si>
  <si>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</si>
  <si>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</si>
  <si>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</si>
  <si>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</si>
  <si>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</si>
  <si>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</si>
  <si>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</si>
  <si>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</si>
  <si>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</si>
  <si>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</si>
  <si>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</si>
  <si>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</si>
  <si>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</si>
  <si>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</si>
  <si>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</si>
  <si>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</si>
  <si>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</si>
  <si>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</si>
  <si>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</si>
  <si>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</si>
  <si>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</si>
  <si>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</si>
  <si>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</si>
  <si>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</si>
  <si>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</si>
  <si>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</si>
  <si>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</si>
  <si>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</si>
  <si>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</si>
  <si>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</si>
  <si>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</si>
  <si>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</si>
  <si>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</si>
  <si>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</si>
  <si>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</si>
  <si>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</si>
  <si>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</si>
  <si>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</si>
  <si>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</si>
  <si>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</si>
  <si>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</si>
  <si>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</si>
  <si>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</si>
  <si>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</si>
  <si>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</si>
  <si>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</si>
  <si>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</si>
  <si>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</si>
  <si>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</si>
  <si>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</si>
  <si>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</si>
  <si>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</si>
  <si>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</si>
  <si>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</si>
  <si>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</si>
  <si>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</si>
  <si>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</si>
  <si>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</si>
  <si>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</si>
  <si>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</si>
  <si>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</si>
  <si>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</si>
  <si>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</si>
  <si>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</si>
  <si>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</si>
  <si>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</si>
  <si>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</si>
  <si>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</si>
  <si>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</si>
  <si>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</si>
  <si>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</si>
  <si>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</si>
  <si>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</si>
  <si>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</si>
  <si>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</si>
  <si>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</si>
  <si>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</si>
  <si>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</si>
  <si>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</si>
  <si>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</si>
  <si>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</si>
  <si>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</si>
  <si>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</si>
  <si>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</si>
  <si>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</si>
  <si>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</si>
  <si>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</si>
  <si>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</si>
  <si>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</si>
  <si>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</si>
  <si>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</si>
  <si>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</si>
  <si>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</si>
  <si>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</si>
  <si>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</si>
  <si>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</si>
  <si>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</si>
  <si>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</si>
  <si>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</si>
  <si>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</si>
  <si>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</si>
  <si>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</si>
  <si>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</si>
  <si>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</si>
  <si>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</si>
  <si>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</si>
  <si>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</si>
  <si>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</si>
  <si>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</si>
  <si>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</si>
  <si>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</si>
  <si>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</si>
  <si>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</si>
  <si>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</si>
  <si>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</si>
  <si>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</si>
  <si>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</si>
  <si>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</si>
  <si>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</si>
  <si>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</si>
  <si>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</si>
  <si>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</si>
  <si>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</si>
  <si>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</si>
  <si>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</si>
  <si>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</si>
  <si>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</si>
  <si>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</si>
  <si>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</si>
  <si>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</si>
  <si>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</si>
  <si>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</si>
  <si>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</si>
  <si>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</si>
  <si>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</si>
  <si>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</si>
  <si>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</si>
  <si>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</si>
  <si>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</si>
  <si>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</si>
  <si>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</si>
  <si>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</si>
  <si>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</si>
  <si>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</si>
  <si>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</si>
  <si>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</si>
  <si>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</si>
  <si>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</si>
  <si>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</si>
  <si>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</si>
  <si>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</si>
  <si>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</si>
  <si>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</si>
  <si>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</si>
  <si>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</si>
  <si>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</si>
  <si>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</si>
  <si>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</si>
  <si>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</si>
  <si>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</si>
  <si>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</si>
  <si>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</si>
  <si>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</si>
  <si>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</si>
  <si>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</si>
  <si>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</si>
  <si>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</si>
  <si>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</si>
  <si>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</si>
  <si>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</si>
  <si>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</si>
  <si>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</si>
  <si>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</si>
  <si>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</si>
  <si>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</si>
  <si>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</si>
  <si>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</si>
  <si>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</si>
  <si>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</si>
  <si>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</si>
  <si>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</si>
  <si>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</si>
  <si>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</si>
  <si>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</si>
  <si>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</si>
  <si>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</si>
  <si>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</si>
  <si>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</si>
  <si>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</si>
  <si>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</si>
  <si>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</si>
  <si>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</si>
  <si>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</si>
  <si>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</si>
  <si>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</si>
  <si>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</si>
  <si>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</si>
  <si>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</si>
  <si>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</si>
  <si>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</si>
  <si>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</si>
  <si>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</si>
  <si>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</si>
  <si>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</si>
  <si>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</si>
  <si>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</si>
  <si>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</si>
  <si>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</si>
  <si>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</si>
  <si>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</si>
  <si>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</si>
  <si>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</si>
  <si>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</si>
  <si>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</si>
  <si>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</si>
  <si>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</si>
  <si>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</si>
  <si>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</si>
  <si>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</si>
  <si>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</si>
  <si>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</si>
  <si>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</si>
  <si>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</si>
  <si>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</si>
  <si>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</si>
  <si>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</si>
  <si>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</si>
  <si>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</si>
  <si>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</si>
  <si>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</si>
  <si>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</si>
  <si>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</si>
  <si>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</si>
  <si>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</si>
  <si>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</si>
  <si>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</si>
  <si>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</si>
  <si>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</si>
  <si>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</si>
  <si>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</si>
  <si>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</si>
  <si>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</si>
  <si>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</si>
  <si>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</si>
  <si>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</si>
  <si>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</si>
  <si>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</si>
  <si>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</si>
  <si>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</si>
  <si>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</si>
  <si>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</si>
  <si>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</si>
  <si>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</si>
  <si>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</si>
  <si>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</si>
  <si>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</si>
  <si>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</si>
  <si>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</si>
  <si>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</si>
  <si>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</si>
  <si>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</si>
  <si>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</si>
  <si>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</si>
  <si>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</si>
  <si>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</si>
  <si>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</si>
  <si>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</si>
  <si>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</si>
  <si>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</si>
  <si>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</si>
  <si>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</si>
  <si>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</si>
  <si>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</si>
  <si>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</si>
  <si>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</si>
  <si>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</si>
  <si>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</si>
  <si>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</si>
  <si>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</si>
  <si>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</si>
  <si>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</si>
  <si>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</si>
  <si>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</si>
  <si>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</si>
  <si>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</si>
  <si>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</si>
  <si>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</si>
  <si>
    <t>equipmentType</t>
  </si>
  <si>
    <t>!equipmentType</t>
  </si>
  <si>
    <t>blockNumber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</si>
  <si>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</si>
  <si>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</si>
  <si>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</si>
  <si>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</si>
  <si>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</si>
  <si>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</si>
  <si>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</si>
  <si>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</si>
  <si>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</si>
  <si>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</si>
  <si>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</si>
  <si>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</si>
  <si>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</si>
  <si>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</si>
  <si>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</si>
  <si>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</si>
  <si>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</si>
  <si>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</si>
  <si>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</si>
  <si>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</si>
  <si>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</si>
  <si>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</si>
  <si>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</si>
  <si>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</si>
  <si>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</si>
  <si>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</si>
  <si>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</si>
  <si>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</si>
  <si>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</si>
  <si>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</si>
  <si>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</si>
  <si>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</si>
  <si>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</si>
  <si>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</si>
  <si>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</si>
  <si>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</si>
  <si>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</si>
  <si>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</si>
  <si>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</si>
  <si>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</si>
  <si>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</si>
  <si>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</si>
  <si>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</si>
  <si>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</si>
  <si>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</si>
  <si>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</si>
  <si>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</si>
  <si>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</si>
  <si>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</si>
  <si>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</si>
  <si>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</si>
  <si>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</si>
  <si>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</si>
  <si>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</si>
  <si>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</si>
  <si>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</si>
  <si>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</si>
  <si>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</si>
  <si>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</si>
  <si>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</si>
  <si>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</si>
  <si>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</si>
  <si>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</si>
  <si>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</si>
  <si>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</si>
  <si>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</si>
  <si>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</si>
  <si>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</si>
  <si>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</si>
  <si>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</si>
  <si>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</si>
  <si>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</si>
  <si>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</si>
  <si>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</si>
  <si>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</si>
  <si>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</si>
  <si>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</si>
  <si>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</si>
  <si>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</si>
  <si>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</si>
  <si>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</si>
  <si>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</si>
  <si>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</si>
  <si>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</si>
  <si>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</si>
  <si>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</si>
  <si>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</si>
  <si>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</si>
  <si>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</si>
  <si>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</si>
  <si>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</si>
  <si>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</si>
  <si>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</si>
  <si>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</si>
  <si>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</si>
  <si>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</si>
  <si>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</si>
  <si>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</si>
  <si>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</si>
  <si>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</si>
  <si>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</si>
  <si>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</si>
  <si>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</si>
  <si>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</si>
  <si>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</si>
  <si>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</si>
  <si>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</si>
  <si>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</si>
  <si>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</si>
  <si>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</si>
  <si>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</si>
  <si>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</si>
  <si>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</si>
  <si>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</si>
  <si>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</si>
  <si>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</si>
  <si>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</si>
  <si>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</si>
  <si>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</si>
  <si>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</si>
  <si>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</si>
  <si>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</si>
  <si>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</si>
  <si>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</si>
  <si>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</si>
  <si>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</si>
  <si>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</si>
  <si>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</si>
  <si>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</si>
  <si>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</si>
  <si>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</si>
  <si>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</si>
  <si>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</si>
  <si>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</si>
  <si>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</si>
  <si>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</si>
  <si>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</si>
  <si>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</si>
  <si>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</si>
  <si>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</si>
  <si>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</si>
  <si>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</si>
  <si>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</si>
  <si>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</si>
  <si>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</si>
  <si>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</si>
  <si>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</si>
  <si>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</si>
  <si>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</si>
  <si>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</si>
  <si>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</si>
  <si>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</si>
  <si>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</si>
  <si>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</si>
  <si>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</si>
  <si>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</si>
  <si>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</si>
  <si>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</si>
  <si>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</si>
  <si>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</si>
  <si>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</si>
  <si>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</si>
  <si>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</si>
  <si>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</si>
  <si>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</si>
  <si>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</si>
  <si>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</si>
  <si>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</si>
  <si>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</si>
  <si>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</si>
  <si>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</si>
  <si>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</si>
  <si>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</si>
  <si>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</si>
  <si>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</si>
  <si>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</si>
  <si>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</si>
  <si>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</si>
  <si>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</si>
  <si>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</si>
  <si>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</si>
  <si>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</si>
  <si>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</si>
  <si>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</si>
  <si>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</si>
  <si>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</si>
  <si>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</si>
  <si>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</si>
  <si>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</si>
  <si>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</si>
  <si>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</si>
  <si>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</si>
  <si>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</si>
  <si>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</si>
  <si>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</si>
  <si>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</si>
  <si>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</si>
  <si>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</si>
  <si>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</si>
  <si>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</si>
  <si>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</si>
  <si>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</si>
  <si>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</si>
  <si>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</si>
  <si>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</si>
  <si>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</si>
  <si>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</si>
  <si>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</si>
  <si>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</si>
  <si>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</si>
  <si>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</si>
  <si>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</si>
  <si>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</si>
  <si>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</si>
  <si>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</si>
  <si>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</si>
  <si>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</si>
  <si>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</si>
  <si>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</si>
  <si>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</si>
  <si>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</si>
  <si>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</si>
  <si>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</si>
  <si>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</si>
  <si>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</si>
  <si>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</si>
  <si>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</si>
  <si>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</si>
  <si>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</si>
  <si>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</si>
  <si>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</si>
  <si>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</si>
  <si>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</si>
  <si>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</si>
  <si>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</si>
  <si>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</si>
  <si>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</si>
  <si>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</si>
  <si>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</si>
  <si>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</si>
  <si>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</si>
  <si>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</si>
  <si>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</si>
  <si>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</si>
  <si>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</si>
  <si>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</si>
  <si>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</si>
  <si>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</si>
  <si>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</si>
  <si>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</si>
  <si>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</si>
  <si>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</si>
  <si>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</si>
  <si>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</si>
  <si>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</si>
  <si>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</si>
  <si>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</si>
  <si>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</si>
  <si>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</si>
  <si>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</si>
  <si>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</si>
  <si>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</si>
  <si>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</si>
  <si>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</si>
  <si>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</si>
  <si>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</si>
  <si>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</si>
  <si>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</si>
  <si>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</si>
  <si>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</si>
  <si>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</si>
  <si>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</si>
  <si>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</si>
  <si>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</si>
  <si>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</si>
  <si>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</si>
  <si>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</si>
  <si>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</si>
  <si>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</si>
  <si>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</si>
  <si>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</si>
  <si>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</si>
  <si>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</si>
  <si>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</si>
  <si>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</si>
  <si>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</si>
  <si>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</si>
  <si>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</si>
  <si>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</si>
  <si>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</si>
  <si>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</si>
  <si>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</si>
  <si>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</si>
  <si>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</si>
  <si>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</si>
  <si>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</si>
  <si>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</si>
  <si>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</si>
  <si>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</si>
  <si>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</si>
  <si>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</si>
  <si>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</si>
  <si>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</si>
  <si>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</si>
  <si>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</si>
  <si>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</si>
  <si>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</si>
  <si>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</si>
  <si>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</si>
  <si>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</si>
  <si>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</si>
  <si>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</si>
  <si>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</si>
  <si>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</si>
  <si>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</si>
  <si>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</si>
  <si>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</si>
  <si>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</si>
  <si>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</si>
  <si>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</si>
  <si>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</si>
  <si>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</si>
  <si>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</si>
  <si>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</si>
  <si>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</si>
  <si>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</si>
  <si>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</si>
  <si>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</si>
  <si>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</si>
  <si>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</si>
  <si>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</si>
  <si>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</si>
  <si>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</si>
  <si>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</si>
  <si>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</si>
  <si>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</si>
  <si>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</si>
  <si>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</si>
  <si>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</si>
  <si>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</si>
  <si>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</si>
  <si>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</si>
  <si>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</si>
  <si>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</si>
  <si>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</si>
  <si>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</si>
  <si>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</si>
  <si>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</si>
  <si>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</si>
  <si>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</si>
  <si>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</si>
  <si>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</si>
  <si>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</si>
  <si>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</si>
  <si>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</si>
  <si>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</si>
  <si>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</si>
  <si>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</si>
  <si>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</si>
  <si>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</si>
  <si>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</si>
  <si>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</si>
  <si>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</si>
  <si>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</si>
  <si>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</si>
  <si>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</si>
  <si>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</si>
  <si>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</si>
  <si>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</si>
  <si>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</si>
  <si>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</si>
  <si>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</si>
  <si>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</si>
  <si>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</si>
  <si>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</si>
  <si>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</si>
  <si>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</si>
  <si>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</si>
  <si>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</si>
  <si>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</si>
  <si>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</si>
  <si>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</si>
  <si>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</si>
  <si>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</si>
  <si>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</si>
  <si>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</si>
  <si>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</si>
  <si>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</si>
  <si>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</si>
  <si>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</si>
  <si>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</si>
  <si>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</si>
  <si>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</si>
  <si>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</si>
  <si>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</si>
  <si>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</si>
  <si>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</si>
  <si>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</si>
  <si>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</si>
  <si>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</si>
  <si>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</si>
  <si>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</si>
  <si>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</si>
  <si>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</si>
  <si>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</si>
  <si>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</si>
  <si>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</si>
  <si>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</si>
  <si>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</si>
  <si>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</si>
  <si>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</si>
  <si>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</si>
  <si>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</si>
  <si>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</si>
  <si>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</si>
  <si>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</si>
  <si>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</si>
  <si>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</si>
  <si>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</si>
  <si>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</si>
  <si>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</si>
  <si>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</si>
  <si>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</si>
  <si>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</si>
  <si>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</si>
  <si>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</si>
  <si>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</si>
  <si>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</si>
  <si>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</si>
  <si>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</si>
  <si>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</si>
  <si>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</si>
  <si>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</si>
  <si>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</si>
  <si>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</si>
  <si>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</si>
  <si>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</si>
  <si>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</si>
  <si>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</si>
  <si>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</si>
  <si>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</si>
  <si>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</si>
  <si>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</si>
  <si>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</si>
  <si>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</si>
  <si>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</si>
  <si>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</si>
  <si>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</si>
  <si>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</si>
  <si>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</si>
  <si>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</si>
  <si>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</si>
  <si>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</si>
  <si>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</si>
  <si>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</si>
  <si>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</si>
  <si>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</si>
  <si>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</si>
  <si>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</si>
  <si>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</si>
  <si>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</si>
  <si>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</si>
  <si>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</si>
  <si>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</si>
  <si>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</si>
  <si>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</si>
  <si>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</si>
  <si>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</si>
  <si>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</si>
  <si>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</si>
  <si>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</si>
  <si>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</si>
  <si>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</si>
  <si>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</si>
  <si>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</si>
  <si>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</si>
  <si>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</si>
  <si>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</si>
  <si>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</si>
  <si>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</si>
  <si>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</si>
  <si>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</si>
  <si>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</si>
  <si>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</si>
  <si>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</si>
  <si>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</si>
  <si>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</si>
  <si>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</si>
  <si>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</si>
  <si>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</si>
  <si>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</si>
  <si>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</si>
  <si>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</si>
  <si>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</si>
  <si>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</si>
  <si>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</si>
  <si>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</si>
  <si>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</si>
  <si>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</si>
  <si>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</si>
  <si>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</si>
  <si>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</si>
  <si>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</si>
  <si>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</si>
  <si>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</si>
  <si>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</si>
  <si>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</si>
  <si>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</si>
  <si>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</si>
  <si>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</si>
  <si>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</si>
  <si>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</si>
  <si>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</si>
  <si>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</si>
  <si>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</si>
  <si>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</si>
  <si>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</si>
  <si>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</si>
  <si>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</si>
  <si>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</si>
  <si>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</si>
  <si>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</si>
  <si>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</si>
  <si>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</si>
  <si>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</si>
  <si>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</si>
  <si>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</si>
  <si>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</si>
  <si>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</si>
  <si>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</si>
  <si>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</si>
  <si>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</si>
  <si>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</si>
  <si>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</si>
  <si>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</si>
  <si>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</si>
  <si>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</si>
  <si>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</si>
  <si>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</si>
  <si>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</si>
  <si>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</si>
  <si>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</si>
  <si>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</si>
  <si>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</si>
  <si>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</si>
  <si>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</si>
  <si>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</si>
  <si>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</si>
  <si>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</si>
  <si>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</si>
  <si>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</si>
  <si>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</si>
  <si>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</si>
  <si>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</si>
  <si>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</si>
  <si>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</si>
  <si>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</si>
  <si>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</si>
  <si>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</si>
  <si>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</si>
  <si>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</si>
  <si>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</si>
  <si>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</si>
  <si>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</si>
  <si>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</si>
  <si>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</si>
  <si>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</si>
  <si>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</si>
  <si>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</si>
  <si>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</si>
  <si>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</si>
  <si>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</si>
  <si>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</si>
  <si>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</si>
  <si>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</si>
  <si>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</si>
  <si>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</si>
  <si>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</si>
  <si>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</si>
  <si>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</si>
  <si>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</si>
  <si>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</si>
  <si>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</si>
  <si>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</si>
  <si>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</si>
  <si>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</si>
  <si>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</si>
  <si>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</si>
  <si>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</si>
  <si>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</si>
  <si>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</si>
  <si>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</si>
  <si>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</si>
  <si>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</si>
  <si>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</si>
  <si>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</si>
  <si>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</si>
  <si>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</si>
  <si>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</si>
  <si>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</si>
  <si>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</si>
  <si>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</si>
  <si>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</si>
  <si>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</si>
  <si>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</si>
  <si>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</si>
  <si>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</si>
  <si>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</si>
  <si>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</si>
  <si>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</si>
  <si>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</si>
  <si>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</si>
  <si>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</si>
  <si>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</si>
  <si>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</si>
  <si>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</si>
  <si>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</si>
  <si>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</si>
  <si>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</si>
  <si>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</si>
  <si>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</si>
  <si>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</si>
  <si>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</si>
  <si>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</si>
  <si>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</si>
  <si>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</si>
  <si>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</si>
  <si>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</si>
  <si>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</si>
  <si>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</si>
  <si>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</si>
  <si>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</si>
  <si>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</si>
  <si>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</si>
  <si>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</si>
  <si>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</si>
  <si>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</si>
  <si>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</si>
  <si>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</si>
  <si>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</si>
  <si>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</si>
  <si>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</si>
  <si>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</si>
  <si>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</si>
  <si>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</si>
  <si>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</si>
  <si>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</si>
  <si>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</si>
  <si>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</si>
  <si>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</si>
  <si>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</si>
  <si>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</si>
  <si>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</si>
  <si>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</si>
  <si>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</si>
  <si>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</si>
  <si>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</si>
  <si>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</si>
  <si>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</si>
  <si>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</si>
  <si>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</si>
  <si>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</si>
  <si>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</si>
  <si>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</si>
  <si>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</si>
  <si>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</si>
  <si>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</si>
  <si>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</si>
  <si>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</si>
  <si>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</si>
  <si>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</si>
  <si>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</si>
  <si>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</si>
  <si>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</si>
  <si>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</si>
  <si>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</si>
  <si>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</si>
  <si>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</si>
  <si>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</si>
  <si>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</si>
  <si>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</si>
  <si>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</si>
  <si>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</si>
  <si>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</si>
  <si>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</si>
  <si>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</si>
  <si>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</si>
  <si>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</si>
  <si>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</si>
  <si>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</si>
  <si>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</si>
  <si>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</si>
  <si>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</si>
  <si>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</si>
  <si>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</si>
  <si>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</si>
  <si>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</si>
  <si>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</si>
  <si>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</si>
  <si>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</si>
  <si>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</si>
  <si>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</si>
  <si>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</si>
  <si>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</si>
  <si>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</si>
  <si>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</si>
  <si>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</si>
  <si>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</si>
  <si>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</si>
  <si>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</si>
  <si>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</si>
  <si>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</si>
  <si>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</si>
  <si>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</si>
  <si>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</si>
  <si>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</si>
  <si>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</si>
  <si>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</si>
  <si>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</si>
  <si>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</si>
  <si>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</si>
  <si>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</si>
  <si>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</si>
  <si>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</si>
  <si>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</si>
  <si>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</si>
  <si>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</si>
  <si>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</si>
  <si>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</si>
  <si>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</si>
  <si>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</si>
  <si>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</si>
  <si>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</si>
  <si>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</si>
  <si>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</si>
  <si>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</si>
  <si>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</si>
  <si>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</si>
  <si>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</si>
  <si>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</si>
  <si>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</si>
  <si>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</si>
  <si>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</si>
  <si>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</si>
  <si>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</si>
  <si>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</si>
  <si>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</si>
  <si>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</si>
  <si>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</si>
  <si>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</si>
  <si>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</si>
  <si>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</si>
  <si>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</si>
  <si>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</si>
  <si>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</si>
  <si>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</si>
  <si>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</si>
  <si>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</si>
  <si>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</si>
  <si>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</si>
  <si>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</si>
  <si>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</si>
  <si>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</si>
  <si>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</si>
  <si>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</si>
  <si>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</si>
  <si>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</si>
  <si>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</si>
  <si>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</si>
  <si>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</si>
  <si>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</si>
  <si>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</si>
  <si>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</si>
  <si>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</si>
  <si>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</si>
  <si>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</si>
  <si>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</si>
  <si>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</si>
  <si>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</si>
  <si>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</si>
  <si>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</si>
  <si>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</si>
  <si>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</si>
  <si>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</si>
  <si>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</si>
  <si>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</si>
  <si>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</si>
  <si>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</si>
  <si>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</si>
  <si>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</si>
  <si>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</si>
  <si>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</si>
  <si>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</si>
  <si>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</si>
  <si>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</si>
  <si>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</si>
  <si>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</si>
  <si>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</si>
  <si>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</si>
  <si>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</si>
  <si>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</si>
  <si>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</si>
  <si>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</si>
  <si>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</si>
  <si>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</si>
  <si>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</si>
  <si>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</si>
  <si>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</si>
  <si>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</si>
  <si>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</si>
  <si>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</si>
  <si>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</si>
  <si>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</si>
  <si>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</si>
  <si>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</si>
  <si>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</si>
  <si>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</si>
  <si>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</si>
  <si>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</si>
  <si>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</si>
  <si>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</si>
  <si>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</si>
  <si>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</si>
  <si>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</si>
  <si>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</si>
  <si>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</si>
  <si>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</si>
  <si>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</si>
  <si>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</si>
  <si>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</si>
  <si>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</si>
  <si>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</si>
  <si>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</si>
  <si>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</si>
  <si>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</si>
  <si>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</si>
  <si>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</si>
  <si>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</si>
  <si>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</si>
  <si>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</si>
  <si>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</si>
  <si>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</si>
  <si>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</si>
  <si>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</si>
  <si>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</si>
  <si>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</si>
  <si>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</si>
  <si>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</si>
  <si>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</si>
  <si>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</si>
  <si>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</si>
  <si>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</si>
  <si>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</si>
  <si>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</si>
  <si>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</si>
  <si>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</si>
  <si>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</si>
  <si>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</si>
  <si>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</si>
  <si>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</si>
  <si>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</si>
  <si>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</si>
  <si>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</si>
  <si>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</si>
  <si>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</si>
  <si>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</si>
  <si>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</si>
  <si>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</si>
  <si>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</si>
  <si>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</si>
  <si>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</si>
  <si>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</si>
  <si>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</si>
  <si>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</si>
  <si>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</si>
  <si>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</si>
  <si>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</si>
  <si>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</si>
  <si>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</si>
  <si>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</si>
  <si>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</si>
  <si>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</si>
  <si>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</si>
  <si>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</si>
  <si>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</si>
  <si>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</si>
  <si>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</si>
  <si>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</si>
  <si>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</si>
  <si>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</si>
  <si>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</si>
  <si>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</si>
  <si>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</si>
  <si>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</si>
  <si>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</si>
  <si>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</si>
  <si>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</si>
  <si>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</si>
  <si>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</si>
  <si>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</si>
  <si>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</si>
  <si>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</si>
  <si>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</si>
  <si>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</si>
  <si>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</si>
  <si>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</si>
  <si>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</si>
  <si>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</si>
  <si>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</si>
  <si>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</si>
  <si>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</si>
  <si>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</si>
  <si>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</si>
  <si>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</si>
  <si>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</si>
  <si>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</si>
  <si>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</si>
  <si>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</si>
  <si>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</si>
  <si>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</si>
  <si>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</si>
  <si>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</si>
  <si>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</si>
  <si>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</si>
  <si>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</si>
  <si>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</si>
  <si>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</si>
  <si>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</si>
  <si>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</si>
  <si>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</si>
  <si>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</si>
  <si>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</si>
  <si>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</si>
  <si>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</si>
  <si>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</si>
  <si>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</si>
  <si>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</si>
  <si>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</si>
  <si>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</si>
  <si>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</si>
  <si>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</si>
  <si>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</si>
  <si>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</si>
  <si>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</si>
  <si>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</si>
  <si>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</si>
  <si>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</si>
  <si>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</si>
  <si>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</si>
  <si>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</si>
  <si>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</si>
  <si>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</si>
  <si>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</si>
  <si>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</si>
  <si>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</si>
  <si>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</si>
  <si>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</si>
  <si>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</si>
  <si>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</si>
  <si>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</si>
  <si>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</si>
  <si>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</si>
  <si>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</si>
  <si>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</si>
  <si>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</si>
  <si>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</si>
  <si>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</si>
  <si>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</si>
  <si>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</si>
  <si>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</si>
  <si>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</si>
  <si>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</si>
  <si>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</si>
  <si>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</si>
  <si>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</si>
  <si>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</si>
  <si>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</si>
  <si>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</si>
  <si>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</si>
  <si>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</si>
  <si>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</si>
  <si>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</si>
  <si>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</si>
  <si>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</si>
  <si>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</si>
  <si>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</si>
  <si>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</si>
  <si>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</si>
  <si>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</si>
  <si>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</si>
  <si>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</si>
  <si>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</si>
  <si>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</si>
  <si>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</si>
  <si>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</si>
  <si>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</si>
  <si>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</si>
  <si>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</si>
  <si>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</si>
  <si>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</si>
  <si>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</si>
  <si>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</si>
  <si>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</si>
  <si>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</si>
  <si>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</si>
  <si>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</si>
  <si>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</si>
  <si>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</si>
  <si>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</si>
  <si>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</si>
  <si>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</si>
  <si>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</si>
  <si>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</si>
  <si>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</si>
  <si>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</si>
  <si>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</si>
  <si>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</si>
  <si>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</si>
  <si>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</si>
  <si>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</si>
  <si>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</si>
  <si>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</si>
  <si>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</si>
  <si>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</si>
  <si>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</si>
  <si>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</si>
  <si>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</si>
  <si>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</si>
  <si>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</si>
  <si>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</si>
  <si>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</si>
  <si>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</si>
  <si>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</si>
  <si>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</si>
  <si>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</si>
  <si>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</si>
  <si>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</si>
  <si>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</si>
  <si>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</si>
  <si>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</si>
  <si>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</si>
  <si>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</si>
  <si>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</si>
  <si>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</si>
  <si>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</si>
  <si>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</si>
  <si>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</si>
  <si>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</si>
  <si>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</si>
  <si>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</si>
  <si>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</si>
  <si>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</si>
  <si>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</si>
  <si>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</si>
  <si>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</si>
  <si>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</si>
  <si>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</si>
  <si>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</si>
  <si>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</si>
  <si>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</si>
  <si>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</si>
  <si>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</si>
  <si>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</si>
  <si>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</si>
  <si>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</si>
  <si>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</si>
  <si>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</si>
  <si>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</si>
  <si>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</si>
  <si>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</si>
  <si>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</si>
  <si>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</si>
  <si>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</si>
  <si>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</si>
  <si>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</si>
  <si>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</si>
  <si>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</si>
  <si>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</si>
  <si>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</si>
  <si>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</si>
  <si>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</si>
  <si>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</si>
  <si>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</si>
  <si>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</si>
  <si>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</si>
  <si>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</si>
  <si>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</si>
  <si>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</si>
  <si>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</si>
  <si>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</si>
  <si>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</si>
  <si>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</si>
  <si>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</si>
  <si>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</si>
  <si>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</si>
  <si>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</si>
  <si>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</si>
  <si>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</si>
  <si>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</si>
  <si>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</si>
  <si>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</si>
  <si>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</si>
  <si>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</si>
  <si>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</si>
  <si>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</si>
  <si>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</si>
  <si>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</si>
  <si>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</si>
  <si>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</si>
  <si>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</si>
  <si>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</si>
  <si>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</si>
  <si>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</si>
  <si>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</si>
  <si>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</si>
  <si>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</si>
  <si>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</si>
  <si>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</si>
  <si>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</si>
  <si>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</si>
  <si>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</si>
  <si>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</si>
  <si>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</si>
  <si>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</si>
  <si>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</si>
  <si>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</si>
  <si>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</si>
  <si>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</si>
  <si>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</si>
  <si>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</si>
  <si>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</si>
  <si>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</si>
  <si>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</si>
  <si>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</si>
  <si>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</si>
  <si>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</si>
  <si>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</si>
  <si>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</si>
  <si>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</si>
  <si>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</si>
  <si>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</si>
  <si>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</si>
  <si>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</si>
  <si>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</si>
  <si>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</si>
  <si>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</si>
  <si>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</si>
  <si>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</si>
  <si>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</si>
  <si>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</si>
  <si>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</si>
  <si>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</si>
  <si>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</si>
  <si>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</si>
  <si>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</si>
  <si>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</si>
  <si>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</si>
  <si>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</si>
  <si>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</si>
  <si>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</si>
  <si>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</si>
  <si>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</si>
  <si>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</si>
  <si>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</si>
  <si>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</si>
  <si>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</si>
  <si>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</si>
  <si>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</si>
  <si>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</si>
  <si>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</si>
  <si>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</si>
  <si>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</si>
  <si>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</si>
  <si>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</si>
  <si>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</si>
  <si>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</si>
  <si>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</si>
  <si>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</si>
  <si>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</si>
  <si>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</si>
  <si>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</si>
  <si>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</si>
  <si>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</si>
  <si>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</si>
  <si>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</si>
  <si>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</si>
  <si>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</si>
  <si>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</si>
  <si>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</si>
  <si>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</si>
  <si>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</si>
  <si>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</si>
  <si>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</si>
  <si>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</si>
  <si>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</si>
  <si>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</si>
  <si>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</si>
  <si>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</si>
  <si>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</si>
  <si>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</si>
  <si>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</si>
  <si>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</si>
  <si>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</si>
  <si>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</si>
  <si>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</si>
  <si>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</si>
  <si>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</si>
  <si>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</si>
  <si>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</si>
  <si>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</si>
  <si>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</si>
  <si>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</si>
  <si>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</si>
  <si>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</si>
  <si>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</si>
  <si>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</si>
  <si>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</si>
  <si>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</si>
  <si>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</si>
  <si>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</si>
  <si>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</si>
  <si>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</si>
  <si>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</si>
  <si>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</si>
  <si>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</si>
  <si>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</si>
  <si>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</si>
  <si>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</si>
  <si>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</si>
  <si>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</si>
  <si>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</si>
  <si>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</si>
  <si>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</si>
  <si>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</si>
  <si>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</si>
  <si>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</si>
  <si>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</si>
  <si>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Model needed</t>
  </si>
  <si>
    <t>Small bulldozer needed</t>
  </si>
  <si>
    <t>Had the right straps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</si>
  <si>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</si>
  <si>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</si>
  <si>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</si>
  <si>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</si>
  <si>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</si>
  <si>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</si>
  <si>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</si>
  <si>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</si>
  <si>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</si>
  <si>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</si>
  <si>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</si>
  <si>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</si>
  <si>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</si>
  <si>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Burdett Avenue Bridge</t>
  </si>
  <si>
    <t>Findlay Creek Road HOV Lane</t>
  </si>
  <si>
    <t>Burdett Avenue Overpass</t>
  </si>
  <si>
    <t>Roger Street Overpass</t>
  </si>
  <si>
    <t>Glover Road Bridge Replacement</t>
  </si>
  <si>
    <t>Stum Lake Road Upgrade</t>
  </si>
  <si>
    <t>Roger Street Building</t>
  </si>
  <si>
    <t>Roger Street Extension</t>
  </si>
  <si>
    <t>Brew Creek Rd Cloverleaf</t>
  </si>
  <si>
    <t>Wellington Ave Express Lane</t>
  </si>
  <si>
    <t>Brew Creek Rd Bypass</t>
  </si>
  <si>
    <t>Burdett Avenue Bypass</t>
  </si>
  <si>
    <t>Blanshard Bypass</t>
  </si>
  <si>
    <t>102nd Avenue Extension</t>
  </si>
  <si>
    <t>Cordova Street Extension</t>
  </si>
  <si>
    <t>Roger Street Upgrade</t>
  </si>
  <si>
    <t>Cardero St Extension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</si>
  <si>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</si>
  <si>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</si>
  <si>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</si>
  <si>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</si>
  <si>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</si>
  <si>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</si>
  <si>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</si>
  <si>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</si>
  <si>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</si>
  <si>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Glover Road Extension</t>
  </si>
  <si>
    <t>Burdett Avenue Expressway</t>
  </si>
  <si>
    <t>Nootka Street Extension</t>
  </si>
  <si>
    <t>Alaska Hwy Cloverleaf</t>
  </si>
  <si>
    <t>Kinchant St Express Lane</t>
  </si>
  <si>
    <t>Stum Lake Road Expressway</t>
  </si>
  <si>
    <t>Robson St Bypass</t>
  </si>
  <si>
    <t>Roger Street Expressway</t>
  </si>
  <si>
    <t>Hastings Street Extension</t>
  </si>
  <si>
    <t>Roger Street Express Lane</t>
  </si>
  <si>
    <t>Roger Street Cloverleaf</t>
  </si>
  <si>
    <t>Wallace Street Expressway</t>
  </si>
  <si>
    <t>Brew Creek Rd Extension</t>
  </si>
  <si>
    <t>James Street Bypass</t>
  </si>
  <si>
    <t>Queens Bay Express Lane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</si>
  <si>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</si>
  <si>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</si>
  <si>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</si>
  <si>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</si>
  <si>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</si>
  <si>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Findlay Creek Road Extension</t>
  </si>
  <si>
    <t>Shaughnessy St Bridge</t>
  </si>
  <si>
    <t>Roger Street HOV Lane</t>
  </si>
  <si>
    <t>Glover Road Expressway</t>
  </si>
  <si>
    <t>Findlay Creek Road Building</t>
  </si>
  <si>
    <t>Blanshard Overpass</t>
  </si>
  <si>
    <t>Burdett Avenue Bridge Replacement</t>
  </si>
  <si>
    <t>Blind Bay Road Building</t>
  </si>
  <si>
    <t>Jade St Expressway</t>
  </si>
  <si>
    <t>Hardy Street Building</t>
  </si>
  <si>
    <t>Roger Street Bridge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</si>
  <si>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</si>
  <si>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</si>
  <si>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</si>
  <si>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</si>
  <si>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</si>
  <si>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</si>
  <si>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</si>
  <si>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</si>
  <si>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</si>
  <si>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</si>
  <si>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</si>
  <si>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</si>
  <si>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</si>
  <si>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</si>
  <si>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</si>
  <si>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</si>
  <si>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</si>
  <si>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</si>
  <si>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</si>
  <si>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</si>
  <si>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</si>
  <si>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</si>
  <si>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</si>
  <si>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</si>
  <si>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</si>
  <si>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</si>
  <si>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</si>
  <si>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</si>
  <si>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Kinchant St Building</t>
  </si>
  <si>
    <t>Robson St HOV Lane</t>
  </si>
  <si>
    <t>Findlay Creek Road Bridge Replacement</t>
  </si>
  <si>
    <t>Cardero St Express Lane</t>
  </si>
  <si>
    <t>Old Spallumcheen Rd Bypass</t>
  </si>
  <si>
    <t>Roger Street Bypass</t>
  </si>
  <si>
    <t>Keith Road Upgrade</t>
  </si>
  <si>
    <t>Brew Creek Rd Upgrade</t>
  </si>
  <si>
    <t>Roger Street Bridge Replacement</t>
  </si>
  <si>
    <t>Hastings Street HOV Lane</t>
  </si>
  <si>
    <t>Queens Bay Cloverleaf</t>
  </si>
  <si>
    <t>Hastings Street Upgrade</t>
  </si>
  <si>
    <t>Burdett Avenue Upgrade</t>
  </si>
  <si>
    <t>James Street Expressway</t>
  </si>
  <si>
    <t>Tolmie St Cloverleaf</t>
  </si>
  <si>
    <t>Quayside Dr Express Lane</t>
  </si>
  <si>
    <t>Jade St Cloverleaf</t>
  </si>
  <si>
    <t>Alaska Hwy HOV Lane</t>
  </si>
  <si>
    <t>Sixth Street HOV Lane</t>
  </si>
  <si>
    <t>Stum Lake Road Extension</t>
  </si>
  <si>
    <t>James Street Building</t>
  </si>
  <si>
    <t>Tolmie St Extension</t>
  </si>
  <si>
    <t>Blanshard Cloverleaf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</si>
  <si>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</si>
  <si>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</si>
  <si>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</si>
  <si>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</si>
  <si>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</si>
  <si>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Blind Bay Road Bridge</t>
  </si>
  <si>
    <t>Glover Road Building</t>
  </si>
  <si>
    <t>Wellington Ave Bypass</t>
  </si>
  <si>
    <t>Hastings Street Express Lane</t>
  </si>
  <si>
    <t>Tchesinkut Lake Rd Bridge Replacement</t>
  </si>
  <si>
    <t>Blanshard Building</t>
  </si>
  <si>
    <t>St George Street Building</t>
  </si>
  <si>
    <t>Stum Lake Road Overpass</t>
  </si>
  <si>
    <t>Yoho Valley Road Extension</t>
  </si>
  <si>
    <t>Keith Road HOV Lane</t>
  </si>
  <si>
    <t>Quayside Dr Overpass</t>
  </si>
  <si>
    <t>Jade St Express Lane</t>
  </si>
  <si>
    <t>Robson St Extension</t>
  </si>
  <si>
    <t>Carlson Road Building</t>
  </si>
  <si>
    <t>McGill Road Bridge Replacement</t>
  </si>
  <si>
    <t>Russell Avenue Upgrade</t>
  </si>
  <si>
    <t>Brew Creek Rd Bridge Replacement</t>
  </si>
  <si>
    <t>Queens Bay Overpass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</si>
  <si>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</si>
  <si>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</si>
  <si>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</si>
  <si>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</si>
  <si>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</si>
  <si>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</si>
  <si>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</si>
  <si>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Blanshard Expressway</t>
  </si>
  <si>
    <t>Kinchant St Expressway</t>
  </si>
  <si>
    <t>St George Street Express Lane</t>
  </si>
  <si>
    <t>Alaska Hwy Bridge Replacement</t>
  </si>
  <si>
    <t>Blind Bay Road Bridge Replacement</t>
  </si>
  <si>
    <t>Shaughnessy St Bridge Replacement</t>
  </si>
  <si>
    <t>King George Hwy Express Lane</t>
  </si>
  <si>
    <t>Yoho Valley Road Upgrade</t>
  </si>
  <si>
    <t>Hastings Street Bridge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</si>
  <si>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</si>
  <si>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</si>
  <si>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</si>
  <si>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</si>
  <si>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</si>
  <si>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</si>
  <si>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Glover Road HOV Lane</t>
  </si>
  <si>
    <t>Wallace Street HOV Lane</t>
  </si>
  <si>
    <t>Yoho Valley Road Bridge</t>
  </si>
  <si>
    <t>Scotts Lane Building</t>
  </si>
  <si>
    <t>Nootka Street HOV Lane</t>
  </si>
  <si>
    <t>102nd Avenue HOV Lane</t>
  </si>
  <si>
    <t>Kinchant St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</si>
  <si>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</si>
  <si>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</si>
  <si>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</si>
  <si>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</si>
  <si>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</si>
  <si>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</si>
  <si>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</si>
  <si>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</si>
  <si>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</si>
  <si>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</si>
  <si>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</si>
  <si>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</si>
  <si>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</si>
  <si>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</si>
  <si>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</si>
  <si>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Glover Road Upgrade</t>
  </si>
  <si>
    <t>Burdett Avenue Extension</t>
  </si>
  <si>
    <t>Shaughnessy St Overpass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</si>
  <si>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</si>
  <si>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</si>
  <si>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</si>
  <si>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</si>
  <si>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</si>
  <si>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</si>
  <si>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</si>
  <si>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</si>
  <si>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Alaska Hwy Express Lane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</si>
  <si>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</si>
  <si>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</si>
  <si>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</si>
  <si>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</si>
  <si>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</si>
  <si>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</si>
  <si>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</si>
  <si>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</si>
  <si>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</si>
  <si>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</si>
  <si>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</si>
  <si>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</si>
  <si>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</si>
  <si>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</si>
  <si>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</si>
  <si>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</si>
  <si>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</si>
  <si>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</si>
  <si>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</si>
  <si>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</si>
  <si>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</si>
  <si>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</si>
  <si>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</si>
  <si>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</si>
  <si>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</si>
  <si>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</si>
  <si>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</si>
  <si>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</si>
  <si>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</si>
  <si>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</si>
  <si>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!blockNumber</t>
  </si>
  <si>
    <t>!OverallRank</t>
  </si>
  <si>
    <t>!RankwithinOrg</t>
  </si>
  <si>
    <t>2004-06-01</t>
  </si>
  <si>
    <t>2004-06-06</t>
  </si>
  <si>
    <t>2013-05-30</t>
  </si>
  <si>
    <t>2013-06-04</t>
  </si>
  <si>
    <t>2014-05-11</t>
  </si>
  <si>
    <t>2014-06-03</t>
  </si>
  <si>
    <t>2004-11-14</t>
  </si>
  <si>
    <t>2004-11-16</t>
  </si>
  <si>
    <t>2006-01-26</t>
  </si>
  <si>
    <t>2006-02-22</t>
  </si>
  <si>
    <t>2014-07-14</t>
  </si>
  <si>
    <t>2014-07-17</t>
  </si>
  <si>
    <t>2006-07-15</t>
  </si>
  <si>
    <t>2006-08-07</t>
  </si>
  <si>
    <t>2007-03-30</t>
  </si>
  <si>
    <t>2007-04-27</t>
  </si>
  <si>
    <t>2005-11-21</t>
  </si>
  <si>
    <t>2005-11-30</t>
  </si>
  <si>
    <t>2012-04-10</t>
  </si>
  <si>
    <t>2012-04-23</t>
  </si>
  <si>
    <t>2006-12-20</t>
  </si>
  <si>
    <t>2007-01-01</t>
  </si>
  <si>
    <t>2008-01-17</t>
  </si>
  <si>
    <t>2008-01-20</t>
  </si>
  <si>
    <t>2008-09-29</t>
  </si>
  <si>
    <t>2008-10-11</t>
  </si>
  <si>
    <t>2011-04-22</t>
  </si>
  <si>
    <t>2011-05-04</t>
  </si>
  <si>
    <t>2013-06-23</t>
  </si>
  <si>
    <t>2013-06-29</t>
  </si>
  <si>
    <t>2015-08-29</t>
  </si>
  <si>
    <t>2015-09-08</t>
  </si>
  <si>
    <t>2006-10-18</t>
  </si>
  <si>
    <t>2006-10-20</t>
  </si>
  <si>
    <t>2003-12-06</t>
  </si>
  <si>
    <t>2003-12-30</t>
  </si>
  <si>
    <t>2006-06-19</t>
  </si>
  <si>
    <t>2006-07-06</t>
  </si>
  <si>
    <t>2008-10-01</t>
  </si>
  <si>
    <t>2008-10-27</t>
  </si>
  <si>
    <t>2009-08-28</t>
  </si>
  <si>
    <t>2009-09-06</t>
  </si>
  <si>
    <t>2013-06-20</t>
  </si>
  <si>
    <t>2013-07-07</t>
  </si>
  <si>
    <t>2015-10-22</t>
  </si>
  <si>
    <t>2015-11-15</t>
  </si>
  <si>
    <t>2009-09-03</t>
  </si>
  <si>
    <t>2009-09-25</t>
  </si>
  <si>
    <t>2007-01-12</t>
  </si>
  <si>
    <t>2007-01-14</t>
  </si>
  <si>
    <t>2004-03-27</t>
  </si>
  <si>
    <t>2004-04-05</t>
  </si>
  <si>
    <t>2014-01-22</t>
  </si>
  <si>
    <t>2014-01-31</t>
  </si>
  <si>
    <t>2004-10-10</t>
  </si>
  <si>
    <t>2004-11-04</t>
  </si>
  <si>
    <t>2005-08-01</t>
  </si>
  <si>
    <t>2005-08-20</t>
  </si>
  <si>
    <t>2014-12-27</t>
  </si>
  <si>
    <t>2015-01-02</t>
  </si>
  <si>
    <t>2011-03-08</t>
  </si>
  <si>
    <t>2011-03-12</t>
  </si>
  <si>
    <t>2008-04-23</t>
  </si>
  <si>
    <t>2008-05-17</t>
  </si>
  <si>
    <t>2010-05-30</t>
  </si>
  <si>
    <t>2010-06-30</t>
  </si>
  <si>
    <t>2009-07-31</t>
  </si>
  <si>
    <t>2009-08-11</t>
  </si>
  <si>
    <t>2010-02-13</t>
  </si>
  <si>
    <t>2010-03-14</t>
  </si>
  <si>
    <t>2007-12-27</t>
  </si>
  <si>
    <t>2008-01-11</t>
  </si>
  <si>
    <t>2012-11-06</t>
  </si>
  <si>
    <t>2012-11-23</t>
  </si>
  <si>
    <t>2016-05-29</t>
  </si>
  <si>
    <t>2016-06-17</t>
  </si>
  <si>
    <t>2012-04-20</t>
  </si>
  <si>
    <t>2012-11-16</t>
  </si>
  <si>
    <t>2004-04-11</t>
  </si>
  <si>
    <t>2004-05-07</t>
  </si>
  <si>
    <t>2014-03-02</t>
  </si>
  <si>
    <t>2014-03-18</t>
  </si>
  <si>
    <t>2012-11-19</t>
  </si>
  <si>
    <t>2012-12-09</t>
  </si>
  <si>
    <t>2009-06-04</t>
  </si>
  <si>
    <t>2009-06-10</t>
  </si>
  <si>
    <t>2006-07-14</t>
  </si>
  <si>
    <t>2006-07-24</t>
  </si>
  <si>
    <t>2013-11-11</t>
  </si>
  <si>
    <t>2013-11-25</t>
  </si>
  <si>
    <t>2005-08-26</t>
  </si>
  <si>
    <t>2005-08-31</t>
  </si>
  <si>
    <t>2010-01-31</t>
  </si>
  <si>
    <t>2010-02-02</t>
  </si>
  <si>
    <t>2015-08-24</t>
  </si>
  <si>
    <t>2015-08-30</t>
  </si>
  <si>
    <t>2005-04-16</t>
  </si>
  <si>
    <t>2005-05-05</t>
  </si>
  <si>
    <t>2009-05-03</t>
  </si>
  <si>
    <t>2009-05-31</t>
  </si>
  <si>
    <t>2016-07-15</t>
  </si>
  <si>
    <t>2016-08-09</t>
  </si>
  <si>
    <t>2015-09-09</t>
  </si>
  <si>
    <t>2015-09-24</t>
  </si>
  <si>
    <t>2007-12-13</t>
  </si>
  <si>
    <t>2007-12-26</t>
  </si>
  <si>
    <t>2005-06-24</t>
  </si>
  <si>
    <t>2005-07-06</t>
  </si>
  <si>
    <t>2014-04-15</t>
  </si>
  <si>
    <t>2014-04-22</t>
  </si>
  <si>
    <t>2007-05-15</t>
  </si>
  <si>
    <t>2007-06-13</t>
  </si>
  <si>
    <t>2009-07-22</t>
  </si>
  <si>
    <t>2009-08-07</t>
  </si>
  <si>
    <t>2011-04-25</t>
  </si>
  <si>
    <t>2011-05-20</t>
  </si>
  <si>
    <t>2011-06-17</t>
  </si>
  <si>
    <t>2011-06-26</t>
  </si>
  <si>
    <t>2016-05-13</t>
  </si>
  <si>
    <t>2016-05-20</t>
  </si>
  <si>
    <t>2011-02-10</t>
  </si>
  <si>
    <t>2011-02-17</t>
  </si>
  <si>
    <t>2012-06-06</t>
  </si>
  <si>
    <t>2012-06-12</t>
  </si>
  <si>
    <t>2016-07-18</t>
  </si>
  <si>
    <t>2016-08-11</t>
  </si>
  <si>
    <t>2007-12-28</t>
  </si>
  <si>
    <t>2008-01-25</t>
  </si>
  <si>
    <t>2004-10-13</t>
  </si>
  <si>
    <t>2004-10-17</t>
  </si>
  <si>
    <t>2005-09-11</t>
  </si>
  <si>
    <t>2005-10-04</t>
  </si>
  <si>
    <t>2011-03-11</t>
  </si>
  <si>
    <t>2011-04-08</t>
  </si>
  <si>
    <t>2008-06-05</t>
  </si>
  <si>
    <t>2008-06-24</t>
  </si>
  <si>
    <t>2006-03-26</t>
  </si>
  <si>
    <t>2006-04-19</t>
  </si>
  <si>
    <t>2010-01-01</t>
  </si>
  <si>
    <t>2010-01-13</t>
  </si>
  <si>
    <t>2013-02-22</t>
  </si>
  <si>
    <t>2013-03-05</t>
  </si>
  <si>
    <t>2014-05-16</t>
  </si>
  <si>
    <t>2014-05-23</t>
  </si>
  <si>
    <t>2011-03-20</t>
  </si>
  <si>
    <t>2011-04-12</t>
  </si>
  <si>
    <t>2009-11-24</t>
  </si>
  <si>
    <t>2009-12-22</t>
  </si>
  <si>
    <t>2013-10-26</t>
  </si>
  <si>
    <t>2013-11-15</t>
  </si>
  <si>
    <t>2015-02-15</t>
  </si>
  <si>
    <t>2015-02-16</t>
  </si>
  <si>
    <t>2016-07-24</t>
  </si>
  <si>
    <t>2016-08-04</t>
  </si>
  <si>
    <t>2011-11-10</t>
  </si>
  <si>
    <t>2011-11-30</t>
  </si>
  <si>
    <t>2008-11-20</t>
  </si>
  <si>
    <t>2008-12-17</t>
  </si>
  <si>
    <t>2015-04-07</t>
  </si>
  <si>
    <t>2015-04-15</t>
  </si>
  <si>
    <t>2015-09-11</t>
  </si>
  <si>
    <t>2014-01-24</t>
  </si>
  <si>
    <t>2014-02-12</t>
  </si>
  <si>
    <t>2006-08-02</t>
  </si>
  <si>
    <t>2006-08-11</t>
  </si>
  <si>
    <t>2007-05-09</t>
  </si>
  <si>
    <t>2007-05-20</t>
  </si>
  <si>
    <t>2010-09-16</t>
  </si>
  <si>
    <t>2010-10-07</t>
  </si>
  <si>
    <t>2007-11-01</t>
  </si>
  <si>
    <t>2007-11-24</t>
  </si>
  <si>
    <t>2015-05-16</t>
  </si>
  <si>
    <t>2015-06-01</t>
  </si>
  <si>
    <t>2012-02-13</t>
  </si>
  <si>
    <t>2012-03-14</t>
  </si>
  <si>
    <t>2010-04-12</t>
  </si>
  <si>
    <t>2010-04-15</t>
  </si>
  <si>
    <t>2005-12-04</t>
  </si>
  <si>
    <t>2005-12-16</t>
  </si>
  <si>
    <t>2016-01-05</t>
  </si>
  <si>
    <t>2016-01-19</t>
  </si>
  <si>
    <t>2011-12-13</t>
  </si>
  <si>
    <t>2011-12-16</t>
  </si>
  <si>
    <t>2010-09-12</t>
  </si>
  <si>
    <t>2010-09-30</t>
  </si>
  <si>
    <t>2006-12-01</t>
  </si>
  <si>
    <t>2006-12-28</t>
  </si>
  <si>
    <t>2013-11-28</t>
  </si>
  <si>
    <t>2013-12-29</t>
  </si>
  <si>
    <t>2008-05-08</t>
  </si>
  <si>
    <t>2008-05-31</t>
  </si>
  <si>
    <t>2010-05-22</t>
  </si>
  <si>
    <t>2010-06-13</t>
  </si>
  <si>
    <t>2013-01-01</t>
  </si>
  <si>
    <t>2013-01-06</t>
  </si>
  <si>
    <t>2006-08-19</t>
  </si>
  <si>
    <t>2006-08-26</t>
  </si>
  <si>
    <t>2007-05-11</t>
  </si>
  <si>
    <t>2009-04-02</t>
  </si>
  <si>
    <t>2009-04-27</t>
  </si>
  <si>
    <t>2010-10-27</t>
  </si>
  <si>
    <t>2010-10-28</t>
  </si>
  <si>
    <t>2003-11-28</t>
  </si>
  <si>
    <t>2008-07-25</t>
  </si>
  <si>
    <t>2008-08-11</t>
  </si>
  <si>
    <t>2012-06-13</t>
  </si>
  <si>
    <t>2012-06-24</t>
  </si>
  <si>
    <t>2011-06-22</t>
  </si>
  <si>
    <t>2011-06-28</t>
  </si>
  <si>
    <t>2010-03-03</t>
  </si>
  <si>
    <t>2010-03-19</t>
  </si>
  <si>
    <t>2014-05-25</t>
  </si>
  <si>
    <t>2014-06-23</t>
  </si>
  <si>
    <t>2013-07-21</t>
  </si>
  <si>
    <t>2013-07-26</t>
  </si>
  <si>
    <t>2005-11-15</t>
  </si>
  <si>
    <t>2005-12-15</t>
  </si>
  <si>
    <t>2009-12-10</t>
  </si>
  <si>
    <t>2009-12-13</t>
  </si>
  <si>
    <t>2007-06-04</t>
  </si>
  <si>
    <t>2007-06-25</t>
  </si>
  <si>
    <t>2005-09-01</t>
  </si>
  <si>
    <t>2005-09-13</t>
  </si>
  <si>
    <t>2012-08-13</t>
  </si>
  <si>
    <t>2012-08-21</t>
  </si>
  <si>
    <t>2009-05-22</t>
  </si>
  <si>
    <t>2009-05-29</t>
  </si>
  <si>
    <t>2012-12-27</t>
  </si>
  <si>
    <t>2012-12-29</t>
  </si>
  <si>
    <t>2004-10-09</t>
  </si>
  <si>
    <t>2004-10-11</t>
  </si>
  <si>
    <t>2010-03-15</t>
  </si>
  <si>
    <t>2010-03-30</t>
  </si>
  <si>
    <t>2011-04-19</t>
  </si>
  <si>
    <t>2011-05-11</t>
  </si>
  <si>
    <t>2010-10-29</t>
  </si>
  <si>
    <t>2013-05-12</t>
  </si>
  <si>
    <t>2016-07-20</t>
  </si>
  <si>
    <t>2016-07-27</t>
  </si>
  <si>
    <t>2011-04-06</t>
  </si>
  <si>
    <t>2011-04-09</t>
  </si>
  <si>
    <t>2011-08-08</t>
  </si>
  <si>
    <t>2011-08-27</t>
  </si>
  <si>
    <t>2007-10-31</t>
  </si>
  <si>
    <t>2007-11-16</t>
  </si>
  <si>
    <t>2012-02-12</t>
  </si>
  <si>
    <t>2012-02-23</t>
  </si>
  <si>
    <t>2011-01-26</t>
  </si>
  <si>
    <t>2011-02-01</t>
  </si>
  <si>
    <t>2008-07-14</t>
  </si>
  <si>
    <t>2008-07-26</t>
  </si>
  <si>
    <t>2015-11-27</t>
  </si>
  <si>
    <t>2015-12-25</t>
  </si>
  <si>
    <t>2016-08-21</t>
  </si>
  <si>
    <t>2008-10-29</t>
  </si>
  <si>
    <t>2008-11-09</t>
  </si>
  <si>
    <t>2010-10-31</t>
  </si>
  <si>
    <t>2010-11-11</t>
  </si>
  <si>
    <t>2003-10-27</t>
  </si>
  <si>
    <t>2003-10-28</t>
  </si>
  <si>
    <t>2015-11-13</t>
  </si>
  <si>
    <t>2015-12-13</t>
  </si>
  <si>
    <t>2008-07-24</t>
  </si>
  <si>
    <t>2008-07-29</t>
  </si>
  <si>
    <t>2006-11-11</t>
  </si>
  <si>
    <t>2006-11-14</t>
  </si>
  <si>
    <t>2011-10-15</t>
  </si>
  <si>
    <t>2011-10-20</t>
  </si>
  <si>
    <t>2010-02-15</t>
  </si>
  <si>
    <t>2010-03-18</t>
  </si>
  <si>
    <t>2010-11-18</t>
  </si>
  <si>
    <t>2010-11-23</t>
  </si>
  <si>
    <t>2011-12-24</t>
  </si>
  <si>
    <t>2012-01-19</t>
  </si>
  <si>
    <t>2016-01-17</t>
  </si>
  <si>
    <t>2016-02-13</t>
  </si>
  <si>
    <t>2009-02-20</t>
  </si>
  <si>
    <t>2009-03-05</t>
  </si>
  <si>
    <t>2013-11-13</t>
  </si>
  <si>
    <t>2015-05-10</t>
  </si>
  <si>
    <t>2015-05-17</t>
  </si>
  <si>
    <t>2007-07-29</t>
  </si>
  <si>
    <t>2007-08-16</t>
  </si>
  <si>
    <t>2011-11-23</t>
  </si>
  <si>
    <t>2011-12-03</t>
  </si>
  <si>
    <t>2006-10-22</t>
  </si>
  <si>
    <t>2006-11-09</t>
  </si>
  <si>
    <t>2004-06-25</t>
  </si>
  <si>
    <t>2004-07-11</t>
  </si>
  <si>
    <t>2013-10-08</t>
  </si>
  <si>
    <t>2013-11-08</t>
  </si>
  <si>
    <t>2008-07-01</t>
  </si>
  <si>
    <t>2008-07-30</t>
  </si>
  <si>
    <t>2012-09-08</t>
  </si>
  <si>
    <t>2012-09-29</t>
  </si>
  <si>
    <t>2010-08-27</t>
  </si>
  <si>
    <t>2010-09-15</t>
  </si>
  <si>
    <t>2011-02-28</t>
  </si>
  <si>
    <t>2011-03-02</t>
  </si>
  <si>
    <t>2010-02-27</t>
  </si>
  <si>
    <t>2012-07-01</t>
  </si>
  <si>
    <t>2012-07-20</t>
  </si>
  <si>
    <t>2013-02-24</t>
  </si>
  <si>
    <t>2013-03-27</t>
  </si>
  <si>
    <t>2007-11-28</t>
  </si>
  <si>
    <t>2008-04-02</t>
  </si>
  <si>
    <t>2008-04-29</t>
  </si>
  <si>
    <t>2009-02-22</t>
  </si>
  <si>
    <t>2009-03-11</t>
  </si>
  <si>
    <t>2009-08-29</t>
  </si>
  <si>
    <t>2009-09-29</t>
  </si>
  <si>
    <t>2010-02-07</t>
  </si>
  <si>
    <t>2010-02-28</t>
  </si>
  <si>
    <t>2013-04-30</t>
  </si>
  <si>
    <t>2013-05-01</t>
  </si>
  <si>
    <t>2015-09-23</t>
  </si>
  <si>
    <t>2015-09-27</t>
  </si>
  <si>
    <t>2005-04-03</t>
  </si>
  <si>
    <t>2005-04-17</t>
  </si>
  <si>
    <t>2005-04-08</t>
  </si>
  <si>
    <t>2005-04-30</t>
  </si>
  <si>
    <t>2011-07-10</t>
  </si>
  <si>
    <t>2011-07-11</t>
  </si>
  <si>
    <t>2010-03-28</t>
  </si>
  <si>
    <t>2010-04-22</t>
  </si>
  <si>
    <t>2004-07-13</t>
  </si>
  <si>
    <t>2004-07-30</t>
  </si>
  <si>
    <t>2009-09-21</t>
  </si>
  <si>
    <t>2015-08-17</t>
  </si>
  <si>
    <t>2015-09-15</t>
  </si>
  <si>
    <t>2007-06-02</t>
  </si>
  <si>
    <t>2007-06-07</t>
  </si>
  <si>
    <t>2003-09-29</t>
  </si>
  <si>
    <t>2003-10-08</t>
  </si>
  <si>
    <t>2008-01-29</t>
  </si>
  <si>
    <t>2008-02-13</t>
  </si>
  <si>
    <t>2006-11-22</t>
  </si>
  <si>
    <t>2006-12-18</t>
  </si>
  <si>
    <t>2003-09-15</t>
  </si>
  <si>
    <t>2003-10-15</t>
  </si>
  <si>
    <t>2011-04-30</t>
  </si>
  <si>
    <t>2011-05-17</t>
  </si>
  <si>
    <t>2015-07-07</t>
  </si>
  <si>
    <t>2015-07-09</t>
  </si>
  <si>
    <t>2015-08-09</t>
  </si>
  <si>
    <t>2015-08-26</t>
  </si>
  <si>
    <t>2012-03-10</t>
  </si>
  <si>
    <t>2012-03-27</t>
  </si>
  <si>
    <t>2010-01-12</t>
  </si>
  <si>
    <t>2010-02-08</t>
  </si>
  <si>
    <t>2009-07-25</t>
  </si>
  <si>
    <t>2009-08-16</t>
  </si>
  <si>
    <t>2008-09-20</t>
  </si>
  <si>
    <t>2008-09-30</t>
  </si>
  <si>
    <t>2013-06-22</t>
  </si>
  <si>
    <t>2013-07-18</t>
  </si>
  <si>
    <t>2014-02-08</t>
  </si>
  <si>
    <t>2014-02-21</t>
  </si>
  <si>
    <t>2004-06-09</t>
  </si>
  <si>
    <t>2004-06-12</t>
  </si>
  <si>
    <t>2010-12-28</t>
  </si>
  <si>
    <t>2011-01-04</t>
  </si>
  <si>
    <t>2010-10-02</t>
  </si>
  <si>
    <t>2010-10-30</t>
  </si>
  <si>
    <t>2015-04-22</t>
  </si>
  <si>
    <t>2015-05-20</t>
  </si>
  <si>
    <t>2003-09-07</t>
  </si>
  <si>
    <t>2003-09-19</t>
  </si>
  <si>
    <t>2006-02-01</t>
  </si>
  <si>
    <t>2003-10-19</t>
  </si>
  <si>
    <t>2003-11-08</t>
  </si>
  <si>
    <t>2004-10-26</t>
  </si>
  <si>
    <t>2004-11-21</t>
  </si>
  <si>
    <t>2008-04-09</t>
  </si>
  <si>
    <t>2008-05-04</t>
  </si>
  <si>
    <t>2011-07-01</t>
  </si>
  <si>
    <t>2011-07-02</t>
  </si>
  <si>
    <t>2006-08-28</t>
  </si>
  <si>
    <t>2006-09-02</t>
  </si>
  <si>
    <t>2009-10-02</t>
  </si>
  <si>
    <t>2009-10-21</t>
  </si>
  <si>
    <t>2010-07-29</t>
  </si>
  <si>
    <t>2010-08-18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</si>
  <si>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</si>
  <si>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</si>
  <si>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</si>
  <si>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</si>
  <si>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</si>
  <si>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</si>
  <si>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</si>
  <si>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</si>
  <si>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</si>
  <si>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</si>
  <si>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</si>
  <si>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</si>
  <si>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</si>
  <si>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</si>
  <si>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</si>
  <si>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</si>
  <si>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</si>
  <si>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</si>
  <si>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</si>
  <si>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</si>
  <si>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</si>
  <si>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</si>
  <si>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</si>
  <si>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</si>
  <si>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</si>
  <si>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</si>
  <si>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</si>
  <si>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</si>
  <si>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</si>
  <si>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</si>
  <si>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</si>
  <si>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</si>
  <si>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</si>
  <si>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</si>
  <si>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</si>
  <si>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</si>
  <si>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</si>
  <si>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</si>
  <si>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</si>
  <si>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</si>
  <si>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</si>
  <si>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</si>
  <si>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</si>
  <si>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</si>
  <si>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</si>
  <si>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</si>
  <si>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</si>
  <si>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</si>
  <si>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</si>
  <si>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</si>
  <si>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</si>
  <si>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</si>
  <si>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</si>
  <si>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</si>
  <si>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</si>
  <si>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</si>
  <si>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</si>
  <si>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</si>
  <si>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</si>
  <si>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</si>
  <si>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</si>
  <si>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</si>
  <si>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</si>
  <si>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</si>
  <si>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</si>
  <si>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</si>
  <si>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</si>
  <si>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</si>
  <si>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</si>
  <si>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</si>
  <si>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</si>
  <si>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</si>
  <si>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</si>
  <si>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</si>
  <si>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</si>
  <si>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</si>
  <si>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</si>
  <si>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</si>
  <si>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</si>
  <si>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</si>
  <si>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</si>
  <si>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</si>
  <si>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</si>
  <si>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</si>
  <si>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</si>
  <si>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</si>
  <si>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</si>
  <si>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</si>
  <si>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</si>
  <si>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</si>
  <si>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</si>
  <si>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</si>
  <si>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</si>
  <si>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</si>
  <si>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</si>
  <si>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</si>
  <si>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</si>
  <si>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</si>
  <si>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</si>
  <si>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</si>
  <si>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</si>
  <si>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</si>
  <si>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</si>
  <si>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</si>
  <si>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</si>
  <si>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</si>
  <si>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</si>
  <si>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</si>
  <si>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</si>
  <si>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</si>
  <si>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</si>
  <si>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</si>
  <si>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</si>
  <si>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</si>
  <si>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</si>
  <si>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</si>
  <si>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</si>
  <si>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</si>
  <si>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</si>
  <si>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</si>
  <si>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</si>
  <si>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</si>
  <si>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</si>
  <si>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</si>
  <si>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</si>
  <si>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</si>
  <si>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</si>
  <si>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</si>
  <si>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</si>
  <si>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</si>
  <si>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</si>
  <si>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</si>
  <si>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</si>
  <si>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</si>
  <si>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</si>
  <si>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</si>
  <si>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</si>
  <si>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</si>
  <si>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</si>
  <si>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</si>
  <si>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</si>
  <si>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</si>
  <si>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</si>
  <si>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</si>
  <si>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</si>
  <si>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</si>
  <si>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</si>
  <si>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</si>
  <si>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</si>
  <si>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</si>
  <si>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</si>
  <si>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</si>
  <si>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</si>
  <si>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</si>
  <si>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</si>
  <si>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</si>
  <si>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</si>
  <si>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</si>
  <si>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</si>
  <si>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</si>
  <si>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</si>
  <si>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</si>
  <si>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</si>
  <si>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</si>
  <si>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</si>
  <si>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</si>
  <si>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</si>
  <si>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</si>
  <si>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</si>
  <si>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</si>
  <si>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</si>
  <si>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</si>
  <si>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</si>
  <si>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</si>
  <si>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</si>
  <si>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</si>
  <si>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</si>
  <si>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</si>
  <si>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</si>
  <si>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</si>
  <si>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</si>
  <si>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</si>
  <si>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</si>
  <si>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</si>
  <si>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</si>
  <si>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</si>
  <si>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</si>
  <si>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</si>
  <si>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</si>
  <si>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</si>
  <si>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</si>
  <si>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</si>
  <si>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</si>
  <si>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</si>
  <si>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</si>
  <si>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</si>
  <si>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</si>
  <si>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</si>
  <si>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</si>
  <si>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</si>
  <si>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</si>
  <si>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</si>
  <si>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</si>
  <si>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</si>
  <si>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</si>
  <si>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</si>
  <si>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</si>
  <si>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</si>
  <si>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</si>
  <si>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</si>
  <si>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</si>
  <si>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</si>
  <si>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</si>
  <si>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</si>
  <si>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</si>
  <si>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</si>
  <si>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</si>
  <si>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</si>
  <si>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</si>
  <si>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</si>
  <si>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</si>
  <si>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</si>
  <si>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</si>
  <si>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</si>
  <si>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</si>
  <si>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</si>
  <si>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</si>
  <si>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</si>
  <si>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</si>
  <si>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</si>
  <si>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</si>
  <si>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</si>
  <si>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</si>
  <si>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</si>
  <si>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</si>
  <si>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</si>
  <si>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</si>
  <si>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</si>
  <si>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</si>
  <si>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</si>
  <si>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</si>
  <si>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</si>
  <si>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</si>
  <si>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</si>
  <si>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</si>
  <si>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</si>
  <si>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</si>
  <si>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</si>
  <si>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</si>
  <si>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</si>
  <si>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</si>
  <si>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</si>
  <si>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</si>
  <si>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</si>
  <si>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</si>
  <si>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</si>
  <si>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</si>
  <si>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</si>
  <si>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</si>
  <si>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</si>
  <si>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</si>
  <si>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</si>
  <si>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</si>
  <si>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</si>
  <si>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</si>
  <si>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</si>
  <si>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</si>
  <si>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</si>
  <si>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</si>
  <si>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</si>
  <si>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</si>
  <si>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</si>
  <si>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</si>
  <si>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</si>
  <si>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</si>
  <si>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</si>
  <si>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</si>
  <si>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</si>
  <si>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</si>
  <si>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</si>
  <si>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</si>
  <si>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</si>
  <si>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</si>
  <si>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</si>
  <si>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</si>
  <si>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</si>
  <si>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</si>
  <si>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</si>
  <si>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</si>
  <si>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</si>
  <si>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</si>
  <si>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</si>
  <si>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</si>
  <si>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</si>
  <si>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</si>
  <si>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</si>
  <si>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</si>
  <si>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</si>
  <si>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</si>
  <si>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</si>
  <si>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</si>
  <si>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</si>
  <si>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</si>
  <si>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</si>
  <si>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</si>
  <si>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</si>
  <si>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</si>
  <si>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</si>
  <si>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</si>
  <si>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</si>
  <si>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</si>
  <si>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</si>
  <si>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</si>
  <si>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</si>
  <si>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</si>
  <si>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</si>
  <si>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</si>
  <si>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</si>
  <si>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</si>
  <si>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</si>
  <si>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</si>
  <si>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</si>
  <si>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</si>
  <si>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</si>
  <si>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</si>
  <si>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</si>
  <si>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</si>
  <si>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</si>
  <si>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</si>
  <si>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</si>
  <si>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</si>
  <si>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</si>
  <si>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</si>
  <si>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</si>
  <si>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</si>
  <si>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</si>
  <si>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</si>
  <si>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</si>
  <si>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</si>
  <si>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</si>
  <si>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</si>
  <si>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</si>
  <si>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</si>
  <si>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</si>
  <si>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</si>
  <si>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</si>
  <si>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</si>
  <si>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</si>
  <si>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</si>
  <si>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</si>
  <si>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</si>
  <si>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</si>
  <si>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</si>
  <si>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</si>
  <si>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</si>
  <si>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</si>
  <si>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</si>
  <si>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</si>
  <si>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</si>
  <si>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</si>
  <si>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</si>
  <si>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</si>
  <si>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</si>
  <si>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</si>
  <si>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</si>
  <si>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</si>
  <si>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</si>
  <si>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</si>
  <si>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</si>
  <si>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</si>
  <si>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</si>
  <si>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</si>
  <si>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</si>
  <si>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</si>
  <si>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</si>
  <si>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</si>
  <si>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</si>
  <si>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</si>
  <si>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</si>
  <si>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</si>
  <si>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</si>
  <si>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</si>
  <si>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</si>
  <si>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</si>
  <si>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</si>
  <si>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</si>
  <si>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</si>
  <si>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</si>
  <si>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</si>
  <si>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</si>
  <si>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</si>
  <si>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</si>
  <si>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</si>
  <si>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</si>
  <si>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</si>
  <si>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</si>
  <si>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</si>
  <si>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</si>
  <si>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</si>
  <si>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</si>
  <si>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</si>
  <si>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</si>
  <si>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</si>
  <si>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</si>
  <si>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</si>
  <si>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</si>
  <si>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</si>
  <si>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</si>
  <si>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</si>
  <si>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</si>
  <si>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</si>
  <si>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</si>
  <si>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</si>
  <si>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</si>
  <si>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</si>
  <si>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</si>
  <si>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</si>
  <si>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</si>
  <si>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</si>
  <si>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</si>
  <si>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</si>
  <si>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</si>
  <si>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</si>
  <si>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</si>
  <si>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</si>
  <si>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</si>
  <si>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</si>
  <si>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</si>
  <si>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</si>
  <si>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</si>
  <si>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</si>
  <si>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</si>
  <si>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</si>
  <si>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</si>
  <si>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</si>
  <si>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</si>
  <si>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</si>
  <si>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</si>
  <si>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</si>
  <si>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</si>
  <si>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</si>
  <si>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</si>
  <si>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</si>
  <si>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</si>
  <si>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</si>
  <si>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</si>
  <si>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</si>
  <si>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</si>
  <si>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</si>
  <si>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</si>
  <si>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</si>
  <si>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</si>
  <si>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</si>
  <si>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</si>
  <si>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</si>
  <si>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</si>
  <si>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</si>
  <si>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</si>
  <si>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</si>
  <si>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</si>
  <si>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</si>
  <si>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</si>
  <si>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</si>
  <si>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</si>
  <si>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</si>
  <si>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</si>
  <si>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</si>
  <si>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</si>
  <si>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</si>
  <si>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</si>
  <si>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</si>
  <si>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</si>
  <si>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</si>
  <si>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</si>
  <si>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</si>
  <si>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</si>
  <si>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</si>
  <si>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</si>
  <si>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</si>
  <si>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</si>
  <si>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</si>
  <si>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</si>
  <si>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</si>
  <si>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</si>
  <si>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</si>
  <si>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</si>
  <si>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</si>
  <si>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</si>
  <si>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</si>
  <si>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</si>
  <si>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</si>
  <si>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</si>
  <si>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</si>
  <si>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</si>
  <si>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</si>
  <si>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</si>
  <si>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</si>
  <si>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</si>
  <si>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</si>
  <si>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</si>
  <si>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</si>
  <si>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</si>
  <si>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</si>
  <si>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</si>
  <si>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</si>
  <si>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</si>
  <si>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</si>
  <si>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</si>
  <si>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</si>
  <si>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</si>
  <si>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</si>
  <si>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</si>
  <si>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</si>
  <si>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</si>
  <si>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</si>
  <si>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</si>
  <si>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</si>
  <si>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</si>
  <si>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</si>
  <si>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</si>
  <si>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</si>
  <si>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</si>
  <si>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</si>
  <si>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</si>
  <si>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</si>
  <si>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</si>
  <si>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</si>
  <si>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</si>
  <si>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</si>
  <si>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</si>
  <si>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</si>
  <si>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</si>
  <si>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</si>
  <si>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</si>
  <si>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</si>
  <si>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</si>
  <si>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</si>
  <si>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</si>
  <si>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</si>
  <si>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</si>
  <si>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</si>
  <si>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</si>
  <si>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</si>
  <si>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</si>
  <si>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</si>
  <si>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</si>
  <si>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</si>
  <si>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</si>
  <si>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</si>
  <si>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</si>
  <si>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</si>
  <si>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</si>
  <si>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</si>
  <si>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</si>
  <si>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</si>
  <si>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</si>
  <si>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</si>
  <si>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</si>
  <si>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</si>
  <si>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</si>
  <si>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</si>
  <si>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</si>
  <si>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</si>
  <si>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</si>
  <si>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</si>
  <si>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</si>
  <si>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</si>
  <si>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</si>
  <si>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</si>
  <si>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</si>
  <si>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</si>
  <si>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</si>
  <si>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</si>
  <si>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</si>
  <si>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</si>
  <si>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2010-04-06</t>
  </si>
  <si>
    <t>2013-08-07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</si>
  <si>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</si>
  <si>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</si>
  <si>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</si>
  <si>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</si>
  <si>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</si>
  <si>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</si>
  <si>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</si>
  <si>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</si>
  <si>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</si>
  <si>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</si>
  <si>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</si>
  <si>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rg:{'id':'200029'}</t>
  </si>
  <si>
    <t>2017-02-26</t>
  </si>
  <si>
    <t>EXCAZX35</t>
  </si>
  <si>
    <t>2017-02-09</t>
  </si>
  <si>
    <t>GRADX5</t>
  </si>
  <si>
    <t>2017-02-06</t>
  </si>
  <si>
    <t>BULLD6N</t>
  </si>
  <si>
    <t>2016-10-13</t>
  </si>
  <si>
    <t>CEME300</t>
  </si>
  <si>
    <t>2016-11-21</t>
  </si>
  <si>
    <t>FLATD3</t>
  </si>
  <si>
    <t>rg:{'id':'200064'}</t>
  </si>
  <si>
    <t>2017-02-08</t>
  </si>
  <si>
    <t>LOGG800</t>
  </si>
  <si>
    <t>2016-09-03</t>
  </si>
  <si>
    <t>EXCA200</t>
  </si>
  <si>
    <t>rg:{'id':'200005'}</t>
  </si>
  <si>
    <t>2016-11-29</t>
  </si>
  <si>
    <t>DUMPB40D</t>
  </si>
  <si>
    <t>2016-09-10</t>
  </si>
  <si>
    <t>BULLD3</t>
  </si>
  <si>
    <t>2016-11-14</t>
  </si>
  <si>
    <t>CEME700</t>
  </si>
  <si>
    <t>2017-01-07</t>
  </si>
  <si>
    <t>FLAT100</t>
  </si>
  <si>
    <t>LOGG200</t>
  </si>
  <si>
    <t>rg:{'id':'200070'}</t>
  </si>
  <si>
    <t>2016-11-03</t>
  </si>
  <si>
    <t>EXCA333</t>
  </si>
  <si>
    <t>2017-01-23</t>
  </si>
  <si>
    <t>GRAD670G</t>
  </si>
  <si>
    <t>2016-10-02</t>
  </si>
  <si>
    <t>2017-01-02</t>
  </si>
  <si>
    <t>CEME350</t>
  </si>
  <si>
    <t>2016-11-26</t>
  </si>
  <si>
    <t>FLAT110</t>
  </si>
  <si>
    <t>2017-02-22</t>
  </si>
  <si>
    <t>LOGG320</t>
  </si>
  <si>
    <t>2016-11-23</t>
  </si>
  <si>
    <t>EXCA550-</t>
  </si>
  <si>
    <t>2016-12-10</t>
  </si>
  <si>
    <t>GRAD100</t>
  </si>
  <si>
    <t>2017-01-03</t>
  </si>
  <si>
    <t>2016-10-11</t>
  </si>
  <si>
    <t>EXCA100</t>
  </si>
  <si>
    <t>rg:{'id':'200030'}</t>
  </si>
  <si>
    <t>2017-02-13</t>
  </si>
  <si>
    <t>GRAD200</t>
  </si>
  <si>
    <t>2016-11-22</t>
  </si>
  <si>
    <t>BULLD6</t>
  </si>
  <si>
    <t>rg:{'id':'200069'}</t>
  </si>
  <si>
    <t>2017-02-04</t>
  </si>
  <si>
    <t>CEME100</t>
  </si>
  <si>
    <t>rg:{'id':'200039'}</t>
  </si>
  <si>
    <t>2017-01-14</t>
  </si>
  <si>
    <t>FLAT200</t>
  </si>
  <si>
    <t>2016-12-17</t>
  </si>
  <si>
    <t>LOGG300</t>
  </si>
  <si>
    <t>2017-02-10</t>
  </si>
  <si>
    <t>2016-12-21</t>
  </si>
  <si>
    <t>CEMED500</t>
  </si>
  <si>
    <t>2016-12-29</t>
  </si>
  <si>
    <t>FLATD600</t>
  </si>
  <si>
    <t>2016-12-27</t>
  </si>
  <si>
    <t>rg:{ 'id': '200030'}</t>
  </si>
  <si>
    <t>FLATD601</t>
  </si>
  <si>
    <t>2017-02-01</t>
  </si>
  <si>
    <t>rg:{ 'id': '200031'}</t>
  </si>
  <si>
    <t>FLATD602</t>
  </si>
  <si>
    <t>rg:{'id':'200006'}</t>
  </si>
  <si>
    <t>rg:{ 'id': '200032'}</t>
  </si>
  <si>
    <t>FLATD603</t>
  </si>
  <si>
    <t>rg:{ 'id': '200033'}</t>
  </si>
  <si>
    <t>FLATD604</t>
  </si>
  <si>
    <t>rg:{'id':'200007'}</t>
  </si>
  <si>
    <t>2016-09-21</t>
  </si>
  <si>
    <t>rg:{ 'id': '200034'}</t>
  </si>
  <si>
    <t>FLATD605</t>
  </si>
  <si>
    <t>rg:{ 'id': '200035'}</t>
  </si>
  <si>
    <t>FLATD606</t>
  </si>
  <si>
    <t>2016-11-05</t>
  </si>
  <si>
    <t>rg:{ 'id': '200036'}</t>
  </si>
  <si>
    <t>FLATD607</t>
  </si>
  <si>
    <t>2016-12-18</t>
  </si>
  <si>
    <t>rg:{ 'id': '200037'}</t>
  </si>
  <si>
    <t>FLATD608</t>
  </si>
  <si>
    <t>rg:{'id':'200040'}</t>
  </si>
  <si>
    <t>2016-11-10</t>
  </si>
  <si>
    <t>rg:{ 'id': '200038'}</t>
  </si>
  <si>
    <t>FLATD609</t>
  </si>
  <si>
    <t>rg:{ 'id': '200039'}</t>
  </si>
  <si>
    <t>FLATD610</t>
  </si>
  <si>
    <t>rg:{ 'id': '200040'}</t>
  </si>
  <si>
    <t>FLATD611</t>
  </si>
  <si>
    <t>2016-12-26</t>
  </si>
  <si>
    <t>rg:{ 'id': '200041'}</t>
  </si>
  <si>
    <t>FLATD612</t>
  </si>
  <si>
    <t>2017-01-05</t>
  </si>
  <si>
    <t>rg:{ 'id': '200042'}</t>
  </si>
  <si>
    <t>FLATD613</t>
  </si>
  <si>
    <t>rg:{ 'id': '200043'}</t>
  </si>
  <si>
    <t>FLATD614</t>
  </si>
  <si>
    <t>2016-09-20</t>
  </si>
  <si>
    <t>rg:{ 'id': '200044'}</t>
  </si>
  <si>
    <t>FLATD615</t>
  </si>
  <si>
    <t>2016-12-03</t>
  </si>
  <si>
    <t>rg:{ 'id': '200045'}</t>
  </si>
  <si>
    <t>FLATD616</t>
  </si>
  <si>
    <t>2017-01-31</t>
  </si>
  <si>
    <t>rg:{ 'id': '200046'}</t>
  </si>
  <si>
    <t>FLATD617</t>
  </si>
  <si>
    <t>rg:{ 'id': '200047'}</t>
  </si>
  <si>
    <t>FLATD618</t>
  </si>
  <si>
    <t>2017-01-09</t>
  </si>
  <si>
    <t>rg:{ 'id': '200048'}</t>
  </si>
  <si>
    <t>FLATD619</t>
  </si>
  <si>
    <t>rg:{ 'id': '200049'}</t>
  </si>
  <si>
    <t>FLATD620</t>
  </si>
  <si>
    <t>2016-09-28</t>
  </si>
  <si>
    <t>rg:{ 'id': '200050'}</t>
  </si>
  <si>
    <t>FLATD621</t>
  </si>
  <si>
    <t>2017-01-24</t>
  </si>
  <si>
    <t>rg:{ 'id': '200051'}</t>
  </si>
  <si>
    <t>FLATD622</t>
  </si>
  <si>
    <t>2017-03-01</t>
  </si>
  <si>
    <t>rg:{ 'id': '200052'}</t>
  </si>
  <si>
    <t>FLATD623</t>
  </si>
  <si>
    <t>rg:{ 'id': '200053'}</t>
  </si>
  <si>
    <t>FLATD624</t>
  </si>
  <si>
    <t>rg:{'id':'200038'}</t>
  </si>
  <si>
    <t>2016-10-21</t>
  </si>
  <si>
    <t>rg:{ 'id': '200054'}</t>
  </si>
  <si>
    <t>FLATD625</t>
  </si>
  <si>
    <t>2016-11-28</t>
  </si>
  <si>
    <t>rg:{ 'id': '200055'}</t>
  </si>
  <si>
    <t>FLATD626</t>
  </si>
  <si>
    <t>2016-09-15</t>
  </si>
  <si>
    <t>rg:{ 'id': '200056'}</t>
  </si>
  <si>
    <t>FLATD627</t>
  </si>
  <si>
    <t>rg:{'id':'200065'}</t>
  </si>
  <si>
    <t>2017-01-21</t>
  </si>
  <si>
    <t>rg:{ 'id': '200057'}</t>
  </si>
  <si>
    <t>FLATD628</t>
  </si>
  <si>
    <t>2017-01-12</t>
  </si>
  <si>
    <t>rg:{ 'id': '200058'}</t>
  </si>
  <si>
    <t>FLATD629</t>
  </si>
  <si>
    <t>2016-10-05</t>
  </si>
  <si>
    <t>rg:{ 'id': '200059'}</t>
  </si>
  <si>
    <t>FLATD630</t>
  </si>
  <si>
    <t>rg:{ 'id': '200060'}</t>
  </si>
  <si>
    <t>FLATD631</t>
  </si>
  <si>
    <t>rg:{ 'id': '200061'}</t>
  </si>
  <si>
    <t>FLATD632</t>
  </si>
  <si>
    <t>2016-11-13</t>
  </si>
  <si>
    <t>rg:{ 'id': '200062'}</t>
  </si>
  <si>
    <t>FLATD633</t>
  </si>
  <si>
    <t>2016-10-27</t>
  </si>
  <si>
    <t>rg:{ 'id': '200063'}</t>
  </si>
  <si>
    <t>FLATD634</t>
  </si>
  <si>
    <t>rg:{'id':'200068'}</t>
  </si>
  <si>
    <t>2016-09-09</t>
  </si>
  <si>
    <t>rg:{ 'id': '200064'}</t>
  </si>
  <si>
    <t>FLATD635</t>
  </si>
  <si>
    <t>2016-12-09</t>
  </si>
  <si>
    <t>rg:{ 'id': '200065'}</t>
  </si>
  <si>
    <t>FLATD636</t>
  </si>
  <si>
    <t>2017-02-03</t>
  </si>
  <si>
    <t>rg:{ 'id': '200066'}</t>
  </si>
  <si>
    <t>FLATD637</t>
  </si>
  <si>
    <t>2016-12-15</t>
  </si>
  <si>
    <t>rg:{ 'id': '200067'}</t>
  </si>
  <si>
    <t>FLATD638</t>
  </si>
  <si>
    <t>2016-09-02</t>
  </si>
  <si>
    <t>rg:{ 'id': '200068'}</t>
  </si>
  <si>
    <t>FLATD639</t>
  </si>
  <si>
    <t>rg:{'id':'200081'}</t>
  </si>
  <si>
    <t>2017-01-08</t>
  </si>
  <si>
    <t>rg:{ 'id': '200069'}</t>
  </si>
  <si>
    <t>FLATD640</t>
  </si>
  <si>
    <t>2017-01-30</t>
  </si>
  <si>
    <t>rg:{ 'id': '200070'}</t>
  </si>
  <si>
    <t>FLATD641</t>
  </si>
  <si>
    <t>2016-10-18</t>
  </si>
  <si>
    <t>rg:{ 'id': '200071'}</t>
  </si>
  <si>
    <t>FLATD642</t>
  </si>
  <si>
    <t>2016-12-14</t>
  </si>
  <si>
    <t>rg:{ 'id': '200072'}</t>
  </si>
  <si>
    <t>FLATD643</t>
  </si>
  <si>
    <t>2016-09-04</t>
  </si>
  <si>
    <t>rg:{ 'id': '200073'}</t>
  </si>
  <si>
    <t>FLATD644</t>
  </si>
  <si>
    <t>rg:{ 'id': '200074'}</t>
  </si>
  <si>
    <t>FLATD645</t>
  </si>
  <si>
    <t>2016-09-06</t>
  </si>
  <si>
    <t>rg:{ 'id': '200075'}</t>
  </si>
  <si>
    <t>FLATD646</t>
  </si>
  <si>
    <t>rg:{ 'id': '200076'}</t>
  </si>
  <si>
    <t>FLATD647</t>
  </si>
  <si>
    <t>rg:{'id':'200009'}</t>
  </si>
  <si>
    <t>rg:{ 'id': '200077'}</t>
  </si>
  <si>
    <t>FLATD648</t>
  </si>
  <si>
    <t>rg:{ 'id': '200078'}</t>
  </si>
  <si>
    <t>FLATD649</t>
  </si>
  <si>
    <t>2016-09-22</t>
  </si>
  <si>
    <t>rg:{ 'id': '200079'}</t>
  </si>
  <si>
    <t>FLATD650</t>
  </si>
  <si>
    <t>rg:{ 'id': '200080'}</t>
  </si>
  <si>
    <t>FLATD651</t>
  </si>
  <si>
    <t>2016-11-02</t>
  </si>
  <si>
    <t>rg:{ 'id': '200081'}</t>
  </si>
  <si>
    <t>FLATD652</t>
  </si>
  <si>
    <t>2016-09-23</t>
  </si>
  <si>
    <t>rg:{ 'id': '200082'}</t>
  </si>
  <si>
    <t>FLATD653</t>
  </si>
  <si>
    <t>rg:{ 'id': '200083'}</t>
  </si>
  <si>
    <t>FLATD654</t>
  </si>
  <si>
    <t>rg:{'id':'200020'}</t>
  </si>
  <si>
    <t>2016-10-31</t>
  </si>
  <si>
    <t>rg:{ 'id': '200084'}</t>
  </si>
  <si>
    <t>FLATD655</t>
  </si>
  <si>
    <t>2016-12-24</t>
  </si>
  <si>
    <t>rg:{ 'id': '200085'}</t>
  </si>
  <si>
    <t>FLATD656</t>
  </si>
  <si>
    <t>2016-10-07</t>
  </si>
  <si>
    <t>rg:{ 'id': '200086'}</t>
  </si>
  <si>
    <t>FLATD657</t>
  </si>
  <si>
    <t>2016-09-08</t>
  </si>
  <si>
    <t>rg:{ 'id': '200087'}</t>
  </si>
  <si>
    <t>FLATD658</t>
  </si>
  <si>
    <t>rg:{ 'id': '200088'}</t>
  </si>
  <si>
    <t>FLATD659</t>
  </si>
  <si>
    <t>2016-09-18</t>
  </si>
  <si>
    <t>rg:{ 'id': '200089'}</t>
  </si>
  <si>
    <t>FLATD660</t>
  </si>
  <si>
    <t>2016-12-16</t>
  </si>
  <si>
    <t>rg:{ 'id': '200090'}</t>
  </si>
  <si>
    <t>FLATD661</t>
  </si>
  <si>
    <t>rg:{ 'id': '200091'}</t>
  </si>
  <si>
    <t>FLATD662</t>
  </si>
  <si>
    <t>rg:{ 'id': '200092'}</t>
  </si>
  <si>
    <t>FLATD663</t>
  </si>
  <si>
    <t>2016-12-06</t>
  </si>
  <si>
    <t>rg:{ 'id': '200093'}</t>
  </si>
  <si>
    <t>FLATD664</t>
  </si>
  <si>
    <t>2016-09-30</t>
  </si>
  <si>
    <t>rg:{ 'id': '200094'}</t>
  </si>
  <si>
    <t>FLATD665</t>
  </si>
  <si>
    <t>rg:{ 'id': '200095'}</t>
  </si>
  <si>
    <t>FLATD666</t>
  </si>
  <si>
    <t>rg:{'id':'200008'}</t>
  </si>
  <si>
    <t>2016-10-24</t>
  </si>
  <si>
    <t>rg:{ 'id': '200096'}</t>
  </si>
  <si>
    <t>FLATD667</t>
  </si>
  <si>
    <t>2017-01-10</t>
  </si>
  <si>
    <t>rg:{ 'id': '200097'}</t>
  </si>
  <si>
    <t>FLATD668</t>
  </si>
  <si>
    <t>2017-01-06</t>
  </si>
  <si>
    <t>rg:{ 'id': '200098'}</t>
  </si>
  <si>
    <t>FLATD669</t>
  </si>
  <si>
    <t>rg:{ 'id': '200099'}</t>
  </si>
  <si>
    <t>FLATD670</t>
  </si>
  <si>
    <t>2016-11-11</t>
  </si>
  <si>
    <t>rg:{ 'id': '200100'}</t>
  </si>
  <si>
    <t>FLATD671</t>
  </si>
  <si>
    <t>rg:{ 'id': '200101'}</t>
  </si>
  <si>
    <t>FLATD672</t>
  </si>
  <si>
    <t>2017-01-16</t>
  </si>
  <si>
    <t>rg:{ 'id': '200102'}</t>
  </si>
  <si>
    <t>FLATD673</t>
  </si>
  <si>
    <t>2016-10-12</t>
  </si>
  <si>
    <t>rg:{ 'id': '200103'}</t>
  </si>
  <si>
    <t>FLATD674</t>
  </si>
  <si>
    <t>2017-03-03</t>
  </si>
  <si>
    <t>rg:{ 'id': '200104'}</t>
  </si>
  <si>
    <t>FLATD675</t>
  </si>
  <si>
    <t>rg:{ 'id': '200105'}</t>
  </si>
  <si>
    <t>FLATD676</t>
  </si>
  <si>
    <t>rg:{'id':'200021'}</t>
  </si>
  <si>
    <t>rg:{ 'id': '200106'}</t>
  </si>
  <si>
    <t>FLATD677</t>
  </si>
  <si>
    <t>rg:{ 'id': '200107'}</t>
  </si>
  <si>
    <t>FLATD678</t>
  </si>
  <si>
    <t>rg:{'id':'200031'}</t>
  </si>
  <si>
    <t>2016-09-13</t>
  </si>
  <si>
    <t>rg:{ 'id': '200108'}</t>
  </si>
  <si>
    <t>FLATD679</t>
  </si>
  <si>
    <t>2016-08-29</t>
  </si>
  <si>
    <t>rg:{ 'id': '200109'}</t>
  </si>
  <si>
    <t>FLATD680</t>
  </si>
  <si>
    <t>2016-12-12</t>
  </si>
  <si>
    <t>rg:{ 'id': '200110'}</t>
  </si>
  <si>
    <t>FLATD681</t>
  </si>
  <si>
    <t>2017-01-27</t>
  </si>
  <si>
    <t>rg:{ 'id': '200111'}</t>
  </si>
  <si>
    <t>FLATD682</t>
  </si>
  <si>
    <t>rg:{ 'id': '200112'}</t>
  </si>
  <si>
    <t>FLATD683</t>
  </si>
  <si>
    <t>2016-10-25</t>
  </si>
  <si>
    <t>rg:{ 'id': '200113'}</t>
  </si>
  <si>
    <t>FLATD684</t>
  </si>
  <si>
    <t>rg:{ 'id': '200114'}</t>
  </si>
  <si>
    <t>FLATD685</t>
  </si>
  <si>
    <t>2016-09-12</t>
  </si>
  <si>
    <t>rg:{ 'id': '200115'}</t>
  </si>
  <si>
    <t>FLATD686</t>
  </si>
  <si>
    <t>rg:{ 'id': '200116'}</t>
  </si>
  <si>
    <t>FLATD687</t>
  </si>
  <si>
    <t>rg:{ 'id': '200117'}</t>
  </si>
  <si>
    <t>FLATD688</t>
  </si>
  <si>
    <t>2016-12-13</t>
  </si>
  <si>
    <t>rg:{ 'id': '200118'}</t>
  </si>
  <si>
    <t>FLATD689</t>
  </si>
  <si>
    <t>2016-10-01</t>
  </si>
  <si>
    <t>rg:{ 'id': '200119'}</t>
  </si>
  <si>
    <t>FLATD690</t>
  </si>
  <si>
    <t>rg:{ 'id': '200120'}</t>
  </si>
  <si>
    <t>FLATD691</t>
  </si>
  <si>
    <t>rg:{ 'id': '200121'}</t>
  </si>
  <si>
    <t>FLATD692</t>
  </si>
  <si>
    <t>2016-09-27</t>
  </si>
  <si>
    <t>rg:{ 'id': '200122'}</t>
  </si>
  <si>
    <t>FLATD693</t>
  </si>
  <si>
    <t>2017-02-11</t>
  </si>
  <si>
    <t>rg:{ 'id': '200123'}</t>
  </si>
  <si>
    <t>FLATD694</t>
  </si>
  <si>
    <t>2017-02-17</t>
  </si>
  <si>
    <t>rg:{ 'id': '200124'}</t>
  </si>
  <si>
    <t>FLATD695</t>
  </si>
  <si>
    <t>2017-01-17</t>
  </si>
  <si>
    <t>rg:{ 'id': '200125'}</t>
  </si>
  <si>
    <t>FLATD696</t>
  </si>
  <si>
    <t>rg:{ 'id': '200126'}</t>
  </si>
  <si>
    <t>FLATD697</t>
  </si>
  <si>
    <t>2016-12-28</t>
  </si>
  <si>
    <t>rg:{ 'id': '200127'}</t>
  </si>
  <si>
    <t>FLATD698</t>
  </si>
  <si>
    <t>2016-10-04</t>
  </si>
  <si>
    <t>rg:{ 'id': '200128'}</t>
  </si>
  <si>
    <t>FLATD699</t>
  </si>
  <si>
    <t>rg:{ 'id': '200129'}</t>
  </si>
  <si>
    <t>FLATD700</t>
  </si>
  <si>
    <t>rg:{ 'id': '200130'}</t>
  </si>
  <si>
    <t>FLATD701</t>
  </si>
  <si>
    <t>rg:{ 'id': '200131'}</t>
  </si>
  <si>
    <t>FLATD702</t>
  </si>
  <si>
    <t>rg:{ 'id': '200132'}</t>
  </si>
  <si>
    <t>FLATD703</t>
  </si>
  <si>
    <t>rg:{ 'id': '200133'}</t>
  </si>
  <si>
    <t>FLATD704</t>
  </si>
  <si>
    <t>2017-01-15</t>
  </si>
  <si>
    <t>rg:{ 'id': '200134'}</t>
  </si>
  <si>
    <t>FLATD705</t>
  </si>
  <si>
    <t>2016-09-26</t>
  </si>
  <si>
    <t>rg:{ 'id': '200135'}</t>
  </si>
  <si>
    <t>FLATD706</t>
  </si>
  <si>
    <t>rg:{ 'id': '200136'}</t>
  </si>
  <si>
    <t>FLATD707</t>
  </si>
  <si>
    <t>rg:{ 'id': '200137'}</t>
  </si>
  <si>
    <t>FLATD708</t>
  </si>
  <si>
    <t>2016-09-25</t>
  </si>
  <si>
    <t>rg:{ 'id': '200138'}</t>
  </si>
  <si>
    <t>FLATD709</t>
  </si>
  <si>
    <t>2016-12-07</t>
  </si>
  <si>
    <t>rg:{ 'id': '200139'}</t>
  </si>
  <si>
    <t>FLATD710</t>
  </si>
  <si>
    <t>rg:{ 'id': '200140'}</t>
  </si>
  <si>
    <t>FLATD711</t>
  </si>
  <si>
    <t>rg:{ 'id': '200141'}</t>
  </si>
  <si>
    <t>FLATD712</t>
  </si>
  <si>
    <t>2017-01-26</t>
  </si>
  <si>
    <t>rg:{ 'id': '200142'}</t>
  </si>
  <si>
    <t>FLATD713</t>
  </si>
  <si>
    <t>rg:{ 'id': '200143'}</t>
  </si>
  <si>
    <t>FLATD714</t>
  </si>
  <si>
    <t>rg:{ 'id': '200144'}</t>
  </si>
  <si>
    <t>FLATD715</t>
  </si>
  <si>
    <t>rg:{ 'id': '200145'}</t>
  </si>
  <si>
    <t>FLATD716</t>
  </si>
  <si>
    <t>rg:{ 'id': '200146'}</t>
  </si>
  <si>
    <t>FLATD717</t>
  </si>
  <si>
    <t>2016-09-24</t>
  </si>
  <si>
    <t>rg:{ 'id': '200147'}</t>
  </si>
  <si>
    <t>FLATD718</t>
  </si>
  <si>
    <t>rg:{ 'id': '200148'}</t>
  </si>
  <si>
    <t>FLATD719</t>
  </si>
  <si>
    <t>rg:{ 'id': '200149'}</t>
  </si>
  <si>
    <t>FLATD720</t>
  </si>
  <si>
    <t>2017-01-20</t>
  </si>
  <si>
    <t>rg:{ 'id': '200150'}</t>
  </si>
  <si>
    <t>FLATD721</t>
  </si>
  <si>
    <t>2016-10-10</t>
  </si>
  <si>
    <t>rg:{ 'id': '200151'}</t>
  </si>
  <si>
    <t>FLATD722</t>
  </si>
  <si>
    <t>rg:{'id':'200066'}</t>
  </si>
  <si>
    <t>2017-02-05</t>
  </si>
  <si>
    <t>rg:{ 'id': '200152'}</t>
  </si>
  <si>
    <t>FLATD723</t>
  </si>
  <si>
    <t>2016-10-16</t>
  </si>
  <si>
    <t>rg:{ 'id': '200153'}</t>
  </si>
  <si>
    <t>FLATD724</t>
  </si>
  <si>
    <t>rg:{ 'id': '200154'}</t>
  </si>
  <si>
    <t>FLATD725</t>
  </si>
  <si>
    <t>2016-10-23</t>
  </si>
  <si>
    <t>rg:{ 'id': '200155'}</t>
  </si>
  <si>
    <t>FLATD726</t>
  </si>
  <si>
    <t>rg:{ 'id': '200156'}</t>
  </si>
  <si>
    <t>FLATD727</t>
  </si>
  <si>
    <t>2017-02-25</t>
  </si>
  <si>
    <t>rg:{ 'id': '200157'}</t>
  </si>
  <si>
    <t>FLATD728</t>
  </si>
  <si>
    <t>rg:{ 'id': '200158'}</t>
  </si>
  <si>
    <t>FLATD729</t>
  </si>
  <si>
    <t>rg:{'id':'200067'}</t>
  </si>
  <si>
    <t>rg:{ 'id': '200159'}</t>
  </si>
  <si>
    <t>FLATD730</t>
  </si>
  <si>
    <t>rg:{ 'id': '200160'}</t>
  </si>
  <si>
    <t>FLATD731</t>
  </si>
  <si>
    <t>2017-01-11</t>
  </si>
  <si>
    <t>rg:{ 'id': '200161'}</t>
  </si>
  <si>
    <t>FLATD732</t>
  </si>
  <si>
    <t>rg:{ 'id': '200162'}</t>
  </si>
  <si>
    <t>FLATD733</t>
  </si>
  <si>
    <t>rg:{ 'id': '200163'}</t>
  </si>
  <si>
    <t>FLATD734</t>
  </si>
  <si>
    <t>rg:{ 'id': '200164'}</t>
  </si>
  <si>
    <t>FLATD735</t>
  </si>
  <si>
    <t>rg:{ 'id': '200165'}</t>
  </si>
  <si>
    <t>FLATD736</t>
  </si>
  <si>
    <t>rg:{'id':'200041'}</t>
  </si>
  <si>
    <t>rg:{ 'id': '200166'}</t>
  </si>
  <si>
    <t>FLATD737</t>
  </si>
  <si>
    <t>2017-01-22</t>
  </si>
  <si>
    <t>rg:{ 'id': '200167'}</t>
  </si>
  <si>
    <t>FLATD738</t>
  </si>
  <si>
    <t>rg:{ 'id': '200168'}</t>
  </si>
  <si>
    <t>FLATD739</t>
  </si>
  <si>
    <t>rg:{'id':'200022'}</t>
  </si>
  <si>
    <t>rg:{ 'id': '200169'}</t>
  </si>
  <si>
    <t>FLATD740</t>
  </si>
  <si>
    <t>rg:{ 'id': '200170'}</t>
  </si>
  <si>
    <t>FLATD741</t>
  </si>
  <si>
    <t>2017-01-01</t>
  </si>
  <si>
    <t>rg:{ 'id': '200171'}</t>
  </si>
  <si>
    <t>FLATD742</t>
  </si>
  <si>
    <t>rg:{ 'id': '200172'}</t>
  </si>
  <si>
    <t>FLATD743</t>
  </si>
  <si>
    <t>2017-02-02</t>
  </si>
  <si>
    <t>rg:{ 'id': '200173'}</t>
  </si>
  <si>
    <t>FLATD744</t>
  </si>
  <si>
    <t>rg:{ 'id': '200174'}</t>
  </si>
  <si>
    <t>FLATD745</t>
  </si>
  <si>
    <t>2016-10-22</t>
  </si>
  <si>
    <t>rg:{ 'id': '200175'}</t>
  </si>
  <si>
    <t>FLATD746</t>
  </si>
  <si>
    <t>rg:{ 'id': '200176'}</t>
  </si>
  <si>
    <t>FLATD747</t>
  </si>
  <si>
    <t>2016-10-26</t>
  </si>
  <si>
    <t>rg:{ 'id': '200177'}</t>
  </si>
  <si>
    <t>FLATD748</t>
  </si>
  <si>
    <t>rg:{ 'id': '200178'}</t>
  </si>
  <si>
    <t>FLATD749</t>
  </si>
  <si>
    <t>rg:{ 'id': '200179'}</t>
  </si>
  <si>
    <t>FLATD750</t>
  </si>
  <si>
    <t>2016-10-29</t>
  </si>
  <si>
    <t>rg:{ 'id': '200180'}</t>
  </si>
  <si>
    <t>FLATD751</t>
  </si>
  <si>
    <t>rg:{ 'id': '200181'}</t>
  </si>
  <si>
    <t>FLATD752</t>
  </si>
  <si>
    <t>rg:{ 'id': '200182'}</t>
  </si>
  <si>
    <t>FLATD753</t>
  </si>
  <si>
    <t>2016-09-01</t>
  </si>
  <si>
    <t>rg:{ 'id': '200183'}</t>
  </si>
  <si>
    <t>FLATD754</t>
  </si>
  <si>
    <t>2016-12-11</t>
  </si>
  <si>
    <t>rg:{ 'id': '200184'}</t>
  </si>
  <si>
    <t>FLATD755</t>
  </si>
  <si>
    <t>2017-02-12</t>
  </si>
  <si>
    <t>rg:{ 'id': '200185'}</t>
  </si>
  <si>
    <t>FLATD756</t>
  </si>
  <si>
    <t>2016-08-30</t>
  </si>
  <si>
    <t>rg:{ 'id': '200186'}</t>
  </si>
  <si>
    <t>FLATD757</t>
  </si>
  <si>
    <t>2016-12-30</t>
  </si>
  <si>
    <t>rg:{ 'id': '200187'}</t>
  </si>
  <si>
    <t>FLATD758</t>
  </si>
  <si>
    <t>rg:{ 'id': '200188'}</t>
  </si>
  <si>
    <t>FLATD759</t>
  </si>
  <si>
    <t>rg:{ 'id': '200189'}</t>
  </si>
  <si>
    <t>FLATD760</t>
  </si>
  <si>
    <t>rg:{ 'id': '200190'}</t>
  </si>
  <si>
    <t>FLATD761</t>
  </si>
  <si>
    <t>rg:{ 'id': '200191'}</t>
  </si>
  <si>
    <t>FLATD762</t>
  </si>
  <si>
    <t>rg:{ 'id': '200192'}</t>
  </si>
  <si>
    <t>FLATD763</t>
  </si>
  <si>
    <t>2017-02-24</t>
  </si>
  <si>
    <t>rg:{ 'id': '200193'}</t>
  </si>
  <si>
    <t>FLATD764</t>
  </si>
  <si>
    <t>rg:{ 'id': '200194'}</t>
  </si>
  <si>
    <t>FLATD765</t>
  </si>
  <si>
    <t>2016-11-25</t>
  </si>
  <si>
    <t>rg:{ 'id': '200195'}</t>
  </si>
  <si>
    <t>FLATD766</t>
  </si>
  <si>
    <t>rg:{ 'id': '200196'}</t>
  </si>
  <si>
    <t>FLATD767</t>
  </si>
  <si>
    <t>2016-11-06</t>
  </si>
  <si>
    <t>rg:{ 'id': '200197'}</t>
  </si>
  <si>
    <t>FLATD768</t>
  </si>
  <si>
    <t>rg:{ 'id': '200198'}</t>
  </si>
  <si>
    <t>CEME303</t>
  </si>
  <si>
    <t>rg:{ 'id': '200199'}</t>
  </si>
  <si>
    <t>CEMEX167</t>
  </si>
  <si>
    <t>rg:{ 'id': '200200'}</t>
  </si>
  <si>
    <t>DUMPX29</t>
  </si>
  <si>
    <t>rg:{ 'id': '200201'}</t>
  </si>
  <si>
    <t>rg:{ 'id': '200202'}</t>
  </si>
  <si>
    <t>DUMPSO50</t>
  </si>
  <si>
    <t>1</t>
  </si>
  <si>
    <t>9</t>
  </si>
  <si>
    <t>2</t>
  </si>
  <si>
    <t>localAreaId</t>
  </si>
  <si>
    <t>ownerID</t>
  </si>
  <si>
    <t>projectID</t>
  </si>
  <si>
    <t>!contact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</si>
</sst>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112"/>
  <sheetViews>
    <sheetView workbookViewId="0">
      <pane ySplit="1" topLeftCell="A2" activePane="bottomLeft" state="frozen"/>
      <selection pane="bottomLeft" activeCell="X1" sqref="X1:X1048576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5.88671875" bestFit="1" customWidth="1"/>
    <col min="5" max="5" width="11.109375" bestFit="1" customWidth="1"/>
    <col min="6" max="6" width="11.109375" customWidth="1"/>
    <col min="7" max="7" width="14.33203125" bestFit="1" customWidth="1"/>
    <col min="8" max="8" width="16.33203125" style="4" bestFit="1" customWidth="1"/>
    <col min="9" max="9" width="41.88671875" bestFit="1" customWidth="1"/>
    <col min="10" max="10" width="9.33203125" bestFit="1" customWidth="1"/>
    <col min="11" max="11" width="14.33203125" customWidth="1"/>
    <col min="12" max="12" width="24.109375" bestFit="1" customWidth="1"/>
    <col min="13" max="13" width="14.33203125" bestFit="1" customWidth="1"/>
    <col min="14" max="14" width="23.6640625" bestFit="1" customWidth="1"/>
    <col min="15" max="15" width="14.33203125" bestFit="1" customWidth="1"/>
    <col min="16" max="16" width="22.109375" bestFit="1" customWidth="1"/>
    <col min="17" max="17" width="22.5546875" bestFit="1" customWidth="1"/>
    <col min="18" max="18" width="19.88671875" bestFit="1" customWidth="1"/>
    <col min="19" max="19" width="11.109375" bestFit="1" customWidth="1"/>
    <col min="20" max="20" width="5.88671875" bestFit="1" customWidth="1"/>
    <col min="21" max="21" width="11.109375" bestFit="1" customWidth="1"/>
    <col min="22" max="22" width="12.88671875" bestFit="1" customWidth="1"/>
    <col min="23" max="23" width="10.6640625" bestFit="1" customWidth="1"/>
    <col min="24" max="24" width="5.5546875" bestFit="1" customWidth="1"/>
    <col min="25" max="25" width="11.33203125" bestFit="1" customWidth="1"/>
    <col min="26" max="26" width="6.5546875" bestFit="1" customWidth="1"/>
  </cols>
  <sheetData>
    <row r="1" spans="1:27" x14ac:dyDescent="0.3">
      <c r="A1" t="s">
        <v>68</v>
      </c>
      <c r="B1" t="s">
        <v>6505</v>
      </c>
      <c r="C1" t="s">
        <v>5327</v>
      </c>
      <c r="D1" t="s">
        <v>333</v>
      </c>
      <c r="E1" t="s">
        <v>2922</v>
      </c>
      <c r="F1" t="s">
        <v>8620</v>
      </c>
      <c r="G1" t="s">
        <v>5374</v>
      </c>
      <c r="H1" s="4" t="s">
        <v>5375</v>
      </c>
      <c r="I1" t="s">
        <v>6503</v>
      </c>
      <c r="J1" t="s">
        <v>6501</v>
      </c>
      <c r="K1" t="s">
        <v>6502</v>
      </c>
      <c r="L1" t="s">
        <v>6504</v>
      </c>
      <c r="M1" t="s">
        <v>6506</v>
      </c>
      <c r="N1" t="s">
        <v>6507</v>
      </c>
      <c r="O1" t="s">
        <v>6508</v>
      </c>
      <c r="P1" t="s">
        <v>6509</v>
      </c>
      <c r="Q1" t="s">
        <v>6510</v>
      </c>
      <c r="R1" t="s">
        <v>6511</v>
      </c>
      <c r="S1" t="s">
        <v>6512</v>
      </c>
      <c r="T1" t="s">
        <v>333</v>
      </c>
      <c r="U1" t="s">
        <v>6513</v>
      </c>
      <c r="V1" t="s">
        <v>6514</v>
      </c>
      <c r="W1" t="s">
        <v>6515</v>
      </c>
      <c r="X1" t="s">
        <v>5329</v>
      </c>
      <c r="Y1" t="s">
        <v>5376</v>
      </c>
      <c r="Z1" t="s">
        <v>5377</v>
      </c>
      <c r="AA1" t="s">
        <v>6516</v>
      </c>
    </row>
    <row r="2" spans="1:27" x14ac:dyDescent="0.3">
      <c r="A2" t="s">
        <v>7</v>
      </c>
      <c r="B2" t="s">
        <v>4837</v>
      </c>
      <c r="C2">
        <f>IF(ISNUMBER(C1),C1+1,200000)</f>
        <v>200000</v>
      </c>
      <c r="D2" t="s">
        <v>6672</v>
      </c>
      <c r="E2" t="str">
        <f t="shared" ref="E2:E65" ca="1" si="0">TEXT(TODAY()-RANDBETWEEN(200,5000),"YYYY-MM-DD")</f>
        <v>2013-02-26</v>
      </c>
      <c r="F2">
        <f>IFERROR(VLOOKUP(B2,Contacts.csv!C:D,2,FALSE),"")</f>
        <v>200000</v>
      </c>
      <c r="G2" t="str">
        <f>IF(1=1,"rg:None", IF(ISNUMBER(F2),"rg:{'id':'" &amp; F2 &amp; "'}","rg:None"))</f>
        <v>rg:None</v>
      </c>
      <c r="H2" s="4" t="str">
        <f>IF(1=1,"rg:[]", IF(ISNUMBER(F2),"rg:[{'id':'" &amp; F2 &amp; "'}]","rg:[]"))</f>
        <v>rg:[]</v>
      </c>
      <c r="I2" s="1" t="str">
        <f>VLOOKUP(B2,'HETS Data'!A:E,5,FALSE)</f>
        <v>LOWER MAINLAND-SURREY/LANGLEY</v>
      </c>
      <c r="J2">
        <f>VLOOKUP(I2,LocalAreas.csv!D:G,4,FALSE)</f>
        <v>200029</v>
      </c>
      <c r="K2" t="str">
        <f xml:space="preserve"> "rg:{'id':'" &amp; J2 &amp; "'}"</f>
        <v>rg:{'id':'200029'}</v>
      </c>
      <c r="L2" t="str">
        <f>UPPER(LEFT(SUBSTITUTE(SUBSTITUTE(SUBSTITUTE(B2,"The","")," ",""),".",""),4))</f>
        <v>ACCO</v>
      </c>
      <c r="N2">
        <f ca="1">RANDBETWEEN(10000,20000)</f>
        <v>12431</v>
      </c>
      <c r="O2" t="s">
        <v>5696</v>
      </c>
      <c r="P2" t="s">
        <v>326</v>
      </c>
      <c r="Q2">
        <f ca="1">RANDBETWEEN(732000,732200)</f>
        <v>732053</v>
      </c>
      <c r="R2" t="str">
        <f ca="1">TEXT(TODAY()+RANDBETWEEN(-10,350),"YYYY-MM-DD")</f>
        <v>2017-07-24</v>
      </c>
      <c r="S2" t="str">
        <f ca="1">TEXT(TODAY()+RANDBETWEEN(-10,350),"YYYY-MM-DD")</f>
        <v>2017-07-15</v>
      </c>
      <c r="T2" t="s">
        <v>6672</v>
      </c>
      <c r="U2" t="s">
        <v>76</v>
      </c>
      <c r="V2" t="s">
        <v>76</v>
      </c>
      <c r="W2" t="s">
        <v>76</v>
      </c>
      <c r="X2" t="s">
        <v>6517</v>
      </c>
      <c r="Y2" t="s">
        <v>6517</v>
      </c>
      <c r="Z2" t="s">
        <v>6517</v>
      </c>
      <c r="AA2" t="s">
        <v>6517</v>
      </c>
    </row>
    <row r="3" spans="1:27" x14ac:dyDescent="0.3">
      <c r="A3" t="s">
        <v>7</v>
      </c>
      <c r="B3" t="s">
        <v>4809</v>
      </c>
      <c r="C3">
        <f t="shared" ref="C3:C66" si="1">IF(ISNUMBER(C2),C2+1,101)</f>
        <v>200001</v>
      </c>
      <c r="D3" t="s">
        <v>6670</v>
      </c>
      <c r="E3" t="str">
        <f t="shared" ca="1" si="0"/>
        <v>2006-03-21</v>
      </c>
      <c r="F3">
        <f>IFERROR(VLOOKUP(B3,Contacts.csv!C:D,2,FALSE),"")</f>
        <v>200001</v>
      </c>
      <c r="G3" t="str">
        <f t="shared" ref="G3:G66" si="2">IF(1=1,"rg:None", IF(ISNUMBER(F3),"rg:{'id':'" &amp; F3 &amp; "'}","rg:None"))</f>
        <v>rg:None</v>
      </c>
      <c r="H3" s="4" t="str">
        <f t="shared" ref="H3:H66" si="3">IF(1=1,"rg:[]", IF(ISNUMBER(F3),"rg:[{'id':'" &amp; F3 &amp; "'}]","rg:[]"))</f>
        <v>rg:[]</v>
      </c>
      <c r="I3" s="1" t="str">
        <f>VLOOKUP(B3,'HETS Data'!A:E,5,FALSE)</f>
        <v>LOWER MAINLAND-SURREY/LANGLEY</v>
      </c>
      <c r="J3">
        <f>VLOOKUP(I3,LocalAreas.csv!D:G,4,FALSE)</f>
        <v>200029</v>
      </c>
      <c r="K3" t="str">
        <f t="shared" ref="K3:K65" si="4" xml:space="preserve"> "rg:{'id':'" &amp; J3 &amp; "'}"</f>
        <v>rg:{'id':'200029'}</v>
      </c>
      <c r="L3" t="str">
        <f t="shared" ref="L3:L66" si="5">UPPER(LEFT(SUBSTITUTE(SUBSTITUTE(SUBSTITUTE(B3,"The","")," ",""),".",""),4))</f>
        <v>ALER</v>
      </c>
      <c r="N3">
        <f t="shared" ref="N3:N66" ca="1" si="6">RANDBETWEEN(10000,20000)</f>
        <v>11168</v>
      </c>
      <c r="O3" t="s">
        <v>5696</v>
      </c>
      <c r="P3" t="s">
        <v>5696</v>
      </c>
      <c r="Q3">
        <f t="shared" ref="Q3:Q66" ca="1" si="7">RANDBETWEEN(732000,732200)</f>
        <v>732060</v>
      </c>
      <c r="R3" t="str">
        <f t="shared" ref="R3:S66" ca="1" si="8">TEXT(TODAY()+RANDBETWEEN(-10,350),"YYYY-MM-DD")</f>
        <v>2018-01-23</v>
      </c>
      <c r="S3" t="str">
        <f t="shared" ca="1" si="8"/>
        <v>2017-06-22</v>
      </c>
      <c r="T3" t="s">
        <v>6670</v>
      </c>
      <c r="U3" t="s">
        <v>76</v>
      </c>
      <c r="V3" t="s">
        <v>76</v>
      </c>
      <c r="W3" t="s">
        <v>76</v>
      </c>
      <c r="X3" t="s">
        <v>6517</v>
      </c>
      <c r="Y3" t="s">
        <v>6517</v>
      </c>
      <c r="Z3" t="s">
        <v>6517</v>
      </c>
      <c r="AA3" t="s">
        <v>6517</v>
      </c>
    </row>
    <row r="4" spans="1:27" x14ac:dyDescent="0.3">
      <c r="A4" t="s">
        <v>7</v>
      </c>
      <c r="B4" t="s">
        <v>4245</v>
      </c>
      <c r="C4">
        <f t="shared" si="1"/>
        <v>200002</v>
      </c>
      <c r="D4" t="s">
        <v>6670</v>
      </c>
      <c r="E4" t="str">
        <f t="shared" ca="1" si="0"/>
        <v>2014-07-16</v>
      </c>
      <c r="F4">
        <f>IFERROR(VLOOKUP(B4,Contacts.csv!C:D,2,FALSE),"")</f>
        <v>200002</v>
      </c>
      <c r="G4" t="str">
        <f t="shared" si="2"/>
        <v>rg:None</v>
      </c>
      <c r="H4" s="4" t="str">
        <f t="shared" si="3"/>
        <v>rg:[]</v>
      </c>
      <c r="I4" s="1" t="str">
        <f>VLOOKUP(B4,'HETS Data'!A:E,5,FALSE)</f>
        <v>COBBLE HILL</v>
      </c>
      <c r="J4">
        <f>VLOOKUP(I4,LocalAreas.csv!D:G,4,FALSE)</f>
        <v>200064</v>
      </c>
      <c r="K4" t="str">
        <f t="shared" si="4"/>
        <v>rg:{'id':'200064'}</v>
      </c>
      <c r="L4" t="str">
        <f t="shared" si="5"/>
        <v>ALLI</v>
      </c>
      <c r="N4">
        <f t="shared" ca="1" si="6"/>
        <v>13776</v>
      </c>
      <c r="O4" t="s">
        <v>5696</v>
      </c>
      <c r="P4" t="s">
        <v>326</v>
      </c>
      <c r="Q4">
        <f t="shared" ca="1" si="7"/>
        <v>732030</v>
      </c>
      <c r="R4" t="str">
        <f t="shared" ca="1" si="8"/>
        <v>2017-11-22</v>
      </c>
      <c r="S4" t="str">
        <f t="shared" ca="1" si="8"/>
        <v>2017-08-24</v>
      </c>
      <c r="T4" t="s">
        <v>6670</v>
      </c>
      <c r="U4" t="s">
        <v>76</v>
      </c>
      <c r="V4" t="s">
        <v>76</v>
      </c>
      <c r="W4" t="s">
        <v>76</v>
      </c>
      <c r="X4" t="s">
        <v>6517</v>
      </c>
      <c r="Y4" t="s">
        <v>6517</v>
      </c>
      <c r="Z4" t="s">
        <v>6517</v>
      </c>
      <c r="AA4" t="s">
        <v>6517</v>
      </c>
    </row>
    <row r="5" spans="1:27" x14ac:dyDescent="0.3">
      <c r="A5" t="s">
        <v>7</v>
      </c>
      <c r="B5" t="s">
        <v>4510</v>
      </c>
      <c r="C5">
        <f t="shared" si="1"/>
        <v>200003</v>
      </c>
      <c r="D5" t="s">
        <v>6670</v>
      </c>
      <c r="E5" t="str">
        <f t="shared" ca="1" si="0"/>
        <v>2008-10-14</v>
      </c>
      <c r="F5">
        <f>IFERROR(VLOOKUP(B5,Contacts.csv!C:D,2,FALSE),"")</f>
        <v>200003</v>
      </c>
      <c r="G5" t="str">
        <f t="shared" si="2"/>
        <v>rg:None</v>
      </c>
      <c r="H5" s="4" t="str">
        <f t="shared" si="3"/>
        <v>rg:[]</v>
      </c>
      <c r="I5" s="1" t="str">
        <f>VLOOKUP(B5,'HETS Data'!A:E,5,FALSE)</f>
        <v>LOWER MAINLAND-SURREY/LANGLEY</v>
      </c>
      <c r="J5">
        <f>VLOOKUP(I5,LocalAreas.csv!D:G,4,FALSE)</f>
        <v>200029</v>
      </c>
      <c r="K5" t="str">
        <f t="shared" si="4"/>
        <v>rg:{'id':'200029'}</v>
      </c>
      <c r="L5" t="str">
        <f t="shared" si="5"/>
        <v>AMER</v>
      </c>
      <c r="M5" t="s">
        <v>6668</v>
      </c>
      <c r="N5">
        <f t="shared" ca="1" si="6"/>
        <v>16977</v>
      </c>
      <c r="O5" t="s">
        <v>5696</v>
      </c>
      <c r="P5" t="s">
        <v>326</v>
      </c>
      <c r="Q5">
        <f t="shared" ca="1" si="7"/>
        <v>732130</v>
      </c>
      <c r="R5" t="str">
        <f t="shared" ca="1" si="8"/>
        <v>2017-12-23</v>
      </c>
      <c r="S5" t="str">
        <f t="shared" ca="1" si="8"/>
        <v>2017-09-22</v>
      </c>
      <c r="T5" t="s">
        <v>6670</v>
      </c>
      <c r="U5" t="s">
        <v>76</v>
      </c>
      <c r="V5" t="s">
        <v>76</v>
      </c>
      <c r="W5" t="s">
        <v>76</v>
      </c>
      <c r="X5" t="s">
        <v>6517</v>
      </c>
      <c r="Y5" t="s">
        <v>6517</v>
      </c>
      <c r="Z5" t="s">
        <v>6517</v>
      </c>
      <c r="AA5" t="s">
        <v>6517</v>
      </c>
    </row>
    <row r="6" spans="1:27" x14ac:dyDescent="0.3">
      <c r="A6" t="s">
        <v>7</v>
      </c>
      <c r="B6" t="s">
        <v>3037</v>
      </c>
      <c r="C6">
        <f t="shared" si="1"/>
        <v>200004</v>
      </c>
      <c r="D6" t="s">
        <v>6670</v>
      </c>
      <c r="E6" t="str">
        <f t="shared" ca="1" si="0"/>
        <v>2005-06-11</v>
      </c>
      <c r="F6">
        <f>IFERROR(VLOOKUP(B6,Contacts.csv!C:D,2,FALSE),"")</f>
        <v>200004</v>
      </c>
      <c r="G6" t="str">
        <f t="shared" si="2"/>
        <v>rg:None</v>
      </c>
      <c r="H6" s="4" t="str">
        <f t="shared" si="3"/>
        <v>rg:[]</v>
      </c>
      <c r="I6" s="1" t="str">
        <f>VLOOKUP(B6,'HETS Data'!A:E,5,FALSE)</f>
        <v>NANAIMO/LADYSMITH/LANTZVILLE</v>
      </c>
      <c r="J6">
        <f>VLOOKUP(I6,LocalAreas.csv!D:G,4,FALSE)</f>
        <v>200005</v>
      </c>
      <c r="K6" t="str">
        <f t="shared" si="4"/>
        <v>rg:{'id':'200005'}</v>
      </c>
      <c r="L6" t="str">
        <f t="shared" si="5"/>
        <v>ASIA</v>
      </c>
      <c r="M6" t="s">
        <v>6669</v>
      </c>
      <c r="N6">
        <f t="shared" ca="1" si="6"/>
        <v>18824</v>
      </c>
      <c r="O6" t="s">
        <v>326</v>
      </c>
      <c r="P6" t="s">
        <v>326</v>
      </c>
      <c r="Q6">
        <f t="shared" ca="1" si="7"/>
        <v>732127</v>
      </c>
      <c r="R6" t="str">
        <f t="shared" ca="1" si="8"/>
        <v>2017-08-09</v>
      </c>
      <c r="S6" t="str">
        <f t="shared" ca="1" si="8"/>
        <v>2017-05-24</v>
      </c>
      <c r="T6" t="s">
        <v>6670</v>
      </c>
      <c r="U6" t="s">
        <v>76</v>
      </c>
      <c r="V6" t="s">
        <v>76</v>
      </c>
      <c r="W6" t="s">
        <v>76</v>
      </c>
      <c r="X6" t="s">
        <v>6517</v>
      </c>
      <c r="Y6" t="s">
        <v>6517</v>
      </c>
      <c r="Z6" t="s">
        <v>6517</v>
      </c>
      <c r="AA6" t="s">
        <v>6517</v>
      </c>
    </row>
    <row r="7" spans="1:27" x14ac:dyDescent="0.3">
      <c r="A7" t="s">
        <v>7</v>
      </c>
      <c r="B7" t="s">
        <v>4039</v>
      </c>
      <c r="C7">
        <f t="shared" si="1"/>
        <v>200005</v>
      </c>
      <c r="D7" t="s">
        <v>6670</v>
      </c>
      <c r="E7" t="str">
        <f t="shared" ca="1" si="0"/>
        <v>2016-08-07</v>
      </c>
      <c r="F7">
        <f>IFERROR(VLOOKUP(B7,Contacts.csv!C:D,2,FALSE),"")</f>
        <v>200005</v>
      </c>
      <c r="G7" t="str">
        <f t="shared" si="2"/>
        <v>rg:None</v>
      </c>
      <c r="H7" s="4" t="str">
        <f t="shared" si="3"/>
        <v>rg:[]</v>
      </c>
      <c r="I7" s="1" t="str">
        <f>VLOOKUP(B7,'HETS Data'!A:E,5,FALSE)</f>
        <v>NANAIMO/LADYSMITH/LANTZVILLE</v>
      </c>
      <c r="J7">
        <f>VLOOKUP(I7,LocalAreas.csv!D:G,4,FALSE)</f>
        <v>200005</v>
      </c>
      <c r="K7" t="str">
        <f t="shared" si="4"/>
        <v>rg:{'id':'200005'}</v>
      </c>
      <c r="L7" t="str">
        <f t="shared" si="5"/>
        <v>AUTO</v>
      </c>
      <c r="N7">
        <f t="shared" ca="1" si="6"/>
        <v>17597</v>
      </c>
      <c r="O7" t="s">
        <v>5696</v>
      </c>
      <c r="P7" t="s">
        <v>326</v>
      </c>
      <c r="Q7">
        <f t="shared" ca="1" si="7"/>
        <v>732132</v>
      </c>
      <c r="R7" t="str">
        <f t="shared" ca="1" si="8"/>
        <v>2017-03-13</v>
      </c>
      <c r="S7" t="str">
        <f t="shared" ca="1" si="8"/>
        <v>2017-03-22</v>
      </c>
      <c r="T7" t="s">
        <v>6670</v>
      </c>
      <c r="U7" t="s">
        <v>76</v>
      </c>
      <c r="V7" t="s">
        <v>76</v>
      </c>
      <c r="W7" t="s">
        <v>76</v>
      </c>
      <c r="X7" t="s">
        <v>6517</v>
      </c>
      <c r="Y7" t="s">
        <v>6517</v>
      </c>
      <c r="Z7" t="s">
        <v>6517</v>
      </c>
      <c r="AA7" t="s">
        <v>6517</v>
      </c>
    </row>
    <row r="8" spans="1:27" x14ac:dyDescent="0.3">
      <c r="A8" t="s">
        <v>7</v>
      </c>
      <c r="B8" t="s">
        <v>3699</v>
      </c>
      <c r="C8">
        <f t="shared" si="1"/>
        <v>200006</v>
      </c>
      <c r="D8" t="s">
        <v>6670</v>
      </c>
      <c r="E8" t="str">
        <f t="shared" ca="1" si="0"/>
        <v>2005-03-14</v>
      </c>
      <c r="F8">
        <f>IFERROR(VLOOKUP(B8,Contacts.csv!C:D,2,FALSE),"")</f>
        <v>200006</v>
      </c>
      <c r="G8" t="str">
        <f t="shared" si="2"/>
        <v>rg:None</v>
      </c>
      <c r="H8" s="4" t="str">
        <f t="shared" si="3"/>
        <v>rg:[]</v>
      </c>
      <c r="I8" s="1" t="str">
        <f>VLOOKUP(B8,'HETS Data'!A:E,5,FALSE)</f>
        <v>LOWER MAINLAND-SURREY/LANGLEY</v>
      </c>
      <c r="J8">
        <f>VLOOKUP(I8,LocalAreas.csv!D:G,4,FALSE)</f>
        <v>200029</v>
      </c>
      <c r="K8" t="str">
        <f t="shared" si="4"/>
        <v>rg:{'id':'200029'}</v>
      </c>
      <c r="L8" t="str">
        <f t="shared" si="5"/>
        <v>BEST</v>
      </c>
      <c r="N8">
        <f t="shared" ca="1" si="6"/>
        <v>19419</v>
      </c>
      <c r="O8" t="s">
        <v>5696</v>
      </c>
      <c r="P8" t="s">
        <v>326</v>
      </c>
      <c r="Q8">
        <f t="shared" ca="1" si="7"/>
        <v>732042</v>
      </c>
      <c r="R8" t="str">
        <f t="shared" ca="1" si="8"/>
        <v>2017-06-10</v>
      </c>
      <c r="S8" t="str">
        <f t="shared" ca="1" si="8"/>
        <v>2017-04-08</v>
      </c>
      <c r="T8" t="s">
        <v>6670</v>
      </c>
      <c r="U8" t="s">
        <v>76</v>
      </c>
      <c r="V8" t="s">
        <v>76</v>
      </c>
      <c r="W8" t="s">
        <v>76</v>
      </c>
      <c r="X8" t="s">
        <v>6517</v>
      </c>
      <c r="Y8" t="s">
        <v>6517</v>
      </c>
      <c r="Z8" t="s">
        <v>6517</v>
      </c>
      <c r="AA8" t="s">
        <v>6517</v>
      </c>
    </row>
    <row r="9" spans="1:27" x14ac:dyDescent="0.3">
      <c r="A9" t="s">
        <v>7</v>
      </c>
      <c r="B9" t="s">
        <v>3076</v>
      </c>
      <c r="C9">
        <f t="shared" si="1"/>
        <v>200007</v>
      </c>
      <c r="D9" t="s">
        <v>6672</v>
      </c>
      <c r="E9" t="str">
        <f t="shared" ca="1" si="0"/>
        <v>2011-10-08</v>
      </c>
      <c r="F9">
        <f>IFERROR(VLOOKUP(B9,Contacts.csv!C:D,2,FALSE),"")</f>
        <v>200007</v>
      </c>
      <c r="G9" t="str">
        <f t="shared" si="2"/>
        <v>rg:None</v>
      </c>
      <c r="H9" s="4" t="str">
        <f t="shared" si="3"/>
        <v>rg:[]</v>
      </c>
      <c r="I9" s="1" t="str">
        <f>VLOOKUP(B9,'HETS Data'!A:E,5,FALSE)</f>
        <v>KELOWNA ROAD MANAGEMENT AREA</v>
      </c>
      <c r="J9">
        <f>VLOOKUP(I9,LocalAreas.csv!D:G,4,FALSE)</f>
        <v>200070</v>
      </c>
      <c r="K9" t="str">
        <f t="shared" si="4"/>
        <v>rg:{'id':'200070'}</v>
      </c>
      <c r="L9" t="str">
        <f t="shared" si="5"/>
        <v>BEST</v>
      </c>
      <c r="N9">
        <f t="shared" ca="1" si="6"/>
        <v>18987</v>
      </c>
      <c r="O9" t="s">
        <v>5696</v>
      </c>
      <c r="P9" t="s">
        <v>326</v>
      </c>
      <c r="Q9">
        <f t="shared" ca="1" si="7"/>
        <v>732159</v>
      </c>
      <c r="R9" t="str">
        <f t="shared" ca="1" si="8"/>
        <v>2017-09-16</v>
      </c>
      <c r="S9" t="str">
        <f t="shared" ca="1" si="8"/>
        <v>2018-02-07</v>
      </c>
      <c r="T9" t="s">
        <v>6672</v>
      </c>
      <c r="U9" t="s">
        <v>76</v>
      </c>
      <c r="V9" t="s">
        <v>76</v>
      </c>
      <c r="W9" t="s">
        <v>76</v>
      </c>
      <c r="X9" t="s">
        <v>6517</v>
      </c>
      <c r="Y9" t="s">
        <v>6517</v>
      </c>
      <c r="Z9" t="s">
        <v>6517</v>
      </c>
      <c r="AA9" t="s">
        <v>6517</v>
      </c>
    </row>
    <row r="10" spans="1:27" x14ac:dyDescent="0.3">
      <c r="A10" t="s">
        <v>7</v>
      </c>
      <c r="B10" t="s">
        <v>3186</v>
      </c>
      <c r="C10">
        <f t="shared" si="1"/>
        <v>200008</v>
      </c>
      <c r="D10" t="s">
        <v>6670</v>
      </c>
      <c r="E10" t="str">
        <f t="shared" ca="1" si="0"/>
        <v>2005-04-21</v>
      </c>
      <c r="F10">
        <f>IFERROR(VLOOKUP(B10,Contacts.csv!C:D,2,FALSE),"")</f>
        <v>200008</v>
      </c>
      <c r="G10" t="str">
        <f t="shared" si="2"/>
        <v>rg:None</v>
      </c>
      <c r="H10" s="4" t="str">
        <f t="shared" si="3"/>
        <v>rg:[]</v>
      </c>
      <c r="I10" s="1" t="str">
        <f>VLOOKUP(B10,'HETS Data'!A:E,5,FALSE)</f>
        <v>LOWER MAINLAND-SURREY/LANGLEY</v>
      </c>
      <c r="J10">
        <f>VLOOKUP(I10,LocalAreas.csv!D:G,4,FALSE)</f>
        <v>200029</v>
      </c>
      <c r="K10" t="str">
        <f t="shared" si="4"/>
        <v>rg:{'id':'200029'}</v>
      </c>
      <c r="L10" t="str">
        <f t="shared" si="5"/>
        <v>BODY</v>
      </c>
      <c r="N10">
        <f t="shared" ca="1" si="6"/>
        <v>17135</v>
      </c>
      <c r="O10" t="s">
        <v>5696</v>
      </c>
      <c r="P10" t="s">
        <v>326</v>
      </c>
      <c r="Q10">
        <f t="shared" ca="1" si="7"/>
        <v>732164</v>
      </c>
      <c r="R10" t="str">
        <f t="shared" ca="1" si="8"/>
        <v>2017-10-07</v>
      </c>
      <c r="S10" t="str">
        <f t="shared" ca="1" si="8"/>
        <v>2017-09-30</v>
      </c>
      <c r="T10" t="s">
        <v>6670</v>
      </c>
      <c r="U10" t="s">
        <v>76</v>
      </c>
      <c r="V10" t="s">
        <v>76</v>
      </c>
      <c r="W10" t="s">
        <v>76</v>
      </c>
      <c r="X10" t="s">
        <v>6517</v>
      </c>
      <c r="Y10" t="s">
        <v>6517</v>
      </c>
      <c r="Z10" t="s">
        <v>6517</v>
      </c>
      <c r="AA10" t="s">
        <v>6517</v>
      </c>
    </row>
    <row r="11" spans="1:27" x14ac:dyDescent="0.3">
      <c r="A11" t="s">
        <v>7</v>
      </c>
      <c r="B11" t="s">
        <v>3223</v>
      </c>
      <c r="C11">
        <f t="shared" si="1"/>
        <v>200009</v>
      </c>
      <c r="D11" t="s">
        <v>6670</v>
      </c>
      <c r="E11" t="str">
        <f t="shared" ca="1" si="0"/>
        <v>2010-10-26</v>
      </c>
      <c r="F11">
        <f>IFERROR(VLOOKUP(B11,Contacts.csv!C:D,2,FALSE),"")</f>
        <v>200009</v>
      </c>
      <c r="G11" t="str">
        <f t="shared" si="2"/>
        <v>rg:None</v>
      </c>
      <c r="H11" s="4" t="str">
        <f t="shared" si="3"/>
        <v>rg:[]</v>
      </c>
      <c r="I11" s="1" t="str">
        <f>VLOOKUP(B11,'HETS Data'!A:E,5,FALSE)</f>
        <v>LOWER MAINLAND-SURREY/LANGLEY</v>
      </c>
      <c r="J11">
        <f>VLOOKUP(I11,LocalAreas.csv!D:G,4,FALSE)</f>
        <v>200029</v>
      </c>
      <c r="K11" t="str">
        <f t="shared" si="4"/>
        <v>rg:{'id':'200029'}</v>
      </c>
      <c r="L11" t="str">
        <f t="shared" si="5"/>
        <v>BREN</v>
      </c>
      <c r="N11">
        <f t="shared" ca="1" si="6"/>
        <v>18162</v>
      </c>
      <c r="O11" t="s">
        <v>5696</v>
      </c>
      <c r="P11" t="s">
        <v>326</v>
      </c>
      <c r="Q11">
        <f t="shared" ca="1" si="7"/>
        <v>732150</v>
      </c>
      <c r="R11" t="str">
        <f t="shared" ca="1" si="8"/>
        <v>2017-03-28</v>
      </c>
      <c r="S11" t="str">
        <f t="shared" ca="1" si="8"/>
        <v>2017-04-28</v>
      </c>
      <c r="T11" t="s">
        <v>6670</v>
      </c>
      <c r="U11" t="s">
        <v>76</v>
      </c>
      <c r="V11" t="s">
        <v>76</v>
      </c>
      <c r="W11" t="s">
        <v>76</v>
      </c>
      <c r="X11" t="s">
        <v>6517</v>
      </c>
      <c r="Y11" t="s">
        <v>6517</v>
      </c>
      <c r="Z11" t="s">
        <v>6517</v>
      </c>
      <c r="AA11" t="s">
        <v>6517</v>
      </c>
    </row>
    <row r="12" spans="1:27" x14ac:dyDescent="0.3">
      <c r="A12" t="s">
        <v>7</v>
      </c>
      <c r="B12" t="s">
        <v>3239</v>
      </c>
      <c r="C12">
        <f t="shared" si="1"/>
        <v>200010</v>
      </c>
      <c r="D12" t="s">
        <v>6670</v>
      </c>
      <c r="E12" t="str">
        <f t="shared" ca="1" si="0"/>
        <v>2011-11-04</v>
      </c>
      <c r="F12">
        <f>IFERROR(VLOOKUP(B12,Contacts.csv!C:D,2,FALSE),"")</f>
        <v>200010</v>
      </c>
      <c r="G12" t="str">
        <f t="shared" si="2"/>
        <v>rg:None</v>
      </c>
      <c r="H12" s="4" t="str">
        <f t="shared" si="3"/>
        <v>rg:[]</v>
      </c>
      <c r="I12" s="1" t="str">
        <f>VLOOKUP(B12,'HETS Data'!A:E,5,FALSE)</f>
        <v>LOWER MAINLAND-SURREY/LANGLEY</v>
      </c>
      <c r="J12">
        <f>VLOOKUP(I12,LocalAreas.csv!D:G,4,FALSE)</f>
        <v>200029</v>
      </c>
      <c r="K12" t="str">
        <f t="shared" si="4"/>
        <v>rg:{'id':'200029'}</v>
      </c>
      <c r="L12" t="str">
        <f t="shared" si="5"/>
        <v>BRIT</v>
      </c>
      <c r="N12">
        <f t="shared" ca="1" si="6"/>
        <v>19753</v>
      </c>
      <c r="O12" t="s">
        <v>5696</v>
      </c>
      <c r="P12" t="s">
        <v>326</v>
      </c>
      <c r="Q12">
        <f t="shared" ca="1" si="7"/>
        <v>732016</v>
      </c>
      <c r="R12" t="str">
        <f t="shared" ca="1" si="8"/>
        <v>2017-05-06</v>
      </c>
      <c r="S12" t="str">
        <f t="shared" ca="1" si="8"/>
        <v>2017-03-30</v>
      </c>
      <c r="T12" t="s">
        <v>6670</v>
      </c>
      <c r="U12" t="s">
        <v>76</v>
      </c>
      <c r="V12" t="s">
        <v>76</v>
      </c>
      <c r="W12" t="s">
        <v>76</v>
      </c>
      <c r="X12" t="s">
        <v>6517</v>
      </c>
      <c r="Y12" t="s">
        <v>6517</v>
      </c>
      <c r="Z12" t="s">
        <v>6517</v>
      </c>
      <c r="AA12" t="s">
        <v>6517</v>
      </c>
    </row>
    <row r="13" spans="1:27" x14ac:dyDescent="0.3">
      <c r="A13" t="s">
        <v>7</v>
      </c>
      <c r="B13" t="s">
        <v>4054</v>
      </c>
      <c r="C13">
        <f t="shared" si="1"/>
        <v>200011</v>
      </c>
      <c r="D13" t="s">
        <v>6671</v>
      </c>
      <c r="E13" t="str">
        <f t="shared" ca="1" si="0"/>
        <v>2013-04-27</v>
      </c>
      <c r="F13">
        <f>IFERROR(VLOOKUP(B13,Contacts.csv!C:D,2,FALSE),"")</f>
        <v>200011</v>
      </c>
      <c r="G13" t="str">
        <f t="shared" si="2"/>
        <v>rg:None</v>
      </c>
      <c r="H13" s="4" t="str">
        <f t="shared" si="3"/>
        <v>rg:[]</v>
      </c>
      <c r="I13" s="1" t="str">
        <f>VLOOKUP(B13,'HETS Data'!A:E,5,FALSE)</f>
        <v>LOWER MAINLAND-SURREY/LANGLEY</v>
      </c>
      <c r="J13">
        <f>VLOOKUP(I13,LocalAreas.csv!D:G,4,FALSE)</f>
        <v>200029</v>
      </c>
      <c r="K13" t="str">
        <f t="shared" si="4"/>
        <v>rg:{'id':'200029'}</v>
      </c>
      <c r="L13" t="str">
        <f t="shared" si="5"/>
        <v>BUIL</v>
      </c>
      <c r="N13">
        <f t="shared" ca="1" si="6"/>
        <v>17032</v>
      </c>
      <c r="O13" t="s">
        <v>5696</v>
      </c>
      <c r="P13" t="s">
        <v>326</v>
      </c>
      <c r="Q13">
        <f t="shared" ca="1" si="7"/>
        <v>732094</v>
      </c>
      <c r="R13" t="str">
        <f t="shared" ca="1" si="8"/>
        <v>2017-12-18</v>
      </c>
      <c r="S13" t="str">
        <f ca="1">TEXT(TODAY()+RANDBETWEEN(-10,350),"YYYY-MM-DD")</f>
        <v>2017-07-03</v>
      </c>
      <c r="T13" t="s">
        <v>6671</v>
      </c>
      <c r="U13" t="s">
        <v>5391</v>
      </c>
      <c r="V13" t="s">
        <v>6673</v>
      </c>
      <c r="W13" t="str">
        <f ca="1">TEXT(TODAY()-RANDBETWEEN(10,350),"YYYY-MM-DD")</f>
        <v>2016-12-12</v>
      </c>
      <c r="X13" t="s">
        <v>6517</v>
      </c>
      <c r="Y13" t="s">
        <v>6517</v>
      </c>
      <c r="Z13" t="s">
        <v>6517</v>
      </c>
      <c r="AA13" t="s">
        <v>6517</v>
      </c>
    </row>
    <row r="14" spans="1:27" x14ac:dyDescent="0.3">
      <c r="A14" t="s">
        <v>7</v>
      </c>
      <c r="B14" t="s">
        <v>3871</v>
      </c>
      <c r="C14">
        <f t="shared" si="1"/>
        <v>200012</v>
      </c>
      <c r="D14" t="s">
        <v>6670</v>
      </c>
      <c r="E14" t="str">
        <f t="shared" ca="1" si="0"/>
        <v>2015-12-17</v>
      </c>
      <c r="F14">
        <f>IFERROR(VLOOKUP(B14,Contacts.csv!C:D,2,FALSE),"")</f>
        <v>200012</v>
      </c>
      <c r="G14" t="str">
        <f t="shared" si="2"/>
        <v>rg:None</v>
      </c>
      <c r="H14" s="4" t="str">
        <f t="shared" si="3"/>
        <v>rg:[]</v>
      </c>
      <c r="I14" s="1" t="str">
        <f>VLOOKUP(B14,'HETS Data'!A:E,5,FALSE)</f>
        <v>LOWER MAINLAND-COQUITLAM/BURNABY/VAN</v>
      </c>
      <c r="J14">
        <f>VLOOKUP(I14,LocalAreas.csv!D:G,4,FALSE)</f>
        <v>200030</v>
      </c>
      <c r="K14" t="str">
        <f t="shared" si="4"/>
        <v>rg:{'id':'200030'}</v>
      </c>
      <c r="L14" t="str">
        <f t="shared" si="5"/>
        <v>CARD</v>
      </c>
      <c r="N14">
        <f t="shared" ca="1" si="6"/>
        <v>12481</v>
      </c>
      <c r="O14" t="s">
        <v>5696</v>
      </c>
      <c r="P14" t="s">
        <v>326</v>
      </c>
      <c r="Q14">
        <f t="shared" ca="1" si="7"/>
        <v>732093</v>
      </c>
      <c r="R14" t="str">
        <f t="shared" ca="1" si="8"/>
        <v>2017-06-07</v>
      </c>
      <c r="S14" t="str">
        <f t="shared" ca="1" si="8"/>
        <v>2017-08-07</v>
      </c>
      <c r="T14" t="s">
        <v>6670</v>
      </c>
      <c r="U14" t="s">
        <v>76</v>
      </c>
      <c r="V14" t="s">
        <v>76</v>
      </c>
      <c r="W14" t="s">
        <v>76</v>
      </c>
      <c r="X14" t="s">
        <v>6517</v>
      </c>
      <c r="Y14" t="s">
        <v>6517</v>
      </c>
      <c r="Z14" t="s">
        <v>6517</v>
      </c>
      <c r="AA14" t="s">
        <v>6517</v>
      </c>
    </row>
    <row r="15" spans="1:27" x14ac:dyDescent="0.3">
      <c r="A15" t="s">
        <v>7</v>
      </c>
      <c r="B15" t="s">
        <v>4432</v>
      </c>
      <c r="C15">
        <f t="shared" si="1"/>
        <v>200013</v>
      </c>
      <c r="D15" t="s">
        <v>6670</v>
      </c>
      <c r="E15" t="str">
        <f t="shared" ca="1" si="0"/>
        <v>2005-03-11</v>
      </c>
      <c r="F15">
        <f>IFERROR(VLOOKUP(B15,Contacts.csv!C:D,2,FALSE),"")</f>
        <v>200013</v>
      </c>
      <c r="G15" t="str">
        <f t="shared" si="2"/>
        <v>rg:None</v>
      </c>
      <c r="H15" s="4" t="str">
        <f t="shared" si="3"/>
        <v>rg:[]</v>
      </c>
      <c r="I15" s="1" t="str">
        <f>VLOOKUP(B15,'HETS Data'!A:E,5,FALSE)</f>
        <v>PENTICTON RD. MANAGEMENT AREA</v>
      </c>
      <c r="J15">
        <f>VLOOKUP(I15,LocalAreas.csv!D:G,4,FALSE)</f>
        <v>200069</v>
      </c>
      <c r="K15" t="str">
        <f t="shared" si="4"/>
        <v>rg:{'id':'200069'}</v>
      </c>
      <c r="L15" t="str">
        <f t="shared" si="5"/>
        <v>CAST</v>
      </c>
      <c r="N15">
        <f t="shared" ca="1" si="6"/>
        <v>13055</v>
      </c>
      <c r="O15" t="s">
        <v>5696</v>
      </c>
      <c r="P15" t="s">
        <v>326</v>
      </c>
      <c r="Q15">
        <f t="shared" ca="1" si="7"/>
        <v>732085</v>
      </c>
      <c r="R15" t="str">
        <f t="shared" ca="1" si="8"/>
        <v>2018-02-08</v>
      </c>
      <c r="S15" t="str">
        <f t="shared" ca="1" si="8"/>
        <v>2017-05-11</v>
      </c>
      <c r="T15" t="s">
        <v>6670</v>
      </c>
      <c r="U15" t="s">
        <v>76</v>
      </c>
      <c r="V15" t="s">
        <v>76</v>
      </c>
      <c r="W15" t="s">
        <v>76</v>
      </c>
      <c r="X15" t="s">
        <v>6517</v>
      </c>
      <c r="Y15" t="s">
        <v>6517</v>
      </c>
      <c r="Z15" t="s">
        <v>6517</v>
      </c>
      <c r="AA15" t="s">
        <v>6517</v>
      </c>
    </row>
    <row r="16" spans="1:27" x14ac:dyDescent="0.3">
      <c r="A16" t="s">
        <v>7</v>
      </c>
      <c r="B16" t="s">
        <v>3667</v>
      </c>
      <c r="C16">
        <f t="shared" si="1"/>
        <v>200014</v>
      </c>
      <c r="D16" t="s">
        <v>6670</v>
      </c>
      <c r="E16" t="str">
        <f t="shared" ca="1" si="0"/>
        <v>2003-11-18</v>
      </c>
      <c r="F16">
        <f>IFERROR(VLOOKUP(B16,Contacts.csv!C:D,2,FALSE),"")</f>
        <v>200014</v>
      </c>
      <c r="G16" t="str">
        <f t="shared" si="2"/>
        <v>rg:None</v>
      </c>
      <c r="H16" s="4" t="str">
        <f t="shared" si="3"/>
        <v>rg:[]</v>
      </c>
      <c r="I16" s="1" t="str">
        <f>VLOOKUP(B16,'HETS Data'!A:E,5,FALSE)</f>
        <v>CAMPBELL RIVER</v>
      </c>
      <c r="J16">
        <f>VLOOKUP(I16,LocalAreas.csv!D:G,4,FALSE)</f>
        <v>200039</v>
      </c>
      <c r="K16" t="str">
        <f t="shared" si="4"/>
        <v>rg:{'id':'200039'}</v>
      </c>
      <c r="L16" t="str">
        <f t="shared" si="5"/>
        <v>CASU</v>
      </c>
      <c r="N16">
        <f t="shared" ca="1" si="6"/>
        <v>14369</v>
      </c>
      <c r="O16" t="s">
        <v>5696</v>
      </c>
      <c r="P16" t="s">
        <v>326</v>
      </c>
      <c r="Q16">
        <f t="shared" ca="1" si="7"/>
        <v>732050</v>
      </c>
      <c r="R16" t="str">
        <f t="shared" ca="1" si="8"/>
        <v>2017-03-07</v>
      </c>
      <c r="S16" t="str">
        <f t="shared" ca="1" si="8"/>
        <v>2018-01-22</v>
      </c>
      <c r="T16" t="s">
        <v>6670</v>
      </c>
      <c r="U16" t="s">
        <v>76</v>
      </c>
      <c r="V16" t="s">
        <v>76</v>
      </c>
      <c r="W16" t="s">
        <v>76</v>
      </c>
      <c r="X16" t="s">
        <v>6517</v>
      </c>
      <c r="Y16" t="s">
        <v>6517</v>
      </c>
      <c r="Z16" t="s">
        <v>6517</v>
      </c>
      <c r="AA16" t="s">
        <v>6517</v>
      </c>
    </row>
    <row r="17" spans="1:27" x14ac:dyDescent="0.3">
      <c r="A17" t="s">
        <v>7</v>
      </c>
      <c r="B17" t="s">
        <v>4158</v>
      </c>
      <c r="C17">
        <f t="shared" si="1"/>
        <v>200015</v>
      </c>
      <c r="D17" t="s">
        <v>6670</v>
      </c>
      <c r="E17" t="str">
        <f t="shared" ca="1" si="0"/>
        <v>2009-08-02</v>
      </c>
      <c r="F17">
        <f>IFERROR(VLOOKUP(B17,Contacts.csv!C:D,2,FALSE),"")</f>
        <v>200015</v>
      </c>
      <c r="G17" t="str">
        <f t="shared" si="2"/>
        <v>rg:None</v>
      </c>
      <c r="H17" s="4" t="str">
        <f t="shared" si="3"/>
        <v>rg:[]</v>
      </c>
      <c r="I17" s="1" t="str">
        <f>VLOOKUP(B17,'HETS Data'!A:E,5,FALSE)</f>
        <v>NANAIMO/LADYSMITH/LANTZVILLE</v>
      </c>
      <c r="J17">
        <f>VLOOKUP(I17,LocalAreas.csv!D:G,4,FALSE)</f>
        <v>200005</v>
      </c>
      <c r="K17" t="str">
        <f t="shared" si="4"/>
        <v>rg:{'id':'200005'}</v>
      </c>
      <c r="L17" t="str">
        <f t="shared" si="5"/>
        <v>CHAS</v>
      </c>
      <c r="M17" t="s">
        <v>6669</v>
      </c>
      <c r="N17">
        <f t="shared" ca="1" si="6"/>
        <v>13106</v>
      </c>
      <c r="O17" t="s">
        <v>5696</v>
      </c>
      <c r="P17" t="s">
        <v>326</v>
      </c>
      <c r="Q17">
        <f t="shared" ca="1" si="7"/>
        <v>732083</v>
      </c>
      <c r="R17" t="str">
        <f t="shared" ca="1" si="8"/>
        <v>2017-08-13</v>
      </c>
      <c r="S17" t="str">
        <f t="shared" ca="1" si="8"/>
        <v>2017-05-02</v>
      </c>
      <c r="T17" t="s">
        <v>6670</v>
      </c>
      <c r="U17" t="s">
        <v>76</v>
      </c>
      <c r="V17" t="s">
        <v>76</v>
      </c>
      <c r="W17" t="s">
        <v>76</v>
      </c>
      <c r="X17" t="s">
        <v>6517</v>
      </c>
      <c r="Y17" t="s">
        <v>6517</v>
      </c>
      <c r="Z17" t="s">
        <v>6517</v>
      </c>
      <c r="AA17" t="s">
        <v>6517</v>
      </c>
    </row>
    <row r="18" spans="1:27" x14ac:dyDescent="0.3">
      <c r="A18" t="s">
        <v>7</v>
      </c>
      <c r="B18" t="s">
        <v>4880</v>
      </c>
      <c r="C18">
        <f t="shared" si="1"/>
        <v>200016</v>
      </c>
      <c r="D18" t="s">
        <v>6672</v>
      </c>
      <c r="E18" t="str">
        <f t="shared" ca="1" si="0"/>
        <v>2003-10-01</v>
      </c>
      <c r="F18">
        <f>IFERROR(VLOOKUP(B18,Contacts.csv!C:D,2,FALSE),"")</f>
        <v>200016</v>
      </c>
      <c r="G18" t="str">
        <f t="shared" si="2"/>
        <v>rg:None</v>
      </c>
      <c r="H18" s="4" t="str">
        <f t="shared" si="3"/>
        <v>rg:[]</v>
      </c>
      <c r="I18" s="1" t="str">
        <f>VLOOKUP(B18,'HETS Data'!A:E,5,FALSE)</f>
        <v>LOWER MAINLAND-SURREY/LANGLEY</v>
      </c>
      <c r="J18">
        <f>VLOOKUP(I18,LocalAreas.csv!D:G,4,FALSE)</f>
        <v>200029</v>
      </c>
      <c r="K18" t="str">
        <f t="shared" si="4"/>
        <v>rg:{'id':'200029'}</v>
      </c>
      <c r="L18" t="str">
        <f t="shared" si="5"/>
        <v>CHIL</v>
      </c>
      <c r="M18" t="s">
        <v>6668</v>
      </c>
      <c r="N18">
        <f t="shared" ca="1" si="6"/>
        <v>14213</v>
      </c>
      <c r="O18" t="s">
        <v>5696</v>
      </c>
      <c r="P18" t="s">
        <v>326</v>
      </c>
      <c r="Q18">
        <f t="shared" ca="1" si="7"/>
        <v>732013</v>
      </c>
      <c r="R18" t="str">
        <f t="shared" ca="1" si="8"/>
        <v>2018-02-12</v>
      </c>
      <c r="S18" t="str">
        <f t="shared" ca="1" si="8"/>
        <v>2017-05-18</v>
      </c>
      <c r="T18" t="s">
        <v>6672</v>
      </c>
      <c r="U18" t="s">
        <v>76</v>
      </c>
      <c r="V18" t="s">
        <v>76</v>
      </c>
      <c r="W18" t="s">
        <v>76</v>
      </c>
      <c r="X18" t="s">
        <v>6517</v>
      </c>
      <c r="Y18" t="s">
        <v>6517</v>
      </c>
      <c r="Z18" t="s">
        <v>6517</v>
      </c>
      <c r="AA18" t="s">
        <v>6517</v>
      </c>
    </row>
    <row r="19" spans="1:27" x14ac:dyDescent="0.3">
      <c r="A19" t="s">
        <v>7</v>
      </c>
      <c r="B19" t="s">
        <v>4734</v>
      </c>
      <c r="C19">
        <f t="shared" si="1"/>
        <v>200017</v>
      </c>
      <c r="D19" t="s">
        <v>6670</v>
      </c>
      <c r="E19" t="str">
        <f t="shared" ca="1" si="0"/>
        <v>2005-05-20</v>
      </c>
      <c r="F19">
        <f>IFERROR(VLOOKUP(B19,Contacts.csv!C:D,2,FALSE),"")</f>
        <v>200017</v>
      </c>
      <c r="G19" t="str">
        <f t="shared" si="2"/>
        <v>rg:None</v>
      </c>
      <c r="H19" s="4" t="str">
        <f t="shared" si="3"/>
        <v>rg:[]</v>
      </c>
      <c r="I19" s="1" t="str">
        <f>VLOOKUP(B19,'HETS Data'!A:E,5,FALSE)</f>
        <v>PARKSVILLE/QUALICUM</v>
      </c>
      <c r="J19">
        <f>VLOOKUP(I19,LocalAreas.csv!D:G,4,FALSE)</f>
        <v>200006</v>
      </c>
      <c r="K19" t="str">
        <f t="shared" si="4"/>
        <v>rg:{'id':'200006'}</v>
      </c>
      <c r="L19" t="s">
        <v>8067</v>
      </c>
      <c r="N19">
        <f t="shared" ca="1" si="6"/>
        <v>18331</v>
      </c>
      <c r="O19" t="s">
        <v>5696</v>
      </c>
      <c r="P19" t="s">
        <v>326</v>
      </c>
      <c r="Q19">
        <f t="shared" ca="1" si="7"/>
        <v>732146</v>
      </c>
      <c r="R19" t="str">
        <f t="shared" ca="1" si="8"/>
        <v>2017-12-21</v>
      </c>
      <c r="S19" t="str">
        <f t="shared" ca="1" si="8"/>
        <v>2018-02-02</v>
      </c>
      <c r="T19" t="s">
        <v>6670</v>
      </c>
      <c r="U19" t="s">
        <v>76</v>
      </c>
      <c r="V19" t="s">
        <v>76</v>
      </c>
      <c r="W19" t="s">
        <v>76</v>
      </c>
      <c r="X19" t="s">
        <v>6517</v>
      </c>
      <c r="Y19" t="s">
        <v>6517</v>
      </c>
      <c r="Z19" t="s">
        <v>6517</v>
      </c>
      <c r="AA19" t="s">
        <v>6517</v>
      </c>
    </row>
    <row r="20" spans="1:27" x14ac:dyDescent="0.3">
      <c r="A20" t="s">
        <v>7</v>
      </c>
      <c r="B20" t="s">
        <v>3979</v>
      </c>
      <c r="C20">
        <f t="shared" si="1"/>
        <v>200018</v>
      </c>
      <c r="D20" t="s">
        <v>6670</v>
      </c>
      <c r="E20" t="str">
        <f t="shared" ca="1" si="0"/>
        <v>2005-06-13</v>
      </c>
      <c r="F20">
        <f>IFERROR(VLOOKUP(B20,Contacts.csv!C:D,2,FALSE),"")</f>
        <v>200018</v>
      </c>
      <c r="G20" t="str">
        <f t="shared" si="2"/>
        <v>rg:None</v>
      </c>
      <c r="H20" s="4" t="str">
        <f t="shared" si="3"/>
        <v>rg:[]</v>
      </c>
      <c r="I20" s="1" t="str">
        <f>VLOOKUP(B20,'HETS Data'!A:E,5,FALSE)</f>
        <v>PORT ALBERNI</v>
      </c>
      <c r="J20">
        <f>VLOOKUP(I20,LocalAreas.csv!D:G,4,FALSE)</f>
        <v>200007</v>
      </c>
      <c r="K20" t="str">
        <f t="shared" si="4"/>
        <v>rg:{'id':'200007'}</v>
      </c>
      <c r="L20" t="str">
        <f t="shared" si="5"/>
        <v>CIRC</v>
      </c>
      <c r="N20">
        <f t="shared" ca="1" si="6"/>
        <v>13201</v>
      </c>
      <c r="O20" t="s">
        <v>5696</v>
      </c>
      <c r="P20" t="s">
        <v>326</v>
      </c>
      <c r="Q20">
        <f t="shared" ca="1" si="7"/>
        <v>732038</v>
      </c>
      <c r="R20" t="str">
        <f t="shared" ca="1" si="8"/>
        <v>2017-11-06</v>
      </c>
      <c r="S20" t="str">
        <f t="shared" ca="1" si="8"/>
        <v>2017-07-22</v>
      </c>
      <c r="T20" t="s">
        <v>6670</v>
      </c>
      <c r="U20" t="s">
        <v>76</v>
      </c>
      <c r="V20" t="s">
        <v>76</v>
      </c>
      <c r="W20" t="s">
        <v>76</v>
      </c>
      <c r="X20" t="s">
        <v>6517</v>
      </c>
      <c r="Y20" t="s">
        <v>6517</v>
      </c>
      <c r="Z20" t="s">
        <v>6517</v>
      </c>
      <c r="AA20" t="s">
        <v>6517</v>
      </c>
    </row>
    <row r="21" spans="1:27" x14ac:dyDescent="0.3">
      <c r="A21" t="s">
        <v>7</v>
      </c>
      <c r="B21" t="s">
        <v>3884</v>
      </c>
      <c r="C21">
        <f t="shared" si="1"/>
        <v>200019</v>
      </c>
      <c r="D21" t="s">
        <v>6670</v>
      </c>
      <c r="E21" t="str">
        <f t="shared" ca="1" si="0"/>
        <v>2005-05-14</v>
      </c>
      <c r="F21">
        <f>IFERROR(VLOOKUP(B21,Contacts.csv!C:D,2,FALSE),"")</f>
        <v>200019</v>
      </c>
      <c r="G21" t="str">
        <f t="shared" si="2"/>
        <v>rg:None</v>
      </c>
      <c r="H21" s="4" t="str">
        <f t="shared" si="3"/>
        <v>rg:[]</v>
      </c>
      <c r="I21" s="1" t="str">
        <f>VLOOKUP(B21,'HETS Data'!A:E,5,FALSE)</f>
        <v>PARKSVILLE/QUALICUM</v>
      </c>
      <c r="J21">
        <f>VLOOKUP(I21,LocalAreas.csv!D:G,4,FALSE)</f>
        <v>200006</v>
      </c>
      <c r="K21" t="str">
        <f t="shared" si="4"/>
        <v>rg:{'id':'200006'}</v>
      </c>
      <c r="L21" t="str">
        <f t="shared" si="5"/>
        <v>COCO</v>
      </c>
      <c r="N21">
        <f t="shared" ca="1" si="6"/>
        <v>14300</v>
      </c>
      <c r="O21" t="s">
        <v>5696</v>
      </c>
      <c r="P21" t="s">
        <v>326</v>
      </c>
      <c r="Q21">
        <f t="shared" ca="1" si="7"/>
        <v>732102</v>
      </c>
      <c r="R21" t="str">
        <f t="shared" ca="1" si="8"/>
        <v>2017-09-26</v>
      </c>
      <c r="S21" t="str">
        <f t="shared" ca="1" si="8"/>
        <v>2017-05-13</v>
      </c>
      <c r="T21" t="s">
        <v>6670</v>
      </c>
      <c r="U21" t="s">
        <v>76</v>
      </c>
      <c r="V21" t="s">
        <v>76</v>
      </c>
      <c r="W21" t="s">
        <v>76</v>
      </c>
      <c r="X21" t="s">
        <v>6517</v>
      </c>
      <c r="Y21" t="s">
        <v>6517</v>
      </c>
      <c r="Z21" t="s">
        <v>6517</v>
      </c>
      <c r="AA21" t="s">
        <v>6517</v>
      </c>
    </row>
    <row r="22" spans="1:27" x14ac:dyDescent="0.3">
      <c r="A22" t="s">
        <v>7</v>
      </c>
      <c r="B22" t="s">
        <v>4538</v>
      </c>
      <c r="C22">
        <f t="shared" si="1"/>
        <v>200020</v>
      </c>
      <c r="D22" t="s">
        <v>6670</v>
      </c>
      <c r="E22" t="str">
        <f t="shared" ca="1" si="0"/>
        <v>2015-02-08</v>
      </c>
      <c r="F22">
        <f>IFERROR(VLOOKUP(B22,Contacts.csv!C:D,2,FALSE),"")</f>
        <v>200020</v>
      </c>
      <c r="G22" t="str">
        <f t="shared" si="2"/>
        <v>rg:None</v>
      </c>
      <c r="H22" s="4" t="str">
        <f t="shared" si="3"/>
        <v>rg:[]</v>
      </c>
      <c r="I22" s="1" t="str">
        <f>VLOOKUP(B22,'HETS Data'!A:E,5,FALSE)</f>
        <v>KELOWNA ROAD MANAGEMENT AREA</v>
      </c>
      <c r="J22">
        <f>VLOOKUP(I22,LocalAreas.csv!D:G,4,FALSE)</f>
        <v>200070</v>
      </c>
      <c r="K22" t="str">
        <f t="shared" si="4"/>
        <v>rg:{'id':'200070'}</v>
      </c>
      <c r="L22" t="str">
        <f t="shared" si="5"/>
        <v>DAVE</v>
      </c>
      <c r="N22">
        <f t="shared" ca="1" si="6"/>
        <v>12674</v>
      </c>
      <c r="O22" t="s">
        <v>5696</v>
      </c>
      <c r="P22" t="s">
        <v>326</v>
      </c>
      <c r="Q22">
        <f t="shared" ca="1" si="7"/>
        <v>732182</v>
      </c>
      <c r="R22" t="str">
        <f t="shared" ca="1" si="8"/>
        <v>2017-06-15</v>
      </c>
      <c r="S22" t="str">
        <f t="shared" ca="1" si="8"/>
        <v>2017-09-05</v>
      </c>
      <c r="T22" t="s">
        <v>6670</v>
      </c>
      <c r="U22" t="s">
        <v>76</v>
      </c>
      <c r="V22" t="s">
        <v>76</v>
      </c>
      <c r="W22" t="s">
        <v>76</v>
      </c>
      <c r="X22" t="s">
        <v>6517</v>
      </c>
      <c r="Y22" t="s">
        <v>6517</v>
      </c>
      <c r="Z22" t="s">
        <v>6517</v>
      </c>
      <c r="AA22" t="s">
        <v>6517</v>
      </c>
    </row>
    <row r="23" spans="1:27" x14ac:dyDescent="0.3">
      <c r="A23" t="s">
        <v>7</v>
      </c>
      <c r="B23" t="s">
        <v>4401</v>
      </c>
      <c r="C23">
        <f t="shared" si="1"/>
        <v>200021</v>
      </c>
      <c r="D23" t="s">
        <v>6670</v>
      </c>
      <c r="E23" t="str">
        <f t="shared" ca="1" si="0"/>
        <v>2004-10-22</v>
      </c>
      <c r="F23">
        <f>IFERROR(VLOOKUP(B23,Contacts.csv!C:D,2,FALSE),"")</f>
        <v>200021</v>
      </c>
      <c r="G23" t="str">
        <f t="shared" si="2"/>
        <v>rg:None</v>
      </c>
      <c r="H23" s="4" t="str">
        <f t="shared" si="3"/>
        <v>rg:[]</v>
      </c>
      <c r="I23" s="1" t="str">
        <f>VLOOKUP(B23,'HETS Data'!A:E,5,FALSE)</f>
        <v>PORT HARDY</v>
      </c>
      <c r="J23">
        <f>VLOOKUP(I23,LocalAreas.csv!D:G,4,FALSE)</f>
        <v>200040</v>
      </c>
      <c r="K23" t="str">
        <f t="shared" si="4"/>
        <v>rg:{'id':'200040'}</v>
      </c>
      <c r="L23" t="str">
        <f t="shared" si="5"/>
        <v>DESM</v>
      </c>
      <c r="N23">
        <f t="shared" ca="1" si="6"/>
        <v>13073</v>
      </c>
      <c r="O23" t="s">
        <v>5696</v>
      </c>
      <c r="P23" t="s">
        <v>326</v>
      </c>
      <c r="Q23">
        <f t="shared" ca="1" si="7"/>
        <v>732018</v>
      </c>
      <c r="R23" t="str">
        <f t="shared" ca="1" si="8"/>
        <v>2017-03-30</v>
      </c>
      <c r="S23" t="str">
        <f t="shared" ca="1" si="8"/>
        <v>2017-11-04</v>
      </c>
      <c r="T23" t="s">
        <v>6670</v>
      </c>
      <c r="U23" t="s">
        <v>76</v>
      </c>
      <c r="V23" t="s">
        <v>76</v>
      </c>
      <c r="W23" t="s">
        <v>76</v>
      </c>
      <c r="X23" t="s">
        <v>6517</v>
      </c>
      <c r="Y23" t="s">
        <v>6517</v>
      </c>
      <c r="Z23" t="s">
        <v>6517</v>
      </c>
      <c r="AA23" t="s">
        <v>6517</v>
      </c>
    </row>
    <row r="24" spans="1:27" x14ac:dyDescent="0.3">
      <c r="A24" t="s">
        <v>7</v>
      </c>
      <c r="B24" t="s">
        <v>3650</v>
      </c>
      <c r="C24">
        <f t="shared" si="1"/>
        <v>200022</v>
      </c>
      <c r="D24" t="s">
        <v>6670</v>
      </c>
      <c r="E24" t="str">
        <f t="shared" ca="1" si="0"/>
        <v>2009-04-10</v>
      </c>
      <c r="F24">
        <f>IFERROR(VLOOKUP(B24,Contacts.csv!C:D,2,FALSE),"")</f>
        <v>200022</v>
      </c>
      <c r="G24" t="str">
        <f t="shared" si="2"/>
        <v>rg:None</v>
      </c>
      <c r="H24" s="4" t="str">
        <f t="shared" si="3"/>
        <v>rg:[]</v>
      </c>
      <c r="I24" s="1" t="str">
        <f>VLOOKUP(B24,'HETS Data'!A:E,5,FALSE)</f>
        <v>LOWER MAINLAND-SURREY/LANGLEY</v>
      </c>
      <c r="J24">
        <f>VLOOKUP(I24,LocalAreas.csv!D:G,4,FALSE)</f>
        <v>200029</v>
      </c>
      <c r="K24" t="str">
        <f t="shared" si="4"/>
        <v>rg:{'id':'200029'}</v>
      </c>
      <c r="L24" t="str">
        <f t="shared" si="5"/>
        <v>DEST</v>
      </c>
      <c r="N24">
        <f t="shared" ca="1" si="6"/>
        <v>14660</v>
      </c>
      <c r="O24" t="s">
        <v>5696</v>
      </c>
      <c r="P24" t="s">
        <v>326</v>
      </c>
      <c r="Q24">
        <f t="shared" ca="1" si="7"/>
        <v>732042</v>
      </c>
      <c r="R24" t="str">
        <f t="shared" ca="1" si="8"/>
        <v>2017-10-17</v>
      </c>
      <c r="S24" t="str">
        <f t="shared" ca="1" si="8"/>
        <v>2017-12-01</v>
      </c>
      <c r="T24" t="s">
        <v>6670</v>
      </c>
      <c r="U24" t="s">
        <v>76</v>
      </c>
      <c r="V24" t="s">
        <v>76</v>
      </c>
      <c r="W24" t="s">
        <v>76</v>
      </c>
      <c r="X24" t="s">
        <v>6517</v>
      </c>
      <c r="Y24" t="s">
        <v>6517</v>
      </c>
      <c r="Z24" t="s">
        <v>6517</v>
      </c>
      <c r="AA24" t="s">
        <v>6517</v>
      </c>
    </row>
    <row r="25" spans="1:27" x14ac:dyDescent="0.3">
      <c r="A25" t="s">
        <v>7</v>
      </c>
      <c r="B25" t="s">
        <v>3409</v>
      </c>
      <c r="C25">
        <f t="shared" si="1"/>
        <v>200023</v>
      </c>
      <c r="D25" t="s">
        <v>6672</v>
      </c>
      <c r="E25" t="str">
        <f t="shared" ca="1" si="0"/>
        <v>2013-08-22</v>
      </c>
      <c r="F25">
        <f>IFERROR(VLOOKUP(B25,Contacts.csv!C:D,2,FALSE),"")</f>
        <v>200023</v>
      </c>
      <c r="G25" t="str">
        <f t="shared" si="2"/>
        <v>rg:None</v>
      </c>
      <c r="H25" s="4" t="str">
        <f t="shared" si="3"/>
        <v>rg:[]</v>
      </c>
      <c r="I25" s="1" t="str">
        <f>VLOOKUP(B25,'HETS Data'!A:E,5,FALSE)</f>
        <v>LOWER MAINLAND-SURREY/LANGLEY</v>
      </c>
      <c r="J25">
        <f>VLOOKUP(I25,LocalAreas.csv!D:G,4,FALSE)</f>
        <v>200029</v>
      </c>
      <c r="K25" t="str">
        <f t="shared" si="4"/>
        <v>rg:{'id':'200029'}</v>
      </c>
      <c r="L25" t="str">
        <f t="shared" si="5"/>
        <v>EART</v>
      </c>
      <c r="N25">
        <f t="shared" ca="1" si="6"/>
        <v>12805</v>
      </c>
      <c r="O25" t="s">
        <v>5696</v>
      </c>
      <c r="P25" t="s">
        <v>326</v>
      </c>
      <c r="Q25">
        <f t="shared" ca="1" si="7"/>
        <v>732043</v>
      </c>
      <c r="R25" t="str">
        <f t="shared" ca="1" si="8"/>
        <v>2017-05-28</v>
      </c>
      <c r="S25" t="str">
        <f t="shared" ca="1" si="8"/>
        <v>2017-10-25</v>
      </c>
      <c r="T25" t="s">
        <v>6672</v>
      </c>
      <c r="U25" t="s">
        <v>76</v>
      </c>
      <c r="V25" t="s">
        <v>76</v>
      </c>
      <c r="W25" t="s">
        <v>76</v>
      </c>
      <c r="X25" t="s">
        <v>6517</v>
      </c>
      <c r="Y25" t="s">
        <v>6517</v>
      </c>
      <c r="Z25" t="s">
        <v>6517</v>
      </c>
      <c r="AA25" t="s">
        <v>6517</v>
      </c>
    </row>
    <row r="26" spans="1:27" x14ac:dyDescent="0.3">
      <c r="A26" t="s">
        <v>7</v>
      </c>
      <c r="B26" t="s">
        <v>3307</v>
      </c>
      <c r="C26">
        <f t="shared" si="1"/>
        <v>200024</v>
      </c>
      <c r="D26" t="s">
        <v>6670</v>
      </c>
      <c r="E26" t="str">
        <f t="shared" ca="1" si="0"/>
        <v>2009-12-13</v>
      </c>
      <c r="F26">
        <f>IFERROR(VLOOKUP(B26,Contacts.csv!C:D,2,FALSE),"")</f>
        <v>200024</v>
      </c>
      <c r="G26" t="str">
        <f t="shared" si="2"/>
        <v>rg:None</v>
      </c>
      <c r="H26" s="4" t="str">
        <f t="shared" si="3"/>
        <v>rg:[]</v>
      </c>
      <c r="I26" s="1" t="str">
        <f>VLOOKUP(B26,'HETS Data'!A:E,5,FALSE)</f>
        <v>PENTICTON RD. MANAGEMENT AREA</v>
      </c>
      <c r="J26">
        <f>VLOOKUP(I26,LocalAreas.csv!D:G,4,FALSE)</f>
        <v>200069</v>
      </c>
      <c r="K26" t="str">
        <f t="shared" si="4"/>
        <v>rg:{'id':'200069'}</v>
      </c>
      <c r="L26" t="str">
        <f t="shared" si="5"/>
        <v>EDWA</v>
      </c>
      <c r="M26" t="s">
        <v>6668</v>
      </c>
      <c r="N26">
        <f t="shared" ca="1" si="6"/>
        <v>18154</v>
      </c>
      <c r="O26" t="s">
        <v>5696</v>
      </c>
      <c r="P26" t="s">
        <v>326</v>
      </c>
      <c r="Q26">
        <f t="shared" ca="1" si="7"/>
        <v>732028</v>
      </c>
      <c r="R26" t="str">
        <f t="shared" ca="1" si="8"/>
        <v>2017-07-27</v>
      </c>
      <c r="S26" t="str">
        <f t="shared" ca="1" si="8"/>
        <v>2017-09-12</v>
      </c>
      <c r="T26" t="s">
        <v>6670</v>
      </c>
      <c r="U26" t="s">
        <v>76</v>
      </c>
      <c r="V26" t="s">
        <v>76</v>
      </c>
      <c r="W26" t="s">
        <v>76</v>
      </c>
      <c r="X26" t="s">
        <v>6517</v>
      </c>
      <c r="Y26" t="s">
        <v>6517</v>
      </c>
      <c r="Z26" t="s">
        <v>6517</v>
      </c>
      <c r="AA26" t="s">
        <v>6517</v>
      </c>
    </row>
    <row r="27" spans="1:27" x14ac:dyDescent="0.3">
      <c r="A27" t="s">
        <v>7</v>
      </c>
      <c r="B27" t="s">
        <v>4702</v>
      </c>
      <c r="C27">
        <f t="shared" si="1"/>
        <v>200025</v>
      </c>
      <c r="D27" t="s">
        <v>6670</v>
      </c>
      <c r="E27" t="str">
        <f t="shared" ca="1" si="0"/>
        <v>2015-04-21</v>
      </c>
      <c r="F27">
        <f>IFERROR(VLOOKUP(B27,Contacts.csv!C:D,2,FALSE),"")</f>
        <v>200025</v>
      </c>
      <c r="G27" t="str">
        <f t="shared" si="2"/>
        <v>rg:None</v>
      </c>
      <c r="H27" s="4" t="str">
        <f t="shared" si="3"/>
        <v>rg:[]</v>
      </c>
      <c r="I27" s="1" t="str">
        <f>VLOOKUP(B27,'HETS Data'!A:E,5,FALSE)</f>
        <v>LOWER MAINLAND-SURREY/LANGLEY</v>
      </c>
      <c r="J27">
        <f>VLOOKUP(I27,LocalAreas.csv!D:G,4,FALSE)</f>
        <v>200029</v>
      </c>
      <c r="K27" t="str">
        <f t="shared" si="4"/>
        <v>rg:{'id':'200029'}</v>
      </c>
      <c r="L27" t="str">
        <f t="shared" si="5"/>
        <v>ENVI</v>
      </c>
      <c r="M27" t="s">
        <v>6669</v>
      </c>
      <c r="N27">
        <f t="shared" ca="1" si="6"/>
        <v>10107</v>
      </c>
      <c r="O27" t="s">
        <v>5696</v>
      </c>
      <c r="P27" t="s">
        <v>326</v>
      </c>
      <c r="Q27">
        <f t="shared" ca="1" si="7"/>
        <v>732142</v>
      </c>
      <c r="R27" t="str">
        <f t="shared" ca="1" si="8"/>
        <v>2017-06-29</v>
      </c>
      <c r="S27" t="str">
        <f t="shared" ca="1" si="8"/>
        <v>2017-03-05</v>
      </c>
      <c r="T27" t="s">
        <v>6670</v>
      </c>
      <c r="U27" t="s">
        <v>76</v>
      </c>
      <c r="V27" t="s">
        <v>76</v>
      </c>
      <c r="W27" t="s">
        <v>76</v>
      </c>
      <c r="X27" t="s">
        <v>6517</v>
      </c>
      <c r="Y27" t="s">
        <v>6517</v>
      </c>
      <c r="Z27" t="s">
        <v>6517</v>
      </c>
      <c r="AA27" t="s">
        <v>6517</v>
      </c>
    </row>
    <row r="28" spans="1:27" x14ac:dyDescent="0.3">
      <c r="A28" t="s">
        <v>7</v>
      </c>
      <c r="B28" t="s">
        <v>3917</v>
      </c>
      <c r="C28">
        <f t="shared" si="1"/>
        <v>200026</v>
      </c>
      <c r="D28" t="s">
        <v>6670</v>
      </c>
      <c r="E28" t="str">
        <f t="shared" ca="1" si="0"/>
        <v>2012-07-04</v>
      </c>
      <c r="F28">
        <f>IFERROR(VLOOKUP(B28,Contacts.csv!C:D,2,FALSE),"")</f>
        <v>200026</v>
      </c>
      <c r="G28" t="str">
        <f t="shared" si="2"/>
        <v>rg:None</v>
      </c>
      <c r="H28" s="4" t="str">
        <f t="shared" si="3"/>
        <v>rg:[]</v>
      </c>
      <c r="I28" s="1" t="str">
        <f>VLOOKUP(B28,'HETS Data'!A:E,5,FALSE)</f>
        <v>PENTICTON RD. MANAGEMENT AREA</v>
      </c>
      <c r="J28">
        <f>VLOOKUP(I28,LocalAreas.csv!D:G,4,FALSE)</f>
        <v>200069</v>
      </c>
      <c r="K28" t="str">
        <f t="shared" si="4"/>
        <v>rg:{'id':'200069'}</v>
      </c>
      <c r="L28" t="str">
        <f t="shared" si="5"/>
        <v>FAMI</v>
      </c>
      <c r="N28">
        <f t="shared" ca="1" si="6"/>
        <v>12524</v>
      </c>
      <c r="O28" t="s">
        <v>5696</v>
      </c>
      <c r="P28" t="s">
        <v>326</v>
      </c>
      <c r="Q28">
        <f t="shared" ca="1" si="7"/>
        <v>732042</v>
      </c>
      <c r="R28" t="str">
        <f t="shared" ca="1" si="8"/>
        <v>2017-09-11</v>
      </c>
      <c r="S28" t="str">
        <f t="shared" ca="1" si="8"/>
        <v>2017-12-13</v>
      </c>
      <c r="T28" t="s">
        <v>6670</v>
      </c>
      <c r="U28" t="s">
        <v>76</v>
      </c>
      <c r="V28" t="s">
        <v>76</v>
      </c>
      <c r="W28" t="s">
        <v>76</v>
      </c>
      <c r="X28" t="s">
        <v>6517</v>
      </c>
      <c r="Y28" t="s">
        <v>6517</v>
      </c>
      <c r="Z28" t="s">
        <v>6517</v>
      </c>
      <c r="AA28" t="s">
        <v>6517</v>
      </c>
    </row>
    <row r="29" spans="1:27" x14ac:dyDescent="0.3">
      <c r="A29" t="s">
        <v>7</v>
      </c>
      <c r="B29" t="s">
        <v>4342</v>
      </c>
      <c r="C29">
        <f t="shared" si="1"/>
        <v>200027</v>
      </c>
      <c r="D29" t="s">
        <v>6670</v>
      </c>
      <c r="E29" t="str">
        <f t="shared" ca="1" si="0"/>
        <v>2005-08-12</v>
      </c>
      <c r="F29">
        <f>IFERROR(VLOOKUP(B29,Contacts.csv!C:D,2,FALSE),"")</f>
        <v>200027</v>
      </c>
      <c r="G29" t="str">
        <f t="shared" si="2"/>
        <v>rg:None</v>
      </c>
      <c r="H29" s="4" t="str">
        <f t="shared" si="3"/>
        <v>rg:[]</v>
      </c>
      <c r="I29" s="1" t="str">
        <f>VLOOKUP(B29,'HETS Data'!A:E,5,FALSE)</f>
        <v>LOWER MAINLAND-SURREY/LANGLEY</v>
      </c>
      <c r="J29">
        <f>VLOOKUP(I29,LocalAreas.csv!D:G,4,FALSE)</f>
        <v>200029</v>
      </c>
      <c r="K29" t="str">
        <f t="shared" si="4"/>
        <v>rg:{'id':'200029'}</v>
      </c>
      <c r="L29" t="str">
        <f t="shared" si="5"/>
        <v>FIRS</v>
      </c>
      <c r="N29">
        <f t="shared" ca="1" si="6"/>
        <v>13038</v>
      </c>
      <c r="O29" t="s">
        <v>5696</v>
      </c>
      <c r="P29" t="s">
        <v>326</v>
      </c>
      <c r="Q29">
        <f t="shared" ca="1" si="7"/>
        <v>732145</v>
      </c>
      <c r="R29" t="str">
        <f t="shared" ca="1" si="8"/>
        <v>2018-02-06</v>
      </c>
      <c r="S29" t="str">
        <f t="shared" ca="1" si="8"/>
        <v>2017-08-26</v>
      </c>
      <c r="T29" t="s">
        <v>6670</v>
      </c>
      <c r="U29" t="s">
        <v>76</v>
      </c>
      <c r="V29" t="s">
        <v>76</v>
      </c>
      <c r="W29" t="s">
        <v>76</v>
      </c>
      <c r="X29" t="s">
        <v>6517</v>
      </c>
      <c r="Y29" t="s">
        <v>6517</v>
      </c>
      <c r="Z29" t="s">
        <v>6517</v>
      </c>
      <c r="AA29" t="s">
        <v>6517</v>
      </c>
    </row>
    <row r="30" spans="1:27" x14ac:dyDescent="0.3">
      <c r="A30" t="s">
        <v>7</v>
      </c>
      <c r="B30" t="s">
        <v>4480</v>
      </c>
      <c r="C30">
        <f t="shared" si="1"/>
        <v>200028</v>
      </c>
      <c r="D30" t="s">
        <v>6670</v>
      </c>
      <c r="E30" t="str">
        <f t="shared" ca="1" si="0"/>
        <v>2008-01-22</v>
      </c>
      <c r="F30">
        <f>IFERROR(VLOOKUP(B30,Contacts.csv!C:D,2,FALSE),"")</f>
        <v>200028</v>
      </c>
      <c r="G30" t="str">
        <f t="shared" si="2"/>
        <v>rg:None</v>
      </c>
      <c r="H30" s="4" t="str">
        <f t="shared" si="3"/>
        <v>rg:[]</v>
      </c>
      <c r="I30" s="1" t="str">
        <f>VLOOKUP(B30,'HETS Data'!A:E,5,FALSE)</f>
        <v>PENTICTON RD. MANAGEMENT AREA</v>
      </c>
      <c r="J30">
        <f>VLOOKUP(I30,LocalAreas.csv!D:G,4,FALSE)</f>
        <v>200069</v>
      </c>
      <c r="K30" t="str">
        <f t="shared" si="4"/>
        <v>rg:{'id':'200069'}</v>
      </c>
      <c r="L30" t="str">
        <f t="shared" si="5"/>
        <v>FISH</v>
      </c>
      <c r="N30">
        <f t="shared" ca="1" si="6"/>
        <v>12031</v>
      </c>
      <c r="O30" t="s">
        <v>5696</v>
      </c>
      <c r="P30" t="s">
        <v>326</v>
      </c>
      <c r="Q30">
        <f t="shared" ca="1" si="7"/>
        <v>732107</v>
      </c>
      <c r="R30" t="str">
        <f t="shared" ca="1" si="8"/>
        <v>2017-11-23</v>
      </c>
      <c r="S30" t="str">
        <f t="shared" ca="1" si="8"/>
        <v>2017-06-28</v>
      </c>
      <c r="T30" t="s">
        <v>6670</v>
      </c>
      <c r="U30" t="s">
        <v>76</v>
      </c>
      <c r="V30" t="s">
        <v>76</v>
      </c>
      <c r="W30" t="s">
        <v>76</v>
      </c>
      <c r="X30" t="s">
        <v>6517</v>
      </c>
      <c r="Y30" t="s">
        <v>6517</v>
      </c>
      <c r="Z30" t="s">
        <v>6517</v>
      </c>
      <c r="AA30" t="s">
        <v>6517</v>
      </c>
    </row>
    <row r="31" spans="1:27" x14ac:dyDescent="0.3">
      <c r="A31" t="s">
        <v>7</v>
      </c>
      <c r="B31" t="s">
        <v>3854</v>
      </c>
      <c r="C31">
        <f t="shared" si="1"/>
        <v>200029</v>
      </c>
      <c r="D31" t="s">
        <v>6670</v>
      </c>
      <c r="E31" t="str">
        <f t="shared" ca="1" si="0"/>
        <v>2007-03-23</v>
      </c>
      <c r="F31">
        <f>IFERROR(VLOOKUP(B31,Contacts.csv!C:D,2,FALSE),"")</f>
        <v>200029</v>
      </c>
      <c r="G31" t="str">
        <f t="shared" si="2"/>
        <v>rg:None</v>
      </c>
      <c r="H31" s="4" t="str">
        <f t="shared" si="3"/>
        <v>rg:[]</v>
      </c>
      <c r="I31" s="1" t="str">
        <f>VLOOKUP(B31,'HETS Data'!A:E,5,FALSE)</f>
        <v>COURTENAY</v>
      </c>
      <c r="J31">
        <f>VLOOKUP(I31,LocalAreas.csv!D:G,4,FALSE)</f>
        <v>200038</v>
      </c>
      <c r="K31" t="str">
        <f t="shared" si="4"/>
        <v>rg:{'id':'200038'}</v>
      </c>
      <c r="L31" t="str">
        <f t="shared" si="5"/>
        <v>FOOT</v>
      </c>
      <c r="N31">
        <f t="shared" ca="1" si="6"/>
        <v>18977</v>
      </c>
      <c r="O31" t="s">
        <v>5696</v>
      </c>
      <c r="P31" t="s">
        <v>326</v>
      </c>
      <c r="Q31">
        <f t="shared" ca="1" si="7"/>
        <v>732183</v>
      </c>
      <c r="R31" t="str">
        <f t="shared" ca="1" si="8"/>
        <v>2017-05-01</v>
      </c>
      <c r="S31" t="str">
        <f t="shared" ca="1" si="8"/>
        <v>2017-11-26</v>
      </c>
      <c r="T31" t="s">
        <v>6670</v>
      </c>
      <c r="U31" t="s">
        <v>76</v>
      </c>
      <c r="V31" t="s">
        <v>76</v>
      </c>
      <c r="W31" t="s">
        <v>76</v>
      </c>
      <c r="X31" t="s">
        <v>6517</v>
      </c>
      <c r="Y31" t="s">
        <v>6517</v>
      </c>
      <c r="Z31" t="s">
        <v>6517</v>
      </c>
      <c r="AA31" t="s">
        <v>6517</v>
      </c>
    </row>
    <row r="32" spans="1:27" x14ac:dyDescent="0.3">
      <c r="A32" t="s">
        <v>7</v>
      </c>
      <c r="B32" t="s">
        <v>3424</v>
      </c>
      <c r="C32">
        <f t="shared" si="1"/>
        <v>200030</v>
      </c>
      <c r="D32" t="s">
        <v>6670</v>
      </c>
      <c r="E32" t="str">
        <f t="shared" ca="1" si="0"/>
        <v>2004-08-04</v>
      </c>
      <c r="F32">
        <f>IFERROR(VLOOKUP(B32,Contacts.csv!C:D,2,FALSE),"")</f>
        <v>200030</v>
      </c>
      <c r="G32" t="str">
        <f t="shared" si="2"/>
        <v>rg:None</v>
      </c>
      <c r="H32" s="4" t="str">
        <f t="shared" si="3"/>
        <v>rg:[]</v>
      </c>
      <c r="I32" s="1" t="str">
        <f>VLOOKUP(B32,'HETS Data'!A:E,5,FALSE)</f>
        <v>PENTICTON RD. MANAGEMENT AREA</v>
      </c>
      <c r="J32">
        <f>VLOOKUP(I32,LocalAreas.csv!D:G,4,FALSE)</f>
        <v>200069</v>
      </c>
      <c r="K32" t="str">
        <f t="shared" si="4"/>
        <v>rg:{'id':'200069'}</v>
      </c>
      <c r="L32" t="str">
        <f t="shared" si="5"/>
        <v>GAMM</v>
      </c>
      <c r="N32">
        <f t="shared" ca="1" si="6"/>
        <v>13776</v>
      </c>
      <c r="O32" t="s">
        <v>5696</v>
      </c>
      <c r="P32" t="s">
        <v>326</v>
      </c>
      <c r="Q32">
        <f t="shared" ca="1" si="7"/>
        <v>732015</v>
      </c>
      <c r="R32" t="str">
        <f t="shared" ca="1" si="8"/>
        <v>2017-12-18</v>
      </c>
      <c r="S32" t="str">
        <f t="shared" ca="1" si="8"/>
        <v>2017-11-17</v>
      </c>
      <c r="T32" t="s">
        <v>6670</v>
      </c>
      <c r="U32" t="s">
        <v>76</v>
      </c>
      <c r="V32" t="s">
        <v>76</v>
      </c>
      <c r="W32" t="s">
        <v>76</v>
      </c>
      <c r="X32" t="s">
        <v>6517</v>
      </c>
      <c r="Y32" t="s">
        <v>6517</v>
      </c>
      <c r="Z32" t="s">
        <v>6517</v>
      </c>
      <c r="AA32" t="s">
        <v>6517</v>
      </c>
    </row>
    <row r="33" spans="1:27" x14ac:dyDescent="0.3">
      <c r="A33" t="s">
        <v>7</v>
      </c>
      <c r="B33" t="s">
        <v>4292</v>
      </c>
      <c r="C33">
        <f t="shared" si="1"/>
        <v>200031</v>
      </c>
      <c r="D33" t="s">
        <v>6670</v>
      </c>
      <c r="E33" t="str">
        <f t="shared" ca="1" si="0"/>
        <v>2013-12-26</v>
      </c>
      <c r="F33">
        <f>IFERROR(VLOOKUP(B33,Contacts.csv!C:D,2,FALSE),"")</f>
        <v>200031</v>
      </c>
      <c r="G33" t="str">
        <f t="shared" si="2"/>
        <v>rg:None</v>
      </c>
      <c r="H33" s="4" t="str">
        <f t="shared" si="3"/>
        <v>rg:[]</v>
      </c>
      <c r="I33" s="1" t="str">
        <f>VLOOKUP(B33,'HETS Data'!A:E,5,FALSE)</f>
        <v>LAKE COWICHAN</v>
      </c>
      <c r="J33">
        <f>VLOOKUP(I33,LocalAreas.csv!D:G,4,FALSE)</f>
        <v>200065</v>
      </c>
      <c r="K33" t="str">
        <f t="shared" si="4"/>
        <v>rg:{'id':'200065'}</v>
      </c>
      <c r="L33" t="str">
        <f t="shared" si="5"/>
        <v>GARD</v>
      </c>
      <c r="N33">
        <f t="shared" ca="1" si="6"/>
        <v>11038</v>
      </c>
      <c r="O33" t="s">
        <v>5696</v>
      </c>
      <c r="P33" t="s">
        <v>326</v>
      </c>
      <c r="Q33">
        <f t="shared" ca="1" si="7"/>
        <v>732171</v>
      </c>
      <c r="R33" t="str">
        <f t="shared" ca="1" si="8"/>
        <v>2017-04-26</v>
      </c>
      <c r="S33" t="str">
        <f t="shared" ca="1" si="8"/>
        <v>2017-07-09</v>
      </c>
      <c r="T33" t="s">
        <v>6670</v>
      </c>
      <c r="U33" t="s">
        <v>76</v>
      </c>
      <c r="V33" t="s">
        <v>76</v>
      </c>
      <c r="W33" t="s">
        <v>76</v>
      </c>
      <c r="X33" t="s">
        <v>6517</v>
      </c>
      <c r="Y33" t="s">
        <v>6517</v>
      </c>
      <c r="Z33" t="s">
        <v>6517</v>
      </c>
      <c r="AA33" t="s">
        <v>6517</v>
      </c>
    </row>
    <row r="34" spans="1:27" x14ac:dyDescent="0.3">
      <c r="A34" t="s">
        <v>7</v>
      </c>
      <c r="B34" t="s">
        <v>3456</v>
      </c>
      <c r="C34">
        <f t="shared" si="1"/>
        <v>200032</v>
      </c>
      <c r="D34" t="s">
        <v>6670</v>
      </c>
      <c r="E34" t="str">
        <f t="shared" ca="1" si="0"/>
        <v>2010-08-02</v>
      </c>
      <c r="F34">
        <f>IFERROR(VLOOKUP(B34,Contacts.csv!C:D,2,FALSE),"")</f>
        <v>200032</v>
      </c>
      <c r="G34" t="str">
        <f t="shared" si="2"/>
        <v>rg:None</v>
      </c>
      <c r="H34" s="4" t="str">
        <f t="shared" si="3"/>
        <v>rg:[]</v>
      </c>
      <c r="I34" s="1" t="str">
        <f>VLOOKUP(B34,'HETS Data'!A:E,5,FALSE)</f>
        <v>KELOWNA ROAD MANAGEMENT AREA</v>
      </c>
      <c r="J34">
        <f>VLOOKUP(I34,LocalAreas.csv!D:G,4,FALSE)</f>
        <v>200070</v>
      </c>
      <c r="K34" t="str">
        <f t="shared" si="4"/>
        <v>rg:{'id':'200070'}</v>
      </c>
      <c r="L34" t="str">
        <f t="shared" si="5"/>
        <v>GASD</v>
      </c>
      <c r="N34">
        <f t="shared" ca="1" si="6"/>
        <v>15619</v>
      </c>
      <c r="O34" t="s">
        <v>326</v>
      </c>
      <c r="P34" t="s">
        <v>326</v>
      </c>
      <c r="Q34">
        <f t="shared" ca="1" si="7"/>
        <v>732198</v>
      </c>
      <c r="R34" t="str">
        <f t="shared" ca="1" si="8"/>
        <v>2017-09-17</v>
      </c>
      <c r="S34" t="str">
        <f t="shared" ca="1" si="8"/>
        <v>2017-08-27</v>
      </c>
      <c r="T34" t="s">
        <v>6670</v>
      </c>
      <c r="U34" t="s">
        <v>76</v>
      </c>
      <c r="V34" t="s">
        <v>76</v>
      </c>
      <c r="W34" t="s">
        <v>76</v>
      </c>
      <c r="X34" t="s">
        <v>6517</v>
      </c>
      <c r="Y34" t="s">
        <v>6517</v>
      </c>
      <c r="Z34" t="s">
        <v>6517</v>
      </c>
      <c r="AA34" t="s">
        <v>6517</v>
      </c>
    </row>
    <row r="35" spans="1:27" x14ac:dyDescent="0.3">
      <c r="A35" t="s">
        <v>7</v>
      </c>
      <c r="B35" t="s">
        <v>4009</v>
      </c>
      <c r="C35">
        <f t="shared" si="1"/>
        <v>200033</v>
      </c>
      <c r="D35" t="s">
        <v>6670</v>
      </c>
      <c r="E35" t="str">
        <f t="shared" ca="1" si="0"/>
        <v>2009-01-07</v>
      </c>
      <c r="F35">
        <f>IFERROR(VLOOKUP(B35,Contacts.csv!C:D,2,FALSE),"")</f>
        <v>200033</v>
      </c>
      <c r="G35" t="str">
        <f t="shared" si="2"/>
        <v>rg:None</v>
      </c>
      <c r="H35" s="4" t="str">
        <f t="shared" si="3"/>
        <v>rg:[]</v>
      </c>
      <c r="I35" s="1" t="str">
        <f>VLOOKUP(B35,'HETS Data'!A:E,5,FALSE)</f>
        <v>LOWER MAINLAND-SURREY/LANGLEY</v>
      </c>
      <c r="J35">
        <f>VLOOKUP(I35,LocalAreas.csv!D:G,4,FALSE)</f>
        <v>200029</v>
      </c>
      <c r="K35" t="str">
        <f t="shared" si="4"/>
        <v>rg:{'id':'200029'}</v>
      </c>
      <c r="L35" t="str">
        <f t="shared" si="5"/>
        <v>GERI</v>
      </c>
      <c r="N35">
        <f t="shared" ca="1" si="6"/>
        <v>14625</v>
      </c>
      <c r="O35" t="s">
        <v>5696</v>
      </c>
      <c r="P35" t="s">
        <v>326</v>
      </c>
      <c r="Q35">
        <f t="shared" ca="1" si="7"/>
        <v>732079</v>
      </c>
      <c r="R35" t="str">
        <f t="shared" ca="1" si="8"/>
        <v>2017-05-13</v>
      </c>
      <c r="S35" t="str">
        <f t="shared" ca="1" si="8"/>
        <v>2017-10-07</v>
      </c>
      <c r="T35" t="s">
        <v>6670</v>
      </c>
      <c r="U35" t="s">
        <v>76</v>
      </c>
      <c r="V35" t="s">
        <v>76</v>
      </c>
      <c r="W35" t="s">
        <v>76</v>
      </c>
      <c r="X35" t="s">
        <v>6517</v>
      </c>
      <c r="Y35" t="s">
        <v>6517</v>
      </c>
      <c r="Z35" t="s">
        <v>6517</v>
      </c>
      <c r="AA35" t="s">
        <v>6517</v>
      </c>
    </row>
    <row r="36" spans="1:27" x14ac:dyDescent="0.3">
      <c r="A36" t="s">
        <v>7</v>
      </c>
      <c r="B36" t="s">
        <v>3325</v>
      </c>
      <c r="C36">
        <f t="shared" si="1"/>
        <v>200034</v>
      </c>
      <c r="D36" t="s">
        <v>6670</v>
      </c>
      <c r="E36" t="str">
        <f t="shared" ca="1" si="0"/>
        <v>2014-10-04</v>
      </c>
      <c r="F36">
        <f>IFERROR(VLOOKUP(B36,Contacts.csv!C:D,2,FALSE),"")</f>
        <v>200034</v>
      </c>
      <c r="G36" t="str">
        <f t="shared" si="2"/>
        <v>rg:None</v>
      </c>
      <c r="H36" s="4" t="str">
        <f t="shared" si="3"/>
        <v>rg:[]</v>
      </c>
      <c r="I36" s="1" t="str">
        <f>VLOOKUP(B36,'HETS Data'!A:E,5,FALSE)</f>
        <v>PARKSVILLE/QUALICUM</v>
      </c>
      <c r="J36">
        <f>VLOOKUP(I36,LocalAreas.csv!D:G,4,FALSE)</f>
        <v>200006</v>
      </c>
      <c r="K36" t="str">
        <f t="shared" si="4"/>
        <v>rg:{'id':'200006'}</v>
      </c>
      <c r="L36" t="str">
        <f t="shared" si="5"/>
        <v>GRAS</v>
      </c>
      <c r="N36">
        <f t="shared" ca="1" si="6"/>
        <v>12657</v>
      </c>
      <c r="O36" t="s">
        <v>5696</v>
      </c>
      <c r="P36" t="s">
        <v>326</v>
      </c>
      <c r="Q36">
        <f t="shared" ca="1" si="7"/>
        <v>732183</v>
      </c>
      <c r="R36" t="str">
        <f t="shared" ca="1" si="8"/>
        <v>2017-06-13</v>
      </c>
      <c r="S36" t="str">
        <f t="shared" ca="1" si="8"/>
        <v>2018-01-10</v>
      </c>
      <c r="T36" t="s">
        <v>6670</v>
      </c>
      <c r="U36" t="s">
        <v>76</v>
      </c>
      <c r="V36" t="s">
        <v>76</v>
      </c>
      <c r="W36" t="s">
        <v>76</v>
      </c>
      <c r="X36" t="s">
        <v>6517</v>
      </c>
      <c r="Y36" t="s">
        <v>6517</v>
      </c>
      <c r="Z36" t="s">
        <v>6517</v>
      </c>
      <c r="AA36" t="s">
        <v>6517</v>
      </c>
    </row>
    <row r="37" spans="1:27" x14ac:dyDescent="0.3">
      <c r="A37" t="s">
        <v>7</v>
      </c>
      <c r="B37" t="s">
        <v>4069</v>
      </c>
      <c r="C37">
        <f t="shared" si="1"/>
        <v>200035</v>
      </c>
      <c r="D37" t="s">
        <v>6670</v>
      </c>
      <c r="E37" t="str">
        <f t="shared" ca="1" si="0"/>
        <v>2007-05-14</v>
      </c>
      <c r="F37">
        <f>IFERROR(VLOOKUP(B37,Contacts.csv!C:D,2,FALSE),"")</f>
        <v>200035</v>
      </c>
      <c r="G37" t="str">
        <f t="shared" si="2"/>
        <v>rg:None</v>
      </c>
      <c r="H37" s="4" t="str">
        <f t="shared" si="3"/>
        <v>rg:[]</v>
      </c>
      <c r="I37" s="1" t="str">
        <f>VLOOKUP(B37,'HETS Data'!A:E,5,FALSE)</f>
        <v>LOWER MAINLAND-SURREY/LANGLEY</v>
      </c>
      <c r="J37">
        <f>VLOOKUP(I37,LocalAreas.csv!D:G,4,FALSE)</f>
        <v>200029</v>
      </c>
      <c r="K37" t="str">
        <f t="shared" si="4"/>
        <v>rg:{'id':'200029'}</v>
      </c>
      <c r="L37" t="str">
        <f t="shared" si="5"/>
        <v>GREA</v>
      </c>
      <c r="N37">
        <f t="shared" ca="1" si="6"/>
        <v>15933</v>
      </c>
      <c r="O37" t="s">
        <v>5696</v>
      </c>
      <c r="P37" t="s">
        <v>326</v>
      </c>
      <c r="Q37">
        <f t="shared" ca="1" si="7"/>
        <v>732123</v>
      </c>
      <c r="R37" t="str">
        <f t="shared" ca="1" si="8"/>
        <v>2017-03-23</v>
      </c>
      <c r="S37" t="str">
        <f t="shared" ca="1" si="8"/>
        <v>2017-04-09</v>
      </c>
      <c r="T37" t="s">
        <v>6670</v>
      </c>
      <c r="U37" t="s">
        <v>76</v>
      </c>
      <c r="V37" t="s">
        <v>76</v>
      </c>
      <c r="W37" t="s">
        <v>76</v>
      </c>
      <c r="X37" t="s">
        <v>6517</v>
      </c>
      <c r="Y37" t="s">
        <v>6517</v>
      </c>
      <c r="Z37" t="s">
        <v>6517</v>
      </c>
      <c r="AA37" t="s">
        <v>6517</v>
      </c>
    </row>
    <row r="38" spans="1:27" x14ac:dyDescent="0.3">
      <c r="A38" t="s">
        <v>7</v>
      </c>
      <c r="B38" t="s">
        <v>3554</v>
      </c>
      <c r="C38">
        <f t="shared" si="1"/>
        <v>200036</v>
      </c>
      <c r="D38" t="s">
        <v>6670</v>
      </c>
      <c r="E38" t="str">
        <f t="shared" ca="1" si="0"/>
        <v>2014-05-15</v>
      </c>
      <c r="F38">
        <f>IFERROR(VLOOKUP(B38,Contacts.csv!C:D,2,FALSE),"")</f>
        <v>200036</v>
      </c>
      <c r="G38" t="str">
        <f t="shared" si="2"/>
        <v>rg:None</v>
      </c>
      <c r="H38" s="4" t="str">
        <f t="shared" si="3"/>
        <v>rg:[]</v>
      </c>
      <c r="I38" s="1" t="str">
        <f>VLOOKUP(B38,'HETS Data'!A:E,5,FALSE)</f>
        <v>COURTENAY</v>
      </c>
      <c r="J38">
        <f>VLOOKUP(I38,LocalAreas.csv!D:G,4,FALSE)</f>
        <v>200038</v>
      </c>
      <c r="K38" t="str">
        <f t="shared" si="4"/>
        <v>rg:{'id':'200038'}</v>
      </c>
      <c r="L38" t="str">
        <f t="shared" si="5"/>
        <v>HAPP</v>
      </c>
      <c r="N38">
        <f t="shared" ca="1" si="6"/>
        <v>14619</v>
      </c>
      <c r="O38" t="s">
        <v>5696</v>
      </c>
      <c r="P38" t="s">
        <v>326</v>
      </c>
      <c r="Q38">
        <f t="shared" ca="1" si="7"/>
        <v>732061</v>
      </c>
      <c r="R38" t="str">
        <f t="shared" ca="1" si="8"/>
        <v>2017-12-10</v>
      </c>
      <c r="S38" t="str">
        <f t="shared" ca="1" si="8"/>
        <v>2017-03-21</v>
      </c>
      <c r="T38" t="s">
        <v>6670</v>
      </c>
      <c r="U38" t="s">
        <v>76</v>
      </c>
      <c r="V38" t="s">
        <v>76</v>
      </c>
      <c r="W38" t="s">
        <v>76</v>
      </c>
      <c r="X38" t="s">
        <v>6517</v>
      </c>
      <c r="Y38" t="s">
        <v>6517</v>
      </c>
      <c r="Z38" t="s">
        <v>6517</v>
      </c>
      <c r="AA38" t="s">
        <v>6517</v>
      </c>
    </row>
    <row r="39" spans="1:27" x14ac:dyDescent="0.3">
      <c r="A39" t="s">
        <v>7</v>
      </c>
      <c r="B39" t="s">
        <v>3255</v>
      </c>
      <c r="C39">
        <f t="shared" si="1"/>
        <v>200037</v>
      </c>
      <c r="D39" t="s">
        <v>6670</v>
      </c>
      <c r="E39" t="str">
        <f t="shared" ca="1" si="0"/>
        <v>2005-03-20</v>
      </c>
      <c r="F39">
        <f>IFERROR(VLOOKUP(B39,Contacts.csv!C:D,2,FALSE),"")</f>
        <v>200037</v>
      </c>
      <c r="G39" t="str">
        <f t="shared" si="2"/>
        <v>rg:None</v>
      </c>
      <c r="H39" s="4" t="str">
        <f t="shared" si="3"/>
        <v>rg:[]</v>
      </c>
      <c r="I39" s="1" t="str">
        <f>VLOOKUP(B39,'HETS Data'!A:E,5,FALSE)</f>
        <v>WESTERN COMMUNITIES</v>
      </c>
      <c r="J39">
        <f>VLOOKUP(I39,LocalAreas.csv!D:G,4,FALSE)</f>
        <v>200068</v>
      </c>
      <c r="K39" t="str">
        <f t="shared" si="4"/>
        <v>rg:{'id':'200068'}</v>
      </c>
      <c r="L39" t="str">
        <f t="shared" si="5"/>
        <v>HARO</v>
      </c>
      <c r="N39">
        <f t="shared" ca="1" si="6"/>
        <v>17059</v>
      </c>
      <c r="O39" t="s">
        <v>5696</v>
      </c>
      <c r="P39" t="s">
        <v>326</v>
      </c>
      <c r="Q39">
        <f t="shared" ca="1" si="7"/>
        <v>732141</v>
      </c>
      <c r="R39" t="str">
        <f t="shared" ca="1" si="8"/>
        <v>2017-07-20</v>
      </c>
      <c r="S39" t="str">
        <f t="shared" ca="1" si="8"/>
        <v>2018-01-16</v>
      </c>
      <c r="T39" t="s">
        <v>6670</v>
      </c>
      <c r="U39" t="s">
        <v>76</v>
      </c>
      <c r="V39" t="s">
        <v>76</v>
      </c>
      <c r="W39" t="s">
        <v>76</v>
      </c>
      <c r="X39" t="s">
        <v>6517</v>
      </c>
      <c r="Y39" t="s">
        <v>6517</v>
      </c>
      <c r="Z39" t="s">
        <v>6517</v>
      </c>
      <c r="AA39" t="s">
        <v>6517</v>
      </c>
    </row>
    <row r="40" spans="1:27" x14ac:dyDescent="0.3">
      <c r="A40" t="s">
        <v>7</v>
      </c>
      <c r="B40" t="s">
        <v>3168</v>
      </c>
      <c r="C40">
        <f t="shared" si="1"/>
        <v>200038</v>
      </c>
      <c r="D40" t="s">
        <v>6670</v>
      </c>
      <c r="E40" t="str">
        <f t="shared" ca="1" si="0"/>
        <v>2015-10-28</v>
      </c>
      <c r="F40">
        <f>IFERROR(VLOOKUP(B40,Contacts.csv!C:D,2,FALSE),"")</f>
        <v>200038</v>
      </c>
      <c r="G40" t="str">
        <f t="shared" si="2"/>
        <v>rg:None</v>
      </c>
      <c r="H40" s="4" t="str">
        <f t="shared" si="3"/>
        <v>rg:[]</v>
      </c>
      <c r="I40" s="1" t="str">
        <f>VLOOKUP(B40,'HETS Data'!A:E,5,FALSE)</f>
        <v>PARKSVILLE/QUALICUM</v>
      </c>
      <c r="J40">
        <f>VLOOKUP(I40,LocalAreas.csv!D:G,4,FALSE)</f>
        <v>200006</v>
      </c>
      <c r="K40" t="str">
        <f t="shared" si="4"/>
        <v>rg:{'id':'200006'}</v>
      </c>
      <c r="L40" t="str">
        <f t="shared" si="5"/>
        <v>HENR</v>
      </c>
      <c r="N40">
        <f t="shared" ca="1" si="6"/>
        <v>11011</v>
      </c>
      <c r="O40" t="s">
        <v>5696</v>
      </c>
      <c r="P40" t="s">
        <v>326</v>
      </c>
      <c r="Q40">
        <f t="shared" ca="1" si="7"/>
        <v>732146</v>
      </c>
      <c r="R40" t="str">
        <f t="shared" ca="1" si="8"/>
        <v>2017-05-30</v>
      </c>
      <c r="S40" t="str">
        <f t="shared" ca="1" si="8"/>
        <v>2017-05-23</v>
      </c>
      <c r="T40" t="s">
        <v>6670</v>
      </c>
      <c r="U40" t="s">
        <v>76</v>
      </c>
      <c r="V40" t="s">
        <v>76</v>
      </c>
      <c r="W40" t="s">
        <v>76</v>
      </c>
      <c r="X40" t="s">
        <v>6517</v>
      </c>
      <c r="Y40" t="s">
        <v>6517</v>
      </c>
      <c r="Z40" t="s">
        <v>6517</v>
      </c>
      <c r="AA40" t="s">
        <v>6517</v>
      </c>
    </row>
    <row r="41" spans="1:27" x14ac:dyDescent="0.3">
      <c r="A41" t="s">
        <v>7</v>
      </c>
      <c r="B41" t="s">
        <v>4552</v>
      </c>
      <c r="C41">
        <f t="shared" si="1"/>
        <v>200039</v>
      </c>
      <c r="D41" t="s">
        <v>6670</v>
      </c>
      <c r="E41" t="str">
        <f t="shared" ca="1" si="0"/>
        <v>2012-07-27</v>
      </c>
      <c r="F41">
        <f>IFERROR(VLOOKUP(B41,Contacts.csv!C:D,2,FALSE),"")</f>
        <v>200039</v>
      </c>
      <c r="G41" t="str">
        <f t="shared" si="2"/>
        <v>rg:None</v>
      </c>
      <c r="H41" s="4" t="str">
        <f t="shared" si="3"/>
        <v>rg:[]</v>
      </c>
      <c r="I41" s="1" t="str">
        <f>VLOOKUP(B41,'HETS Data'!A:E,5,FALSE)</f>
        <v>POWELL RIVER</v>
      </c>
      <c r="J41">
        <f>VLOOKUP(I41,LocalAreas.csv!D:G,4,FALSE)</f>
        <v>200081</v>
      </c>
      <c r="K41" t="str">
        <f t="shared" si="4"/>
        <v>rg:{'id':'200081'}</v>
      </c>
      <c r="L41" t="str">
        <f t="shared" si="5"/>
        <v>HIGH</v>
      </c>
      <c r="N41">
        <f t="shared" ca="1" si="6"/>
        <v>14274</v>
      </c>
      <c r="O41" t="s">
        <v>5696</v>
      </c>
      <c r="P41" t="s">
        <v>326</v>
      </c>
      <c r="Q41">
        <f t="shared" ca="1" si="7"/>
        <v>732156</v>
      </c>
      <c r="R41" t="str">
        <f t="shared" ca="1" si="8"/>
        <v>2018-02-09</v>
      </c>
      <c r="S41" t="str">
        <f t="shared" ca="1" si="8"/>
        <v>2017-11-25</v>
      </c>
      <c r="T41" t="s">
        <v>6670</v>
      </c>
      <c r="U41" t="s">
        <v>76</v>
      </c>
      <c r="V41" t="s">
        <v>76</v>
      </c>
      <c r="W41" t="s">
        <v>76</v>
      </c>
      <c r="X41" t="s">
        <v>6517</v>
      </c>
      <c r="Y41" t="s">
        <v>6517</v>
      </c>
      <c r="Z41" t="s">
        <v>6517</v>
      </c>
      <c r="AA41" t="s">
        <v>6517</v>
      </c>
    </row>
    <row r="42" spans="1:27" x14ac:dyDescent="0.3">
      <c r="A42" t="s">
        <v>7</v>
      </c>
      <c r="B42" t="s">
        <v>4213</v>
      </c>
      <c r="C42">
        <f t="shared" si="1"/>
        <v>200040</v>
      </c>
      <c r="D42" t="s">
        <v>6670</v>
      </c>
      <c r="E42" t="str">
        <f t="shared" ca="1" si="0"/>
        <v>2014-12-13</v>
      </c>
      <c r="F42">
        <f>IFERROR(VLOOKUP(B42,Contacts.csv!C:D,2,FALSE),"")</f>
        <v>200040</v>
      </c>
      <c r="G42" t="str">
        <f t="shared" si="2"/>
        <v>rg:None</v>
      </c>
      <c r="H42" s="4" t="str">
        <f t="shared" si="3"/>
        <v>rg:[]</v>
      </c>
      <c r="I42" s="1" t="str">
        <f>VLOOKUP(B42,'HETS Data'!A:E,5,FALSE)</f>
        <v>LOWER MAINLAND-SURREY/LANGLEY</v>
      </c>
      <c r="J42">
        <f>VLOOKUP(I42,LocalAreas.csv!D:G,4,FALSE)</f>
        <v>200029</v>
      </c>
      <c r="K42" t="str">
        <f t="shared" si="4"/>
        <v>rg:{'id':'200029'}</v>
      </c>
      <c r="L42" t="str">
        <f t="shared" si="5"/>
        <v>HUGH</v>
      </c>
      <c r="N42">
        <f t="shared" ca="1" si="6"/>
        <v>19717</v>
      </c>
      <c r="O42" t="s">
        <v>5696</v>
      </c>
      <c r="P42" t="s">
        <v>326</v>
      </c>
      <c r="Q42">
        <f t="shared" ca="1" si="7"/>
        <v>732002</v>
      </c>
      <c r="R42" t="str">
        <f t="shared" ca="1" si="8"/>
        <v>2018-02-04</v>
      </c>
      <c r="S42" t="str">
        <f t="shared" ca="1" si="8"/>
        <v>2018-01-18</v>
      </c>
      <c r="T42" t="s">
        <v>6670</v>
      </c>
      <c r="U42" t="s">
        <v>76</v>
      </c>
      <c r="V42" t="s">
        <v>76</v>
      </c>
      <c r="W42" t="s">
        <v>76</v>
      </c>
      <c r="X42" t="s">
        <v>6517</v>
      </c>
      <c r="Y42" t="s">
        <v>6517</v>
      </c>
      <c r="Z42" t="s">
        <v>6517</v>
      </c>
      <c r="AA42" t="s">
        <v>6517</v>
      </c>
    </row>
    <row r="43" spans="1:27" x14ac:dyDescent="0.3">
      <c r="A43" t="s">
        <v>7</v>
      </c>
      <c r="B43" t="s">
        <v>4864</v>
      </c>
      <c r="C43">
        <f t="shared" si="1"/>
        <v>200041</v>
      </c>
      <c r="D43" t="s">
        <v>6670</v>
      </c>
      <c r="E43" t="str">
        <f t="shared" ca="1" si="0"/>
        <v>2015-08-05</v>
      </c>
      <c r="F43">
        <f>IFERROR(VLOOKUP(B43,Contacts.csv!C:D,2,FALSE),"")</f>
        <v>200041</v>
      </c>
      <c r="G43" t="str">
        <f t="shared" si="2"/>
        <v>rg:None</v>
      </c>
      <c r="H43" s="4" t="str">
        <f t="shared" si="3"/>
        <v>rg:[]</v>
      </c>
      <c r="I43" s="1" t="str">
        <f>VLOOKUP(B43,'HETS Data'!A:E,5,FALSE)</f>
        <v>CAMPBELL RIVER</v>
      </c>
      <c r="J43">
        <f>VLOOKUP(I43,LocalAreas.csv!D:G,4,FALSE)</f>
        <v>200039</v>
      </c>
      <c r="K43" t="str">
        <f t="shared" si="4"/>
        <v>rg:{'id':'200039'}</v>
      </c>
      <c r="L43" t="str">
        <f t="shared" si="5"/>
        <v>HUGH</v>
      </c>
      <c r="N43">
        <f t="shared" ca="1" si="6"/>
        <v>14865</v>
      </c>
      <c r="O43" t="s">
        <v>5696</v>
      </c>
      <c r="P43" t="s">
        <v>326</v>
      </c>
      <c r="Q43">
        <f t="shared" ca="1" si="7"/>
        <v>732064</v>
      </c>
      <c r="R43" t="str">
        <f t="shared" ca="1" si="8"/>
        <v>2017-03-16</v>
      </c>
      <c r="S43" t="str">
        <f t="shared" ca="1" si="8"/>
        <v>2017-09-13</v>
      </c>
      <c r="T43" t="s">
        <v>6670</v>
      </c>
      <c r="U43" t="s">
        <v>76</v>
      </c>
      <c r="V43" t="s">
        <v>76</v>
      </c>
      <c r="W43" t="s">
        <v>76</v>
      </c>
      <c r="X43" t="s">
        <v>6517</v>
      </c>
      <c r="Y43" t="s">
        <v>6517</v>
      </c>
      <c r="Z43" t="s">
        <v>6517</v>
      </c>
      <c r="AA43" t="s">
        <v>6517</v>
      </c>
    </row>
    <row r="44" spans="1:27" x14ac:dyDescent="0.3">
      <c r="A44" t="s">
        <v>7</v>
      </c>
      <c r="B44" t="s">
        <v>3619</v>
      </c>
      <c r="C44">
        <f t="shared" si="1"/>
        <v>200042</v>
      </c>
      <c r="D44" t="s">
        <v>6670</v>
      </c>
      <c r="E44" t="str">
        <f t="shared" ca="1" si="0"/>
        <v>2012-04-05</v>
      </c>
      <c r="F44">
        <f>IFERROR(VLOOKUP(B44,Contacts.csv!C:D,2,FALSE),"")</f>
        <v>200042</v>
      </c>
      <c r="G44" t="str">
        <f t="shared" si="2"/>
        <v>rg:None</v>
      </c>
      <c r="H44" s="4" t="str">
        <f t="shared" si="3"/>
        <v>rg:[]</v>
      </c>
      <c r="I44" s="1" t="str">
        <f>VLOOKUP(B44,'HETS Data'!A:E,5,FALSE)</f>
        <v>COURTENAY</v>
      </c>
      <c r="J44">
        <f>VLOOKUP(I44,LocalAreas.csv!D:G,4,FALSE)</f>
        <v>200038</v>
      </c>
      <c r="K44" t="str">
        <f t="shared" si="4"/>
        <v>rg:{'id':'200038'}</v>
      </c>
      <c r="L44" t="str">
        <f t="shared" si="5"/>
        <v>INDI</v>
      </c>
      <c r="N44">
        <f t="shared" ca="1" si="6"/>
        <v>18606</v>
      </c>
      <c r="O44" t="s">
        <v>5696</v>
      </c>
      <c r="P44" t="s">
        <v>326</v>
      </c>
      <c r="Q44">
        <f t="shared" ca="1" si="7"/>
        <v>732045</v>
      </c>
      <c r="R44" t="str">
        <f t="shared" ca="1" si="8"/>
        <v>2017-06-23</v>
      </c>
      <c r="S44" t="str">
        <f t="shared" ca="1" si="8"/>
        <v>2017-05-26</v>
      </c>
      <c r="T44" t="s">
        <v>6670</v>
      </c>
      <c r="U44" t="s">
        <v>76</v>
      </c>
      <c r="V44" t="s">
        <v>76</v>
      </c>
      <c r="W44" t="s">
        <v>76</v>
      </c>
      <c r="X44" t="s">
        <v>6517</v>
      </c>
      <c r="Y44" t="s">
        <v>6517</v>
      </c>
      <c r="Z44" t="s">
        <v>6517</v>
      </c>
      <c r="AA44" t="s">
        <v>6517</v>
      </c>
    </row>
    <row r="45" spans="1:27" x14ac:dyDescent="0.3">
      <c r="A45" t="s">
        <v>7</v>
      </c>
      <c r="B45" t="s">
        <v>3537</v>
      </c>
      <c r="C45">
        <f t="shared" si="1"/>
        <v>200043</v>
      </c>
      <c r="D45" t="s">
        <v>6670</v>
      </c>
      <c r="E45" t="str">
        <f t="shared" ca="1" si="0"/>
        <v>2013-09-19</v>
      </c>
      <c r="F45">
        <f>IFERROR(VLOOKUP(B45,Contacts.csv!C:D,2,FALSE),"")</f>
        <v>200043</v>
      </c>
      <c r="G45" t="str">
        <f t="shared" si="2"/>
        <v>rg:None</v>
      </c>
      <c r="H45" s="4" t="str">
        <f t="shared" si="3"/>
        <v>rg:[]</v>
      </c>
      <c r="I45" s="1" t="str">
        <f>VLOOKUP(B45,'HETS Data'!A:E,5,FALSE)</f>
        <v>GABRIOLA ISLAND</v>
      </c>
      <c r="J45">
        <f>VLOOKUP(I45,LocalAreas.csv!D:G,4,FALSE)</f>
        <v>200009</v>
      </c>
      <c r="K45" t="str">
        <f t="shared" si="4"/>
        <v>rg:{'id':'200009'}</v>
      </c>
      <c r="L45" t="str">
        <f t="shared" si="5"/>
        <v>JBRA</v>
      </c>
      <c r="N45">
        <f t="shared" ca="1" si="6"/>
        <v>10271</v>
      </c>
      <c r="O45" t="s">
        <v>5696</v>
      </c>
      <c r="P45" t="s">
        <v>326</v>
      </c>
      <c r="Q45">
        <f t="shared" ca="1" si="7"/>
        <v>732084</v>
      </c>
      <c r="R45" t="str">
        <f t="shared" ca="1" si="8"/>
        <v>2017-08-18</v>
      </c>
      <c r="S45" t="str">
        <f t="shared" ca="1" si="8"/>
        <v>2017-12-14</v>
      </c>
      <c r="T45" t="s">
        <v>6670</v>
      </c>
      <c r="U45" t="s">
        <v>76</v>
      </c>
      <c r="V45" t="s">
        <v>76</v>
      </c>
      <c r="W45" t="s">
        <v>76</v>
      </c>
      <c r="X45" t="s">
        <v>6517</v>
      </c>
      <c r="Y45" t="s">
        <v>6517</v>
      </c>
      <c r="Z45" t="s">
        <v>6517</v>
      </c>
      <c r="AA45" t="s">
        <v>6517</v>
      </c>
    </row>
    <row r="46" spans="1:27" x14ac:dyDescent="0.3">
      <c r="A46" t="s">
        <v>7</v>
      </c>
      <c r="B46" t="s">
        <v>3130</v>
      </c>
      <c r="C46">
        <f t="shared" si="1"/>
        <v>200044</v>
      </c>
      <c r="D46" t="s">
        <v>6670</v>
      </c>
      <c r="E46" t="str">
        <f t="shared" ca="1" si="0"/>
        <v>2008-06-21</v>
      </c>
      <c r="F46">
        <f>IFERROR(VLOOKUP(B46,Contacts.csv!C:D,2,FALSE),"")</f>
        <v>200044</v>
      </c>
      <c r="G46" t="str">
        <f t="shared" si="2"/>
        <v>rg:None</v>
      </c>
      <c r="H46" s="4" t="str">
        <f t="shared" si="3"/>
        <v>rg:[]</v>
      </c>
      <c r="I46" s="1" t="str">
        <f>VLOOKUP(B46,'HETS Data'!A:E,5,FALSE)</f>
        <v>LOWER MAINLAND-SURREY/LANGLEY</v>
      </c>
      <c r="J46">
        <f>VLOOKUP(I46,LocalAreas.csv!D:G,4,FALSE)</f>
        <v>200029</v>
      </c>
      <c r="K46" t="str">
        <f t="shared" si="4"/>
        <v>rg:{'id':'200029'}</v>
      </c>
      <c r="L46" t="str">
        <f t="shared" si="5"/>
        <v>JEAN</v>
      </c>
      <c r="N46">
        <f t="shared" ca="1" si="6"/>
        <v>19597</v>
      </c>
      <c r="O46" t="s">
        <v>5696</v>
      </c>
      <c r="P46" t="s">
        <v>326</v>
      </c>
      <c r="Q46">
        <f t="shared" ca="1" si="7"/>
        <v>732009</v>
      </c>
      <c r="R46" t="str">
        <f t="shared" ca="1" si="8"/>
        <v>2017-08-03</v>
      </c>
      <c r="S46" t="str">
        <f t="shared" ca="1" si="8"/>
        <v>2017-06-22</v>
      </c>
      <c r="T46" t="s">
        <v>6670</v>
      </c>
      <c r="U46" t="s">
        <v>76</v>
      </c>
      <c r="V46" t="s">
        <v>76</v>
      </c>
      <c r="W46" t="s">
        <v>76</v>
      </c>
      <c r="X46" t="s">
        <v>6517</v>
      </c>
      <c r="Y46" t="s">
        <v>6517</v>
      </c>
      <c r="Z46" t="s">
        <v>6517</v>
      </c>
      <c r="AA46" t="s">
        <v>6517</v>
      </c>
    </row>
    <row r="47" spans="1:27" x14ac:dyDescent="0.3">
      <c r="A47" t="s">
        <v>7</v>
      </c>
      <c r="B47" t="s">
        <v>4896</v>
      </c>
      <c r="C47">
        <f t="shared" si="1"/>
        <v>200045</v>
      </c>
      <c r="D47" t="s">
        <v>6670</v>
      </c>
      <c r="E47" t="str">
        <f t="shared" ca="1" si="0"/>
        <v>2009-03-16</v>
      </c>
      <c r="F47">
        <f>IFERROR(VLOOKUP(B47,Contacts.csv!C:D,2,FALSE),"")</f>
        <v>200045</v>
      </c>
      <c r="G47" t="str">
        <f t="shared" si="2"/>
        <v>rg:None</v>
      </c>
      <c r="H47" s="4" t="str">
        <f t="shared" si="3"/>
        <v>rg:[]</v>
      </c>
      <c r="I47" s="1" t="str">
        <f>VLOOKUP(B47,'HETS Data'!A:E,5,FALSE)</f>
        <v>LOWER MAINLAND-SURREY/LANGLEY</v>
      </c>
      <c r="J47">
        <f>VLOOKUP(I47,LocalAreas.csv!D:G,4,FALSE)</f>
        <v>200029</v>
      </c>
      <c r="K47" t="str">
        <f t="shared" si="4"/>
        <v>rg:{'id':'200029'}</v>
      </c>
      <c r="L47" t="str">
        <f t="shared" si="5"/>
        <v>KBTO</v>
      </c>
      <c r="N47">
        <f t="shared" ca="1" si="6"/>
        <v>11559</v>
      </c>
      <c r="O47" t="s">
        <v>5696</v>
      </c>
      <c r="P47" t="s">
        <v>326</v>
      </c>
      <c r="Q47">
        <f t="shared" ca="1" si="7"/>
        <v>732174</v>
      </c>
      <c r="R47" t="str">
        <f t="shared" ca="1" si="8"/>
        <v>2018-01-04</v>
      </c>
      <c r="S47" t="str">
        <f t="shared" ca="1" si="8"/>
        <v>2017-07-29</v>
      </c>
      <c r="T47" t="s">
        <v>6670</v>
      </c>
      <c r="U47" t="s">
        <v>76</v>
      </c>
      <c r="V47" t="s">
        <v>76</v>
      </c>
      <c r="W47" t="s">
        <v>76</v>
      </c>
      <c r="X47" t="s">
        <v>6517</v>
      </c>
      <c r="Y47" t="s">
        <v>6517</v>
      </c>
      <c r="Z47" t="s">
        <v>6517</v>
      </c>
      <c r="AA47" t="s">
        <v>6517</v>
      </c>
    </row>
    <row r="48" spans="1:27" x14ac:dyDescent="0.3">
      <c r="A48" t="s">
        <v>7</v>
      </c>
      <c r="B48" t="s">
        <v>4101</v>
      </c>
      <c r="C48">
        <f t="shared" si="1"/>
        <v>200046</v>
      </c>
      <c r="D48" t="s">
        <v>6670</v>
      </c>
      <c r="E48" t="str">
        <f t="shared" ca="1" si="0"/>
        <v>2008-06-06</v>
      </c>
      <c r="F48">
        <f>IFERROR(VLOOKUP(B48,Contacts.csv!C:D,2,FALSE),"")</f>
        <v>200046</v>
      </c>
      <c r="G48" t="str">
        <f t="shared" si="2"/>
        <v>rg:None</v>
      </c>
      <c r="H48" s="4" t="str">
        <f t="shared" si="3"/>
        <v>rg:[]</v>
      </c>
      <c r="I48" s="1" t="str">
        <f>VLOOKUP(B48,'HETS Data'!A:E,5,FALSE)</f>
        <v>LOWER MAINLAND-SURREY/LANGLEY</v>
      </c>
      <c r="J48">
        <f>VLOOKUP(I48,LocalAreas.csv!D:G,4,FALSE)</f>
        <v>200029</v>
      </c>
      <c r="K48" t="str">
        <f t="shared" si="4"/>
        <v>rg:{'id':'200029'}</v>
      </c>
      <c r="L48" t="str">
        <f t="shared" si="5"/>
        <v>KIDS</v>
      </c>
      <c r="N48">
        <f t="shared" ca="1" si="6"/>
        <v>15883</v>
      </c>
      <c r="O48" t="s">
        <v>5696</v>
      </c>
      <c r="P48" t="s">
        <v>326</v>
      </c>
      <c r="Q48">
        <f t="shared" ca="1" si="7"/>
        <v>732056</v>
      </c>
      <c r="R48" t="str">
        <f t="shared" ca="1" si="8"/>
        <v>2017-10-04</v>
      </c>
      <c r="S48" t="str">
        <f t="shared" ca="1" si="8"/>
        <v>2017-06-03</v>
      </c>
      <c r="T48" t="s">
        <v>6670</v>
      </c>
      <c r="U48" t="s">
        <v>76</v>
      </c>
      <c r="V48" t="s">
        <v>76</v>
      </c>
      <c r="W48" t="s">
        <v>76</v>
      </c>
      <c r="X48" t="s">
        <v>6517</v>
      </c>
      <c r="Y48" t="s">
        <v>6517</v>
      </c>
      <c r="Z48" t="s">
        <v>6517</v>
      </c>
      <c r="AA48" t="s">
        <v>6517</v>
      </c>
    </row>
    <row r="49" spans="1:27" x14ac:dyDescent="0.3">
      <c r="A49" t="s">
        <v>7</v>
      </c>
      <c r="B49" t="s">
        <v>4626</v>
      </c>
      <c r="C49">
        <f t="shared" si="1"/>
        <v>200047</v>
      </c>
      <c r="D49" t="s">
        <v>6670</v>
      </c>
      <c r="E49" t="str">
        <f t="shared" ca="1" si="0"/>
        <v>2015-01-03</v>
      </c>
      <c r="F49">
        <f>IFERROR(VLOOKUP(B49,Contacts.csv!C:D,2,FALSE),"")</f>
        <v>200047</v>
      </c>
      <c r="G49" t="str">
        <f t="shared" si="2"/>
        <v>rg:None</v>
      </c>
      <c r="H49" s="4" t="str">
        <f t="shared" si="3"/>
        <v>rg:[]</v>
      </c>
      <c r="I49" s="1" t="str">
        <f>VLOOKUP(B49,'HETS Data'!A:E,5,FALSE)</f>
        <v>CHILLIWACK/ROSEDALE</v>
      </c>
      <c r="J49">
        <f>VLOOKUP(I49,LocalAreas.csv!D:G,4,FALSE)</f>
        <v>200020</v>
      </c>
      <c r="K49" t="str">
        <f t="shared" si="4"/>
        <v>rg:{'id':'200020'}</v>
      </c>
      <c r="L49" t="str">
        <f t="shared" si="5"/>
        <v>KINN</v>
      </c>
      <c r="N49">
        <f t="shared" ca="1" si="6"/>
        <v>14493</v>
      </c>
      <c r="O49" t="s">
        <v>5696</v>
      </c>
      <c r="P49" t="s">
        <v>326</v>
      </c>
      <c r="Q49">
        <f t="shared" ca="1" si="7"/>
        <v>732000</v>
      </c>
      <c r="R49" t="str">
        <f t="shared" ca="1" si="8"/>
        <v>2017-07-29</v>
      </c>
      <c r="S49" t="str">
        <f t="shared" ca="1" si="8"/>
        <v>2017-10-05</v>
      </c>
      <c r="T49" t="s">
        <v>6670</v>
      </c>
      <c r="U49" t="s">
        <v>76</v>
      </c>
      <c r="V49" t="s">
        <v>76</v>
      </c>
      <c r="W49" t="s">
        <v>76</v>
      </c>
      <c r="X49" t="s">
        <v>6517</v>
      </c>
      <c r="Y49" t="s">
        <v>6517</v>
      </c>
      <c r="Z49" t="s">
        <v>6517</v>
      </c>
      <c r="AA49" t="s">
        <v>6517</v>
      </c>
    </row>
    <row r="50" spans="1:27" x14ac:dyDescent="0.3">
      <c r="A50" t="s">
        <v>7</v>
      </c>
      <c r="B50" t="s">
        <v>4309</v>
      </c>
      <c r="C50">
        <f t="shared" si="1"/>
        <v>200048</v>
      </c>
      <c r="D50" t="s">
        <v>6670</v>
      </c>
      <c r="E50" t="str">
        <f t="shared" ca="1" si="0"/>
        <v>2007-07-29</v>
      </c>
      <c r="F50">
        <f>IFERROR(VLOOKUP(B50,Contacts.csv!C:D,2,FALSE),"")</f>
        <v>200048</v>
      </c>
      <c r="G50" t="str">
        <f t="shared" si="2"/>
        <v>rg:None</v>
      </c>
      <c r="H50" s="4" t="str">
        <f t="shared" si="3"/>
        <v>rg:[]</v>
      </c>
      <c r="I50" s="1" t="str">
        <f>VLOOKUP(B50,'HETS Data'!A:E,5,FALSE)</f>
        <v>LOWER MAINLAND-SURREY/LANGLEY</v>
      </c>
      <c r="J50">
        <f>VLOOKUP(I50,LocalAreas.csv!D:G,4,FALSE)</f>
        <v>200029</v>
      </c>
      <c r="K50" t="str">
        <f t="shared" si="4"/>
        <v>rg:{'id':'200029'}</v>
      </c>
      <c r="L50" t="str">
        <f t="shared" si="5"/>
        <v>KNOX</v>
      </c>
      <c r="N50">
        <f t="shared" ca="1" si="6"/>
        <v>15435</v>
      </c>
      <c r="O50" t="s">
        <v>5696</v>
      </c>
      <c r="P50" t="s">
        <v>326</v>
      </c>
      <c r="Q50">
        <f t="shared" ca="1" si="7"/>
        <v>732126</v>
      </c>
      <c r="R50" t="str">
        <f t="shared" ca="1" si="8"/>
        <v>2017-04-17</v>
      </c>
      <c r="S50" t="str">
        <f t="shared" ca="1" si="8"/>
        <v>2017-04-06</v>
      </c>
      <c r="T50" t="s">
        <v>6670</v>
      </c>
      <c r="U50" t="s">
        <v>76</v>
      </c>
      <c r="V50" t="s">
        <v>76</v>
      </c>
      <c r="W50" t="s">
        <v>76</v>
      </c>
      <c r="X50" t="s">
        <v>6517</v>
      </c>
      <c r="Y50" t="s">
        <v>6517</v>
      </c>
      <c r="Z50" t="s">
        <v>6517</v>
      </c>
      <c r="AA50" t="s">
        <v>6517</v>
      </c>
    </row>
    <row r="51" spans="1:27" x14ac:dyDescent="0.3">
      <c r="A51" t="s">
        <v>7</v>
      </c>
      <c r="B51" t="s">
        <v>4371</v>
      </c>
      <c r="C51">
        <f t="shared" si="1"/>
        <v>200049</v>
      </c>
      <c r="D51" t="s">
        <v>6670</v>
      </c>
      <c r="E51" t="str">
        <f t="shared" ca="1" si="0"/>
        <v>2011-06-10</v>
      </c>
      <c r="F51">
        <f>IFERROR(VLOOKUP(B51,Contacts.csv!C:D,2,FALSE),"")</f>
        <v>200049</v>
      </c>
      <c r="G51" t="str">
        <f t="shared" si="2"/>
        <v>rg:None</v>
      </c>
      <c r="H51" s="4" t="str">
        <f t="shared" si="3"/>
        <v>rg:[]</v>
      </c>
      <c r="I51" s="1" t="str">
        <f>VLOOKUP(B51,'HETS Data'!A:E,5,FALSE)</f>
        <v>LOWER MAINLAND-SURREY/LANGLEY</v>
      </c>
      <c r="J51">
        <f>VLOOKUP(I51,LocalAreas.csv!D:G,4,FALSE)</f>
        <v>200029</v>
      </c>
      <c r="K51" t="str">
        <f t="shared" si="4"/>
        <v>rg:{'id':'200029'}</v>
      </c>
      <c r="L51" t="str">
        <f t="shared" si="5"/>
        <v>LAWN</v>
      </c>
      <c r="N51">
        <f t="shared" ca="1" si="6"/>
        <v>12443</v>
      </c>
      <c r="O51" t="s">
        <v>5696</v>
      </c>
      <c r="P51" t="s">
        <v>326</v>
      </c>
      <c r="Q51">
        <f t="shared" ca="1" si="7"/>
        <v>732143</v>
      </c>
      <c r="R51" t="str">
        <f t="shared" ca="1" si="8"/>
        <v>2017-10-26</v>
      </c>
      <c r="S51" t="str">
        <f t="shared" ca="1" si="8"/>
        <v>2017-02-25</v>
      </c>
      <c r="T51" t="s">
        <v>6670</v>
      </c>
      <c r="U51" t="s">
        <v>76</v>
      </c>
      <c r="V51" t="s">
        <v>76</v>
      </c>
      <c r="W51" t="s">
        <v>76</v>
      </c>
      <c r="X51" t="s">
        <v>6517</v>
      </c>
      <c r="Y51" t="s">
        <v>6517</v>
      </c>
      <c r="Z51" t="s">
        <v>6517</v>
      </c>
      <c r="AA51" t="s">
        <v>6517</v>
      </c>
    </row>
    <row r="52" spans="1:27" x14ac:dyDescent="0.3">
      <c r="A52" t="s">
        <v>7</v>
      </c>
      <c r="B52" t="s">
        <v>3949</v>
      </c>
      <c r="C52">
        <f t="shared" si="1"/>
        <v>200050</v>
      </c>
      <c r="D52" t="s">
        <v>6670</v>
      </c>
      <c r="E52" t="str">
        <f t="shared" ca="1" si="0"/>
        <v>2010-09-02</v>
      </c>
      <c r="F52">
        <f>IFERROR(VLOOKUP(B52,Contacts.csv!C:D,2,FALSE),"")</f>
        <v>200050</v>
      </c>
      <c r="G52" t="str">
        <f t="shared" si="2"/>
        <v>rg:None</v>
      </c>
      <c r="H52" s="4" t="str">
        <f t="shared" si="3"/>
        <v>rg:[]</v>
      </c>
      <c r="I52" s="1" t="str">
        <f>VLOOKUP(B52,'HETS Data'!A:E,5,FALSE)</f>
        <v>COURTENAY</v>
      </c>
      <c r="J52">
        <f>VLOOKUP(I52,LocalAreas.csv!D:G,4,FALSE)</f>
        <v>200038</v>
      </c>
      <c r="K52" t="str">
        <f t="shared" si="4"/>
        <v>rg:{'id':'200038'}</v>
      </c>
      <c r="L52" t="str">
        <f t="shared" si="5"/>
        <v>LIND</v>
      </c>
      <c r="N52">
        <f t="shared" ca="1" si="6"/>
        <v>16715</v>
      </c>
      <c r="O52" t="s">
        <v>5696</v>
      </c>
      <c r="P52" t="s">
        <v>326</v>
      </c>
      <c r="Q52">
        <f t="shared" ca="1" si="7"/>
        <v>732039</v>
      </c>
      <c r="R52" t="str">
        <f t="shared" ca="1" si="8"/>
        <v>2017-08-15</v>
      </c>
      <c r="S52" t="str">
        <f t="shared" ca="1" si="8"/>
        <v>2017-04-24</v>
      </c>
      <c r="T52" t="s">
        <v>6670</v>
      </c>
      <c r="U52" t="s">
        <v>76</v>
      </c>
      <c r="V52" t="s">
        <v>76</v>
      </c>
      <c r="W52" t="s">
        <v>76</v>
      </c>
      <c r="X52" t="s">
        <v>6517</v>
      </c>
      <c r="Y52" t="s">
        <v>6517</v>
      </c>
      <c r="Z52" t="s">
        <v>6517</v>
      </c>
      <c r="AA52" t="s">
        <v>6517</v>
      </c>
    </row>
    <row r="53" spans="1:27" x14ac:dyDescent="0.3">
      <c r="A53" t="s">
        <v>7</v>
      </c>
      <c r="B53" t="s">
        <v>3488</v>
      </c>
      <c r="C53">
        <f t="shared" si="1"/>
        <v>200051</v>
      </c>
      <c r="D53" t="s">
        <v>6672</v>
      </c>
      <c r="E53" t="str">
        <f t="shared" ca="1" si="0"/>
        <v>2009-08-29</v>
      </c>
      <c r="F53">
        <f>IFERROR(VLOOKUP(B53,Contacts.csv!C:D,2,FALSE),"")</f>
        <v>200051</v>
      </c>
      <c r="G53" t="str">
        <f t="shared" si="2"/>
        <v>rg:None</v>
      </c>
      <c r="H53" s="4" t="str">
        <f t="shared" si="3"/>
        <v>rg:[]</v>
      </c>
      <c r="I53" s="1" t="str">
        <f>VLOOKUP(B53,'HETS Data'!A:E,5,FALSE)</f>
        <v>PORT ALBERNI</v>
      </c>
      <c r="J53">
        <f>VLOOKUP(I53,LocalAreas.csv!D:G,4,FALSE)</f>
        <v>200007</v>
      </c>
      <c r="K53" t="str">
        <f t="shared" si="4"/>
        <v>rg:{'id':'200007'}</v>
      </c>
      <c r="L53" t="str">
        <f t="shared" si="5"/>
        <v>LION</v>
      </c>
      <c r="N53">
        <f t="shared" ca="1" si="6"/>
        <v>18824</v>
      </c>
      <c r="O53" t="s">
        <v>5696</v>
      </c>
      <c r="P53" t="s">
        <v>326</v>
      </c>
      <c r="Q53">
        <f t="shared" ca="1" si="7"/>
        <v>732039</v>
      </c>
      <c r="R53" t="str">
        <f t="shared" ca="1" si="8"/>
        <v>2017-08-10</v>
      </c>
      <c r="S53" t="str">
        <f t="shared" ca="1" si="8"/>
        <v>2017-03-01</v>
      </c>
      <c r="T53" t="s">
        <v>6672</v>
      </c>
      <c r="U53" t="s">
        <v>76</v>
      </c>
      <c r="V53" t="s">
        <v>76</v>
      </c>
      <c r="W53" t="s">
        <v>76</v>
      </c>
      <c r="X53" t="s">
        <v>6517</v>
      </c>
      <c r="Y53" t="s">
        <v>6517</v>
      </c>
      <c r="Z53" t="s">
        <v>6517</v>
      </c>
      <c r="AA53" t="s">
        <v>6517</v>
      </c>
    </row>
    <row r="54" spans="1:27" x14ac:dyDescent="0.3">
      <c r="A54" t="s">
        <v>7</v>
      </c>
      <c r="B54" t="s">
        <v>4385</v>
      </c>
      <c r="C54">
        <f t="shared" si="1"/>
        <v>200052</v>
      </c>
      <c r="D54" t="s">
        <v>6672</v>
      </c>
      <c r="E54" t="str">
        <f t="shared" ca="1" si="0"/>
        <v>2006-06-05</v>
      </c>
      <c r="F54">
        <f>IFERROR(VLOOKUP(B54,Contacts.csv!C:D,2,FALSE),"")</f>
        <v>200052</v>
      </c>
      <c r="G54" t="str">
        <f t="shared" si="2"/>
        <v>rg:None</v>
      </c>
      <c r="H54" s="4" t="str">
        <f t="shared" si="3"/>
        <v>rg:[]</v>
      </c>
      <c r="I54" s="1" t="str">
        <f>VLOOKUP(B54,'HETS Data'!A:E,5,FALSE)</f>
        <v>LOWER MAINLAND-COQUITLAM/BURNABY/VAN</v>
      </c>
      <c r="J54">
        <f>VLOOKUP(I54,LocalAreas.csv!D:G,4,FALSE)</f>
        <v>200030</v>
      </c>
      <c r="K54" t="str">
        <f t="shared" si="4"/>
        <v>rg:{'id':'200030'}</v>
      </c>
      <c r="L54" t="str">
        <f t="shared" si="5"/>
        <v>LITT</v>
      </c>
      <c r="N54">
        <f t="shared" ca="1" si="6"/>
        <v>15366</v>
      </c>
      <c r="O54" t="s">
        <v>5696</v>
      </c>
      <c r="P54" t="s">
        <v>5696</v>
      </c>
      <c r="Q54">
        <f t="shared" ca="1" si="7"/>
        <v>732091</v>
      </c>
      <c r="R54" t="str">
        <f t="shared" ca="1" si="8"/>
        <v>2017-04-17</v>
      </c>
      <c r="S54" t="str">
        <f t="shared" ca="1" si="8"/>
        <v>2017-07-24</v>
      </c>
      <c r="T54" t="s">
        <v>6672</v>
      </c>
      <c r="U54" t="s">
        <v>76</v>
      </c>
      <c r="V54" t="s">
        <v>76</v>
      </c>
      <c r="W54" t="s">
        <v>76</v>
      </c>
      <c r="X54" t="s">
        <v>6517</v>
      </c>
      <c r="Y54" t="s">
        <v>6517</v>
      </c>
      <c r="Z54" t="s">
        <v>6517</v>
      </c>
      <c r="AA54" t="s">
        <v>6517</v>
      </c>
    </row>
    <row r="55" spans="1:27" x14ac:dyDescent="0.3">
      <c r="A55" t="s">
        <v>7</v>
      </c>
      <c r="B55" t="s">
        <v>3359</v>
      </c>
      <c r="C55">
        <f t="shared" si="1"/>
        <v>200053</v>
      </c>
      <c r="D55" t="s">
        <v>6670</v>
      </c>
      <c r="E55" t="str">
        <f t="shared" ca="1" si="0"/>
        <v>2010-12-18</v>
      </c>
      <c r="F55">
        <f>IFERROR(VLOOKUP(B55,Contacts.csv!C:D,2,FALSE),"")</f>
        <v>200053</v>
      </c>
      <c r="G55" t="str">
        <f t="shared" si="2"/>
        <v>rg:None</v>
      </c>
      <c r="H55" s="4" t="str">
        <f t="shared" si="3"/>
        <v>rg:[]</v>
      </c>
      <c r="I55" s="1" t="str">
        <f>VLOOKUP(B55,'HETS Data'!A:E,5,FALSE)</f>
        <v>NANAIMO/LADYSMITH/LANTZVILLE</v>
      </c>
      <c r="J55">
        <f>VLOOKUP(I55,LocalAreas.csv!D:G,4,FALSE)</f>
        <v>200005</v>
      </c>
      <c r="K55" t="str">
        <f t="shared" si="4"/>
        <v>rg:{'id':'200005'}</v>
      </c>
      <c r="L55" t="str">
        <f t="shared" si="5"/>
        <v>MAGI</v>
      </c>
      <c r="N55">
        <f t="shared" ca="1" si="6"/>
        <v>16012</v>
      </c>
      <c r="O55" t="s">
        <v>5696</v>
      </c>
      <c r="P55" t="s">
        <v>326</v>
      </c>
      <c r="Q55">
        <f t="shared" ca="1" si="7"/>
        <v>732099</v>
      </c>
      <c r="R55" t="str">
        <f t="shared" ca="1" si="8"/>
        <v>2017-09-01</v>
      </c>
      <c r="S55" t="str">
        <f t="shared" ca="1" si="8"/>
        <v>2017-03-24</v>
      </c>
      <c r="T55" t="s">
        <v>6670</v>
      </c>
      <c r="U55" t="s">
        <v>76</v>
      </c>
      <c r="V55" t="s">
        <v>76</v>
      </c>
      <c r="W55" t="s">
        <v>76</v>
      </c>
      <c r="X55" t="s">
        <v>6517</v>
      </c>
      <c r="Y55" t="s">
        <v>6517</v>
      </c>
      <c r="Z55" t="s">
        <v>6517</v>
      </c>
      <c r="AA55" t="s">
        <v>6517</v>
      </c>
    </row>
    <row r="56" spans="1:27" x14ac:dyDescent="0.3">
      <c r="A56" t="s">
        <v>7</v>
      </c>
      <c r="B56" t="s">
        <v>3731</v>
      </c>
      <c r="C56">
        <f t="shared" si="1"/>
        <v>200054</v>
      </c>
      <c r="D56" t="s">
        <v>6670</v>
      </c>
      <c r="E56" t="str">
        <f t="shared" ca="1" si="0"/>
        <v>2015-11-28</v>
      </c>
      <c r="F56">
        <f>IFERROR(VLOOKUP(B56,Contacts.csv!C:D,2,FALSE),"")</f>
        <v>200054</v>
      </c>
      <c r="G56" t="str">
        <f t="shared" si="2"/>
        <v>rg:None</v>
      </c>
      <c r="H56" s="4" t="str">
        <f t="shared" si="3"/>
        <v>rg:[]</v>
      </c>
      <c r="I56" s="1" t="str">
        <f>VLOOKUP(B56,'HETS Data'!A:E,5,FALSE)</f>
        <v>UCLUELET/TOFINO</v>
      </c>
      <c r="J56">
        <f>VLOOKUP(I56,LocalAreas.csv!D:G,4,FALSE)</f>
        <v>200008</v>
      </c>
      <c r="K56" t="str">
        <f t="shared" si="4"/>
        <v>rg:{'id':'200008'}</v>
      </c>
      <c r="L56" t="str">
        <f t="shared" si="5"/>
        <v>MANC</v>
      </c>
      <c r="N56">
        <f t="shared" ca="1" si="6"/>
        <v>18487</v>
      </c>
      <c r="O56" t="s">
        <v>5696</v>
      </c>
      <c r="P56" t="s">
        <v>326</v>
      </c>
      <c r="Q56">
        <f t="shared" ca="1" si="7"/>
        <v>732132</v>
      </c>
      <c r="R56" t="str">
        <f t="shared" ca="1" si="8"/>
        <v>2017-04-21</v>
      </c>
      <c r="S56" t="str">
        <f t="shared" ca="1" si="8"/>
        <v>2017-07-05</v>
      </c>
      <c r="T56" t="s">
        <v>6670</v>
      </c>
      <c r="U56" t="s">
        <v>76</v>
      </c>
      <c r="V56" t="s">
        <v>76</v>
      </c>
      <c r="W56" t="s">
        <v>76</v>
      </c>
      <c r="X56" t="s">
        <v>6517</v>
      </c>
      <c r="Y56" t="s">
        <v>6517</v>
      </c>
      <c r="Z56" t="s">
        <v>6517</v>
      </c>
      <c r="AA56" t="s">
        <v>6517</v>
      </c>
    </row>
    <row r="57" spans="1:27" x14ac:dyDescent="0.3">
      <c r="A57" t="s">
        <v>7</v>
      </c>
      <c r="B57" t="s">
        <v>3094</v>
      </c>
      <c r="C57">
        <f t="shared" si="1"/>
        <v>200055</v>
      </c>
      <c r="D57" t="s">
        <v>6670</v>
      </c>
      <c r="E57" t="str">
        <f t="shared" ca="1" si="0"/>
        <v>2008-10-13</v>
      </c>
      <c r="F57">
        <f>IFERROR(VLOOKUP(B57,Contacts.csv!C:D,2,FALSE),"")</f>
        <v>200055</v>
      </c>
      <c r="G57" t="str">
        <f t="shared" si="2"/>
        <v>rg:None</v>
      </c>
      <c r="H57" s="4" t="str">
        <f t="shared" si="3"/>
        <v>rg:[]</v>
      </c>
      <c r="I57" s="1" t="str">
        <f>VLOOKUP(B57,'HETS Data'!A:E,5,FALSE)</f>
        <v>WESTERN COMMUNITIES</v>
      </c>
      <c r="J57">
        <f>VLOOKUP(I57,LocalAreas.csv!D:G,4,FALSE)</f>
        <v>200068</v>
      </c>
      <c r="K57" t="str">
        <f t="shared" si="4"/>
        <v>rg:{'id':'200068'}</v>
      </c>
      <c r="L57" t="str">
        <f t="shared" si="5"/>
        <v>MCDU</v>
      </c>
      <c r="N57">
        <f t="shared" ca="1" si="6"/>
        <v>13379</v>
      </c>
      <c r="O57" t="s">
        <v>5696</v>
      </c>
      <c r="P57" t="s">
        <v>326</v>
      </c>
      <c r="Q57">
        <f t="shared" ca="1" si="7"/>
        <v>732025</v>
      </c>
      <c r="R57" t="str">
        <f t="shared" ca="1" si="8"/>
        <v>2017-03-13</v>
      </c>
      <c r="S57" t="str">
        <f t="shared" ca="1" si="8"/>
        <v>2017-03-07</v>
      </c>
      <c r="T57" t="s">
        <v>6670</v>
      </c>
      <c r="U57" t="s">
        <v>76</v>
      </c>
      <c r="V57" t="s">
        <v>76</v>
      </c>
      <c r="W57" t="s">
        <v>76</v>
      </c>
      <c r="X57" t="s">
        <v>6517</v>
      </c>
      <c r="Y57" t="s">
        <v>6517</v>
      </c>
      <c r="Z57" t="s">
        <v>6517</v>
      </c>
      <c r="AA57" t="s">
        <v>6517</v>
      </c>
    </row>
    <row r="58" spans="1:27" x14ac:dyDescent="0.3">
      <c r="A58" t="s">
        <v>7</v>
      </c>
      <c r="B58" t="s">
        <v>4173</v>
      </c>
      <c r="C58">
        <f t="shared" si="1"/>
        <v>200056</v>
      </c>
      <c r="D58" t="s">
        <v>6670</v>
      </c>
      <c r="E58" t="str">
        <f t="shared" ca="1" si="0"/>
        <v>2014-09-04</v>
      </c>
      <c r="F58">
        <f>IFERROR(VLOOKUP(B58,Contacts.csv!C:D,2,FALSE),"")</f>
        <v>200056</v>
      </c>
      <c r="G58" t="str">
        <f t="shared" si="2"/>
        <v>rg:None</v>
      </c>
      <c r="H58" s="4" t="str">
        <f t="shared" si="3"/>
        <v>rg:[]</v>
      </c>
      <c r="I58" s="1" t="str">
        <f>VLOOKUP(B58,'HETS Data'!A:E,5,FALSE)</f>
        <v>CAMPBELL RIVER</v>
      </c>
      <c r="J58">
        <f>VLOOKUP(I58,LocalAreas.csv!D:G,4,FALSE)</f>
        <v>200039</v>
      </c>
      <c r="K58" t="str">
        <f t="shared" si="4"/>
        <v>rg:{'id':'200039'}</v>
      </c>
      <c r="L58" t="str">
        <f t="shared" si="5"/>
        <v>MEGA</v>
      </c>
      <c r="N58">
        <f t="shared" ca="1" si="6"/>
        <v>13283</v>
      </c>
      <c r="O58" t="s">
        <v>5696</v>
      </c>
      <c r="P58" t="s">
        <v>326</v>
      </c>
      <c r="Q58">
        <f t="shared" ca="1" si="7"/>
        <v>732102</v>
      </c>
      <c r="R58" t="str">
        <f t="shared" ca="1" si="8"/>
        <v>2017-11-21</v>
      </c>
      <c r="S58" t="str">
        <f t="shared" ca="1" si="8"/>
        <v>2017-05-28</v>
      </c>
      <c r="T58" t="s">
        <v>6670</v>
      </c>
      <c r="U58" t="s">
        <v>76</v>
      </c>
      <c r="V58" t="s">
        <v>76</v>
      </c>
      <c r="W58" t="s">
        <v>76</v>
      </c>
      <c r="X58" t="s">
        <v>6517</v>
      </c>
      <c r="Y58" t="s">
        <v>6517</v>
      </c>
      <c r="Z58" t="s">
        <v>6517</v>
      </c>
      <c r="AA58" t="s">
        <v>6517</v>
      </c>
    </row>
    <row r="59" spans="1:27" x14ac:dyDescent="0.3">
      <c r="A59" t="s">
        <v>7</v>
      </c>
      <c r="B59" t="s">
        <v>3838</v>
      </c>
      <c r="C59">
        <f t="shared" si="1"/>
        <v>200057</v>
      </c>
      <c r="D59" t="s">
        <v>6670</v>
      </c>
      <c r="E59" t="str">
        <f t="shared" ca="1" si="0"/>
        <v>2009-07-24</v>
      </c>
      <c r="F59">
        <f>IFERROR(VLOOKUP(B59,Contacts.csv!C:D,2,FALSE),"")</f>
        <v>200057</v>
      </c>
      <c r="G59" t="str">
        <f t="shared" si="2"/>
        <v>rg:None</v>
      </c>
      <c r="H59" s="4" t="str">
        <f t="shared" si="3"/>
        <v>rg:[]</v>
      </c>
      <c r="I59" s="1" t="str">
        <f>VLOOKUP(B59,'HETS Data'!A:E,5,FALSE)</f>
        <v>LOWER MAINLAND-SURREY/LANGLEY</v>
      </c>
      <c r="J59">
        <f>VLOOKUP(I59,LocalAreas.csv!D:G,4,FALSE)</f>
        <v>200029</v>
      </c>
      <c r="K59" t="str">
        <f t="shared" si="4"/>
        <v>rg:{'id':'200029'}</v>
      </c>
      <c r="L59" t="str">
        <f t="shared" si="5"/>
        <v>MERV</v>
      </c>
      <c r="N59">
        <f t="shared" ca="1" si="6"/>
        <v>15279</v>
      </c>
      <c r="O59" t="s">
        <v>326</v>
      </c>
      <c r="P59" t="s">
        <v>326</v>
      </c>
      <c r="Q59">
        <f t="shared" ca="1" si="7"/>
        <v>732104</v>
      </c>
      <c r="R59" t="str">
        <f t="shared" ca="1" si="8"/>
        <v>2017-06-08</v>
      </c>
      <c r="S59" t="str">
        <f t="shared" ca="1" si="8"/>
        <v>2018-02-15</v>
      </c>
      <c r="T59" t="s">
        <v>6670</v>
      </c>
      <c r="U59" t="s">
        <v>76</v>
      </c>
      <c r="V59" t="s">
        <v>76</v>
      </c>
      <c r="W59" t="s">
        <v>76</v>
      </c>
      <c r="X59" t="s">
        <v>6517</v>
      </c>
      <c r="Y59" t="s">
        <v>6517</v>
      </c>
      <c r="Z59" t="s">
        <v>6517</v>
      </c>
      <c r="AA59" t="s">
        <v>6517</v>
      </c>
    </row>
    <row r="60" spans="1:27" x14ac:dyDescent="0.3">
      <c r="A60" t="s">
        <v>7</v>
      </c>
      <c r="B60" t="s">
        <v>3748</v>
      </c>
      <c r="C60">
        <f t="shared" si="1"/>
        <v>200058</v>
      </c>
      <c r="D60" t="s">
        <v>6670</v>
      </c>
      <c r="E60" t="str">
        <f t="shared" ca="1" si="0"/>
        <v>2004-05-31</v>
      </c>
      <c r="F60">
        <f>IFERROR(VLOOKUP(B60,Contacts.csv!C:D,2,FALSE),"")</f>
        <v>200058</v>
      </c>
      <c r="G60" t="str">
        <f t="shared" si="2"/>
        <v>rg:None</v>
      </c>
      <c r="H60" s="4" t="str">
        <f t="shared" si="3"/>
        <v>rg:[]</v>
      </c>
      <c r="I60" s="1" t="str">
        <f>VLOOKUP(B60,'HETS Data'!A:E,5,FALSE)</f>
        <v>LOWER MAINLAND-SURREY/LANGLEY</v>
      </c>
      <c r="J60">
        <f>VLOOKUP(I60,LocalAreas.csv!D:G,4,FALSE)</f>
        <v>200029</v>
      </c>
      <c r="K60" t="str">
        <f t="shared" si="4"/>
        <v>rg:{'id':'200029'}</v>
      </c>
      <c r="L60" t="str">
        <f t="shared" si="5"/>
        <v>MONK</v>
      </c>
      <c r="N60">
        <f t="shared" ca="1" si="6"/>
        <v>19621</v>
      </c>
      <c r="O60" t="s">
        <v>5696</v>
      </c>
      <c r="P60" t="s">
        <v>326</v>
      </c>
      <c r="Q60">
        <f t="shared" ca="1" si="7"/>
        <v>732133</v>
      </c>
      <c r="R60" t="str">
        <f t="shared" ca="1" si="8"/>
        <v>2017-11-15</v>
      </c>
      <c r="S60" t="str">
        <f t="shared" ca="1" si="8"/>
        <v>2017-05-03</v>
      </c>
      <c r="T60" t="s">
        <v>6670</v>
      </c>
      <c r="U60" t="s">
        <v>76</v>
      </c>
      <c r="V60" t="s">
        <v>76</v>
      </c>
      <c r="W60" t="s">
        <v>76</v>
      </c>
      <c r="X60" t="s">
        <v>6517</v>
      </c>
      <c r="Y60" t="s">
        <v>6517</v>
      </c>
      <c r="Z60" t="s">
        <v>6517</v>
      </c>
      <c r="AA60" t="s">
        <v>6517</v>
      </c>
    </row>
    <row r="61" spans="1:27" x14ac:dyDescent="0.3">
      <c r="A61" t="s">
        <v>7</v>
      </c>
      <c r="B61" t="s">
        <v>4583</v>
      </c>
      <c r="C61">
        <f t="shared" si="1"/>
        <v>200059</v>
      </c>
      <c r="D61" t="s">
        <v>6670</v>
      </c>
      <c r="E61" t="str">
        <f t="shared" ca="1" si="0"/>
        <v>2005-12-12</v>
      </c>
      <c r="F61">
        <f>IFERROR(VLOOKUP(B61,Contacts.csv!C:D,2,FALSE),"")</f>
        <v>200059</v>
      </c>
      <c r="G61" t="str">
        <f t="shared" si="2"/>
        <v>rg:None</v>
      </c>
      <c r="H61" s="4" t="str">
        <f t="shared" si="3"/>
        <v>rg:[]</v>
      </c>
      <c r="I61" s="1" t="str">
        <f>VLOOKUP(B61,'HETS Data'!A:E,5,FALSE)</f>
        <v>WESTERN COMMUNITIES</v>
      </c>
      <c r="J61">
        <f>VLOOKUP(I61,LocalAreas.csv!D:G,4,FALSE)</f>
        <v>200068</v>
      </c>
      <c r="K61" t="str">
        <f t="shared" si="4"/>
        <v>rg:{'id':'200068'}</v>
      </c>
      <c r="L61" t="str">
        <f t="shared" si="5"/>
        <v>MONS</v>
      </c>
      <c r="N61">
        <f t="shared" ca="1" si="6"/>
        <v>15695</v>
      </c>
      <c r="O61" t="s">
        <v>5696</v>
      </c>
      <c r="P61" t="s">
        <v>326</v>
      </c>
      <c r="Q61">
        <f t="shared" ca="1" si="7"/>
        <v>732015</v>
      </c>
      <c r="R61" t="str">
        <f t="shared" ca="1" si="8"/>
        <v>2017-04-28</v>
      </c>
      <c r="S61" t="str">
        <f t="shared" ca="1" si="8"/>
        <v>2017-11-07</v>
      </c>
      <c r="T61" t="s">
        <v>6670</v>
      </c>
      <c r="U61" t="s">
        <v>76</v>
      </c>
      <c r="V61" t="s">
        <v>76</v>
      </c>
      <c r="W61" t="s">
        <v>76</v>
      </c>
      <c r="X61" t="s">
        <v>6517</v>
      </c>
      <c r="Y61" t="s">
        <v>6517</v>
      </c>
      <c r="Z61" t="s">
        <v>6517</v>
      </c>
      <c r="AA61" t="s">
        <v>6517</v>
      </c>
    </row>
    <row r="62" spans="1:27" x14ac:dyDescent="0.3">
      <c r="A62" t="s">
        <v>7</v>
      </c>
      <c r="B62" t="s">
        <v>4463</v>
      </c>
      <c r="C62">
        <f t="shared" si="1"/>
        <v>200060</v>
      </c>
      <c r="D62" t="s">
        <v>6672</v>
      </c>
      <c r="E62" t="str">
        <f t="shared" ca="1" si="0"/>
        <v>2003-09-05</v>
      </c>
      <c r="F62">
        <f>IFERROR(VLOOKUP(B62,Contacts.csv!C:D,2,FALSE),"")</f>
        <v>200060</v>
      </c>
      <c r="G62" t="str">
        <f t="shared" si="2"/>
        <v>rg:None</v>
      </c>
      <c r="H62" s="4" t="str">
        <f t="shared" si="3"/>
        <v>rg:[]</v>
      </c>
      <c r="I62" s="1" t="str">
        <f>VLOOKUP(B62,'HETS Data'!A:E,5,FALSE)</f>
        <v>HOPE/ALLISON PASS</v>
      </c>
      <c r="J62">
        <f>VLOOKUP(I62,LocalAreas.csv!D:G,4,FALSE)</f>
        <v>200021</v>
      </c>
      <c r="K62" t="str">
        <f t="shared" si="4"/>
        <v>rg:{'id':'200021'}</v>
      </c>
      <c r="L62" t="str">
        <f t="shared" si="5"/>
        <v>MORR</v>
      </c>
      <c r="N62">
        <f t="shared" ca="1" si="6"/>
        <v>14204</v>
      </c>
      <c r="O62" t="s">
        <v>5696</v>
      </c>
      <c r="P62" t="s">
        <v>326</v>
      </c>
      <c r="Q62">
        <f t="shared" ca="1" si="7"/>
        <v>732106</v>
      </c>
      <c r="R62" t="str">
        <f t="shared" ca="1" si="8"/>
        <v>2017-05-31</v>
      </c>
      <c r="S62" t="str">
        <f t="shared" ca="1" si="8"/>
        <v>2018-02-10</v>
      </c>
      <c r="T62" t="s">
        <v>6672</v>
      </c>
      <c r="U62" t="s">
        <v>76</v>
      </c>
      <c r="V62" t="s">
        <v>76</v>
      </c>
      <c r="W62" t="s">
        <v>76</v>
      </c>
      <c r="X62" t="s">
        <v>6517</v>
      </c>
      <c r="Y62" t="s">
        <v>6517</v>
      </c>
      <c r="Z62" t="s">
        <v>6517</v>
      </c>
      <c r="AA62" t="s">
        <v>6517</v>
      </c>
    </row>
    <row r="63" spans="1:27" x14ac:dyDescent="0.3">
      <c r="A63" t="s">
        <v>7</v>
      </c>
      <c r="B63" t="s">
        <v>4275</v>
      </c>
      <c r="C63">
        <f t="shared" si="1"/>
        <v>200061</v>
      </c>
      <c r="D63" t="s">
        <v>6670</v>
      </c>
      <c r="E63" t="str">
        <f t="shared" ca="1" si="0"/>
        <v>2012-09-18</v>
      </c>
      <c r="F63">
        <f>IFERROR(VLOOKUP(B63,Contacts.csv!C:D,2,FALSE),"")</f>
        <v>200061</v>
      </c>
      <c r="G63" t="str">
        <f t="shared" si="2"/>
        <v>rg:None</v>
      </c>
      <c r="H63" s="4" t="str">
        <f t="shared" si="3"/>
        <v>rg:[]</v>
      </c>
      <c r="I63" s="1" t="str">
        <f>VLOOKUP(B63,'HETS Data'!A:E,5,FALSE)</f>
        <v>LOWER MAINLAND-DELTA/RICHMOND</v>
      </c>
      <c r="J63">
        <f>VLOOKUP(I63,LocalAreas.csv!D:G,4,FALSE)</f>
        <v>200031</v>
      </c>
      <c r="K63" t="str">
        <f t="shared" si="4"/>
        <v>rg:{'id':'200031'}</v>
      </c>
      <c r="L63" t="str">
        <f t="shared" si="5"/>
        <v>MRAG</v>
      </c>
      <c r="N63">
        <f t="shared" ca="1" si="6"/>
        <v>14158</v>
      </c>
      <c r="O63" t="s">
        <v>5696</v>
      </c>
      <c r="P63" t="s">
        <v>326</v>
      </c>
      <c r="Q63">
        <f t="shared" ca="1" si="7"/>
        <v>732039</v>
      </c>
      <c r="R63" t="str">
        <f t="shared" ca="1" si="8"/>
        <v>2017-12-16</v>
      </c>
      <c r="S63" t="str">
        <f t="shared" ca="1" si="8"/>
        <v>2017-03-10</v>
      </c>
      <c r="T63" t="s">
        <v>6670</v>
      </c>
      <c r="U63" t="s">
        <v>76</v>
      </c>
      <c r="V63" t="s">
        <v>76</v>
      </c>
      <c r="W63" t="s">
        <v>76</v>
      </c>
      <c r="X63" t="s">
        <v>6517</v>
      </c>
      <c r="Y63" t="s">
        <v>6517</v>
      </c>
      <c r="Z63" t="s">
        <v>6517</v>
      </c>
      <c r="AA63" t="s">
        <v>6517</v>
      </c>
    </row>
    <row r="64" spans="1:27" x14ac:dyDescent="0.3">
      <c r="A64" t="s">
        <v>7</v>
      </c>
      <c r="B64" t="s">
        <v>3114</v>
      </c>
      <c r="C64">
        <f t="shared" si="1"/>
        <v>200062</v>
      </c>
      <c r="D64" t="s">
        <v>6670</v>
      </c>
      <c r="E64" t="str">
        <f t="shared" ca="1" si="0"/>
        <v>2008-10-23</v>
      </c>
      <c r="F64">
        <f>IFERROR(VLOOKUP(B64,Contacts.csv!C:D,2,FALSE),"")</f>
        <v>200062</v>
      </c>
      <c r="G64" t="str">
        <f t="shared" si="2"/>
        <v>rg:None</v>
      </c>
      <c r="H64" s="4" t="str">
        <f t="shared" si="3"/>
        <v>rg:[]</v>
      </c>
      <c r="I64" s="1" t="str">
        <f>VLOOKUP(B64,'HETS Data'!A:E,5,FALSE)</f>
        <v>PORT ALBERNI</v>
      </c>
      <c r="J64">
        <f>VLOOKUP(I64,LocalAreas.csv!D:G,4,FALSE)</f>
        <v>200007</v>
      </c>
      <c r="K64" t="str">
        <f t="shared" si="4"/>
        <v>rg:{'id':'200007'}</v>
      </c>
      <c r="L64" t="str">
        <f t="shared" si="5"/>
        <v>MUIR</v>
      </c>
      <c r="N64">
        <f t="shared" ca="1" si="6"/>
        <v>14521</v>
      </c>
      <c r="O64" t="s">
        <v>5696</v>
      </c>
      <c r="P64" t="s">
        <v>326</v>
      </c>
      <c r="Q64">
        <f t="shared" ca="1" si="7"/>
        <v>732123</v>
      </c>
      <c r="R64" t="str">
        <f t="shared" ca="1" si="8"/>
        <v>2017-12-22</v>
      </c>
      <c r="S64" t="str">
        <f t="shared" ca="1" si="8"/>
        <v>2017-04-21</v>
      </c>
      <c r="T64" t="s">
        <v>6670</v>
      </c>
      <c r="U64" t="s">
        <v>76</v>
      </c>
      <c r="V64" t="s">
        <v>76</v>
      </c>
      <c r="W64" t="s">
        <v>76</v>
      </c>
      <c r="X64" t="s">
        <v>6517</v>
      </c>
      <c r="Y64" t="s">
        <v>6517</v>
      </c>
      <c r="Z64" t="s">
        <v>6517</v>
      </c>
      <c r="AA64" t="s">
        <v>6517</v>
      </c>
    </row>
    <row r="65" spans="1:27" x14ac:dyDescent="0.3">
      <c r="A65" t="s">
        <v>7</v>
      </c>
      <c r="B65" t="s">
        <v>3150</v>
      </c>
      <c r="C65">
        <f t="shared" si="1"/>
        <v>200063</v>
      </c>
      <c r="D65" t="s">
        <v>6671</v>
      </c>
      <c r="E65" t="str">
        <f t="shared" ca="1" si="0"/>
        <v>2014-06-03</v>
      </c>
      <c r="F65">
        <f>IFERROR(VLOOKUP(B65,Contacts.csv!C:D,2,FALSE),"")</f>
        <v>200063</v>
      </c>
      <c r="G65" t="str">
        <f t="shared" si="2"/>
        <v>rg:None</v>
      </c>
      <c r="H65" s="4" t="str">
        <f t="shared" si="3"/>
        <v>rg:[]</v>
      </c>
      <c r="I65" s="1" t="str">
        <f>VLOOKUP(B65,'HETS Data'!A:E,5,FALSE)</f>
        <v>LOWER MAINLAND-COQUITLAM/BURNABY/VAN</v>
      </c>
      <c r="J65">
        <f>VLOOKUP(I65,LocalAreas.csv!D:G,4,FALSE)</f>
        <v>200030</v>
      </c>
      <c r="K65" t="str">
        <f t="shared" si="4"/>
        <v>rg:{'id':'200030'}</v>
      </c>
      <c r="L65" t="str">
        <f t="shared" si="5"/>
        <v>MUSE</v>
      </c>
      <c r="N65">
        <f t="shared" ca="1" si="6"/>
        <v>16952</v>
      </c>
      <c r="O65" t="s">
        <v>5696</v>
      </c>
      <c r="P65" t="s">
        <v>326</v>
      </c>
      <c r="Q65">
        <f t="shared" ca="1" si="7"/>
        <v>732126</v>
      </c>
      <c r="R65" t="str">
        <f t="shared" ca="1" si="8"/>
        <v>2017-04-07</v>
      </c>
      <c r="S65" t="str">
        <f t="shared" ca="1" si="8"/>
        <v>2017-03-14</v>
      </c>
      <c r="T65" t="s">
        <v>6671</v>
      </c>
      <c r="U65" t="s">
        <v>5391</v>
      </c>
      <c r="V65" t="s">
        <v>6674</v>
      </c>
      <c r="W65" t="str">
        <f ca="1">TEXT(TODAY()-RANDBETWEEN(10,350),"YYYY-MM-DD")</f>
        <v>2016-07-08</v>
      </c>
      <c r="X65" t="s">
        <v>6517</v>
      </c>
      <c r="Y65" t="s">
        <v>6517</v>
      </c>
      <c r="Z65" t="s">
        <v>6517</v>
      </c>
      <c r="AA65" t="s">
        <v>6517</v>
      </c>
    </row>
    <row r="66" spans="1:27" x14ac:dyDescent="0.3">
      <c r="A66" t="s">
        <v>7</v>
      </c>
      <c r="B66" t="s">
        <v>4611</v>
      </c>
      <c r="C66">
        <f t="shared" si="1"/>
        <v>200064</v>
      </c>
      <c r="D66" t="s">
        <v>6670</v>
      </c>
      <c r="E66" t="str">
        <f t="shared" ref="E66:E112" ca="1" si="9">TEXT(TODAY()-RANDBETWEEN(200,5000),"YYYY-MM-DD")</f>
        <v>2009-08-27</v>
      </c>
      <c r="F66">
        <f>IFERROR(VLOOKUP(B66,Contacts.csv!C:D,2,FALSE),"")</f>
        <v>200064</v>
      </c>
      <c r="G66" t="str">
        <f t="shared" si="2"/>
        <v>rg:None</v>
      </c>
      <c r="H66" s="4" t="str">
        <f t="shared" si="3"/>
        <v>rg:[]</v>
      </c>
      <c r="I66" s="1" t="str">
        <f>VLOOKUP(B66,'HETS Data'!A:E,5,FALSE)</f>
        <v>LOWER MAINLAND-SURREY/LANGLEY</v>
      </c>
      <c r="J66">
        <f>VLOOKUP(I66,LocalAreas.csv!D:G,4,FALSE)</f>
        <v>200029</v>
      </c>
      <c r="K66" t="str">
        <f t="shared" ref="K66:K112" si="10" xml:space="preserve"> "rg:{'id':'" &amp; J66 &amp; "'}"</f>
        <v>rg:{'id':'200029'}</v>
      </c>
      <c r="L66" t="str">
        <f t="shared" si="5"/>
        <v>MUSI</v>
      </c>
      <c r="N66">
        <f t="shared" ca="1" si="6"/>
        <v>18200</v>
      </c>
      <c r="O66" t="s">
        <v>5696</v>
      </c>
      <c r="P66" t="s">
        <v>326</v>
      </c>
      <c r="Q66">
        <f t="shared" ca="1" si="7"/>
        <v>732042</v>
      </c>
      <c r="R66" t="str">
        <f t="shared" ca="1" si="8"/>
        <v>2018-02-10</v>
      </c>
      <c r="S66" t="str">
        <f t="shared" ca="1" si="8"/>
        <v>2017-05-08</v>
      </c>
      <c r="T66" t="s">
        <v>6670</v>
      </c>
      <c r="U66" t="s">
        <v>76</v>
      </c>
      <c r="V66" t="s">
        <v>76</v>
      </c>
      <c r="W66" t="s">
        <v>76</v>
      </c>
      <c r="X66" t="s">
        <v>6517</v>
      </c>
      <c r="Y66" t="s">
        <v>6517</v>
      </c>
      <c r="Z66" t="s">
        <v>6517</v>
      </c>
      <c r="AA66" t="s">
        <v>6517</v>
      </c>
    </row>
    <row r="67" spans="1:27" x14ac:dyDescent="0.3">
      <c r="A67" t="s">
        <v>7</v>
      </c>
      <c r="B67" t="s">
        <v>4023</v>
      </c>
      <c r="C67">
        <f t="shared" ref="C67:C112" si="11">IF(ISNUMBER(C66),C66+1,101)</f>
        <v>200065</v>
      </c>
      <c r="D67" t="s">
        <v>6670</v>
      </c>
      <c r="E67" t="str">
        <f t="shared" ca="1" si="9"/>
        <v>2006-06-13</v>
      </c>
      <c r="F67">
        <f>IFERROR(VLOOKUP(B67,Contacts.csv!C:D,2,FALSE),"")</f>
        <v>200065</v>
      </c>
      <c r="G67" t="str">
        <f t="shared" ref="G67:G112" si="12">IF(1=1,"rg:None", IF(ISNUMBER(F67),"rg:{'id':'" &amp; F67 &amp; "'}","rg:None"))</f>
        <v>rg:None</v>
      </c>
      <c r="H67" s="4" t="str">
        <f t="shared" ref="H67:H112" si="13">IF(1=1,"rg:[]", IF(ISNUMBER(F67),"rg:[{'id':'" &amp; F67 &amp; "'}]","rg:[]"))</f>
        <v>rg:[]</v>
      </c>
      <c r="I67" s="1" t="str">
        <f>VLOOKUP(B67,'HETS Data'!A:E,5,FALSE)</f>
        <v>PENTICTON RD. MANAGEMENT AREA</v>
      </c>
      <c r="J67">
        <f>VLOOKUP(I67,LocalAreas.csv!D:G,4,FALSE)</f>
        <v>200069</v>
      </c>
      <c r="K67" t="str">
        <f t="shared" si="10"/>
        <v>rg:{'id':'200069'}</v>
      </c>
      <c r="L67" t="str">
        <f t="shared" ref="L67:L112" si="14">UPPER(LEFT(SUBSTITUTE(SUBSTITUTE(SUBSTITUTE(B67,"The","")," ",""),".",""),4))</f>
        <v>NATI</v>
      </c>
      <c r="N67">
        <f t="shared" ref="N67:N112" ca="1" si="15">RANDBETWEEN(10000,20000)</f>
        <v>14742</v>
      </c>
      <c r="O67" t="s">
        <v>5696</v>
      </c>
      <c r="P67" t="s">
        <v>326</v>
      </c>
      <c r="Q67">
        <f t="shared" ref="Q67:Q112" ca="1" si="16">RANDBETWEEN(732000,732200)</f>
        <v>732164</v>
      </c>
      <c r="R67" t="str">
        <f t="shared" ref="R67:S112" ca="1" si="17">TEXT(TODAY()+RANDBETWEEN(-10,350),"YYYY-MM-DD")</f>
        <v>2017-03-09</v>
      </c>
      <c r="S67" t="str">
        <f t="shared" ca="1" si="17"/>
        <v>2017-11-16</v>
      </c>
      <c r="T67" t="s">
        <v>6670</v>
      </c>
      <c r="U67" t="s">
        <v>76</v>
      </c>
      <c r="V67" t="s">
        <v>76</v>
      </c>
      <c r="W67" t="s">
        <v>76</v>
      </c>
      <c r="X67" t="s">
        <v>6517</v>
      </c>
      <c r="Y67" t="s">
        <v>6517</v>
      </c>
      <c r="Z67" t="s">
        <v>6517</v>
      </c>
      <c r="AA67" t="s">
        <v>6517</v>
      </c>
    </row>
    <row r="68" spans="1:27" x14ac:dyDescent="0.3">
      <c r="A68" t="s">
        <v>7</v>
      </c>
      <c r="B68" t="s">
        <v>3933</v>
      </c>
      <c r="C68">
        <f t="shared" si="11"/>
        <v>200066</v>
      </c>
      <c r="D68" t="s">
        <v>6670</v>
      </c>
      <c r="E68" t="str">
        <f t="shared" ca="1" si="9"/>
        <v>2005-12-29</v>
      </c>
      <c r="F68">
        <f>IFERROR(VLOOKUP(B68,Contacts.csv!C:D,2,FALSE),"")</f>
        <v>200066</v>
      </c>
      <c r="G68" t="str">
        <f t="shared" si="12"/>
        <v>rg:None</v>
      </c>
      <c r="H68" s="4" t="str">
        <f t="shared" si="13"/>
        <v>rg:[]</v>
      </c>
      <c r="I68" s="1" t="str">
        <f>VLOOKUP(B68,'HETS Data'!A:E,5,FALSE)</f>
        <v>LOWER MAINLAND-SURREY/LANGLEY</v>
      </c>
      <c r="J68">
        <f>VLOOKUP(I68,LocalAreas.csv!D:G,4,FALSE)</f>
        <v>200029</v>
      </c>
      <c r="K68" t="str">
        <f t="shared" si="10"/>
        <v>rg:{'id':'200029'}</v>
      </c>
      <c r="L68" t="s">
        <v>8066</v>
      </c>
      <c r="N68">
        <f t="shared" ca="1" si="15"/>
        <v>14998</v>
      </c>
      <c r="O68" t="s">
        <v>5696</v>
      </c>
      <c r="P68" t="s">
        <v>326</v>
      </c>
      <c r="Q68">
        <f t="shared" ca="1" si="16"/>
        <v>732089</v>
      </c>
      <c r="R68" t="str">
        <f t="shared" ca="1" si="17"/>
        <v>2017-02-26</v>
      </c>
      <c r="S68" t="str">
        <f t="shared" ca="1" si="17"/>
        <v>2017-11-21</v>
      </c>
      <c r="T68" t="s">
        <v>6670</v>
      </c>
      <c r="U68" t="s">
        <v>76</v>
      </c>
      <c r="V68" t="s">
        <v>76</v>
      </c>
      <c r="W68" t="s">
        <v>76</v>
      </c>
      <c r="X68" t="s">
        <v>6517</v>
      </c>
      <c r="Y68" t="s">
        <v>6517</v>
      </c>
      <c r="Z68" t="s">
        <v>6517</v>
      </c>
      <c r="AA68" t="s">
        <v>6517</v>
      </c>
    </row>
    <row r="69" spans="1:27" x14ac:dyDescent="0.3">
      <c r="A69" t="s">
        <v>7</v>
      </c>
      <c r="B69" t="s">
        <v>4447</v>
      </c>
      <c r="C69">
        <f t="shared" si="11"/>
        <v>200067</v>
      </c>
      <c r="D69" t="s">
        <v>6670</v>
      </c>
      <c r="E69" t="str">
        <f t="shared" ca="1" si="9"/>
        <v>2010-09-07</v>
      </c>
      <c r="F69">
        <f>IFERROR(VLOOKUP(B69,Contacts.csv!C:D,2,FALSE),"")</f>
        <v>200067</v>
      </c>
      <c r="G69" t="str">
        <f t="shared" si="12"/>
        <v>rg:None</v>
      </c>
      <c r="H69" s="4" t="str">
        <f t="shared" si="13"/>
        <v>rg:[]</v>
      </c>
      <c r="I69" s="1" t="str">
        <f>VLOOKUP(B69,'HETS Data'!A:E,5,FALSE)</f>
        <v>LOWER MAINLAND-SURREY/LANGLEY</v>
      </c>
      <c r="J69">
        <f>VLOOKUP(I69,LocalAreas.csv!D:G,4,FALSE)</f>
        <v>200029</v>
      </c>
      <c r="K69" t="str">
        <f t="shared" si="10"/>
        <v>rg:{'id':'200029'}</v>
      </c>
      <c r="L69" t="str">
        <f t="shared" si="14"/>
        <v>NEWM</v>
      </c>
      <c r="N69">
        <f t="shared" ca="1" si="15"/>
        <v>15479</v>
      </c>
      <c r="O69" t="s">
        <v>5696</v>
      </c>
      <c r="P69" t="s">
        <v>326</v>
      </c>
      <c r="Q69">
        <f t="shared" ca="1" si="16"/>
        <v>732143</v>
      </c>
      <c r="R69" t="str">
        <f t="shared" ca="1" si="17"/>
        <v>2017-07-25</v>
      </c>
      <c r="S69" t="str">
        <f t="shared" ca="1" si="17"/>
        <v>2017-12-23</v>
      </c>
      <c r="T69" t="s">
        <v>6670</v>
      </c>
      <c r="U69" t="s">
        <v>76</v>
      </c>
      <c r="V69" t="s">
        <v>76</v>
      </c>
      <c r="W69" t="s">
        <v>76</v>
      </c>
      <c r="X69" t="s">
        <v>6517</v>
      </c>
      <c r="Y69" t="s">
        <v>6517</v>
      </c>
      <c r="Z69" t="s">
        <v>6517</v>
      </c>
      <c r="AA69" t="s">
        <v>6517</v>
      </c>
    </row>
    <row r="70" spans="1:27" x14ac:dyDescent="0.3">
      <c r="A70" t="s">
        <v>7</v>
      </c>
      <c r="B70" t="s">
        <v>4569</v>
      </c>
      <c r="C70">
        <f t="shared" si="11"/>
        <v>200068</v>
      </c>
      <c r="D70" t="s">
        <v>6670</v>
      </c>
      <c r="E70" t="str">
        <f t="shared" ca="1" si="9"/>
        <v>2011-05-02</v>
      </c>
      <c r="F70">
        <f>IFERROR(VLOOKUP(B70,Contacts.csv!C:D,2,FALSE),"")</f>
        <v>200068</v>
      </c>
      <c r="G70" t="str">
        <f t="shared" si="12"/>
        <v>rg:None</v>
      </c>
      <c r="H70" s="4" t="str">
        <f t="shared" si="13"/>
        <v>rg:[]</v>
      </c>
      <c r="I70" s="1" t="str">
        <f>VLOOKUP(B70,'HETS Data'!A:E,5,FALSE)</f>
        <v>LOWER MAINLAND-SURREY/LANGLEY</v>
      </c>
      <c r="J70">
        <f>VLOOKUP(I70,LocalAreas.csv!D:G,4,FALSE)</f>
        <v>200029</v>
      </c>
      <c r="K70" t="str">
        <f t="shared" si="10"/>
        <v>rg:{'id':'200029'}</v>
      </c>
      <c r="L70" t="str">
        <f t="shared" si="14"/>
        <v>OLDA</v>
      </c>
      <c r="N70">
        <f t="shared" ca="1" si="15"/>
        <v>12389</v>
      </c>
      <c r="O70" t="s">
        <v>5696</v>
      </c>
      <c r="P70" t="s">
        <v>326</v>
      </c>
      <c r="Q70">
        <f t="shared" ca="1" si="16"/>
        <v>732158</v>
      </c>
      <c r="R70" t="str">
        <f t="shared" ca="1" si="17"/>
        <v>2017-06-01</v>
      </c>
      <c r="S70" t="str">
        <f t="shared" ca="1" si="17"/>
        <v>2018-01-07</v>
      </c>
      <c r="T70" t="s">
        <v>6670</v>
      </c>
      <c r="U70" t="s">
        <v>76</v>
      </c>
      <c r="V70" t="s">
        <v>76</v>
      </c>
      <c r="W70" t="s">
        <v>76</v>
      </c>
      <c r="X70" t="s">
        <v>6517</v>
      </c>
      <c r="Y70" t="s">
        <v>6517</v>
      </c>
      <c r="Z70" t="s">
        <v>6517</v>
      </c>
      <c r="AA70" t="s">
        <v>6517</v>
      </c>
    </row>
    <row r="71" spans="1:27" x14ac:dyDescent="0.3">
      <c r="A71" t="s">
        <v>7</v>
      </c>
      <c r="B71" t="s">
        <v>3795</v>
      </c>
      <c r="C71">
        <f t="shared" si="11"/>
        <v>200069</v>
      </c>
      <c r="D71" t="s">
        <v>6670</v>
      </c>
      <c r="E71" t="str">
        <f t="shared" ca="1" si="9"/>
        <v>2016-06-04</v>
      </c>
      <c r="F71">
        <f>IFERROR(VLOOKUP(B71,Contacts.csv!C:D,2,FALSE),"")</f>
        <v>200069</v>
      </c>
      <c r="G71" t="str">
        <f t="shared" si="12"/>
        <v>rg:None</v>
      </c>
      <c r="H71" s="4" t="str">
        <f t="shared" si="13"/>
        <v>rg:[]</v>
      </c>
      <c r="I71" s="1" t="str">
        <f>VLOOKUP(B71,'HETS Data'!A:E,5,FALSE)</f>
        <v>PENTICTON RD. MANAGEMENT AREA</v>
      </c>
      <c r="J71">
        <f>VLOOKUP(I71,LocalAreas.csv!D:G,4,FALSE)</f>
        <v>200069</v>
      </c>
      <c r="K71" t="str">
        <f t="shared" si="10"/>
        <v>rg:{'id':'200069'}</v>
      </c>
      <c r="L71" t="str">
        <f t="shared" si="14"/>
        <v>ORAN</v>
      </c>
      <c r="N71">
        <f t="shared" ca="1" si="15"/>
        <v>12219</v>
      </c>
      <c r="O71" t="s">
        <v>5696</v>
      </c>
      <c r="P71" t="s">
        <v>326</v>
      </c>
      <c r="Q71">
        <f t="shared" ca="1" si="16"/>
        <v>732054</v>
      </c>
      <c r="R71" t="str">
        <f t="shared" ca="1" si="17"/>
        <v>2017-10-03</v>
      </c>
      <c r="S71" t="str">
        <f t="shared" ca="1" si="17"/>
        <v>2017-04-15</v>
      </c>
      <c r="T71" t="s">
        <v>6670</v>
      </c>
      <c r="U71" t="s">
        <v>76</v>
      </c>
      <c r="V71" t="s">
        <v>76</v>
      </c>
      <c r="W71" t="s">
        <v>76</v>
      </c>
      <c r="X71" t="s">
        <v>6517</v>
      </c>
      <c r="Y71" t="s">
        <v>6517</v>
      </c>
      <c r="Z71" t="s">
        <v>6517</v>
      </c>
      <c r="AA71" t="s">
        <v>6517</v>
      </c>
    </row>
    <row r="72" spans="1:27" x14ac:dyDescent="0.3">
      <c r="A72" t="s">
        <v>7</v>
      </c>
      <c r="B72" t="s">
        <v>4415</v>
      </c>
      <c r="C72">
        <f t="shared" si="11"/>
        <v>200070</v>
      </c>
      <c r="D72" t="s">
        <v>6670</v>
      </c>
      <c r="E72" t="str">
        <f t="shared" ca="1" si="9"/>
        <v>2016-04-25</v>
      </c>
      <c r="F72">
        <f>IFERROR(VLOOKUP(B72,Contacts.csv!C:D,2,FALSE),"")</f>
        <v>200070</v>
      </c>
      <c r="G72" t="str">
        <f t="shared" si="12"/>
        <v>rg:None</v>
      </c>
      <c r="H72" s="4" t="str">
        <f t="shared" si="13"/>
        <v>rg:[]</v>
      </c>
      <c r="I72" s="1" t="str">
        <f>VLOOKUP(B72,'HETS Data'!A:E,5,FALSE)</f>
        <v>WESTERN COMMUNITIES</v>
      </c>
      <c r="J72">
        <f>VLOOKUP(I72,LocalAreas.csv!D:G,4,FALSE)</f>
        <v>200068</v>
      </c>
      <c r="K72" t="str">
        <f t="shared" si="10"/>
        <v>rg:{'id':'200068'}</v>
      </c>
      <c r="L72" t="str">
        <f t="shared" si="14"/>
        <v>PSAM</v>
      </c>
      <c r="N72">
        <f t="shared" ca="1" si="15"/>
        <v>14916</v>
      </c>
      <c r="O72" t="s">
        <v>5696</v>
      </c>
      <c r="P72" t="s">
        <v>326</v>
      </c>
      <c r="Q72">
        <f t="shared" ca="1" si="16"/>
        <v>732175</v>
      </c>
      <c r="R72" t="str">
        <f t="shared" ca="1" si="17"/>
        <v>2018-02-05</v>
      </c>
      <c r="S72" t="str">
        <f t="shared" ca="1" si="17"/>
        <v>2017-07-08</v>
      </c>
      <c r="T72" t="s">
        <v>6670</v>
      </c>
      <c r="U72" t="s">
        <v>76</v>
      </c>
      <c r="V72" t="s">
        <v>76</v>
      </c>
      <c r="W72" t="s">
        <v>76</v>
      </c>
      <c r="X72" t="s">
        <v>6517</v>
      </c>
      <c r="Y72" t="s">
        <v>6517</v>
      </c>
      <c r="Z72" t="s">
        <v>6517</v>
      </c>
      <c r="AA72" t="s">
        <v>6517</v>
      </c>
    </row>
    <row r="73" spans="1:27" x14ac:dyDescent="0.3">
      <c r="A73" t="s">
        <v>7</v>
      </c>
      <c r="B73" t="s">
        <v>3342</v>
      </c>
      <c r="C73">
        <f t="shared" si="11"/>
        <v>200071</v>
      </c>
      <c r="D73" t="s">
        <v>6672</v>
      </c>
      <c r="E73" t="str">
        <f t="shared" ca="1" si="9"/>
        <v>2009-04-27</v>
      </c>
      <c r="F73">
        <f>IFERROR(VLOOKUP(B73,Contacts.csv!C:D,2,FALSE),"")</f>
        <v>200071</v>
      </c>
      <c r="G73" t="str">
        <f t="shared" si="12"/>
        <v>rg:None</v>
      </c>
      <c r="H73" s="4" t="str">
        <f t="shared" si="13"/>
        <v>rg:[]</v>
      </c>
      <c r="I73" s="1" t="str">
        <f>VLOOKUP(B73,'HETS Data'!A:E,5,FALSE)</f>
        <v>LOWER MAINLAND-SURREY/LANGLEY</v>
      </c>
      <c r="J73">
        <f>VLOOKUP(I73,LocalAreas.csv!D:G,4,FALSE)</f>
        <v>200029</v>
      </c>
      <c r="K73" t="str">
        <f t="shared" si="10"/>
        <v>rg:{'id':'200029'}</v>
      </c>
      <c r="L73" t="str">
        <f t="shared" si="14"/>
        <v>PANT</v>
      </c>
      <c r="N73">
        <f t="shared" ca="1" si="15"/>
        <v>12164</v>
      </c>
      <c r="O73" t="s">
        <v>5696</v>
      </c>
      <c r="P73" t="s">
        <v>326</v>
      </c>
      <c r="Q73">
        <f t="shared" ca="1" si="16"/>
        <v>732028</v>
      </c>
      <c r="R73" t="str">
        <f t="shared" ca="1" si="17"/>
        <v>2017-04-29</v>
      </c>
      <c r="S73" t="str">
        <f t="shared" ca="1" si="17"/>
        <v>2017-07-11</v>
      </c>
      <c r="T73" t="s">
        <v>6672</v>
      </c>
      <c r="U73" t="s">
        <v>76</v>
      </c>
      <c r="V73" t="s">
        <v>76</v>
      </c>
      <c r="W73" t="s">
        <v>76</v>
      </c>
      <c r="X73" t="s">
        <v>6517</v>
      </c>
      <c r="Y73" t="s">
        <v>6517</v>
      </c>
      <c r="Z73" t="s">
        <v>6517</v>
      </c>
      <c r="AA73" t="s">
        <v>6517</v>
      </c>
    </row>
    <row r="74" spans="1:27" x14ac:dyDescent="0.3">
      <c r="A74" t="s">
        <v>7</v>
      </c>
      <c r="B74" t="s">
        <v>3376</v>
      </c>
      <c r="C74">
        <f t="shared" si="11"/>
        <v>200072</v>
      </c>
      <c r="D74" t="s">
        <v>6670</v>
      </c>
      <c r="E74" t="str">
        <f t="shared" ca="1" si="9"/>
        <v>2012-02-13</v>
      </c>
      <c r="F74">
        <f>IFERROR(VLOOKUP(B74,Contacts.csv!C:D,2,FALSE),"")</f>
        <v>200072</v>
      </c>
      <c r="G74" t="str">
        <f t="shared" si="12"/>
        <v>rg:None</v>
      </c>
      <c r="H74" s="4" t="str">
        <f t="shared" si="13"/>
        <v>rg:[]</v>
      </c>
      <c r="I74" s="1" t="str">
        <f>VLOOKUP(B74,'HETS Data'!A:E,5,FALSE)</f>
        <v>PENTICTON RD. MANAGEMENT AREA</v>
      </c>
      <c r="J74">
        <f>VLOOKUP(I74,LocalAreas.csv!D:G,4,FALSE)</f>
        <v>200069</v>
      </c>
      <c r="K74" t="str">
        <f t="shared" si="10"/>
        <v>rg:{'id':'200069'}</v>
      </c>
      <c r="L74" t="s">
        <v>8065</v>
      </c>
      <c r="N74">
        <f t="shared" ca="1" si="15"/>
        <v>17875</v>
      </c>
      <c r="O74" t="s">
        <v>5696</v>
      </c>
      <c r="P74" t="s">
        <v>326</v>
      </c>
      <c r="Q74">
        <f t="shared" ca="1" si="16"/>
        <v>732038</v>
      </c>
      <c r="R74" t="str">
        <f t="shared" ca="1" si="17"/>
        <v>2018-01-28</v>
      </c>
      <c r="S74" t="str">
        <f t="shared" ca="1" si="17"/>
        <v>2017-11-07</v>
      </c>
      <c r="T74" t="s">
        <v>6670</v>
      </c>
      <c r="U74" t="s">
        <v>76</v>
      </c>
      <c r="V74" t="s">
        <v>76</v>
      </c>
      <c r="W74" t="s">
        <v>76</v>
      </c>
      <c r="X74" t="s">
        <v>6517</v>
      </c>
      <c r="Y74" t="s">
        <v>6517</v>
      </c>
      <c r="Z74" t="s">
        <v>6517</v>
      </c>
      <c r="AA74" t="s">
        <v>6517</v>
      </c>
    </row>
    <row r="75" spans="1:27" x14ac:dyDescent="0.3">
      <c r="A75" t="s">
        <v>7</v>
      </c>
      <c r="B75" t="s">
        <v>3683</v>
      </c>
      <c r="C75">
        <f t="shared" si="11"/>
        <v>200073</v>
      </c>
      <c r="D75" t="s">
        <v>6670</v>
      </c>
      <c r="E75" t="str">
        <f t="shared" ca="1" si="9"/>
        <v>2010-05-10</v>
      </c>
      <c r="F75">
        <f>IFERROR(VLOOKUP(B75,Contacts.csv!C:D,2,FALSE),"")</f>
        <v>200073</v>
      </c>
      <c r="G75" t="str">
        <f t="shared" si="12"/>
        <v>rg:None</v>
      </c>
      <c r="H75" s="4" t="str">
        <f t="shared" si="13"/>
        <v>rg:[]</v>
      </c>
      <c r="I75" s="1" t="str">
        <f>VLOOKUP(B75,'HETS Data'!A:E,5,FALSE)</f>
        <v>COBBLE HILL</v>
      </c>
      <c r="J75">
        <f>VLOOKUP(I75,LocalAreas.csv!D:G,4,FALSE)</f>
        <v>200064</v>
      </c>
      <c r="K75" t="str">
        <f t="shared" si="10"/>
        <v>rg:{'id':'200064'}</v>
      </c>
      <c r="L75" t="str">
        <f t="shared" si="14"/>
        <v>PART</v>
      </c>
      <c r="N75">
        <f t="shared" ca="1" si="15"/>
        <v>12210</v>
      </c>
      <c r="O75" t="s">
        <v>5696</v>
      </c>
      <c r="P75" t="s">
        <v>326</v>
      </c>
      <c r="Q75">
        <f t="shared" ca="1" si="16"/>
        <v>732007</v>
      </c>
      <c r="R75" t="str">
        <f t="shared" ca="1" si="17"/>
        <v>2017-12-19</v>
      </c>
      <c r="S75" t="str">
        <f t="shared" ca="1" si="17"/>
        <v>2017-08-03</v>
      </c>
      <c r="T75" t="s">
        <v>6670</v>
      </c>
      <c r="U75" t="s">
        <v>76</v>
      </c>
      <c r="V75" t="s">
        <v>76</v>
      </c>
      <c r="W75" t="s">
        <v>76</v>
      </c>
      <c r="X75" t="s">
        <v>6517</v>
      </c>
      <c r="Y75" t="s">
        <v>6517</v>
      </c>
      <c r="Z75" t="s">
        <v>6517</v>
      </c>
      <c r="AA75" t="s">
        <v>6517</v>
      </c>
    </row>
    <row r="76" spans="1:27" x14ac:dyDescent="0.3">
      <c r="A76" t="s">
        <v>7</v>
      </c>
      <c r="B76" t="s">
        <v>4326</v>
      </c>
      <c r="C76">
        <f t="shared" si="11"/>
        <v>200074</v>
      </c>
      <c r="D76" t="s">
        <v>6671</v>
      </c>
      <c r="E76" t="str">
        <f t="shared" ca="1" si="9"/>
        <v>2009-07-15</v>
      </c>
      <c r="F76">
        <f>IFERROR(VLOOKUP(B76,Contacts.csv!C:D,2,FALSE),"")</f>
        <v>200074</v>
      </c>
      <c r="G76" t="str">
        <f t="shared" si="12"/>
        <v>rg:None</v>
      </c>
      <c r="H76" s="4" t="str">
        <f t="shared" si="13"/>
        <v>rg:[]</v>
      </c>
      <c r="I76" s="1" t="str">
        <f>VLOOKUP(B76,'HETS Data'!A:E,5,FALSE)</f>
        <v>LOWER MAINLAND-SURREY/LANGLEY</v>
      </c>
      <c r="J76">
        <f>VLOOKUP(I76,LocalAreas.csv!D:G,4,FALSE)</f>
        <v>200029</v>
      </c>
      <c r="K76" t="str">
        <f t="shared" si="10"/>
        <v>rg:{'id':'200029'}</v>
      </c>
      <c r="L76" t="str">
        <f t="shared" si="14"/>
        <v>PICC</v>
      </c>
      <c r="N76">
        <f t="shared" ca="1" si="15"/>
        <v>10391</v>
      </c>
      <c r="O76" t="s">
        <v>5696</v>
      </c>
      <c r="P76" t="s">
        <v>326</v>
      </c>
      <c r="Q76">
        <f t="shared" ca="1" si="16"/>
        <v>732089</v>
      </c>
      <c r="R76" t="str">
        <f t="shared" ca="1" si="17"/>
        <v>2017-12-15</v>
      </c>
      <c r="S76" t="str">
        <f t="shared" ca="1" si="17"/>
        <v>2017-12-10</v>
      </c>
      <c r="T76" t="s">
        <v>6671</v>
      </c>
      <c r="U76" t="s">
        <v>5391</v>
      </c>
      <c r="V76" t="s">
        <v>6675</v>
      </c>
      <c r="W76" t="str">
        <f ca="1">TEXT(TODAY()-RANDBETWEEN(10,350),"YYYY-MM-DD")</f>
        <v>2016-05-27</v>
      </c>
      <c r="X76" t="s">
        <v>6517</v>
      </c>
      <c r="Y76" t="s">
        <v>6517</v>
      </c>
      <c r="Z76" t="s">
        <v>6517</v>
      </c>
      <c r="AA76" t="s">
        <v>6517</v>
      </c>
    </row>
    <row r="77" spans="1:27" x14ac:dyDescent="0.3">
      <c r="A77" t="s">
        <v>7</v>
      </c>
      <c r="B77" t="s">
        <v>3056</v>
      </c>
      <c r="C77">
        <f t="shared" si="11"/>
        <v>200075</v>
      </c>
      <c r="D77" t="s">
        <v>6670</v>
      </c>
      <c r="E77" t="str">
        <f t="shared" ca="1" si="9"/>
        <v>2014-12-08</v>
      </c>
      <c r="F77">
        <f>IFERROR(VLOOKUP(B77,Contacts.csv!C:D,2,FALSE),"")</f>
        <v>200075</v>
      </c>
      <c r="G77" t="str">
        <f t="shared" si="12"/>
        <v>rg:None</v>
      </c>
      <c r="H77" s="4" t="str">
        <f t="shared" si="13"/>
        <v>rg:[]</v>
      </c>
      <c r="I77" s="1" t="str">
        <f>VLOOKUP(B77,'HETS Data'!A:E,5,FALSE)</f>
        <v>PARKSVILLE/QUALICUM</v>
      </c>
      <c r="J77">
        <f>VLOOKUP(I77,LocalAreas.csv!D:G,4,FALSE)</f>
        <v>200006</v>
      </c>
      <c r="K77" t="str">
        <f t="shared" si="10"/>
        <v>rg:{'id':'200006'}</v>
      </c>
      <c r="L77" t="s">
        <v>8064</v>
      </c>
      <c r="N77">
        <f t="shared" ca="1" si="15"/>
        <v>16629</v>
      </c>
      <c r="O77" t="s">
        <v>5696</v>
      </c>
      <c r="P77" t="s">
        <v>326</v>
      </c>
      <c r="Q77">
        <f t="shared" ca="1" si="16"/>
        <v>732026</v>
      </c>
      <c r="R77" t="str">
        <f t="shared" ca="1" si="17"/>
        <v>2017-12-09</v>
      </c>
      <c r="S77" t="str">
        <f t="shared" ca="1" si="17"/>
        <v>2017-11-11</v>
      </c>
      <c r="T77" t="s">
        <v>6670</v>
      </c>
      <c r="U77" t="s">
        <v>76</v>
      </c>
      <c r="V77" t="s">
        <v>76</v>
      </c>
      <c r="W77" t="s">
        <v>76</v>
      </c>
      <c r="X77" t="s">
        <v>6517</v>
      </c>
      <c r="Y77" t="s">
        <v>6517</v>
      </c>
      <c r="Z77" t="s">
        <v>6517</v>
      </c>
      <c r="AA77" t="s">
        <v>6517</v>
      </c>
    </row>
    <row r="78" spans="1:27" x14ac:dyDescent="0.3">
      <c r="A78" t="s">
        <v>7</v>
      </c>
      <c r="B78" t="s">
        <v>4793</v>
      </c>
      <c r="C78">
        <f t="shared" si="11"/>
        <v>200076</v>
      </c>
      <c r="D78" t="s">
        <v>6670</v>
      </c>
      <c r="E78" t="str">
        <f t="shared" ca="1" si="9"/>
        <v>2005-03-03</v>
      </c>
      <c r="F78">
        <f>IFERROR(VLOOKUP(B78,Contacts.csv!C:D,2,FALSE),"")</f>
        <v>200076</v>
      </c>
      <c r="G78" t="str">
        <f t="shared" si="12"/>
        <v>rg:None</v>
      </c>
      <c r="H78" s="4" t="str">
        <f t="shared" si="13"/>
        <v>rg:[]</v>
      </c>
      <c r="I78" s="1" t="str">
        <f>VLOOKUP(B78,'HETS Data'!A:E,5,FALSE)</f>
        <v>LOWER MAINLAND-SURREY/LANGLEY</v>
      </c>
      <c r="J78">
        <f>VLOOKUP(I78,LocalAreas.csv!D:G,4,FALSE)</f>
        <v>200029</v>
      </c>
      <c r="K78" t="str">
        <f t="shared" si="10"/>
        <v>rg:{'id':'200029'}</v>
      </c>
      <c r="L78" t="s">
        <v>8063</v>
      </c>
      <c r="N78">
        <f t="shared" ca="1" si="15"/>
        <v>13264</v>
      </c>
      <c r="O78" t="s">
        <v>5696</v>
      </c>
      <c r="P78" t="s">
        <v>326</v>
      </c>
      <c r="Q78">
        <f t="shared" ca="1" si="16"/>
        <v>732135</v>
      </c>
      <c r="R78" t="str">
        <f t="shared" ca="1" si="17"/>
        <v>2017-08-31</v>
      </c>
      <c r="S78" t="str">
        <f t="shared" ca="1" si="17"/>
        <v>2018-01-19</v>
      </c>
      <c r="T78" t="s">
        <v>6670</v>
      </c>
      <c r="U78" t="s">
        <v>76</v>
      </c>
      <c r="V78" t="s">
        <v>76</v>
      </c>
      <c r="W78" t="s">
        <v>76</v>
      </c>
      <c r="X78" t="s">
        <v>6517</v>
      </c>
      <c r="Y78" t="s">
        <v>6517</v>
      </c>
      <c r="Z78" t="s">
        <v>6517</v>
      </c>
      <c r="AA78" t="s">
        <v>6517</v>
      </c>
    </row>
    <row r="79" spans="1:27" x14ac:dyDescent="0.3">
      <c r="A79" t="s">
        <v>7</v>
      </c>
      <c r="B79" t="s">
        <v>4687</v>
      </c>
      <c r="C79">
        <f t="shared" si="11"/>
        <v>200077</v>
      </c>
      <c r="D79" t="s">
        <v>6670</v>
      </c>
      <c r="E79" t="str">
        <f t="shared" ca="1" si="9"/>
        <v>2014-12-07</v>
      </c>
      <c r="F79">
        <f>IFERROR(VLOOKUP(B79,Contacts.csv!C:D,2,FALSE),"")</f>
        <v>200077</v>
      </c>
      <c r="G79" t="str">
        <f t="shared" si="12"/>
        <v>rg:None</v>
      </c>
      <c r="H79" s="4" t="str">
        <f t="shared" si="13"/>
        <v>rg:[]</v>
      </c>
      <c r="I79" s="1" t="str">
        <f>VLOOKUP(B79,'HETS Data'!A:E,5,FALSE)</f>
        <v>LOWER MAINLAND-SURREY/LANGLEY</v>
      </c>
      <c r="J79">
        <f>VLOOKUP(I79,LocalAreas.csv!D:G,4,FALSE)</f>
        <v>200029</v>
      </c>
      <c r="K79" t="str">
        <f t="shared" si="10"/>
        <v>rg:{'id':'200029'}</v>
      </c>
      <c r="L79" t="str">
        <f t="shared" si="14"/>
        <v>PROY</v>
      </c>
      <c r="N79">
        <f t="shared" ca="1" si="15"/>
        <v>13660</v>
      </c>
      <c r="O79" t="s">
        <v>5696</v>
      </c>
      <c r="P79" t="s">
        <v>326</v>
      </c>
      <c r="Q79">
        <f t="shared" ca="1" si="16"/>
        <v>732060</v>
      </c>
      <c r="R79" t="str">
        <f t="shared" ca="1" si="17"/>
        <v>2017-10-12</v>
      </c>
      <c r="S79" t="str">
        <f t="shared" ca="1" si="17"/>
        <v>2017-06-18</v>
      </c>
      <c r="T79" t="s">
        <v>6670</v>
      </c>
      <c r="U79" t="s">
        <v>76</v>
      </c>
      <c r="V79" t="s">
        <v>76</v>
      </c>
      <c r="W79" t="s">
        <v>76</v>
      </c>
      <c r="X79" t="s">
        <v>6517</v>
      </c>
      <c r="Y79" t="s">
        <v>6517</v>
      </c>
      <c r="Z79" t="s">
        <v>6517</v>
      </c>
      <c r="AA79" t="s">
        <v>6517</v>
      </c>
    </row>
    <row r="80" spans="1:27" x14ac:dyDescent="0.3">
      <c r="A80" t="s">
        <v>7</v>
      </c>
      <c r="B80" t="s">
        <v>3963</v>
      </c>
      <c r="C80">
        <f t="shared" si="11"/>
        <v>200078</v>
      </c>
      <c r="D80" t="s">
        <v>6670</v>
      </c>
      <c r="E80" t="str">
        <f t="shared" ca="1" si="9"/>
        <v>2009-06-07</v>
      </c>
      <c r="F80">
        <f>IFERROR(VLOOKUP(B80,Contacts.csv!C:D,2,FALSE),"")</f>
        <v>200078</v>
      </c>
      <c r="G80" t="str">
        <f t="shared" si="12"/>
        <v>rg:None</v>
      </c>
      <c r="H80" s="4" t="str">
        <f t="shared" si="13"/>
        <v>rg:[]</v>
      </c>
      <c r="I80" s="1" t="str">
        <f>VLOOKUP(B80,'HETS Data'!A:E,5,FALSE)</f>
        <v>LOWER MAINLAND-SURREY/LANGLEY</v>
      </c>
      <c r="J80">
        <f>VLOOKUP(I80,LocalAreas.csv!D:G,4,FALSE)</f>
        <v>200029</v>
      </c>
      <c r="K80" t="str">
        <f t="shared" si="10"/>
        <v>rg:{'id':'200029'}</v>
      </c>
      <c r="L80" t="s">
        <v>8062</v>
      </c>
      <c r="N80">
        <f t="shared" ca="1" si="15"/>
        <v>16547</v>
      </c>
      <c r="O80" t="s">
        <v>5696</v>
      </c>
      <c r="P80" t="s">
        <v>326</v>
      </c>
      <c r="Q80">
        <f t="shared" ca="1" si="16"/>
        <v>732149</v>
      </c>
      <c r="R80" t="str">
        <f t="shared" ca="1" si="17"/>
        <v>2018-01-11</v>
      </c>
      <c r="S80" t="str">
        <f t="shared" ca="1" si="17"/>
        <v>2017-06-21</v>
      </c>
      <c r="T80" t="s">
        <v>6670</v>
      </c>
      <c r="U80" t="s">
        <v>76</v>
      </c>
      <c r="V80" t="s">
        <v>76</v>
      </c>
      <c r="W80" t="s">
        <v>76</v>
      </c>
      <c r="X80" t="s">
        <v>6517</v>
      </c>
      <c r="Y80" t="s">
        <v>6517</v>
      </c>
      <c r="Z80" t="s">
        <v>6517</v>
      </c>
      <c r="AA80" t="s">
        <v>6517</v>
      </c>
    </row>
    <row r="81" spans="1:27" x14ac:dyDescent="0.3">
      <c r="A81" t="s">
        <v>7</v>
      </c>
      <c r="B81" t="s">
        <v>3273</v>
      </c>
      <c r="C81">
        <f t="shared" si="11"/>
        <v>200079</v>
      </c>
      <c r="D81" t="s">
        <v>6670</v>
      </c>
      <c r="E81" t="str">
        <f t="shared" ca="1" si="9"/>
        <v>2015-05-17</v>
      </c>
      <c r="F81">
        <f>IFERROR(VLOOKUP(B81,Contacts.csv!C:D,2,FALSE),"")</f>
        <v>200079</v>
      </c>
      <c r="G81" t="str">
        <f t="shared" si="12"/>
        <v>rg:None</v>
      </c>
      <c r="H81" s="4" t="str">
        <f t="shared" si="13"/>
        <v>rg:[]</v>
      </c>
      <c r="I81" s="1" t="str">
        <f>VLOOKUP(B81,'HETS Data'!A:E,5,FALSE)</f>
        <v>LOWER MAINLAND-SURREY/LANGLEY</v>
      </c>
      <c r="J81">
        <f>VLOOKUP(I81,LocalAreas.csv!D:G,4,FALSE)</f>
        <v>200029</v>
      </c>
      <c r="K81" t="str">
        <f t="shared" si="10"/>
        <v>rg:{'id':'200029'}</v>
      </c>
      <c r="L81" t="s">
        <v>8061</v>
      </c>
      <c r="M81" t="s">
        <v>6669</v>
      </c>
      <c r="N81">
        <f t="shared" ca="1" si="15"/>
        <v>15785</v>
      </c>
      <c r="O81" t="s">
        <v>5696</v>
      </c>
      <c r="P81" t="s">
        <v>326</v>
      </c>
      <c r="Q81">
        <f t="shared" ca="1" si="16"/>
        <v>732170</v>
      </c>
      <c r="R81" t="str">
        <f t="shared" ca="1" si="17"/>
        <v>2017-05-15</v>
      </c>
      <c r="S81" t="str">
        <f t="shared" ca="1" si="17"/>
        <v>2017-12-16</v>
      </c>
      <c r="T81" t="s">
        <v>6670</v>
      </c>
      <c r="U81" t="s">
        <v>76</v>
      </c>
      <c r="V81" t="s">
        <v>76</v>
      </c>
      <c r="W81" t="s">
        <v>76</v>
      </c>
      <c r="X81" t="s">
        <v>6517</v>
      </c>
      <c r="Y81" t="s">
        <v>6517</v>
      </c>
      <c r="Z81" t="s">
        <v>6517</v>
      </c>
      <c r="AA81" t="s">
        <v>6517</v>
      </c>
    </row>
    <row r="82" spans="1:27" x14ac:dyDescent="0.3">
      <c r="A82" t="s">
        <v>7</v>
      </c>
      <c r="B82" t="s">
        <v>4357</v>
      </c>
      <c r="C82">
        <f t="shared" si="11"/>
        <v>200080</v>
      </c>
      <c r="D82" t="s">
        <v>6670</v>
      </c>
      <c r="E82" t="str">
        <f t="shared" ca="1" si="9"/>
        <v>2011-02-05</v>
      </c>
      <c r="F82">
        <f>IFERROR(VLOOKUP(B82,Contacts.csv!C:D,2,FALSE),"")</f>
        <v>200080</v>
      </c>
      <c r="G82" t="str">
        <f t="shared" si="12"/>
        <v>rg:None</v>
      </c>
      <c r="H82" s="4" t="str">
        <f t="shared" si="13"/>
        <v>rg:[]</v>
      </c>
      <c r="I82" s="1" t="str">
        <f>VLOOKUP(B82,'HETS Data'!A:E,5,FALSE)</f>
        <v>LOWER MAINLAND-SURREY/LANGLEY</v>
      </c>
      <c r="J82">
        <f>VLOOKUP(I82,LocalAreas.csv!D:G,4,FALSE)</f>
        <v>200029</v>
      </c>
      <c r="K82" t="str">
        <f t="shared" si="10"/>
        <v>rg:{'id':'200029'}</v>
      </c>
      <c r="L82" t="str">
        <f t="shared" si="14"/>
        <v>REDF</v>
      </c>
      <c r="N82">
        <f t="shared" ca="1" si="15"/>
        <v>10077</v>
      </c>
      <c r="O82" t="s">
        <v>5696</v>
      </c>
      <c r="P82" t="s">
        <v>326</v>
      </c>
      <c r="Q82">
        <f t="shared" ca="1" si="16"/>
        <v>732140</v>
      </c>
      <c r="R82" t="str">
        <f t="shared" ca="1" si="17"/>
        <v>2017-06-03</v>
      </c>
      <c r="S82" t="str">
        <f t="shared" ca="1" si="17"/>
        <v>2017-09-13</v>
      </c>
      <c r="T82" t="s">
        <v>6670</v>
      </c>
      <c r="U82" t="s">
        <v>76</v>
      </c>
      <c r="V82" t="s">
        <v>76</v>
      </c>
      <c r="W82" t="s">
        <v>76</v>
      </c>
      <c r="X82" t="s">
        <v>6517</v>
      </c>
      <c r="Y82" t="s">
        <v>6517</v>
      </c>
      <c r="Z82" t="s">
        <v>6517</v>
      </c>
      <c r="AA82" t="s">
        <v>6517</v>
      </c>
    </row>
    <row r="83" spans="1:27" x14ac:dyDescent="0.3">
      <c r="A83" t="s">
        <v>7</v>
      </c>
      <c r="B83" t="s">
        <v>4115</v>
      </c>
      <c r="C83">
        <f t="shared" si="11"/>
        <v>200081</v>
      </c>
      <c r="D83" t="s">
        <v>6670</v>
      </c>
      <c r="E83" t="str">
        <f t="shared" ca="1" si="9"/>
        <v>2012-05-29</v>
      </c>
      <c r="F83">
        <f>IFERROR(VLOOKUP(B83,Contacts.csv!C:D,2,FALSE),"")</f>
        <v>200081</v>
      </c>
      <c r="G83" t="str">
        <f t="shared" si="12"/>
        <v>rg:None</v>
      </c>
      <c r="H83" s="4" t="str">
        <f t="shared" si="13"/>
        <v>rg:[]</v>
      </c>
      <c r="I83" s="1" t="str">
        <f>VLOOKUP(B83,'HETS Data'!A:E,5,FALSE)</f>
        <v>LAKE COWICHAN</v>
      </c>
      <c r="J83">
        <f>VLOOKUP(I83,LocalAreas.csv!D:G,4,FALSE)</f>
        <v>200065</v>
      </c>
      <c r="K83" t="str">
        <f t="shared" si="10"/>
        <v>rg:{'id':'200065'}</v>
      </c>
      <c r="L83" t="s">
        <v>8060</v>
      </c>
      <c r="N83">
        <f t="shared" ca="1" si="15"/>
        <v>10613</v>
      </c>
      <c r="O83" t="s">
        <v>5696</v>
      </c>
      <c r="P83" t="s">
        <v>326</v>
      </c>
      <c r="Q83">
        <f t="shared" ca="1" si="16"/>
        <v>732112</v>
      </c>
      <c r="R83" t="str">
        <f t="shared" ca="1" si="17"/>
        <v>2017-05-15</v>
      </c>
      <c r="S83" t="str">
        <f t="shared" ca="1" si="17"/>
        <v>2017-04-03</v>
      </c>
      <c r="T83" t="s">
        <v>6670</v>
      </c>
      <c r="U83" t="s">
        <v>76</v>
      </c>
      <c r="V83" t="s">
        <v>76</v>
      </c>
      <c r="W83" t="s">
        <v>76</v>
      </c>
      <c r="X83" t="s">
        <v>6517</v>
      </c>
      <c r="Y83" t="s">
        <v>6517</v>
      </c>
      <c r="Z83" t="s">
        <v>6517</v>
      </c>
      <c r="AA83" t="s">
        <v>6517</v>
      </c>
    </row>
    <row r="84" spans="1:27" x14ac:dyDescent="0.3">
      <c r="A84" t="s">
        <v>7</v>
      </c>
      <c r="B84" t="s">
        <v>4128</v>
      </c>
      <c r="C84">
        <f t="shared" si="11"/>
        <v>200082</v>
      </c>
      <c r="D84" t="s">
        <v>6670</v>
      </c>
      <c r="E84" t="str">
        <f t="shared" ca="1" si="9"/>
        <v>2016-02-17</v>
      </c>
      <c r="F84">
        <f>IFERROR(VLOOKUP(B84,Contacts.csv!C:D,2,FALSE),"")</f>
        <v>200082</v>
      </c>
      <c r="G84" t="str">
        <f t="shared" si="12"/>
        <v>rg:None</v>
      </c>
      <c r="H84" s="4" t="str">
        <f t="shared" si="13"/>
        <v>rg:[]</v>
      </c>
      <c r="I84" s="1" t="str">
        <f>VLOOKUP(B84,'HETS Data'!A:E,5,FALSE)</f>
        <v>KELOWNA ROAD MANAGEMENT AREA</v>
      </c>
      <c r="J84">
        <f>VLOOKUP(I84,LocalAreas.csv!D:G,4,FALSE)</f>
        <v>200070</v>
      </c>
      <c r="K84" t="str">
        <f t="shared" si="10"/>
        <v>rg:{'id':'200070'}</v>
      </c>
      <c r="L84" t="str">
        <f t="shared" si="14"/>
        <v>REDO</v>
      </c>
      <c r="N84">
        <f t="shared" ca="1" si="15"/>
        <v>16359</v>
      </c>
      <c r="O84" t="s">
        <v>5696</v>
      </c>
      <c r="P84" t="s">
        <v>326</v>
      </c>
      <c r="Q84">
        <f t="shared" ca="1" si="16"/>
        <v>732153</v>
      </c>
      <c r="R84" t="str">
        <f t="shared" ca="1" si="17"/>
        <v>2017-03-15</v>
      </c>
      <c r="S84" t="str">
        <f t="shared" ca="1" si="17"/>
        <v>2017-10-28</v>
      </c>
      <c r="T84" t="s">
        <v>6670</v>
      </c>
      <c r="U84" t="s">
        <v>76</v>
      </c>
      <c r="V84" t="s">
        <v>76</v>
      </c>
      <c r="W84" t="s">
        <v>76</v>
      </c>
      <c r="X84" t="s">
        <v>6517</v>
      </c>
      <c r="Y84" t="s">
        <v>6517</v>
      </c>
      <c r="Z84" t="s">
        <v>6517</v>
      </c>
      <c r="AA84" t="s">
        <v>6517</v>
      </c>
    </row>
    <row r="85" spans="1:27" x14ac:dyDescent="0.3">
      <c r="A85" t="s">
        <v>7</v>
      </c>
      <c r="B85" t="s">
        <v>3572</v>
      </c>
      <c r="C85">
        <f t="shared" si="11"/>
        <v>200083</v>
      </c>
      <c r="D85" t="s">
        <v>6671</v>
      </c>
      <c r="E85" t="str">
        <f t="shared" ca="1" si="9"/>
        <v>2004-01-10</v>
      </c>
      <c r="F85">
        <f>IFERROR(VLOOKUP(B85,Contacts.csv!C:D,2,FALSE),"")</f>
        <v>200083</v>
      </c>
      <c r="G85" t="str">
        <f t="shared" si="12"/>
        <v>rg:None</v>
      </c>
      <c r="H85" s="4" t="str">
        <f t="shared" si="13"/>
        <v>rg:[]</v>
      </c>
      <c r="I85" s="1" t="str">
        <f>VLOOKUP(B85,'HETS Data'!A:E,5,FALSE)</f>
        <v>LOWER MAINLAND-SURREY/LANGLEY</v>
      </c>
      <c r="J85">
        <f>VLOOKUP(I85,LocalAreas.csv!D:G,4,FALSE)</f>
        <v>200029</v>
      </c>
      <c r="K85" t="str">
        <f t="shared" si="10"/>
        <v>rg:{'id':'200029'}</v>
      </c>
      <c r="L85" t="str">
        <f t="shared" si="14"/>
        <v>RELI</v>
      </c>
      <c r="N85">
        <f t="shared" ca="1" si="15"/>
        <v>10067</v>
      </c>
      <c r="O85" t="s">
        <v>5696</v>
      </c>
      <c r="P85" t="s">
        <v>326</v>
      </c>
      <c r="Q85">
        <f t="shared" ca="1" si="16"/>
        <v>732177</v>
      </c>
      <c r="R85" t="str">
        <f t="shared" ca="1" si="17"/>
        <v>2017-04-21</v>
      </c>
      <c r="S85" t="str">
        <f t="shared" ca="1" si="17"/>
        <v>2017-04-16</v>
      </c>
      <c r="T85" t="s">
        <v>6671</v>
      </c>
      <c r="U85" t="s">
        <v>5391</v>
      </c>
      <c r="V85" t="s">
        <v>6676</v>
      </c>
      <c r="W85" t="str">
        <f ca="1">TEXT(TODAY()-RANDBETWEEN(10,350),"YYYY-MM-DD")</f>
        <v>2016-10-13</v>
      </c>
      <c r="X85" t="s">
        <v>6517</v>
      </c>
      <c r="Y85" t="s">
        <v>6517</v>
      </c>
      <c r="Z85" t="s">
        <v>6517</v>
      </c>
      <c r="AA85" t="s">
        <v>6517</v>
      </c>
    </row>
    <row r="86" spans="1:27" x14ac:dyDescent="0.3">
      <c r="A86" t="s">
        <v>7</v>
      </c>
      <c r="B86" t="s">
        <v>4261</v>
      </c>
      <c r="C86">
        <f t="shared" si="11"/>
        <v>200084</v>
      </c>
      <c r="D86" t="s">
        <v>6670</v>
      </c>
      <c r="E86" t="str">
        <f t="shared" ca="1" si="9"/>
        <v>2013-09-20</v>
      </c>
      <c r="F86">
        <f>IFERROR(VLOOKUP(B86,Contacts.csv!C:D,2,FALSE),"")</f>
        <v>200084</v>
      </c>
      <c r="G86" t="str">
        <f t="shared" si="12"/>
        <v>rg:None</v>
      </c>
      <c r="H86" s="4" t="str">
        <f t="shared" si="13"/>
        <v>rg:[]</v>
      </c>
      <c r="I86" s="1" t="str">
        <f>VLOOKUP(B86,'HETS Data'!A:E,5,FALSE)</f>
        <v>PORT ALBERNI</v>
      </c>
      <c r="J86">
        <f>VLOOKUP(I86,LocalAreas.csv!D:G,4,FALSE)</f>
        <v>200007</v>
      </c>
      <c r="K86" t="str">
        <f t="shared" si="10"/>
        <v>rg:{'id':'200007'}</v>
      </c>
      <c r="L86" t="str">
        <f t="shared" si="14"/>
        <v>ROAD</v>
      </c>
      <c r="N86">
        <f t="shared" ca="1" si="15"/>
        <v>16180</v>
      </c>
      <c r="O86" t="s">
        <v>5696</v>
      </c>
      <c r="P86" t="s">
        <v>326</v>
      </c>
      <c r="Q86">
        <f t="shared" ca="1" si="16"/>
        <v>732114</v>
      </c>
      <c r="R86" t="str">
        <f t="shared" ca="1" si="17"/>
        <v>2017-10-06</v>
      </c>
      <c r="S86" t="str">
        <f t="shared" ca="1" si="17"/>
        <v>2017-11-16</v>
      </c>
      <c r="T86" t="s">
        <v>6670</v>
      </c>
      <c r="U86" t="s">
        <v>76</v>
      </c>
      <c r="V86" t="s">
        <v>76</v>
      </c>
      <c r="W86" t="s">
        <v>76</v>
      </c>
      <c r="X86" t="s">
        <v>6517</v>
      </c>
      <c r="Y86" t="s">
        <v>6517</v>
      </c>
      <c r="Z86" t="s">
        <v>6517</v>
      </c>
      <c r="AA86" t="s">
        <v>6517</v>
      </c>
    </row>
    <row r="87" spans="1:27" x14ac:dyDescent="0.3">
      <c r="A87" t="s">
        <v>7</v>
      </c>
      <c r="B87" t="s">
        <v>3779</v>
      </c>
      <c r="C87">
        <f t="shared" si="11"/>
        <v>200085</v>
      </c>
      <c r="D87" t="s">
        <v>6671</v>
      </c>
      <c r="E87" t="str">
        <f t="shared" ca="1" si="9"/>
        <v>2005-02-18</v>
      </c>
      <c r="F87">
        <f>IFERROR(VLOOKUP(B87,Contacts.csv!C:D,2,FALSE),"")</f>
        <v>200085</v>
      </c>
      <c r="G87" t="str">
        <f t="shared" si="12"/>
        <v>rg:None</v>
      </c>
      <c r="H87" s="4" t="str">
        <f t="shared" si="13"/>
        <v>rg:[]</v>
      </c>
      <c r="I87" s="1" t="str">
        <f>VLOOKUP(B87,'HETS Data'!A:E,5,FALSE)</f>
        <v>GABRIOLA ISLAND</v>
      </c>
      <c r="J87">
        <f>VLOOKUP(I87,LocalAreas.csv!D:G,4,FALSE)</f>
        <v>200009</v>
      </c>
      <c r="K87" t="str">
        <f t="shared" si="10"/>
        <v>rg:{'id':'200009'}</v>
      </c>
      <c r="L87" t="str">
        <f t="shared" si="14"/>
        <v>ROSS</v>
      </c>
      <c r="M87" t="s">
        <v>6668</v>
      </c>
      <c r="N87">
        <f t="shared" ca="1" si="15"/>
        <v>16297</v>
      </c>
      <c r="O87" t="s">
        <v>5696</v>
      </c>
      <c r="P87" t="s">
        <v>326</v>
      </c>
      <c r="Q87">
        <f t="shared" ca="1" si="16"/>
        <v>732108</v>
      </c>
      <c r="R87" t="str">
        <f t="shared" ca="1" si="17"/>
        <v>2017-05-02</v>
      </c>
      <c r="S87" t="str">
        <f t="shared" ca="1" si="17"/>
        <v>2017-12-20</v>
      </c>
      <c r="T87" t="s">
        <v>6671</v>
      </c>
      <c r="U87" t="s">
        <v>5391</v>
      </c>
      <c r="V87" t="s">
        <v>6675</v>
      </c>
      <c r="W87" t="str">
        <f ca="1">TEXT(TODAY()-RANDBETWEEN(10,350),"YYYY-MM-DD")</f>
        <v>2016-06-14</v>
      </c>
      <c r="X87" t="s">
        <v>6517</v>
      </c>
      <c r="Y87" t="s">
        <v>6517</v>
      </c>
      <c r="Z87" t="s">
        <v>6517</v>
      </c>
      <c r="AA87" t="s">
        <v>6517</v>
      </c>
    </row>
    <row r="88" spans="1:27" x14ac:dyDescent="0.3">
      <c r="A88" t="s">
        <v>7</v>
      </c>
      <c r="B88" t="s">
        <v>3392</v>
      </c>
      <c r="C88">
        <f t="shared" si="11"/>
        <v>200086</v>
      </c>
      <c r="D88" t="s">
        <v>6670</v>
      </c>
      <c r="E88" t="str">
        <f t="shared" ca="1" si="9"/>
        <v>2006-06-20</v>
      </c>
      <c r="F88">
        <f>IFERROR(VLOOKUP(B88,Contacts.csv!C:D,2,FALSE),"")</f>
        <v>200086</v>
      </c>
      <c r="G88" t="str">
        <f t="shared" si="12"/>
        <v>rg:None</v>
      </c>
      <c r="H88" s="4" t="str">
        <f t="shared" si="13"/>
        <v>rg:[]</v>
      </c>
      <c r="I88" s="1" t="str">
        <f>VLOOKUP(B88,'HETS Data'!A:E,5,FALSE)</f>
        <v>LOWER MAINLAND-COQUITLAM/BURNABY/VAN</v>
      </c>
      <c r="J88">
        <f>VLOOKUP(I88,LocalAreas.csv!D:G,4,FALSE)</f>
        <v>200030</v>
      </c>
      <c r="K88" t="str">
        <f t="shared" si="10"/>
        <v>rg:{'id':'200030'}</v>
      </c>
      <c r="L88" t="str">
        <f t="shared" si="14"/>
        <v>SAND</v>
      </c>
      <c r="M88" t="s">
        <v>6669</v>
      </c>
      <c r="N88">
        <f t="shared" ca="1" si="15"/>
        <v>18743</v>
      </c>
      <c r="O88" t="s">
        <v>5696</v>
      </c>
      <c r="P88" t="s">
        <v>326</v>
      </c>
      <c r="Q88">
        <f t="shared" ca="1" si="16"/>
        <v>732079</v>
      </c>
      <c r="R88" t="str">
        <f t="shared" ca="1" si="17"/>
        <v>2018-01-12</v>
      </c>
      <c r="S88" t="str">
        <f t="shared" ca="1" si="17"/>
        <v>2017-12-23</v>
      </c>
      <c r="T88" t="s">
        <v>6670</v>
      </c>
      <c r="U88" t="s">
        <v>76</v>
      </c>
      <c r="V88" t="s">
        <v>76</v>
      </c>
      <c r="W88" t="s">
        <v>76</v>
      </c>
      <c r="X88" t="s">
        <v>6517</v>
      </c>
      <c r="Y88" t="s">
        <v>6517</v>
      </c>
      <c r="Z88" t="s">
        <v>6517</v>
      </c>
      <c r="AA88" t="s">
        <v>6517</v>
      </c>
    </row>
    <row r="89" spans="1:27" x14ac:dyDescent="0.3">
      <c r="A89" t="s">
        <v>7</v>
      </c>
      <c r="B89" t="s">
        <v>3471</v>
      </c>
      <c r="C89">
        <f t="shared" si="11"/>
        <v>200087</v>
      </c>
      <c r="D89" t="s">
        <v>6670</v>
      </c>
      <c r="E89" t="str">
        <f t="shared" ca="1" si="9"/>
        <v>2013-04-18</v>
      </c>
      <c r="F89">
        <f>IFERROR(VLOOKUP(B89,Contacts.csv!C:D,2,FALSE),"")</f>
        <v>200087</v>
      </c>
      <c r="G89" t="str">
        <f t="shared" si="12"/>
        <v>rg:None</v>
      </c>
      <c r="H89" s="4" t="str">
        <f t="shared" si="13"/>
        <v>rg:[]</v>
      </c>
      <c r="I89" s="1" t="str">
        <f>VLOOKUP(B89,'HETS Data'!A:E,5,FALSE)</f>
        <v>LOWER MAINLAND-DELTA/RICHMOND</v>
      </c>
      <c r="J89">
        <f>VLOOKUP(I89,LocalAreas.csv!D:G,4,FALSE)</f>
        <v>200031</v>
      </c>
      <c r="K89" t="str">
        <f t="shared" si="10"/>
        <v>rg:{'id':'200031'}</v>
      </c>
      <c r="L89" t="str">
        <f t="shared" si="14"/>
        <v>SERV</v>
      </c>
      <c r="N89">
        <f t="shared" ca="1" si="15"/>
        <v>18286</v>
      </c>
      <c r="O89" t="s">
        <v>5696</v>
      </c>
      <c r="P89" t="s">
        <v>326</v>
      </c>
      <c r="Q89">
        <f t="shared" ca="1" si="16"/>
        <v>732116</v>
      </c>
      <c r="R89" t="str">
        <f t="shared" ca="1" si="17"/>
        <v>2017-03-18</v>
      </c>
      <c r="S89" t="str">
        <f t="shared" ca="1" si="17"/>
        <v>2018-01-17</v>
      </c>
      <c r="T89" t="s">
        <v>6670</v>
      </c>
      <c r="U89" t="s">
        <v>76</v>
      </c>
      <c r="V89" t="s">
        <v>76</v>
      </c>
      <c r="W89" t="s">
        <v>76</v>
      </c>
      <c r="X89" t="s">
        <v>6517</v>
      </c>
      <c r="Y89" t="s">
        <v>6517</v>
      </c>
      <c r="Z89" t="s">
        <v>6517</v>
      </c>
      <c r="AA89" t="s">
        <v>6517</v>
      </c>
    </row>
    <row r="90" spans="1:27" x14ac:dyDescent="0.3">
      <c r="A90" t="s">
        <v>7</v>
      </c>
      <c r="B90" t="s">
        <v>4228</v>
      </c>
      <c r="C90">
        <f t="shared" si="11"/>
        <v>200088</v>
      </c>
      <c r="D90" t="s">
        <v>6670</v>
      </c>
      <c r="E90" t="str">
        <f t="shared" ca="1" si="9"/>
        <v>2004-05-06</v>
      </c>
      <c r="F90">
        <f>IFERROR(VLOOKUP(B90,Contacts.csv!C:D,2,FALSE),"")</f>
        <v>200088</v>
      </c>
      <c r="G90" t="str">
        <f t="shared" si="12"/>
        <v>rg:None</v>
      </c>
      <c r="H90" s="4" t="str">
        <f t="shared" si="13"/>
        <v>rg:[]</v>
      </c>
      <c r="I90" s="1" t="str">
        <f>VLOOKUP(B90,'HETS Data'!A:E,5,FALSE)</f>
        <v>DUNCAN</v>
      </c>
      <c r="J90">
        <f>VLOOKUP(I90,LocalAreas.csv!D:G,4,FALSE)</f>
        <v>200066</v>
      </c>
      <c r="K90" t="str">
        <f t="shared" si="10"/>
        <v>rg:{'id':'200066'}</v>
      </c>
      <c r="L90" t="str">
        <f t="shared" si="14"/>
        <v>SHOW</v>
      </c>
      <c r="N90">
        <f t="shared" ca="1" si="15"/>
        <v>13081</v>
      </c>
      <c r="O90" t="s">
        <v>5696</v>
      </c>
      <c r="P90" t="s">
        <v>326</v>
      </c>
      <c r="Q90">
        <f t="shared" ca="1" si="16"/>
        <v>732166</v>
      </c>
      <c r="R90" t="str">
        <f t="shared" ca="1" si="17"/>
        <v>2017-05-14</v>
      </c>
      <c r="S90" t="str">
        <f t="shared" ca="1" si="17"/>
        <v>2017-11-08</v>
      </c>
      <c r="T90" t="s">
        <v>6670</v>
      </c>
      <c r="U90" t="s">
        <v>76</v>
      </c>
      <c r="V90" t="s">
        <v>76</v>
      </c>
      <c r="W90" t="s">
        <v>76</v>
      </c>
      <c r="X90" t="s">
        <v>6517</v>
      </c>
      <c r="Y90" t="s">
        <v>6517</v>
      </c>
      <c r="Z90" t="s">
        <v>6517</v>
      </c>
      <c r="AA90" t="s">
        <v>6517</v>
      </c>
    </row>
    <row r="91" spans="1:27" x14ac:dyDescent="0.3">
      <c r="A91" t="s">
        <v>7</v>
      </c>
      <c r="B91" t="s">
        <v>3901</v>
      </c>
      <c r="C91">
        <f t="shared" si="11"/>
        <v>200089</v>
      </c>
      <c r="D91" t="s">
        <v>6670</v>
      </c>
      <c r="E91" t="str">
        <f t="shared" ca="1" si="9"/>
        <v>2009-07-16</v>
      </c>
      <c r="F91">
        <f>IFERROR(VLOOKUP(B91,Contacts.csv!C:D,2,FALSE),"")</f>
        <v>200089</v>
      </c>
      <c r="G91" t="str">
        <f t="shared" si="12"/>
        <v>rg:None</v>
      </c>
      <c r="H91" s="4" t="str">
        <f t="shared" si="13"/>
        <v>rg:[]</v>
      </c>
      <c r="I91" s="1" t="str">
        <f>VLOOKUP(B91,'HETS Data'!A:E,5,FALSE)</f>
        <v>PENTICTON RD. MANAGEMENT AREA</v>
      </c>
      <c r="J91">
        <f>VLOOKUP(I91,LocalAreas.csv!D:G,4,FALSE)</f>
        <v>200069</v>
      </c>
      <c r="K91" t="str">
        <f t="shared" si="10"/>
        <v>rg:{'id':'200069'}</v>
      </c>
      <c r="L91" t="str">
        <f t="shared" si="14"/>
        <v>SPEC</v>
      </c>
      <c r="N91">
        <f t="shared" ca="1" si="15"/>
        <v>19173</v>
      </c>
      <c r="O91" t="s">
        <v>5696</v>
      </c>
      <c r="P91" t="s">
        <v>326</v>
      </c>
      <c r="Q91">
        <f t="shared" ca="1" si="16"/>
        <v>732190</v>
      </c>
      <c r="R91" t="str">
        <f t="shared" ca="1" si="17"/>
        <v>2017-09-10</v>
      </c>
      <c r="S91" t="str">
        <f t="shared" ca="1" si="17"/>
        <v>2017-07-01</v>
      </c>
      <c r="T91" t="s">
        <v>6670</v>
      </c>
      <c r="U91" t="s">
        <v>76</v>
      </c>
      <c r="V91" t="s">
        <v>76</v>
      </c>
      <c r="W91" t="s">
        <v>76</v>
      </c>
      <c r="X91" t="s">
        <v>6517</v>
      </c>
      <c r="Y91" t="s">
        <v>6517</v>
      </c>
      <c r="Z91" t="s">
        <v>6517</v>
      </c>
      <c r="AA91" t="s">
        <v>6517</v>
      </c>
    </row>
    <row r="92" spans="1:27" x14ac:dyDescent="0.3">
      <c r="A92" t="s">
        <v>7</v>
      </c>
      <c r="B92" t="s">
        <v>3522</v>
      </c>
      <c r="C92">
        <f t="shared" si="11"/>
        <v>200090</v>
      </c>
      <c r="D92" t="s">
        <v>6670</v>
      </c>
      <c r="E92" t="str">
        <f t="shared" ca="1" si="9"/>
        <v>2007-07-12</v>
      </c>
      <c r="F92">
        <f>IFERROR(VLOOKUP(B92,Contacts.csv!C:D,2,FALSE),"")</f>
        <v>200090</v>
      </c>
      <c r="G92" t="str">
        <f t="shared" si="12"/>
        <v>rg:None</v>
      </c>
      <c r="H92" s="4" t="str">
        <f t="shared" si="13"/>
        <v>rg:[]</v>
      </c>
      <c r="I92" s="1" t="str">
        <f>VLOOKUP(B92,'HETS Data'!A:E,5,FALSE)</f>
        <v>NANAIMO/LADYSMITH/LANTZVILLE</v>
      </c>
      <c r="J92">
        <f>VLOOKUP(I92,LocalAreas.csv!D:G,4,FALSE)</f>
        <v>200005</v>
      </c>
      <c r="K92" t="str">
        <f t="shared" si="10"/>
        <v>rg:{'id':'200005'}</v>
      </c>
      <c r="L92" t="str">
        <f t="shared" si="14"/>
        <v>STRA</v>
      </c>
      <c r="N92">
        <f t="shared" ca="1" si="15"/>
        <v>10359</v>
      </c>
      <c r="O92" t="s">
        <v>5696</v>
      </c>
      <c r="P92" t="s">
        <v>326</v>
      </c>
      <c r="Q92">
        <f t="shared" ca="1" si="16"/>
        <v>732034</v>
      </c>
      <c r="R92" t="str">
        <f t="shared" ca="1" si="17"/>
        <v>2018-02-06</v>
      </c>
      <c r="S92" t="str">
        <f t="shared" ca="1" si="17"/>
        <v>2017-03-30</v>
      </c>
      <c r="T92" t="s">
        <v>6670</v>
      </c>
      <c r="U92" t="s">
        <v>76</v>
      </c>
      <c r="V92" t="s">
        <v>76</v>
      </c>
      <c r="W92" t="s">
        <v>76</v>
      </c>
      <c r="X92" t="s">
        <v>6517</v>
      </c>
      <c r="Y92" t="s">
        <v>6517</v>
      </c>
      <c r="Z92" t="s">
        <v>6517</v>
      </c>
      <c r="AA92" t="s">
        <v>6517</v>
      </c>
    </row>
    <row r="93" spans="1:27" x14ac:dyDescent="0.3">
      <c r="A93" t="s">
        <v>7</v>
      </c>
      <c r="B93" t="s">
        <v>4823</v>
      </c>
      <c r="C93">
        <f t="shared" si="11"/>
        <v>200091</v>
      </c>
      <c r="D93" t="s">
        <v>6670</v>
      </c>
      <c r="E93" t="str">
        <f t="shared" ca="1" si="9"/>
        <v>2012-03-18</v>
      </c>
      <c r="F93">
        <f>IFERROR(VLOOKUP(B93,Contacts.csv!C:D,2,FALSE),"")</f>
        <v>200091</v>
      </c>
      <c r="G93" t="str">
        <f t="shared" si="12"/>
        <v>rg:None</v>
      </c>
      <c r="H93" s="4" t="str">
        <f t="shared" si="13"/>
        <v>rg:[]</v>
      </c>
      <c r="I93" s="1" t="str">
        <f>VLOOKUP(B93,'HETS Data'!A:E,5,FALSE)</f>
        <v>PARKSVILLE/QUALICUM</v>
      </c>
      <c r="J93">
        <f>VLOOKUP(I93,LocalAreas.csv!D:G,4,FALSE)</f>
        <v>200006</v>
      </c>
      <c r="K93" t="str">
        <f t="shared" si="10"/>
        <v>rg:{'id':'200006'}</v>
      </c>
      <c r="L93" t="s">
        <v>8059</v>
      </c>
      <c r="N93">
        <f t="shared" ca="1" si="15"/>
        <v>19400</v>
      </c>
      <c r="O93" t="s">
        <v>5696</v>
      </c>
      <c r="P93" t="s">
        <v>326</v>
      </c>
      <c r="Q93">
        <f t="shared" ca="1" si="16"/>
        <v>732163</v>
      </c>
      <c r="R93" t="str">
        <f t="shared" ca="1" si="17"/>
        <v>2017-12-15</v>
      </c>
      <c r="S93" t="str">
        <f t="shared" ca="1" si="17"/>
        <v>2017-04-23</v>
      </c>
      <c r="T93" t="s">
        <v>6670</v>
      </c>
      <c r="U93" t="s">
        <v>76</v>
      </c>
      <c r="V93" t="s">
        <v>76</v>
      </c>
      <c r="W93" t="s">
        <v>76</v>
      </c>
      <c r="X93" t="s">
        <v>6517</v>
      </c>
      <c r="Y93" t="s">
        <v>6517</v>
      </c>
      <c r="Z93" t="s">
        <v>6517</v>
      </c>
      <c r="AA93" t="s">
        <v>6517</v>
      </c>
    </row>
    <row r="94" spans="1:27" x14ac:dyDescent="0.3">
      <c r="A94" t="s">
        <v>7</v>
      </c>
      <c r="B94" t="s">
        <v>4717</v>
      </c>
      <c r="C94">
        <f t="shared" si="11"/>
        <v>200092</v>
      </c>
      <c r="D94" t="s">
        <v>6670</v>
      </c>
      <c r="E94" t="str">
        <f t="shared" ca="1" si="9"/>
        <v>2009-01-04</v>
      </c>
      <c r="F94">
        <f>IFERROR(VLOOKUP(B94,Contacts.csv!C:D,2,FALSE),"")</f>
        <v>200092</v>
      </c>
      <c r="G94" t="str">
        <f t="shared" si="12"/>
        <v>rg:None</v>
      </c>
      <c r="H94" s="4" t="str">
        <f t="shared" si="13"/>
        <v>rg:[]</v>
      </c>
      <c r="I94" s="1" t="str">
        <f>VLOOKUP(B94,'HETS Data'!A:E,5,FALSE)</f>
        <v>LOWER MAINLAND-SURREY/LANGLEY</v>
      </c>
      <c r="J94">
        <f>VLOOKUP(I94,LocalAreas.csv!D:G,4,FALSE)</f>
        <v>200029</v>
      </c>
      <c r="K94" t="str">
        <f t="shared" si="10"/>
        <v>rg:{'id':'200029'}</v>
      </c>
      <c r="L94" t="str">
        <f t="shared" si="14"/>
        <v>STRO</v>
      </c>
      <c r="N94">
        <f t="shared" ca="1" si="15"/>
        <v>11851</v>
      </c>
      <c r="O94" t="s">
        <v>5696</v>
      </c>
      <c r="P94" t="s">
        <v>326</v>
      </c>
      <c r="Q94">
        <f t="shared" ca="1" si="16"/>
        <v>732173</v>
      </c>
      <c r="R94" t="str">
        <f t="shared" ca="1" si="17"/>
        <v>2017-09-28</v>
      </c>
      <c r="S94" t="str">
        <f t="shared" ca="1" si="17"/>
        <v>2017-10-11</v>
      </c>
      <c r="T94" t="s">
        <v>6670</v>
      </c>
      <c r="U94" t="s">
        <v>76</v>
      </c>
      <c r="V94" t="s">
        <v>76</v>
      </c>
      <c r="W94" t="s">
        <v>76</v>
      </c>
      <c r="X94" t="s">
        <v>6517</v>
      </c>
      <c r="Y94" t="s">
        <v>6517</v>
      </c>
      <c r="Z94" t="s">
        <v>6517</v>
      </c>
      <c r="AA94" t="s">
        <v>6517</v>
      </c>
    </row>
    <row r="95" spans="1:27" x14ac:dyDescent="0.3">
      <c r="A95" t="s">
        <v>7</v>
      </c>
      <c r="B95" t="s">
        <v>3809</v>
      </c>
      <c r="C95">
        <f t="shared" si="11"/>
        <v>200093</v>
      </c>
      <c r="D95" t="s">
        <v>6672</v>
      </c>
      <c r="E95" t="str">
        <f t="shared" ca="1" si="9"/>
        <v>2006-04-24</v>
      </c>
      <c r="F95">
        <f>IFERROR(VLOOKUP(B95,Contacts.csv!C:D,2,FALSE),"")</f>
        <v>200093</v>
      </c>
      <c r="G95" t="str">
        <f t="shared" si="12"/>
        <v>rg:None</v>
      </c>
      <c r="H95" s="4" t="str">
        <f t="shared" si="13"/>
        <v>rg:[]</v>
      </c>
      <c r="I95" s="1" t="str">
        <f>VLOOKUP(B95,'HETS Data'!A:E,5,FALSE)</f>
        <v>LOWER MAINLAND-SURREY/LANGLEY</v>
      </c>
      <c r="J95">
        <f>VLOOKUP(I95,LocalAreas.csv!D:G,4,FALSE)</f>
        <v>200029</v>
      </c>
      <c r="K95" t="str">
        <f t="shared" si="10"/>
        <v>rg:{'id':'200029'}</v>
      </c>
      <c r="L95" t="s">
        <v>8058</v>
      </c>
      <c r="N95">
        <f t="shared" ca="1" si="15"/>
        <v>10718</v>
      </c>
      <c r="O95" t="s">
        <v>5696</v>
      </c>
      <c r="P95" t="s">
        <v>326</v>
      </c>
      <c r="Q95">
        <f t="shared" ca="1" si="16"/>
        <v>732093</v>
      </c>
      <c r="R95" t="str">
        <f t="shared" ca="1" si="17"/>
        <v>2017-08-21</v>
      </c>
      <c r="S95" t="str">
        <f t="shared" ca="1" si="17"/>
        <v>2017-10-10</v>
      </c>
      <c r="T95" t="s">
        <v>6672</v>
      </c>
      <c r="U95" t="s">
        <v>76</v>
      </c>
      <c r="V95" t="s">
        <v>76</v>
      </c>
      <c r="W95" t="s">
        <v>76</v>
      </c>
      <c r="X95" t="s">
        <v>6517</v>
      </c>
      <c r="Y95" t="s">
        <v>6517</v>
      </c>
      <c r="Z95" t="s">
        <v>6517</v>
      </c>
      <c r="AA95" t="s">
        <v>6517</v>
      </c>
    </row>
    <row r="96" spans="1:27" x14ac:dyDescent="0.3">
      <c r="A96" t="s">
        <v>7</v>
      </c>
      <c r="B96" t="s">
        <v>4852</v>
      </c>
      <c r="C96">
        <f t="shared" si="11"/>
        <v>200094</v>
      </c>
      <c r="D96" t="s">
        <v>6670</v>
      </c>
      <c r="E96" t="str">
        <f t="shared" ca="1" si="9"/>
        <v>2013-05-25</v>
      </c>
      <c r="F96">
        <f>IFERROR(VLOOKUP(B96,Contacts.csv!C:D,2,FALSE),"")</f>
        <v>200094</v>
      </c>
      <c r="G96" t="str">
        <f t="shared" si="12"/>
        <v>rg:None</v>
      </c>
      <c r="H96" s="4" t="str">
        <f t="shared" si="13"/>
        <v>rg:[]</v>
      </c>
      <c r="I96" s="1" t="str">
        <f>VLOOKUP(B96,'HETS Data'!A:E,5,FALSE)</f>
        <v>LAKE COWICHAN</v>
      </c>
      <c r="J96">
        <f>VLOOKUP(I96,LocalAreas.csv!D:G,4,FALSE)</f>
        <v>200065</v>
      </c>
      <c r="K96" t="str">
        <f t="shared" si="10"/>
        <v>rg:{'id':'200065'}</v>
      </c>
      <c r="L96" t="str">
        <f t="shared" si="14"/>
        <v>SUAD</v>
      </c>
      <c r="N96">
        <f t="shared" ca="1" si="15"/>
        <v>10481</v>
      </c>
      <c r="O96" t="s">
        <v>5696</v>
      </c>
      <c r="P96" t="s">
        <v>326</v>
      </c>
      <c r="Q96">
        <f t="shared" ca="1" si="16"/>
        <v>732089</v>
      </c>
      <c r="R96" t="str">
        <f t="shared" ca="1" si="17"/>
        <v>2017-10-14</v>
      </c>
      <c r="S96" t="str">
        <f t="shared" ca="1" si="17"/>
        <v>2017-04-25</v>
      </c>
      <c r="T96" t="s">
        <v>6670</v>
      </c>
      <c r="U96" t="s">
        <v>76</v>
      </c>
      <c r="V96" t="s">
        <v>76</v>
      </c>
      <c r="W96" t="s">
        <v>76</v>
      </c>
      <c r="X96" t="s">
        <v>6517</v>
      </c>
      <c r="Y96" t="s">
        <v>6517</v>
      </c>
      <c r="Z96" t="s">
        <v>6517</v>
      </c>
      <c r="AA96" t="s">
        <v>6517</v>
      </c>
    </row>
    <row r="97" spans="1:27" x14ac:dyDescent="0.3">
      <c r="A97" t="s">
        <v>7</v>
      </c>
      <c r="B97" t="s">
        <v>3505</v>
      </c>
      <c r="C97">
        <f t="shared" si="11"/>
        <v>200095</v>
      </c>
      <c r="D97" t="s">
        <v>6670</v>
      </c>
      <c r="E97" t="str">
        <f t="shared" ca="1" si="9"/>
        <v>2004-02-27</v>
      </c>
      <c r="F97">
        <f>IFERROR(VLOOKUP(B97,Contacts.csv!C:D,2,FALSE),"")</f>
        <v>200095</v>
      </c>
      <c r="G97" t="str">
        <f t="shared" si="12"/>
        <v>rg:None</v>
      </c>
      <c r="H97" s="4" t="str">
        <f t="shared" si="13"/>
        <v>rg:[]</v>
      </c>
      <c r="I97" s="1" t="str">
        <f>VLOOKUP(B97,'HETS Data'!A:E,5,FALSE)</f>
        <v>SAANICH PENINSULA</v>
      </c>
      <c r="J97">
        <f>VLOOKUP(I97,LocalAreas.csv!D:G,4,FALSE)</f>
        <v>200067</v>
      </c>
      <c r="K97" t="str">
        <f t="shared" si="10"/>
        <v>rg:{'id':'200067'}</v>
      </c>
      <c r="L97" t="str">
        <f t="shared" si="14"/>
        <v>SUCC</v>
      </c>
      <c r="N97">
        <f t="shared" ca="1" si="15"/>
        <v>19720</v>
      </c>
      <c r="O97" t="s">
        <v>5696</v>
      </c>
      <c r="P97" t="s">
        <v>326</v>
      </c>
      <c r="Q97">
        <f t="shared" ca="1" si="16"/>
        <v>732073</v>
      </c>
      <c r="R97" t="str">
        <f t="shared" ca="1" si="17"/>
        <v>2017-11-09</v>
      </c>
      <c r="S97" t="str">
        <f t="shared" ca="1" si="17"/>
        <v>2017-07-13</v>
      </c>
      <c r="T97" t="s">
        <v>6670</v>
      </c>
      <c r="U97" t="s">
        <v>76</v>
      </c>
      <c r="V97" t="s">
        <v>76</v>
      </c>
      <c r="W97" t="s">
        <v>76</v>
      </c>
      <c r="X97" t="s">
        <v>6517</v>
      </c>
      <c r="Y97" t="s">
        <v>6517</v>
      </c>
      <c r="Z97" t="s">
        <v>6517</v>
      </c>
      <c r="AA97" t="s">
        <v>6517</v>
      </c>
    </row>
    <row r="98" spans="1:27" x14ac:dyDescent="0.3">
      <c r="A98" t="s">
        <v>7</v>
      </c>
      <c r="B98" t="s">
        <v>4200</v>
      </c>
      <c r="C98">
        <f t="shared" si="11"/>
        <v>200096</v>
      </c>
      <c r="D98" t="s">
        <v>6670</v>
      </c>
      <c r="E98" t="str">
        <f t="shared" ca="1" si="9"/>
        <v>2008-08-08</v>
      </c>
      <c r="F98">
        <f>IFERROR(VLOOKUP(B98,Contacts.csv!C:D,2,FALSE),"")</f>
        <v>200096</v>
      </c>
      <c r="G98" t="str">
        <f t="shared" si="12"/>
        <v>rg:None</v>
      </c>
      <c r="H98" s="4" t="str">
        <f t="shared" si="13"/>
        <v>rg:[]</v>
      </c>
      <c r="I98" s="1" t="str">
        <f>VLOOKUP(B98,'HETS Data'!A:E,5,FALSE)</f>
        <v>LOWER MAINLAND-SURREY/LANGLEY</v>
      </c>
      <c r="J98">
        <f>VLOOKUP(I98,LocalAreas.csv!D:G,4,FALSE)</f>
        <v>200029</v>
      </c>
      <c r="K98" t="str">
        <f t="shared" si="10"/>
        <v>rg:{'id':'200029'}</v>
      </c>
      <c r="L98" t="str">
        <f t="shared" si="14"/>
        <v>FLYI</v>
      </c>
      <c r="N98">
        <f t="shared" ca="1" si="15"/>
        <v>16323</v>
      </c>
      <c r="O98" t="s">
        <v>5696</v>
      </c>
      <c r="P98" t="s">
        <v>326</v>
      </c>
      <c r="Q98">
        <f t="shared" ca="1" si="16"/>
        <v>732041</v>
      </c>
      <c r="R98" t="str">
        <f t="shared" ca="1" si="17"/>
        <v>2017-11-03</v>
      </c>
      <c r="S98" t="str">
        <f t="shared" ca="1" si="17"/>
        <v>2017-05-29</v>
      </c>
      <c r="T98" t="s">
        <v>6670</v>
      </c>
      <c r="U98" t="s">
        <v>76</v>
      </c>
      <c r="V98" t="s">
        <v>76</v>
      </c>
      <c r="W98" t="s">
        <v>76</v>
      </c>
      <c r="X98" t="s">
        <v>6517</v>
      </c>
      <c r="Y98" t="s">
        <v>6517</v>
      </c>
      <c r="Z98" t="s">
        <v>6517</v>
      </c>
      <c r="AA98" t="s">
        <v>6517</v>
      </c>
    </row>
    <row r="99" spans="1:27" x14ac:dyDescent="0.3">
      <c r="A99" t="s">
        <v>7</v>
      </c>
      <c r="B99" t="s">
        <v>3290</v>
      </c>
      <c r="C99">
        <f t="shared" si="11"/>
        <v>200097</v>
      </c>
      <c r="D99" t="s">
        <v>6672</v>
      </c>
      <c r="E99" t="str">
        <f t="shared" ca="1" si="9"/>
        <v>2011-07-08</v>
      </c>
      <c r="F99">
        <f>IFERROR(VLOOKUP(B99,Contacts.csv!C:D,2,FALSE),"")</f>
        <v>200097</v>
      </c>
      <c r="G99" t="str">
        <f t="shared" si="12"/>
        <v>rg:None</v>
      </c>
      <c r="H99" s="4" t="str">
        <f t="shared" si="13"/>
        <v>rg:[]</v>
      </c>
      <c r="I99" s="1" t="str">
        <f>VLOOKUP(B99,'HETS Data'!A:E,5,FALSE)</f>
        <v>LOWER MAINLAND-SURREY/LANGLEY</v>
      </c>
      <c r="J99">
        <f>VLOOKUP(I99,LocalAreas.csv!D:G,4,FALSE)</f>
        <v>200029</v>
      </c>
      <c r="K99" t="str">
        <f t="shared" si="10"/>
        <v>rg:{'id':'200029'}</v>
      </c>
      <c r="L99" t="str">
        <f t="shared" si="14"/>
        <v>FOXA</v>
      </c>
      <c r="M99" t="s">
        <v>6669</v>
      </c>
      <c r="N99">
        <f t="shared" ca="1" si="15"/>
        <v>15186</v>
      </c>
      <c r="O99" t="s">
        <v>5696</v>
      </c>
      <c r="P99" t="s">
        <v>326</v>
      </c>
      <c r="Q99">
        <f t="shared" ca="1" si="16"/>
        <v>732159</v>
      </c>
      <c r="R99" t="str">
        <f t="shared" ca="1" si="17"/>
        <v>2017-10-26</v>
      </c>
      <c r="S99" t="str">
        <f t="shared" ca="1" si="17"/>
        <v>2017-08-29</v>
      </c>
      <c r="T99" t="s">
        <v>6672</v>
      </c>
      <c r="U99" t="s">
        <v>76</v>
      </c>
      <c r="V99" t="s">
        <v>76</v>
      </c>
      <c r="W99" t="s">
        <v>76</v>
      </c>
      <c r="X99" t="s">
        <v>6517</v>
      </c>
      <c r="Y99" t="s">
        <v>6517</v>
      </c>
      <c r="Z99" t="s">
        <v>6517</v>
      </c>
      <c r="AA99" t="s">
        <v>6517</v>
      </c>
    </row>
    <row r="100" spans="1:27" x14ac:dyDescent="0.3">
      <c r="A100" t="s">
        <v>7</v>
      </c>
      <c r="B100" t="s">
        <v>3824</v>
      </c>
      <c r="C100">
        <f t="shared" si="11"/>
        <v>200098</v>
      </c>
      <c r="D100" t="s">
        <v>6670</v>
      </c>
      <c r="E100" t="str">
        <f t="shared" ca="1" si="9"/>
        <v>2015-04-15</v>
      </c>
      <c r="F100">
        <f>IFERROR(VLOOKUP(B100,Contacts.csv!C:D,2,FALSE),"")</f>
        <v>200098</v>
      </c>
      <c r="G100" t="str">
        <f t="shared" si="12"/>
        <v>rg:None</v>
      </c>
      <c r="H100" s="4" t="str">
        <f t="shared" si="13"/>
        <v>rg:[]</v>
      </c>
      <c r="I100" s="1" t="str">
        <f>VLOOKUP(B100,'HETS Data'!A:E,5,FALSE)</f>
        <v>PENTICTON RD. MANAGEMENT AREA</v>
      </c>
      <c r="J100">
        <f>VLOOKUP(I100,LocalAreas.csv!D:G,4,FALSE)</f>
        <v>200069</v>
      </c>
      <c r="K100" t="str">
        <f t="shared" si="10"/>
        <v>rg:{'id':'200069'}</v>
      </c>
      <c r="L100" t="str">
        <f t="shared" si="14"/>
        <v>GOOS</v>
      </c>
      <c r="N100">
        <f t="shared" ca="1" si="15"/>
        <v>16108</v>
      </c>
      <c r="O100" t="s">
        <v>5696</v>
      </c>
      <c r="P100" t="s">
        <v>326</v>
      </c>
      <c r="Q100">
        <f t="shared" ca="1" si="16"/>
        <v>732135</v>
      </c>
      <c r="R100" t="str">
        <f t="shared" ca="1" si="17"/>
        <v>2017-03-12</v>
      </c>
      <c r="S100" t="str">
        <f t="shared" ca="1" si="17"/>
        <v>2017-12-25</v>
      </c>
      <c r="T100" t="s">
        <v>6670</v>
      </c>
      <c r="U100" t="s">
        <v>76</v>
      </c>
      <c r="V100" t="s">
        <v>76</v>
      </c>
      <c r="W100" t="s">
        <v>76</v>
      </c>
      <c r="X100" t="s">
        <v>6517</v>
      </c>
      <c r="Y100" t="s">
        <v>6517</v>
      </c>
      <c r="Z100" t="s">
        <v>6517</v>
      </c>
      <c r="AA100" t="s">
        <v>6517</v>
      </c>
    </row>
    <row r="101" spans="1:27" x14ac:dyDescent="0.3">
      <c r="A101" t="s">
        <v>7</v>
      </c>
      <c r="B101" t="s">
        <v>3014</v>
      </c>
      <c r="C101">
        <f t="shared" si="11"/>
        <v>200099</v>
      </c>
      <c r="D101" t="s">
        <v>6670</v>
      </c>
      <c r="E101" t="str">
        <f t="shared" ca="1" si="9"/>
        <v>2006-04-27</v>
      </c>
      <c r="F101">
        <f>IFERROR(VLOOKUP(B101,Contacts.csv!C:D,2,FALSE),"")</f>
        <v>200099</v>
      </c>
      <c r="G101" t="str">
        <f t="shared" si="12"/>
        <v>rg:None</v>
      </c>
      <c r="H101" s="4" t="str">
        <f t="shared" si="13"/>
        <v>rg:[]</v>
      </c>
      <c r="I101" s="1" t="str">
        <f>VLOOKUP(B101,'HETS Data'!A:E,5,FALSE)</f>
        <v>LOWER MAINLAND-COQUITLAM/BURNABY/VAN</v>
      </c>
      <c r="J101">
        <f>VLOOKUP(I101,LocalAreas.csv!D:G,4,FALSE)</f>
        <v>200030</v>
      </c>
      <c r="K101" t="str">
        <f t="shared" si="10"/>
        <v>rg:{'id':'200030'}</v>
      </c>
      <c r="L101" t="str">
        <f t="shared" si="14"/>
        <v>ORIG</v>
      </c>
      <c r="N101">
        <f t="shared" ca="1" si="15"/>
        <v>19631</v>
      </c>
      <c r="O101" t="s">
        <v>326</v>
      </c>
      <c r="P101" t="s">
        <v>326</v>
      </c>
      <c r="Q101">
        <f t="shared" ca="1" si="16"/>
        <v>732032</v>
      </c>
      <c r="R101" t="str">
        <f t="shared" ca="1" si="17"/>
        <v>2018-01-26</v>
      </c>
      <c r="S101" t="str">
        <f t="shared" ca="1" si="17"/>
        <v>2017-09-07</v>
      </c>
      <c r="T101" t="s">
        <v>6670</v>
      </c>
      <c r="U101" t="s">
        <v>76</v>
      </c>
      <c r="V101" t="s">
        <v>76</v>
      </c>
      <c r="W101" t="s">
        <v>76</v>
      </c>
      <c r="X101" t="s">
        <v>6517</v>
      </c>
      <c r="Y101" t="s">
        <v>6517</v>
      </c>
      <c r="Z101" t="s">
        <v>6517</v>
      </c>
      <c r="AA101" t="s">
        <v>6517</v>
      </c>
    </row>
    <row r="102" spans="1:27" x14ac:dyDescent="0.3">
      <c r="A102" t="s">
        <v>7</v>
      </c>
      <c r="B102" t="s">
        <v>4144</v>
      </c>
      <c r="C102">
        <f t="shared" si="11"/>
        <v>200100</v>
      </c>
      <c r="D102" t="s">
        <v>6670</v>
      </c>
      <c r="E102" t="str">
        <f t="shared" ca="1" si="9"/>
        <v>2016-07-13</v>
      </c>
      <c r="F102">
        <f>IFERROR(VLOOKUP(B102,Contacts.csv!C:D,2,FALSE),"")</f>
        <v>200100</v>
      </c>
      <c r="G102" t="str">
        <f t="shared" si="12"/>
        <v>rg:None</v>
      </c>
      <c r="H102" s="4" t="str">
        <f t="shared" si="13"/>
        <v>rg:[]</v>
      </c>
      <c r="I102" s="1" t="str">
        <f>VLOOKUP(B102,'HETS Data'!A:E,5,FALSE)</f>
        <v>GOLD RIVER</v>
      </c>
      <c r="J102">
        <f>VLOOKUP(I102,LocalAreas.csv!D:G,4,FALSE)</f>
        <v>200041</v>
      </c>
      <c r="K102" t="str">
        <f t="shared" si="10"/>
        <v>rg:{'id':'200041'}</v>
      </c>
      <c r="L102" t="str">
        <f t="shared" si="14"/>
        <v>WALL</v>
      </c>
      <c r="N102">
        <f t="shared" ca="1" si="15"/>
        <v>14351</v>
      </c>
      <c r="O102" t="s">
        <v>5696</v>
      </c>
      <c r="P102" t="s">
        <v>326</v>
      </c>
      <c r="Q102">
        <f t="shared" ca="1" si="16"/>
        <v>732128</v>
      </c>
      <c r="R102" t="str">
        <f t="shared" ca="1" si="17"/>
        <v>2017-12-23</v>
      </c>
      <c r="S102" t="str">
        <f t="shared" ca="1" si="17"/>
        <v>2018-02-08</v>
      </c>
      <c r="T102" t="s">
        <v>6670</v>
      </c>
      <c r="U102" t="s">
        <v>76</v>
      </c>
      <c r="V102" t="s">
        <v>76</v>
      </c>
      <c r="W102" t="s">
        <v>76</v>
      </c>
      <c r="X102" t="s">
        <v>6517</v>
      </c>
      <c r="Y102" t="s">
        <v>6517</v>
      </c>
      <c r="Z102" t="s">
        <v>6517</v>
      </c>
      <c r="AA102" t="s">
        <v>6517</v>
      </c>
    </row>
    <row r="103" spans="1:27" x14ac:dyDescent="0.3">
      <c r="A103" t="s">
        <v>7</v>
      </c>
      <c r="B103" t="s">
        <v>3995</v>
      </c>
      <c r="C103">
        <f t="shared" si="11"/>
        <v>200101</v>
      </c>
      <c r="D103" t="s">
        <v>6670</v>
      </c>
      <c r="E103" t="str">
        <f t="shared" ca="1" si="9"/>
        <v>2016-01-04</v>
      </c>
      <c r="F103">
        <f>IFERROR(VLOOKUP(B103,Contacts.csv!C:D,2,FALSE),"")</f>
        <v>200101</v>
      </c>
      <c r="G103" t="str">
        <f t="shared" si="12"/>
        <v>rg:None</v>
      </c>
      <c r="H103" s="4" t="str">
        <f t="shared" si="13"/>
        <v>rg:[]</v>
      </c>
      <c r="I103" s="1" t="str">
        <f>VLOOKUP(B103,'HETS Data'!A:E,5,FALSE)</f>
        <v>COBBLE HILL</v>
      </c>
      <c r="J103">
        <f>VLOOKUP(I103,LocalAreas.csv!D:G,4,FALSE)</f>
        <v>200064</v>
      </c>
      <c r="K103" t="str">
        <f t="shared" si="10"/>
        <v>rg:{'id':'200064'}</v>
      </c>
      <c r="L103" t="str">
        <f t="shared" si="14"/>
        <v>WIZ</v>
      </c>
      <c r="N103">
        <f t="shared" ca="1" si="15"/>
        <v>14645</v>
      </c>
      <c r="O103" t="s">
        <v>5696</v>
      </c>
      <c r="P103" t="s">
        <v>326</v>
      </c>
      <c r="Q103">
        <f t="shared" ca="1" si="16"/>
        <v>732033</v>
      </c>
      <c r="R103" t="str">
        <f t="shared" ca="1" si="17"/>
        <v>2017-03-16</v>
      </c>
      <c r="S103" t="str">
        <f t="shared" ca="1" si="17"/>
        <v>2017-08-12</v>
      </c>
      <c r="T103" t="s">
        <v>6670</v>
      </c>
      <c r="U103" t="s">
        <v>76</v>
      </c>
      <c r="V103" t="s">
        <v>76</v>
      </c>
      <c r="W103" t="s">
        <v>76</v>
      </c>
      <c r="X103" t="s">
        <v>6517</v>
      </c>
      <c r="Y103" t="s">
        <v>6517</v>
      </c>
      <c r="Z103" t="s">
        <v>6517</v>
      </c>
      <c r="AA103" t="s">
        <v>6517</v>
      </c>
    </row>
    <row r="104" spans="1:27" x14ac:dyDescent="0.3">
      <c r="A104" t="s">
        <v>7</v>
      </c>
      <c r="B104" t="s">
        <v>3715</v>
      </c>
      <c r="C104">
        <f t="shared" si="11"/>
        <v>200102</v>
      </c>
      <c r="D104" t="s">
        <v>6670</v>
      </c>
      <c r="E104" t="str">
        <f t="shared" ca="1" si="9"/>
        <v>2009-03-27</v>
      </c>
      <c r="F104">
        <f>IFERROR(VLOOKUP(B104,Contacts.csv!C:D,2,FALSE),"")</f>
        <v>200102</v>
      </c>
      <c r="G104" t="str">
        <f t="shared" si="12"/>
        <v>rg:None</v>
      </c>
      <c r="H104" s="4" t="str">
        <f t="shared" si="13"/>
        <v>rg:[]</v>
      </c>
      <c r="I104" s="1" t="str">
        <f>VLOOKUP(B104,'HETS Data'!A:E,5,FALSE)</f>
        <v>ABBOTSFORD</v>
      </c>
      <c r="J104">
        <f>VLOOKUP(I104,LocalAreas.csv!D:G,4,FALSE)</f>
        <v>200022</v>
      </c>
      <c r="K104" t="str">
        <f t="shared" si="10"/>
        <v>rg:{'id':'200022'}</v>
      </c>
      <c r="L104" t="s">
        <v>8054</v>
      </c>
      <c r="N104">
        <f t="shared" ca="1" si="15"/>
        <v>13182</v>
      </c>
      <c r="O104" t="s">
        <v>5696</v>
      </c>
      <c r="P104" t="s">
        <v>5696</v>
      </c>
      <c r="Q104">
        <f t="shared" ca="1" si="16"/>
        <v>732130</v>
      </c>
      <c r="R104" t="str">
        <f t="shared" ca="1" si="17"/>
        <v>2017-10-04</v>
      </c>
      <c r="S104" t="str">
        <f t="shared" ca="1" si="17"/>
        <v>2017-11-10</v>
      </c>
      <c r="T104" t="s">
        <v>6670</v>
      </c>
      <c r="U104" t="s">
        <v>76</v>
      </c>
      <c r="V104" t="s">
        <v>76</v>
      </c>
      <c r="W104" t="s">
        <v>76</v>
      </c>
      <c r="X104" t="s">
        <v>6517</v>
      </c>
      <c r="Y104" t="s">
        <v>6517</v>
      </c>
      <c r="Z104" t="s">
        <v>6517</v>
      </c>
      <c r="AA104" t="s">
        <v>6517</v>
      </c>
    </row>
    <row r="105" spans="1:27" x14ac:dyDescent="0.3">
      <c r="A105" t="s">
        <v>7</v>
      </c>
      <c r="B105" t="s">
        <v>3440</v>
      </c>
      <c r="C105">
        <f t="shared" si="11"/>
        <v>200103</v>
      </c>
      <c r="D105" t="s">
        <v>6670</v>
      </c>
      <c r="E105" t="str">
        <f t="shared" ca="1" si="9"/>
        <v>2010-04-20</v>
      </c>
      <c r="F105">
        <f>IFERROR(VLOOKUP(B105,Contacts.csv!C:D,2,FALSE),"")</f>
        <v>200103</v>
      </c>
      <c r="G105" t="str">
        <f t="shared" si="12"/>
        <v>rg:None</v>
      </c>
      <c r="H105" s="4" t="str">
        <f t="shared" si="13"/>
        <v>rg:[]</v>
      </c>
      <c r="I105" s="1" t="str">
        <f>VLOOKUP(B105,'HETS Data'!A:E,5,FALSE)</f>
        <v>NANAIMO/LADYSMITH/LANTZVILLE</v>
      </c>
      <c r="J105">
        <f>VLOOKUP(I105,LocalAreas.csv!D:G,4,FALSE)</f>
        <v>200005</v>
      </c>
      <c r="K105" t="str">
        <f t="shared" si="10"/>
        <v>rg:{'id':'200005'}</v>
      </c>
      <c r="L105" t="s">
        <v>8055</v>
      </c>
      <c r="N105">
        <f t="shared" ca="1" si="15"/>
        <v>15874</v>
      </c>
      <c r="O105" t="s">
        <v>5696</v>
      </c>
      <c r="P105" t="s">
        <v>326</v>
      </c>
      <c r="Q105">
        <f t="shared" ca="1" si="16"/>
        <v>732042</v>
      </c>
      <c r="R105" t="str">
        <f t="shared" ca="1" si="17"/>
        <v>2018-01-12</v>
      </c>
      <c r="S105" t="str">
        <f t="shared" ca="1" si="17"/>
        <v>2018-02-06</v>
      </c>
      <c r="T105" t="s">
        <v>6670</v>
      </c>
      <c r="U105" t="s">
        <v>76</v>
      </c>
      <c r="V105" t="s">
        <v>76</v>
      </c>
      <c r="W105" t="s">
        <v>76</v>
      </c>
      <c r="X105" t="s">
        <v>6517</v>
      </c>
      <c r="Y105" t="s">
        <v>6517</v>
      </c>
      <c r="Z105" t="s">
        <v>6517</v>
      </c>
      <c r="AA105" t="s">
        <v>6517</v>
      </c>
    </row>
    <row r="106" spans="1:27" x14ac:dyDescent="0.3">
      <c r="A106" t="s">
        <v>7</v>
      </c>
      <c r="B106" t="s">
        <v>4763</v>
      </c>
      <c r="C106">
        <f t="shared" si="11"/>
        <v>200104</v>
      </c>
      <c r="D106" t="s">
        <v>6672</v>
      </c>
      <c r="E106" t="str">
        <f t="shared" ca="1" si="9"/>
        <v>2008-01-24</v>
      </c>
      <c r="F106">
        <f>IFERROR(VLOOKUP(B106,Contacts.csv!C:D,2,FALSE),"")</f>
        <v>200104</v>
      </c>
      <c r="G106" t="str">
        <f t="shared" si="12"/>
        <v>rg:None</v>
      </c>
      <c r="H106" s="4" t="str">
        <f t="shared" si="13"/>
        <v>rg:[]</v>
      </c>
      <c r="I106" s="1" t="str">
        <f>VLOOKUP(B106,'HETS Data'!A:E,5,FALSE)</f>
        <v>KELOWNA ROAD MANAGEMENT AREA</v>
      </c>
      <c r="J106">
        <f>VLOOKUP(I106,LocalAreas.csv!D:G,4,FALSE)</f>
        <v>200070</v>
      </c>
      <c r="K106" t="str">
        <f t="shared" si="10"/>
        <v>rg:{'id':'200070'}</v>
      </c>
      <c r="L106" t="s">
        <v>8056</v>
      </c>
      <c r="N106">
        <f t="shared" ca="1" si="15"/>
        <v>10996</v>
      </c>
      <c r="O106" t="s">
        <v>5696</v>
      </c>
      <c r="P106" t="s">
        <v>326</v>
      </c>
      <c r="Q106">
        <f t="shared" ca="1" si="16"/>
        <v>732162</v>
      </c>
      <c r="R106" t="str">
        <f t="shared" ca="1" si="17"/>
        <v>2017-07-04</v>
      </c>
      <c r="S106" t="str">
        <f t="shared" ca="1" si="17"/>
        <v>2018-02-10</v>
      </c>
      <c r="T106" t="s">
        <v>6672</v>
      </c>
      <c r="U106" t="s">
        <v>76</v>
      </c>
      <c r="V106" t="s">
        <v>76</v>
      </c>
      <c r="W106" t="s">
        <v>76</v>
      </c>
      <c r="X106" t="s">
        <v>6517</v>
      </c>
      <c r="Y106" t="s">
        <v>6517</v>
      </c>
      <c r="Z106" t="s">
        <v>6517</v>
      </c>
      <c r="AA106" t="s">
        <v>6517</v>
      </c>
    </row>
    <row r="107" spans="1:27" x14ac:dyDescent="0.3">
      <c r="A107" t="s">
        <v>7</v>
      </c>
      <c r="B107" t="s">
        <v>4085</v>
      </c>
      <c r="C107">
        <f t="shared" si="11"/>
        <v>200105</v>
      </c>
      <c r="D107" t="s">
        <v>6672</v>
      </c>
      <c r="E107" t="str">
        <f t="shared" ca="1" si="9"/>
        <v>2014-01-04</v>
      </c>
      <c r="F107" t="str">
        <f>IFERROR(VLOOKUP(B107,Contacts.csv!C:D,2,FALSE),"")</f>
        <v/>
      </c>
      <c r="G107" t="str">
        <f t="shared" si="12"/>
        <v>rg:None</v>
      </c>
      <c r="H107" s="4" t="str">
        <f t="shared" si="13"/>
        <v>rg:[]</v>
      </c>
      <c r="I107" s="1" t="str">
        <f>VLOOKUP(B107,'HETS Data'!A:E,5,FALSE)</f>
        <v>KELOWNA ROAD MANAGEMENT AREA</v>
      </c>
      <c r="J107">
        <f>VLOOKUP(I107,LocalAreas.csv!D:G,4,FALSE)</f>
        <v>200070</v>
      </c>
      <c r="K107" t="str">
        <f t="shared" si="10"/>
        <v>rg:{'id':'200070'}</v>
      </c>
      <c r="L107" t="s">
        <v>8057</v>
      </c>
      <c r="N107">
        <f t="shared" ca="1" si="15"/>
        <v>18661</v>
      </c>
      <c r="O107" t="s">
        <v>5696</v>
      </c>
      <c r="P107" t="s">
        <v>326</v>
      </c>
      <c r="Q107">
        <f t="shared" ca="1" si="16"/>
        <v>732072</v>
      </c>
      <c r="R107" t="str">
        <f t="shared" ca="1" si="17"/>
        <v>2017-07-01</v>
      </c>
      <c r="S107" t="str">
        <f t="shared" ca="1" si="17"/>
        <v>2017-11-20</v>
      </c>
      <c r="T107" t="s">
        <v>6672</v>
      </c>
      <c r="U107" t="s">
        <v>76</v>
      </c>
      <c r="V107" t="s">
        <v>76</v>
      </c>
      <c r="W107" t="s">
        <v>76</v>
      </c>
      <c r="X107" t="s">
        <v>6517</v>
      </c>
      <c r="Y107" t="s">
        <v>6517</v>
      </c>
      <c r="Z107" t="s">
        <v>6517</v>
      </c>
      <c r="AA107" t="s">
        <v>6517</v>
      </c>
    </row>
    <row r="108" spans="1:27" x14ac:dyDescent="0.3">
      <c r="A108" t="s">
        <v>7</v>
      </c>
      <c r="B108" t="s">
        <v>3604</v>
      </c>
      <c r="C108">
        <f t="shared" si="11"/>
        <v>200106</v>
      </c>
      <c r="D108" t="s">
        <v>6672</v>
      </c>
      <c r="E108" t="str">
        <f t="shared" ca="1" si="9"/>
        <v>2011-11-04</v>
      </c>
      <c r="F108" t="str">
        <f>IFERROR(VLOOKUP(B108,Contacts.csv!C:D,2,FALSE),"")</f>
        <v/>
      </c>
      <c r="G108" t="str">
        <f t="shared" si="12"/>
        <v>rg:None</v>
      </c>
      <c r="H108" s="4" t="str">
        <f t="shared" si="13"/>
        <v>rg:[]</v>
      </c>
      <c r="I108" s="1" t="str">
        <f>VLOOKUP(B108,'HETS Data'!A:E,5,FALSE)</f>
        <v>LOWER MAINLAND-SURREY/LANGLEY</v>
      </c>
      <c r="J108">
        <f>VLOOKUP(I108,LocalAreas.csv!D:G,4,FALSE)</f>
        <v>200029</v>
      </c>
      <c r="K108" t="str">
        <f t="shared" si="10"/>
        <v>rg:{'id':'200029'}</v>
      </c>
      <c r="L108" t="str">
        <f t="shared" si="14"/>
        <v>WARE</v>
      </c>
      <c r="N108">
        <f t="shared" ca="1" si="15"/>
        <v>17583</v>
      </c>
      <c r="O108" t="s">
        <v>5696</v>
      </c>
      <c r="P108" t="s">
        <v>326</v>
      </c>
      <c r="Q108">
        <f t="shared" ca="1" si="16"/>
        <v>732042</v>
      </c>
      <c r="R108" t="str">
        <f t="shared" ca="1" si="17"/>
        <v>2017-07-05</v>
      </c>
      <c r="S108" t="str">
        <f t="shared" ca="1" si="17"/>
        <v>2017-09-09</v>
      </c>
      <c r="T108" t="s">
        <v>6672</v>
      </c>
      <c r="U108" t="s">
        <v>76</v>
      </c>
      <c r="V108" t="s">
        <v>76</v>
      </c>
      <c r="W108" t="s">
        <v>76</v>
      </c>
      <c r="X108" t="s">
        <v>6517</v>
      </c>
      <c r="Y108" t="s">
        <v>6517</v>
      </c>
      <c r="Z108" t="s">
        <v>6517</v>
      </c>
      <c r="AA108" t="s">
        <v>6517</v>
      </c>
    </row>
    <row r="109" spans="1:27" x14ac:dyDescent="0.3">
      <c r="A109" t="s">
        <v>7</v>
      </c>
      <c r="B109" t="s">
        <v>4777</v>
      </c>
      <c r="C109">
        <f t="shared" si="11"/>
        <v>200107</v>
      </c>
      <c r="D109" t="s">
        <v>6672</v>
      </c>
      <c r="E109" t="str">
        <f t="shared" ca="1" si="9"/>
        <v>2004-03-02</v>
      </c>
      <c r="F109" t="str">
        <f>IFERROR(VLOOKUP(B109,Contacts.csv!C:D,2,FALSE),"")</f>
        <v/>
      </c>
      <c r="G109" t="str">
        <f t="shared" si="12"/>
        <v>rg:None</v>
      </c>
      <c r="H109" s="4" t="str">
        <f t="shared" si="13"/>
        <v>rg:[]</v>
      </c>
      <c r="I109" s="1" t="str">
        <f>VLOOKUP(B109,'HETS Data'!A:E,5,FALSE)</f>
        <v>COURTENAY</v>
      </c>
      <c r="J109">
        <f>VLOOKUP(I109,LocalAreas.csv!D:G,4,FALSE)</f>
        <v>200038</v>
      </c>
      <c r="K109" t="str">
        <f t="shared" si="10"/>
        <v>rg:{'id':'200038'}</v>
      </c>
      <c r="L109" t="str">
        <f t="shared" si="14"/>
        <v>WEAT</v>
      </c>
      <c r="N109">
        <f t="shared" ca="1" si="15"/>
        <v>15587</v>
      </c>
      <c r="O109" t="s">
        <v>5696</v>
      </c>
      <c r="P109" t="s">
        <v>326</v>
      </c>
      <c r="Q109">
        <f t="shared" ca="1" si="16"/>
        <v>732079</v>
      </c>
      <c r="R109" t="str">
        <f t="shared" ca="1" si="17"/>
        <v>2017-06-07</v>
      </c>
      <c r="S109" t="str">
        <f t="shared" ca="1" si="17"/>
        <v>2018-02-05</v>
      </c>
      <c r="T109" t="s">
        <v>6672</v>
      </c>
      <c r="U109" t="s">
        <v>76</v>
      </c>
      <c r="V109" t="s">
        <v>76</v>
      </c>
      <c r="W109" t="s">
        <v>76</v>
      </c>
      <c r="X109" t="s">
        <v>6517</v>
      </c>
      <c r="Y109" t="s">
        <v>6517</v>
      </c>
      <c r="Z109" t="s">
        <v>6517</v>
      </c>
      <c r="AA109" t="s">
        <v>6517</v>
      </c>
    </row>
    <row r="110" spans="1:27" x14ac:dyDescent="0.3">
      <c r="A110" t="s">
        <v>7</v>
      </c>
      <c r="B110" t="s">
        <v>3204</v>
      </c>
      <c r="C110">
        <f t="shared" si="11"/>
        <v>200108</v>
      </c>
      <c r="D110" t="s">
        <v>6672</v>
      </c>
      <c r="E110" t="str">
        <f t="shared" ca="1" si="9"/>
        <v>2013-11-28</v>
      </c>
      <c r="F110" t="str">
        <f>IFERROR(VLOOKUP(B110,Contacts.csv!C:D,2,FALSE),"")</f>
        <v/>
      </c>
      <c r="G110" t="str">
        <f t="shared" si="12"/>
        <v>rg:None</v>
      </c>
      <c r="H110" s="4" t="str">
        <f t="shared" si="13"/>
        <v>rg:[]</v>
      </c>
      <c r="I110" s="1" t="str">
        <f>VLOOKUP(B110,'HETS Data'!A:E,5,FALSE)</f>
        <v>LOWER MAINLAND-SURREY/LANGLEY</v>
      </c>
      <c r="J110">
        <f>VLOOKUP(I110,LocalAreas.csv!D:G,4,FALSE)</f>
        <v>200029</v>
      </c>
      <c r="K110" t="str">
        <f t="shared" si="10"/>
        <v>rg:{'id':'200029'}</v>
      </c>
      <c r="L110" t="str">
        <f t="shared" si="14"/>
        <v>WELL</v>
      </c>
      <c r="N110">
        <f t="shared" ca="1" si="15"/>
        <v>13006</v>
      </c>
      <c r="O110" t="s">
        <v>5696</v>
      </c>
      <c r="P110" t="s">
        <v>326</v>
      </c>
      <c r="Q110">
        <f t="shared" ca="1" si="16"/>
        <v>732014</v>
      </c>
      <c r="R110" t="str">
        <f t="shared" ca="1" si="17"/>
        <v>2017-10-21</v>
      </c>
      <c r="S110" t="str">
        <f t="shared" ca="1" si="17"/>
        <v>2017-09-03</v>
      </c>
      <c r="T110" t="s">
        <v>6672</v>
      </c>
      <c r="U110" t="s">
        <v>76</v>
      </c>
      <c r="V110" t="s">
        <v>76</v>
      </c>
      <c r="W110" t="s">
        <v>76</v>
      </c>
      <c r="X110" t="s">
        <v>6517</v>
      </c>
      <c r="Y110" t="s">
        <v>6517</v>
      </c>
      <c r="Z110" t="s">
        <v>6517</v>
      </c>
      <c r="AA110" t="s">
        <v>6517</v>
      </c>
    </row>
    <row r="111" spans="1:27" x14ac:dyDescent="0.3">
      <c r="A111" t="s">
        <v>7</v>
      </c>
      <c r="B111" t="s">
        <v>4641</v>
      </c>
      <c r="C111">
        <f t="shared" si="11"/>
        <v>200109</v>
      </c>
      <c r="D111" t="s">
        <v>6672</v>
      </c>
      <c r="E111" t="str">
        <f t="shared" ca="1" si="9"/>
        <v>2007-10-31</v>
      </c>
      <c r="F111" t="str">
        <f>IFERROR(VLOOKUP(B111,Contacts.csv!C:D,2,FALSE),"")</f>
        <v/>
      </c>
      <c r="G111" t="str">
        <f t="shared" si="12"/>
        <v>rg:None</v>
      </c>
      <c r="H111" s="4" t="str">
        <f t="shared" si="13"/>
        <v>rg:[]</v>
      </c>
      <c r="I111" s="1" t="str">
        <f>VLOOKUP(B111,'HETS Data'!A:E,5,FALSE)</f>
        <v>COBBLE HILL</v>
      </c>
      <c r="J111">
        <f>VLOOKUP(I111,LocalAreas.csv!D:G,4,FALSE)</f>
        <v>200064</v>
      </c>
      <c r="K111" t="str">
        <f t="shared" si="10"/>
        <v>rg:{'id':'200064'}</v>
      </c>
      <c r="L111" t="str">
        <f t="shared" si="14"/>
        <v>WEST</v>
      </c>
      <c r="N111">
        <f t="shared" ca="1" si="15"/>
        <v>10027</v>
      </c>
      <c r="O111" t="s">
        <v>5696</v>
      </c>
      <c r="P111" t="s">
        <v>326</v>
      </c>
      <c r="Q111">
        <f t="shared" ca="1" si="16"/>
        <v>732077</v>
      </c>
      <c r="R111" t="str">
        <f t="shared" ca="1" si="17"/>
        <v>2017-10-12</v>
      </c>
      <c r="S111" t="str">
        <f t="shared" ca="1" si="17"/>
        <v>2017-03-10</v>
      </c>
      <c r="T111" t="s">
        <v>6672</v>
      </c>
      <c r="U111" t="s">
        <v>76</v>
      </c>
      <c r="V111" t="s">
        <v>76</v>
      </c>
      <c r="W111" t="s">
        <v>76</v>
      </c>
      <c r="X111" t="s">
        <v>6517</v>
      </c>
      <c r="Y111" t="s">
        <v>6517</v>
      </c>
      <c r="Z111" t="s">
        <v>6517</v>
      </c>
      <c r="AA111" t="s">
        <v>6517</v>
      </c>
    </row>
    <row r="112" spans="1:27" x14ac:dyDescent="0.3">
      <c r="A112" t="s">
        <v>7</v>
      </c>
      <c r="B112" t="s">
        <v>3588</v>
      </c>
      <c r="C112">
        <f t="shared" si="11"/>
        <v>200110</v>
      </c>
      <c r="D112" t="s">
        <v>6670</v>
      </c>
      <c r="E112" t="str">
        <f t="shared" ca="1" si="9"/>
        <v>2016-01-08</v>
      </c>
      <c r="F112" t="str">
        <f>IFERROR(VLOOKUP(B112,Contacts.csv!C:D,2,FALSE),"")</f>
        <v/>
      </c>
      <c r="G112" t="str">
        <f t="shared" si="12"/>
        <v>rg:None</v>
      </c>
      <c r="H112" s="4" t="str">
        <f t="shared" si="13"/>
        <v>rg:[]</v>
      </c>
      <c r="I112" s="1" t="str">
        <f>VLOOKUP(B112,'HETS Data'!A:E,5,FALSE)</f>
        <v>KELOWNA ROAD MANAGEMENT AREA</v>
      </c>
      <c r="J112">
        <f>VLOOKUP(I112,LocalAreas.csv!D:G,4,FALSE)</f>
        <v>200070</v>
      </c>
      <c r="K112" t="str">
        <f t="shared" si="10"/>
        <v>rg:{'id':'200070'}</v>
      </c>
      <c r="L112" t="str">
        <f t="shared" si="14"/>
        <v>WITM</v>
      </c>
      <c r="N112">
        <f t="shared" ca="1" si="15"/>
        <v>13035</v>
      </c>
      <c r="O112" t="s">
        <v>5696</v>
      </c>
      <c r="P112" t="s">
        <v>326</v>
      </c>
      <c r="Q112">
        <f t="shared" ca="1" si="16"/>
        <v>732141</v>
      </c>
      <c r="R112" t="str">
        <f t="shared" ca="1" si="17"/>
        <v>2017-10-04</v>
      </c>
      <c r="S112" t="str">
        <f t="shared" ca="1" si="17"/>
        <v>2017-05-24</v>
      </c>
      <c r="T112" t="s">
        <v>6670</v>
      </c>
      <c r="U112" t="s">
        <v>76</v>
      </c>
      <c r="V112" t="s">
        <v>76</v>
      </c>
      <c r="W112" t="s">
        <v>76</v>
      </c>
      <c r="X112" t="s">
        <v>6517</v>
      </c>
      <c r="Y112" t="s">
        <v>6517</v>
      </c>
      <c r="Z112" t="s">
        <v>6517</v>
      </c>
      <c r="AA112" t="s">
        <v>6517</v>
      </c>
    </row>
  </sheetData>
  <autoFilter ref="A1:AA112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V204"/>
  <sheetViews>
    <sheetView tabSelected="1"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4.6640625" customWidth="1"/>
    <col min="5" max="5" width="17.88671875" customWidth="1"/>
    <col min="6" max="6" width="24.88671875" customWidth="1"/>
    <col min="7" max="7" width="13.33203125" customWidth="1"/>
    <col min="8" max="8" width="16.88671875" customWidth="1"/>
    <col min="21" max="22" width="10.44140625" style="1" bestFit="1" customWidth="1"/>
    <col min="30" max="30" width="10.44140625" bestFit="1" customWidth="1"/>
    <col min="34" max="34" width="10.44140625" style="1" bestFit="1" customWidth="1"/>
    <col min="35" max="35" width="10.44140625" bestFit="1" customWidth="1"/>
    <col min="41" max="41" width="10.44140625" bestFit="1" customWidth="1"/>
  </cols>
  <sheetData>
    <row r="1" spans="1:48" x14ac:dyDescent="0.3">
      <c r="A1" t="s">
        <v>68</v>
      </c>
      <c r="B1" t="s">
        <v>5327</v>
      </c>
      <c r="C1" t="s">
        <v>6695</v>
      </c>
      <c r="D1" t="s">
        <v>5634</v>
      </c>
      <c r="E1" t="s">
        <v>5636</v>
      </c>
      <c r="F1" t="s">
        <v>5637</v>
      </c>
      <c r="G1" t="s">
        <v>5651</v>
      </c>
      <c r="H1" t="s">
        <v>5650</v>
      </c>
      <c r="I1" t="s">
        <v>6864</v>
      </c>
      <c r="J1" t="s">
        <v>5652</v>
      </c>
      <c r="K1" t="s">
        <v>7123</v>
      </c>
      <c r="L1" t="s">
        <v>7124</v>
      </c>
      <c r="M1" t="s">
        <v>7125</v>
      </c>
      <c r="N1" t="s">
        <v>5653</v>
      </c>
      <c r="O1" t="s">
        <v>5654</v>
      </c>
      <c r="P1" t="s">
        <v>5655</v>
      </c>
      <c r="Q1" t="s">
        <v>5656</v>
      </c>
      <c r="R1" t="s">
        <v>5331</v>
      </c>
      <c r="S1" t="s">
        <v>5672</v>
      </c>
      <c r="T1" t="s">
        <v>333</v>
      </c>
      <c r="U1" s="1" t="s">
        <v>6865</v>
      </c>
      <c r="V1" s="1" t="s">
        <v>6866</v>
      </c>
      <c r="W1" t="s">
        <v>6867</v>
      </c>
      <c r="X1" t="s">
        <v>6868</v>
      </c>
      <c r="Y1" t="s">
        <v>6869</v>
      </c>
      <c r="Z1" t="s">
        <v>6870</v>
      </c>
      <c r="AA1" t="s">
        <v>6871</v>
      </c>
      <c r="AB1" t="s">
        <v>6872</v>
      </c>
      <c r="AC1" t="s">
        <v>6873</v>
      </c>
      <c r="AD1" t="s">
        <v>6874</v>
      </c>
      <c r="AE1" t="s">
        <v>6875</v>
      </c>
      <c r="AF1" t="s">
        <v>6876</v>
      </c>
      <c r="AG1" t="s">
        <v>6877</v>
      </c>
      <c r="AH1" s="1" t="s">
        <v>6878</v>
      </c>
      <c r="AI1" t="s">
        <v>6879</v>
      </c>
      <c r="AJ1" t="s">
        <v>6880</v>
      </c>
      <c r="AK1" t="s">
        <v>6881</v>
      </c>
      <c r="AL1" t="s">
        <v>6882</v>
      </c>
      <c r="AM1" t="s">
        <v>6513</v>
      </c>
      <c r="AN1" t="s">
        <v>6514</v>
      </c>
      <c r="AO1" t="s">
        <v>6515</v>
      </c>
      <c r="AP1" t="s">
        <v>6883</v>
      </c>
      <c r="AQ1" t="s">
        <v>6884</v>
      </c>
      <c r="AR1" t="s">
        <v>5329</v>
      </c>
      <c r="AS1" t="s">
        <v>5376</v>
      </c>
      <c r="AT1" t="s">
        <v>5377</v>
      </c>
      <c r="AU1" t="s">
        <v>6885</v>
      </c>
    </row>
    <row r="2" spans="1:48" x14ac:dyDescent="0.3">
      <c r="A2" t="s">
        <v>5632</v>
      </c>
      <c r="B2">
        <f>IF(ISNUMBER(B1),B1+1,200000)</f>
        <v>200000</v>
      </c>
      <c r="C2">
        <v>200000</v>
      </c>
      <c r="D2" t="s">
        <v>6540</v>
      </c>
      <c r="E2" t="s">
        <v>8097</v>
      </c>
      <c r="F2" t="s">
        <v>8098</v>
      </c>
      <c r="G2">
        <v>200000</v>
      </c>
      <c r="H2" t="s">
        <v>6540</v>
      </c>
      <c r="I2" t="s">
        <v>8099</v>
      </c>
      <c r="J2" t="s">
        <v>8614</v>
      </c>
      <c r="K2" t="str">
        <f t="shared" ref="K2:K66" si="0">IF(AND(L2*M2&lt;=10+COUNTIFS(L:L,"&lt;=10",M:M,2,C:C,C2),M2=1),"1",IF(OR(AND(L2*M2&lt;=20,L2*M2&gt;=11,M2=1),AND(L2*M2&gt;=4,L2*M2&lt;=40,M2=2)),"2","9"))</f>
        <v>1</v>
      </c>
      <c r="L2">
        <f>1+SUMPRODUCT((R:R=R2)*(N:N&gt;N2)*(E:E=E2))</f>
        <v>3</v>
      </c>
      <c r="M2">
        <f>1+SUMPRODUCT((R:R=R2)*(N:N&gt;N2)*(C:C=C2))</f>
        <v>1</v>
      </c>
      <c r="N2">
        <v>14.15</v>
      </c>
      <c r="O2" t="s">
        <v>5469</v>
      </c>
      <c r="P2" t="s">
        <v>5657</v>
      </c>
      <c r="Q2">
        <v>1999</v>
      </c>
      <c r="R2" t="s">
        <v>5538</v>
      </c>
      <c r="S2">
        <v>50</v>
      </c>
      <c r="T2" t="s">
        <v>6670</v>
      </c>
      <c r="U2" s="1" t="s">
        <v>7126</v>
      </c>
      <c r="V2" s="1" t="s">
        <v>7127</v>
      </c>
      <c r="W2" t="b">
        <v>0</v>
      </c>
      <c r="X2" t="s">
        <v>76</v>
      </c>
      <c r="Y2" t="s">
        <v>7509</v>
      </c>
      <c r="Z2" t="s">
        <v>6517</v>
      </c>
      <c r="AA2" t="s">
        <v>6517</v>
      </c>
      <c r="AB2" t="s">
        <v>6517</v>
      </c>
      <c r="AC2" t="s">
        <v>7856</v>
      </c>
      <c r="AD2" t="s">
        <v>7707</v>
      </c>
      <c r="AF2" t="b">
        <v>0</v>
      </c>
      <c r="AG2" t="s">
        <v>76</v>
      </c>
      <c r="AH2" s="1">
        <v>42480</v>
      </c>
      <c r="AI2" s="4">
        <v>12.819444444444445</v>
      </c>
      <c r="AJ2">
        <v>0</v>
      </c>
      <c r="AK2">
        <v>0</v>
      </c>
      <c r="AL2">
        <v>4</v>
      </c>
      <c r="AM2" t="s">
        <v>5696</v>
      </c>
      <c r="AN2" t="s">
        <v>6893</v>
      </c>
      <c r="AO2" s="1">
        <v>42666</v>
      </c>
      <c r="AP2" t="s">
        <v>6517</v>
      </c>
      <c r="AQ2" t="s">
        <v>6517</v>
      </c>
      <c r="AR2" t="s">
        <v>6517</v>
      </c>
      <c r="AS2" t="s">
        <v>6517</v>
      </c>
      <c r="AT2" t="s">
        <v>6517</v>
      </c>
      <c r="AU2" t="s">
        <v>6517</v>
      </c>
      <c r="AV2" t="s">
        <v>6517</v>
      </c>
    </row>
    <row r="3" spans="1:48" x14ac:dyDescent="0.3">
      <c r="A3" t="s">
        <v>5632</v>
      </c>
      <c r="B3">
        <f t="shared" ref="B3:B66" si="1">IF(ISNUMBER(B2),B2+1,200000)</f>
        <v>200001</v>
      </c>
      <c r="C3">
        <v>200001</v>
      </c>
      <c r="D3" t="s">
        <v>6521</v>
      </c>
      <c r="E3" t="s">
        <v>8097</v>
      </c>
      <c r="F3" t="s">
        <v>8100</v>
      </c>
      <c r="G3">
        <v>200001</v>
      </c>
      <c r="H3" t="s">
        <v>6521</v>
      </c>
      <c r="I3" t="s">
        <v>8101</v>
      </c>
      <c r="J3" t="s">
        <v>8614</v>
      </c>
      <c r="K3" t="str">
        <f t="shared" si="0"/>
        <v>1</v>
      </c>
      <c r="L3">
        <f t="shared" ref="L3:L66" si="2">1+SUMPRODUCT((R:R=R3)*(N:N&gt;N3)*(E:E=E3))</f>
        <v>1</v>
      </c>
      <c r="M3">
        <f t="shared" ref="M3:M66" si="3">1+SUMPRODUCT((R:R=R3)*(N:N&gt;N3)*(C:C=C3))</f>
        <v>1</v>
      </c>
      <c r="N3">
        <v>39.33</v>
      </c>
      <c r="O3" t="s">
        <v>5425</v>
      </c>
      <c r="P3" t="s">
        <v>5668</v>
      </c>
      <c r="Q3">
        <v>1981</v>
      </c>
      <c r="R3" t="s">
        <v>5639</v>
      </c>
      <c r="S3">
        <v>50</v>
      </c>
      <c r="T3" t="s">
        <v>6670</v>
      </c>
      <c r="U3" s="1" t="s">
        <v>7128</v>
      </c>
      <c r="V3" s="1" t="s">
        <v>7129</v>
      </c>
      <c r="W3" t="b">
        <v>0</v>
      </c>
      <c r="X3" t="s">
        <v>76</v>
      </c>
      <c r="Y3" t="s">
        <v>7510</v>
      </c>
      <c r="Z3" t="s">
        <v>6517</v>
      </c>
      <c r="AA3" t="s">
        <v>6517</v>
      </c>
      <c r="AB3" t="s">
        <v>6517</v>
      </c>
      <c r="AC3" t="s">
        <v>7857</v>
      </c>
      <c r="AD3" t="s">
        <v>7708</v>
      </c>
      <c r="AF3" t="b">
        <v>0</v>
      </c>
      <c r="AG3" t="s">
        <v>76</v>
      </c>
      <c r="AH3" s="1">
        <v>42480</v>
      </c>
      <c r="AI3" s="4">
        <v>3.8250000000000002</v>
      </c>
      <c r="AJ3">
        <v>0</v>
      </c>
      <c r="AK3">
        <v>0</v>
      </c>
      <c r="AL3">
        <v>106.5</v>
      </c>
      <c r="AM3" t="s">
        <v>326</v>
      </c>
      <c r="AP3" t="s">
        <v>6517</v>
      </c>
      <c r="AQ3" t="s">
        <v>6517</v>
      </c>
      <c r="AR3" t="s">
        <v>6517</v>
      </c>
      <c r="AS3" t="s">
        <v>6517</v>
      </c>
      <c r="AT3" t="s">
        <v>6517</v>
      </c>
      <c r="AU3" t="s">
        <v>6517</v>
      </c>
      <c r="AV3" t="s">
        <v>6517</v>
      </c>
    </row>
    <row r="4" spans="1:48" x14ac:dyDescent="0.3">
      <c r="A4" t="s">
        <v>5632</v>
      </c>
      <c r="B4">
        <f t="shared" si="1"/>
        <v>200002</v>
      </c>
      <c r="C4">
        <v>200001</v>
      </c>
      <c r="D4" t="s">
        <v>6521</v>
      </c>
      <c r="E4" t="s">
        <v>8097</v>
      </c>
      <c r="F4" t="s">
        <v>8102</v>
      </c>
      <c r="G4">
        <v>200002</v>
      </c>
      <c r="H4" t="s">
        <v>6533</v>
      </c>
      <c r="I4" t="s">
        <v>8103</v>
      </c>
      <c r="J4" t="s">
        <v>8614</v>
      </c>
      <c r="K4" t="str">
        <f t="shared" si="0"/>
        <v>1</v>
      </c>
      <c r="L4">
        <f t="shared" si="2"/>
        <v>2</v>
      </c>
      <c r="M4">
        <f t="shared" si="3"/>
        <v>1</v>
      </c>
      <c r="N4">
        <v>7.33</v>
      </c>
      <c r="O4" t="s">
        <v>5666</v>
      </c>
      <c r="P4" t="s">
        <v>5663</v>
      </c>
      <c r="Q4">
        <v>1980</v>
      </c>
      <c r="R4" t="s">
        <v>5646</v>
      </c>
      <c r="S4">
        <v>100</v>
      </c>
      <c r="T4" t="s">
        <v>6670</v>
      </c>
      <c r="U4" s="1" t="s">
        <v>7130</v>
      </c>
      <c r="V4" s="1" t="s">
        <v>7131</v>
      </c>
      <c r="W4" t="b">
        <v>0</v>
      </c>
      <c r="X4" t="s">
        <v>76</v>
      </c>
      <c r="Y4" t="s">
        <v>7511</v>
      </c>
      <c r="Z4" t="s">
        <v>6517</v>
      </c>
      <c r="AA4" t="s">
        <v>6517</v>
      </c>
      <c r="AB4" t="s">
        <v>6517</v>
      </c>
      <c r="AC4" t="s">
        <v>7858</v>
      </c>
      <c r="AD4" t="s">
        <v>7709</v>
      </c>
      <c r="AF4" t="b">
        <v>0</v>
      </c>
      <c r="AG4" t="s">
        <v>76</v>
      </c>
      <c r="AH4" s="1">
        <v>42467</v>
      </c>
      <c r="AI4" s="4">
        <v>2.8277777777777779</v>
      </c>
      <c r="AJ4">
        <v>0</v>
      </c>
      <c r="AK4">
        <v>0</v>
      </c>
      <c r="AL4">
        <v>13.5</v>
      </c>
      <c r="AM4" t="s">
        <v>326</v>
      </c>
      <c r="AP4" t="s">
        <v>6517</v>
      </c>
      <c r="AQ4" t="s">
        <v>6517</v>
      </c>
      <c r="AR4" t="s">
        <v>6517</v>
      </c>
      <c r="AS4" t="s">
        <v>6517</v>
      </c>
      <c r="AT4" t="s">
        <v>6517</v>
      </c>
      <c r="AU4" t="s">
        <v>6517</v>
      </c>
      <c r="AV4" t="s">
        <v>6517</v>
      </c>
    </row>
    <row r="5" spans="1:48" x14ac:dyDescent="0.3">
      <c r="A5" t="s">
        <v>5632</v>
      </c>
      <c r="B5">
        <f t="shared" si="1"/>
        <v>200003</v>
      </c>
      <c r="C5">
        <v>200001</v>
      </c>
      <c r="D5" t="s">
        <v>6521</v>
      </c>
      <c r="E5" t="s">
        <v>8097</v>
      </c>
      <c r="F5" t="s">
        <v>8104</v>
      </c>
      <c r="G5">
        <v>200003</v>
      </c>
      <c r="H5" t="s">
        <v>6548</v>
      </c>
      <c r="I5" t="s">
        <v>8105</v>
      </c>
      <c r="J5" t="s">
        <v>8614</v>
      </c>
      <c r="K5" t="str">
        <f t="shared" si="0"/>
        <v>1</v>
      </c>
      <c r="L5">
        <f t="shared" si="2"/>
        <v>1</v>
      </c>
      <c r="M5">
        <f t="shared" si="3"/>
        <v>1</v>
      </c>
      <c r="N5">
        <v>13.71</v>
      </c>
      <c r="O5" t="s">
        <v>5665</v>
      </c>
      <c r="P5">
        <v>300</v>
      </c>
      <c r="Q5">
        <v>1991</v>
      </c>
      <c r="R5" t="s">
        <v>5647</v>
      </c>
      <c r="S5">
        <v>500</v>
      </c>
      <c r="T5" t="s">
        <v>6670</v>
      </c>
      <c r="U5" s="1" t="s">
        <v>7132</v>
      </c>
      <c r="V5" s="1" t="s">
        <v>7133</v>
      </c>
      <c r="W5" t="b">
        <v>0</v>
      </c>
      <c r="X5" t="s">
        <v>76</v>
      </c>
      <c r="Y5" t="s">
        <v>7512</v>
      </c>
      <c r="Z5" t="s">
        <v>6517</v>
      </c>
      <c r="AA5" t="s">
        <v>6517</v>
      </c>
      <c r="AB5" t="s">
        <v>6517</v>
      </c>
      <c r="AC5" t="s">
        <v>7859</v>
      </c>
      <c r="AD5" t="s">
        <v>7710</v>
      </c>
      <c r="AF5" t="b">
        <v>1</v>
      </c>
      <c r="AG5" t="s">
        <v>6890</v>
      </c>
      <c r="AH5" s="1">
        <v>42480</v>
      </c>
      <c r="AI5" s="4">
        <v>12.375</v>
      </c>
      <c r="AJ5">
        <v>0</v>
      </c>
      <c r="AK5">
        <v>0</v>
      </c>
      <c r="AL5">
        <v>4</v>
      </c>
      <c r="AM5" t="s">
        <v>326</v>
      </c>
      <c r="AP5" t="s">
        <v>6517</v>
      </c>
      <c r="AQ5" t="s">
        <v>6517</v>
      </c>
      <c r="AR5" t="s">
        <v>6517</v>
      </c>
      <c r="AS5" t="s">
        <v>6517</v>
      </c>
      <c r="AT5" t="s">
        <v>6517</v>
      </c>
      <c r="AU5" t="s">
        <v>6517</v>
      </c>
      <c r="AV5" t="s">
        <v>6517</v>
      </c>
    </row>
    <row r="6" spans="1:48" x14ac:dyDescent="0.3">
      <c r="A6" t="s">
        <v>5632</v>
      </c>
      <c r="B6">
        <f t="shared" si="1"/>
        <v>200004</v>
      </c>
      <c r="C6">
        <v>200001</v>
      </c>
      <c r="D6" t="s">
        <v>6521</v>
      </c>
      <c r="E6" t="s">
        <v>8097</v>
      </c>
      <c r="F6" t="s">
        <v>8106</v>
      </c>
      <c r="G6">
        <v>200004</v>
      </c>
      <c r="H6" t="s">
        <v>6544</v>
      </c>
      <c r="I6" t="s">
        <v>8107</v>
      </c>
      <c r="J6" t="s">
        <v>8615</v>
      </c>
      <c r="K6" t="str">
        <f t="shared" si="0"/>
        <v>9</v>
      </c>
      <c r="L6">
        <f t="shared" si="2"/>
        <v>37</v>
      </c>
      <c r="M6">
        <f t="shared" si="3"/>
        <v>1</v>
      </c>
      <c r="N6">
        <v>16.440000000000001</v>
      </c>
      <c r="O6" t="s">
        <v>5666</v>
      </c>
      <c r="P6" t="s">
        <v>5669</v>
      </c>
      <c r="Q6">
        <v>1995</v>
      </c>
      <c r="R6" t="s">
        <v>5648</v>
      </c>
      <c r="S6">
        <v>500</v>
      </c>
      <c r="T6" t="s">
        <v>6670</v>
      </c>
      <c r="U6" s="1" t="s">
        <v>7134</v>
      </c>
      <c r="V6" s="1" t="s">
        <v>7135</v>
      </c>
      <c r="W6" t="b">
        <v>0</v>
      </c>
      <c r="X6" t="s">
        <v>76</v>
      </c>
      <c r="Y6" t="s">
        <v>7513</v>
      </c>
      <c r="Z6" t="s">
        <v>6517</v>
      </c>
      <c r="AA6" t="s">
        <v>6517</v>
      </c>
      <c r="AB6" t="s">
        <v>6517</v>
      </c>
      <c r="AC6" t="s">
        <v>7860</v>
      </c>
      <c r="AD6" t="s">
        <v>7711</v>
      </c>
      <c r="AF6" t="b">
        <v>0</v>
      </c>
      <c r="AG6" t="s">
        <v>76</v>
      </c>
      <c r="AH6" s="1">
        <v>42461</v>
      </c>
      <c r="AI6" s="4">
        <v>11.108333333333333</v>
      </c>
      <c r="AJ6">
        <v>0</v>
      </c>
      <c r="AK6">
        <v>0</v>
      </c>
      <c r="AL6">
        <v>16</v>
      </c>
      <c r="AM6" t="s">
        <v>326</v>
      </c>
      <c r="AP6" t="s">
        <v>6517</v>
      </c>
      <c r="AQ6" t="s">
        <v>6517</v>
      </c>
      <c r="AR6" t="s">
        <v>6517</v>
      </c>
      <c r="AS6" t="s">
        <v>6517</v>
      </c>
      <c r="AT6" t="s">
        <v>6517</v>
      </c>
      <c r="AU6" t="s">
        <v>6517</v>
      </c>
      <c r="AV6" t="s">
        <v>6517</v>
      </c>
    </row>
    <row r="7" spans="1:48" x14ac:dyDescent="0.3">
      <c r="A7" t="s">
        <v>5632</v>
      </c>
      <c r="B7">
        <f t="shared" si="1"/>
        <v>200005</v>
      </c>
      <c r="C7">
        <v>200002</v>
      </c>
      <c r="D7" t="s">
        <v>6533</v>
      </c>
      <c r="E7" t="s">
        <v>8108</v>
      </c>
      <c r="F7" t="s">
        <v>8109</v>
      </c>
      <c r="G7">
        <v>200005</v>
      </c>
      <c r="H7" t="s">
        <v>6528</v>
      </c>
      <c r="I7" t="s">
        <v>8110</v>
      </c>
      <c r="J7" t="s">
        <v>8614</v>
      </c>
      <c r="K7" t="str">
        <f t="shared" si="0"/>
        <v>1</v>
      </c>
      <c r="L7">
        <f t="shared" si="2"/>
        <v>1</v>
      </c>
      <c r="M7">
        <f t="shared" si="3"/>
        <v>1</v>
      </c>
      <c r="N7">
        <v>39.71</v>
      </c>
      <c r="O7" t="s">
        <v>5403</v>
      </c>
      <c r="P7">
        <v>800</v>
      </c>
      <c r="Q7">
        <v>1995</v>
      </c>
      <c r="R7" t="s">
        <v>5649</v>
      </c>
      <c r="S7">
        <v>100</v>
      </c>
      <c r="T7" t="s">
        <v>6670</v>
      </c>
      <c r="U7" s="1" t="s">
        <v>7136</v>
      </c>
      <c r="V7" s="1" t="s">
        <v>7137</v>
      </c>
      <c r="W7" t="b">
        <v>0</v>
      </c>
      <c r="X7" t="s">
        <v>76</v>
      </c>
      <c r="Y7" t="s">
        <v>7514</v>
      </c>
      <c r="Z7" t="s">
        <v>6517</v>
      </c>
      <c r="AA7" t="s">
        <v>6517</v>
      </c>
      <c r="AB7" t="s">
        <v>6517</v>
      </c>
      <c r="AC7" t="s">
        <v>7861</v>
      </c>
      <c r="AD7" t="s">
        <v>7712</v>
      </c>
      <c r="AF7" t="b">
        <v>0</v>
      </c>
      <c r="AG7" t="s">
        <v>76</v>
      </c>
      <c r="AH7" s="1">
        <v>42480</v>
      </c>
      <c r="AI7" s="4">
        <v>2.7055555555555557</v>
      </c>
      <c r="AJ7">
        <v>0</v>
      </c>
      <c r="AK7">
        <v>0</v>
      </c>
      <c r="AL7">
        <v>111</v>
      </c>
      <c r="AM7" t="s">
        <v>326</v>
      </c>
      <c r="AP7" t="s">
        <v>6517</v>
      </c>
      <c r="AQ7" t="s">
        <v>6517</v>
      </c>
      <c r="AR7" t="s">
        <v>6517</v>
      </c>
      <c r="AS7" t="s">
        <v>6517</v>
      </c>
      <c r="AT7" t="s">
        <v>6517</v>
      </c>
      <c r="AU7" t="s">
        <v>6517</v>
      </c>
      <c r="AV7" t="s">
        <v>6517</v>
      </c>
    </row>
    <row r="8" spans="1:48" x14ac:dyDescent="0.3">
      <c r="A8" t="s">
        <v>5632</v>
      </c>
      <c r="B8">
        <f t="shared" si="1"/>
        <v>200006</v>
      </c>
      <c r="C8">
        <v>200003</v>
      </c>
      <c r="D8" t="s">
        <v>6548</v>
      </c>
      <c r="E8" t="s">
        <v>8097</v>
      </c>
      <c r="F8" t="s">
        <v>8111</v>
      </c>
      <c r="G8">
        <v>200006</v>
      </c>
      <c r="H8" t="s">
        <v>6525</v>
      </c>
      <c r="I8" t="s">
        <v>8112</v>
      </c>
      <c r="J8" t="s">
        <v>8614</v>
      </c>
      <c r="K8" t="str">
        <f t="shared" si="0"/>
        <v>1</v>
      </c>
      <c r="L8">
        <f t="shared" si="2"/>
        <v>1</v>
      </c>
      <c r="M8">
        <f t="shared" si="3"/>
        <v>1</v>
      </c>
      <c r="N8">
        <v>66.819999999999993</v>
      </c>
      <c r="O8" t="s">
        <v>5469</v>
      </c>
      <c r="P8">
        <v>200</v>
      </c>
      <c r="Q8">
        <v>1971</v>
      </c>
      <c r="R8" t="s">
        <v>5538</v>
      </c>
      <c r="S8">
        <v>50</v>
      </c>
      <c r="T8" t="s">
        <v>6670</v>
      </c>
      <c r="U8" s="1" t="s">
        <v>7138</v>
      </c>
      <c r="V8" s="1" t="s">
        <v>7139</v>
      </c>
      <c r="W8" t="b">
        <v>0</v>
      </c>
      <c r="X8" t="s">
        <v>76</v>
      </c>
      <c r="Y8" t="s">
        <v>7515</v>
      </c>
      <c r="Z8" t="s">
        <v>6517</v>
      </c>
      <c r="AA8" t="s">
        <v>6517</v>
      </c>
      <c r="AB8" t="s">
        <v>6517</v>
      </c>
      <c r="AC8" t="s">
        <v>7862</v>
      </c>
      <c r="AD8" t="s">
        <v>7713</v>
      </c>
      <c r="AF8" t="b">
        <v>0</v>
      </c>
      <c r="AG8" t="s">
        <v>76</v>
      </c>
      <c r="AH8" s="1">
        <v>42461</v>
      </c>
      <c r="AI8" s="4">
        <v>10.65</v>
      </c>
      <c r="AJ8">
        <v>0</v>
      </c>
      <c r="AK8">
        <v>0</v>
      </c>
      <c r="AL8">
        <v>168.5</v>
      </c>
      <c r="AM8" t="s">
        <v>326</v>
      </c>
      <c r="AP8" t="s">
        <v>6517</v>
      </c>
      <c r="AQ8" t="s">
        <v>6517</v>
      </c>
      <c r="AR8" t="s">
        <v>6517</v>
      </c>
      <c r="AS8" t="s">
        <v>6517</v>
      </c>
      <c r="AT8" t="s">
        <v>6517</v>
      </c>
      <c r="AU8" t="s">
        <v>6517</v>
      </c>
      <c r="AV8" t="s">
        <v>6517</v>
      </c>
    </row>
    <row r="9" spans="1:48" x14ac:dyDescent="0.3">
      <c r="A9" t="s">
        <v>5632</v>
      </c>
      <c r="B9">
        <f t="shared" si="1"/>
        <v>200007</v>
      </c>
      <c r="C9">
        <v>200004</v>
      </c>
      <c r="D9" t="s">
        <v>6544</v>
      </c>
      <c r="E9" t="s">
        <v>8113</v>
      </c>
      <c r="F9" t="s">
        <v>8114</v>
      </c>
      <c r="G9">
        <v>200007</v>
      </c>
      <c r="H9" t="s">
        <v>6541</v>
      </c>
      <c r="I9" t="s">
        <v>8115</v>
      </c>
      <c r="J9" t="s">
        <v>8614</v>
      </c>
      <c r="K9" t="str">
        <f t="shared" si="0"/>
        <v>1</v>
      </c>
      <c r="L9">
        <f t="shared" si="2"/>
        <v>1</v>
      </c>
      <c r="M9">
        <f t="shared" si="3"/>
        <v>1</v>
      </c>
      <c r="N9">
        <v>14.59</v>
      </c>
      <c r="O9" t="s">
        <v>5469</v>
      </c>
      <c r="P9" t="s">
        <v>5659</v>
      </c>
      <c r="Q9">
        <v>1973</v>
      </c>
      <c r="R9" t="s">
        <v>5658</v>
      </c>
      <c r="S9">
        <v>10</v>
      </c>
      <c r="T9" t="s">
        <v>6670</v>
      </c>
      <c r="U9" s="1" t="s">
        <v>7140</v>
      </c>
      <c r="V9" s="1" t="s">
        <v>7141</v>
      </c>
      <c r="W9" t="b">
        <v>0</v>
      </c>
      <c r="X9" t="s">
        <v>76</v>
      </c>
      <c r="Y9" t="s">
        <v>7516</v>
      </c>
      <c r="Z9" t="s">
        <v>6517</v>
      </c>
      <c r="AA9" t="s">
        <v>6517</v>
      </c>
      <c r="AB9" t="s">
        <v>6517</v>
      </c>
      <c r="AC9" t="s">
        <v>7863</v>
      </c>
      <c r="AD9" t="s">
        <v>7714</v>
      </c>
      <c r="AF9" t="b">
        <v>0</v>
      </c>
      <c r="AG9" t="s">
        <v>76</v>
      </c>
      <c r="AH9" s="1">
        <v>42481</v>
      </c>
      <c r="AI9" s="4">
        <v>9.9277777777777771</v>
      </c>
      <c r="AJ9">
        <v>0</v>
      </c>
      <c r="AK9">
        <v>14</v>
      </c>
      <c r="AL9">
        <v>0</v>
      </c>
      <c r="AM9" t="s">
        <v>326</v>
      </c>
      <c r="AP9" t="s">
        <v>6517</v>
      </c>
      <c r="AQ9" t="s">
        <v>6517</v>
      </c>
      <c r="AR9" t="s">
        <v>6517</v>
      </c>
      <c r="AS9" t="s">
        <v>6517</v>
      </c>
      <c r="AT9" t="s">
        <v>6517</v>
      </c>
      <c r="AU9" t="s">
        <v>6517</v>
      </c>
      <c r="AV9" t="s">
        <v>6517</v>
      </c>
    </row>
    <row r="10" spans="1:48" x14ac:dyDescent="0.3">
      <c r="A10" t="s">
        <v>5632</v>
      </c>
      <c r="B10">
        <f t="shared" si="1"/>
        <v>200008</v>
      </c>
      <c r="C10">
        <v>200004</v>
      </c>
      <c r="D10" t="s">
        <v>6544</v>
      </c>
      <c r="E10" t="s">
        <v>8113</v>
      </c>
      <c r="F10" t="s">
        <v>8116</v>
      </c>
      <c r="G10">
        <v>200008</v>
      </c>
      <c r="H10" t="s">
        <v>6526</v>
      </c>
      <c r="I10" t="s">
        <v>8117</v>
      </c>
      <c r="J10" t="s">
        <v>8614</v>
      </c>
      <c r="K10" t="str">
        <f t="shared" si="0"/>
        <v>1</v>
      </c>
      <c r="L10">
        <f t="shared" si="2"/>
        <v>2</v>
      </c>
      <c r="M10">
        <f t="shared" si="3"/>
        <v>1</v>
      </c>
      <c r="N10">
        <v>19.34</v>
      </c>
      <c r="O10" t="s">
        <v>5666</v>
      </c>
      <c r="P10" t="s">
        <v>5669</v>
      </c>
      <c r="Q10">
        <v>1990</v>
      </c>
      <c r="R10" t="s">
        <v>5646</v>
      </c>
      <c r="S10">
        <v>20</v>
      </c>
      <c r="T10" t="s">
        <v>6670</v>
      </c>
      <c r="U10" s="1" t="s">
        <v>7142</v>
      </c>
      <c r="V10" s="1" t="s">
        <v>7143</v>
      </c>
      <c r="W10" t="b">
        <v>0</v>
      </c>
      <c r="X10" t="s">
        <v>76</v>
      </c>
      <c r="Y10" t="s">
        <v>7517</v>
      </c>
      <c r="Z10" t="s">
        <v>6517</v>
      </c>
      <c r="AA10" t="s">
        <v>6517</v>
      </c>
      <c r="AB10" t="s">
        <v>6517</v>
      </c>
      <c r="AC10" t="s">
        <v>7864</v>
      </c>
      <c r="AD10" t="s">
        <v>7715</v>
      </c>
      <c r="AF10" t="b">
        <v>0</v>
      </c>
      <c r="AG10" t="s">
        <v>76</v>
      </c>
      <c r="AH10" s="1">
        <v>42467</v>
      </c>
      <c r="AI10" s="4">
        <v>11.33611111111111</v>
      </c>
      <c r="AJ10">
        <v>0</v>
      </c>
      <c r="AK10">
        <v>24</v>
      </c>
      <c r="AL10">
        <v>0</v>
      </c>
      <c r="AM10" t="s">
        <v>326</v>
      </c>
      <c r="AP10" t="s">
        <v>6517</v>
      </c>
      <c r="AQ10" t="s">
        <v>6517</v>
      </c>
      <c r="AR10" t="s">
        <v>6517</v>
      </c>
      <c r="AS10" t="s">
        <v>6517</v>
      </c>
      <c r="AT10" t="s">
        <v>6517</v>
      </c>
      <c r="AU10" t="s">
        <v>6517</v>
      </c>
      <c r="AV10" t="s">
        <v>6517</v>
      </c>
    </row>
    <row r="11" spans="1:48" x14ac:dyDescent="0.3">
      <c r="A11" t="s">
        <v>5632</v>
      </c>
      <c r="B11">
        <f t="shared" si="1"/>
        <v>200009</v>
      </c>
      <c r="C11">
        <v>200005</v>
      </c>
      <c r="D11" t="s">
        <v>6528</v>
      </c>
      <c r="E11" t="s">
        <v>8113</v>
      </c>
      <c r="F11" t="s">
        <v>8118</v>
      </c>
      <c r="G11">
        <v>200009</v>
      </c>
      <c r="H11" t="s">
        <v>6522</v>
      </c>
      <c r="I11" t="s">
        <v>8119</v>
      </c>
      <c r="J11" t="s">
        <v>8614</v>
      </c>
      <c r="K11" t="str">
        <f t="shared" si="0"/>
        <v>1</v>
      </c>
      <c r="L11">
        <f t="shared" si="2"/>
        <v>2</v>
      </c>
      <c r="M11">
        <f t="shared" si="3"/>
        <v>1</v>
      </c>
      <c r="N11">
        <v>11.44</v>
      </c>
      <c r="O11" t="s">
        <v>5403</v>
      </c>
      <c r="P11">
        <v>700</v>
      </c>
      <c r="Q11">
        <v>1998</v>
      </c>
      <c r="R11" t="s">
        <v>5647</v>
      </c>
      <c r="S11">
        <v>110</v>
      </c>
      <c r="T11" t="s">
        <v>6670</v>
      </c>
      <c r="U11" s="1" t="s">
        <v>7144</v>
      </c>
      <c r="V11" s="1" t="s">
        <v>7145</v>
      </c>
      <c r="W11" t="b">
        <v>0</v>
      </c>
      <c r="X11" t="s">
        <v>76</v>
      </c>
      <c r="Y11" t="s">
        <v>7518</v>
      </c>
      <c r="Z11" t="s">
        <v>6517</v>
      </c>
      <c r="AA11" t="s">
        <v>6517</v>
      </c>
      <c r="AB11" t="s">
        <v>6517</v>
      </c>
      <c r="AC11" t="s">
        <v>7865</v>
      </c>
      <c r="AD11" t="s">
        <v>7716</v>
      </c>
      <c r="AF11" t="b">
        <v>0</v>
      </c>
      <c r="AG11" t="s">
        <v>76</v>
      </c>
      <c r="AH11" s="1">
        <v>42470</v>
      </c>
      <c r="AI11" s="4">
        <v>4.9388888888888891</v>
      </c>
      <c r="AJ11">
        <v>0</v>
      </c>
      <c r="AK11">
        <v>0</v>
      </c>
      <c r="AL11">
        <v>19.5</v>
      </c>
      <c r="AM11" t="s">
        <v>326</v>
      </c>
      <c r="AP11" t="s">
        <v>6517</v>
      </c>
      <c r="AQ11" t="s">
        <v>6517</v>
      </c>
      <c r="AR11" t="s">
        <v>6517</v>
      </c>
      <c r="AS11" t="s">
        <v>6517</v>
      </c>
      <c r="AT11" t="s">
        <v>6517</v>
      </c>
      <c r="AU11" t="s">
        <v>6517</v>
      </c>
      <c r="AV11" t="s">
        <v>6517</v>
      </c>
    </row>
    <row r="12" spans="1:48" x14ac:dyDescent="0.3">
      <c r="A12" t="s">
        <v>5632</v>
      </c>
      <c r="B12">
        <f t="shared" si="1"/>
        <v>200010</v>
      </c>
      <c r="C12">
        <v>200006</v>
      </c>
      <c r="D12" t="s">
        <v>6525</v>
      </c>
      <c r="E12" t="s">
        <v>8097</v>
      </c>
      <c r="F12" t="s">
        <v>8120</v>
      </c>
      <c r="G12">
        <v>200010</v>
      </c>
      <c r="H12" t="s">
        <v>6523</v>
      </c>
      <c r="I12" t="s">
        <v>8121</v>
      </c>
      <c r="J12" t="s">
        <v>8615</v>
      </c>
      <c r="K12" t="str">
        <f t="shared" si="0"/>
        <v>9</v>
      </c>
      <c r="L12">
        <f t="shared" si="2"/>
        <v>22</v>
      </c>
      <c r="M12">
        <f t="shared" si="3"/>
        <v>1</v>
      </c>
      <c r="N12">
        <v>58.5</v>
      </c>
      <c r="O12" t="s">
        <v>2950</v>
      </c>
      <c r="P12">
        <v>100</v>
      </c>
      <c r="Q12">
        <v>1993</v>
      </c>
      <c r="R12" t="s">
        <v>5648</v>
      </c>
      <c r="S12">
        <v>50</v>
      </c>
      <c r="T12" t="s">
        <v>6670</v>
      </c>
      <c r="U12" s="1" t="s">
        <v>7146</v>
      </c>
      <c r="V12" s="1" t="s">
        <v>7147</v>
      </c>
      <c r="W12" t="b">
        <v>0</v>
      </c>
      <c r="X12" t="s">
        <v>76</v>
      </c>
      <c r="Y12" t="s">
        <v>7519</v>
      </c>
      <c r="Z12" t="s">
        <v>6517</v>
      </c>
      <c r="AA12" t="s">
        <v>6517</v>
      </c>
      <c r="AB12" t="s">
        <v>6517</v>
      </c>
      <c r="AC12" t="s">
        <v>7866</v>
      </c>
      <c r="AD12" t="s">
        <v>7717</v>
      </c>
      <c r="AF12" t="b">
        <v>0</v>
      </c>
      <c r="AG12" t="s">
        <v>76</v>
      </c>
      <c r="AH12" s="1">
        <v>42461</v>
      </c>
      <c r="AI12" s="4">
        <v>10.25</v>
      </c>
      <c r="AJ12">
        <v>0</v>
      </c>
      <c r="AK12">
        <v>0</v>
      </c>
      <c r="AL12">
        <v>144.75</v>
      </c>
      <c r="AM12" t="s">
        <v>326</v>
      </c>
      <c r="AP12" t="s">
        <v>6517</v>
      </c>
      <c r="AQ12" t="s">
        <v>6517</v>
      </c>
      <c r="AR12" t="s">
        <v>6517</v>
      </c>
      <c r="AS12" t="s">
        <v>6517</v>
      </c>
      <c r="AT12" t="s">
        <v>6517</v>
      </c>
      <c r="AU12" t="s">
        <v>6517</v>
      </c>
      <c r="AV12" t="s">
        <v>6517</v>
      </c>
    </row>
    <row r="13" spans="1:48" x14ac:dyDescent="0.3">
      <c r="A13" t="s">
        <v>5632</v>
      </c>
      <c r="B13">
        <f t="shared" si="1"/>
        <v>200011</v>
      </c>
      <c r="C13">
        <v>200006</v>
      </c>
      <c r="D13" t="s">
        <v>6525</v>
      </c>
      <c r="E13" t="s">
        <v>8097</v>
      </c>
      <c r="F13" t="s">
        <v>8116</v>
      </c>
      <c r="G13">
        <v>200011</v>
      </c>
      <c r="H13" t="s">
        <v>6537</v>
      </c>
      <c r="I13" t="s">
        <v>8122</v>
      </c>
      <c r="J13" t="s">
        <v>8614</v>
      </c>
      <c r="K13" t="str">
        <f t="shared" si="0"/>
        <v>1</v>
      </c>
      <c r="L13">
        <f t="shared" si="2"/>
        <v>1</v>
      </c>
      <c r="M13">
        <f t="shared" si="3"/>
        <v>1</v>
      </c>
      <c r="N13">
        <v>55.95</v>
      </c>
      <c r="O13" t="s">
        <v>5403</v>
      </c>
      <c r="P13">
        <v>200</v>
      </c>
      <c r="Q13">
        <v>1978</v>
      </c>
      <c r="R13" t="s">
        <v>5649</v>
      </c>
      <c r="S13">
        <v>50</v>
      </c>
      <c r="T13" t="s">
        <v>6670</v>
      </c>
      <c r="U13" s="1" t="s">
        <v>7148</v>
      </c>
      <c r="V13" s="1" t="s">
        <v>7149</v>
      </c>
      <c r="W13" t="b">
        <v>0</v>
      </c>
      <c r="X13" t="s">
        <v>76</v>
      </c>
      <c r="Y13" t="s">
        <v>7520</v>
      </c>
      <c r="Z13" t="s">
        <v>6517</v>
      </c>
      <c r="AA13" t="s">
        <v>6517</v>
      </c>
      <c r="AB13" t="s">
        <v>6517</v>
      </c>
      <c r="AC13" t="s">
        <v>7867</v>
      </c>
      <c r="AD13" t="s">
        <v>7718</v>
      </c>
      <c r="AF13" t="b">
        <v>0</v>
      </c>
      <c r="AG13" t="s">
        <v>76</v>
      </c>
      <c r="AH13" s="1">
        <v>42461</v>
      </c>
      <c r="AI13" s="4">
        <v>9.1972222222222229</v>
      </c>
      <c r="AJ13">
        <v>0</v>
      </c>
      <c r="AK13">
        <v>0</v>
      </c>
      <c r="AL13">
        <v>140.25</v>
      </c>
      <c r="AM13" t="s">
        <v>326</v>
      </c>
      <c r="AP13" t="s">
        <v>6517</v>
      </c>
      <c r="AQ13" t="s">
        <v>6517</v>
      </c>
      <c r="AR13" t="s">
        <v>6517</v>
      </c>
      <c r="AS13" t="s">
        <v>6517</v>
      </c>
      <c r="AT13" t="s">
        <v>6517</v>
      </c>
      <c r="AU13" t="s">
        <v>6517</v>
      </c>
      <c r="AV13" t="s">
        <v>6517</v>
      </c>
    </row>
    <row r="14" spans="1:48" x14ac:dyDescent="0.3">
      <c r="A14" t="s">
        <v>5632</v>
      </c>
      <c r="B14">
        <f t="shared" si="1"/>
        <v>200012</v>
      </c>
      <c r="C14">
        <v>200007</v>
      </c>
      <c r="D14" t="s">
        <v>6541</v>
      </c>
      <c r="E14" t="s">
        <v>8123</v>
      </c>
      <c r="F14" t="s">
        <v>8124</v>
      </c>
      <c r="G14">
        <v>200012</v>
      </c>
      <c r="H14" t="s">
        <v>6535</v>
      </c>
      <c r="I14" t="s">
        <v>8125</v>
      </c>
      <c r="J14" t="s">
        <v>8614</v>
      </c>
      <c r="K14" t="str">
        <f t="shared" si="0"/>
        <v>1</v>
      </c>
      <c r="L14">
        <f t="shared" si="2"/>
        <v>1</v>
      </c>
      <c r="M14">
        <f t="shared" si="3"/>
        <v>1</v>
      </c>
      <c r="N14">
        <v>18.47</v>
      </c>
      <c r="O14" t="s">
        <v>5660</v>
      </c>
      <c r="P14">
        <v>333</v>
      </c>
      <c r="Q14">
        <v>2010</v>
      </c>
      <c r="R14" t="s">
        <v>5538</v>
      </c>
      <c r="S14">
        <v>50</v>
      </c>
      <c r="T14" t="s">
        <v>6670</v>
      </c>
      <c r="U14" s="1" t="s">
        <v>7150</v>
      </c>
      <c r="V14" s="1" t="s">
        <v>7151</v>
      </c>
      <c r="W14" t="b">
        <v>0</v>
      </c>
      <c r="X14" t="s">
        <v>76</v>
      </c>
      <c r="Y14" t="s">
        <v>7521</v>
      </c>
      <c r="Z14" t="s">
        <v>6517</v>
      </c>
      <c r="AA14" t="s">
        <v>6517</v>
      </c>
      <c r="AB14" t="s">
        <v>6517</v>
      </c>
      <c r="AC14" t="s">
        <v>7868</v>
      </c>
      <c r="AD14" t="s">
        <v>7719</v>
      </c>
      <c r="AF14" t="b">
        <v>0</v>
      </c>
      <c r="AG14" t="s">
        <v>76</v>
      </c>
      <c r="AH14" s="1">
        <v>42480</v>
      </c>
      <c r="AI14" s="4">
        <v>8.4722222222222214</v>
      </c>
      <c r="AJ14">
        <v>0</v>
      </c>
      <c r="AK14">
        <v>0</v>
      </c>
      <c r="AL14">
        <v>30</v>
      </c>
      <c r="AM14" t="s">
        <v>326</v>
      </c>
      <c r="AP14" t="s">
        <v>6517</v>
      </c>
      <c r="AQ14" t="s">
        <v>6517</v>
      </c>
      <c r="AR14" t="s">
        <v>6517</v>
      </c>
      <c r="AS14" t="s">
        <v>6517</v>
      </c>
      <c r="AT14" t="s">
        <v>6517</v>
      </c>
      <c r="AU14" t="s">
        <v>6517</v>
      </c>
      <c r="AV14" t="s">
        <v>6517</v>
      </c>
    </row>
    <row r="15" spans="1:48" x14ac:dyDescent="0.3">
      <c r="A15" t="s">
        <v>5632</v>
      </c>
      <c r="B15">
        <f t="shared" si="1"/>
        <v>200013</v>
      </c>
      <c r="C15">
        <v>200007</v>
      </c>
      <c r="D15" t="s">
        <v>6541</v>
      </c>
      <c r="E15" t="s">
        <v>8123</v>
      </c>
      <c r="F15" t="s">
        <v>8126</v>
      </c>
      <c r="G15">
        <v>200013</v>
      </c>
      <c r="H15" t="s">
        <v>6530</v>
      </c>
      <c r="I15" t="s">
        <v>8127</v>
      </c>
      <c r="J15" t="s">
        <v>8614</v>
      </c>
      <c r="K15" t="str">
        <f t="shared" si="0"/>
        <v>1</v>
      </c>
      <c r="L15">
        <f t="shared" si="2"/>
        <v>1</v>
      </c>
      <c r="M15">
        <f t="shared" si="3"/>
        <v>1</v>
      </c>
      <c r="N15">
        <v>9.91</v>
      </c>
      <c r="O15" t="s">
        <v>5425</v>
      </c>
      <c r="P15" t="s">
        <v>5661</v>
      </c>
      <c r="Q15">
        <v>1979</v>
      </c>
      <c r="R15" t="s">
        <v>5639</v>
      </c>
      <c r="S15">
        <v>60</v>
      </c>
      <c r="T15" t="s">
        <v>6670</v>
      </c>
      <c r="U15" s="1" t="s">
        <v>7152</v>
      </c>
      <c r="V15" s="1" t="s">
        <v>7153</v>
      </c>
      <c r="W15" t="b">
        <v>0</v>
      </c>
      <c r="X15" t="s">
        <v>76</v>
      </c>
      <c r="Y15" t="s">
        <v>7522</v>
      </c>
      <c r="Z15" t="s">
        <v>6517</v>
      </c>
      <c r="AA15" t="s">
        <v>6517</v>
      </c>
      <c r="AB15" t="s">
        <v>6517</v>
      </c>
      <c r="AC15" t="s">
        <v>7869</v>
      </c>
      <c r="AD15" t="s">
        <v>7720</v>
      </c>
      <c r="AF15" t="b">
        <v>0</v>
      </c>
      <c r="AG15" t="s">
        <v>76</v>
      </c>
      <c r="AH15" s="1">
        <v>42481</v>
      </c>
      <c r="AI15" s="4">
        <v>5.9083333333333332</v>
      </c>
      <c r="AJ15">
        <v>0</v>
      </c>
      <c r="AK15">
        <v>12</v>
      </c>
      <c r="AL15">
        <v>0</v>
      </c>
      <c r="AM15" t="s">
        <v>326</v>
      </c>
      <c r="AP15" t="s">
        <v>6517</v>
      </c>
      <c r="AQ15" t="s">
        <v>6517</v>
      </c>
      <c r="AR15" t="s">
        <v>6517</v>
      </c>
      <c r="AS15" t="s">
        <v>6517</v>
      </c>
      <c r="AT15" t="s">
        <v>6517</v>
      </c>
      <c r="AU15" t="s">
        <v>6517</v>
      </c>
      <c r="AV15" t="s">
        <v>6517</v>
      </c>
    </row>
    <row r="16" spans="1:48" x14ac:dyDescent="0.3">
      <c r="A16" t="s">
        <v>5632</v>
      </c>
      <c r="B16">
        <f t="shared" si="1"/>
        <v>200014</v>
      </c>
      <c r="C16">
        <v>200007</v>
      </c>
      <c r="D16" t="s">
        <v>6541</v>
      </c>
      <c r="E16" t="s">
        <v>8123</v>
      </c>
      <c r="F16" t="s">
        <v>8128</v>
      </c>
      <c r="G16">
        <v>200014</v>
      </c>
      <c r="H16" t="s">
        <v>6545</v>
      </c>
      <c r="I16" t="s">
        <v>8103</v>
      </c>
      <c r="J16" t="s">
        <v>8614</v>
      </c>
      <c r="K16" t="str">
        <f t="shared" si="0"/>
        <v>1</v>
      </c>
      <c r="L16">
        <f t="shared" si="2"/>
        <v>1</v>
      </c>
      <c r="M16">
        <f t="shared" si="3"/>
        <v>1</v>
      </c>
      <c r="N16">
        <v>105.42</v>
      </c>
      <c r="O16" t="s">
        <v>5666</v>
      </c>
      <c r="P16" t="s">
        <v>5663</v>
      </c>
      <c r="Q16">
        <v>2016</v>
      </c>
      <c r="R16" t="s">
        <v>5646</v>
      </c>
      <c r="S16">
        <v>200</v>
      </c>
      <c r="T16" t="s">
        <v>6670</v>
      </c>
      <c r="U16" s="1" t="s">
        <v>7154</v>
      </c>
      <c r="V16" s="1" t="s">
        <v>7155</v>
      </c>
      <c r="W16" t="b">
        <v>0</v>
      </c>
      <c r="X16" t="s">
        <v>76</v>
      </c>
      <c r="Y16" t="s">
        <v>7523</v>
      </c>
      <c r="Z16" t="s">
        <v>6517</v>
      </c>
      <c r="AA16" t="s">
        <v>6517</v>
      </c>
      <c r="AB16" t="s">
        <v>6517</v>
      </c>
      <c r="AC16" t="s">
        <v>7870</v>
      </c>
      <c r="AD16" t="s">
        <v>7710</v>
      </c>
      <c r="AF16" t="b">
        <v>0</v>
      </c>
      <c r="AG16" t="s">
        <v>76</v>
      </c>
      <c r="AH16" s="1">
        <v>42461</v>
      </c>
      <c r="AI16" s="4">
        <v>3.7555555555555555</v>
      </c>
      <c r="AJ16">
        <v>0</v>
      </c>
      <c r="AK16">
        <v>0</v>
      </c>
      <c r="AL16">
        <v>305</v>
      </c>
      <c r="AM16" t="s">
        <v>326</v>
      </c>
      <c r="AP16" t="s">
        <v>6517</v>
      </c>
      <c r="AQ16" t="s">
        <v>6517</v>
      </c>
      <c r="AR16" t="s">
        <v>6517</v>
      </c>
      <c r="AS16" t="s">
        <v>6517</v>
      </c>
      <c r="AT16" t="s">
        <v>6517</v>
      </c>
      <c r="AU16" t="s">
        <v>6517</v>
      </c>
      <c r="AV16" t="s">
        <v>6517</v>
      </c>
    </row>
    <row r="17" spans="1:48" x14ac:dyDescent="0.3">
      <c r="A17" t="s">
        <v>5632</v>
      </c>
      <c r="B17">
        <f t="shared" si="1"/>
        <v>200015</v>
      </c>
      <c r="C17">
        <v>200007</v>
      </c>
      <c r="D17" t="s">
        <v>6541</v>
      </c>
      <c r="E17" t="s">
        <v>8123</v>
      </c>
      <c r="F17" t="s">
        <v>8129</v>
      </c>
      <c r="G17">
        <v>200015</v>
      </c>
      <c r="H17" t="s">
        <v>6539</v>
      </c>
      <c r="I17" t="s">
        <v>8130</v>
      </c>
      <c r="J17" t="s">
        <v>8614</v>
      </c>
      <c r="K17" t="str">
        <f t="shared" si="0"/>
        <v>1</v>
      </c>
      <c r="L17">
        <f t="shared" si="2"/>
        <v>1</v>
      </c>
      <c r="M17">
        <f t="shared" si="3"/>
        <v>1</v>
      </c>
      <c r="N17">
        <v>9.73</v>
      </c>
      <c r="O17" t="s">
        <v>5665</v>
      </c>
      <c r="P17">
        <v>350</v>
      </c>
      <c r="Q17">
        <v>1999</v>
      </c>
      <c r="R17" t="s">
        <v>5647</v>
      </c>
      <c r="S17">
        <v>50</v>
      </c>
      <c r="T17" t="s">
        <v>6671</v>
      </c>
      <c r="U17" s="1" t="s">
        <v>7156</v>
      </c>
      <c r="V17" s="1" t="s">
        <v>7157</v>
      </c>
      <c r="W17" t="b">
        <v>0</v>
      </c>
      <c r="X17" t="s">
        <v>76</v>
      </c>
      <c r="Y17" t="s">
        <v>7524</v>
      </c>
      <c r="Z17" t="s">
        <v>6517</v>
      </c>
      <c r="AA17" t="s">
        <v>6517</v>
      </c>
      <c r="AB17" t="s">
        <v>6517</v>
      </c>
      <c r="AC17" t="s">
        <v>7871</v>
      </c>
      <c r="AD17" t="s">
        <v>7721</v>
      </c>
      <c r="AF17" t="b">
        <v>0</v>
      </c>
      <c r="AG17" t="s">
        <v>76</v>
      </c>
      <c r="AH17" s="1">
        <v>42470</v>
      </c>
      <c r="AI17" s="4">
        <v>1.5638888888888889</v>
      </c>
      <c r="AJ17">
        <v>0</v>
      </c>
      <c r="AK17">
        <v>0</v>
      </c>
      <c r="AL17">
        <v>24.5</v>
      </c>
      <c r="AM17" t="s">
        <v>326</v>
      </c>
      <c r="AP17" t="s">
        <v>6517</v>
      </c>
      <c r="AQ17" t="s">
        <v>6517</v>
      </c>
      <c r="AR17" t="s">
        <v>6517</v>
      </c>
      <c r="AS17" t="s">
        <v>6517</v>
      </c>
      <c r="AT17" t="s">
        <v>6517</v>
      </c>
      <c r="AU17" t="s">
        <v>6517</v>
      </c>
      <c r="AV17" t="s">
        <v>6517</v>
      </c>
    </row>
    <row r="18" spans="1:48" x14ac:dyDescent="0.3">
      <c r="A18" t="s">
        <v>5632</v>
      </c>
      <c r="B18">
        <f t="shared" si="1"/>
        <v>200016</v>
      </c>
      <c r="C18">
        <v>200008</v>
      </c>
      <c r="D18" t="s">
        <v>6526</v>
      </c>
      <c r="E18" t="s">
        <v>8097</v>
      </c>
      <c r="F18" t="s">
        <v>8131</v>
      </c>
      <c r="G18">
        <v>200016</v>
      </c>
      <c r="H18" t="s">
        <v>6520</v>
      </c>
      <c r="I18" t="s">
        <v>8132</v>
      </c>
      <c r="J18" t="s">
        <v>8615</v>
      </c>
      <c r="K18" t="str">
        <f t="shared" si="0"/>
        <v>9</v>
      </c>
      <c r="L18">
        <f t="shared" si="2"/>
        <v>40</v>
      </c>
      <c r="M18">
        <f t="shared" si="3"/>
        <v>1</v>
      </c>
      <c r="N18">
        <v>13.11</v>
      </c>
      <c r="O18" t="s">
        <v>5403</v>
      </c>
      <c r="P18">
        <v>110</v>
      </c>
      <c r="Q18">
        <v>2004</v>
      </c>
      <c r="R18" t="s">
        <v>5648</v>
      </c>
      <c r="S18">
        <v>50</v>
      </c>
      <c r="T18" t="s">
        <v>6670</v>
      </c>
      <c r="U18" s="1" t="s">
        <v>7158</v>
      </c>
      <c r="V18" s="1" t="s">
        <v>7159</v>
      </c>
      <c r="W18" t="b">
        <v>0</v>
      </c>
      <c r="X18" t="s">
        <v>76</v>
      </c>
      <c r="Y18" t="s">
        <v>7525</v>
      </c>
      <c r="Z18" t="s">
        <v>6517</v>
      </c>
      <c r="AA18" t="s">
        <v>6517</v>
      </c>
      <c r="AB18" t="s">
        <v>6517</v>
      </c>
      <c r="AC18" t="s">
        <v>7872</v>
      </c>
      <c r="AD18" t="s">
        <v>7722</v>
      </c>
      <c r="AF18" t="b">
        <v>0</v>
      </c>
      <c r="AG18" t="s">
        <v>76</v>
      </c>
      <c r="AH18" s="1">
        <v>42481</v>
      </c>
      <c r="AI18" s="4">
        <v>10.447222222222223</v>
      </c>
      <c r="AJ18">
        <v>0</v>
      </c>
      <c r="AK18">
        <v>0</v>
      </c>
      <c r="AL18">
        <v>8</v>
      </c>
      <c r="AM18" t="s">
        <v>326</v>
      </c>
      <c r="AP18" t="s">
        <v>6517</v>
      </c>
      <c r="AQ18" t="s">
        <v>6517</v>
      </c>
      <c r="AR18" t="s">
        <v>6517</v>
      </c>
      <c r="AS18" t="s">
        <v>6517</v>
      </c>
      <c r="AT18" t="s">
        <v>6517</v>
      </c>
      <c r="AU18" t="s">
        <v>6517</v>
      </c>
      <c r="AV18" t="s">
        <v>6517</v>
      </c>
    </row>
    <row r="19" spans="1:48" x14ac:dyDescent="0.3">
      <c r="A19" t="s">
        <v>5632</v>
      </c>
      <c r="B19">
        <f t="shared" si="1"/>
        <v>200017</v>
      </c>
      <c r="C19">
        <v>200008</v>
      </c>
      <c r="D19" t="s">
        <v>6526</v>
      </c>
      <c r="E19" t="s">
        <v>8097</v>
      </c>
      <c r="F19" t="s">
        <v>8133</v>
      </c>
      <c r="G19">
        <v>200017</v>
      </c>
      <c r="H19" t="s">
        <v>6531</v>
      </c>
      <c r="I19" t="s">
        <v>8134</v>
      </c>
      <c r="J19" t="s">
        <v>8614</v>
      </c>
      <c r="K19" t="str">
        <f t="shared" si="0"/>
        <v>1</v>
      </c>
      <c r="L19">
        <f t="shared" si="2"/>
        <v>2</v>
      </c>
      <c r="M19">
        <f t="shared" si="3"/>
        <v>1</v>
      </c>
      <c r="N19">
        <v>15.92</v>
      </c>
      <c r="O19" t="s">
        <v>5403</v>
      </c>
      <c r="P19">
        <v>320</v>
      </c>
      <c r="Q19">
        <v>1992</v>
      </c>
      <c r="R19" t="s">
        <v>5649</v>
      </c>
      <c r="S19">
        <v>50</v>
      </c>
      <c r="T19" t="s">
        <v>6670</v>
      </c>
      <c r="U19" s="1" t="s">
        <v>7160</v>
      </c>
      <c r="V19" s="1" t="s">
        <v>7161</v>
      </c>
      <c r="W19" t="b">
        <v>0</v>
      </c>
      <c r="X19" t="s">
        <v>76</v>
      </c>
      <c r="Y19" t="s">
        <v>7526</v>
      </c>
      <c r="Z19" t="s">
        <v>6517</v>
      </c>
      <c r="AA19" t="s">
        <v>6517</v>
      </c>
      <c r="AB19" t="s">
        <v>6517</v>
      </c>
      <c r="AC19" t="s">
        <v>7873</v>
      </c>
      <c r="AD19" t="s">
        <v>7723</v>
      </c>
      <c r="AF19" t="b">
        <v>0</v>
      </c>
      <c r="AG19" t="s">
        <v>76</v>
      </c>
      <c r="AH19" s="1">
        <v>42461</v>
      </c>
      <c r="AI19" s="4">
        <v>13.252777777777778</v>
      </c>
      <c r="AJ19">
        <v>0</v>
      </c>
      <c r="AK19">
        <v>0</v>
      </c>
      <c r="AL19">
        <v>8</v>
      </c>
      <c r="AM19" t="s">
        <v>326</v>
      </c>
      <c r="AP19" t="s">
        <v>6517</v>
      </c>
      <c r="AQ19" t="s">
        <v>6517</v>
      </c>
      <c r="AR19" t="s">
        <v>6517</v>
      </c>
      <c r="AS19" t="s">
        <v>6517</v>
      </c>
      <c r="AT19" t="s">
        <v>6517</v>
      </c>
      <c r="AU19" t="s">
        <v>6517</v>
      </c>
      <c r="AV19" t="s">
        <v>6517</v>
      </c>
    </row>
    <row r="20" spans="1:48" x14ac:dyDescent="0.3">
      <c r="A20" t="s">
        <v>5632</v>
      </c>
      <c r="B20">
        <f t="shared" si="1"/>
        <v>200018</v>
      </c>
      <c r="C20">
        <v>200009</v>
      </c>
      <c r="D20" t="s">
        <v>6522</v>
      </c>
      <c r="E20" t="s">
        <v>8097</v>
      </c>
      <c r="F20" t="s">
        <v>8135</v>
      </c>
      <c r="G20">
        <v>200018</v>
      </c>
      <c r="H20" t="s">
        <v>6524</v>
      </c>
      <c r="I20" t="s">
        <v>8136</v>
      </c>
      <c r="J20" t="s">
        <v>8614</v>
      </c>
      <c r="K20" t="str">
        <f t="shared" si="0"/>
        <v>1</v>
      </c>
      <c r="L20">
        <f t="shared" si="2"/>
        <v>4</v>
      </c>
      <c r="M20">
        <f t="shared" si="3"/>
        <v>1</v>
      </c>
      <c r="N20">
        <v>13.4</v>
      </c>
      <c r="O20" t="s">
        <v>5660</v>
      </c>
      <c r="P20" t="s">
        <v>5670</v>
      </c>
      <c r="Q20">
        <v>1990</v>
      </c>
      <c r="R20" t="s">
        <v>5538</v>
      </c>
      <c r="S20">
        <v>300</v>
      </c>
      <c r="T20" t="s">
        <v>6670</v>
      </c>
      <c r="U20" s="1" t="s">
        <v>7162</v>
      </c>
      <c r="V20" s="1" t="s">
        <v>7163</v>
      </c>
      <c r="W20" t="b">
        <v>0</v>
      </c>
      <c r="X20" t="s">
        <v>76</v>
      </c>
      <c r="Y20" t="s">
        <v>7527</v>
      </c>
      <c r="Z20" t="s">
        <v>6517</v>
      </c>
      <c r="AA20" t="s">
        <v>6517</v>
      </c>
      <c r="AB20" t="s">
        <v>6517</v>
      </c>
      <c r="AC20" t="s">
        <v>7874</v>
      </c>
      <c r="AD20" t="s">
        <v>7724</v>
      </c>
      <c r="AF20" t="b">
        <v>0</v>
      </c>
      <c r="AG20" t="s">
        <v>76</v>
      </c>
      <c r="AH20" s="1">
        <v>42481</v>
      </c>
      <c r="AI20" s="4">
        <v>10.736111111111111</v>
      </c>
      <c r="AJ20">
        <v>0</v>
      </c>
      <c r="AK20">
        <v>8</v>
      </c>
      <c r="AL20">
        <v>0</v>
      </c>
      <c r="AM20" t="s">
        <v>326</v>
      </c>
      <c r="AP20" t="s">
        <v>6517</v>
      </c>
      <c r="AQ20" t="s">
        <v>6517</v>
      </c>
      <c r="AR20" t="s">
        <v>6517</v>
      </c>
      <c r="AS20" t="s">
        <v>6517</v>
      </c>
      <c r="AT20" t="s">
        <v>6517</v>
      </c>
      <c r="AU20" t="s">
        <v>6517</v>
      </c>
      <c r="AV20" t="s">
        <v>6517</v>
      </c>
    </row>
    <row r="21" spans="1:48" x14ac:dyDescent="0.3">
      <c r="A21" t="s">
        <v>5632</v>
      </c>
      <c r="B21">
        <f t="shared" si="1"/>
        <v>200019</v>
      </c>
      <c r="C21">
        <v>200010</v>
      </c>
      <c r="D21" t="s">
        <v>6523</v>
      </c>
      <c r="E21" t="s">
        <v>8097</v>
      </c>
      <c r="F21" t="s">
        <v>8137</v>
      </c>
      <c r="G21">
        <v>200019</v>
      </c>
      <c r="H21" t="s">
        <v>6536</v>
      </c>
      <c r="I21" t="s">
        <v>8138</v>
      </c>
      <c r="J21" t="s">
        <v>8614</v>
      </c>
      <c r="K21" t="str">
        <f t="shared" si="0"/>
        <v>1</v>
      </c>
      <c r="L21">
        <f t="shared" si="2"/>
        <v>2</v>
      </c>
      <c r="M21">
        <f t="shared" si="3"/>
        <v>1</v>
      </c>
      <c r="N21">
        <v>11.09</v>
      </c>
      <c r="O21" t="s">
        <v>5425</v>
      </c>
      <c r="P21">
        <v>100</v>
      </c>
      <c r="Q21">
        <v>1994</v>
      </c>
      <c r="R21" t="s">
        <v>5639</v>
      </c>
      <c r="S21">
        <v>50</v>
      </c>
      <c r="T21" t="s">
        <v>6671</v>
      </c>
      <c r="U21" s="1" t="s">
        <v>7164</v>
      </c>
      <c r="V21" s="1" t="s">
        <v>7165</v>
      </c>
      <c r="W21" t="b">
        <v>0</v>
      </c>
      <c r="X21" t="s">
        <v>76</v>
      </c>
      <c r="Y21" t="s">
        <v>7528</v>
      </c>
      <c r="Z21" t="s">
        <v>6517</v>
      </c>
      <c r="AA21" t="s">
        <v>6517</v>
      </c>
      <c r="AB21" t="s">
        <v>6517</v>
      </c>
      <c r="AC21" t="s">
        <v>7875</v>
      </c>
      <c r="AD21" t="s">
        <v>7725</v>
      </c>
      <c r="AF21" t="b">
        <v>0</v>
      </c>
      <c r="AG21" t="s">
        <v>76</v>
      </c>
      <c r="AH21" s="1">
        <v>42461</v>
      </c>
      <c r="AI21" s="4">
        <v>8.4277777777777771</v>
      </c>
      <c r="AJ21">
        <v>0</v>
      </c>
      <c r="AK21">
        <v>8</v>
      </c>
      <c r="AL21">
        <v>0</v>
      </c>
      <c r="AM21" t="s">
        <v>326</v>
      </c>
      <c r="AP21" t="s">
        <v>6517</v>
      </c>
      <c r="AQ21" t="s">
        <v>6517</v>
      </c>
      <c r="AR21" t="s">
        <v>6517</v>
      </c>
      <c r="AS21" t="s">
        <v>6517</v>
      </c>
      <c r="AT21" t="s">
        <v>6517</v>
      </c>
      <c r="AU21" t="s">
        <v>6517</v>
      </c>
      <c r="AV21" t="s">
        <v>6517</v>
      </c>
    </row>
    <row r="22" spans="1:48" x14ac:dyDescent="0.3">
      <c r="A22" t="s">
        <v>5632</v>
      </c>
      <c r="B22">
        <f t="shared" si="1"/>
        <v>200020</v>
      </c>
      <c r="C22">
        <v>200010</v>
      </c>
      <c r="D22" t="s">
        <v>6523</v>
      </c>
      <c r="E22" t="s">
        <v>8097</v>
      </c>
      <c r="F22" t="s">
        <v>8139</v>
      </c>
      <c r="G22">
        <v>200020</v>
      </c>
      <c r="H22" t="s">
        <v>6542</v>
      </c>
      <c r="I22" t="s">
        <v>8103</v>
      </c>
      <c r="J22" t="s">
        <v>8614</v>
      </c>
      <c r="K22" t="str">
        <f t="shared" si="0"/>
        <v>1</v>
      </c>
      <c r="L22">
        <f t="shared" si="2"/>
        <v>1</v>
      </c>
      <c r="M22">
        <f t="shared" si="3"/>
        <v>1</v>
      </c>
      <c r="N22">
        <v>10.24</v>
      </c>
      <c r="O22" t="s">
        <v>5666</v>
      </c>
      <c r="P22" t="s">
        <v>5663</v>
      </c>
      <c r="Q22">
        <v>2007</v>
      </c>
      <c r="R22" t="s">
        <v>5646</v>
      </c>
      <c r="S22">
        <v>50</v>
      </c>
      <c r="T22" t="s">
        <v>6670</v>
      </c>
      <c r="U22" s="1" t="s">
        <v>7166</v>
      </c>
      <c r="V22" s="1" t="s">
        <v>7167</v>
      </c>
      <c r="W22" t="b">
        <v>0</v>
      </c>
      <c r="X22" t="s">
        <v>76</v>
      </c>
      <c r="Y22" t="s">
        <v>7529</v>
      </c>
      <c r="Z22" t="s">
        <v>6517</v>
      </c>
      <c r="AA22" t="s">
        <v>6517</v>
      </c>
      <c r="AB22" t="s">
        <v>6517</v>
      </c>
      <c r="AC22" t="s">
        <v>7876</v>
      </c>
      <c r="AD22" t="s">
        <v>7726</v>
      </c>
      <c r="AF22" t="b">
        <v>0</v>
      </c>
      <c r="AG22" t="s">
        <v>76</v>
      </c>
      <c r="AH22" s="1">
        <v>42467</v>
      </c>
      <c r="AI22" s="4">
        <v>7.5694444444444446</v>
      </c>
      <c r="AJ22">
        <v>0</v>
      </c>
      <c r="AK22">
        <v>0</v>
      </c>
      <c r="AL22">
        <v>8</v>
      </c>
      <c r="AM22" t="s">
        <v>326</v>
      </c>
      <c r="AP22" t="s">
        <v>6517</v>
      </c>
      <c r="AQ22" t="s">
        <v>6517</v>
      </c>
      <c r="AR22" t="s">
        <v>6517</v>
      </c>
      <c r="AS22" t="s">
        <v>6517</v>
      </c>
      <c r="AT22" t="s">
        <v>6517</v>
      </c>
      <c r="AU22" t="s">
        <v>6517</v>
      </c>
      <c r="AV22" t="s">
        <v>6517</v>
      </c>
    </row>
    <row r="23" spans="1:48" x14ac:dyDescent="0.3">
      <c r="A23" t="s">
        <v>5632</v>
      </c>
      <c r="B23">
        <f t="shared" si="1"/>
        <v>200021</v>
      </c>
      <c r="C23">
        <v>200011</v>
      </c>
      <c r="D23" t="s">
        <v>6537</v>
      </c>
      <c r="E23" t="s">
        <v>8097</v>
      </c>
      <c r="F23" t="s">
        <v>8140</v>
      </c>
      <c r="G23">
        <v>200021</v>
      </c>
      <c r="H23" t="s">
        <v>6534</v>
      </c>
      <c r="I23" t="s">
        <v>8141</v>
      </c>
      <c r="J23" t="s">
        <v>8614</v>
      </c>
      <c r="K23" t="str">
        <f t="shared" si="0"/>
        <v>1</v>
      </c>
      <c r="L23">
        <f t="shared" si="2"/>
        <v>2</v>
      </c>
      <c r="M23">
        <f t="shared" si="3"/>
        <v>1</v>
      </c>
      <c r="N23">
        <v>27.15</v>
      </c>
      <c r="O23" t="s">
        <v>5660</v>
      </c>
      <c r="P23">
        <v>100</v>
      </c>
      <c r="Q23">
        <v>1989</v>
      </c>
      <c r="R23" t="s">
        <v>5538</v>
      </c>
      <c r="S23">
        <v>110</v>
      </c>
      <c r="T23" t="s">
        <v>6670</v>
      </c>
      <c r="U23" s="1" t="s">
        <v>7168</v>
      </c>
      <c r="V23" s="1" t="s">
        <v>7169</v>
      </c>
      <c r="W23" t="b">
        <v>0</v>
      </c>
      <c r="X23" t="s">
        <v>76</v>
      </c>
      <c r="Y23" t="s">
        <v>7530</v>
      </c>
      <c r="Z23" t="s">
        <v>6517</v>
      </c>
      <c r="AA23" t="s">
        <v>6517</v>
      </c>
      <c r="AB23" t="s">
        <v>6517</v>
      </c>
      <c r="AC23" t="s">
        <v>7877</v>
      </c>
      <c r="AD23" t="s">
        <v>7727</v>
      </c>
      <c r="AF23" t="b">
        <v>0</v>
      </c>
      <c r="AG23" t="s">
        <v>76</v>
      </c>
      <c r="AH23" s="1">
        <v>42481</v>
      </c>
      <c r="AI23" s="4">
        <v>3.7333333333333334</v>
      </c>
      <c r="AJ23">
        <v>0</v>
      </c>
      <c r="AK23">
        <v>62.5</v>
      </c>
      <c r="AL23">
        <v>7.75</v>
      </c>
      <c r="AM23" t="s">
        <v>326</v>
      </c>
      <c r="AP23" t="s">
        <v>6517</v>
      </c>
      <c r="AQ23" t="s">
        <v>6517</v>
      </c>
      <c r="AR23" t="s">
        <v>6517</v>
      </c>
      <c r="AS23" t="s">
        <v>6517</v>
      </c>
      <c r="AT23" t="s">
        <v>6517</v>
      </c>
      <c r="AU23" t="s">
        <v>6517</v>
      </c>
      <c r="AV23" t="s">
        <v>6517</v>
      </c>
    </row>
    <row r="24" spans="1:48" x14ac:dyDescent="0.3">
      <c r="A24" t="s">
        <v>5632</v>
      </c>
      <c r="B24">
        <f t="shared" si="1"/>
        <v>200022</v>
      </c>
      <c r="C24">
        <v>200012</v>
      </c>
      <c r="D24" t="s">
        <v>6535</v>
      </c>
      <c r="E24" t="s">
        <v>8142</v>
      </c>
      <c r="F24" t="s">
        <v>8143</v>
      </c>
      <c r="G24">
        <v>200022</v>
      </c>
      <c r="H24" t="s">
        <v>6529</v>
      </c>
      <c r="I24" t="s">
        <v>8144</v>
      </c>
      <c r="J24" t="s">
        <v>8614</v>
      </c>
      <c r="K24" t="str">
        <f t="shared" si="0"/>
        <v>1</v>
      </c>
      <c r="L24">
        <f t="shared" si="2"/>
        <v>1</v>
      </c>
      <c r="M24">
        <f t="shared" si="3"/>
        <v>1</v>
      </c>
      <c r="N24">
        <v>8.7100000000000009</v>
      </c>
      <c r="O24" t="s">
        <v>5425</v>
      </c>
      <c r="P24">
        <v>200</v>
      </c>
      <c r="Q24">
        <v>1985</v>
      </c>
      <c r="R24" t="s">
        <v>5639</v>
      </c>
      <c r="S24">
        <v>200</v>
      </c>
      <c r="T24" t="s">
        <v>6670</v>
      </c>
      <c r="U24" s="1" t="s">
        <v>7170</v>
      </c>
      <c r="V24" s="1" t="s">
        <v>7171</v>
      </c>
      <c r="W24" t="b">
        <v>0</v>
      </c>
      <c r="X24" t="s">
        <v>76</v>
      </c>
      <c r="Y24" t="s">
        <v>7531</v>
      </c>
      <c r="Z24" t="s">
        <v>6517</v>
      </c>
      <c r="AA24" t="s">
        <v>6517</v>
      </c>
      <c r="AB24" t="s">
        <v>6517</v>
      </c>
      <c r="AC24" t="s">
        <v>7878</v>
      </c>
      <c r="AD24" t="s">
        <v>7728</v>
      </c>
      <c r="AF24" t="b">
        <v>0</v>
      </c>
      <c r="AG24" t="s">
        <v>76</v>
      </c>
      <c r="AH24" s="1">
        <v>42461</v>
      </c>
      <c r="AI24" s="4">
        <v>1.3777777777777778</v>
      </c>
      <c r="AJ24">
        <v>22</v>
      </c>
      <c r="AK24">
        <v>0</v>
      </c>
      <c r="AL24">
        <v>0</v>
      </c>
      <c r="AM24" t="s">
        <v>326</v>
      </c>
      <c r="AP24" t="s">
        <v>6517</v>
      </c>
      <c r="AQ24" t="s">
        <v>6517</v>
      </c>
      <c r="AR24" t="s">
        <v>6517</v>
      </c>
      <c r="AS24" t="s">
        <v>6517</v>
      </c>
      <c r="AT24" t="s">
        <v>6517</v>
      </c>
      <c r="AU24" t="s">
        <v>6517</v>
      </c>
      <c r="AV24" t="s">
        <v>6517</v>
      </c>
    </row>
    <row r="25" spans="1:48" x14ac:dyDescent="0.3">
      <c r="A25" t="s">
        <v>5632</v>
      </c>
      <c r="B25">
        <f t="shared" si="1"/>
        <v>200023</v>
      </c>
      <c r="C25">
        <v>200012</v>
      </c>
      <c r="D25" t="s">
        <v>6535</v>
      </c>
      <c r="E25" t="s">
        <v>8142</v>
      </c>
      <c r="F25" t="s">
        <v>8145</v>
      </c>
      <c r="G25">
        <v>200023</v>
      </c>
      <c r="H25" t="s">
        <v>6527</v>
      </c>
      <c r="I25" t="s">
        <v>8146</v>
      </c>
      <c r="J25" t="s">
        <v>8614</v>
      </c>
      <c r="K25" t="str">
        <f t="shared" si="0"/>
        <v>1</v>
      </c>
      <c r="L25">
        <f t="shared" si="2"/>
        <v>1</v>
      </c>
      <c r="M25">
        <f t="shared" si="3"/>
        <v>1</v>
      </c>
      <c r="N25">
        <v>31.52</v>
      </c>
      <c r="O25" t="s">
        <v>5666</v>
      </c>
      <c r="P25" t="s">
        <v>5671</v>
      </c>
      <c r="Q25">
        <v>1982</v>
      </c>
      <c r="R25" t="s">
        <v>5646</v>
      </c>
      <c r="S25">
        <v>100</v>
      </c>
      <c r="T25" t="s">
        <v>6670</v>
      </c>
      <c r="U25" s="1" t="s">
        <v>7172</v>
      </c>
      <c r="V25" s="1" t="s">
        <v>7173</v>
      </c>
      <c r="W25" t="b">
        <v>0</v>
      </c>
      <c r="X25" t="s">
        <v>76</v>
      </c>
      <c r="Y25" t="s">
        <v>7532</v>
      </c>
      <c r="Z25" t="s">
        <v>6517</v>
      </c>
      <c r="AA25" t="s">
        <v>6517</v>
      </c>
      <c r="AB25" t="s">
        <v>6517</v>
      </c>
      <c r="AC25" t="s">
        <v>7879</v>
      </c>
      <c r="AD25" t="s">
        <v>7729</v>
      </c>
      <c r="AF25" t="b">
        <v>0</v>
      </c>
      <c r="AG25" t="s">
        <v>76</v>
      </c>
      <c r="AH25" s="1">
        <v>42461</v>
      </c>
      <c r="AI25" s="4">
        <v>7.5166666666666666</v>
      </c>
      <c r="AJ25">
        <v>0</v>
      </c>
      <c r="AK25">
        <v>72</v>
      </c>
      <c r="AL25">
        <v>0</v>
      </c>
      <c r="AM25" t="s">
        <v>5696</v>
      </c>
      <c r="AN25" t="s">
        <v>6894</v>
      </c>
      <c r="AO25" s="1">
        <v>42697</v>
      </c>
      <c r="AP25" t="s">
        <v>6517</v>
      </c>
      <c r="AQ25" t="s">
        <v>6517</v>
      </c>
      <c r="AR25" t="s">
        <v>6517</v>
      </c>
      <c r="AS25" t="s">
        <v>6517</v>
      </c>
      <c r="AT25" t="s">
        <v>6517</v>
      </c>
      <c r="AU25" t="s">
        <v>6517</v>
      </c>
      <c r="AV25" t="s">
        <v>6517</v>
      </c>
    </row>
    <row r="26" spans="1:48" x14ac:dyDescent="0.3">
      <c r="A26" t="s">
        <v>5632</v>
      </c>
      <c r="B26">
        <f t="shared" si="1"/>
        <v>200024</v>
      </c>
      <c r="C26">
        <v>200013</v>
      </c>
      <c r="D26" t="s">
        <v>6530</v>
      </c>
      <c r="E26" t="s">
        <v>8147</v>
      </c>
      <c r="F26" t="s">
        <v>8148</v>
      </c>
      <c r="G26">
        <v>200024</v>
      </c>
      <c r="H26" t="s">
        <v>6518</v>
      </c>
      <c r="I26" t="s">
        <v>8149</v>
      </c>
      <c r="J26" t="s">
        <v>8614</v>
      </c>
      <c r="K26" t="str">
        <f t="shared" si="0"/>
        <v>1</v>
      </c>
      <c r="L26">
        <f t="shared" si="2"/>
        <v>1</v>
      </c>
      <c r="M26">
        <f t="shared" si="3"/>
        <v>1</v>
      </c>
      <c r="N26">
        <v>26.05</v>
      </c>
      <c r="O26" t="s">
        <v>5403</v>
      </c>
      <c r="P26">
        <v>100</v>
      </c>
      <c r="Q26">
        <v>2001</v>
      </c>
      <c r="R26" t="s">
        <v>5647</v>
      </c>
      <c r="S26">
        <v>50</v>
      </c>
      <c r="T26" t="s">
        <v>6670</v>
      </c>
      <c r="U26" s="1" t="s">
        <v>7174</v>
      </c>
      <c r="V26" s="1" t="s">
        <v>7175</v>
      </c>
      <c r="W26" t="b">
        <v>0</v>
      </c>
      <c r="X26" t="s">
        <v>76</v>
      </c>
      <c r="Y26" t="s">
        <v>7533</v>
      </c>
      <c r="Z26" t="s">
        <v>6517</v>
      </c>
      <c r="AA26" t="s">
        <v>6517</v>
      </c>
      <c r="AB26" t="s">
        <v>6517</v>
      </c>
      <c r="AC26" t="s">
        <v>7880</v>
      </c>
      <c r="AD26" t="s">
        <v>7730</v>
      </c>
      <c r="AF26" t="b">
        <v>0</v>
      </c>
      <c r="AG26" t="s">
        <v>76</v>
      </c>
      <c r="AH26" s="1">
        <v>42470</v>
      </c>
      <c r="AI26" s="4">
        <v>10.213888888888889</v>
      </c>
      <c r="AJ26">
        <v>0</v>
      </c>
      <c r="AK26">
        <v>47.5</v>
      </c>
      <c r="AL26">
        <v>0</v>
      </c>
      <c r="AM26" t="s">
        <v>5696</v>
      </c>
      <c r="AN26" t="s">
        <v>6895</v>
      </c>
      <c r="AO26" s="1">
        <v>42727</v>
      </c>
      <c r="AP26" t="s">
        <v>6517</v>
      </c>
      <c r="AQ26" t="s">
        <v>6517</v>
      </c>
      <c r="AR26" t="s">
        <v>6517</v>
      </c>
      <c r="AS26" t="s">
        <v>6517</v>
      </c>
      <c r="AT26" t="s">
        <v>6517</v>
      </c>
      <c r="AU26" t="s">
        <v>6517</v>
      </c>
      <c r="AV26" t="s">
        <v>6517</v>
      </c>
    </row>
    <row r="27" spans="1:48" x14ac:dyDescent="0.3">
      <c r="A27" t="s">
        <v>5632</v>
      </c>
      <c r="B27">
        <f t="shared" si="1"/>
        <v>200025</v>
      </c>
      <c r="C27">
        <v>200014</v>
      </c>
      <c r="D27" t="s">
        <v>6545</v>
      </c>
      <c r="E27" t="s">
        <v>8150</v>
      </c>
      <c r="F27" t="s">
        <v>8151</v>
      </c>
      <c r="G27">
        <v>200025</v>
      </c>
      <c r="H27" t="s">
        <v>6538</v>
      </c>
      <c r="I27" t="s">
        <v>8152</v>
      </c>
      <c r="J27" t="s">
        <v>8614</v>
      </c>
      <c r="K27" t="str">
        <f t="shared" si="0"/>
        <v>1</v>
      </c>
      <c r="L27">
        <f t="shared" si="2"/>
        <v>4</v>
      </c>
      <c r="M27">
        <f t="shared" si="3"/>
        <v>1</v>
      </c>
      <c r="N27">
        <v>16.32</v>
      </c>
      <c r="O27" t="s">
        <v>5403</v>
      </c>
      <c r="P27">
        <v>200</v>
      </c>
      <c r="Q27">
        <v>1975</v>
      </c>
      <c r="R27" t="s">
        <v>5648</v>
      </c>
      <c r="S27">
        <v>10</v>
      </c>
      <c r="T27" t="s">
        <v>6670</v>
      </c>
      <c r="U27" s="1" t="s">
        <v>7176</v>
      </c>
      <c r="V27" s="1" t="s">
        <v>7177</v>
      </c>
      <c r="W27" t="b">
        <v>0</v>
      </c>
      <c r="X27" t="s">
        <v>76</v>
      </c>
      <c r="Y27" t="s">
        <v>7534</v>
      </c>
      <c r="Z27" t="s">
        <v>6517</v>
      </c>
      <c r="AA27" t="s">
        <v>6517</v>
      </c>
      <c r="AB27" t="s">
        <v>6517</v>
      </c>
      <c r="AC27" t="s">
        <v>7881</v>
      </c>
      <c r="AD27" t="s">
        <v>7731</v>
      </c>
      <c r="AF27" t="b">
        <v>0</v>
      </c>
      <c r="AG27" t="s">
        <v>76</v>
      </c>
      <c r="AH27" s="1">
        <v>42461</v>
      </c>
      <c r="AI27" s="4">
        <v>12.988888888888889</v>
      </c>
      <c r="AJ27">
        <v>0</v>
      </c>
      <c r="AK27">
        <v>0</v>
      </c>
      <c r="AL27">
        <v>10</v>
      </c>
      <c r="AM27" t="s">
        <v>326</v>
      </c>
      <c r="AP27" t="s">
        <v>6517</v>
      </c>
      <c r="AQ27" t="s">
        <v>6517</v>
      </c>
      <c r="AR27" t="s">
        <v>6517</v>
      </c>
      <c r="AS27" t="s">
        <v>6517</v>
      </c>
      <c r="AT27" t="s">
        <v>6517</v>
      </c>
      <c r="AU27" t="s">
        <v>6517</v>
      </c>
      <c r="AV27" t="s">
        <v>6517</v>
      </c>
    </row>
    <row r="28" spans="1:48" x14ac:dyDescent="0.3">
      <c r="A28" t="s">
        <v>5632</v>
      </c>
      <c r="B28">
        <f t="shared" si="1"/>
        <v>200026</v>
      </c>
      <c r="C28">
        <v>200014</v>
      </c>
      <c r="D28" t="s">
        <v>6545</v>
      </c>
      <c r="E28" t="s">
        <v>8150</v>
      </c>
      <c r="F28" t="s">
        <v>8153</v>
      </c>
      <c r="G28">
        <v>200026</v>
      </c>
      <c r="H28" t="s">
        <v>6532</v>
      </c>
      <c r="I28" t="s">
        <v>8154</v>
      </c>
      <c r="J28" t="s">
        <v>8614</v>
      </c>
      <c r="K28" t="str">
        <f t="shared" si="0"/>
        <v>1</v>
      </c>
      <c r="L28">
        <f t="shared" si="2"/>
        <v>1</v>
      </c>
      <c r="M28">
        <f t="shared" si="3"/>
        <v>1</v>
      </c>
      <c r="N28">
        <v>32.17</v>
      </c>
      <c r="O28" t="s">
        <v>5665</v>
      </c>
      <c r="P28">
        <v>300</v>
      </c>
      <c r="Q28">
        <v>1973</v>
      </c>
      <c r="R28" t="s">
        <v>5649</v>
      </c>
      <c r="S28">
        <v>50</v>
      </c>
      <c r="T28" t="s">
        <v>6670</v>
      </c>
      <c r="U28" s="1" t="s">
        <v>7178</v>
      </c>
      <c r="V28" s="1" t="s">
        <v>7179</v>
      </c>
      <c r="W28" t="b">
        <v>0</v>
      </c>
      <c r="X28" t="s">
        <v>76</v>
      </c>
      <c r="Y28" t="s">
        <v>7535</v>
      </c>
      <c r="Z28" t="s">
        <v>6517</v>
      </c>
      <c r="AA28" t="s">
        <v>6517</v>
      </c>
      <c r="AB28" t="s">
        <v>6517</v>
      </c>
      <c r="AC28" t="s">
        <v>7882</v>
      </c>
      <c r="AD28" t="s">
        <v>7732</v>
      </c>
      <c r="AF28" t="b">
        <v>0</v>
      </c>
      <c r="AG28" t="s">
        <v>76</v>
      </c>
      <c r="AH28" s="1">
        <v>42480</v>
      </c>
      <c r="AI28" s="4">
        <v>3.1694444444444443</v>
      </c>
      <c r="AJ28">
        <v>0</v>
      </c>
      <c r="AK28">
        <v>76</v>
      </c>
      <c r="AL28">
        <v>11</v>
      </c>
      <c r="AM28" t="s">
        <v>326</v>
      </c>
      <c r="AP28" t="s">
        <v>6517</v>
      </c>
      <c r="AQ28" t="s">
        <v>6517</v>
      </c>
      <c r="AR28" t="s">
        <v>6517</v>
      </c>
      <c r="AS28" t="s">
        <v>6517</v>
      </c>
      <c r="AT28" t="s">
        <v>6517</v>
      </c>
      <c r="AU28" t="s">
        <v>6517</v>
      </c>
      <c r="AV28" t="s">
        <v>6517</v>
      </c>
    </row>
    <row r="29" spans="1:48" x14ac:dyDescent="0.3">
      <c r="A29" t="s">
        <v>5632</v>
      </c>
      <c r="B29">
        <f t="shared" si="1"/>
        <v>200027</v>
      </c>
      <c r="C29">
        <v>200015</v>
      </c>
      <c r="D29" t="s">
        <v>6539</v>
      </c>
      <c r="E29" t="s">
        <v>8113</v>
      </c>
      <c r="F29" t="s">
        <v>8155</v>
      </c>
      <c r="G29">
        <v>200027</v>
      </c>
      <c r="H29" t="s">
        <v>6543</v>
      </c>
      <c r="I29" t="s">
        <v>8103</v>
      </c>
      <c r="J29" t="s">
        <v>8614</v>
      </c>
      <c r="K29" t="str">
        <f t="shared" si="0"/>
        <v>1</v>
      </c>
      <c r="L29">
        <f t="shared" si="2"/>
        <v>1</v>
      </c>
      <c r="M29">
        <f t="shared" si="3"/>
        <v>1</v>
      </c>
      <c r="N29">
        <v>58.49</v>
      </c>
      <c r="O29" t="s">
        <v>5662</v>
      </c>
      <c r="P29" t="s">
        <v>5663</v>
      </c>
      <c r="Q29">
        <v>1989</v>
      </c>
      <c r="R29" t="s">
        <v>5646</v>
      </c>
      <c r="S29">
        <v>60</v>
      </c>
      <c r="T29" t="s">
        <v>6670</v>
      </c>
      <c r="U29" s="1" t="s">
        <v>7180</v>
      </c>
      <c r="V29" s="1" t="s">
        <v>7181</v>
      </c>
      <c r="W29" t="b">
        <v>0</v>
      </c>
      <c r="X29" t="s">
        <v>76</v>
      </c>
      <c r="Y29" t="s">
        <v>7536</v>
      </c>
      <c r="Z29" t="s">
        <v>6517</v>
      </c>
      <c r="AA29" t="s">
        <v>6517</v>
      </c>
      <c r="AB29" t="s">
        <v>6517</v>
      </c>
      <c r="AC29" t="s">
        <v>7883</v>
      </c>
      <c r="AD29" t="s">
        <v>7733</v>
      </c>
      <c r="AF29" t="b">
        <v>1</v>
      </c>
      <c r="AG29" t="s">
        <v>6891</v>
      </c>
      <c r="AH29" s="1">
        <v>42461</v>
      </c>
      <c r="AI29" s="4">
        <v>12.408333333333333</v>
      </c>
      <c r="AJ29">
        <v>0</v>
      </c>
      <c r="AK29">
        <v>38.75</v>
      </c>
      <c r="AL29">
        <v>99.5</v>
      </c>
      <c r="AM29" t="s">
        <v>326</v>
      </c>
      <c r="AP29" t="s">
        <v>6517</v>
      </c>
      <c r="AQ29" t="s">
        <v>6517</v>
      </c>
      <c r="AR29" t="s">
        <v>6517</v>
      </c>
      <c r="AS29" t="s">
        <v>6517</v>
      </c>
      <c r="AT29" t="s">
        <v>6517</v>
      </c>
      <c r="AU29" t="s">
        <v>6517</v>
      </c>
      <c r="AV29" t="s">
        <v>6517</v>
      </c>
    </row>
    <row r="30" spans="1:48" x14ac:dyDescent="0.3">
      <c r="A30" t="s">
        <v>5632</v>
      </c>
      <c r="B30">
        <f t="shared" si="1"/>
        <v>200028</v>
      </c>
      <c r="C30">
        <v>200015</v>
      </c>
      <c r="D30" t="s">
        <v>6539</v>
      </c>
      <c r="E30" t="s">
        <v>8113</v>
      </c>
      <c r="F30" t="s">
        <v>8156</v>
      </c>
      <c r="G30">
        <v>200028</v>
      </c>
      <c r="H30" t="s">
        <v>6546</v>
      </c>
      <c r="I30" t="s">
        <v>8157</v>
      </c>
      <c r="J30" t="s">
        <v>8614</v>
      </c>
      <c r="K30" t="str">
        <f t="shared" si="0"/>
        <v>1</v>
      </c>
      <c r="L30">
        <f t="shared" si="2"/>
        <v>1</v>
      </c>
      <c r="M30">
        <f t="shared" si="3"/>
        <v>1</v>
      </c>
      <c r="N30">
        <v>29.95</v>
      </c>
      <c r="O30" t="s">
        <v>5403</v>
      </c>
      <c r="P30" t="s">
        <v>5664</v>
      </c>
      <c r="Q30">
        <v>2015</v>
      </c>
      <c r="R30" t="s">
        <v>5647</v>
      </c>
      <c r="S30">
        <v>20</v>
      </c>
      <c r="T30" t="s">
        <v>6670</v>
      </c>
      <c r="U30" s="1" t="s">
        <v>7182</v>
      </c>
      <c r="V30" s="1" t="s">
        <v>7183</v>
      </c>
      <c r="W30" t="b">
        <v>0</v>
      </c>
      <c r="X30" t="s">
        <v>76</v>
      </c>
      <c r="Y30" t="s">
        <v>7537</v>
      </c>
      <c r="Z30" t="s">
        <v>6517</v>
      </c>
      <c r="AA30" t="s">
        <v>6517</v>
      </c>
      <c r="AB30" t="s">
        <v>6517</v>
      </c>
      <c r="AC30" t="s">
        <v>7884</v>
      </c>
      <c r="AD30" t="s">
        <v>7734</v>
      </c>
      <c r="AF30" t="b">
        <v>0</v>
      </c>
      <c r="AG30" t="s">
        <v>76</v>
      </c>
      <c r="AH30" s="1">
        <v>42470</v>
      </c>
      <c r="AI30" s="4">
        <v>11.613888888888889</v>
      </c>
      <c r="AJ30">
        <v>0</v>
      </c>
      <c r="AK30">
        <v>0</v>
      </c>
      <c r="AL30">
        <v>55</v>
      </c>
      <c r="AM30" t="s">
        <v>326</v>
      </c>
      <c r="AP30" t="s">
        <v>6517</v>
      </c>
      <c r="AQ30" t="s">
        <v>6517</v>
      </c>
      <c r="AR30" t="s">
        <v>6517</v>
      </c>
      <c r="AS30" t="s">
        <v>6517</v>
      </c>
      <c r="AT30" t="s">
        <v>6517</v>
      </c>
      <c r="AU30" t="s">
        <v>6517</v>
      </c>
      <c r="AV30" t="s">
        <v>6517</v>
      </c>
    </row>
    <row r="31" spans="1:48" x14ac:dyDescent="0.3">
      <c r="A31" t="s">
        <v>5632</v>
      </c>
      <c r="B31">
        <f t="shared" si="1"/>
        <v>200029</v>
      </c>
      <c r="C31">
        <v>200015</v>
      </c>
      <c r="D31" t="s">
        <v>6539</v>
      </c>
      <c r="E31" t="s">
        <v>8113</v>
      </c>
      <c r="F31" t="s">
        <v>8158</v>
      </c>
      <c r="G31">
        <v>200029</v>
      </c>
      <c r="H31" t="s">
        <v>6547</v>
      </c>
      <c r="I31" t="s">
        <v>8159</v>
      </c>
      <c r="J31" t="s">
        <v>8614</v>
      </c>
      <c r="K31" t="str">
        <f t="shared" si="0"/>
        <v>1</v>
      </c>
      <c r="L31">
        <f t="shared" si="2"/>
        <v>2</v>
      </c>
      <c r="M31">
        <f t="shared" si="3"/>
        <v>1</v>
      </c>
      <c r="N31">
        <v>44.25</v>
      </c>
      <c r="O31" t="s">
        <v>5403</v>
      </c>
      <c r="P31" t="s">
        <v>5667</v>
      </c>
      <c r="Q31">
        <v>1979</v>
      </c>
      <c r="R31" t="s">
        <v>5648</v>
      </c>
      <c r="S31">
        <v>30</v>
      </c>
      <c r="T31" t="s">
        <v>6670</v>
      </c>
      <c r="U31" s="1" t="s">
        <v>7184</v>
      </c>
      <c r="V31" s="1" t="s">
        <v>7185</v>
      </c>
      <c r="W31" t="b">
        <v>0</v>
      </c>
      <c r="X31" t="s">
        <v>76</v>
      </c>
      <c r="Y31" t="s">
        <v>7538</v>
      </c>
      <c r="Z31" t="s">
        <v>6517</v>
      </c>
      <c r="AA31" t="s">
        <v>6517</v>
      </c>
      <c r="AB31" t="s">
        <v>6517</v>
      </c>
      <c r="AC31" t="s">
        <v>7885</v>
      </c>
      <c r="AD31" t="s">
        <v>7735</v>
      </c>
      <c r="AF31" t="b">
        <v>0</v>
      </c>
      <c r="AG31" t="s">
        <v>76</v>
      </c>
      <c r="AH31" s="1">
        <v>42480</v>
      </c>
      <c r="AI31" s="4">
        <v>2.2472222222222222</v>
      </c>
      <c r="AJ31">
        <v>0</v>
      </c>
      <c r="AK31">
        <v>0</v>
      </c>
      <c r="AL31">
        <v>126</v>
      </c>
      <c r="AM31" t="s">
        <v>326</v>
      </c>
      <c r="AP31" t="s">
        <v>6517</v>
      </c>
      <c r="AQ31" t="s">
        <v>6517</v>
      </c>
      <c r="AR31" t="s">
        <v>6517</v>
      </c>
      <c r="AS31" t="s">
        <v>6517</v>
      </c>
      <c r="AT31" t="s">
        <v>6517</v>
      </c>
      <c r="AU31" t="s">
        <v>6517</v>
      </c>
      <c r="AV31" t="s">
        <v>6517</v>
      </c>
    </row>
    <row r="32" spans="1:48" x14ac:dyDescent="0.3">
      <c r="A32" t="s">
        <v>5632</v>
      </c>
      <c r="B32">
        <f t="shared" si="1"/>
        <v>200030</v>
      </c>
      <c r="C32">
        <v>200016</v>
      </c>
      <c r="D32" t="s">
        <v>6520</v>
      </c>
      <c r="E32" t="s">
        <v>8097</v>
      </c>
      <c r="F32" t="s">
        <v>8160</v>
      </c>
      <c r="G32">
        <v>200030</v>
      </c>
      <c r="H32" t="s">
        <v>8161</v>
      </c>
      <c r="I32" t="s">
        <v>8162</v>
      </c>
      <c r="J32" t="s">
        <v>8615</v>
      </c>
      <c r="K32" t="str">
        <f t="shared" si="0"/>
        <v>9</v>
      </c>
      <c r="L32">
        <f t="shared" si="2"/>
        <v>41</v>
      </c>
      <c r="M32">
        <f t="shared" si="3"/>
        <v>2</v>
      </c>
      <c r="N32">
        <v>12.89</v>
      </c>
      <c r="O32" t="s">
        <v>5403</v>
      </c>
      <c r="P32" t="s">
        <v>6696</v>
      </c>
      <c r="Q32">
        <v>2006</v>
      </c>
      <c r="R32" t="s">
        <v>5648</v>
      </c>
      <c r="S32">
        <v>31</v>
      </c>
      <c r="T32" t="s">
        <v>6670</v>
      </c>
      <c r="U32" s="1" t="s">
        <v>7186</v>
      </c>
      <c r="V32" s="1" t="s">
        <v>7187</v>
      </c>
      <c r="W32" t="b">
        <v>0</v>
      </c>
      <c r="X32" t="s">
        <v>76</v>
      </c>
      <c r="Y32" t="s">
        <v>7539</v>
      </c>
      <c r="Z32" t="s">
        <v>6517</v>
      </c>
      <c r="AA32" t="s">
        <v>6517</v>
      </c>
      <c r="AB32" t="s">
        <v>6517</v>
      </c>
      <c r="AC32" t="s">
        <v>7886</v>
      </c>
      <c r="AD32" t="s">
        <v>7736</v>
      </c>
      <c r="AF32" t="b">
        <v>0</v>
      </c>
      <c r="AG32" t="s">
        <v>76</v>
      </c>
      <c r="AH32" s="1">
        <v>42481</v>
      </c>
      <c r="AI32" s="4">
        <v>6.052777777777778</v>
      </c>
      <c r="AJ32">
        <v>0</v>
      </c>
      <c r="AK32">
        <v>0</v>
      </c>
      <c r="AL32">
        <v>20.5</v>
      </c>
      <c r="AM32" t="s">
        <v>326</v>
      </c>
      <c r="AP32" t="s">
        <v>6517</v>
      </c>
      <c r="AQ32" t="s">
        <v>6517</v>
      </c>
      <c r="AR32" t="s">
        <v>6517</v>
      </c>
      <c r="AS32" t="s">
        <v>6517</v>
      </c>
      <c r="AT32" t="s">
        <v>6517</v>
      </c>
      <c r="AU32" t="s">
        <v>6517</v>
      </c>
      <c r="AV32" t="s">
        <v>6517</v>
      </c>
    </row>
    <row r="33" spans="1:48" x14ac:dyDescent="0.3">
      <c r="A33" t="s">
        <v>5632</v>
      </c>
      <c r="B33">
        <f t="shared" si="1"/>
        <v>200031</v>
      </c>
      <c r="C33">
        <v>200016</v>
      </c>
      <c r="D33" t="s">
        <v>6520</v>
      </c>
      <c r="E33" t="s">
        <v>8097</v>
      </c>
      <c r="F33" t="s">
        <v>8163</v>
      </c>
      <c r="G33">
        <v>200031</v>
      </c>
      <c r="H33" t="s">
        <v>8164</v>
      </c>
      <c r="I33" t="s">
        <v>8165</v>
      </c>
      <c r="J33" t="s">
        <v>8615</v>
      </c>
      <c r="K33" t="str">
        <f t="shared" si="0"/>
        <v>9</v>
      </c>
      <c r="L33">
        <f t="shared" si="2"/>
        <v>35</v>
      </c>
      <c r="M33">
        <f t="shared" si="3"/>
        <v>1</v>
      </c>
      <c r="N33">
        <v>19.29</v>
      </c>
      <c r="O33" t="s">
        <v>5403</v>
      </c>
      <c r="P33" t="s">
        <v>6697</v>
      </c>
      <c r="Q33">
        <v>2012</v>
      </c>
      <c r="R33" t="s">
        <v>5648</v>
      </c>
      <c r="S33">
        <v>32</v>
      </c>
      <c r="T33" t="s">
        <v>6670</v>
      </c>
      <c r="U33" s="1" t="s">
        <v>7188</v>
      </c>
      <c r="V33" s="1" t="s">
        <v>7189</v>
      </c>
      <c r="W33" t="b">
        <v>0</v>
      </c>
      <c r="X33" t="s">
        <v>76</v>
      </c>
      <c r="Y33" t="s">
        <v>7540</v>
      </c>
      <c r="Z33" t="s">
        <v>6517</v>
      </c>
      <c r="AA33" t="s">
        <v>6517</v>
      </c>
      <c r="AB33" t="s">
        <v>6517</v>
      </c>
      <c r="AC33" t="s">
        <v>7887</v>
      </c>
      <c r="AD33" t="s">
        <v>7737</v>
      </c>
      <c r="AF33" t="b">
        <v>0</v>
      </c>
      <c r="AG33" t="s">
        <v>76</v>
      </c>
      <c r="AH33" s="1">
        <v>42480</v>
      </c>
      <c r="AI33" s="4">
        <v>8.8722222222222218</v>
      </c>
      <c r="AJ33">
        <v>0</v>
      </c>
      <c r="AK33">
        <v>0</v>
      </c>
      <c r="AL33">
        <v>31.25</v>
      </c>
      <c r="AM33" t="s">
        <v>326</v>
      </c>
      <c r="AP33" t="s">
        <v>6517</v>
      </c>
      <c r="AQ33" t="s">
        <v>6517</v>
      </c>
      <c r="AR33" t="s">
        <v>6517</v>
      </c>
      <c r="AS33" t="s">
        <v>6517</v>
      </c>
      <c r="AT33" t="s">
        <v>6517</v>
      </c>
      <c r="AU33" t="s">
        <v>6517</v>
      </c>
      <c r="AV33" t="s">
        <v>6517</v>
      </c>
    </row>
    <row r="34" spans="1:48" x14ac:dyDescent="0.3">
      <c r="A34" t="s">
        <v>5632</v>
      </c>
      <c r="B34">
        <f t="shared" si="1"/>
        <v>200032</v>
      </c>
      <c r="C34">
        <v>200017</v>
      </c>
      <c r="D34" t="s">
        <v>6531</v>
      </c>
      <c r="E34" t="s">
        <v>8166</v>
      </c>
      <c r="F34" t="s">
        <v>7721</v>
      </c>
      <c r="G34">
        <v>200032</v>
      </c>
      <c r="H34" t="s">
        <v>8167</v>
      </c>
      <c r="I34" t="s">
        <v>8168</v>
      </c>
      <c r="J34" t="s">
        <v>8616</v>
      </c>
      <c r="K34" t="str">
        <f t="shared" si="0"/>
        <v>2</v>
      </c>
      <c r="L34">
        <f t="shared" si="2"/>
        <v>6</v>
      </c>
      <c r="M34">
        <f t="shared" si="3"/>
        <v>2</v>
      </c>
      <c r="N34">
        <v>6.75</v>
      </c>
      <c r="O34" t="s">
        <v>5403</v>
      </c>
      <c r="P34" t="s">
        <v>6698</v>
      </c>
      <c r="Q34">
        <v>1976</v>
      </c>
      <c r="R34" t="s">
        <v>5648</v>
      </c>
      <c r="S34">
        <v>33</v>
      </c>
      <c r="T34" t="s">
        <v>6670</v>
      </c>
      <c r="U34" s="1" t="s">
        <v>7190</v>
      </c>
      <c r="V34" s="1" t="s">
        <v>7191</v>
      </c>
      <c r="W34" t="b">
        <v>0</v>
      </c>
      <c r="X34" t="s">
        <v>76</v>
      </c>
      <c r="Y34" t="s">
        <v>7541</v>
      </c>
      <c r="Z34" t="s">
        <v>6517</v>
      </c>
      <c r="AA34" t="s">
        <v>6517</v>
      </c>
      <c r="AB34" t="s">
        <v>6517</v>
      </c>
      <c r="AC34" t="s">
        <v>7888</v>
      </c>
      <c r="AD34" t="s">
        <v>7738</v>
      </c>
      <c r="AF34" t="b">
        <v>0</v>
      </c>
      <c r="AG34" t="s">
        <v>76</v>
      </c>
      <c r="AH34" s="1">
        <v>42461</v>
      </c>
      <c r="AI34" s="4">
        <v>6.7527777777777782</v>
      </c>
      <c r="AJ34">
        <v>0</v>
      </c>
      <c r="AK34">
        <v>0</v>
      </c>
      <c r="AL34">
        <v>0</v>
      </c>
      <c r="AM34" t="s">
        <v>326</v>
      </c>
      <c r="AP34" t="s">
        <v>6517</v>
      </c>
      <c r="AQ34" t="s">
        <v>6517</v>
      </c>
      <c r="AR34" t="s">
        <v>6517</v>
      </c>
      <c r="AS34" t="s">
        <v>6517</v>
      </c>
      <c r="AT34" t="s">
        <v>6517</v>
      </c>
      <c r="AU34" t="s">
        <v>6517</v>
      </c>
      <c r="AV34" t="s">
        <v>6517</v>
      </c>
    </row>
    <row r="35" spans="1:48" x14ac:dyDescent="0.3">
      <c r="A35" t="s">
        <v>5632</v>
      </c>
      <c r="B35">
        <f t="shared" si="1"/>
        <v>200033</v>
      </c>
      <c r="C35">
        <v>200017</v>
      </c>
      <c r="D35" t="s">
        <v>6531</v>
      </c>
      <c r="E35" t="s">
        <v>8166</v>
      </c>
      <c r="F35" t="s">
        <v>8118</v>
      </c>
      <c r="G35">
        <v>200033</v>
      </c>
      <c r="H35" t="s">
        <v>8169</v>
      </c>
      <c r="I35" t="s">
        <v>8170</v>
      </c>
      <c r="J35" t="s">
        <v>8614</v>
      </c>
      <c r="K35" t="str">
        <f t="shared" si="0"/>
        <v>1</v>
      </c>
      <c r="L35">
        <f t="shared" si="2"/>
        <v>2</v>
      </c>
      <c r="M35">
        <f t="shared" si="3"/>
        <v>1</v>
      </c>
      <c r="N35">
        <v>51.97</v>
      </c>
      <c r="O35" t="s">
        <v>5403</v>
      </c>
      <c r="P35" t="s">
        <v>6699</v>
      </c>
      <c r="Q35">
        <v>1985</v>
      </c>
      <c r="R35" t="s">
        <v>5648</v>
      </c>
      <c r="S35">
        <v>34</v>
      </c>
      <c r="T35" t="s">
        <v>6670</v>
      </c>
      <c r="U35" s="1" t="s">
        <v>7192</v>
      </c>
      <c r="V35" s="1" t="s">
        <v>7193</v>
      </c>
      <c r="W35" t="b">
        <v>0</v>
      </c>
      <c r="X35" t="s">
        <v>76</v>
      </c>
      <c r="Y35" t="s">
        <v>7542</v>
      </c>
      <c r="Z35" t="s">
        <v>6517</v>
      </c>
      <c r="AA35" t="s">
        <v>6517</v>
      </c>
      <c r="AB35" t="s">
        <v>6517</v>
      </c>
      <c r="AC35" t="s">
        <v>7889</v>
      </c>
      <c r="AD35" t="s">
        <v>7739</v>
      </c>
      <c r="AF35" t="b">
        <v>0</v>
      </c>
      <c r="AG35" t="s">
        <v>76</v>
      </c>
      <c r="AH35" s="1">
        <v>42461</v>
      </c>
      <c r="AI35" s="4">
        <v>7.6388888888888893</v>
      </c>
      <c r="AJ35">
        <v>0</v>
      </c>
      <c r="AK35">
        <v>0</v>
      </c>
      <c r="AL35">
        <v>133</v>
      </c>
      <c r="AM35" t="s">
        <v>326</v>
      </c>
      <c r="AP35" t="s">
        <v>6517</v>
      </c>
      <c r="AQ35" t="s">
        <v>6517</v>
      </c>
      <c r="AR35" t="s">
        <v>6517</v>
      </c>
      <c r="AS35" t="s">
        <v>6517</v>
      </c>
      <c r="AT35" t="s">
        <v>6517</v>
      </c>
      <c r="AU35" t="s">
        <v>6517</v>
      </c>
      <c r="AV35" t="s">
        <v>6517</v>
      </c>
    </row>
    <row r="36" spans="1:48" x14ac:dyDescent="0.3">
      <c r="A36" t="s">
        <v>5632</v>
      </c>
      <c r="B36">
        <f t="shared" si="1"/>
        <v>200034</v>
      </c>
      <c r="C36">
        <v>200018</v>
      </c>
      <c r="D36" t="s">
        <v>6524</v>
      </c>
      <c r="E36" t="s">
        <v>8171</v>
      </c>
      <c r="F36" t="s">
        <v>8172</v>
      </c>
      <c r="G36">
        <v>200034</v>
      </c>
      <c r="H36" t="s">
        <v>8173</v>
      </c>
      <c r="I36" t="s">
        <v>8174</v>
      </c>
      <c r="J36" t="s">
        <v>8616</v>
      </c>
      <c r="K36" t="str">
        <f t="shared" si="0"/>
        <v>2</v>
      </c>
      <c r="L36">
        <f t="shared" si="2"/>
        <v>5</v>
      </c>
      <c r="M36">
        <f t="shared" si="3"/>
        <v>2</v>
      </c>
      <c r="N36">
        <v>34.71</v>
      </c>
      <c r="O36" t="s">
        <v>5403</v>
      </c>
      <c r="P36" t="s">
        <v>6700</v>
      </c>
      <c r="Q36">
        <v>1983</v>
      </c>
      <c r="R36" t="s">
        <v>5648</v>
      </c>
      <c r="S36">
        <v>35</v>
      </c>
      <c r="T36" t="s">
        <v>6670</v>
      </c>
      <c r="U36" s="1" t="s">
        <v>7194</v>
      </c>
      <c r="V36" s="1" t="s">
        <v>7195</v>
      </c>
      <c r="W36" t="b">
        <v>0</v>
      </c>
      <c r="X36" t="s">
        <v>76</v>
      </c>
      <c r="Y36" t="s">
        <v>7543</v>
      </c>
      <c r="Z36" t="s">
        <v>6517</v>
      </c>
      <c r="AA36" t="s">
        <v>6517</v>
      </c>
      <c r="AB36" t="s">
        <v>6517</v>
      </c>
      <c r="AC36" t="s">
        <v>7890</v>
      </c>
      <c r="AD36" t="s">
        <v>7740</v>
      </c>
      <c r="AF36" t="b">
        <v>0</v>
      </c>
      <c r="AG36" t="s">
        <v>76</v>
      </c>
      <c r="AH36" s="1">
        <v>42480</v>
      </c>
      <c r="AI36" s="4">
        <v>7.0472222222222225</v>
      </c>
      <c r="AJ36">
        <v>0</v>
      </c>
      <c r="AK36">
        <v>42</v>
      </c>
      <c r="AL36">
        <v>41</v>
      </c>
      <c r="AM36" t="s">
        <v>326</v>
      </c>
      <c r="AP36" t="s">
        <v>6517</v>
      </c>
      <c r="AQ36" t="s">
        <v>6517</v>
      </c>
      <c r="AR36" t="s">
        <v>6517</v>
      </c>
      <c r="AS36" t="s">
        <v>6517</v>
      </c>
      <c r="AT36" t="s">
        <v>6517</v>
      </c>
      <c r="AU36" t="s">
        <v>6517</v>
      </c>
      <c r="AV36" t="s">
        <v>6517</v>
      </c>
    </row>
    <row r="37" spans="1:48" x14ac:dyDescent="0.3">
      <c r="A37" t="s">
        <v>5632</v>
      </c>
      <c r="B37">
        <f t="shared" si="1"/>
        <v>200035</v>
      </c>
      <c r="C37">
        <v>200018</v>
      </c>
      <c r="D37" t="s">
        <v>6524</v>
      </c>
      <c r="E37" t="s">
        <v>8171</v>
      </c>
      <c r="F37" t="s">
        <v>8109</v>
      </c>
      <c r="G37">
        <v>200035</v>
      </c>
      <c r="H37" t="s">
        <v>8175</v>
      </c>
      <c r="I37" t="s">
        <v>8176</v>
      </c>
      <c r="J37" t="s">
        <v>8614</v>
      </c>
      <c r="K37" t="str">
        <f t="shared" si="0"/>
        <v>1</v>
      </c>
      <c r="L37">
        <f t="shared" si="2"/>
        <v>4</v>
      </c>
      <c r="M37">
        <f t="shared" si="3"/>
        <v>1</v>
      </c>
      <c r="N37">
        <v>48.06</v>
      </c>
      <c r="O37" t="s">
        <v>5403</v>
      </c>
      <c r="P37" t="s">
        <v>6701</v>
      </c>
      <c r="Q37">
        <v>1998</v>
      </c>
      <c r="R37" t="s">
        <v>5648</v>
      </c>
      <c r="S37">
        <v>36</v>
      </c>
      <c r="T37" t="s">
        <v>6671</v>
      </c>
      <c r="U37" s="1" t="s">
        <v>7196</v>
      </c>
      <c r="V37" s="1" t="s">
        <v>7197</v>
      </c>
      <c r="W37" t="b">
        <v>0</v>
      </c>
      <c r="X37" t="s">
        <v>76</v>
      </c>
      <c r="Y37" t="s">
        <v>7544</v>
      </c>
      <c r="Z37" t="s">
        <v>6517</v>
      </c>
      <c r="AA37" t="s">
        <v>6517</v>
      </c>
      <c r="AB37" t="s">
        <v>6517</v>
      </c>
      <c r="AC37" t="s">
        <v>7891</v>
      </c>
      <c r="AD37" t="s">
        <v>7741</v>
      </c>
      <c r="AF37" t="b">
        <v>0</v>
      </c>
      <c r="AG37" t="s">
        <v>76</v>
      </c>
      <c r="AH37" s="1">
        <v>42480</v>
      </c>
      <c r="AI37" s="4">
        <v>9.2222222222222214</v>
      </c>
      <c r="AJ37">
        <v>0</v>
      </c>
      <c r="AK37">
        <v>0</v>
      </c>
      <c r="AL37">
        <v>116.5</v>
      </c>
      <c r="AM37" t="s">
        <v>326</v>
      </c>
      <c r="AP37" t="s">
        <v>6517</v>
      </c>
      <c r="AQ37" t="s">
        <v>6517</v>
      </c>
      <c r="AR37" t="s">
        <v>6517</v>
      </c>
      <c r="AS37" t="s">
        <v>6517</v>
      </c>
      <c r="AT37" t="s">
        <v>6517</v>
      </c>
      <c r="AU37" t="s">
        <v>6517</v>
      </c>
      <c r="AV37" t="s">
        <v>6517</v>
      </c>
    </row>
    <row r="38" spans="1:48" x14ac:dyDescent="0.3">
      <c r="A38" t="s">
        <v>5632</v>
      </c>
      <c r="B38">
        <f t="shared" si="1"/>
        <v>200036</v>
      </c>
      <c r="C38">
        <v>200019</v>
      </c>
      <c r="D38" t="s">
        <v>6536</v>
      </c>
      <c r="E38" t="s">
        <v>8166</v>
      </c>
      <c r="F38" t="s">
        <v>8177</v>
      </c>
      <c r="G38">
        <v>200036</v>
      </c>
      <c r="H38" t="s">
        <v>8178</v>
      </c>
      <c r="I38" t="s">
        <v>8179</v>
      </c>
      <c r="J38" t="s">
        <v>8614</v>
      </c>
      <c r="K38" t="str">
        <f t="shared" si="0"/>
        <v>1</v>
      </c>
      <c r="L38">
        <f t="shared" si="2"/>
        <v>3</v>
      </c>
      <c r="M38">
        <f t="shared" si="3"/>
        <v>1</v>
      </c>
      <c r="N38">
        <v>39.61</v>
      </c>
      <c r="O38" t="s">
        <v>5403</v>
      </c>
      <c r="P38" t="s">
        <v>6702</v>
      </c>
      <c r="Q38">
        <v>1987</v>
      </c>
      <c r="R38" t="s">
        <v>5648</v>
      </c>
      <c r="S38">
        <v>37</v>
      </c>
      <c r="T38" t="s">
        <v>6670</v>
      </c>
      <c r="U38" s="1" t="s">
        <v>7198</v>
      </c>
      <c r="V38" s="1" t="s">
        <v>7199</v>
      </c>
      <c r="W38" t="b">
        <v>0</v>
      </c>
      <c r="X38" t="s">
        <v>76</v>
      </c>
      <c r="Y38" t="s">
        <v>7545</v>
      </c>
      <c r="Z38" t="s">
        <v>6517</v>
      </c>
      <c r="AA38" t="s">
        <v>6517</v>
      </c>
      <c r="AB38" t="s">
        <v>6517</v>
      </c>
      <c r="AC38" t="s">
        <v>7892</v>
      </c>
      <c r="AD38" t="s">
        <v>7742</v>
      </c>
      <c r="AF38" t="b">
        <v>0</v>
      </c>
      <c r="AG38" t="s">
        <v>76</v>
      </c>
      <c r="AH38" s="1">
        <v>42481</v>
      </c>
      <c r="AI38" s="4">
        <v>4.3555555555555552</v>
      </c>
      <c r="AJ38">
        <v>0</v>
      </c>
      <c r="AK38">
        <v>0</v>
      </c>
      <c r="AL38">
        <v>105.75</v>
      </c>
      <c r="AM38" t="s">
        <v>326</v>
      </c>
      <c r="AP38" t="s">
        <v>6517</v>
      </c>
      <c r="AQ38" t="s">
        <v>6517</v>
      </c>
      <c r="AR38" t="s">
        <v>6517</v>
      </c>
      <c r="AS38" t="s">
        <v>6517</v>
      </c>
      <c r="AT38" t="s">
        <v>6517</v>
      </c>
      <c r="AU38" t="s">
        <v>6517</v>
      </c>
      <c r="AV38" t="s">
        <v>6517</v>
      </c>
    </row>
    <row r="39" spans="1:48" x14ac:dyDescent="0.3">
      <c r="A39" t="s">
        <v>5632</v>
      </c>
      <c r="B39">
        <f t="shared" si="1"/>
        <v>200037</v>
      </c>
      <c r="C39">
        <v>200020</v>
      </c>
      <c r="D39" t="s">
        <v>6542</v>
      </c>
      <c r="E39" t="s">
        <v>8123</v>
      </c>
      <c r="F39" t="s">
        <v>8180</v>
      </c>
      <c r="G39">
        <v>200037</v>
      </c>
      <c r="H39" t="s">
        <v>8181</v>
      </c>
      <c r="I39" t="s">
        <v>8182</v>
      </c>
      <c r="J39" t="s">
        <v>8616</v>
      </c>
      <c r="K39" t="str">
        <f t="shared" si="0"/>
        <v>2</v>
      </c>
      <c r="L39">
        <f t="shared" si="2"/>
        <v>14</v>
      </c>
      <c r="M39">
        <f t="shared" si="3"/>
        <v>1</v>
      </c>
      <c r="N39">
        <v>22.87</v>
      </c>
      <c r="O39" t="s">
        <v>5403</v>
      </c>
      <c r="P39" t="s">
        <v>6703</v>
      </c>
      <c r="Q39">
        <v>2005</v>
      </c>
      <c r="R39" t="s">
        <v>5648</v>
      </c>
      <c r="S39">
        <v>38</v>
      </c>
      <c r="T39" t="s">
        <v>6670</v>
      </c>
      <c r="U39" s="1" t="s">
        <v>7200</v>
      </c>
      <c r="V39" s="1" t="s">
        <v>7201</v>
      </c>
      <c r="W39" t="b">
        <v>0</v>
      </c>
      <c r="X39" t="s">
        <v>76</v>
      </c>
      <c r="Y39" t="s">
        <v>7546</v>
      </c>
      <c r="Z39" t="s">
        <v>6517</v>
      </c>
      <c r="AA39" t="s">
        <v>6517</v>
      </c>
      <c r="AB39" t="s">
        <v>6517</v>
      </c>
      <c r="AC39" t="s">
        <v>7893</v>
      </c>
      <c r="AD39" t="s">
        <v>7743</v>
      </c>
      <c r="AF39" t="b">
        <v>0</v>
      </c>
      <c r="AG39" t="s">
        <v>76</v>
      </c>
      <c r="AH39" s="1">
        <v>42480</v>
      </c>
      <c r="AI39" s="4">
        <v>0.78888888888888886</v>
      </c>
      <c r="AJ39">
        <v>0</v>
      </c>
      <c r="AK39">
        <v>0</v>
      </c>
      <c r="AL39">
        <v>66.25</v>
      </c>
      <c r="AM39" t="s">
        <v>326</v>
      </c>
      <c r="AP39" t="s">
        <v>6517</v>
      </c>
      <c r="AQ39" t="s">
        <v>6517</v>
      </c>
      <c r="AR39" t="s">
        <v>6517</v>
      </c>
      <c r="AS39" t="s">
        <v>6517</v>
      </c>
      <c r="AT39" t="s">
        <v>6517</v>
      </c>
      <c r="AU39" t="s">
        <v>6517</v>
      </c>
      <c r="AV39" t="s">
        <v>6517</v>
      </c>
    </row>
    <row r="40" spans="1:48" x14ac:dyDescent="0.3">
      <c r="A40" t="s">
        <v>5632</v>
      </c>
      <c r="B40">
        <f t="shared" si="1"/>
        <v>200038</v>
      </c>
      <c r="C40">
        <v>200021</v>
      </c>
      <c r="D40" t="s">
        <v>6534</v>
      </c>
      <c r="E40" t="s">
        <v>8183</v>
      </c>
      <c r="F40" t="s">
        <v>8184</v>
      </c>
      <c r="G40">
        <v>200038</v>
      </c>
      <c r="H40" t="s">
        <v>8185</v>
      </c>
      <c r="I40" t="s">
        <v>8186</v>
      </c>
      <c r="J40" t="s">
        <v>8614</v>
      </c>
      <c r="K40" t="str">
        <f t="shared" si="0"/>
        <v>1</v>
      </c>
      <c r="L40">
        <f t="shared" si="2"/>
        <v>1</v>
      </c>
      <c r="M40">
        <f t="shared" si="3"/>
        <v>1</v>
      </c>
      <c r="N40">
        <v>42.94</v>
      </c>
      <c r="O40" t="s">
        <v>5403</v>
      </c>
      <c r="P40" t="s">
        <v>6704</v>
      </c>
      <c r="Q40">
        <v>1984</v>
      </c>
      <c r="R40" t="s">
        <v>5648</v>
      </c>
      <c r="S40">
        <v>39</v>
      </c>
      <c r="T40" t="s">
        <v>6670</v>
      </c>
      <c r="U40" s="1" t="s">
        <v>7202</v>
      </c>
      <c r="V40" s="1" t="s">
        <v>7145</v>
      </c>
      <c r="W40" t="b">
        <v>0</v>
      </c>
      <c r="X40" t="s">
        <v>76</v>
      </c>
      <c r="Y40" t="s">
        <v>7547</v>
      </c>
      <c r="Z40" t="s">
        <v>6517</v>
      </c>
      <c r="AA40" t="s">
        <v>6517</v>
      </c>
      <c r="AB40" t="s">
        <v>6517</v>
      </c>
      <c r="AC40" t="s">
        <v>7894</v>
      </c>
      <c r="AD40" t="s">
        <v>7744</v>
      </c>
      <c r="AF40" t="b">
        <v>0</v>
      </c>
      <c r="AG40" t="s">
        <v>76</v>
      </c>
      <c r="AH40" s="1">
        <v>42461</v>
      </c>
      <c r="AI40" s="4">
        <v>4.9388888888888891</v>
      </c>
      <c r="AJ40">
        <v>0</v>
      </c>
      <c r="AK40">
        <v>0</v>
      </c>
      <c r="AL40">
        <v>114</v>
      </c>
      <c r="AM40" t="s">
        <v>326</v>
      </c>
      <c r="AP40" t="s">
        <v>6517</v>
      </c>
      <c r="AQ40" t="s">
        <v>6517</v>
      </c>
      <c r="AR40" t="s">
        <v>6517</v>
      </c>
      <c r="AS40" t="s">
        <v>6517</v>
      </c>
      <c r="AT40" t="s">
        <v>6517</v>
      </c>
      <c r="AU40" t="s">
        <v>6517</v>
      </c>
      <c r="AV40" t="s">
        <v>6517</v>
      </c>
    </row>
    <row r="41" spans="1:48" x14ac:dyDescent="0.3">
      <c r="A41" t="s">
        <v>5632</v>
      </c>
      <c r="B41">
        <f t="shared" si="1"/>
        <v>200039</v>
      </c>
      <c r="C41">
        <v>200022</v>
      </c>
      <c r="D41" t="s">
        <v>6529</v>
      </c>
      <c r="E41" t="s">
        <v>8097</v>
      </c>
      <c r="F41" t="s">
        <v>8143</v>
      </c>
      <c r="G41">
        <v>200039</v>
      </c>
      <c r="H41" t="s">
        <v>8187</v>
      </c>
      <c r="I41" t="s">
        <v>8188</v>
      </c>
      <c r="J41" t="s">
        <v>8615</v>
      </c>
      <c r="K41" t="str">
        <f t="shared" si="0"/>
        <v>9</v>
      </c>
      <c r="L41">
        <f t="shared" si="2"/>
        <v>47</v>
      </c>
      <c r="M41">
        <f t="shared" si="3"/>
        <v>2</v>
      </c>
      <c r="N41">
        <v>10.02</v>
      </c>
      <c r="O41" t="s">
        <v>5403</v>
      </c>
      <c r="P41" t="s">
        <v>6705</v>
      </c>
      <c r="Q41">
        <v>2005</v>
      </c>
      <c r="R41" t="s">
        <v>5648</v>
      </c>
      <c r="S41">
        <v>40</v>
      </c>
      <c r="T41" t="s">
        <v>6670</v>
      </c>
      <c r="U41" s="1" t="s">
        <v>7203</v>
      </c>
      <c r="V41" s="1" t="s">
        <v>7199</v>
      </c>
      <c r="W41" t="b">
        <v>0</v>
      </c>
      <c r="X41" t="s">
        <v>76</v>
      </c>
      <c r="Y41" t="s">
        <v>7548</v>
      </c>
      <c r="Z41" t="s">
        <v>6517</v>
      </c>
      <c r="AA41" t="s">
        <v>6517</v>
      </c>
      <c r="AB41" t="s">
        <v>6517</v>
      </c>
      <c r="AC41" t="s">
        <v>7895</v>
      </c>
      <c r="AD41" t="s">
        <v>7745</v>
      </c>
      <c r="AF41" t="b">
        <v>0</v>
      </c>
      <c r="AG41" t="s">
        <v>76</v>
      </c>
      <c r="AH41" s="1">
        <v>42461</v>
      </c>
      <c r="AI41" s="4">
        <v>4.3555555555555552</v>
      </c>
      <c r="AJ41">
        <v>0</v>
      </c>
      <c r="AK41">
        <v>0</v>
      </c>
      <c r="AL41">
        <v>17</v>
      </c>
      <c r="AM41" t="s">
        <v>326</v>
      </c>
      <c r="AP41" t="s">
        <v>6517</v>
      </c>
      <c r="AQ41" t="s">
        <v>6517</v>
      </c>
      <c r="AR41" t="s">
        <v>6517</v>
      </c>
      <c r="AS41" t="s">
        <v>6517</v>
      </c>
      <c r="AT41" t="s">
        <v>6517</v>
      </c>
      <c r="AU41" t="s">
        <v>6517</v>
      </c>
      <c r="AV41" t="s">
        <v>6517</v>
      </c>
    </row>
    <row r="42" spans="1:48" x14ac:dyDescent="0.3">
      <c r="A42" t="s">
        <v>5632</v>
      </c>
      <c r="B42">
        <f t="shared" si="1"/>
        <v>200040</v>
      </c>
      <c r="C42">
        <v>200022</v>
      </c>
      <c r="D42" t="s">
        <v>6529</v>
      </c>
      <c r="E42" t="s">
        <v>8097</v>
      </c>
      <c r="F42" t="s">
        <v>8098</v>
      </c>
      <c r="G42">
        <v>200040</v>
      </c>
      <c r="H42" t="s">
        <v>8189</v>
      </c>
      <c r="I42" t="s">
        <v>8190</v>
      </c>
      <c r="J42" t="s">
        <v>8615</v>
      </c>
      <c r="K42" t="str">
        <f t="shared" si="0"/>
        <v>9</v>
      </c>
      <c r="L42">
        <f t="shared" si="2"/>
        <v>24</v>
      </c>
      <c r="M42">
        <f t="shared" si="3"/>
        <v>1</v>
      </c>
      <c r="N42">
        <v>56.9</v>
      </c>
      <c r="O42" t="s">
        <v>5403</v>
      </c>
      <c r="P42" t="s">
        <v>6706</v>
      </c>
      <c r="Q42">
        <v>2014</v>
      </c>
      <c r="R42" t="s">
        <v>5648</v>
      </c>
      <c r="S42">
        <v>41</v>
      </c>
      <c r="T42" t="s">
        <v>6670</v>
      </c>
      <c r="U42" s="1" t="s">
        <v>7204</v>
      </c>
      <c r="V42" s="1" t="s">
        <v>7205</v>
      </c>
      <c r="W42" t="b">
        <v>0</v>
      </c>
      <c r="X42" t="s">
        <v>76</v>
      </c>
      <c r="Y42" t="s">
        <v>7549</v>
      </c>
      <c r="Z42" t="s">
        <v>6517</v>
      </c>
      <c r="AA42" t="s">
        <v>6517</v>
      </c>
      <c r="AB42" t="s">
        <v>6517</v>
      </c>
      <c r="AC42" t="s">
        <v>7896</v>
      </c>
      <c r="AD42" t="s">
        <v>7746</v>
      </c>
      <c r="AF42" t="b">
        <v>0</v>
      </c>
      <c r="AG42" t="s">
        <v>76</v>
      </c>
      <c r="AH42" s="1">
        <v>42461</v>
      </c>
      <c r="AI42" s="4">
        <v>12.9</v>
      </c>
      <c r="AJ42">
        <v>0</v>
      </c>
      <c r="AK42">
        <v>0</v>
      </c>
      <c r="AL42">
        <v>132</v>
      </c>
      <c r="AM42" t="s">
        <v>326</v>
      </c>
      <c r="AP42" t="s">
        <v>6517</v>
      </c>
      <c r="AQ42" t="s">
        <v>6517</v>
      </c>
      <c r="AR42" t="s">
        <v>6517</v>
      </c>
      <c r="AS42" t="s">
        <v>6517</v>
      </c>
      <c r="AT42" t="s">
        <v>6517</v>
      </c>
      <c r="AU42" t="s">
        <v>6517</v>
      </c>
      <c r="AV42" t="s">
        <v>6517</v>
      </c>
    </row>
    <row r="43" spans="1:48" x14ac:dyDescent="0.3">
      <c r="A43" t="s">
        <v>5632</v>
      </c>
      <c r="B43">
        <f t="shared" si="1"/>
        <v>200041</v>
      </c>
      <c r="C43">
        <v>200023</v>
      </c>
      <c r="D43" t="s">
        <v>6527</v>
      </c>
      <c r="E43" t="s">
        <v>8097</v>
      </c>
      <c r="F43" t="s">
        <v>8191</v>
      </c>
      <c r="G43">
        <v>200041</v>
      </c>
      <c r="H43" t="s">
        <v>8192</v>
      </c>
      <c r="I43" t="s">
        <v>8193</v>
      </c>
      <c r="J43" t="s">
        <v>8615</v>
      </c>
      <c r="K43" t="str">
        <f t="shared" si="0"/>
        <v>9</v>
      </c>
      <c r="L43">
        <f t="shared" si="2"/>
        <v>52</v>
      </c>
      <c r="M43">
        <f t="shared" si="3"/>
        <v>1</v>
      </c>
      <c r="N43">
        <v>5.54</v>
      </c>
      <c r="O43" t="s">
        <v>5403</v>
      </c>
      <c r="P43" t="s">
        <v>6707</v>
      </c>
      <c r="Q43">
        <v>1996</v>
      </c>
      <c r="R43" t="s">
        <v>5648</v>
      </c>
      <c r="S43">
        <v>42</v>
      </c>
      <c r="T43" t="s">
        <v>6670</v>
      </c>
      <c r="U43" s="1" t="s">
        <v>7206</v>
      </c>
      <c r="V43" s="1" t="s">
        <v>7207</v>
      </c>
      <c r="W43" t="b">
        <v>0</v>
      </c>
      <c r="X43" t="s">
        <v>76</v>
      </c>
      <c r="Y43" t="s">
        <v>7550</v>
      </c>
      <c r="Z43" t="s">
        <v>6517</v>
      </c>
      <c r="AA43" t="s">
        <v>6517</v>
      </c>
      <c r="AB43" t="s">
        <v>6517</v>
      </c>
      <c r="AC43" t="s">
        <v>7897</v>
      </c>
      <c r="AD43" t="s">
        <v>7747</v>
      </c>
      <c r="AF43" t="b">
        <v>0</v>
      </c>
      <c r="AG43" t="s">
        <v>76</v>
      </c>
      <c r="AH43" s="1">
        <v>42480</v>
      </c>
      <c r="AI43" s="4">
        <v>3.036111111111111</v>
      </c>
      <c r="AJ43">
        <v>0</v>
      </c>
      <c r="AK43">
        <v>0</v>
      </c>
      <c r="AL43">
        <v>7.5</v>
      </c>
      <c r="AM43" t="s">
        <v>326</v>
      </c>
      <c r="AP43" t="s">
        <v>6517</v>
      </c>
      <c r="AQ43" t="s">
        <v>6517</v>
      </c>
      <c r="AR43" t="s">
        <v>6517</v>
      </c>
      <c r="AS43" t="s">
        <v>6517</v>
      </c>
      <c r="AT43" t="s">
        <v>6517</v>
      </c>
      <c r="AU43" t="s">
        <v>6517</v>
      </c>
      <c r="AV43" t="s">
        <v>6517</v>
      </c>
    </row>
    <row r="44" spans="1:48" x14ac:dyDescent="0.3">
      <c r="A44" t="s">
        <v>5632</v>
      </c>
      <c r="B44">
        <f t="shared" si="1"/>
        <v>200042</v>
      </c>
      <c r="C44">
        <v>200024</v>
      </c>
      <c r="D44" t="s">
        <v>6518</v>
      </c>
      <c r="E44" t="s">
        <v>8147</v>
      </c>
      <c r="F44" t="s">
        <v>8194</v>
      </c>
      <c r="G44">
        <v>200042</v>
      </c>
      <c r="H44" t="s">
        <v>8195</v>
      </c>
      <c r="I44" t="s">
        <v>8196</v>
      </c>
      <c r="J44" t="s">
        <v>8616</v>
      </c>
      <c r="K44" t="str">
        <f t="shared" si="0"/>
        <v>2</v>
      </c>
      <c r="L44">
        <f t="shared" si="2"/>
        <v>11</v>
      </c>
      <c r="M44">
        <f t="shared" si="3"/>
        <v>2</v>
      </c>
      <c r="N44">
        <v>23.81</v>
      </c>
      <c r="O44" t="s">
        <v>5403</v>
      </c>
      <c r="P44" t="s">
        <v>6708</v>
      </c>
      <c r="Q44">
        <v>1972</v>
      </c>
      <c r="R44" t="s">
        <v>5648</v>
      </c>
      <c r="S44">
        <v>43</v>
      </c>
      <c r="T44" t="s">
        <v>6671</v>
      </c>
      <c r="U44" s="1" t="s">
        <v>7208</v>
      </c>
      <c r="V44" s="1" t="s">
        <v>7209</v>
      </c>
      <c r="W44" t="b">
        <v>0</v>
      </c>
      <c r="X44" t="s">
        <v>76</v>
      </c>
      <c r="Y44" t="s">
        <v>7551</v>
      </c>
      <c r="Z44" t="s">
        <v>6517</v>
      </c>
      <c r="AA44" t="s">
        <v>6517</v>
      </c>
      <c r="AB44" t="s">
        <v>6517</v>
      </c>
      <c r="AC44" t="s">
        <v>7898</v>
      </c>
      <c r="AD44" t="s">
        <v>7748</v>
      </c>
      <c r="AF44" t="b">
        <v>0</v>
      </c>
      <c r="AG44" t="s">
        <v>76</v>
      </c>
      <c r="AH44" s="1">
        <v>42480</v>
      </c>
      <c r="AI44" s="4">
        <v>4.3111111111111109</v>
      </c>
      <c r="AJ44">
        <v>0</v>
      </c>
      <c r="AK44">
        <v>58.5</v>
      </c>
      <c r="AL44">
        <v>0</v>
      </c>
      <c r="AM44" t="s">
        <v>326</v>
      </c>
      <c r="AP44" t="s">
        <v>6517</v>
      </c>
      <c r="AQ44" t="s">
        <v>6517</v>
      </c>
      <c r="AR44" t="s">
        <v>6517</v>
      </c>
      <c r="AS44" t="s">
        <v>6517</v>
      </c>
      <c r="AT44" t="s">
        <v>6517</v>
      </c>
      <c r="AU44" t="s">
        <v>6517</v>
      </c>
      <c r="AV44" t="s">
        <v>6517</v>
      </c>
    </row>
    <row r="45" spans="1:48" x14ac:dyDescent="0.3">
      <c r="A45" t="s">
        <v>5632</v>
      </c>
      <c r="B45">
        <f t="shared" si="1"/>
        <v>200043</v>
      </c>
      <c r="C45">
        <v>200024</v>
      </c>
      <c r="D45" t="s">
        <v>6518</v>
      </c>
      <c r="E45" t="s">
        <v>8147</v>
      </c>
      <c r="F45" t="s">
        <v>8133</v>
      </c>
      <c r="G45">
        <v>200043</v>
      </c>
      <c r="H45" t="s">
        <v>8197</v>
      </c>
      <c r="I45" t="s">
        <v>8198</v>
      </c>
      <c r="J45" t="s">
        <v>8615</v>
      </c>
      <c r="K45" t="str">
        <f t="shared" si="0"/>
        <v>9</v>
      </c>
      <c r="L45">
        <f t="shared" si="2"/>
        <v>15</v>
      </c>
      <c r="M45">
        <f t="shared" si="3"/>
        <v>4</v>
      </c>
      <c r="N45">
        <v>13.14</v>
      </c>
      <c r="O45" t="s">
        <v>5403</v>
      </c>
      <c r="P45" t="s">
        <v>6709</v>
      </c>
      <c r="Q45">
        <v>1977</v>
      </c>
      <c r="R45" t="s">
        <v>5648</v>
      </c>
      <c r="S45">
        <v>44</v>
      </c>
      <c r="T45" t="s">
        <v>6671</v>
      </c>
      <c r="U45" s="1" t="s">
        <v>7210</v>
      </c>
      <c r="V45" s="1" t="s">
        <v>7211</v>
      </c>
      <c r="W45" t="b">
        <v>0</v>
      </c>
      <c r="X45" t="s">
        <v>76</v>
      </c>
      <c r="Y45" t="s">
        <v>7552</v>
      </c>
      <c r="Z45" t="s">
        <v>6517</v>
      </c>
      <c r="AA45" t="s">
        <v>6517</v>
      </c>
      <c r="AB45" t="s">
        <v>6517</v>
      </c>
      <c r="AC45" t="s">
        <v>7899</v>
      </c>
      <c r="AD45" t="s">
        <v>7749</v>
      </c>
      <c r="AF45" t="b">
        <v>0</v>
      </c>
      <c r="AG45" t="s">
        <v>76</v>
      </c>
      <c r="AH45" s="1">
        <v>42481</v>
      </c>
      <c r="AI45" s="4">
        <v>7.8083333333333336</v>
      </c>
      <c r="AJ45">
        <v>0</v>
      </c>
      <c r="AK45">
        <v>0</v>
      </c>
      <c r="AL45">
        <v>16</v>
      </c>
      <c r="AM45" t="s">
        <v>5696</v>
      </c>
      <c r="AN45" t="s">
        <v>6894</v>
      </c>
      <c r="AO45" s="1">
        <v>42392</v>
      </c>
      <c r="AP45" t="s">
        <v>6517</v>
      </c>
      <c r="AQ45" t="s">
        <v>6517</v>
      </c>
      <c r="AR45" t="s">
        <v>6517</v>
      </c>
      <c r="AS45" t="s">
        <v>6517</v>
      </c>
      <c r="AT45" t="s">
        <v>6517</v>
      </c>
      <c r="AU45" t="s">
        <v>6517</v>
      </c>
      <c r="AV45" t="s">
        <v>6517</v>
      </c>
    </row>
    <row r="46" spans="1:48" x14ac:dyDescent="0.3">
      <c r="A46" t="s">
        <v>5632</v>
      </c>
      <c r="B46">
        <f t="shared" si="1"/>
        <v>200044</v>
      </c>
      <c r="C46">
        <v>200024</v>
      </c>
      <c r="D46" t="s">
        <v>6518</v>
      </c>
      <c r="E46" t="s">
        <v>8147</v>
      </c>
      <c r="F46" t="s">
        <v>8199</v>
      </c>
      <c r="G46">
        <v>200044</v>
      </c>
      <c r="H46" t="s">
        <v>8200</v>
      </c>
      <c r="I46" t="s">
        <v>8201</v>
      </c>
      <c r="J46" t="s">
        <v>8615</v>
      </c>
      <c r="K46" t="str">
        <f t="shared" si="0"/>
        <v>9</v>
      </c>
      <c r="L46">
        <f t="shared" si="2"/>
        <v>14</v>
      </c>
      <c r="M46">
        <f t="shared" si="3"/>
        <v>3</v>
      </c>
      <c r="N46">
        <v>17.02</v>
      </c>
      <c r="O46" t="s">
        <v>5403</v>
      </c>
      <c r="P46" t="s">
        <v>6710</v>
      </c>
      <c r="Q46">
        <v>1978</v>
      </c>
      <c r="R46" t="s">
        <v>5648</v>
      </c>
      <c r="S46">
        <v>45</v>
      </c>
      <c r="T46" t="s">
        <v>6670</v>
      </c>
      <c r="U46" s="1" t="s">
        <v>7212</v>
      </c>
      <c r="V46" s="1" t="s">
        <v>7213</v>
      </c>
      <c r="W46" t="b">
        <v>0</v>
      </c>
      <c r="X46" t="s">
        <v>76</v>
      </c>
      <c r="Y46" t="s">
        <v>7553</v>
      </c>
      <c r="Z46" t="s">
        <v>6517</v>
      </c>
      <c r="AA46" t="s">
        <v>6517</v>
      </c>
      <c r="AB46" t="s">
        <v>6517</v>
      </c>
      <c r="AC46" t="s">
        <v>7900</v>
      </c>
      <c r="AD46" t="s">
        <v>7750</v>
      </c>
      <c r="AF46" t="b">
        <v>0</v>
      </c>
      <c r="AG46" t="s">
        <v>76</v>
      </c>
      <c r="AH46" s="1">
        <v>42461</v>
      </c>
      <c r="AI46" s="4">
        <v>10.686111111111112</v>
      </c>
      <c r="AJ46">
        <v>0</v>
      </c>
      <c r="AK46">
        <v>0</v>
      </c>
      <c r="AL46">
        <v>19</v>
      </c>
      <c r="AM46" t="s">
        <v>326</v>
      </c>
      <c r="AP46" t="s">
        <v>6517</v>
      </c>
      <c r="AQ46" t="s">
        <v>6517</v>
      </c>
      <c r="AR46" t="s">
        <v>6517</v>
      </c>
      <c r="AS46" t="s">
        <v>6517</v>
      </c>
      <c r="AT46" t="s">
        <v>6517</v>
      </c>
      <c r="AU46" t="s">
        <v>6517</v>
      </c>
      <c r="AV46" t="s">
        <v>6517</v>
      </c>
    </row>
    <row r="47" spans="1:48" x14ac:dyDescent="0.3">
      <c r="A47" t="s">
        <v>5632</v>
      </c>
      <c r="B47">
        <f t="shared" si="1"/>
        <v>200045</v>
      </c>
      <c r="C47">
        <v>200024</v>
      </c>
      <c r="D47" t="s">
        <v>6518</v>
      </c>
      <c r="E47" t="s">
        <v>8147</v>
      </c>
      <c r="F47" t="s">
        <v>8202</v>
      </c>
      <c r="G47">
        <v>200045</v>
      </c>
      <c r="H47" t="s">
        <v>8203</v>
      </c>
      <c r="I47" t="s">
        <v>8204</v>
      </c>
      <c r="J47" t="s">
        <v>8615</v>
      </c>
      <c r="K47" t="str">
        <f t="shared" si="0"/>
        <v>9</v>
      </c>
      <c r="L47">
        <f t="shared" si="2"/>
        <v>20</v>
      </c>
      <c r="M47">
        <f t="shared" si="3"/>
        <v>5</v>
      </c>
      <c r="N47">
        <v>3.35</v>
      </c>
      <c r="O47" t="s">
        <v>5403</v>
      </c>
      <c r="P47" t="s">
        <v>6711</v>
      </c>
      <c r="Q47">
        <v>1997</v>
      </c>
      <c r="R47" t="s">
        <v>5648</v>
      </c>
      <c r="S47">
        <v>46</v>
      </c>
      <c r="T47" t="s">
        <v>6670</v>
      </c>
      <c r="U47" s="1" t="s">
        <v>7214</v>
      </c>
      <c r="V47" s="1" t="s">
        <v>7215</v>
      </c>
      <c r="W47" t="b">
        <v>0</v>
      </c>
      <c r="X47" t="s">
        <v>76</v>
      </c>
      <c r="Y47" t="s">
        <v>7554</v>
      </c>
      <c r="Z47" t="s">
        <v>6517</v>
      </c>
      <c r="AA47" t="s">
        <v>6517</v>
      </c>
      <c r="AB47" t="s">
        <v>6517</v>
      </c>
      <c r="AC47" t="s">
        <v>7901</v>
      </c>
      <c r="AD47" t="s">
        <v>7751</v>
      </c>
      <c r="AF47" t="b">
        <v>0</v>
      </c>
      <c r="AG47" t="s">
        <v>76</v>
      </c>
      <c r="AH47" s="1">
        <v>42481</v>
      </c>
      <c r="AI47" s="4">
        <v>3.35</v>
      </c>
      <c r="AJ47">
        <v>0</v>
      </c>
      <c r="AK47">
        <v>0</v>
      </c>
      <c r="AL47">
        <v>0</v>
      </c>
      <c r="AM47" t="s">
        <v>326</v>
      </c>
      <c r="AP47" t="s">
        <v>6517</v>
      </c>
      <c r="AQ47" t="s">
        <v>6517</v>
      </c>
      <c r="AR47" t="s">
        <v>6517</v>
      </c>
      <c r="AS47" t="s">
        <v>6517</v>
      </c>
      <c r="AT47" t="s">
        <v>6517</v>
      </c>
      <c r="AU47" t="s">
        <v>6517</v>
      </c>
      <c r="AV47" t="s">
        <v>6517</v>
      </c>
    </row>
    <row r="48" spans="1:48" x14ac:dyDescent="0.3">
      <c r="A48" t="s">
        <v>5632</v>
      </c>
      <c r="B48">
        <f t="shared" si="1"/>
        <v>200046</v>
      </c>
      <c r="C48">
        <v>200024</v>
      </c>
      <c r="D48" t="s">
        <v>6518</v>
      </c>
      <c r="E48" t="s">
        <v>8147</v>
      </c>
      <c r="F48" t="s">
        <v>8205</v>
      </c>
      <c r="G48">
        <v>200046</v>
      </c>
      <c r="H48" t="s">
        <v>8206</v>
      </c>
      <c r="I48" t="s">
        <v>8207</v>
      </c>
      <c r="J48" t="s">
        <v>8614</v>
      </c>
      <c r="K48" t="str">
        <f t="shared" si="0"/>
        <v>1</v>
      </c>
      <c r="L48">
        <f t="shared" si="2"/>
        <v>8</v>
      </c>
      <c r="M48">
        <f t="shared" si="3"/>
        <v>1</v>
      </c>
      <c r="N48">
        <v>46.42</v>
      </c>
      <c r="O48" t="s">
        <v>5403</v>
      </c>
      <c r="P48" t="s">
        <v>6712</v>
      </c>
      <c r="Q48">
        <v>1996</v>
      </c>
      <c r="R48" t="s">
        <v>5648</v>
      </c>
      <c r="S48">
        <v>47</v>
      </c>
      <c r="T48" t="s">
        <v>6670</v>
      </c>
      <c r="U48" s="1" t="s">
        <v>7216</v>
      </c>
      <c r="V48" s="1" t="s">
        <v>7217</v>
      </c>
      <c r="W48" t="b">
        <v>0</v>
      </c>
      <c r="X48" t="s">
        <v>76</v>
      </c>
      <c r="Y48" t="s">
        <v>7555</v>
      </c>
      <c r="Z48" t="s">
        <v>6517</v>
      </c>
      <c r="AA48" t="s">
        <v>6517</v>
      </c>
      <c r="AB48" t="s">
        <v>6517</v>
      </c>
      <c r="AC48" t="s">
        <v>7902</v>
      </c>
      <c r="AD48" t="s">
        <v>7721</v>
      </c>
      <c r="AF48" t="b">
        <v>0</v>
      </c>
      <c r="AG48" t="s">
        <v>76</v>
      </c>
      <c r="AH48" s="1">
        <v>42480</v>
      </c>
      <c r="AI48" s="4">
        <v>11.58611111111111</v>
      </c>
      <c r="AJ48">
        <v>0</v>
      </c>
      <c r="AK48">
        <v>26.5</v>
      </c>
      <c r="AL48">
        <v>78</v>
      </c>
      <c r="AM48" t="s">
        <v>326</v>
      </c>
      <c r="AP48" t="s">
        <v>6517</v>
      </c>
      <c r="AQ48" t="s">
        <v>6517</v>
      </c>
      <c r="AR48" t="s">
        <v>6517</v>
      </c>
      <c r="AS48" t="s">
        <v>6517</v>
      </c>
      <c r="AT48" t="s">
        <v>6517</v>
      </c>
      <c r="AU48" t="s">
        <v>6517</v>
      </c>
      <c r="AV48" t="s">
        <v>6517</v>
      </c>
    </row>
    <row r="49" spans="1:48" x14ac:dyDescent="0.3">
      <c r="A49" t="s">
        <v>5632</v>
      </c>
      <c r="B49">
        <f t="shared" si="1"/>
        <v>200047</v>
      </c>
      <c r="C49">
        <v>200025</v>
      </c>
      <c r="D49" t="s">
        <v>6538</v>
      </c>
      <c r="E49" t="s">
        <v>8097</v>
      </c>
      <c r="F49" t="s">
        <v>8104</v>
      </c>
      <c r="G49">
        <v>200047</v>
      </c>
      <c r="H49" t="s">
        <v>8208</v>
      </c>
      <c r="I49" t="s">
        <v>8209</v>
      </c>
      <c r="J49" t="s">
        <v>8615</v>
      </c>
      <c r="K49" t="str">
        <f t="shared" si="0"/>
        <v>9</v>
      </c>
      <c r="L49">
        <f t="shared" si="2"/>
        <v>36</v>
      </c>
      <c r="M49">
        <f t="shared" si="3"/>
        <v>1</v>
      </c>
      <c r="N49">
        <v>18.079999999999998</v>
      </c>
      <c r="O49" t="s">
        <v>5403</v>
      </c>
      <c r="P49" t="s">
        <v>6713</v>
      </c>
      <c r="Q49">
        <v>2009</v>
      </c>
      <c r="R49" t="s">
        <v>5648</v>
      </c>
      <c r="S49">
        <v>48</v>
      </c>
      <c r="T49" t="s">
        <v>6670</v>
      </c>
      <c r="U49" s="1" t="s">
        <v>7218</v>
      </c>
      <c r="V49" s="1" t="s">
        <v>7219</v>
      </c>
      <c r="W49" t="b">
        <v>0</v>
      </c>
      <c r="X49" t="s">
        <v>76</v>
      </c>
      <c r="Y49" t="s">
        <v>7556</v>
      </c>
      <c r="Z49" t="s">
        <v>6517</v>
      </c>
      <c r="AA49" t="s">
        <v>6517</v>
      </c>
      <c r="AB49" t="s">
        <v>6517</v>
      </c>
      <c r="AC49" t="s">
        <v>7903</v>
      </c>
      <c r="AD49" t="s">
        <v>7752</v>
      </c>
      <c r="AF49" t="b">
        <v>0</v>
      </c>
      <c r="AG49" t="s">
        <v>76</v>
      </c>
      <c r="AH49" s="1">
        <v>42461</v>
      </c>
      <c r="AI49" s="4">
        <v>7.1638888888888888</v>
      </c>
      <c r="AJ49">
        <v>0</v>
      </c>
      <c r="AK49">
        <v>32.75</v>
      </c>
      <c r="AL49">
        <v>0</v>
      </c>
      <c r="AM49" t="s">
        <v>326</v>
      </c>
      <c r="AP49" t="s">
        <v>6517</v>
      </c>
      <c r="AQ49" t="s">
        <v>6517</v>
      </c>
      <c r="AR49" t="s">
        <v>6517</v>
      </c>
      <c r="AS49" t="s">
        <v>6517</v>
      </c>
      <c r="AT49" t="s">
        <v>6517</v>
      </c>
      <c r="AU49" t="s">
        <v>6517</v>
      </c>
      <c r="AV49" t="s">
        <v>6517</v>
      </c>
    </row>
    <row r="50" spans="1:48" x14ac:dyDescent="0.3">
      <c r="A50" t="s">
        <v>5632</v>
      </c>
      <c r="B50">
        <f t="shared" si="1"/>
        <v>200048</v>
      </c>
      <c r="C50">
        <v>200026</v>
      </c>
      <c r="D50" t="s">
        <v>6532</v>
      </c>
      <c r="E50" t="s">
        <v>8147</v>
      </c>
      <c r="F50" t="s">
        <v>8210</v>
      </c>
      <c r="G50">
        <v>200048</v>
      </c>
      <c r="H50" t="s">
        <v>8211</v>
      </c>
      <c r="I50" t="s">
        <v>8212</v>
      </c>
      <c r="J50" t="s">
        <v>8616</v>
      </c>
      <c r="K50" t="str">
        <f t="shared" si="0"/>
        <v>2</v>
      </c>
      <c r="L50">
        <f t="shared" si="2"/>
        <v>18</v>
      </c>
      <c r="M50">
        <f t="shared" si="3"/>
        <v>2</v>
      </c>
      <c r="N50">
        <v>6.92</v>
      </c>
      <c r="O50" t="s">
        <v>5403</v>
      </c>
      <c r="P50" t="s">
        <v>6714</v>
      </c>
      <c r="Q50">
        <v>1981</v>
      </c>
      <c r="R50" t="s">
        <v>5648</v>
      </c>
      <c r="S50">
        <v>49</v>
      </c>
      <c r="T50" t="s">
        <v>6670</v>
      </c>
      <c r="U50" s="1" t="s">
        <v>7220</v>
      </c>
      <c r="V50" s="1" t="s">
        <v>7221</v>
      </c>
      <c r="W50" t="b">
        <v>0</v>
      </c>
      <c r="X50" t="s">
        <v>76</v>
      </c>
      <c r="Y50" t="s">
        <v>7557</v>
      </c>
      <c r="Z50" t="s">
        <v>6517</v>
      </c>
      <c r="AA50" t="s">
        <v>6517</v>
      </c>
      <c r="AB50" t="s">
        <v>6517</v>
      </c>
      <c r="AC50" t="s">
        <v>7904</v>
      </c>
      <c r="AD50" t="s">
        <v>7753</v>
      </c>
      <c r="AF50" t="b">
        <v>0</v>
      </c>
      <c r="AG50" t="s">
        <v>76</v>
      </c>
      <c r="AH50" s="1">
        <v>42481</v>
      </c>
      <c r="AI50" s="4">
        <v>1.586111111111111</v>
      </c>
      <c r="AJ50">
        <v>0</v>
      </c>
      <c r="AK50">
        <v>0</v>
      </c>
      <c r="AL50">
        <v>16</v>
      </c>
      <c r="AM50" t="s">
        <v>326</v>
      </c>
      <c r="AP50" t="s">
        <v>6517</v>
      </c>
      <c r="AQ50" t="s">
        <v>6517</v>
      </c>
      <c r="AR50" t="s">
        <v>6517</v>
      </c>
      <c r="AS50" t="s">
        <v>6517</v>
      </c>
      <c r="AT50" t="s">
        <v>6517</v>
      </c>
      <c r="AU50" t="s">
        <v>6517</v>
      </c>
      <c r="AV50" t="s">
        <v>6517</v>
      </c>
    </row>
    <row r="51" spans="1:48" x14ac:dyDescent="0.3">
      <c r="A51" t="s">
        <v>5632</v>
      </c>
      <c r="B51">
        <f t="shared" si="1"/>
        <v>200049</v>
      </c>
      <c r="C51">
        <v>200026</v>
      </c>
      <c r="D51" t="s">
        <v>6532</v>
      </c>
      <c r="E51" t="s">
        <v>8147</v>
      </c>
      <c r="F51" t="s">
        <v>8128</v>
      </c>
      <c r="G51">
        <v>200049</v>
      </c>
      <c r="H51" t="s">
        <v>8213</v>
      </c>
      <c r="I51" t="s">
        <v>8214</v>
      </c>
      <c r="J51" t="s">
        <v>8616</v>
      </c>
      <c r="K51" t="str">
        <f t="shared" si="0"/>
        <v>2</v>
      </c>
      <c r="L51">
        <f t="shared" si="2"/>
        <v>16</v>
      </c>
      <c r="M51">
        <f t="shared" si="3"/>
        <v>1</v>
      </c>
      <c r="N51">
        <v>11.91</v>
      </c>
      <c r="O51" t="s">
        <v>5403</v>
      </c>
      <c r="P51" t="s">
        <v>6715</v>
      </c>
      <c r="Q51">
        <v>2000</v>
      </c>
      <c r="R51" t="s">
        <v>5648</v>
      </c>
      <c r="S51">
        <v>50</v>
      </c>
      <c r="T51" t="s">
        <v>6670</v>
      </c>
      <c r="U51" s="1" t="s">
        <v>7222</v>
      </c>
      <c r="V51" s="1" t="s">
        <v>7223</v>
      </c>
      <c r="W51" t="b">
        <v>0</v>
      </c>
      <c r="X51" t="s">
        <v>76</v>
      </c>
      <c r="Y51" t="s">
        <v>7558</v>
      </c>
      <c r="Z51" t="s">
        <v>6517</v>
      </c>
      <c r="AA51" t="s">
        <v>6517</v>
      </c>
      <c r="AB51" t="s">
        <v>6517</v>
      </c>
      <c r="AC51" t="s">
        <v>7905</v>
      </c>
      <c r="AD51" t="s">
        <v>7753</v>
      </c>
      <c r="AF51" t="b">
        <v>0</v>
      </c>
      <c r="AG51" t="s">
        <v>76</v>
      </c>
      <c r="AH51" s="1">
        <v>42480</v>
      </c>
      <c r="AI51" s="4">
        <v>11.905555555555555</v>
      </c>
      <c r="AJ51">
        <v>0</v>
      </c>
      <c r="AK51">
        <v>0</v>
      </c>
      <c r="AL51">
        <v>0</v>
      </c>
      <c r="AM51" t="s">
        <v>326</v>
      </c>
      <c r="AP51" t="s">
        <v>6517</v>
      </c>
      <c r="AQ51" t="s">
        <v>6517</v>
      </c>
      <c r="AR51" t="s">
        <v>6517</v>
      </c>
      <c r="AS51" t="s">
        <v>6517</v>
      </c>
      <c r="AT51" t="s">
        <v>6517</v>
      </c>
      <c r="AU51" t="s">
        <v>6517</v>
      </c>
      <c r="AV51" t="s">
        <v>6517</v>
      </c>
    </row>
    <row r="52" spans="1:48" x14ac:dyDescent="0.3">
      <c r="A52" t="s">
        <v>5632</v>
      </c>
      <c r="B52">
        <f t="shared" si="1"/>
        <v>200050</v>
      </c>
      <c r="C52">
        <v>200027</v>
      </c>
      <c r="D52" t="s">
        <v>6543</v>
      </c>
      <c r="E52" t="s">
        <v>8097</v>
      </c>
      <c r="F52" t="s">
        <v>8215</v>
      </c>
      <c r="G52">
        <v>200050</v>
      </c>
      <c r="H52" t="s">
        <v>8216</v>
      </c>
      <c r="I52" t="s">
        <v>8217</v>
      </c>
      <c r="J52" t="s">
        <v>8615</v>
      </c>
      <c r="K52" t="str">
        <f t="shared" si="0"/>
        <v>9</v>
      </c>
      <c r="L52">
        <f t="shared" si="2"/>
        <v>50</v>
      </c>
      <c r="M52">
        <f t="shared" si="3"/>
        <v>2</v>
      </c>
      <c r="N52">
        <v>7.84</v>
      </c>
      <c r="O52" t="s">
        <v>5403</v>
      </c>
      <c r="P52" t="s">
        <v>6716</v>
      </c>
      <c r="Q52">
        <v>2010</v>
      </c>
      <c r="R52" t="s">
        <v>5648</v>
      </c>
      <c r="S52">
        <v>51</v>
      </c>
      <c r="T52" t="s">
        <v>6670</v>
      </c>
      <c r="U52" s="1" t="s">
        <v>7224</v>
      </c>
      <c r="V52" s="1" t="s">
        <v>7225</v>
      </c>
      <c r="W52" t="b">
        <v>0</v>
      </c>
      <c r="X52" t="s">
        <v>76</v>
      </c>
      <c r="Y52" t="s">
        <v>7559</v>
      </c>
      <c r="Z52" t="s">
        <v>6517</v>
      </c>
      <c r="AA52" t="s">
        <v>6517</v>
      </c>
      <c r="AB52" t="s">
        <v>6517</v>
      </c>
      <c r="AC52" t="s">
        <v>7906</v>
      </c>
      <c r="AD52" t="s">
        <v>7754</v>
      </c>
      <c r="AF52" t="b">
        <v>0</v>
      </c>
      <c r="AG52" t="s">
        <v>76</v>
      </c>
      <c r="AH52" s="1">
        <v>42480</v>
      </c>
      <c r="AI52" s="4">
        <v>7.8361111111111112</v>
      </c>
      <c r="AJ52">
        <v>0</v>
      </c>
      <c r="AK52">
        <v>0</v>
      </c>
      <c r="AL52">
        <v>0</v>
      </c>
      <c r="AM52" t="s">
        <v>326</v>
      </c>
      <c r="AP52" t="s">
        <v>6517</v>
      </c>
      <c r="AQ52" t="s">
        <v>6517</v>
      </c>
      <c r="AR52" t="s">
        <v>6517</v>
      </c>
      <c r="AS52" t="s">
        <v>6517</v>
      </c>
      <c r="AT52" t="s">
        <v>6517</v>
      </c>
      <c r="AU52" t="s">
        <v>6517</v>
      </c>
      <c r="AV52" t="s">
        <v>6517</v>
      </c>
    </row>
    <row r="53" spans="1:48" x14ac:dyDescent="0.3">
      <c r="A53" t="s">
        <v>5632</v>
      </c>
      <c r="B53">
        <f t="shared" si="1"/>
        <v>200051</v>
      </c>
      <c r="C53">
        <v>200027</v>
      </c>
      <c r="D53" t="s">
        <v>6543</v>
      </c>
      <c r="E53" t="s">
        <v>8097</v>
      </c>
      <c r="F53" t="s">
        <v>8218</v>
      </c>
      <c r="G53">
        <v>200051</v>
      </c>
      <c r="H53" t="s">
        <v>8219</v>
      </c>
      <c r="I53" t="s">
        <v>8220</v>
      </c>
      <c r="J53" t="s">
        <v>8615</v>
      </c>
      <c r="K53" t="str">
        <f t="shared" si="0"/>
        <v>9</v>
      </c>
      <c r="L53">
        <f t="shared" si="2"/>
        <v>48</v>
      </c>
      <c r="M53">
        <f t="shared" si="3"/>
        <v>1</v>
      </c>
      <c r="N53">
        <v>8.06</v>
      </c>
      <c r="O53" t="s">
        <v>5403</v>
      </c>
      <c r="P53" t="s">
        <v>6717</v>
      </c>
      <c r="Q53">
        <v>1987</v>
      </c>
      <c r="R53" t="s">
        <v>5648</v>
      </c>
      <c r="S53">
        <v>52</v>
      </c>
      <c r="T53" t="s">
        <v>6670</v>
      </c>
      <c r="U53" s="1" t="s">
        <v>7226</v>
      </c>
      <c r="V53" s="1" t="s">
        <v>7227</v>
      </c>
      <c r="W53" t="b">
        <v>0</v>
      </c>
      <c r="X53" t="s">
        <v>76</v>
      </c>
      <c r="Y53" t="s">
        <v>7560</v>
      </c>
      <c r="Z53" t="s">
        <v>6517</v>
      </c>
      <c r="AA53" t="s">
        <v>6517</v>
      </c>
      <c r="AB53" t="s">
        <v>6517</v>
      </c>
      <c r="AC53" t="s">
        <v>7907</v>
      </c>
      <c r="AD53" t="s">
        <v>7755</v>
      </c>
      <c r="AF53" t="b">
        <v>0</v>
      </c>
      <c r="AG53" t="s">
        <v>76</v>
      </c>
      <c r="AH53" s="1">
        <v>42481</v>
      </c>
      <c r="AI53" s="4">
        <v>0.64444444444444449</v>
      </c>
      <c r="AJ53">
        <v>0</v>
      </c>
      <c r="AK53">
        <v>0</v>
      </c>
      <c r="AL53">
        <v>22.25</v>
      </c>
      <c r="AM53" t="s">
        <v>326</v>
      </c>
      <c r="AP53" t="s">
        <v>6517</v>
      </c>
      <c r="AQ53" t="s">
        <v>6517</v>
      </c>
      <c r="AR53" t="s">
        <v>6517</v>
      </c>
      <c r="AS53" t="s">
        <v>6517</v>
      </c>
      <c r="AT53" t="s">
        <v>6517</v>
      </c>
      <c r="AU53" t="s">
        <v>6517</v>
      </c>
      <c r="AV53" t="s">
        <v>6517</v>
      </c>
    </row>
    <row r="54" spans="1:48" x14ac:dyDescent="0.3">
      <c r="A54" t="s">
        <v>5632</v>
      </c>
      <c r="B54">
        <f t="shared" si="1"/>
        <v>200052</v>
      </c>
      <c r="C54">
        <v>200028</v>
      </c>
      <c r="D54" t="s">
        <v>6546</v>
      </c>
      <c r="E54" t="s">
        <v>8147</v>
      </c>
      <c r="F54" t="s">
        <v>8221</v>
      </c>
      <c r="G54">
        <v>200052</v>
      </c>
      <c r="H54" t="s">
        <v>8222</v>
      </c>
      <c r="I54" t="s">
        <v>8223</v>
      </c>
      <c r="J54" t="s">
        <v>8615</v>
      </c>
      <c r="K54" t="str">
        <f t="shared" si="0"/>
        <v>9</v>
      </c>
      <c r="L54">
        <f t="shared" si="2"/>
        <v>21</v>
      </c>
      <c r="M54">
        <f t="shared" si="3"/>
        <v>2</v>
      </c>
      <c r="N54">
        <v>1.52</v>
      </c>
      <c r="O54" t="s">
        <v>5403</v>
      </c>
      <c r="P54" t="s">
        <v>6718</v>
      </c>
      <c r="Q54">
        <v>1980</v>
      </c>
      <c r="R54" t="s">
        <v>5648</v>
      </c>
      <c r="S54">
        <v>53</v>
      </c>
      <c r="T54" t="s">
        <v>6670</v>
      </c>
      <c r="U54" s="1" t="s">
        <v>7228</v>
      </c>
      <c r="V54" s="1" t="s">
        <v>7229</v>
      </c>
      <c r="W54" t="b">
        <v>0</v>
      </c>
      <c r="X54" t="s">
        <v>76</v>
      </c>
      <c r="Y54" t="s">
        <v>7561</v>
      </c>
      <c r="Z54" t="s">
        <v>6517</v>
      </c>
      <c r="AA54" t="s">
        <v>6517</v>
      </c>
      <c r="AB54" t="s">
        <v>6517</v>
      </c>
      <c r="AC54" t="s">
        <v>7908</v>
      </c>
      <c r="AD54" t="s">
        <v>7756</v>
      </c>
      <c r="AF54" t="b">
        <v>0</v>
      </c>
      <c r="AG54" t="s">
        <v>76</v>
      </c>
      <c r="AH54" s="1">
        <v>42481</v>
      </c>
      <c r="AI54" s="4">
        <v>1.5194444444444444</v>
      </c>
      <c r="AJ54">
        <v>0</v>
      </c>
      <c r="AK54">
        <v>0</v>
      </c>
      <c r="AL54">
        <v>0</v>
      </c>
      <c r="AM54" t="s">
        <v>326</v>
      </c>
      <c r="AP54" t="s">
        <v>6517</v>
      </c>
      <c r="AQ54" t="s">
        <v>6517</v>
      </c>
      <c r="AR54" t="s">
        <v>6517</v>
      </c>
      <c r="AS54" t="s">
        <v>6517</v>
      </c>
      <c r="AT54" t="s">
        <v>6517</v>
      </c>
      <c r="AU54" t="s">
        <v>6517</v>
      </c>
      <c r="AV54" t="s">
        <v>6517</v>
      </c>
    </row>
    <row r="55" spans="1:48" x14ac:dyDescent="0.3">
      <c r="A55" t="s">
        <v>5632</v>
      </c>
      <c r="B55">
        <f t="shared" si="1"/>
        <v>200053</v>
      </c>
      <c r="C55">
        <v>200028</v>
      </c>
      <c r="D55" t="s">
        <v>6546</v>
      </c>
      <c r="E55" t="s">
        <v>8147</v>
      </c>
      <c r="F55" t="s">
        <v>8124</v>
      </c>
      <c r="G55">
        <v>200053</v>
      </c>
      <c r="H55" t="s">
        <v>8224</v>
      </c>
      <c r="I55" t="s">
        <v>8225</v>
      </c>
      <c r="J55" t="s">
        <v>8616</v>
      </c>
      <c r="K55" t="str">
        <f t="shared" si="0"/>
        <v>2</v>
      </c>
      <c r="L55">
        <f t="shared" si="2"/>
        <v>12</v>
      </c>
      <c r="M55">
        <f t="shared" si="3"/>
        <v>1</v>
      </c>
      <c r="N55">
        <v>21.76</v>
      </c>
      <c r="O55" t="s">
        <v>5403</v>
      </c>
      <c r="P55" t="s">
        <v>6719</v>
      </c>
      <c r="Q55">
        <v>1993</v>
      </c>
      <c r="R55" t="s">
        <v>5648</v>
      </c>
      <c r="S55">
        <v>54</v>
      </c>
      <c r="T55" t="s">
        <v>6670</v>
      </c>
      <c r="U55" s="1" t="s">
        <v>7230</v>
      </c>
      <c r="V55" s="1" t="s">
        <v>7231</v>
      </c>
      <c r="W55" t="b">
        <v>0</v>
      </c>
      <c r="X55" t="s">
        <v>76</v>
      </c>
      <c r="Y55" t="s">
        <v>7562</v>
      </c>
      <c r="Z55" t="s">
        <v>6517</v>
      </c>
      <c r="AA55" t="s">
        <v>6517</v>
      </c>
      <c r="AB55" t="s">
        <v>6517</v>
      </c>
      <c r="AC55" t="s">
        <v>7909</v>
      </c>
      <c r="AD55" t="s">
        <v>7757</v>
      </c>
      <c r="AF55" t="b">
        <v>0</v>
      </c>
      <c r="AG55" t="s">
        <v>76</v>
      </c>
      <c r="AH55" s="1">
        <v>42481</v>
      </c>
      <c r="AI55" s="4">
        <v>9.2638888888888893</v>
      </c>
      <c r="AJ55">
        <v>0</v>
      </c>
      <c r="AK55">
        <v>0</v>
      </c>
      <c r="AL55">
        <v>37.5</v>
      </c>
      <c r="AM55" t="s">
        <v>326</v>
      </c>
      <c r="AP55" t="s">
        <v>6517</v>
      </c>
      <c r="AQ55" t="s">
        <v>6517</v>
      </c>
      <c r="AR55" t="s">
        <v>6517</v>
      </c>
      <c r="AS55" t="s">
        <v>6517</v>
      </c>
      <c r="AT55" t="s">
        <v>6517</v>
      </c>
      <c r="AU55" t="s">
        <v>6517</v>
      </c>
      <c r="AV55" t="s">
        <v>6517</v>
      </c>
    </row>
    <row r="56" spans="1:48" x14ac:dyDescent="0.3">
      <c r="A56" t="s">
        <v>5632</v>
      </c>
      <c r="B56">
        <f t="shared" si="1"/>
        <v>200054</v>
      </c>
      <c r="C56">
        <v>200029</v>
      </c>
      <c r="D56" t="s">
        <v>6547</v>
      </c>
      <c r="E56" t="s">
        <v>8226</v>
      </c>
      <c r="F56" t="s">
        <v>8227</v>
      </c>
      <c r="G56">
        <v>200054</v>
      </c>
      <c r="H56" t="s">
        <v>8228</v>
      </c>
      <c r="I56" t="s">
        <v>8229</v>
      </c>
      <c r="J56" t="s">
        <v>8614</v>
      </c>
      <c r="K56" t="str">
        <f t="shared" si="0"/>
        <v>1</v>
      </c>
      <c r="L56">
        <f t="shared" si="2"/>
        <v>7</v>
      </c>
      <c r="M56">
        <f t="shared" si="3"/>
        <v>1</v>
      </c>
      <c r="N56">
        <v>11.74</v>
      </c>
      <c r="O56" t="s">
        <v>5403</v>
      </c>
      <c r="P56" t="s">
        <v>6720</v>
      </c>
      <c r="Q56">
        <v>1973</v>
      </c>
      <c r="R56" t="s">
        <v>5648</v>
      </c>
      <c r="S56">
        <v>55</v>
      </c>
      <c r="T56" t="s">
        <v>6670</v>
      </c>
      <c r="U56" s="1" t="s">
        <v>7232</v>
      </c>
      <c r="V56" s="1" t="s">
        <v>7233</v>
      </c>
      <c r="W56" t="b">
        <v>0</v>
      </c>
      <c r="X56" t="s">
        <v>76</v>
      </c>
      <c r="Y56" t="s">
        <v>7563</v>
      </c>
      <c r="Z56" t="s">
        <v>6517</v>
      </c>
      <c r="AA56" t="s">
        <v>6517</v>
      </c>
      <c r="AB56" t="s">
        <v>6517</v>
      </c>
      <c r="AC56" t="s">
        <v>7910</v>
      </c>
      <c r="AD56" t="s">
        <v>7758</v>
      </c>
      <c r="AF56" t="b">
        <v>1</v>
      </c>
      <c r="AG56" t="s">
        <v>6892</v>
      </c>
      <c r="AH56" s="1">
        <v>42481</v>
      </c>
      <c r="AI56" s="4">
        <v>11.736111111111111</v>
      </c>
      <c r="AJ56">
        <v>0</v>
      </c>
      <c r="AK56">
        <v>0</v>
      </c>
      <c r="AL56">
        <v>0</v>
      </c>
      <c r="AM56" t="s">
        <v>326</v>
      </c>
      <c r="AP56" t="s">
        <v>6517</v>
      </c>
      <c r="AQ56" t="s">
        <v>6517</v>
      </c>
      <c r="AR56" t="s">
        <v>6517</v>
      </c>
      <c r="AS56" t="s">
        <v>6517</v>
      </c>
      <c r="AT56" t="s">
        <v>6517</v>
      </c>
      <c r="AU56" t="s">
        <v>6517</v>
      </c>
      <c r="AV56" t="s">
        <v>6517</v>
      </c>
    </row>
    <row r="57" spans="1:48" x14ac:dyDescent="0.3">
      <c r="A57" t="s">
        <v>5632</v>
      </c>
      <c r="B57">
        <f t="shared" si="1"/>
        <v>200055</v>
      </c>
      <c r="C57">
        <v>200029</v>
      </c>
      <c r="D57" t="s">
        <v>6547</v>
      </c>
      <c r="E57" t="s">
        <v>8226</v>
      </c>
      <c r="F57" t="s">
        <v>8230</v>
      </c>
      <c r="G57">
        <v>200055</v>
      </c>
      <c r="H57" t="s">
        <v>8231</v>
      </c>
      <c r="I57" t="s">
        <v>8232</v>
      </c>
      <c r="J57" t="s">
        <v>8616</v>
      </c>
      <c r="K57" t="str">
        <f t="shared" si="0"/>
        <v>2</v>
      </c>
      <c r="L57">
        <f t="shared" si="2"/>
        <v>8</v>
      </c>
      <c r="M57">
        <f t="shared" si="3"/>
        <v>2</v>
      </c>
      <c r="N57">
        <v>6.78</v>
      </c>
      <c r="O57" t="s">
        <v>5403</v>
      </c>
      <c r="P57" t="s">
        <v>6721</v>
      </c>
      <c r="Q57">
        <v>2014</v>
      </c>
      <c r="R57" t="s">
        <v>5648</v>
      </c>
      <c r="S57">
        <v>56</v>
      </c>
      <c r="T57" t="s">
        <v>6670</v>
      </c>
      <c r="U57" s="1" t="s">
        <v>7234</v>
      </c>
      <c r="V57" s="1" t="s">
        <v>7235</v>
      </c>
      <c r="W57" t="b">
        <v>0</v>
      </c>
      <c r="X57" t="s">
        <v>76</v>
      </c>
      <c r="Y57" t="s">
        <v>7564</v>
      </c>
      <c r="Z57" t="s">
        <v>6517</v>
      </c>
      <c r="AA57" t="s">
        <v>6517</v>
      </c>
      <c r="AB57" t="s">
        <v>6517</v>
      </c>
      <c r="AC57" t="s">
        <v>7911</v>
      </c>
      <c r="AD57" t="s">
        <v>7759</v>
      </c>
      <c r="AF57" t="b">
        <v>0</v>
      </c>
      <c r="AG57" t="s">
        <v>76</v>
      </c>
      <c r="AH57" s="1">
        <v>42481</v>
      </c>
      <c r="AI57" s="4">
        <v>2.9416666666666669</v>
      </c>
      <c r="AJ57">
        <v>0</v>
      </c>
      <c r="AK57">
        <v>0</v>
      </c>
      <c r="AL57">
        <v>11.5</v>
      </c>
      <c r="AM57" t="s">
        <v>5696</v>
      </c>
      <c r="AN57" t="s">
        <v>6894</v>
      </c>
      <c r="AO57" s="1">
        <v>42423</v>
      </c>
      <c r="AP57" t="s">
        <v>6517</v>
      </c>
      <c r="AQ57" t="s">
        <v>6517</v>
      </c>
      <c r="AR57" t="s">
        <v>6517</v>
      </c>
      <c r="AS57" t="s">
        <v>6517</v>
      </c>
      <c r="AT57" t="s">
        <v>6517</v>
      </c>
      <c r="AU57" t="s">
        <v>6517</v>
      </c>
      <c r="AV57" t="s">
        <v>6517</v>
      </c>
    </row>
    <row r="58" spans="1:48" x14ac:dyDescent="0.3">
      <c r="A58" t="s">
        <v>5632</v>
      </c>
      <c r="B58">
        <f t="shared" si="1"/>
        <v>200056</v>
      </c>
      <c r="C58">
        <v>200030</v>
      </c>
      <c r="D58" t="s">
        <v>8161</v>
      </c>
      <c r="E58" t="s">
        <v>8147</v>
      </c>
      <c r="F58" t="s">
        <v>8233</v>
      </c>
      <c r="G58">
        <v>200056</v>
      </c>
      <c r="H58" t="s">
        <v>8234</v>
      </c>
      <c r="I58" t="s">
        <v>8235</v>
      </c>
      <c r="J58" t="s">
        <v>8614</v>
      </c>
      <c r="K58" t="str">
        <f t="shared" si="0"/>
        <v>1</v>
      </c>
      <c r="L58">
        <f t="shared" si="2"/>
        <v>9</v>
      </c>
      <c r="M58">
        <f t="shared" si="3"/>
        <v>1</v>
      </c>
      <c r="N58">
        <v>40.630000000000003</v>
      </c>
      <c r="O58" t="s">
        <v>5403</v>
      </c>
      <c r="P58" t="s">
        <v>6722</v>
      </c>
      <c r="Q58">
        <v>2013</v>
      </c>
      <c r="R58" t="s">
        <v>5648</v>
      </c>
      <c r="S58">
        <v>57</v>
      </c>
      <c r="T58" t="s">
        <v>6670</v>
      </c>
      <c r="U58" s="1" t="s">
        <v>7236</v>
      </c>
      <c r="V58" s="1" t="s">
        <v>7237</v>
      </c>
      <c r="W58" t="b">
        <v>0</v>
      </c>
      <c r="X58" t="s">
        <v>76</v>
      </c>
      <c r="Y58" t="s">
        <v>7565</v>
      </c>
      <c r="Z58" t="s">
        <v>6517</v>
      </c>
      <c r="AA58" t="s">
        <v>6517</v>
      </c>
      <c r="AB58" t="s">
        <v>6517</v>
      </c>
      <c r="AC58" t="s">
        <v>7912</v>
      </c>
      <c r="AD58" t="s">
        <v>7760</v>
      </c>
      <c r="AF58" t="b">
        <v>0</v>
      </c>
      <c r="AG58" t="s">
        <v>76</v>
      </c>
      <c r="AH58" s="1">
        <v>42481</v>
      </c>
      <c r="AI58" s="4">
        <v>9.8000000000000007</v>
      </c>
      <c r="AJ58">
        <v>92.5</v>
      </c>
      <c r="AK58">
        <v>0</v>
      </c>
      <c r="AL58">
        <v>0</v>
      </c>
      <c r="AM58" t="s">
        <v>326</v>
      </c>
      <c r="AP58" t="s">
        <v>6517</v>
      </c>
      <c r="AQ58" t="s">
        <v>6517</v>
      </c>
      <c r="AR58" t="s">
        <v>6517</v>
      </c>
      <c r="AS58" t="s">
        <v>6517</v>
      </c>
      <c r="AT58" t="s">
        <v>6517</v>
      </c>
      <c r="AU58" t="s">
        <v>6517</v>
      </c>
      <c r="AV58" t="s">
        <v>6517</v>
      </c>
    </row>
    <row r="59" spans="1:48" x14ac:dyDescent="0.3">
      <c r="A59" t="s">
        <v>5632</v>
      </c>
      <c r="B59">
        <f t="shared" si="1"/>
        <v>200057</v>
      </c>
      <c r="C59">
        <v>200031</v>
      </c>
      <c r="D59" t="s">
        <v>8164</v>
      </c>
      <c r="E59" t="s">
        <v>8236</v>
      </c>
      <c r="F59" t="s">
        <v>8237</v>
      </c>
      <c r="G59">
        <v>200057</v>
      </c>
      <c r="H59" t="s">
        <v>8238</v>
      </c>
      <c r="I59" t="s">
        <v>8239</v>
      </c>
      <c r="J59" t="s">
        <v>8616</v>
      </c>
      <c r="K59" t="str">
        <f t="shared" si="0"/>
        <v>2</v>
      </c>
      <c r="L59">
        <f t="shared" si="2"/>
        <v>3</v>
      </c>
      <c r="M59">
        <f t="shared" si="3"/>
        <v>2</v>
      </c>
      <c r="N59">
        <v>11.98</v>
      </c>
      <c r="O59" t="s">
        <v>5403</v>
      </c>
      <c r="P59" t="s">
        <v>6723</v>
      </c>
      <c r="Q59">
        <v>1980</v>
      </c>
      <c r="R59" t="s">
        <v>5648</v>
      </c>
      <c r="S59">
        <v>58</v>
      </c>
      <c r="T59" t="s">
        <v>6670</v>
      </c>
      <c r="U59" s="1" t="s">
        <v>7238</v>
      </c>
      <c r="V59" s="1" t="s">
        <v>7239</v>
      </c>
      <c r="W59" t="b">
        <v>0</v>
      </c>
      <c r="X59" t="s">
        <v>76</v>
      </c>
      <c r="Y59" t="s">
        <v>7566</v>
      </c>
      <c r="Z59" t="s">
        <v>6517</v>
      </c>
      <c r="AA59" t="s">
        <v>6517</v>
      </c>
      <c r="AB59" t="s">
        <v>6517</v>
      </c>
      <c r="AC59" t="s">
        <v>7913</v>
      </c>
      <c r="AD59" t="s">
        <v>7707</v>
      </c>
      <c r="AF59" t="b">
        <v>0</v>
      </c>
      <c r="AG59" t="s">
        <v>76</v>
      </c>
      <c r="AH59" s="1">
        <v>42481</v>
      </c>
      <c r="AI59" s="4">
        <v>7.65</v>
      </c>
      <c r="AJ59">
        <v>0</v>
      </c>
      <c r="AK59">
        <v>0</v>
      </c>
      <c r="AL59">
        <v>13</v>
      </c>
      <c r="AM59" t="s">
        <v>326</v>
      </c>
      <c r="AP59" t="s">
        <v>6517</v>
      </c>
      <c r="AQ59" t="s">
        <v>6517</v>
      </c>
      <c r="AR59" t="s">
        <v>6517</v>
      </c>
      <c r="AS59" t="s">
        <v>6517</v>
      </c>
      <c r="AT59" t="s">
        <v>6517</v>
      </c>
      <c r="AU59" t="s">
        <v>6517</v>
      </c>
      <c r="AV59" t="s">
        <v>6517</v>
      </c>
    </row>
    <row r="60" spans="1:48" x14ac:dyDescent="0.3">
      <c r="A60" t="s">
        <v>5632</v>
      </c>
      <c r="B60">
        <f t="shared" si="1"/>
        <v>200058</v>
      </c>
      <c r="C60">
        <v>200031</v>
      </c>
      <c r="D60" t="s">
        <v>8164</v>
      </c>
      <c r="E60" t="s">
        <v>8236</v>
      </c>
      <c r="F60" t="s">
        <v>8240</v>
      </c>
      <c r="G60">
        <v>200058</v>
      </c>
      <c r="H60" t="s">
        <v>8241</v>
      </c>
      <c r="I60" t="s">
        <v>8242</v>
      </c>
      <c r="J60" t="s">
        <v>8614</v>
      </c>
      <c r="K60" t="str">
        <f t="shared" si="0"/>
        <v>1</v>
      </c>
      <c r="L60">
        <f t="shared" si="2"/>
        <v>1</v>
      </c>
      <c r="M60">
        <f t="shared" si="3"/>
        <v>1</v>
      </c>
      <c r="N60">
        <v>28.36</v>
      </c>
      <c r="O60" t="s">
        <v>5403</v>
      </c>
      <c r="P60" t="s">
        <v>6724</v>
      </c>
      <c r="Q60">
        <v>1977</v>
      </c>
      <c r="R60" t="s">
        <v>5648</v>
      </c>
      <c r="S60">
        <v>59</v>
      </c>
      <c r="T60" t="s">
        <v>6670</v>
      </c>
      <c r="U60" s="1" t="s">
        <v>7240</v>
      </c>
      <c r="V60" s="1" t="s">
        <v>7241</v>
      </c>
      <c r="W60" t="b">
        <v>0</v>
      </c>
      <c r="X60" t="s">
        <v>76</v>
      </c>
      <c r="Y60" t="s">
        <v>7567</v>
      </c>
      <c r="Z60" t="s">
        <v>6517</v>
      </c>
      <c r="AA60" t="s">
        <v>6517</v>
      </c>
      <c r="AB60" t="s">
        <v>6517</v>
      </c>
      <c r="AC60" t="s">
        <v>7914</v>
      </c>
      <c r="AD60" t="s">
        <v>7761</v>
      </c>
      <c r="AF60" t="b">
        <v>0</v>
      </c>
      <c r="AG60" t="s">
        <v>76</v>
      </c>
      <c r="AH60" s="1">
        <v>42481</v>
      </c>
      <c r="AI60" s="4">
        <v>5.8638888888888889</v>
      </c>
      <c r="AJ60">
        <v>67.5</v>
      </c>
      <c r="AK60">
        <v>0</v>
      </c>
      <c r="AL60">
        <v>0</v>
      </c>
      <c r="AM60" t="s">
        <v>326</v>
      </c>
      <c r="AP60" t="s">
        <v>6517</v>
      </c>
      <c r="AQ60" t="s">
        <v>6517</v>
      </c>
      <c r="AR60" t="s">
        <v>6517</v>
      </c>
      <c r="AS60" t="s">
        <v>6517</v>
      </c>
      <c r="AT60" t="s">
        <v>6517</v>
      </c>
      <c r="AU60" t="s">
        <v>6517</v>
      </c>
      <c r="AV60" t="s">
        <v>6517</v>
      </c>
    </row>
    <row r="61" spans="1:48" x14ac:dyDescent="0.3">
      <c r="A61" t="s">
        <v>5632</v>
      </c>
      <c r="B61">
        <f t="shared" si="1"/>
        <v>200059</v>
      </c>
      <c r="C61">
        <v>200032</v>
      </c>
      <c r="D61" t="s">
        <v>8167</v>
      </c>
      <c r="E61" t="s">
        <v>8123</v>
      </c>
      <c r="F61" t="s">
        <v>8243</v>
      </c>
      <c r="G61">
        <v>200059</v>
      </c>
      <c r="H61" t="s">
        <v>8244</v>
      </c>
      <c r="I61" t="s">
        <v>8245</v>
      </c>
      <c r="J61" t="s">
        <v>8616</v>
      </c>
      <c r="K61" t="str">
        <f t="shared" si="0"/>
        <v>2</v>
      </c>
      <c r="L61">
        <f t="shared" si="2"/>
        <v>12</v>
      </c>
      <c r="M61">
        <f t="shared" si="3"/>
        <v>1</v>
      </c>
      <c r="N61">
        <v>26.1</v>
      </c>
      <c r="O61" t="s">
        <v>5403</v>
      </c>
      <c r="P61" t="s">
        <v>6725</v>
      </c>
      <c r="Q61">
        <v>2013</v>
      </c>
      <c r="R61" t="s">
        <v>5648</v>
      </c>
      <c r="S61">
        <v>60</v>
      </c>
      <c r="T61" t="s">
        <v>6672</v>
      </c>
      <c r="U61" s="1" t="s">
        <v>7242</v>
      </c>
      <c r="V61" s="1" t="s">
        <v>7243</v>
      </c>
      <c r="W61" t="b">
        <v>1</v>
      </c>
      <c r="X61" t="s">
        <v>6672</v>
      </c>
      <c r="Y61" t="s">
        <v>7568</v>
      </c>
      <c r="Z61" t="s">
        <v>6517</v>
      </c>
      <c r="AA61" t="s">
        <v>6517</v>
      </c>
      <c r="AB61" t="s">
        <v>6517</v>
      </c>
      <c r="AC61" t="s">
        <v>7915</v>
      </c>
      <c r="AD61" t="s">
        <v>7762</v>
      </c>
      <c r="AF61" t="b">
        <v>0</v>
      </c>
      <c r="AG61" t="s">
        <v>76</v>
      </c>
      <c r="AH61" s="1">
        <v>42481</v>
      </c>
      <c r="AI61" s="4">
        <v>5.7638888888888893</v>
      </c>
      <c r="AJ61">
        <v>61</v>
      </c>
      <c r="AK61">
        <v>0</v>
      </c>
      <c r="AL61">
        <v>0</v>
      </c>
      <c r="AM61" t="s">
        <v>326</v>
      </c>
      <c r="AP61" t="s">
        <v>6517</v>
      </c>
      <c r="AQ61" t="s">
        <v>6517</v>
      </c>
      <c r="AR61" t="s">
        <v>6517</v>
      </c>
      <c r="AS61" t="s">
        <v>6517</v>
      </c>
      <c r="AT61" t="s">
        <v>6517</v>
      </c>
      <c r="AU61" t="s">
        <v>6517</v>
      </c>
      <c r="AV61" t="s">
        <v>6517</v>
      </c>
    </row>
    <row r="62" spans="1:48" x14ac:dyDescent="0.3">
      <c r="A62" t="s">
        <v>5632</v>
      </c>
      <c r="B62">
        <f t="shared" si="1"/>
        <v>200060</v>
      </c>
      <c r="C62">
        <v>200033</v>
      </c>
      <c r="D62" t="s">
        <v>8169</v>
      </c>
      <c r="E62" t="s">
        <v>8097</v>
      </c>
      <c r="F62" t="s">
        <v>8210</v>
      </c>
      <c r="G62">
        <v>200060</v>
      </c>
      <c r="H62" t="s">
        <v>8246</v>
      </c>
      <c r="I62" t="s">
        <v>8247</v>
      </c>
      <c r="J62" t="s">
        <v>8615</v>
      </c>
      <c r="K62" t="str">
        <f t="shared" si="0"/>
        <v>9</v>
      </c>
      <c r="L62">
        <f t="shared" si="2"/>
        <v>46</v>
      </c>
      <c r="M62">
        <f t="shared" si="3"/>
        <v>1</v>
      </c>
      <c r="N62">
        <v>10.7</v>
      </c>
      <c r="O62" t="s">
        <v>5403</v>
      </c>
      <c r="P62" t="s">
        <v>6726</v>
      </c>
      <c r="Q62">
        <v>1986</v>
      </c>
      <c r="R62" t="s">
        <v>5648</v>
      </c>
      <c r="S62">
        <v>61</v>
      </c>
      <c r="T62" t="s">
        <v>6670</v>
      </c>
      <c r="U62" s="1" t="s">
        <v>7244</v>
      </c>
      <c r="V62" s="1" t="s">
        <v>7245</v>
      </c>
      <c r="W62" t="b">
        <v>0</v>
      </c>
      <c r="X62" t="s">
        <v>76</v>
      </c>
      <c r="Y62" t="s">
        <v>7569</v>
      </c>
      <c r="Z62" t="s">
        <v>6517</v>
      </c>
      <c r="AA62" t="s">
        <v>6517</v>
      </c>
      <c r="AB62" t="s">
        <v>6517</v>
      </c>
      <c r="AC62" t="s">
        <v>7916</v>
      </c>
      <c r="AD62" t="s">
        <v>7708</v>
      </c>
      <c r="AF62" t="b">
        <v>0</v>
      </c>
      <c r="AG62" t="s">
        <v>76</v>
      </c>
      <c r="AH62" s="1">
        <v>42481</v>
      </c>
      <c r="AI62" s="4">
        <v>0.86388888888888893</v>
      </c>
      <c r="AJ62">
        <v>29.5</v>
      </c>
      <c r="AK62">
        <v>0</v>
      </c>
      <c r="AL62">
        <v>0</v>
      </c>
      <c r="AM62" t="s">
        <v>326</v>
      </c>
      <c r="AP62" t="s">
        <v>6517</v>
      </c>
      <c r="AQ62" t="s">
        <v>6517</v>
      </c>
      <c r="AR62" t="s">
        <v>6517</v>
      </c>
      <c r="AS62" t="s">
        <v>6517</v>
      </c>
      <c r="AT62" t="s">
        <v>6517</v>
      </c>
      <c r="AU62" t="s">
        <v>6517</v>
      </c>
      <c r="AV62" t="s">
        <v>6517</v>
      </c>
    </row>
    <row r="63" spans="1:48" x14ac:dyDescent="0.3">
      <c r="A63" t="s">
        <v>5632</v>
      </c>
      <c r="B63">
        <f t="shared" si="1"/>
        <v>200061</v>
      </c>
      <c r="C63">
        <v>200034</v>
      </c>
      <c r="D63" t="s">
        <v>8173</v>
      </c>
      <c r="E63" t="s">
        <v>8166</v>
      </c>
      <c r="F63" t="s">
        <v>8135</v>
      </c>
      <c r="G63">
        <v>200061</v>
      </c>
      <c r="H63" t="s">
        <v>8248</v>
      </c>
      <c r="I63" t="s">
        <v>8249</v>
      </c>
      <c r="J63" t="s">
        <v>8614</v>
      </c>
      <c r="K63" t="str">
        <f t="shared" si="0"/>
        <v>1</v>
      </c>
      <c r="L63">
        <f t="shared" si="2"/>
        <v>7</v>
      </c>
      <c r="M63">
        <f t="shared" si="3"/>
        <v>1</v>
      </c>
      <c r="N63">
        <v>6.12</v>
      </c>
      <c r="O63" t="s">
        <v>5403</v>
      </c>
      <c r="P63" t="s">
        <v>6727</v>
      </c>
      <c r="Q63">
        <v>1999</v>
      </c>
      <c r="R63" t="s">
        <v>5648</v>
      </c>
      <c r="S63">
        <v>62</v>
      </c>
      <c r="T63" t="s">
        <v>6670</v>
      </c>
      <c r="U63" s="1" t="s">
        <v>7246</v>
      </c>
      <c r="V63" s="1" t="s">
        <v>7247</v>
      </c>
      <c r="W63" t="b">
        <v>0</v>
      </c>
      <c r="X63" t="s">
        <v>76</v>
      </c>
      <c r="Y63" t="s">
        <v>7570</v>
      </c>
      <c r="Z63" t="s">
        <v>6517</v>
      </c>
      <c r="AA63" t="s">
        <v>6517</v>
      </c>
      <c r="AB63" t="s">
        <v>6517</v>
      </c>
      <c r="AC63" t="s">
        <v>7917</v>
      </c>
      <c r="AD63" t="s">
        <v>7763</v>
      </c>
      <c r="AF63" t="b">
        <v>0</v>
      </c>
      <c r="AG63" t="s">
        <v>76</v>
      </c>
      <c r="AH63" s="1">
        <v>42481</v>
      </c>
      <c r="AI63" s="4">
        <v>6.1222222222222218</v>
      </c>
      <c r="AJ63">
        <v>0</v>
      </c>
      <c r="AK63">
        <v>0</v>
      </c>
      <c r="AL63">
        <v>0</v>
      </c>
      <c r="AM63" t="s">
        <v>326</v>
      </c>
      <c r="AP63" t="s">
        <v>6517</v>
      </c>
      <c r="AQ63" t="s">
        <v>6517</v>
      </c>
      <c r="AR63" t="s">
        <v>6517</v>
      </c>
      <c r="AS63" t="s">
        <v>6517</v>
      </c>
      <c r="AT63" t="s">
        <v>6517</v>
      </c>
      <c r="AU63" t="s">
        <v>6517</v>
      </c>
      <c r="AV63" t="s">
        <v>6517</v>
      </c>
    </row>
    <row r="64" spans="1:48" x14ac:dyDescent="0.3">
      <c r="A64" t="s">
        <v>5632</v>
      </c>
      <c r="B64">
        <f t="shared" si="1"/>
        <v>200062</v>
      </c>
      <c r="C64">
        <v>200035</v>
      </c>
      <c r="D64" t="s">
        <v>8175</v>
      </c>
      <c r="E64" t="s">
        <v>8097</v>
      </c>
      <c r="F64" t="s">
        <v>8250</v>
      </c>
      <c r="G64">
        <v>200062</v>
      </c>
      <c r="H64" t="s">
        <v>8251</v>
      </c>
      <c r="I64" t="s">
        <v>8252</v>
      </c>
      <c r="J64" t="s">
        <v>8615</v>
      </c>
      <c r="K64" t="str">
        <f t="shared" si="0"/>
        <v>9</v>
      </c>
      <c r="L64">
        <f t="shared" si="2"/>
        <v>53</v>
      </c>
      <c r="M64">
        <f t="shared" si="3"/>
        <v>1</v>
      </c>
      <c r="N64">
        <v>4.8</v>
      </c>
      <c r="O64" t="s">
        <v>5403</v>
      </c>
      <c r="P64" t="s">
        <v>6728</v>
      </c>
      <c r="Q64">
        <v>2001</v>
      </c>
      <c r="R64" t="s">
        <v>5648</v>
      </c>
      <c r="S64">
        <v>63</v>
      </c>
      <c r="T64" t="s">
        <v>6670</v>
      </c>
      <c r="U64" s="1" t="s">
        <v>7248</v>
      </c>
      <c r="V64" s="1" t="s">
        <v>7249</v>
      </c>
      <c r="W64" t="b">
        <v>0</v>
      </c>
      <c r="X64" t="s">
        <v>76</v>
      </c>
      <c r="Y64" t="s">
        <v>7571</v>
      </c>
      <c r="Z64" t="s">
        <v>6517</v>
      </c>
      <c r="AA64" t="s">
        <v>6517</v>
      </c>
      <c r="AB64" t="s">
        <v>6517</v>
      </c>
      <c r="AC64" t="s">
        <v>7918</v>
      </c>
      <c r="AD64" t="s">
        <v>7764</v>
      </c>
      <c r="AF64" t="b">
        <v>0</v>
      </c>
      <c r="AG64" t="s">
        <v>76</v>
      </c>
      <c r="AH64" s="1">
        <v>42481</v>
      </c>
      <c r="AI64" s="4">
        <v>4.802777777777778</v>
      </c>
      <c r="AJ64">
        <v>0</v>
      </c>
      <c r="AK64">
        <v>0</v>
      </c>
      <c r="AL64">
        <v>0</v>
      </c>
      <c r="AM64" t="s">
        <v>326</v>
      </c>
      <c r="AP64" t="s">
        <v>6517</v>
      </c>
      <c r="AQ64" t="s">
        <v>6517</v>
      </c>
      <c r="AR64" t="s">
        <v>6517</v>
      </c>
      <c r="AS64" t="s">
        <v>6517</v>
      </c>
      <c r="AT64" t="s">
        <v>6517</v>
      </c>
      <c r="AU64" t="s">
        <v>6517</v>
      </c>
      <c r="AV64" t="s">
        <v>6517</v>
      </c>
    </row>
    <row r="65" spans="1:48" x14ac:dyDescent="0.3">
      <c r="A65" t="s">
        <v>5632</v>
      </c>
      <c r="B65">
        <f t="shared" si="1"/>
        <v>200063</v>
      </c>
      <c r="C65">
        <v>200036</v>
      </c>
      <c r="D65" t="s">
        <v>8178</v>
      </c>
      <c r="E65" t="s">
        <v>8226</v>
      </c>
      <c r="F65" t="s">
        <v>8253</v>
      </c>
      <c r="G65">
        <v>200063</v>
      </c>
      <c r="H65" t="s">
        <v>8254</v>
      </c>
      <c r="I65" t="s">
        <v>8255</v>
      </c>
      <c r="J65" t="s">
        <v>8614</v>
      </c>
      <c r="K65" t="str">
        <f t="shared" si="0"/>
        <v>1</v>
      </c>
      <c r="L65">
        <f t="shared" si="2"/>
        <v>9</v>
      </c>
      <c r="M65">
        <f t="shared" si="3"/>
        <v>1</v>
      </c>
      <c r="N65">
        <v>0.64</v>
      </c>
      <c r="O65" t="s">
        <v>5403</v>
      </c>
      <c r="P65" t="s">
        <v>6729</v>
      </c>
      <c r="Q65">
        <v>2003</v>
      </c>
      <c r="R65" t="s">
        <v>5648</v>
      </c>
      <c r="S65">
        <v>64</v>
      </c>
      <c r="T65" t="s">
        <v>6670</v>
      </c>
      <c r="U65" s="1" t="s">
        <v>7250</v>
      </c>
      <c r="V65" s="1" t="s">
        <v>7251</v>
      </c>
      <c r="W65" t="b">
        <v>0</v>
      </c>
      <c r="X65" t="s">
        <v>76</v>
      </c>
      <c r="Y65" t="s">
        <v>7572</v>
      </c>
      <c r="Z65" t="s">
        <v>6517</v>
      </c>
      <c r="AA65" t="s">
        <v>6517</v>
      </c>
      <c r="AB65" t="s">
        <v>6517</v>
      </c>
      <c r="AC65" t="s">
        <v>7919</v>
      </c>
      <c r="AD65" t="s">
        <v>7758</v>
      </c>
      <c r="AF65" t="b">
        <v>0</v>
      </c>
      <c r="AG65" t="s">
        <v>76</v>
      </c>
      <c r="AH65" s="1">
        <v>42481</v>
      </c>
      <c r="AI65" s="4">
        <v>0.63888888888888884</v>
      </c>
      <c r="AJ65">
        <v>0</v>
      </c>
      <c r="AK65">
        <v>0</v>
      </c>
      <c r="AL65">
        <v>0</v>
      </c>
      <c r="AM65" t="s">
        <v>326</v>
      </c>
      <c r="AP65" t="s">
        <v>6517</v>
      </c>
      <c r="AQ65" t="s">
        <v>6517</v>
      </c>
      <c r="AR65" t="s">
        <v>6517</v>
      </c>
      <c r="AS65" t="s">
        <v>6517</v>
      </c>
      <c r="AT65" t="s">
        <v>6517</v>
      </c>
      <c r="AU65" t="s">
        <v>6517</v>
      </c>
      <c r="AV65" t="s">
        <v>6517</v>
      </c>
    </row>
    <row r="66" spans="1:48" x14ac:dyDescent="0.3">
      <c r="A66" t="s">
        <v>5632</v>
      </c>
      <c r="B66">
        <f t="shared" si="1"/>
        <v>200064</v>
      </c>
      <c r="C66">
        <v>200037</v>
      </c>
      <c r="D66" t="s">
        <v>8181</v>
      </c>
      <c r="E66" t="s">
        <v>8256</v>
      </c>
      <c r="F66" t="s">
        <v>8257</v>
      </c>
      <c r="G66">
        <v>200064</v>
      </c>
      <c r="H66" t="s">
        <v>8258</v>
      </c>
      <c r="I66" t="s">
        <v>8259</v>
      </c>
      <c r="J66" t="s">
        <v>8615</v>
      </c>
      <c r="K66" t="str">
        <f t="shared" si="0"/>
        <v>9</v>
      </c>
      <c r="L66">
        <f t="shared" si="2"/>
        <v>11</v>
      </c>
      <c r="M66">
        <f t="shared" si="3"/>
        <v>3</v>
      </c>
      <c r="N66">
        <v>9.18</v>
      </c>
      <c r="O66" t="s">
        <v>5403</v>
      </c>
      <c r="P66" t="s">
        <v>6730</v>
      </c>
      <c r="Q66">
        <v>1988</v>
      </c>
      <c r="R66" t="s">
        <v>5648</v>
      </c>
      <c r="S66">
        <v>65</v>
      </c>
      <c r="T66" t="s">
        <v>6672</v>
      </c>
      <c r="U66" s="1" t="s">
        <v>7252</v>
      </c>
      <c r="V66" s="1" t="s">
        <v>7253</v>
      </c>
      <c r="W66" t="b">
        <v>1</v>
      </c>
      <c r="X66" t="s">
        <v>6672</v>
      </c>
      <c r="Y66" t="s">
        <v>7573</v>
      </c>
      <c r="Z66" t="s">
        <v>6517</v>
      </c>
      <c r="AA66" t="s">
        <v>6517</v>
      </c>
      <c r="AB66" t="s">
        <v>6517</v>
      </c>
      <c r="AC66" t="s">
        <v>7920</v>
      </c>
      <c r="AD66" t="s">
        <v>7765</v>
      </c>
      <c r="AF66" t="b">
        <v>0</v>
      </c>
      <c r="AG66" t="s">
        <v>76</v>
      </c>
      <c r="AH66" s="1">
        <v>42481</v>
      </c>
      <c r="AI66" s="4">
        <v>9.1833333333333336</v>
      </c>
      <c r="AJ66">
        <v>0</v>
      </c>
      <c r="AK66">
        <v>0</v>
      </c>
      <c r="AL66">
        <v>0</v>
      </c>
      <c r="AM66" t="s">
        <v>326</v>
      </c>
      <c r="AP66" t="s">
        <v>6517</v>
      </c>
      <c r="AQ66" t="s">
        <v>6517</v>
      </c>
      <c r="AR66" t="s">
        <v>6517</v>
      </c>
      <c r="AS66" t="s">
        <v>6517</v>
      </c>
      <c r="AT66" t="s">
        <v>6517</v>
      </c>
      <c r="AU66" t="s">
        <v>6517</v>
      </c>
      <c r="AV66" t="s">
        <v>6517</v>
      </c>
    </row>
    <row r="67" spans="1:48" x14ac:dyDescent="0.3">
      <c r="A67" t="s">
        <v>5632</v>
      </c>
      <c r="B67">
        <f t="shared" ref="B67:B130" si="4">IF(ISNUMBER(B66),B66+1,200000)</f>
        <v>200065</v>
      </c>
      <c r="C67">
        <v>200037</v>
      </c>
      <c r="D67" t="s">
        <v>8181</v>
      </c>
      <c r="E67" t="s">
        <v>8256</v>
      </c>
      <c r="F67" t="s">
        <v>8260</v>
      </c>
      <c r="G67">
        <v>200065</v>
      </c>
      <c r="H67" t="s">
        <v>8261</v>
      </c>
      <c r="I67" t="s">
        <v>8262</v>
      </c>
      <c r="J67" t="s">
        <v>8614</v>
      </c>
      <c r="K67" t="str">
        <f t="shared" ref="K67:K130" si="5">IF(AND(L67*M67&lt;=10+COUNTIFS(L:L,"&lt;=10",M:M,2,C:C,C67),M67=1),"1",IF(OR(AND(L67*M67&lt;=20,L67*M67&gt;=11,M67=1),AND(L67*M67&gt;=4,L67*M67&lt;=40,M67=2)),"2","9"))</f>
        <v>1</v>
      </c>
      <c r="L67">
        <f t="shared" ref="L67:L130" si="6">1+SUMPRODUCT((R:R=R67)*(N:N&gt;N67)*(E:E=E67))</f>
        <v>9</v>
      </c>
      <c r="M67">
        <f t="shared" ref="M67:M130" si="7">1+SUMPRODUCT((R:R=R67)*(N:N&gt;N67)*(C:C=C67))</f>
        <v>1</v>
      </c>
      <c r="N67">
        <v>12.46</v>
      </c>
      <c r="O67" t="s">
        <v>5403</v>
      </c>
      <c r="P67" t="s">
        <v>6731</v>
      </c>
      <c r="Q67">
        <v>2013</v>
      </c>
      <c r="R67" t="s">
        <v>5648</v>
      </c>
      <c r="S67">
        <v>66</v>
      </c>
      <c r="T67" t="s">
        <v>6670</v>
      </c>
      <c r="U67" s="1" t="s">
        <v>7254</v>
      </c>
      <c r="V67" s="1" t="s">
        <v>7255</v>
      </c>
      <c r="W67" t="b">
        <v>0</v>
      </c>
      <c r="X67" t="s">
        <v>76</v>
      </c>
      <c r="Y67" t="s">
        <v>7574</v>
      </c>
      <c r="Z67" t="s">
        <v>6517</v>
      </c>
      <c r="AA67" t="s">
        <v>6517</v>
      </c>
      <c r="AB67" t="s">
        <v>6517</v>
      </c>
      <c r="AC67" t="s">
        <v>7921</v>
      </c>
      <c r="AD67" t="s">
        <v>7766</v>
      </c>
      <c r="AF67" t="b">
        <v>0</v>
      </c>
      <c r="AG67" t="s">
        <v>76</v>
      </c>
      <c r="AH67" s="1">
        <v>42481</v>
      </c>
      <c r="AI67" s="4">
        <v>12.455555555555556</v>
      </c>
      <c r="AJ67">
        <v>0</v>
      </c>
      <c r="AK67">
        <v>0</v>
      </c>
      <c r="AL67">
        <v>0</v>
      </c>
      <c r="AM67" t="s">
        <v>326</v>
      </c>
      <c r="AP67" t="s">
        <v>6517</v>
      </c>
      <c r="AQ67" t="s">
        <v>6517</v>
      </c>
      <c r="AR67" t="s">
        <v>6517</v>
      </c>
      <c r="AS67" t="s">
        <v>6517</v>
      </c>
      <c r="AT67" t="s">
        <v>6517</v>
      </c>
      <c r="AU67" t="s">
        <v>6517</v>
      </c>
      <c r="AV67" t="s">
        <v>6517</v>
      </c>
    </row>
    <row r="68" spans="1:48" x14ac:dyDescent="0.3">
      <c r="A68" t="s">
        <v>5632</v>
      </c>
      <c r="B68">
        <f t="shared" si="4"/>
        <v>200066</v>
      </c>
      <c r="C68">
        <v>200037</v>
      </c>
      <c r="D68" t="s">
        <v>8181</v>
      </c>
      <c r="E68" t="s">
        <v>8256</v>
      </c>
      <c r="F68" t="s">
        <v>8263</v>
      </c>
      <c r="G68">
        <v>200066</v>
      </c>
      <c r="H68" t="s">
        <v>8264</v>
      </c>
      <c r="I68" t="s">
        <v>8265</v>
      </c>
      <c r="J68" t="s">
        <v>8616</v>
      </c>
      <c r="K68" t="str">
        <f t="shared" si="5"/>
        <v>2</v>
      </c>
      <c r="L68">
        <f t="shared" si="6"/>
        <v>10</v>
      </c>
      <c r="M68">
        <f t="shared" si="7"/>
        <v>2</v>
      </c>
      <c r="N68">
        <v>11.49</v>
      </c>
      <c r="O68" t="s">
        <v>5403</v>
      </c>
      <c r="P68" t="s">
        <v>6732</v>
      </c>
      <c r="Q68">
        <v>1982</v>
      </c>
      <c r="R68" t="s">
        <v>5648</v>
      </c>
      <c r="S68">
        <v>67</v>
      </c>
      <c r="T68" t="s">
        <v>6670</v>
      </c>
      <c r="U68" s="1" t="s">
        <v>7256</v>
      </c>
      <c r="V68" s="1" t="s">
        <v>7257</v>
      </c>
      <c r="W68" t="b">
        <v>0</v>
      </c>
      <c r="X68" t="s">
        <v>76</v>
      </c>
      <c r="Y68" t="s">
        <v>7575</v>
      </c>
      <c r="Z68" t="s">
        <v>6517</v>
      </c>
      <c r="AA68" t="s">
        <v>6517</v>
      </c>
      <c r="AB68" t="s">
        <v>6517</v>
      </c>
      <c r="AC68" t="s">
        <v>7922</v>
      </c>
      <c r="AD68" t="s">
        <v>7767</v>
      </c>
      <c r="AF68" t="b">
        <v>0</v>
      </c>
      <c r="AG68" t="s">
        <v>76</v>
      </c>
      <c r="AH68" s="1">
        <v>42481</v>
      </c>
      <c r="AI68" s="4">
        <v>11.491666666666667</v>
      </c>
      <c r="AJ68">
        <v>0</v>
      </c>
      <c r="AK68">
        <v>0</v>
      </c>
      <c r="AL68">
        <v>0</v>
      </c>
      <c r="AM68" t="s">
        <v>326</v>
      </c>
      <c r="AP68" t="s">
        <v>6517</v>
      </c>
      <c r="AQ68" t="s">
        <v>6517</v>
      </c>
      <c r="AR68" t="s">
        <v>6517</v>
      </c>
      <c r="AS68" t="s">
        <v>6517</v>
      </c>
      <c r="AT68" t="s">
        <v>6517</v>
      </c>
      <c r="AU68" t="s">
        <v>6517</v>
      </c>
      <c r="AV68" t="s">
        <v>6517</v>
      </c>
    </row>
    <row r="69" spans="1:48" x14ac:dyDescent="0.3">
      <c r="A69" t="s">
        <v>5632</v>
      </c>
      <c r="B69">
        <f t="shared" si="4"/>
        <v>200067</v>
      </c>
      <c r="C69">
        <v>200037</v>
      </c>
      <c r="D69" t="s">
        <v>8181</v>
      </c>
      <c r="E69" t="s">
        <v>8256</v>
      </c>
      <c r="F69" t="s">
        <v>8266</v>
      </c>
      <c r="G69">
        <v>200067</v>
      </c>
      <c r="H69" t="s">
        <v>8267</v>
      </c>
      <c r="I69" t="s">
        <v>8268</v>
      </c>
      <c r="J69" t="s">
        <v>8615</v>
      </c>
      <c r="K69" t="str">
        <f t="shared" si="5"/>
        <v>9</v>
      </c>
      <c r="L69">
        <f t="shared" si="6"/>
        <v>12</v>
      </c>
      <c r="M69">
        <f t="shared" si="7"/>
        <v>4</v>
      </c>
      <c r="N69">
        <v>5.98</v>
      </c>
      <c r="O69" t="s">
        <v>5403</v>
      </c>
      <c r="P69" t="s">
        <v>6733</v>
      </c>
      <c r="Q69">
        <v>1979</v>
      </c>
      <c r="R69" t="s">
        <v>5648</v>
      </c>
      <c r="S69">
        <v>68</v>
      </c>
      <c r="T69" t="s">
        <v>6670</v>
      </c>
      <c r="U69" s="1" t="s">
        <v>7258</v>
      </c>
      <c r="V69" s="1" t="s">
        <v>7259</v>
      </c>
      <c r="W69" t="b">
        <v>0</v>
      </c>
      <c r="X69" t="s">
        <v>76</v>
      </c>
      <c r="Y69" t="s">
        <v>7576</v>
      </c>
      <c r="Z69" t="s">
        <v>6517</v>
      </c>
      <c r="AA69" t="s">
        <v>6517</v>
      </c>
      <c r="AB69" t="s">
        <v>6517</v>
      </c>
      <c r="AC69" t="s">
        <v>7923</v>
      </c>
      <c r="AD69" t="s">
        <v>7768</v>
      </c>
      <c r="AF69" t="b">
        <v>0</v>
      </c>
      <c r="AG69" t="s">
        <v>76</v>
      </c>
      <c r="AH69" s="1">
        <v>42481</v>
      </c>
      <c r="AI69" s="4">
        <v>5.9805555555555552</v>
      </c>
      <c r="AJ69">
        <v>0</v>
      </c>
      <c r="AK69">
        <v>0</v>
      </c>
      <c r="AL69">
        <v>0</v>
      </c>
      <c r="AM69" t="s">
        <v>326</v>
      </c>
      <c r="AP69" t="s">
        <v>6517</v>
      </c>
      <c r="AQ69" t="s">
        <v>6517</v>
      </c>
      <c r="AR69" t="s">
        <v>6517</v>
      </c>
      <c r="AS69" t="s">
        <v>6517</v>
      </c>
      <c r="AT69" t="s">
        <v>6517</v>
      </c>
      <c r="AU69" t="s">
        <v>6517</v>
      </c>
      <c r="AV69" t="s">
        <v>6517</v>
      </c>
    </row>
    <row r="70" spans="1:48" x14ac:dyDescent="0.3">
      <c r="A70" t="s">
        <v>5632</v>
      </c>
      <c r="B70">
        <f t="shared" si="4"/>
        <v>200068</v>
      </c>
      <c r="C70">
        <v>200038</v>
      </c>
      <c r="D70" t="s">
        <v>8185</v>
      </c>
      <c r="E70" t="s">
        <v>8166</v>
      </c>
      <c r="F70" t="s">
        <v>8269</v>
      </c>
      <c r="G70">
        <v>200068</v>
      </c>
      <c r="H70" t="s">
        <v>8270</v>
      </c>
      <c r="I70" t="s">
        <v>8271</v>
      </c>
      <c r="J70" t="s">
        <v>8614</v>
      </c>
      <c r="K70" t="str">
        <f t="shared" si="5"/>
        <v>1</v>
      </c>
      <c r="L70">
        <f t="shared" si="6"/>
        <v>5</v>
      </c>
      <c r="M70">
        <f t="shared" si="7"/>
        <v>1</v>
      </c>
      <c r="N70">
        <v>8.77</v>
      </c>
      <c r="O70" t="s">
        <v>5403</v>
      </c>
      <c r="P70" t="s">
        <v>6734</v>
      </c>
      <c r="Q70">
        <v>1989</v>
      </c>
      <c r="R70" t="s">
        <v>5648</v>
      </c>
      <c r="S70">
        <v>69</v>
      </c>
      <c r="T70" t="s">
        <v>6670</v>
      </c>
      <c r="U70" s="1" t="s">
        <v>7260</v>
      </c>
      <c r="V70" s="1" t="s">
        <v>7261</v>
      </c>
      <c r="W70" t="b">
        <v>0</v>
      </c>
      <c r="X70" t="s">
        <v>76</v>
      </c>
      <c r="Y70" t="s">
        <v>7577</v>
      </c>
      <c r="Z70" t="s">
        <v>6517</v>
      </c>
      <c r="AA70" t="s">
        <v>6517</v>
      </c>
      <c r="AB70" t="s">
        <v>6517</v>
      </c>
      <c r="AC70" t="s">
        <v>7924</v>
      </c>
      <c r="AD70" t="s">
        <v>7747</v>
      </c>
      <c r="AF70" t="b">
        <v>0</v>
      </c>
      <c r="AG70" t="s">
        <v>76</v>
      </c>
      <c r="AH70" s="1">
        <v>42481</v>
      </c>
      <c r="AI70" s="4">
        <v>8.7694444444444439</v>
      </c>
      <c r="AJ70">
        <v>0</v>
      </c>
      <c r="AK70">
        <v>0</v>
      </c>
      <c r="AL70">
        <v>0</v>
      </c>
      <c r="AM70" t="s">
        <v>326</v>
      </c>
      <c r="AP70" t="s">
        <v>6517</v>
      </c>
      <c r="AQ70" t="s">
        <v>6517</v>
      </c>
      <c r="AR70" t="s">
        <v>6517</v>
      </c>
      <c r="AS70" t="s">
        <v>6517</v>
      </c>
      <c r="AT70" t="s">
        <v>6517</v>
      </c>
      <c r="AU70" t="s">
        <v>6517</v>
      </c>
      <c r="AV70" t="s">
        <v>6517</v>
      </c>
    </row>
    <row r="71" spans="1:48" x14ac:dyDescent="0.3">
      <c r="A71" t="s">
        <v>5632</v>
      </c>
      <c r="B71">
        <f t="shared" si="4"/>
        <v>200069</v>
      </c>
      <c r="C71">
        <v>200039</v>
      </c>
      <c r="D71" t="s">
        <v>8187</v>
      </c>
      <c r="E71" t="s">
        <v>8272</v>
      </c>
      <c r="F71" t="s">
        <v>8273</v>
      </c>
      <c r="G71">
        <v>200069</v>
      </c>
      <c r="H71" t="s">
        <v>8274</v>
      </c>
      <c r="I71" t="s">
        <v>8275</v>
      </c>
      <c r="J71" t="s">
        <v>8616</v>
      </c>
      <c r="K71" t="str">
        <f t="shared" si="5"/>
        <v>2</v>
      </c>
      <c r="L71">
        <f t="shared" si="6"/>
        <v>2</v>
      </c>
      <c r="M71">
        <f t="shared" si="7"/>
        <v>2</v>
      </c>
      <c r="N71">
        <v>10.95</v>
      </c>
      <c r="O71" t="s">
        <v>5403</v>
      </c>
      <c r="P71" t="s">
        <v>6735</v>
      </c>
      <c r="Q71">
        <v>2016</v>
      </c>
      <c r="R71" t="s">
        <v>5648</v>
      </c>
      <c r="S71">
        <v>70</v>
      </c>
      <c r="T71" t="s">
        <v>6670</v>
      </c>
      <c r="U71" s="1" t="s">
        <v>7262</v>
      </c>
      <c r="V71" s="1" t="s">
        <v>7263</v>
      </c>
      <c r="W71" t="b">
        <v>0</v>
      </c>
      <c r="X71" t="s">
        <v>76</v>
      </c>
      <c r="Y71" t="s">
        <v>7578</v>
      </c>
      <c r="Z71" t="s">
        <v>6517</v>
      </c>
      <c r="AA71" t="s">
        <v>6517</v>
      </c>
      <c r="AB71" t="s">
        <v>6517</v>
      </c>
      <c r="AC71" t="s">
        <v>7925</v>
      </c>
      <c r="AD71" t="s">
        <v>7709</v>
      </c>
      <c r="AF71" t="b">
        <v>0</v>
      </c>
      <c r="AG71" t="s">
        <v>76</v>
      </c>
      <c r="AH71" s="1">
        <v>42481</v>
      </c>
      <c r="AI71" s="4">
        <v>10.95</v>
      </c>
      <c r="AJ71">
        <v>0</v>
      </c>
      <c r="AK71">
        <v>0</v>
      </c>
      <c r="AL71">
        <v>0</v>
      </c>
      <c r="AM71" t="s">
        <v>326</v>
      </c>
      <c r="AP71" t="s">
        <v>6517</v>
      </c>
      <c r="AQ71" t="s">
        <v>6517</v>
      </c>
      <c r="AR71" t="s">
        <v>6517</v>
      </c>
      <c r="AS71" t="s">
        <v>6517</v>
      </c>
      <c r="AT71" t="s">
        <v>6517</v>
      </c>
      <c r="AU71" t="s">
        <v>6517</v>
      </c>
      <c r="AV71" t="s">
        <v>6517</v>
      </c>
    </row>
    <row r="72" spans="1:48" x14ac:dyDescent="0.3">
      <c r="A72" t="s">
        <v>5632</v>
      </c>
      <c r="B72">
        <f t="shared" si="4"/>
        <v>200070</v>
      </c>
      <c r="C72">
        <v>200039</v>
      </c>
      <c r="D72" t="s">
        <v>8187</v>
      </c>
      <c r="E72" t="s">
        <v>8272</v>
      </c>
      <c r="F72" t="s">
        <v>8276</v>
      </c>
      <c r="G72">
        <v>200070</v>
      </c>
      <c r="H72" t="s">
        <v>8277</v>
      </c>
      <c r="I72" t="s">
        <v>8278</v>
      </c>
      <c r="J72" t="s">
        <v>8614</v>
      </c>
      <c r="K72" t="str">
        <f t="shared" si="5"/>
        <v>1</v>
      </c>
      <c r="L72">
        <f t="shared" si="6"/>
        <v>1</v>
      </c>
      <c r="M72">
        <f t="shared" si="7"/>
        <v>1</v>
      </c>
      <c r="N72">
        <v>12.22</v>
      </c>
      <c r="O72" t="s">
        <v>5403</v>
      </c>
      <c r="P72" t="s">
        <v>6736</v>
      </c>
      <c r="Q72">
        <v>2006</v>
      </c>
      <c r="R72" t="s">
        <v>5648</v>
      </c>
      <c r="S72">
        <v>71</v>
      </c>
      <c r="T72" t="s">
        <v>6670</v>
      </c>
      <c r="U72" s="1" t="s">
        <v>7264</v>
      </c>
      <c r="V72" s="1" t="s">
        <v>7265</v>
      </c>
      <c r="W72" t="b">
        <v>0</v>
      </c>
      <c r="X72" t="s">
        <v>76</v>
      </c>
      <c r="Y72" t="s">
        <v>7579</v>
      </c>
      <c r="Z72" t="s">
        <v>6517</v>
      </c>
      <c r="AA72" t="s">
        <v>6517</v>
      </c>
      <c r="AB72" t="s">
        <v>6517</v>
      </c>
      <c r="AC72" t="s">
        <v>7926</v>
      </c>
      <c r="AD72" t="s">
        <v>7769</v>
      </c>
      <c r="AF72" t="b">
        <v>0</v>
      </c>
      <c r="AG72" t="s">
        <v>76</v>
      </c>
      <c r="AH72" s="1">
        <v>42481</v>
      </c>
      <c r="AI72" s="4">
        <v>7.2166666666666668</v>
      </c>
      <c r="AJ72">
        <v>0</v>
      </c>
      <c r="AK72">
        <v>0</v>
      </c>
      <c r="AL72">
        <v>15</v>
      </c>
      <c r="AM72" t="s">
        <v>326</v>
      </c>
      <c r="AP72" t="s">
        <v>6517</v>
      </c>
      <c r="AQ72" t="s">
        <v>6517</v>
      </c>
      <c r="AR72" t="s">
        <v>6517</v>
      </c>
      <c r="AS72" t="s">
        <v>6517</v>
      </c>
      <c r="AT72" t="s">
        <v>6517</v>
      </c>
      <c r="AU72" t="s">
        <v>6517</v>
      </c>
      <c r="AV72" t="s">
        <v>6517</v>
      </c>
    </row>
    <row r="73" spans="1:48" x14ac:dyDescent="0.3">
      <c r="A73" t="s">
        <v>5632</v>
      </c>
      <c r="B73">
        <f t="shared" si="4"/>
        <v>200071</v>
      </c>
      <c r="C73">
        <v>200040</v>
      </c>
      <c r="D73" t="s">
        <v>8189</v>
      </c>
      <c r="E73" t="s">
        <v>8097</v>
      </c>
      <c r="F73" t="s">
        <v>8279</v>
      </c>
      <c r="G73">
        <v>200071</v>
      </c>
      <c r="H73" t="s">
        <v>8280</v>
      </c>
      <c r="I73" t="s">
        <v>8281</v>
      </c>
      <c r="J73">
        <v>2</v>
      </c>
      <c r="K73" t="str">
        <f t="shared" si="5"/>
        <v>9</v>
      </c>
      <c r="L73">
        <f t="shared" si="6"/>
        <v>21</v>
      </c>
      <c r="M73">
        <f t="shared" si="7"/>
        <v>1</v>
      </c>
      <c r="N73">
        <v>63.07</v>
      </c>
      <c r="O73" t="s">
        <v>5403</v>
      </c>
      <c r="P73" t="s">
        <v>6737</v>
      </c>
      <c r="Q73">
        <v>1991</v>
      </c>
      <c r="R73" t="s">
        <v>5648</v>
      </c>
      <c r="S73">
        <v>72</v>
      </c>
      <c r="T73" t="s">
        <v>6670</v>
      </c>
      <c r="U73" s="1" t="s">
        <v>7266</v>
      </c>
      <c r="V73" s="1" t="s">
        <v>7267</v>
      </c>
      <c r="W73" t="b">
        <v>0</v>
      </c>
      <c r="X73" t="s">
        <v>76</v>
      </c>
      <c r="Y73" t="s">
        <v>7580</v>
      </c>
      <c r="Z73" t="s">
        <v>6517</v>
      </c>
      <c r="AA73" t="s">
        <v>6517</v>
      </c>
      <c r="AB73" t="s">
        <v>6517</v>
      </c>
      <c r="AC73" t="s">
        <v>7927</v>
      </c>
      <c r="AD73" t="s">
        <v>7770</v>
      </c>
      <c r="AF73" t="b">
        <v>0</v>
      </c>
      <c r="AG73" t="s">
        <v>76</v>
      </c>
      <c r="AH73" s="1">
        <v>42481</v>
      </c>
      <c r="AI73" s="4">
        <v>4.072222222222222</v>
      </c>
      <c r="AJ73">
        <v>0</v>
      </c>
      <c r="AK73">
        <v>0</v>
      </c>
      <c r="AL73">
        <v>177</v>
      </c>
      <c r="AM73" t="s">
        <v>326</v>
      </c>
      <c r="AP73" t="s">
        <v>6517</v>
      </c>
      <c r="AQ73" t="s">
        <v>6517</v>
      </c>
      <c r="AR73" t="s">
        <v>6517</v>
      </c>
      <c r="AS73" t="s">
        <v>6517</v>
      </c>
      <c r="AT73" t="s">
        <v>6517</v>
      </c>
      <c r="AU73" t="s">
        <v>6517</v>
      </c>
      <c r="AV73" t="s">
        <v>6517</v>
      </c>
    </row>
    <row r="74" spans="1:48" x14ac:dyDescent="0.3">
      <c r="A74" t="s">
        <v>5632</v>
      </c>
      <c r="B74">
        <f t="shared" si="4"/>
        <v>200072</v>
      </c>
      <c r="C74">
        <v>200040</v>
      </c>
      <c r="D74" t="s">
        <v>8189</v>
      </c>
      <c r="E74" t="s">
        <v>8097</v>
      </c>
      <c r="F74" t="s">
        <v>8282</v>
      </c>
      <c r="G74">
        <v>200072</v>
      </c>
      <c r="H74" t="s">
        <v>8283</v>
      </c>
      <c r="I74" t="s">
        <v>8284</v>
      </c>
      <c r="J74" t="s">
        <v>8615</v>
      </c>
      <c r="K74" t="str">
        <f t="shared" si="5"/>
        <v>9</v>
      </c>
      <c r="L74">
        <f t="shared" si="6"/>
        <v>27</v>
      </c>
      <c r="M74">
        <f t="shared" si="7"/>
        <v>2</v>
      </c>
      <c r="N74">
        <v>45.89</v>
      </c>
      <c r="O74" t="s">
        <v>5403</v>
      </c>
      <c r="P74" t="s">
        <v>6738</v>
      </c>
      <c r="Q74">
        <v>1991</v>
      </c>
      <c r="R74" t="s">
        <v>5648</v>
      </c>
      <c r="S74">
        <v>73</v>
      </c>
      <c r="T74" t="s">
        <v>6670</v>
      </c>
      <c r="U74" s="1" t="s">
        <v>7268</v>
      </c>
      <c r="V74" s="1" t="s">
        <v>7269</v>
      </c>
      <c r="W74" t="b">
        <v>0</v>
      </c>
      <c r="X74" t="s">
        <v>76</v>
      </c>
      <c r="Y74" t="s">
        <v>7581</v>
      </c>
      <c r="Z74" t="s">
        <v>6517</v>
      </c>
      <c r="AA74" t="s">
        <v>6517</v>
      </c>
      <c r="AB74" t="s">
        <v>6517</v>
      </c>
      <c r="AC74" t="s">
        <v>7928</v>
      </c>
      <c r="AD74" t="s">
        <v>7738</v>
      </c>
      <c r="AF74" t="b">
        <v>0</v>
      </c>
      <c r="AG74" t="s">
        <v>76</v>
      </c>
      <c r="AH74" s="1">
        <v>42481</v>
      </c>
      <c r="AI74" s="4">
        <v>2.8555555555555556</v>
      </c>
      <c r="AJ74">
        <v>0</v>
      </c>
      <c r="AK74">
        <v>0</v>
      </c>
      <c r="AL74">
        <v>129.1</v>
      </c>
      <c r="AM74" t="s">
        <v>326</v>
      </c>
      <c r="AP74" t="s">
        <v>6517</v>
      </c>
      <c r="AQ74" t="s">
        <v>6517</v>
      </c>
      <c r="AR74" t="s">
        <v>6517</v>
      </c>
      <c r="AS74" t="s">
        <v>6517</v>
      </c>
      <c r="AT74" t="s">
        <v>6517</v>
      </c>
      <c r="AU74" t="s">
        <v>6517</v>
      </c>
      <c r="AV74" t="s">
        <v>6517</v>
      </c>
    </row>
    <row r="75" spans="1:48" x14ac:dyDescent="0.3">
      <c r="A75" t="s">
        <v>5632</v>
      </c>
      <c r="B75">
        <f t="shared" si="4"/>
        <v>200073</v>
      </c>
      <c r="C75">
        <v>200041</v>
      </c>
      <c r="D75" t="s">
        <v>8192</v>
      </c>
      <c r="E75" t="s">
        <v>8150</v>
      </c>
      <c r="F75" t="s">
        <v>8285</v>
      </c>
      <c r="G75">
        <v>200073</v>
      </c>
      <c r="H75" t="s">
        <v>8286</v>
      </c>
      <c r="I75" t="s">
        <v>8287</v>
      </c>
      <c r="J75" t="s">
        <v>8614</v>
      </c>
      <c r="K75" t="str">
        <f t="shared" si="5"/>
        <v>1</v>
      </c>
      <c r="L75">
        <f t="shared" si="6"/>
        <v>1</v>
      </c>
      <c r="M75">
        <f t="shared" si="7"/>
        <v>1</v>
      </c>
      <c r="N75">
        <v>239.3</v>
      </c>
      <c r="O75" t="s">
        <v>5403</v>
      </c>
      <c r="P75" t="s">
        <v>6739</v>
      </c>
      <c r="Q75">
        <v>2007</v>
      </c>
      <c r="R75" t="s">
        <v>5648</v>
      </c>
      <c r="S75">
        <v>74</v>
      </c>
      <c r="T75" t="s">
        <v>6670</v>
      </c>
      <c r="U75" s="1" t="s">
        <v>7270</v>
      </c>
      <c r="V75" s="1" t="s">
        <v>7271</v>
      </c>
      <c r="W75" t="b">
        <v>0</v>
      </c>
      <c r="X75" t="s">
        <v>76</v>
      </c>
      <c r="Y75" t="s">
        <v>7582</v>
      </c>
      <c r="Z75" t="s">
        <v>6517</v>
      </c>
      <c r="AA75" t="s">
        <v>6517</v>
      </c>
      <c r="AB75" t="s">
        <v>6517</v>
      </c>
      <c r="AC75" t="s">
        <v>7929</v>
      </c>
      <c r="AD75" t="s">
        <v>7771</v>
      </c>
      <c r="AF75" t="b">
        <v>0</v>
      </c>
      <c r="AG75" t="s">
        <v>76</v>
      </c>
      <c r="AH75" s="1">
        <v>42481</v>
      </c>
      <c r="AI75" s="4">
        <v>5.9694444444444441</v>
      </c>
      <c r="AJ75">
        <v>0</v>
      </c>
      <c r="AK75">
        <v>0</v>
      </c>
      <c r="AL75">
        <v>700</v>
      </c>
      <c r="AM75" t="s">
        <v>326</v>
      </c>
      <c r="AP75" t="s">
        <v>6517</v>
      </c>
      <c r="AQ75" t="s">
        <v>6517</v>
      </c>
      <c r="AR75" t="s">
        <v>6517</v>
      </c>
      <c r="AS75" t="s">
        <v>6517</v>
      </c>
      <c r="AT75" t="s">
        <v>6517</v>
      </c>
      <c r="AU75" t="s">
        <v>6517</v>
      </c>
      <c r="AV75" t="s">
        <v>6517</v>
      </c>
    </row>
    <row r="76" spans="1:48" x14ac:dyDescent="0.3">
      <c r="A76" t="s">
        <v>5632</v>
      </c>
      <c r="B76">
        <f t="shared" si="4"/>
        <v>200074</v>
      </c>
      <c r="C76">
        <v>200041</v>
      </c>
      <c r="D76" t="s">
        <v>8192</v>
      </c>
      <c r="E76" t="s">
        <v>8150</v>
      </c>
      <c r="F76" t="s">
        <v>8114</v>
      </c>
      <c r="G76">
        <v>200074</v>
      </c>
      <c r="H76" t="s">
        <v>8288</v>
      </c>
      <c r="I76" t="s">
        <v>8289</v>
      </c>
      <c r="J76" t="s">
        <v>8616</v>
      </c>
      <c r="K76" t="str">
        <f t="shared" si="5"/>
        <v>2</v>
      </c>
      <c r="L76">
        <f t="shared" si="6"/>
        <v>2</v>
      </c>
      <c r="M76">
        <f t="shared" si="7"/>
        <v>2</v>
      </c>
      <c r="N76">
        <v>145.44</v>
      </c>
      <c r="O76" t="s">
        <v>5403</v>
      </c>
      <c r="P76" t="s">
        <v>6740</v>
      </c>
      <c r="Q76">
        <v>1980</v>
      </c>
      <c r="R76" t="s">
        <v>5648</v>
      </c>
      <c r="S76">
        <v>75</v>
      </c>
      <c r="T76" t="s">
        <v>6670</v>
      </c>
      <c r="U76" s="1" t="s">
        <v>7272</v>
      </c>
      <c r="V76" s="1" t="s">
        <v>7273</v>
      </c>
      <c r="W76" t="b">
        <v>0</v>
      </c>
      <c r="X76" t="s">
        <v>76</v>
      </c>
      <c r="Y76" t="s">
        <v>7583</v>
      </c>
      <c r="Z76" t="s">
        <v>6517</v>
      </c>
      <c r="AA76" t="s">
        <v>6517</v>
      </c>
      <c r="AB76" t="s">
        <v>6517</v>
      </c>
      <c r="AC76" t="s">
        <v>7930</v>
      </c>
      <c r="AD76" t="s">
        <v>7772</v>
      </c>
      <c r="AF76" t="b">
        <v>0</v>
      </c>
      <c r="AG76" t="s">
        <v>76</v>
      </c>
      <c r="AH76" s="1">
        <v>42481</v>
      </c>
      <c r="AI76" s="4">
        <v>7.2750000000000004</v>
      </c>
      <c r="AJ76">
        <v>0</v>
      </c>
      <c r="AK76">
        <v>0</v>
      </c>
      <c r="AL76">
        <v>414.5</v>
      </c>
      <c r="AM76" t="s">
        <v>326</v>
      </c>
      <c r="AP76" t="s">
        <v>6517</v>
      </c>
      <c r="AQ76" t="s">
        <v>6517</v>
      </c>
      <c r="AR76" t="s">
        <v>6517</v>
      </c>
      <c r="AS76" t="s">
        <v>6517</v>
      </c>
      <c r="AT76" t="s">
        <v>6517</v>
      </c>
      <c r="AU76" t="s">
        <v>6517</v>
      </c>
      <c r="AV76" t="s">
        <v>6517</v>
      </c>
    </row>
    <row r="77" spans="1:48" x14ac:dyDescent="0.3">
      <c r="A77" t="s">
        <v>5632</v>
      </c>
      <c r="B77">
        <f t="shared" si="4"/>
        <v>200075</v>
      </c>
      <c r="C77">
        <v>200042</v>
      </c>
      <c r="D77" t="s">
        <v>8195</v>
      </c>
      <c r="E77" t="s">
        <v>8226</v>
      </c>
      <c r="F77" t="s">
        <v>8290</v>
      </c>
      <c r="G77">
        <v>200075</v>
      </c>
      <c r="H77" t="s">
        <v>8291</v>
      </c>
      <c r="I77" t="s">
        <v>8292</v>
      </c>
      <c r="J77" t="s">
        <v>8616</v>
      </c>
      <c r="K77" t="str">
        <f t="shared" si="5"/>
        <v>2</v>
      </c>
      <c r="L77">
        <f t="shared" si="6"/>
        <v>4</v>
      </c>
      <c r="M77">
        <f t="shared" si="7"/>
        <v>2</v>
      </c>
      <c r="N77">
        <v>23.38</v>
      </c>
      <c r="O77" t="s">
        <v>5403</v>
      </c>
      <c r="P77" t="s">
        <v>6741</v>
      </c>
      <c r="Q77">
        <v>2013</v>
      </c>
      <c r="R77" t="s">
        <v>5648</v>
      </c>
      <c r="S77">
        <v>76</v>
      </c>
      <c r="T77" t="s">
        <v>6670</v>
      </c>
      <c r="U77" s="1" t="s">
        <v>7274</v>
      </c>
      <c r="V77" s="1" t="s">
        <v>7275</v>
      </c>
      <c r="W77" t="b">
        <v>0</v>
      </c>
      <c r="X77" t="s">
        <v>76</v>
      </c>
      <c r="Y77" t="s">
        <v>7584</v>
      </c>
      <c r="Z77" t="s">
        <v>6517</v>
      </c>
      <c r="AA77" t="s">
        <v>6517</v>
      </c>
      <c r="AB77" t="s">
        <v>6517</v>
      </c>
      <c r="AC77" t="s">
        <v>7931</v>
      </c>
      <c r="AD77" t="s">
        <v>7773</v>
      </c>
      <c r="AF77" t="b">
        <v>0</v>
      </c>
      <c r="AG77" t="s">
        <v>76</v>
      </c>
      <c r="AH77" s="1">
        <v>42481</v>
      </c>
      <c r="AI77" s="4">
        <v>3.3777777777777778</v>
      </c>
      <c r="AJ77">
        <v>0</v>
      </c>
      <c r="AK77">
        <v>0</v>
      </c>
      <c r="AL77">
        <v>60</v>
      </c>
      <c r="AM77" t="s">
        <v>326</v>
      </c>
      <c r="AP77" t="s">
        <v>6517</v>
      </c>
      <c r="AQ77" t="s">
        <v>6517</v>
      </c>
      <c r="AR77" t="s">
        <v>6517</v>
      </c>
      <c r="AS77" t="s">
        <v>6517</v>
      </c>
      <c r="AT77" t="s">
        <v>6517</v>
      </c>
      <c r="AU77" t="s">
        <v>6517</v>
      </c>
      <c r="AV77" t="s">
        <v>6517</v>
      </c>
    </row>
    <row r="78" spans="1:48" x14ac:dyDescent="0.3">
      <c r="A78" t="s">
        <v>5632</v>
      </c>
      <c r="B78">
        <f t="shared" si="4"/>
        <v>200076</v>
      </c>
      <c r="C78">
        <v>200042</v>
      </c>
      <c r="D78" t="s">
        <v>8195</v>
      </c>
      <c r="E78" t="s">
        <v>8226</v>
      </c>
      <c r="F78" t="s">
        <v>8184</v>
      </c>
      <c r="G78">
        <v>200076</v>
      </c>
      <c r="H78" t="s">
        <v>8293</v>
      </c>
      <c r="I78" t="s">
        <v>8294</v>
      </c>
      <c r="J78" t="s">
        <v>8614</v>
      </c>
      <c r="K78" t="str">
        <f t="shared" si="5"/>
        <v>1</v>
      </c>
      <c r="L78">
        <f t="shared" si="6"/>
        <v>1</v>
      </c>
      <c r="M78">
        <f t="shared" si="7"/>
        <v>1</v>
      </c>
      <c r="N78">
        <v>194.88</v>
      </c>
      <c r="O78" t="s">
        <v>5403</v>
      </c>
      <c r="P78" t="s">
        <v>6742</v>
      </c>
      <c r="Q78">
        <v>2012</v>
      </c>
      <c r="R78" t="s">
        <v>5648</v>
      </c>
      <c r="S78">
        <v>77</v>
      </c>
      <c r="T78" t="s">
        <v>6670</v>
      </c>
      <c r="U78" s="1" t="s">
        <v>7276</v>
      </c>
      <c r="V78" s="1" t="s">
        <v>7277</v>
      </c>
      <c r="W78" t="b">
        <v>0</v>
      </c>
      <c r="X78" t="s">
        <v>76</v>
      </c>
      <c r="Y78" t="s">
        <v>7585</v>
      </c>
      <c r="Z78" t="s">
        <v>6517</v>
      </c>
      <c r="AA78" t="s">
        <v>6517</v>
      </c>
      <c r="AB78" t="s">
        <v>6517</v>
      </c>
      <c r="AC78" t="s">
        <v>7932</v>
      </c>
      <c r="AD78" t="s">
        <v>7774</v>
      </c>
      <c r="AF78" t="b">
        <v>0</v>
      </c>
      <c r="AG78" t="s">
        <v>76</v>
      </c>
      <c r="AH78" s="1">
        <v>42481</v>
      </c>
      <c r="AI78" s="4">
        <v>2.125</v>
      </c>
      <c r="AJ78">
        <v>0</v>
      </c>
      <c r="AK78">
        <v>0</v>
      </c>
      <c r="AL78">
        <v>578.25</v>
      </c>
      <c r="AM78" t="s">
        <v>326</v>
      </c>
      <c r="AP78" t="s">
        <v>6517</v>
      </c>
      <c r="AQ78" t="s">
        <v>6517</v>
      </c>
      <c r="AR78" t="s">
        <v>6517</v>
      </c>
      <c r="AS78" t="s">
        <v>6517</v>
      </c>
      <c r="AT78" t="s">
        <v>6517</v>
      </c>
      <c r="AU78" t="s">
        <v>6517</v>
      </c>
      <c r="AV78" t="s">
        <v>6517</v>
      </c>
    </row>
    <row r="79" spans="1:48" x14ac:dyDescent="0.3">
      <c r="A79" t="s">
        <v>5632</v>
      </c>
      <c r="B79">
        <f t="shared" si="4"/>
        <v>200077</v>
      </c>
      <c r="C79">
        <v>200043</v>
      </c>
      <c r="D79" t="s">
        <v>8197</v>
      </c>
      <c r="E79" t="s">
        <v>8295</v>
      </c>
      <c r="F79" t="s">
        <v>8253</v>
      </c>
      <c r="G79">
        <v>200077</v>
      </c>
      <c r="H79" t="s">
        <v>8296</v>
      </c>
      <c r="I79" t="s">
        <v>8297</v>
      </c>
      <c r="J79" t="s">
        <v>8616</v>
      </c>
      <c r="K79" t="str">
        <f t="shared" si="5"/>
        <v>2</v>
      </c>
      <c r="L79">
        <f t="shared" si="6"/>
        <v>3</v>
      </c>
      <c r="M79">
        <f t="shared" si="7"/>
        <v>2</v>
      </c>
      <c r="N79">
        <v>52.66</v>
      </c>
      <c r="O79" t="s">
        <v>5403</v>
      </c>
      <c r="P79" t="s">
        <v>6743</v>
      </c>
      <c r="Q79">
        <v>2008</v>
      </c>
      <c r="R79" t="s">
        <v>5648</v>
      </c>
      <c r="S79">
        <v>78</v>
      </c>
      <c r="T79" t="s">
        <v>6670</v>
      </c>
      <c r="U79" s="1" t="s">
        <v>7278</v>
      </c>
      <c r="V79" s="1" t="s">
        <v>7279</v>
      </c>
      <c r="W79" t="b">
        <v>0</v>
      </c>
      <c r="X79" t="s">
        <v>76</v>
      </c>
      <c r="Y79" t="s">
        <v>7586</v>
      </c>
      <c r="Z79" t="s">
        <v>6517</v>
      </c>
      <c r="AA79" t="s">
        <v>6517</v>
      </c>
      <c r="AB79" t="s">
        <v>6517</v>
      </c>
      <c r="AC79" t="s">
        <v>7933</v>
      </c>
      <c r="AD79" t="s">
        <v>7775</v>
      </c>
      <c r="AF79" t="b">
        <v>0</v>
      </c>
      <c r="AG79" t="s">
        <v>76</v>
      </c>
      <c r="AH79" s="1">
        <v>42481</v>
      </c>
      <c r="AI79" s="4">
        <v>0.65833333333333333</v>
      </c>
      <c r="AJ79">
        <v>0</v>
      </c>
      <c r="AK79">
        <v>0</v>
      </c>
      <c r="AL79">
        <v>156</v>
      </c>
      <c r="AM79" t="s">
        <v>326</v>
      </c>
      <c r="AP79" t="s">
        <v>6517</v>
      </c>
      <c r="AQ79" t="s">
        <v>6517</v>
      </c>
      <c r="AR79" t="s">
        <v>6517</v>
      </c>
      <c r="AS79" t="s">
        <v>6517</v>
      </c>
      <c r="AT79" t="s">
        <v>6517</v>
      </c>
      <c r="AU79" t="s">
        <v>6517</v>
      </c>
      <c r="AV79" t="s">
        <v>6517</v>
      </c>
    </row>
    <row r="80" spans="1:48" x14ac:dyDescent="0.3">
      <c r="A80" t="s">
        <v>5632</v>
      </c>
      <c r="B80">
        <f t="shared" si="4"/>
        <v>200078</v>
      </c>
      <c r="C80">
        <v>200043</v>
      </c>
      <c r="D80" t="s">
        <v>8197</v>
      </c>
      <c r="E80" t="s">
        <v>8295</v>
      </c>
      <c r="F80" t="s">
        <v>7723</v>
      </c>
      <c r="G80">
        <v>200078</v>
      </c>
      <c r="H80" t="s">
        <v>8298</v>
      </c>
      <c r="I80" t="s">
        <v>8299</v>
      </c>
      <c r="J80" t="s">
        <v>8614</v>
      </c>
      <c r="K80" t="str">
        <f t="shared" si="5"/>
        <v>1</v>
      </c>
      <c r="L80">
        <f t="shared" si="6"/>
        <v>1</v>
      </c>
      <c r="M80">
        <f t="shared" si="7"/>
        <v>1</v>
      </c>
      <c r="N80">
        <v>137.5</v>
      </c>
      <c r="O80" t="s">
        <v>5403</v>
      </c>
      <c r="P80" t="s">
        <v>6744</v>
      </c>
      <c r="Q80">
        <v>1988</v>
      </c>
      <c r="R80" t="s">
        <v>5648</v>
      </c>
      <c r="S80">
        <v>79</v>
      </c>
      <c r="T80" t="s">
        <v>6670</v>
      </c>
      <c r="U80" s="1" t="s">
        <v>7280</v>
      </c>
      <c r="V80" s="1" t="s">
        <v>7281</v>
      </c>
      <c r="W80" t="b">
        <v>0</v>
      </c>
      <c r="X80" t="s">
        <v>76</v>
      </c>
      <c r="Y80" t="s">
        <v>7587</v>
      </c>
      <c r="Z80" t="s">
        <v>6517</v>
      </c>
      <c r="AA80" t="s">
        <v>6517</v>
      </c>
      <c r="AB80" t="s">
        <v>6517</v>
      </c>
      <c r="AC80" t="s">
        <v>7934</v>
      </c>
      <c r="AD80" t="s">
        <v>7776</v>
      </c>
      <c r="AF80" t="b">
        <v>0</v>
      </c>
      <c r="AG80" t="s">
        <v>76</v>
      </c>
      <c r="AH80" s="1">
        <v>42481</v>
      </c>
      <c r="AI80" s="4">
        <v>5.3361111111111112</v>
      </c>
      <c r="AJ80">
        <v>0</v>
      </c>
      <c r="AK80">
        <v>0</v>
      </c>
      <c r="AL80">
        <v>396.5</v>
      </c>
      <c r="AM80" t="s">
        <v>326</v>
      </c>
      <c r="AP80" t="s">
        <v>6517</v>
      </c>
      <c r="AQ80" t="s">
        <v>6517</v>
      </c>
      <c r="AR80" t="s">
        <v>6517</v>
      </c>
      <c r="AS80" t="s">
        <v>6517</v>
      </c>
      <c r="AT80" t="s">
        <v>6517</v>
      </c>
      <c r="AU80" t="s">
        <v>6517</v>
      </c>
      <c r="AV80" t="s">
        <v>6517</v>
      </c>
    </row>
    <row r="81" spans="1:48" x14ac:dyDescent="0.3">
      <c r="A81" t="s">
        <v>5632</v>
      </c>
      <c r="B81">
        <f t="shared" si="4"/>
        <v>200079</v>
      </c>
      <c r="C81">
        <v>200044</v>
      </c>
      <c r="D81" t="s">
        <v>8200</v>
      </c>
      <c r="E81" t="s">
        <v>8097</v>
      </c>
      <c r="F81" t="s">
        <v>8300</v>
      </c>
      <c r="G81">
        <v>200079</v>
      </c>
      <c r="H81" t="s">
        <v>8301</v>
      </c>
      <c r="I81" t="s">
        <v>8302</v>
      </c>
      <c r="J81" t="s">
        <v>8615</v>
      </c>
      <c r="K81" t="str">
        <f t="shared" si="5"/>
        <v>9</v>
      </c>
      <c r="L81">
        <f t="shared" si="6"/>
        <v>31</v>
      </c>
      <c r="M81">
        <f t="shared" si="7"/>
        <v>1</v>
      </c>
      <c r="N81">
        <v>26.96</v>
      </c>
      <c r="O81" t="s">
        <v>5403</v>
      </c>
      <c r="P81" t="s">
        <v>6745</v>
      </c>
      <c r="Q81">
        <v>1987</v>
      </c>
      <c r="R81" t="s">
        <v>5648</v>
      </c>
      <c r="S81">
        <v>80</v>
      </c>
      <c r="T81" t="s">
        <v>6670</v>
      </c>
      <c r="U81" s="1" t="s">
        <v>7282</v>
      </c>
      <c r="V81" s="1" t="s">
        <v>7283</v>
      </c>
      <c r="W81" t="b">
        <v>0</v>
      </c>
      <c r="X81" t="s">
        <v>76</v>
      </c>
      <c r="Y81" t="s">
        <v>7588</v>
      </c>
      <c r="Z81" t="s">
        <v>6517</v>
      </c>
      <c r="AA81" t="s">
        <v>6517</v>
      </c>
      <c r="AB81" t="s">
        <v>6517</v>
      </c>
      <c r="AC81" t="s">
        <v>7935</v>
      </c>
      <c r="AD81" t="s">
        <v>7719</v>
      </c>
      <c r="AF81" t="b">
        <v>0</v>
      </c>
      <c r="AG81" t="s">
        <v>76</v>
      </c>
      <c r="AH81" s="1">
        <v>42481</v>
      </c>
      <c r="AI81" s="4">
        <v>8.2888888888888896</v>
      </c>
      <c r="AJ81">
        <v>0</v>
      </c>
      <c r="AK81">
        <v>0</v>
      </c>
      <c r="AL81">
        <v>56</v>
      </c>
      <c r="AM81" t="s">
        <v>326</v>
      </c>
      <c r="AP81" t="s">
        <v>6517</v>
      </c>
      <c r="AQ81" t="s">
        <v>6517</v>
      </c>
      <c r="AR81" t="s">
        <v>6517</v>
      </c>
      <c r="AS81" t="s">
        <v>6517</v>
      </c>
      <c r="AT81" t="s">
        <v>6517</v>
      </c>
      <c r="AU81" t="s">
        <v>6517</v>
      </c>
      <c r="AV81" t="s">
        <v>6517</v>
      </c>
    </row>
    <row r="82" spans="1:48" x14ac:dyDescent="0.3">
      <c r="A82" t="s">
        <v>5632</v>
      </c>
      <c r="B82">
        <f t="shared" si="4"/>
        <v>200080</v>
      </c>
      <c r="C82">
        <v>200045</v>
      </c>
      <c r="D82" t="s">
        <v>8203</v>
      </c>
      <c r="E82" t="s">
        <v>8097</v>
      </c>
      <c r="F82" t="s">
        <v>8137</v>
      </c>
      <c r="G82">
        <v>200080</v>
      </c>
      <c r="H82" t="s">
        <v>8303</v>
      </c>
      <c r="I82" t="s">
        <v>8304</v>
      </c>
      <c r="J82" t="s">
        <v>8616</v>
      </c>
      <c r="K82" t="str">
        <f t="shared" si="5"/>
        <v>2</v>
      </c>
      <c r="L82">
        <f>1+SUMPRODUCT((R:R=R82)*(N:N&gt;N82)*(E:E=E82))</f>
        <v>18</v>
      </c>
      <c r="M82">
        <f t="shared" si="7"/>
        <v>2</v>
      </c>
      <c r="N82">
        <v>100.29</v>
      </c>
      <c r="O82" t="s">
        <v>5403</v>
      </c>
      <c r="P82" t="s">
        <v>6746</v>
      </c>
      <c r="Q82">
        <v>2001</v>
      </c>
      <c r="R82" t="s">
        <v>5648</v>
      </c>
      <c r="S82">
        <v>81</v>
      </c>
      <c r="T82" t="s">
        <v>6670</v>
      </c>
      <c r="U82" s="1" t="s">
        <v>7284</v>
      </c>
      <c r="V82" s="1" t="s">
        <v>7285</v>
      </c>
      <c r="W82" t="b">
        <v>0</v>
      </c>
      <c r="X82" t="s">
        <v>76</v>
      </c>
      <c r="Y82" t="s">
        <v>7589</v>
      </c>
      <c r="Z82" t="s">
        <v>6517</v>
      </c>
      <c r="AA82" t="s">
        <v>6517</v>
      </c>
      <c r="AB82" t="s">
        <v>6517</v>
      </c>
      <c r="AC82" t="s">
        <v>7936</v>
      </c>
      <c r="AD82" t="s">
        <v>7777</v>
      </c>
      <c r="AF82" t="b">
        <v>0</v>
      </c>
      <c r="AG82" t="s">
        <v>76</v>
      </c>
      <c r="AH82" s="1">
        <v>42481</v>
      </c>
      <c r="AI82" s="4">
        <v>1.961111111111111</v>
      </c>
      <c r="AJ82">
        <v>0</v>
      </c>
      <c r="AK82">
        <v>0</v>
      </c>
      <c r="AL82">
        <v>295</v>
      </c>
      <c r="AM82" t="s">
        <v>326</v>
      </c>
      <c r="AP82" t="s">
        <v>6517</v>
      </c>
      <c r="AQ82" t="s">
        <v>6517</v>
      </c>
      <c r="AR82" t="s">
        <v>6517</v>
      </c>
      <c r="AS82" t="s">
        <v>6517</v>
      </c>
      <c r="AT82" t="s">
        <v>6517</v>
      </c>
      <c r="AU82" t="s">
        <v>6517</v>
      </c>
      <c r="AV82" t="s">
        <v>6517</v>
      </c>
    </row>
    <row r="83" spans="1:48" x14ac:dyDescent="0.3">
      <c r="A83" t="s">
        <v>5632</v>
      </c>
      <c r="B83">
        <f t="shared" si="4"/>
        <v>200081</v>
      </c>
      <c r="C83">
        <v>200045</v>
      </c>
      <c r="D83" t="s">
        <v>8203</v>
      </c>
      <c r="E83" t="s">
        <v>8097</v>
      </c>
      <c r="F83" t="s">
        <v>8305</v>
      </c>
      <c r="G83">
        <v>200081</v>
      </c>
      <c r="H83" t="s">
        <v>8306</v>
      </c>
      <c r="I83" t="s">
        <v>8307</v>
      </c>
      <c r="J83" t="s">
        <v>8614</v>
      </c>
      <c r="K83" t="str">
        <f t="shared" si="5"/>
        <v>1</v>
      </c>
      <c r="L83">
        <f>1+SUMPRODUCT((R:R=R83)*(N:N&gt;N83)*(E:E=E83))</f>
        <v>9</v>
      </c>
      <c r="M83">
        <f t="shared" si="7"/>
        <v>1</v>
      </c>
      <c r="N83">
        <v>205.39</v>
      </c>
      <c r="O83" t="s">
        <v>5403</v>
      </c>
      <c r="P83" t="s">
        <v>6747</v>
      </c>
      <c r="Q83">
        <v>2009</v>
      </c>
      <c r="R83" t="s">
        <v>5648</v>
      </c>
      <c r="S83">
        <v>82</v>
      </c>
      <c r="T83" t="s">
        <v>6670</v>
      </c>
      <c r="U83" s="1" t="s">
        <v>7156</v>
      </c>
      <c r="V83" s="1" t="s">
        <v>7286</v>
      </c>
      <c r="W83" t="b">
        <v>0</v>
      </c>
      <c r="X83" t="s">
        <v>76</v>
      </c>
      <c r="Y83" t="s">
        <v>7590</v>
      </c>
      <c r="Z83" t="s">
        <v>6517</v>
      </c>
      <c r="AA83" t="s">
        <v>6517</v>
      </c>
      <c r="AB83" t="s">
        <v>6517</v>
      </c>
      <c r="AC83" t="s">
        <v>7937</v>
      </c>
      <c r="AD83" t="s">
        <v>7778</v>
      </c>
      <c r="AF83" t="b">
        <v>0</v>
      </c>
      <c r="AG83" t="s">
        <v>76</v>
      </c>
      <c r="AH83" s="1">
        <v>42481</v>
      </c>
      <c r="AI83" s="4">
        <v>1.5555555555555556</v>
      </c>
      <c r="AJ83">
        <v>0</v>
      </c>
      <c r="AK83">
        <v>0</v>
      </c>
      <c r="AL83">
        <v>611.5</v>
      </c>
      <c r="AM83" t="s">
        <v>326</v>
      </c>
      <c r="AP83" t="s">
        <v>6517</v>
      </c>
      <c r="AQ83" t="s">
        <v>6517</v>
      </c>
      <c r="AR83" t="s">
        <v>6517</v>
      </c>
      <c r="AS83" t="s">
        <v>6517</v>
      </c>
      <c r="AT83" t="s">
        <v>6517</v>
      </c>
      <c r="AU83" t="s">
        <v>6517</v>
      </c>
      <c r="AV83" t="s">
        <v>6517</v>
      </c>
    </row>
    <row r="84" spans="1:48" x14ac:dyDescent="0.3">
      <c r="A84" t="s">
        <v>5632</v>
      </c>
      <c r="B84">
        <f t="shared" si="4"/>
        <v>200082</v>
      </c>
      <c r="C84">
        <v>200045</v>
      </c>
      <c r="D84" t="s">
        <v>8203</v>
      </c>
      <c r="E84" t="s">
        <v>8097</v>
      </c>
      <c r="F84" t="s">
        <v>8308</v>
      </c>
      <c r="G84">
        <v>200082</v>
      </c>
      <c r="H84" t="s">
        <v>8309</v>
      </c>
      <c r="I84" t="s">
        <v>8310</v>
      </c>
      <c r="J84" t="s">
        <v>8615</v>
      </c>
      <c r="K84" t="str">
        <f t="shared" si="5"/>
        <v>9</v>
      </c>
      <c r="L84">
        <f t="shared" si="6"/>
        <v>28</v>
      </c>
      <c r="M84">
        <f t="shared" si="7"/>
        <v>3</v>
      </c>
      <c r="N84">
        <v>45.8</v>
      </c>
      <c r="O84" t="s">
        <v>5403</v>
      </c>
      <c r="P84" t="s">
        <v>6748</v>
      </c>
      <c r="Q84">
        <v>2003</v>
      </c>
      <c r="R84" t="s">
        <v>5648</v>
      </c>
      <c r="S84">
        <v>83</v>
      </c>
      <c r="T84" t="s">
        <v>6670</v>
      </c>
      <c r="U84" s="1" t="s">
        <v>7287</v>
      </c>
      <c r="V84" s="1" t="s">
        <v>7288</v>
      </c>
      <c r="W84" t="b">
        <v>0</v>
      </c>
      <c r="X84" t="s">
        <v>76</v>
      </c>
      <c r="Y84" t="s">
        <v>7591</v>
      </c>
      <c r="Z84" t="s">
        <v>6517</v>
      </c>
      <c r="AA84" t="s">
        <v>6517</v>
      </c>
      <c r="AB84" t="s">
        <v>6517</v>
      </c>
      <c r="AC84" t="s">
        <v>7938</v>
      </c>
      <c r="AD84" t="s">
        <v>7779</v>
      </c>
      <c r="AF84" t="b">
        <v>0</v>
      </c>
      <c r="AG84" t="s">
        <v>76</v>
      </c>
      <c r="AH84" s="1">
        <v>42481</v>
      </c>
      <c r="AI84" s="4">
        <v>3.1361111111111111</v>
      </c>
      <c r="AJ84">
        <v>0</v>
      </c>
      <c r="AK84">
        <v>0</v>
      </c>
      <c r="AL84">
        <v>128</v>
      </c>
      <c r="AM84" t="s">
        <v>326</v>
      </c>
      <c r="AP84" t="s">
        <v>6517</v>
      </c>
      <c r="AQ84" t="s">
        <v>6517</v>
      </c>
      <c r="AR84" t="s">
        <v>6517</v>
      </c>
      <c r="AS84" t="s">
        <v>6517</v>
      </c>
      <c r="AT84" t="s">
        <v>6517</v>
      </c>
      <c r="AU84" t="s">
        <v>6517</v>
      </c>
      <c r="AV84" t="s">
        <v>6517</v>
      </c>
    </row>
    <row r="85" spans="1:48" x14ac:dyDescent="0.3">
      <c r="A85" t="s">
        <v>5632</v>
      </c>
      <c r="B85">
        <f t="shared" si="4"/>
        <v>200083</v>
      </c>
      <c r="C85">
        <v>200046</v>
      </c>
      <c r="D85" t="s">
        <v>8206</v>
      </c>
      <c r="E85" t="s">
        <v>8097</v>
      </c>
      <c r="F85" t="s">
        <v>8194</v>
      </c>
      <c r="G85">
        <v>200083</v>
      </c>
      <c r="H85" t="s">
        <v>8311</v>
      </c>
      <c r="I85" t="s">
        <v>8312</v>
      </c>
      <c r="J85" t="s">
        <v>8614</v>
      </c>
      <c r="K85" t="str">
        <f t="shared" si="5"/>
        <v>1</v>
      </c>
      <c r="L85">
        <f>1+SUMPRODUCT((R:R=R85)*(N:N&gt;N85)*(E:E=E85))</f>
        <v>10</v>
      </c>
      <c r="M85">
        <f t="shared" si="7"/>
        <v>1</v>
      </c>
      <c r="N85">
        <v>188.14</v>
      </c>
      <c r="O85" t="s">
        <v>5403</v>
      </c>
      <c r="P85" t="s">
        <v>6749</v>
      </c>
      <c r="Q85">
        <v>2012</v>
      </c>
      <c r="R85" t="s">
        <v>5648</v>
      </c>
      <c r="S85">
        <v>84</v>
      </c>
      <c r="T85" t="s">
        <v>6670</v>
      </c>
      <c r="U85" s="1" t="s">
        <v>7289</v>
      </c>
      <c r="V85" s="1" t="s">
        <v>7290</v>
      </c>
      <c r="W85" t="b">
        <v>0</v>
      </c>
      <c r="X85" t="s">
        <v>76</v>
      </c>
      <c r="Y85" t="s">
        <v>7592</v>
      </c>
      <c r="Z85" t="s">
        <v>6517</v>
      </c>
      <c r="AA85" t="s">
        <v>6517</v>
      </c>
      <c r="AB85" t="s">
        <v>6517</v>
      </c>
      <c r="AC85" t="s">
        <v>7939</v>
      </c>
      <c r="AD85" t="s">
        <v>7780</v>
      </c>
      <c r="AF85" t="b">
        <v>0</v>
      </c>
      <c r="AG85" t="s">
        <v>76</v>
      </c>
      <c r="AH85" s="1">
        <v>42481</v>
      </c>
      <c r="AI85" s="4">
        <v>10.638888888888889</v>
      </c>
      <c r="AJ85">
        <v>0</v>
      </c>
      <c r="AK85">
        <v>0</v>
      </c>
      <c r="AL85">
        <v>532.5</v>
      </c>
      <c r="AM85" t="s">
        <v>326</v>
      </c>
      <c r="AP85" t="s">
        <v>6517</v>
      </c>
      <c r="AQ85" t="s">
        <v>6517</v>
      </c>
      <c r="AR85" t="s">
        <v>6517</v>
      </c>
      <c r="AS85" t="s">
        <v>6517</v>
      </c>
      <c r="AT85" t="s">
        <v>6517</v>
      </c>
      <c r="AU85" t="s">
        <v>6517</v>
      </c>
      <c r="AV85" t="s">
        <v>6517</v>
      </c>
    </row>
    <row r="86" spans="1:48" x14ac:dyDescent="0.3">
      <c r="A86" t="s">
        <v>5632</v>
      </c>
      <c r="B86">
        <f t="shared" si="4"/>
        <v>200084</v>
      </c>
      <c r="C86">
        <v>200047</v>
      </c>
      <c r="D86" t="s">
        <v>8208</v>
      </c>
      <c r="E86" t="s">
        <v>8313</v>
      </c>
      <c r="F86" t="s">
        <v>8314</v>
      </c>
      <c r="G86">
        <v>200084</v>
      </c>
      <c r="H86" t="s">
        <v>8315</v>
      </c>
      <c r="I86" t="s">
        <v>8316</v>
      </c>
      <c r="J86" t="s">
        <v>8614</v>
      </c>
      <c r="K86" t="str">
        <f t="shared" si="5"/>
        <v>1</v>
      </c>
      <c r="L86">
        <f t="shared" si="6"/>
        <v>1</v>
      </c>
      <c r="M86">
        <f t="shared" si="7"/>
        <v>1</v>
      </c>
      <c r="N86">
        <v>153.19999999999999</v>
      </c>
      <c r="O86" t="s">
        <v>5403</v>
      </c>
      <c r="P86" t="s">
        <v>6750</v>
      </c>
      <c r="Q86">
        <v>1982</v>
      </c>
      <c r="R86" t="s">
        <v>5648</v>
      </c>
      <c r="S86">
        <v>85</v>
      </c>
      <c r="T86" t="s">
        <v>6670</v>
      </c>
      <c r="U86" s="1" t="s">
        <v>7291</v>
      </c>
      <c r="V86" s="1" t="s">
        <v>7292</v>
      </c>
      <c r="W86" t="b">
        <v>0</v>
      </c>
      <c r="X86" t="s">
        <v>76</v>
      </c>
      <c r="Y86" t="s">
        <v>7593</v>
      </c>
      <c r="Z86" t="s">
        <v>6517</v>
      </c>
      <c r="AA86" t="s">
        <v>6517</v>
      </c>
      <c r="AB86" t="s">
        <v>6517</v>
      </c>
      <c r="AC86" t="s">
        <v>7940</v>
      </c>
      <c r="AD86" t="s">
        <v>7781</v>
      </c>
      <c r="AF86" t="b">
        <v>0</v>
      </c>
      <c r="AG86" t="s">
        <v>76</v>
      </c>
      <c r="AH86" s="1">
        <v>42481</v>
      </c>
      <c r="AI86" s="4">
        <v>9.8638888888888889</v>
      </c>
      <c r="AJ86">
        <v>0</v>
      </c>
      <c r="AK86">
        <v>0</v>
      </c>
      <c r="AL86">
        <v>430</v>
      </c>
      <c r="AM86" t="s">
        <v>326</v>
      </c>
      <c r="AP86" t="s">
        <v>6517</v>
      </c>
      <c r="AQ86" t="s">
        <v>6517</v>
      </c>
      <c r="AR86" t="s">
        <v>6517</v>
      </c>
      <c r="AS86" t="s">
        <v>6517</v>
      </c>
      <c r="AT86" t="s">
        <v>6517</v>
      </c>
      <c r="AU86" t="s">
        <v>6517</v>
      </c>
      <c r="AV86" t="s">
        <v>6517</v>
      </c>
    </row>
    <row r="87" spans="1:48" x14ac:dyDescent="0.3">
      <c r="A87" t="s">
        <v>5632</v>
      </c>
      <c r="B87">
        <f t="shared" si="4"/>
        <v>200085</v>
      </c>
      <c r="C87">
        <v>200048</v>
      </c>
      <c r="D87" t="s">
        <v>8211</v>
      </c>
      <c r="E87" t="s">
        <v>8097</v>
      </c>
      <c r="F87" t="s">
        <v>8317</v>
      </c>
      <c r="G87">
        <v>200085</v>
      </c>
      <c r="H87" t="s">
        <v>8318</v>
      </c>
      <c r="I87" t="s">
        <v>8319</v>
      </c>
      <c r="J87" t="s">
        <v>8616</v>
      </c>
      <c r="K87" t="str">
        <f t="shared" si="5"/>
        <v>2</v>
      </c>
      <c r="L87">
        <f t="shared" si="6"/>
        <v>16</v>
      </c>
      <c r="M87">
        <f t="shared" si="7"/>
        <v>1</v>
      </c>
      <c r="N87">
        <v>114.65</v>
      </c>
      <c r="O87" t="s">
        <v>5403</v>
      </c>
      <c r="P87" t="s">
        <v>6751</v>
      </c>
      <c r="Q87">
        <v>2017</v>
      </c>
      <c r="R87" t="s">
        <v>5648</v>
      </c>
      <c r="S87">
        <v>86</v>
      </c>
      <c r="T87" t="s">
        <v>6670</v>
      </c>
      <c r="U87" s="1" t="s">
        <v>7293</v>
      </c>
      <c r="V87" s="1" t="s">
        <v>7294</v>
      </c>
      <c r="W87" t="b">
        <v>0</v>
      </c>
      <c r="X87" t="s">
        <v>76</v>
      </c>
      <c r="Y87" t="s">
        <v>7594</v>
      </c>
      <c r="Z87" t="s">
        <v>6517</v>
      </c>
      <c r="AA87" t="s">
        <v>6517</v>
      </c>
      <c r="AB87" t="s">
        <v>6517</v>
      </c>
      <c r="AC87" t="s">
        <v>7941</v>
      </c>
      <c r="AD87" t="s">
        <v>7782</v>
      </c>
      <c r="AF87" t="b">
        <v>0</v>
      </c>
      <c r="AG87" t="s">
        <v>76</v>
      </c>
      <c r="AH87" s="1">
        <v>42481</v>
      </c>
      <c r="AI87" s="4">
        <v>6.4833333333333334</v>
      </c>
      <c r="AJ87">
        <v>0</v>
      </c>
      <c r="AK87">
        <v>0</v>
      </c>
      <c r="AL87">
        <v>324.5</v>
      </c>
      <c r="AM87" t="s">
        <v>326</v>
      </c>
      <c r="AP87" t="s">
        <v>6517</v>
      </c>
      <c r="AQ87" t="s">
        <v>6517</v>
      </c>
      <c r="AR87" t="s">
        <v>6517</v>
      </c>
      <c r="AS87" t="s">
        <v>6517</v>
      </c>
      <c r="AT87" t="s">
        <v>6517</v>
      </c>
      <c r="AU87" t="s">
        <v>6517</v>
      </c>
      <c r="AV87" t="s">
        <v>6517</v>
      </c>
    </row>
    <row r="88" spans="1:48" x14ac:dyDescent="0.3">
      <c r="A88" t="s">
        <v>5632</v>
      </c>
      <c r="B88">
        <f t="shared" si="4"/>
        <v>200086</v>
      </c>
      <c r="C88">
        <v>200049</v>
      </c>
      <c r="D88" t="s">
        <v>8213</v>
      </c>
      <c r="E88" t="s">
        <v>8097</v>
      </c>
      <c r="F88" t="s">
        <v>8320</v>
      </c>
      <c r="G88">
        <v>200086</v>
      </c>
      <c r="H88" t="s">
        <v>8321</v>
      </c>
      <c r="I88" t="s">
        <v>8322</v>
      </c>
      <c r="J88">
        <v>9</v>
      </c>
      <c r="K88" t="str">
        <f t="shared" si="5"/>
        <v>2</v>
      </c>
      <c r="L88">
        <f t="shared" si="6"/>
        <v>19</v>
      </c>
      <c r="M88">
        <f t="shared" si="7"/>
        <v>2</v>
      </c>
      <c r="N88">
        <v>97.85</v>
      </c>
      <c r="O88" t="s">
        <v>5403</v>
      </c>
      <c r="P88" t="s">
        <v>6752</v>
      </c>
      <c r="Q88">
        <v>1989</v>
      </c>
      <c r="R88" t="s">
        <v>5648</v>
      </c>
      <c r="S88">
        <v>87</v>
      </c>
      <c r="T88" t="s">
        <v>6670</v>
      </c>
      <c r="U88" s="1" t="s">
        <v>7295</v>
      </c>
      <c r="V88" s="1" t="s">
        <v>7296</v>
      </c>
      <c r="W88" t="b">
        <v>0</v>
      </c>
      <c r="X88" t="s">
        <v>76</v>
      </c>
      <c r="Y88" t="s">
        <v>7595</v>
      </c>
      <c r="Z88" t="s">
        <v>6517</v>
      </c>
      <c r="AA88" t="s">
        <v>6517</v>
      </c>
      <c r="AB88" t="s">
        <v>6517</v>
      </c>
      <c r="AC88" t="s">
        <v>7942</v>
      </c>
      <c r="AD88" t="s">
        <v>7783</v>
      </c>
      <c r="AF88" t="b">
        <v>0</v>
      </c>
      <c r="AG88" t="s">
        <v>76</v>
      </c>
      <c r="AH88" s="1">
        <v>42481</v>
      </c>
      <c r="AI88" s="4">
        <v>9.3527777777777779</v>
      </c>
      <c r="AJ88">
        <v>0</v>
      </c>
      <c r="AK88">
        <v>0</v>
      </c>
      <c r="AL88">
        <v>265.5</v>
      </c>
      <c r="AM88" t="s">
        <v>5696</v>
      </c>
      <c r="AN88" t="s">
        <v>6894</v>
      </c>
      <c r="AO88" s="1">
        <v>42452</v>
      </c>
      <c r="AP88" t="s">
        <v>6517</v>
      </c>
      <c r="AQ88" t="s">
        <v>6517</v>
      </c>
      <c r="AR88" t="s">
        <v>6517</v>
      </c>
      <c r="AS88" t="s">
        <v>6517</v>
      </c>
      <c r="AT88" t="s">
        <v>6517</v>
      </c>
      <c r="AU88" t="s">
        <v>6517</v>
      </c>
      <c r="AV88" t="s">
        <v>6517</v>
      </c>
    </row>
    <row r="89" spans="1:48" x14ac:dyDescent="0.3">
      <c r="A89" t="s">
        <v>5632</v>
      </c>
      <c r="B89">
        <f t="shared" si="4"/>
        <v>200087</v>
      </c>
      <c r="C89">
        <v>200049</v>
      </c>
      <c r="D89" t="s">
        <v>8213</v>
      </c>
      <c r="E89" t="s">
        <v>8097</v>
      </c>
      <c r="F89" t="s">
        <v>8323</v>
      </c>
      <c r="G89">
        <v>200087</v>
      </c>
      <c r="H89" t="s">
        <v>8324</v>
      </c>
      <c r="I89" t="s">
        <v>8325</v>
      </c>
      <c r="J89" t="s">
        <v>8616</v>
      </c>
      <c r="K89" t="str">
        <f t="shared" si="5"/>
        <v>2</v>
      </c>
      <c r="L89">
        <f t="shared" si="6"/>
        <v>13</v>
      </c>
      <c r="M89">
        <f t="shared" si="7"/>
        <v>1</v>
      </c>
      <c r="N89">
        <v>166.83</v>
      </c>
      <c r="O89" t="s">
        <v>5403</v>
      </c>
      <c r="P89" t="s">
        <v>6753</v>
      </c>
      <c r="Q89">
        <v>2001</v>
      </c>
      <c r="R89" t="s">
        <v>5648</v>
      </c>
      <c r="S89">
        <v>88</v>
      </c>
      <c r="T89" t="s">
        <v>6670</v>
      </c>
      <c r="U89" s="1" t="s">
        <v>7297</v>
      </c>
      <c r="V89" s="1" t="s">
        <v>7298</v>
      </c>
      <c r="W89" t="b">
        <v>0</v>
      </c>
      <c r="X89" t="s">
        <v>76</v>
      </c>
      <c r="Y89" t="s">
        <v>7596</v>
      </c>
      <c r="Z89" t="s">
        <v>6517</v>
      </c>
      <c r="AA89" t="s">
        <v>6517</v>
      </c>
      <c r="AB89" t="s">
        <v>6517</v>
      </c>
      <c r="AC89" t="s">
        <v>7943</v>
      </c>
      <c r="AD89" t="s">
        <v>7784</v>
      </c>
      <c r="AF89" t="b">
        <v>0</v>
      </c>
      <c r="AG89" t="s">
        <v>76</v>
      </c>
      <c r="AH89" s="1">
        <v>42481</v>
      </c>
      <c r="AI89" s="4">
        <v>1.8333333333333333</v>
      </c>
      <c r="AJ89">
        <v>0</v>
      </c>
      <c r="AK89">
        <v>0</v>
      </c>
      <c r="AL89">
        <v>495</v>
      </c>
      <c r="AM89" t="s">
        <v>326</v>
      </c>
      <c r="AP89" t="s">
        <v>6517</v>
      </c>
      <c r="AQ89" t="s">
        <v>6517</v>
      </c>
      <c r="AR89" t="s">
        <v>6517</v>
      </c>
      <c r="AS89" t="s">
        <v>6517</v>
      </c>
      <c r="AT89" t="s">
        <v>6517</v>
      </c>
      <c r="AU89" t="s">
        <v>6517</v>
      </c>
      <c r="AV89" t="s">
        <v>6517</v>
      </c>
    </row>
    <row r="90" spans="1:48" x14ac:dyDescent="0.3">
      <c r="A90" t="s">
        <v>5632</v>
      </c>
      <c r="B90">
        <f t="shared" si="4"/>
        <v>200088</v>
      </c>
      <c r="C90">
        <v>200050</v>
      </c>
      <c r="D90" t="s">
        <v>8216</v>
      </c>
      <c r="E90" t="s">
        <v>8226</v>
      </c>
      <c r="F90" t="s">
        <v>8243</v>
      </c>
      <c r="G90">
        <v>200088</v>
      </c>
      <c r="H90" t="s">
        <v>8326</v>
      </c>
      <c r="I90" t="s">
        <v>8327</v>
      </c>
      <c r="J90" t="s">
        <v>8615</v>
      </c>
      <c r="K90" t="str">
        <f t="shared" si="5"/>
        <v>9</v>
      </c>
      <c r="L90">
        <f t="shared" si="6"/>
        <v>6</v>
      </c>
      <c r="M90">
        <f t="shared" si="7"/>
        <v>3</v>
      </c>
      <c r="N90">
        <v>13.71</v>
      </c>
      <c r="O90" t="s">
        <v>5403</v>
      </c>
      <c r="P90" t="s">
        <v>6754</v>
      </c>
      <c r="Q90">
        <v>2002</v>
      </c>
      <c r="R90" t="s">
        <v>5648</v>
      </c>
      <c r="S90">
        <v>89</v>
      </c>
      <c r="T90" t="s">
        <v>6670</v>
      </c>
      <c r="U90" s="1" t="s">
        <v>7299</v>
      </c>
      <c r="V90" s="1" t="s">
        <v>7300</v>
      </c>
      <c r="W90" t="b">
        <v>0</v>
      </c>
      <c r="X90" t="s">
        <v>76</v>
      </c>
      <c r="Y90" t="s">
        <v>7597</v>
      </c>
      <c r="Z90" t="s">
        <v>6517</v>
      </c>
      <c r="AA90" t="s">
        <v>6517</v>
      </c>
      <c r="AB90" t="s">
        <v>6517</v>
      </c>
      <c r="AC90" t="s">
        <v>7944</v>
      </c>
      <c r="AD90" t="s">
        <v>7734</v>
      </c>
      <c r="AF90" t="b">
        <v>0</v>
      </c>
      <c r="AG90" t="s">
        <v>76</v>
      </c>
      <c r="AH90" s="1">
        <v>42481</v>
      </c>
      <c r="AI90" s="4">
        <v>5.0472222222222225</v>
      </c>
      <c r="AJ90">
        <v>0</v>
      </c>
      <c r="AK90">
        <v>0</v>
      </c>
      <c r="AL90">
        <v>26</v>
      </c>
      <c r="AM90" t="s">
        <v>326</v>
      </c>
      <c r="AP90" t="s">
        <v>6517</v>
      </c>
      <c r="AQ90" t="s">
        <v>6517</v>
      </c>
      <c r="AR90" t="s">
        <v>6517</v>
      </c>
      <c r="AS90" t="s">
        <v>6517</v>
      </c>
      <c r="AT90" t="s">
        <v>6517</v>
      </c>
      <c r="AU90" t="s">
        <v>6517</v>
      </c>
      <c r="AV90" t="s">
        <v>6517</v>
      </c>
    </row>
    <row r="91" spans="1:48" x14ac:dyDescent="0.3">
      <c r="A91" t="s">
        <v>5632</v>
      </c>
      <c r="B91">
        <f t="shared" si="4"/>
        <v>200089</v>
      </c>
      <c r="C91">
        <v>200050</v>
      </c>
      <c r="D91" t="s">
        <v>8216</v>
      </c>
      <c r="E91" t="s">
        <v>8226</v>
      </c>
      <c r="F91" t="s">
        <v>8328</v>
      </c>
      <c r="G91">
        <v>200089</v>
      </c>
      <c r="H91" t="s">
        <v>8329</v>
      </c>
      <c r="I91" t="s">
        <v>8330</v>
      </c>
      <c r="J91" t="s">
        <v>8614</v>
      </c>
      <c r="K91" t="str">
        <f t="shared" si="5"/>
        <v>1</v>
      </c>
      <c r="L91">
        <f t="shared" si="6"/>
        <v>2</v>
      </c>
      <c r="M91">
        <f t="shared" si="7"/>
        <v>1</v>
      </c>
      <c r="N91">
        <v>89.63</v>
      </c>
      <c r="O91" t="s">
        <v>5403</v>
      </c>
      <c r="P91" t="s">
        <v>6755</v>
      </c>
      <c r="Q91">
        <v>1991</v>
      </c>
      <c r="R91" t="s">
        <v>5648</v>
      </c>
      <c r="S91">
        <v>90</v>
      </c>
      <c r="T91" t="s">
        <v>6670</v>
      </c>
      <c r="U91" s="1" t="s">
        <v>7301</v>
      </c>
      <c r="V91" s="1" t="s">
        <v>7302</v>
      </c>
      <c r="W91" t="b">
        <v>0</v>
      </c>
      <c r="X91" t="s">
        <v>76</v>
      </c>
      <c r="Y91" t="s">
        <v>7598</v>
      </c>
      <c r="Z91" t="s">
        <v>6517</v>
      </c>
      <c r="AA91" t="s">
        <v>6517</v>
      </c>
      <c r="AB91" t="s">
        <v>6517</v>
      </c>
      <c r="AC91" t="s">
        <v>7945</v>
      </c>
      <c r="AD91" t="s">
        <v>7785</v>
      </c>
      <c r="AF91" t="b">
        <v>0</v>
      </c>
      <c r="AG91" t="s">
        <v>76</v>
      </c>
      <c r="AH91" s="1">
        <v>42481</v>
      </c>
      <c r="AI91" s="4">
        <v>6.9611111111111112</v>
      </c>
      <c r="AJ91">
        <v>0</v>
      </c>
      <c r="AK91">
        <v>0</v>
      </c>
      <c r="AL91">
        <v>248</v>
      </c>
      <c r="AM91" t="s">
        <v>326</v>
      </c>
      <c r="AP91" t="s">
        <v>6517</v>
      </c>
      <c r="AQ91" t="s">
        <v>6517</v>
      </c>
      <c r="AR91" t="s">
        <v>6517</v>
      </c>
      <c r="AS91" t="s">
        <v>6517</v>
      </c>
      <c r="AT91" t="s">
        <v>6517</v>
      </c>
      <c r="AU91" t="s">
        <v>6517</v>
      </c>
      <c r="AV91" t="s">
        <v>6517</v>
      </c>
    </row>
    <row r="92" spans="1:48" x14ac:dyDescent="0.3">
      <c r="A92" t="s">
        <v>5632</v>
      </c>
      <c r="B92">
        <f t="shared" si="4"/>
        <v>200090</v>
      </c>
      <c r="C92">
        <v>200050</v>
      </c>
      <c r="D92" t="s">
        <v>8216</v>
      </c>
      <c r="E92" t="s">
        <v>8226</v>
      </c>
      <c r="F92" t="s">
        <v>8331</v>
      </c>
      <c r="G92">
        <v>200090</v>
      </c>
      <c r="H92" t="s">
        <v>8332</v>
      </c>
      <c r="I92" t="s">
        <v>8333</v>
      </c>
      <c r="J92" t="s">
        <v>8616</v>
      </c>
      <c r="K92" t="str">
        <f t="shared" si="5"/>
        <v>2</v>
      </c>
      <c r="L92">
        <f t="shared" si="6"/>
        <v>3</v>
      </c>
      <c r="M92">
        <f t="shared" si="7"/>
        <v>2</v>
      </c>
      <c r="N92">
        <v>56.63</v>
      </c>
      <c r="O92" t="s">
        <v>5403</v>
      </c>
      <c r="P92" t="s">
        <v>6756</v>
      </c>
      <c r="Q92">
        <v>2017</v>
      </c>
      <c r="R92" t="s">
        <v>5648</v>
      </c>
      <c r="S92">
        <v>91</v>
      </c>
      <c r="T92" t="s">
        <v>6670</v>
      </c>
      <c r="U92" s="1" t="s">
        <v>7303</v>
      </c>
      <c r="V92" s="1" t="s">
        <v>7304</v>
      </c>
      <c r="W92" t="b">
        <v>0</v>
      </c>
      <c r="X92" t="s">
        <v>76</v>
      </c>
      <c r="Y92" t="s">
        <v>7599</v>
      </c>
      <c r="Z92" t="s">
        <v>6517</v>
      </c>
      <c r="AA92" t="s">
        <v>6517</v>
      </c>
      <c r="AB92" t="s">
        <v>6517</v>
      </c>
      <c r="AC92" t="s">
        <v>7946</v>
      </c>
      <c r="AD92" t="s">
        <v>7779</v>
      </c>
      <c r="AF92" t="b">
        <v>0</v>
      </c>
      <c r="AG92" t="s">
        <v>76</v>
      </c>
      <c r="AH92" s="1">
        <v>42481</v>
      </c>
      <c r="AI92" s="4">
        <v>11.291666666666666</v>
      </c>
      <c r="AJ92">
        <v>0</v>
      </c>
      <c r="AK92">
        <v>0</v>
      </c>
      <c r="AL92">
        <v>136</v>
      </c>
      <c r="AM92" t="s">
        <v>326</v>
      </c>
      <c r="AP92" t="s">
        <v>6517</v>
      </c>
      <c r="AQ92" t="s">
        <v>6517</v>
      </c>
      <c r="AR92" t="s">
        <v>6517</v>
      </c>
      <c r="AS92" t="s">
        <v>6517</v>
      </c>
      <c r="AT92" t="s">
        <v>6517</v>
      </c>
      <c r="AU92" t="s">
        <v>6517</v>
      </c>
      <c r="AV92" t="s">
        <v>6517</v>
      </c>
    </row>
    <row r="93" spans="1:48" x14ac:dyDescent="0.3">
      <c r="A93" t="s">
        <v>5632</v>
      </c>
      <c r="B93">
        <f t="shared" si="4"/>
        <v>200091</v>
      </c>
      <c r="C93">
        <v>200051</v>
      </c>
      <c r="D93" t="s">
        <v>8219</v>
      </c>
      <c r="E93" t="s">
        <v>8171</v>
      </c>
      <c r="F93" t="s">
        <v>8109</v>
      </c>
      <c r="G93">
        <v>200091</v>
      </c>
      <c r="H93" t="s">
        <v>8334</v>
      </c>
      <c r="I93" t="s">
        <v>8335</v>
      </c>
      <c r="J93" t="s">
        <v>8614</v>
      </c>
      <c r="K93" t="str">
        <f t="shared" si="5"/>
        <v>1</v>
      </c>
      <c r="L93">
        <f t="shared" si="6"/>
        <v>2</v>
      </c>
      <c r="M93">
        <f t="shared" si="7"/>
        <v>1</v>
      </c>
      <c r="N93">
        <v>149.53</v>
      </c>
      <c r="O93" t="s">
        <v>5403</v>
      </c>
      <c r="P93" t="s">
        <v>6757</v>
      </c>
      <c r="Q93">
        <v>2014</v>
      </c>
      <c r="R93" t="s">
        <v>5648</v>
      </c>
      <c r="S93">
        <v>92</v>
      </c>
      <c r="T93" t="s">
        <v>6670</v>
      </c>
      <c r="U93" s="1" t="s">
        <v>7305</v>
      </c>
      <c r="V93" s="1" t="s">
        <v>7306</v>
      </c>
      <c r="W93" t="b">
        <v>0</v>
      </c>
      <c r="X93" t="s">
        <v>76</v>
      </c>
      <c r="Y93" t="s">
        <v>7600</v>
      </c>
      <c r="Z93" t="s">
        <v>6517</v>
      </c>
      <c r="AA93" t="s">
        <v>6517</v>
      </c>
      <c r="AB93" t="s">
        <v>6517</v>
      </c>
      <c r="AC93" t="s">
        <v>7947</v>
      </c>
      <c r="AD93" t="s">
        <v>7710</v>
      </c>
      <c r="AF93" t="b">
        <v>0</v>
      </c>
      <c r="AG93" t="s">
        <v>76</v>
      </c>
      <c r="AH93" s="1">
        <v>42481</v>
      </c>
      <c r="AI93" s="4">
        <v>1.2</v>
      </c>
      <c r="AJ93">
        <v>0</v>
      </c>
      <c r="AK93">
        <v>0</v>
      </c>
      <c r="AL93">
        <v>445</v>
      </c>
      <c r="AM93" t="s">
        <v>326</v>
      </c>
      <c r="AP93" t="s">
        <v>6517</v>
      </c>
      <c r="AQ93" t="s">
        <v>6517</v>
      </c>
      <c r="AR93" t="s">
        <v>6517</v>
      </c>
      <c r="AS93" t="s">
        <v>6517</v>
      </c>
      <c r="AT93" t="s">
        <v>6517</v>
      </c>
      <c r="AU93" t="s">
        <v>6517</v>
      </c>
      <c r="AV93" t="s">
        <v>6517</v>
      </c>
    </row>
    <row r="94" spans="1:48" x14ac:dyDescent="0.3">
      <c r="A94" t="s">
        <v>5632</v>
      </c>
      <c r="B94">
        <f t="shared" si="4"/>
        <v>200092</v>
      </c>
      <c r="C94">
        <v>200052</v>
      </c>
      <c r="D94" t="s">
        <v>8222</v>
      </c>
      <c r="E94" t="s">
        <v>8142</v>
      </c>
      <c r="F94" t="s">
        <v>8227</v>
      </c>
      <c r="G94">
        <v>200092</v>
      </c>
      <c r="H94" t="s">
        <v>8336</v>
      </c>
      <c r="I94" t="s">
        <v>8337</v>
      </c>
      <c r="J94" t="s">
        <v>8616</v>
      </c>
      <c r="K94" t="str">
        <f t="shared" si="5"/>
        <v>2</v>
      </c>
      <c r="L94">
        <f t="shared" si="6"/>
        <v>5</v>
      </c>
      <c r="M94">
        <f t="shared" si="7"/>
        <v>2</v>
      </c>
      <c r="N94">
        <v>12.96</v>
      </c>
      <c r="O94" t="s">
        <v>5403</v>
      </c>
      <c r="P94" t="s">
        <v>6758</v>
      </c>
      <c r="Q94">
        <v>1996</v>
      </c>
      <c r="R94" t="s">
        <v>5648</v>
      </c>
      <c r="S94">
        <v>93</v>
      </c>
      <c r="T94" t="s">
        <v>6670</v>
      </c>
      <c r="U94" s="1" t="s">
        <v>7307</v>
      </c>
      <c r="V94" s="1" t="s">
        <v>7308</v>
      </c>
      <c r="W94" t="b">
        <v>0</v>
      </c>
      <c r="X94" t="s">
        <v>76</v>
      </c>
      <c r="Y94" t="s">
        <v>7601</v>
      </c>
      <c r="Z94" t="s">
        <v>6517</v>
      </c>
      <c r="AA94" t="s">
        <v>6517</v>
      </c>
      <c r="AB94" t="s">
        <v>6517</v>
      </c>
      <c r="AC94" t="s">
        <v>7948</v>
      </c>
      <c r="AD94" t="s">
        <v>7786</v>
      </c>
      <c r="AF94" t="b">
        <v>0</v>
      </c>
      <c r="AG94" t="s">
        <v>76</v>
      </c>
      <c r="AH94" s="1">
        <v>42481</v>
      </c>
      <c r="AI94" s="4">
        <v>5.291666666666667</v>
      </c>
      <c r="AJ94">
        <v>0</v>
      </c>
      <c r="AK94">
        <v>0</v>
      </c>
      <c r="AL94">
        <v>23</v>
      </c>
      <c r="AM94" t="s">
        <v>326</v>
      </c>
      <c r="AP94" t="s">
        <v>6517</v>
      </c>
      <c r="AQ94" t="s">
        <v>6517</v>
      </c>
      <c r="AR94" t="s">
        <v>6517</v>
      </c>
      <c r="AS94" t="s">
        <v>6517</v>
      </c>
      <c r="AT94" t="s">
        <v>6517</v>
      </c>
      <c r="AU94" t="s">
        <v>6517</v>
      </c>
      <c r="AV94" t="s">
        <v>6517</v>
      </c>
    </row>
    <row r="95" spans="1:48" x14ac:dyDescent="0.3">
      <c r="A95" t="s">
        <v>5632</v>
      </c>
      <c r="B95">
        <f t="shared" si="4"/>
        <v>200093</v>
      </c>
      <c r="C95">
        <v>200052</v>
      </c>
      <c r="D95" t="s">
        <v>8222</v>
      </c>
      <c r="E95" t="s">
        <v>8142</v>
      </c>
      <c r="F95" t="s">
        <v>8338</v>
      </c>
      <c r="G95">
        <v>200093</v>
      </c>
      <c r="H95" t="s">
        <v>8339</v>
      </c>
      <c r="I95" t="s">
        <v>8340</v>
      </c>
      <c r="J95" t="s">
        <v>8614</v>
      </c>
      <c r="K95" t="str">
        <f t="shared" si="5"/>
        <v>1</v>
      </c>
      <c r="L95">
        <f t="shared" si="6"/>
        <v>2</v>
      </c>
      <c r="M95">
        <f t="shared" si="7"/>
        <v>1</v>
      </c>
      <c r="N95">
        <v>155</v>
      </c>
      <c r="O95" t="s">
        <v>5403</v>
      </c>
      <c r="P95" t="s">
        <v>6759</v>
      </c>
      <c r="Q95">
        <v>1999</v>
      </c>
      <c r="R95" t="s">
        <v>5648</v>
      </c>
      <c r="S95">
        <v>94</v>
      </c>
      <c r="T95" t="s">
        <v>6670</v>
      </c>
      <c r="U95" s="1" t="s">
        <v>7309</v>
      </c>
      <c r="V95" s="1" t="s">
        <v>7310</v>
      </c>
      <c r="W95" t="b">
        <v>0</v>
      </c>
      <c r="X95" t="s">
        <v>76</v>
      </c>
      <c r="Y95" t="s">
        <v>7602</v>
      </c>
      <c r="Z95" t="s">
        <v>6517</v>
      </c>
      <c r="AA95" t="s">
        <v>6517</v>
      </c>
      <c r="AB95" t="s">
        <v>6517</v>
      </c>
      <c r="AC95" t="s">
        <v>7949</v>
      </c>
      <c r="AD95" t="s">
        <v>7752</v>
      </c>
      <c r="AF95" t="b">
        <v>0</v>
      </c>
      <c r="AG95" t="s">
        <v>76</v>
      </c>
      <c r="AH95" s="1">
        <v>42481</v>
      </c>
      <c r="AI95" s="4">
        <v>6.5027777777777782</v>
      </c>
      <c r="AJ95">
        <v>0</v>
      </c>
      <c r="AK95">
        <v>0</v>
      </c>
      <c r="AL95">
        <v>445.5</v>
      </c>
      <c r="AM95" t="s">
        <v>326</v>
      </c>
      <c r="AP95" t="s">
        <v>6517</v>
      </c>
      <c r="AQ95" t="s">
        <v>6517</v>
      </c>
      <c r="AR95" t="s">
        <v>6517</v>
      </c>
      <c r="AS95" t="s">
        <v>6517</v>
      </c>
      <c r="AT95" t="s">
        <v>6517</v>
      </c>
      <c r="AU95" t="s">
        <v>6517</v>
      </c>
      <c r="AV95" t="s">
        <v>6517</v>
      </c>
    </row>
    <row r="96" spans="1:48" x14ac:dyDescent="0.3">
      <c r="A96" t="s">
        <v>5632</v>
      </c>
      <c r="B96">
        <f t="shared" si="4"/>
        <v>200094</v>
      </c>
      <c r="C96">
        <v>200052</v>
      </c>
      <c r="D96" t="s">
        <v>8222</v>
      </c>
      <c r="E96" t="s">
        <v>8142</v>
      </c>
      <c r="F96" t="s">
        <v>8341</v>
      </c>
      <c r="G96">
        <v>200094</v>
      </c>
      <c r="H96" t="s">
        <v>8342</v>
      </c>
      <c r="I96" t="s">
        <v>8343</v>
      </c>
      <c r="J96" t="s">
        <v>8615</v>
      </c>
      <c r="K96" t="str">
        <f t="shared" si="5"/>
        <v>9</v>
      </c>
      <c r="L96">
        <f t="shared" si="6"/>
        <v>6</v>
      </c>
      <c r="M96">
        <f t="shared" si="7"/>
        <v>3</v>
      </c>
      <c r="N96">
        <v>11.09</v>
      </c>
      <c r="O96" t="s">
        <v>5403</v>
      </c>
      <c r="P96" t="s">
        <v>6760</v>
      </c>
      <c r="Q96">
        <v>1978</v>
      </c>
      <c r="R96" t="s">
        <v>5648</v>
      </c>
      <c r="S96">
        <v>95</v>
      </c>
      <c r="T96" t="s">
        <v>6670</v>
      </c>
      <c r="U96" s="1" t="s">
        <v>7311</v>
      </c>
      <c r="V96" s="1" t="s">
        <v>7312</v>
      </c>
      <c r="W96" t="b">
        <v>0</v>
      </c>
      <c r="X96" t="s">
        <v>76</v>
      </c>
      <c r="Y96" t="s">
        <v>7603</v>
      </c>
      <c r="Z96" t="s">
        <v>6517</v>
      </c>
      <c r="AA96" t="s">
        <v>6517</v>
      </c>
      <c r="AB96" t="s">
        <v>6517</v>
      </c>
      <c r="AC96" t="s">
        <v>7950</v>
      </c>
      <c r="AD96" t="s">
        <v>7787</v>
      </c>
      <c r="AF96" t="b">
        <v>0</v>
      </c>
      <c r="AG96" t="s">
        <v>76</v>
      </c>
      <c r="AH96" s="1">
        <v>42481</v>
      </c>
      <c r="AI96" s="4">
        <v>10.258333333333333</v>
      </c>
      <c r="AJ96">
        <v>0</v>
      </c>
      <c r="AK96">
        <v>0</v>
      </c>
      <c r="AL96">
        <v>2.5</v>
      </c>
      <c r="AM96" t="s">
        <v>326</v>
      </c>
      <c r="AP96" t="s">
        <v>6517</v>
      </c>
      <c r="AQ96" t="s">
        <v>6517</v>
      </c>
      <c r="AR96" t="s">
        <v>6517</v>
      </c>
      <c r="AS96" t="s">
        <v>6517</v>
      </c>
      <c r="AT96" t="s">
        <v>6517</v>
      </c>
      <c r="AU96" t="s">
        <v>6517</v>
      </c>
      <c r="AV96" t="s">
        <v>6517</v>
      </c>
    </row>
    <row r="97" spans="1:48" x14ac:dyDescent="0.3">
      <c r="A97" t="s">
        <v>5632</v>
      </c>
      <c r="B97">
        <f t="shared" si="4"/>
        <v>200095</v>
      </c>
      <c r="C97">
        <v>200053</v>
      </c>
      <c r="D97" t="s">
        <v>8224</v>
      </c>
      <c r="E97" t="s">
        <v>8113</v>
      </c>
      <c r="F97" t="s">
        <v>8139</v>
      </c>
      <c r="G97">
        <v>200095</v>
      </c>
      <c r="H97" t="s">
        <v>8344</v>
      </c>
      <c r="I97" t="s">
        <v>8345</v>
      </c>
      <c r="J97" t="s">
        <v>8614</v>
      </c>
      <c r="K97" t="str">
        <f t="shared" si="5"/>
        <v>1</v>
      </c>
      <c r="L97">
        <f t="shared" si="6"/>
        <v>4</v>
      </c>
      <c r="M97">
        <f t="shared" si="7"/>
        <v>1</v>
      </c>
      <c r="N97">
        <v>15.09</v>
      </c>
      <c r="O97" t="s">
        <v>5403</v>
      </c>
      <c r="P97" t="s">
        <v>6761</v>
      </c>
      <c r="Q97">
        <v>1988</v>
      </c>
      <c r="R97" t="s">
        <v>5648</v>
      </c>
      <c r="S97">
        <v>96</v>
      </c>
      <c r="T97" t="s">
        <v>6670</v>
      </c>
      <c r="U97" s="1" t="s">
        <v>7313</v>
      </c>
      <c r="V97" s="1" t="s">
        <v>7314</v>
      </c>
      <c r="W97" t="b">
        <v>0</v>
      </c>
      <c r="X97" t="s">
        <v>76</v>
      </c>
      <c r="Y97" t="s">
        <v>7604</v>
      </c>
      <c r="Z97" t="s">
        <v>6517</v>
      </c>
      <c r="AA97" t="s">
        <v>6517</v>
      </c>
      <c r="AB97" t="s">
        <v>6517</v>
      </c>
      <c r="AC97" t="s">
        <v>7951</v>
      </c>
      <c r="AD97" t="s">
        <v>7788</v>
      </c>
      <c r="AF97" t="b">
        <v>0</v>
      </c>
      <c r="AG97" t="s">
        <v>76</v>
      </c>
      <c r="AH97" s="1">
        <v>42481</v>
      </c>
      <c r="AI97" s="4">
        <v>3.2555555555555555</v>
      </c>
      <c r="AJ97">
        <v>0</v>
      </c>
      <c r="AK97">
        <v>0</v>
      </c>
      <c r="AL97">
        <v>35.5</v>
      </c>
      <c r="AM97" t="s">
        <v>326</v>
      </c>
      <c r="AP97" t="s">
        <v>6517</v>
      </c>
      <c r="AQ97" t="s">
        <v>6517</v>
      </c>
      <c r="AR97" t="s">
        <v>6517</v>
      </c>
      <c r="AS97" t="s">
        <v>6517</v>
      </c>
      <c r="AT97" t="s">
        <v>6517</v>
      </c>
      <c r="AU97" t="s">
        <v>6517</v>
      </c>
      <c r="AV97" t="s">
        <v>6517</v>
      </c>
    </row>
    <row r="98" spans="1:48" x14ac:dyDescent="0.3">
      <c r="A98" t="s">
        <v>5632</v>
      </c>
      <c r="B98">
        <f t="shared" si="4"/>
        <v>200096</v>
      </c>
      <c r="C98">
        <v>200054</v>
      </c>
      <c r="D98" t="s">
        <v>8228</v>
      </c>
      <c r="E98" t="s">
        <v>8346</v>
      </c>
      <c r="F98" t="s">
        <v>8347</v>
      </c>
      <c r="G98">
        <v>200096</v>
      </c>
      <c r="H98" t="s">
        <v>8348</v>
      </c>
      <c r="I98" t="s">
        <v>8349</v>
      </c>
      <c r="J98" t="s">
        <v>8614</v>
      </c>
      <c r="K98" t="str">
        <f t="shared" si="5"/>
        <v>1</v>
      </c>
      <c r="L98">
        <f t="shared" si="6"/>
        <v>1</v>
      </c>
      <c r="M98">
        <f t="shared" si="7"/>
        <v>1</v>
      </c>
      <c r="N98">
        <v>144.84</v>
      </c>
      <c r="O98" t="s">
        <v>5403</v>
      </c>
      <c r="P98" t="s">
        <v>6762</v>
      </c>
      <c r="Q98">
        <v>1990</v>
      </c>
      <c r="R98" t="s">
        <v>5648</v>
      </c>
      <c r="S98">
        <v>97</v>
      </c>
      <c r="T98" t="s">
        <v>6670</v>
      </c>
      <c r="U98" s="1" t="s">
        <v>7315</v>
      </c>
      <c r="V98" s="1" t="s">
        <v>7316</v>
      </c>
      <c r="W98" t="b">
        <v>0</v>
      </c>
      <c r="X98" t="s">
        <v>76</v>
      </c>
      <c r="Y98" t="s">
        <v>7605</v>
      </c>
      <c r="Z98" t="s">
        <v>6517</v>
      </c>
      <c r="AA98" t="s">
        <v>6517</v>
      </c>
      <c r="AB98" t="s">
        <v>6517</v>
      </c>
      <c r="AC98" t="s">
        <v>7952</v>
      </c>
      <c r="AD98" t="s">
        <v>7789</v>
      </c>
      <c r="AF98" t="b">
        <v>0</v>
      </c>
      <c r="AG98" t="s">
        <v>76</v>
      </c>
      <c r="AH98" s="1">
        <v>42481</v>
      </c>
      <c r="AI98" s="4">
        <v>8.8361111111111104</v>
      </c>
      <c r="AJ98">
        <v>0</v>
      </c>
      <c r="AK98">
        <v>0</v>
      </c>
      <c r="AL98">
        <v>408</v>
      </c>
      <c r="AM98" t="s">
        <v>326</v>
      </c>
      <c r="AP98" t="s">
        <v>6517</v>
      </c>
      <c r="AQ98" t="s">
        <v>6517</v>
      </c>
      <c r="AR98" t="s">
        <v>6517</v>
      </c>
      <c r="AS98" t="s">
        <v>6517</v>
      </c>
      <c r="AT98" t="s">
        <v>6517</v>
      </c>
      <c r="AU98" t="s">
        <v>6517</v>
      </c>
      <c r="AV98" t="s">
        <v>6517</v>
      </c>
    </row>
    <row r="99" spans="1:48" x14ac:dyDescent="0.3">
      <c r="A99" t="s">
        <v>5632</v>
      </c>
      <c r="B99">
        <f t="shared" si="4"/>
        <v>200097</v>
      </c>
      <c r="C99">
        <v>200055</v>
      </c>
      <c r="D99" t="s">
        <v>8231</v>
      </c>
      <c r="E99" t="s">
        <v>8256</v>
      </c>
      <c r="F99" t="s">
        <v>8350</v>
      </c>
      <c r="G99">
        <v>200097</v>
      </c>
      <c r="H99" t="s">
        <v>8351</v>
      </c>
      <c r="I99" t="s">
        <v>8352</v>
      </c>
      <c r="J99" t="s">
        <v>8616</v>
      </c>
      <c r="K99" t="str">
        <f t="shared" si="5"/>
        <v>2</v>
      </c>
      <c r="L99">
        <f t="shared" si="6"/>
        <v>7</v>
      </c>
      <c r="M99">
        <f t="shared" si="7"/>
        <v>2</v>
      </c>
      <c r="N99">
        <v>57.63</v>
      </c>
      <c r="O99" t="s">
        <v>5403</v>
      </c>
      <c r="P99" t="s">
        <v>6763</v>
      </c>
      <c r="Q99">
        <v>2013</v>
      </c>
      <c r="R99" t="s">
        <v>5648</v>
      </c>
      <c r="S99">
        <v>98</v>
      </c>
      <c r="T99" t="s">
        <v>6670</v>
      </c>
      <c r="U99" s="1" t="s">
        <v>7317</v>
      </c>
      <c r="V99" s="1" t="s">
        <v>7318</v>
      </c>
      <c r="W99" t="b">
        <v>0</v>
      </c>
      <c r="X99" t="s">
        <v>76</v>
      </c>
      <c r="Y99" t="s">
        <v>7606</v>
      </c>
      <c r="Z99" t="s">
        <v>6517</v>
      </c>
      <c r="AA99" t="s">
        <v>6517</v>
      </c>
      <c r="AB99" t="s">
        <v>6517</v>
      </c>
      <c r="AC99" t="s">
        <v>7953</v>
      </c>
      <c r="AD99" t="s">
        <v>7790</v>
      </c>
      <c r="AF99" t="b">
        <v>0</v>
      </c>
      <c r="AG99" t="s">
        <v>76</v>
      </c>
      <c r="AH99" s="1">
        <v>42481</v>
      </c>
      <c r="AI99" s="4">
        <v>6.8</v>
      </c>
      <c r="AJ99">
        <v>0</v>
      </c>
      <c r="AK99">
        <v>0</v>
      </c>
      <c r="AL99">
        <v>152.5</v>
      </c>
      <c r="AM99" t="s">
        <v>326</v>
      </c>
      <c r="AP99" t="s">
        <v>6517</v>
      </c>
      <c r="AQ99" t="s">
        <v>6517</v>
      </c>
      <c r="AR99" t="s">
        <v>6517</v>
      </c>
      <c r="AS99" t="s">
        <v>6517</v>
      </c>
      <c r="AT99" t="s">
        <v>6517</v>
      </c>
      <c r="AU99" t="s">
        <v>6517</v>
      </c>
      <c r="AV99" t="s">
        <v>6517</v>
      </c>
    </row>
    <row r="100" spans="1:48" x14ac:dyDescent="0.3">
      <c r="A100" t="s">
        <v>5632</v>
      </c>
      <c r="B100">
        <f t="shared" si="4"/>
        <v>200098</v>
      </c>
      <c r="C100">
        <v>200055</v>
      </c>
      <c r="D100" t="s">
        <v>8231</v>
      </c>
      <c r="E100" t="s">
        <v>8256</v>
      </c>
      <c r="F100" t="s">
        <v>8353</v>
      </c>
      <c r="G100">
        <v>200098</v>
      </c>
      <c r="H100" t="s">
        <v>8354</v>
      </c>
      <c r="I100" t="s">
        <v>8355</v>
      </c>
      <c r="J100" t="s">
        <v>8614</v>
      </c>
      <c r="K100" t="str">
        <f t="shared" si="5"/>
        <v>1</v>
      </c>
      <c r="L100">
        <f t="shared" si="6"/>
        <v>1</v>
      </c>
      <c r="M100">
        <f t="shared" si="7"/>
        <v>1</v>
      </c>
      <c r="N100">
        <v>609.4</v>
      </c>
      <c r="O100" t="s">
        <v>5403</v>
      </c>
      <c r="P100" t="s">
        <v>6764</v>
      </c>
      <c r="Q100">
        <v>2005</v>
      </c>
      <c r="R100" t="s">
        <v>5648</v>
      </c>
      <c r="S100">
        <v>99</v>
      </c>
      <c r="T100" t="s">
        <v>6670</v>
      </c>
      <c r="U100" s="1" t="s">
        <v>7319</v>
      </c>
      <c r="V100" s="1" t="s">
        <v>7320</v>
      </c>
      <c r="W100" t="b">
        <v>0</v>
      </c>
      <c r="X100" t="s">
        <v>76</v>
      </c>
      <c r="Y100" t="s">
        <v>7607</v>
      </c>
      <c r="Z100" t="s">
        <v>6517</v>
      </c>
      <c r="AA100" t="s">
        <v>6517</v>
      </c>
      <c r="AB100" t="s">
        <v>6517</v>
      </c>
      <c r="AC100" t="s">
        <v>7954</v>
      </c>
      <c r="AD100" t="s">
        <v>7791</v>
      </c>
      <c r="AF100" t="b">
        <v>0</v>
      </c>
      <c r="AG100" t="s">
        <v>76</v>
      </c>
      <c r="AH100" s="1">
        <v>42481</v>
      </c>
      <c r="AI100" s="4">
        <v>4.2361111111111107</v>
      </c>
      <c r="AJ100">
        <v>0</v>
      </c>
      <c r="AK100">
        <v>0</v>
      </c>
      <c r="AL100">
        <v>1815.5</v>
      </c>
      <c r="AM100" t="s">
        <v>326</v>
      </c>
      <c r="AP100" t="s">
        <v>6517</v>
      </c>
      <c r="AQ100" t="s">
        <v>6517</v>
      </c>
      <c r="AR100" t="s">
        <v>6517</v>
      </c>
      <c r="AS100" t="s">
        <v>6517</v>
      </c>
      <c r="AT100" t="s">
        <v>6517</v>
      </c>
      <c r="AU100" t="s">
        <v>6517</v>
      </c>
      <c r="AV100" t="s">
        <v>6517</v>
      </c>
    </row>
    <row r="101" spans="1:48" x14ac:dyDescent="0.3">
      <c r="A101" t="s">
        <v>5632</v>
      </c>
      <c r="B101">
        <f t="shared" si="4"/>
        <v>200099</v>
      </c>
      <c r="C101">
        <v>200056</v>
      </c>
      <c r="D101" t="s">
        <v>8234</v>
      </c>
      <c r="E101" t="s">
        <v>8150</v>
      </c>
      <c r="F101" t="s">
        <v>8151</v>
      </c>
      <c r="G101">
        <v>200099</v>
      </c>
      <c r="H101" t="s">
        <v>8356</v>
      </c>
      <c r="I101" t="s">
        <v>8357</v>
      </c>
      <c r="J101" t="s">
        <v>8614</v>
      </c>
      <c r="K101" t="str">
        <f t="shared" si="5"/>
        <v>1</v>
      </c>
      <c r="L101">
        <f t="shared" si="6"/>
        <v>3</v>
      </c>
      <c r="M101">
        <f t="shared" si="7"/>
        <v>1</v>
      </c>
      <c r="N101">
        <v>46.26</v>
      </c>
      <c r="O101" t="s">
        <v>5403</v>
      </c>
      <c r="P101" t="s">
        <v>6765</v>
      </c>
      <c r="Q101">
        <v>1999</v>
      </c>
      <c r="R101" t="s">
        <v>5648</v>
      </c>
      <c r="S101">
        <v>100</v>
      </c>
      <c r="T101" t="s">
        <v>6670</v>
      </c>
      <c r="U101" s="1" t="s">
        <v>7321</v>
      </c>
      <c r="V101" s="1" t="s">
        <v>7322</v>
      </c>
      <c r="W101" t="b">
        <v>0</v>
      </c>
      <c r="X101" t="s">
        <v>76</v>
      </c>
      <c r="Y101" t="s">
        <v>7608</v>
      </c>
      <c r="Z101" t="s">
        <v>6517</v>
      </c>
      <c r="AA101" t="s">
        <v>6517</v>
      </c>
      <c r="AB101" t="s">
        <v>6517</v>
      </c>
      <c r="AC101" t="s">
        <v>7955</v>
      </c>
      <c r="AD101" t="s">
        <v>7792</v>
      </c>
      <c r="AF101" t="b">
        <v>0</v>
      </c>
      <c r="AG101" t="s">
        <v>76</v>
      </c>
      <c r="AH101" s="1">
        <v>42481</v>
      </c>
      <c r="AI101" s="4">
        <v>10.597222222222221</v>
      </c>
      <c r="AJ101">
        <v>0</v>
      </c>
      <c r="AK101">
        <v>0</v>
      </c>
      <c r="AL101">
        <v>107</v>
      </c>
      <c r="AM101" t="s">
        <v>326</v>
      </c>
      <c r="AP101" t="s">
        <v>6517</v>
      </c>
      <c r="AQ101" t="s">
        <v>6517</v>
      </c>
      <c r="AR101" t="s">
        <v>6517</v>
      </c>
      <c r="AS101" t="s">
        <v>6517</v>
      </c>
      <c r="AT101" t="s">
        <v>6517</v>
      </c>
      <c r="AU101" t="s">
        <v>6517</v>
      </c>
      <c r="AV101" t="s">
        <v>6517</v>
      </c>
    </row>
    <row r="102" spans="1:48" x14ac:dyDescent="0.3">
      <c r="A102" t="s">
        <v>5632</v>
      </c>
      <c r="B102">
        <f t="shared" si="4"/>
        <v>200100</v>
      </c>
      <c r="C102">
        <v>200057</v>
      </c>
      <c r="D102" t="s">
        <v>8238</v>
      </c>
      <c r="E102" t="s">
        <v>8097</v>
      </c>
      <c r="F102" t="s">
        <v>8358</v>
      </c>
      <c r="G102">
        <v>200100</v>
      </c>
      <c r="H102" t="s">
        <v>8359</v>
      </c>
      <c r="I102" t="s">
        <v>8360</v>
      </c>
      <c r="J102" t="s">
        <v>8615</v>
      </c>
      <c r="K102" t="str">
        <f t="shared" si="5"/>
        <v>9</v>
      </c>
      <c r="L102">
        <f t="shared" si="6"/>
        <v>44</v>
      </c>
      <c r="M102">
        <f t="shared" si="7"/>
        <v>3</v>
      </c>
      <c r="N102">
        <v>11.86</v>
      </c>
      <c r="O102" t="s">
        <v>5403</v>
      </c>
      <c r="P102" t="s">
        <v>6766</v>
      </c>
      <c r="Q102">
        <v>1982</v>
      </c>
      <c r="R102" t="s">
        <v>5648</v>
      </c>
      <c r="S102">
        <v>101</v>
      </c>
      <c r="T102" t="s">
        <v>6670</v>
      </c>
      <c r="U102" s="1" t="s">
        <v>7323</v>
      </c>
      <c r="V102" s="1" t="s">
        <v>7292</v>
      </c>
      <c r="W102" t="b">
        <v>0</v>
      </c>
      <c r="X102" t="s">
        <v>76</v>
      </c>
      <c r="Y102" t="s">
        <v>7609</v>
      </c>
      <c r="Z102" t="s">
        <v>6517</v>
      </c>
      <c r="AA102" t="s">
        <v>6517</v>
      </c>
      <c r="AB102" t="s">
        <v>6517</v>
      </c>
      <c r="AC102" t="s">
        <v>7956</v>
      </c>
      <c r="AD102" t="s">
        <v>7737</v>
      </c>
      <c r="AF102" t="b">
        <v>0</v>
      </c>
      <c r="AG102" t="s">
        <v>76</v>
      </c>
      <c r="AH102" s="1">
        <v>42481</v>
      </c>
      <c r="AI102" s="4">
        <v>9.8638888888888889</v>
      </c>
      <c r="AJ102">
        <v>0</v>
      </c>
      <c r="AK102">
        <v>0</v>
      </c>
      <c r="AL102">
        <v>6</v>
      </c>
      <c r="AM102" t="s">
        <v>326</v>
      </c>
      <c r="AP102" t="s">
        <v>6517</v>
      </c>
      <c r="AQ102" t="s">
        <v>6517</v>
      </c>
      <c r="AR102" t="s">
        <v>6517</v>
      </c>
      <c r="AS102" t="s">
        <v>6517</v>
      </c>
      <c r="AT102" t="s">
        <v>6517</v>
      </c>
      <c r="AU102" t="s">
        <v>6517</v>
      </c>
      <c r="AV102" t="s">
        <v>6517</v>
      </c>
    </row>
    <row r="103" spans="1:48" x14ac:dyDescent="0.3">
      <c r="A103" t="s">
        <v>5632</v>
      </c>
      <c r="B103">
        <f t="shared" si="4"/>
        <v>200101</v>
      </c>
      <c r="C103">
        <v>200057</v>
      </c>
      <c r="D103" t="s">
        <v>8238</v>
      </c>
      <c r="E103" t="s">
        <v>8097</v>
      </c>
      <c r="F103" t="s">
        <v>8133</v>
      </c>
      <c r="G103">
        <v>200101</v>
      </c>
      <c r="H103" t="s">
        <v>8361</v>
      </c>
      <c r="I103" t="s">
        <v>8362</v>
      </c>
      <c r="J103" t="s">
        <v>8614</v>
      </c>
      <c r="K103" t="str">
        <f t="shared" si="5"/>
        <v>1</v>
      </c>
      <c r="L103">
        <f>1+SUMPRODUCT((R:R=R103)*(N:N&gt;N103)*(E:E=E103))</f>
        <v>7</v>
      </c>
      <c r="M103">
        <f t="shared" si="7"/>
        <v>1</v>
      </c>
      <c r="N103">
        <v>207.93</v>
      </c>
      <c r="O103" t="s">
        <v>5403</v>
      </c>
      <c r="P103" t="s">
        <v>6767</v>
      </c>
      <c r="Q103">
        <v>1982</v>
      </c>
      <c r="R103" t="s">
        <v>5648</v>
      </c>
      <c r="S103">
        <v>102</v>
      </c>
      <c r="T103" t="s">
        <v>6670</v>
      </c>
      <c r="U103" s="1" t="s">
        <v>7324</v>
      </c>
      <c r="V103" s="1" t="s">
        <v>7325</v>
      </c>
      <c r="W103" t="b">
        <v>0</v>
      </c>
      <c r="X103" t="s">
        <v>76</v>
      </c>
      <c r="Y103" t="s">
        <v>7610</v>
      </c>
      <c r="Z103" t="s">
        <v>6517</v>
      </c>
      <c r="AA103" t="s">
        <v>6517</v>
      </c>
      <c r="AB103" t="s">
        <v>6517</v>
      </c>
      <c r="AC103" t="s">
        <v>7957</v>
      </c>
      <c r="AD103" t="s">
        <v>7793</v>
      </c>
      <c r="AF103" t="b">
        <v>0</v>
      </c>
      <c r="AG103" t="s">
        <v>76</v>
      </c>
      <c r="AH103" s="1">
        <v>42481</v>
      </c>
      <c r="AI103" s="4">
        <v>7.927777777777778</v>
      </c>
      <c r="AJ103">
        <v>0</v>
      </c>
      <c r="AK103">
        <v>0</v>
      </c>
      <c r="AL103">
        <v>600</v>
      </c>
      <c r="AM103" t="s">
        <v>326</v>
      </c>
      <c r="AP103" t="s">
        <v>6517</v>
      </c>
      <c r="AQ103" t="s">
        <v>6517</v>
      </c>
      <c r="AR103" t="s">
        <v>6517</v>
      </c>
      <c r="AS103" t="s">
        <v>6517</v>
      </c>
      <c r="AT103" t="s">
        <v>6517</v>
      </c>
      <c r="AU103" t="s">
        <v>6517</v>
      </c>
      <c r="AV103" t="s">
        <v>6517</v>
      </c>
    </row>
    <row r="104" spans="1:48" x14ac:dyDescent="0.3">
      <c r="A104" t="s">
        <v>5632</v>
      </c>
      <c r="B104">
        <f t="shared" si="4"/>
        <v>200102</v>
      </c>
      <c r="C104">
        <v>200057</v>
      </c>
      <c r="D104" t="s">
        <v>8238</v>
      </c>
      <c r="E104" t="s">
        <v>8097</v>
      </c>
      <c r="F104" t="s">
        <v>8363</v>
      </c>
      <c r="G104">
        <v>200102</v>
      </c>
      <c r="H104" t="s">
        <v>8364</v>
      </c>
      <c r="I104" t="s">
        <v>8365</v>
      </c>
      <c r="J104">
        <v>2</v>
      </c>
      <c r="K104" t="str">
        <f t="shared" si="5"/>
        <v>9</v>
      </c>
      <c r="L104">
        <f t="shared" si="6"/>
        <v>23</v>
      </c>
      <c r="M104">
        <f t="shared" si="7"/>
        <v>2</v>
      </c>
      <c r="N104">
        <v>57.43</v>
      </c>
      <c r="O104" t="s">
        <v>5403</v>
      </c>
      <c r="P104" t="s">
        <v>6768</v>
      </c>
      <c r="Q104">
        <v>1997</v>
      </c>
      <c r="R104" t="s">
        <v>5648</v>
      </c>
      <c r="S104">
        <v>103</v>
      </c>
      <c r="T104" t="s">
        <v>6670</v>
      </c>
      <c r="U104" s="1" t="s">
        <v>7326</v>
      </c>
      <c r="V104" s="1" t="s">
        <v>7327</v>
      </c>
      <c r="W104" t="b">
        <v>0</v>
      </c>
      <c r="X104" t="s">
        <v>76</v>
      </c>
      <c r="Y104" t="s">
        <v>7611</v>
      </c>
      <c r="Z104" t="s">
        <v>6517</v>
      </c>
      <c r="AA104" t="s">
        <v>6517</v>
      </c>
      <c r="AB104" t="s">
        <v>6517</v>
      </c>
      <c r="AC104" t="s">
        <v>7958</v>
      </c>
      <c r="AD104" t="s">
        <v>7794</v>
      </c>
      <c r="AF104" t="b">
        <v>0</v>
      </c>
      <c r="AG104" t="s">
        <v>76</v>
      </c>
      <c r="AH104" s="1">
        <v>42481</v>
      </c>
      <c r="AI104" s="4">
        <v>6.4249999999999998</v>
      </c>
      <c r="AJ104">
        <v>0</v>
      </c>
      <c r="AK104">
        <v>0</v>
      </c>
      <c r="AL104">
        <v>153</v>
      </c>
      <c r="AM104" t="s">
        <v>326</v>
      </c>
      <c r="AP104" t="s">
        <v>6517</v>
      </c>
      <c r="AQ104" t="s">
        <v>6517</v>
      </c>
      <c r="AR104" t="s">
        <v>6517</v>
      </c>
      <c r="AS104" t="s">
        <v>6517</v>
      </c>
      <c r="AT104" t="s">
        <v>6517</v>
      </c>
      <c r="AU104" t="s">
        <v>6517</v>
      </c>
      <c r="AV104" t="s">
        <v>6517</v>
      </c>
    </row>
    <row r="105" spans="1:48" x14ac:dyDescent="0.3">
      <c r="A105" t="s">
        <v>5632</v>
      </c>
      <c r="B105">
        <f t="shared" si="4"/>
        <v>200103</v>
      </c>
      <c r="C105">
        <v>200058</v>
      </c>
      <c r="D105" t="s">
        <v>8241</v>
      </c>
      <c r="E105" t="s">
        <v>8097</v>
      </c>
      <c r="F105" t="s">
        <v>8366</v>
      </c>
      <c r="G105">
        <v>200103</v>
      </c>
      <c r="H105" t="s">
        <v>8367</v>
      </c>
      <c r="I105" t="s">
        <v>8368</v>
      </c>
      <c r="J105" t="s">
        <v>8615</v>
      </c>
      <c r="K105" t="str">
        <f t="shared" si="5"/>
        <v>9</v>
      </c>
      <c r="L105">
        <f t="shared" si="6"/>
        <v>30</v>
      </c>
      <c r="M105">
        <f t="shared" si="7"/>
        <v>1</v>
      </c>
      <c r="N105">
        <v>27.32</v>
      </c>
      <c r="O105" t="s">
        <v>5403</v>
      </c>
      <c r="P105" t="s">
        <v>6769</v>
      </c>
      <c r="Q105">
        <v>2006</v>
      </c>
      <c r="R105" t="s">
        <v>5648</v>
      </c>
      <c r="S105">
        <v>104</v>
      </c>
      <c r="T105" t="s">
        <v>6670</v>
      </c>
      <c r="U105" s="1" t="s">
        <v>7328</v>
      </c>
      <c r="V105" s="1" t="s">
        <v>7160</v>
      </c>
      <c r="W105" t="b">
        <v>0</v>
      </c>
      <c r="X105" t="s">
        <v>76</v>
      </c>
      <c r="Y105" t="s">
        <v>7612</v>
      </c>
      <c r="Z105" t="s">
        <v>6517</v>
      </c>
      <c r="AA105" t="s">
        <v>6517</v>
      </c>
      <c r="AB105" t="s">
        <v>6517</v>
      </c>
      <c r="AC105" t="s">
        <v>7959</v>
      </c>
      <c r="AD105" t="s">
        <v>7795</v>
      </c>
      <c r="AF105" t="b">
        <v>0</v>
      </c>
      <c r="AG105" t="s">
        <v>76</v>
      </c>
      <c r="AH105" s="1">
        <v>42481</v>
      </c>
      <c r="AI105" s="4">
        <v>13.319444444444445</v>
      </c>
      <c r="AJ105">
        <v>0</v>
      </c>
      <c r="AK105">
        <v>0</v>
      </c>
      <c r="AL105">
        <v>42</v>
      </c>
      <c r="AM105" t="s">
        <v>326</v>
      </c>
      <c r="AP105" t="s">
        <v>6517</v>
      </c>
      <c r="AQ105" t="s">
        <v>6517</v>
      </c>
      <c r="AR105" t="s">
        <v>6517</v>
      </c>
      <c r="AS105" t="s">
        <v>6517</v>
      </c>
      <c r="AT105" t="s">
        <v>6517</v>
      </c>
      <c r="AU105" t="s">
        <v>6517</v>
      </c>
      <c r="AV105" t="s">
        <v>6517</v>
      </c>
    </row>
    <row r="106" spans="1:48" x14ac:dyDescent="0.3">
      <c r="A106" t="s">
        <v>5632</v>
      </c>
      <c r="B106">
        <f t="shared" si="4"/>
        <v>200104</v>
      </c>
      <c r="C106">
        <v>200059</v>
      </c>
      <c r="D106" t="s">
        <v>8244</v>
      </c>
      <c r="E106" t="s">
        <v>8256</v>
      </c>
      <c r="F106" t="s">
        <v>8369</v>
      </c>
      <c r="G106">
        <v>200104</v>
      </c>
      <c r="H106" t="s">
        <v>8370</v>
      </c>
      <c r="I106" t="s">
        <v>8371</v>
      </c>
      <c r="J106" t="s">
        <v>8616</v>
      </c>
      <c r="K106" t="str">
        <f t="shared" si="5"/>
        <v>2</v>
      </c>
      <c r="L106">
        <f t="shared" si="6"/>
        <v>8</v>
      </c>
      <c r="M106">
        <f t="shared" si="7"/>
        <v>2</v>
      </c>
      <c r="N106">
        <v>42.64</v>
      </c>
      <c r="O106" t="s">
        <v>5403</v>
      </c>
      <c r="P106" t="s">
        <v>6770</v>
      </c>
      <c r="Q106">
        <v>1992</v>
      </c>
      <c r="R106" t="s">
        <v>5648</v>
      </c>
      <c r="S106">
        <v>105</v>
      </c>
      <c r="T106" t="s">
        <v>6670</v>
      </c>
      <c r="U106" s="1" t="s">
        <v>7329</v>
      </c>
      <c r="V106" s="1" t="s">
        <v>7330</v>
      </c>
      <c r="W106" t="b">
        <v>0</v>
      </c>
      <c r="X106" t="s">
        <v>76</v>
      </c>
      <c r="Y106" t="s">
        <v>7613</v>
      </c>
      <c r="Z106" t="s">
        <v>6517</v>
      </c>
      <c r="AA106" t="s">
        <v>6517</v>
      </c>
      <c r="AB106" t="s">
        <v>6517</v>
      </c>
      <c r="AC106" t="s">
        <v>7960</v>
      </c>
      <c r="AD106" t="s">
        <v>7796</v>
      </c>
      <c r="AF106" t="b">
        <v>0</v>
      </c>
      <c r="AG106" t="s">
        <v>76</v>
      </c>
      <c r="AH106" s="1">
        <v>42481</v>
      </c>
      <c r="AI106" s="4">
        <v>8.6388888888888893</v>
      </c>
      <c r="AJ106">
        <v>0</v>
      </c>
      <c r="AK106">
        <v>0</v>
      </c>
      <c r="AL106">
        <v>102</v>
      </c>
      <c r="AM106" t="s">
        <v>326</v>
      </c>
      <c r="AP106" t="s">
        <v>6517</v>
      </c>
      <c r="AQ106" t="s">
        <v>6517</v>
      </c>
      <c r="AR106" t="s">
        <v>6517</v>
      </c>
      <c r="AS106" t="s">
        <v>6517</v>
      </c>
      <c r="AT106" t="s">
        <v>6517</v>
      </c>
      <c r="AU106" t="s">
        <v>6517</v>
      </c>
      <c r="AV106" t="s">
        <v>6517</v>
      </c>
    </row>
    <row r="107" spans="1:48" x14ac:dyDescent="0.3">
      <c r="A107" t="s">
        <v>5632</v>
      </c>
      <c r="B107">
        <f t="shared" si="4"/>
        <v>200105</v>
      </c>
      <c r="C107">
        <v>200059</v>
      </c>
      <c r="D107" t="s">
        <v>8244</v>
      </c>
      <c r="E107" t="s">
        <v>8256</v>
      </c>
      <c r="F107" t="s">
        <v>8205</v>
      </c>
      <c r="G107">
        <v>200105</v>
      </c>
      <c r="H107" t="s">
        <v>8372</v>
      </c>
      <c r="I107" t="s">
        <v>8373</v>
      </c>
      <c r="J107" t="s">
        <v>8614</v>
      </c>
      <c r="K107" t="str">
        <f t="shared" si="5"/>
        <v>1</v>
      </c>
      <c r="L107">
        <f t="shared" si="6"/>
        <v>2</v>
      </c>
      <c r="M107">
        <f t="shared" si="7"/>
        <v>1</v>
      </c>
      <c r="N107">
        <v>230.27</v>
      </c>
      <c r="O107" t="s">
        <v>5403</v>
      </c>
      <c r="P107" t="s">
        <v>6771</v>
      </c>
      <c r="Q107">
        <v>1998</v>
      </c>
      <c r="R107" t="s">
        <v>5648</v>
      </c>
      <c r="S107">
        <v>106</v>
      </c>
      <c r="T107" t="s">
        <v>6670</v>
      </c>
      <c r="U107" s="1" t="s">
        <v>7331</v>
      </c>
      <c r="V107" s="1" t="s">
        <v>7332</v>
      </c>
      <c r="W107" t="b">
        <v>0</v>
      </c>
      <c r="X107" t="s">
        <v>76</v>
      </c>
      <c r="Y107" t="s">
        <v>7614</v>
      </c>
      <c r="Z107" t="s">
        <v>6517</v>
      </c>
      <c r="AA107" t="s">
        <v>6517</v>
      </c>
      <c r="AB107" t="s">
        <v>6517</v>
      </c>
      <c r="AC107" t="s">
        <v>7961</v>
      </c>
      <c r="AD107" t="s">
        <v>7782</v>
      </c>
      <c r="AF107" t="b">
        <v>0</v>
      </c>
      <c r="AG107" t="s">
        <v>76</v>
      </c>
      <c r="AH107" s="1">
        <v>42481</v>
      </c>
      <c r="AI107" s="4">
        <v>4.7694444444444448</v>
      </c>
      <c r="AJ107">
        <v>0</v>
      </c>
      <c r="AK107">
        <v>64</v>
      </c>
      <c r="AL107">
        <v>612.5</v>
      </c>
      <c r="AM107" t="s">
        <v>326</v>
      </c>
      <c r="AP107" t="s">
        <v>6517</v>
      </c>
      <c r="AQ107" t="s">
        <v>6517</v>
      </c>
      <c r="AR107" t="s">
        <v>6517</v>
      </c>
      <c r="AS107" t="s">
        <v>6517</v>
      </c>
      <c r="AT107" t="s">
        <v>6517</v>
      </c>
      <c r="AU107" t="s">
        <v>6517</v>
      </c>
      <c r="AV107" t="s">
        <v>6517</v>
      </c>
    </row>
    <row r="108" spans="1:48" x14ac:dyDescent="0.3">
      <c r="A108" t="s">
        <v>5632</v>
      </c>
      <c r="B108">
        <f t="shared" si="4"/>
        <v>200106</v>
      </c>
      <c r="C108">
        <v>200060</v>
      </c>
      <c r="D108" t="s">
        <v>8246</v>
      </c>
      <c r="E108" t="s">
        <v>8374</v>
      </c>
      <c r="F108" t="s">
        <v>8172</v>
      </c>
      <c r="G108">
        <v>200106</v>
      </c>
      <c r="H108" t="s">
        <v>8375</v>
      </c>
      <c r="I108" t="s">
        <v>8376</v>
      </c>
      <c r="J108" t="s">
        <v>8614</v>
      </c>
      <c r="K108" t="str">
        <f t="shared" si="5"/>
        <v>1</v>
      </c>
      <c r="L108">
        <f t="shared" si="6"/>
        <v>1</v>
      </c>
      <c r="M108">
        <f t="shared" si="7"/>
        <v>1</v>
      </c>
      <c r="N108">
        <v>423.76</v>
      </c>
      <c r="O108" t="s">
        <v>5403</v>
      </c>
      <c r="P108" t="s">
        <v>6772</v>
      </c>
      <c r="Q108">
        <v>1976</v>
      </c>
      <c r="R108" t="s">
        <v>5648</v>
      </c>
      <c r="S108">
        <v>107</v>
      </c>
      <c r="T108" t="s">
        <v>6670</v>
      </c>
      <c r="U108" s="1" t="s">
        <v>7333</v>
      </c>
      <c r="V108" s="1" t="s">
        <v>7334</v>
      </c>
      <c r="W108" t="b">
        <v>0</v>
      </c>
      <c r="X108" t="s">
        <v>76</v>
      </c>
      <c r="Y108" t="s">
        <v>7615</v>
      </c>
      <c r="Z108" t="s">
        <v>6517</v>
      </c>
      <c r="AA108" t="s">
        <v>6517</v>
      </c>
      <c r="AB108" t="s">
        <v>6517</v>
      </c>
      <c r="AC108" t="s">
        <v>7962</v>
      </c>
      <c r="AD108" t="s">
        <v>7793</v>
      </c>
      <c r="AF108" t="b">
        <v>0</v>
      </c>
      <c r="AG108" t="s">
        <v>76</v>
      </c>
      <c r="AH108" s="1">
        <v>42481</v>
      </c>
      <c r="AI108" s="4">
        <v>5.7583333333333337</v>
      </c>
      <c r="AJ108">
        <v>0</v>
      </c>
      <c r="AK108">
        <v>0</v>
      </c>
      <c r="AL108">
        <v>1254</v>
      </c>
      <c r="AM108" t="s">
        <v>326</v>
      </c>
      <c r="AP108" t="s">
        <v>6517</v>
      </c>
      <c r="AQ108" t="s">
        <v>6517</v>
      </c>
      <c r="AR108" t="s">
        <v>6517</v>
      </c>
      <c r="AS108" t="s">
        <v>6517</v>
      </c>
      <c r="AT108" t="s">
        <v>6517</v>
      </c>
      <c r="AU108" t="s">
        <v>6517</v>
      </c>
      <c r="AV108" t="s">
        <v>6517</v>
      </c>
    </row>
    <row r="109" spans="1:48" x14ac:dyDescent="0.3">
      <c r="A109" t="s">
        <v>5632</v>
      </c>
      <c r="B109">
        <f t="shared" si="4"/>
        <v>200107</v>
      </c>
      <c r="C109">
        <v>200060</v>
      </c>
      <c r="D109" t="s">
        <v>8246</v>
      </c>
      <c r="E109" t="s">
        <v>8374</v>
      </c>
      <c r="F109" t="s">
        <v>8237</v>
      </c>
      <c r="G109">
        <v>200107</v>
      </c>
      <c r="H109" t="s">
        <v>8377</v>
      </c>
      <c r="I109" t="s">
        <v>8378</v>
      </c>
      <c r="J109" t="s">
        <v>8616</v>
      </c>
      <c r="K109" t="str">
        <f t="shared" si="5"/>
        <v>2</v>
      </c>
      <c r="L109">
        <f t="shared" si="6"/>
        <v>2</v>
      </c>
      <c r="M109">
        <f t="shared" si="7"/>
        <v>2</v>
      </c>
      <c r="N109">
        <v>116.37</v>
      </c>
      <c r="O109" t="s">
        <v>5403</v>
      </c>
      <c r="P109" t="s">
        <v>6773</v>
      </c>
      <c r="Q109">
        <v>2014</v>
      </c>
      <c r="R109" t="s">
        <v>5648</v>
      </c>
      <c r="S109">
        <v>108</v>
      </c>
      <c r="T109" t="s">
        <v>6670</v>
      </c>
      <c r="U109" s="1" t="s">
        <v>7335</v>
      </c>
      <c r="V109" s="1" t="s">
        <v>7336</v>
      </c>
      <c r="W109" t="b">
        <v>0</v>
      </c>
      <c r="X109" t="s">
        <v>76</v>
      </c>
      <c r="Y109" t="s">
        <v>7616</v>
      </c>
      <c r="Z109" t="s">
        <v>6517</v>
      </c>
      <c r="AA109" t="s">
        <v>6517</v>
      </c>
      <c r="AB109" t="s">
        <v>6517</v>
      </c>
      <c r="AC109" t="s">
        <v>7963</v>
      </c>
      <c r="AD109" t="s">
        <v>7797</v>
      </c>
      <c r="AF109" t="b">
        <v>0</v>
      </c>
      <c r="AG109" t="s">
        <v>76</v>
      </c>
      <c r="AH109" s="1">
        <v>42481</v>
      </c>
      <c r="AI109" s="4">
        <v>7.0333333333333332</v>
      </c>
      <c r="AJ109">
        <v>0</v>
      </c>
      <c r="AK109">
        <v>0</v>
      </c>
      <c r="AL109">
        <v>328</v>
      </c>
      <c r="AM109" t="s">
        <v>326</v>
      </c>
      <c r="AP109" t="s">
        <v>6517</v>
      </c>
      <c r="AQ109" t="s">
        <v>6517</v>
      </c>
      <c r="AR109" t="s">
        <v>6517</v>
      </c>
      <c r="AS109" t="s">
        <v>6517</v>
      </c>
      <c r="AT109" t="s">
        <v>6517</v>
      </c>
      <c r="AU109" t="s">
        <v>6517</v>
      </c>
      <c r="AV109" t="s">
        <v>6517</v>
      </c>
    </row>
    <row r="110" spans="1:48" x14ac:dyDescent="0.3">
      <c r="A110" t="s">
        <v>5632</v>
      </c>
      <c r="B110">
        <f t="shared" si="4"/>
        <v>200108</v>
      </c>
      <c r="C110">
        <v>200061</v>
      </c>
      <c r="D110" t="s">
        <v>8248</v>
      </c>
      <c r="E110" t="s">
        <v>8379</v>
      </c>
      <c r="F110" t="s">
        <v>8380</v>
      </c>
      <c r="G110">
        <v>200108</v>
      </c>
      <c r="H110" t="s">
        <v>8381</v>
      </c>
      <c r="I110" t="s">
        <v>8382</v>
      </c>
      <c r="J110" t="s">
        <v>8614</v>
      </c>
      <c r="K110" t="str">
        <f t="shared" si="5"/>
        <v>1</v>
      </c>
      <c r="L110">
        <f t="shared" si="6"/>
        <v>1</v>
      </c>
      <c r="M110">
        <f t="shared" si="7"/>
        <v>1</v>
      </c>
      <c r="N110">
        <v>201.44</v>
      </c>
      <c r="O110" t="s">
        <v>5403</v>
      </c>
      <c r="P110" t="s">
        <v>6774</v>
      </c>
      <c r="Q110">
        <v>2011</v>
      </c>
      <c r="R110" t="s">
        <v>5648</v>
      </c>
      <c r="S110">
        <v>109</v>
      </c>
      <c r="T110" t="s">
        <v>6670</v>
      </c>
      <c r="U110" s="1" t="s">
        <v>7337</v>
      </c>
      <c r="V110" s="1" t="s">
        <v>7338</v>
      </c>
      <c r="W110" t="b">
        <v>0</v>
      </c>
      <c r="X110" t="s">
        <v>76</v>
      </c>
      <c r="Y110" t="s">
        <v>7617</v>
      </c>
      <c r="Z110" t="s">
        <v>6517</v>
      </c>
      <c r="AA110" t="s">
        <v>6517</v>
      </c>
      <c r="AB110" t="s">
        <v>6517</v>
      </c>
      <c r="AC110" t="s">
        <v>7964</v>
      </c>
      <c r="AD110" t="s">
        <v>7798</v>
      </c>
      <c r="AF110" t="b">
        <v>0</v>
      </c>
      <c r="AG110" t="s">
        <v>76</v>
      </c>
      <c r="AH110" s="1">
        <v>42481</v>
      </c>
      <c r="AI110" s="4">
        <v>2.7722222222222221</v>
      </c>
      <c r="AJ110">
        <v>0</v>
      </c>
      <c r="AK110">
        <v>0</v>
      </c>
      <c r="AL110">
        <v>596</v>
      </c>
      <c r="AM110" t="s">
        <v>326</v>
      </c>
      <c r="AP110" t="s">
        <v>6517</v>
      </c>
      <c r="AQ110" t="s">
        <v>6517</v>
      </c>
      <c r="AR110" t="s">
        <v>6517</v>
      </c>
      <c r="AS110" t="s">
        <v>6517</v>
      </c>
      <c r="AT110" t="s">
        <v>6517</v>
      </c>
      <c r="AU110" t="s">
        <v>6517</v>
      </c>
      <c r="AV110" t="s">
        <v>6517</v>
      </c>
    </row>
    <row r="111" spans="1:48" x14ac:dyDescent="0.3">
      <c r="A111" t="s">
        <v>5632</v>
      </c>
      <c r="B111">
        <f t="shared" si="4"/>
        <v>200109</v>
      </c>
      <c r="C111">
        <v>200062</v>
      </c>
      <c r="D111" t="s">
        <v>8251</v>
      </c>
      <c r="E111" t="s">
        <v>8171</v>
      </c>
      <c r="F111" t="s">
        <v>8383</v>
      </c>
      <c r="G111">
        <v>200109</v>
      </c>
      <c r="H111" t="s">
        <v>8384</v>
      </c>
      <c r="I111" t="s">
        <v>8385</v>
      </c>
      <c r="J111" t="s">
        <v>8615</v>
      </c>
      <c r="K111" t="str">
        <f t="shared" si="5"/>
        <v>9</v>
      </c>
      <c r="L111">
        <f t="shared" si="6"/>
        <v>7</v>
      </c>
      <c r="M111">
        <f t="shared" si="7"/>
        <v>3</v>
      </c>
      <c r="N111">
        <v>7.48</v>
      </c>
      <c r="O111" t="s">
        <v>5403</v>
      </c>
      <c r="P111" t="s">
        <v>6775</v>
      </c>
      <c r="Q111">
        <v>1979</v>
      </c>
      <c r="R111" t="s">
        <v>5648</v>
      </c>
      <c r="S111">
        <v>110</v>
      </c>
      <c r="T111" t="s">
        <v>6670</v>
      </c>
      <c r="U111" s="1" t="s">
        <v>7339</v>
      </c>
      <c r="V111" s="1" t="s">
        <v>7340</v>
      </c>
      <c r="W111" t="b">
        <v>0</v>
      </c>
      <c r="X111" t="s">
        <v>76</v>
      </c>
      <c r="Y111" t="s">
        <v>7618</v>
      </c>
      <c r="Z111" t="s">
        <v>6517</v>
      </c>
      <c r="AA111" t="s">
        <v>6517</v>
      </c>
      <c r="AB111" t="s">
        <v>6517</v>
      </c>
      <c r="AC111" t="s">
        <v>7965</v>
      </c>
      <c r="AD111" t="s">
        <v>7799</v>
      </c>
      <c r="AF111" t="b">
        <v>0</v>
      </c>
      <c r="AG111" t="s">
        <v>76</v>
      </c>
      <c r="AH111" s="1">
        <v>42481</v>
      </c>
      <c r="AI111" s="4">
        <v>3.6805555555555554</v>
      </c>
      <c r="AJ111">
        <v>0</v>
      </c>
      <c r="AK111">
        <v>11.4</v>
      </c>
      <c r="AL111">
        <v>0</v>
      </c>
      <c r="AM111" t="s">
        <v>326</v>
      </c>
      <c r="AP111" t="s">
        <v>6517</v>
      </c>
      <c r="AQ111" t="s">
        <v>6517</v>
      </c>
      <c r="AR111" t="s">
        <v>6517</v>
      </c>
      <c r="AS111" t="s">
        <v>6517</v>
      </c>
      <c r="AT111" t="s">
        <v>6517</v>
      </c>
      <c r="AU111" t="s">
        <v>6517</v>
      </c>
      <c r="AV111" t="s">
        <v>6517</v>
      </c>
    </row>
    <row r="112" spans="1:48" x14ac:dyDescent="0.3">
      <c r="A112" t="s">
        <v>5632</v>
      </c>
      <c r="B112">
        <f t="shared" si="4"/>
        <v>200110</v>
      </c>
      <c r="C112">
        <v>200062</v>
      </c>
      <c r="D112" t="s">
        <v>8251</v>
      </c>
      <c r="E112" t="s">
        <v>8171</v>
      </c>
      <c r="F112" t="s">
        <v>8386</v>
      </c>
      <c r="G112">
        <v>200110</v>
      </c>
      <c r="H112" t="s">
        <v>8387</v>
      </c>
      <c r="I112" t="s">
        <v>8388</v>
      </c>
      <c r="J112" t="s">
        <v>8616</v>
      </c>
      <c r="K112" t="str">
        <f t="shared" si="5"/>
        <v>2</v>
      </c>
      <c r="L112">
        <f t="shared" si="6"/>
        <v>3</v>
      </c>
      <c r="M112">
        <f t="shared" si="7"/>
        <v>2</v>
      </c>
      <c r="N112">
        <v>110.29</v>
      </c>
      <c r="O112" t="s">
        <v>5403</v>
      </c>
      <c r="P112" t="s">
        <v>6776</v>
      </c>
      <c r="Q112">
        <v>2016</v>
      </c>
      <c r="R112" t="s">
        <v>5648</v>
      </c>
      <c r="S112">
        <v>111</v>
      </c>
      <c r="T112" t="s">
        <v>6670</v>
      </c>
      <c r="U112" s="1" t="s">
        <v>7341</v>
      </c>
      <c r="V112" s="1" t="s">
        <v>7342</v>
      </c>
      <c r="W112" t="b">
        <v>0</v>
      </c>
      <c r="X112" t="s">
        <v>76</v>
      </c>
      <c r="Y112" t="s">
        <v>7619</v>
      </c>
      <c r="Z112" t="s">
        <v>6517</v>
      </c>
      <c r="AA112" t="s">
        <v>6517</v>
      </c>
      <c r="AB112" t="s">
        <v>6517</v>
      </c>
      <c r="AC112" t="s">
        <v>7966</v>
      </c>
      <c r="AD112" t="s">
        <v>7800</v>
      </c>
      <c r="AF112" t="b">
        <v>0</v>
      </c>
      <c r="AG112" t="s">
        <v>76</v>
      </c>
      <c r="AH112" s="1">
        <v>42481</v>
      </c>
      <c r="AI112" s="4">
        <v>11.294444444444444</v>
      </c>
      <c r="AJ112">
        <v>0</v>
      </c>
      <c r="AK112">
        <v>0</v>
      </c>
      <c r="AL112">
        <v>297</v>
      </c>
      <c r="AM112" t="s">
        <v>326</v>
      </c>
      <c r="AP112" t="s">
        <v>6517</v>
      </c>
      <c r="AQ112" t="s">
        <v>6517</v>
      </c>
      <c r="AR112" t="s">
        <v>6517</v>
      </c>
      <c r="AS112" t="s">
        <v>6517</v>
      </c>
      <c r="AT112" t="s">
        <v>6517</v>
      </c>
      <c r="AU112" t="s">
        <v>6517</v>
      </c>
      <c r="AV112" t="s">
        <v>6517</v>
      </c>
    </row>
    <row r="113" spans="1:48" x14ac:dyDescent="0.3">
      <c r="A113" t="s">
        <v>5632</v>
      </c>
      <c r="B113">
        <f t="shared" si="4"/>
        <v>200111</v>
      </c>
      <c r="C113">
        <v>200062</v>
      </c>
      <c r="D113" t="s">
        <v>8251</v>
      </c>
      <c r="E113" t="s">
        <v>8171</v>
      </c>
      <c r="F113" t="s">
        <v>8389</v>
      </c>
      <c r="G113">
        <v>200111</v>
      </c>
      <c r="H113" t="s">
        <v>8390</v>
      </c>
      <c r="I113" t="s">
        <v>8391</v>
      </c>
      <c r="J113" t="s">
        <v>8614</v>
      </c>
      <c r="K113" t="str">
        <f t="shared" si="5"/>
        <v>1</v>
      </c>
      <c r="L113">
        <f t="shared" si="6"/>
        <v>1</v>
      </c>
      <c r="M113">
        <f t="shared" si="7"/>
        <v>1</v>
      </c>
      <c r="N113">
        <v>203.8</v>
      </c>
      <c r="O113" t="s">
        <v>5403</v>
      </c>
      <c r="P113" t="s">
        <v>6777</v>
      </c>
      <c r="Q113">
        <v>1999</v>
      </c>
      <c r="R113" t="s">
        <v>5648</v>
      </c>
      <c r="S113">
        <v>112</v>
      </c>
      <c r="T113" t="s">
        <v>6670</v>
      </c>
      <c r="U113" s="1" t="s">
        <v>7343</v>
      </c>
      <c r="V113" s="1" t="s">
        <v>7344</v>
      </c>
      <c r="W113" t="b">
        <v>0</v>
      </c>
      <c r="X113" t="s">
        <v>76</v>
      </c>
      <c r="Y113" t="s">
        <v>7620</v>
      </c>
      <c r="Z113" t="s">
        <v>6517</v>
      </c>
      <c r="AA113" t="s">
        <v>6517</v>
      </c>
      <c r="AB113" t="s">
        <v>6517</v>
      </c>
      <c r="AC113" t="s">
        <v>7967</v>
      </c>
      <c r="AD113" t="s">
        <v>7801</v>
      </c>
      <c r="AF113" t="b">
        <v>0</v>
      </c>
      <c r="AG113" t="s">
        <v>76</v>
      </c>
      <c r="AH113" s="1">
        <v>42481</v>
      </c>
      <c r="AI113" s="4">
        <v>7.3</v>
      </c>
      <c r="AJ113">
        <v>0</v>
      </c>
      <c r="AK113">
        <v>0</v>
      </c>
      <c r="AL113">
        <v>589.5</v>
      </c>
      <c r="AM113" t="s">
        <v>326</v>
      </c>
      <c r="AP113" t="s">
        <v>6517</v>
      </c>
      <c r="AQ113" t="s">
        <v>6517</v>
      </c>
      <c r="AR113" t="s">
        <v>6517</v>
      </c>
      <c r="AS113" t="s">
        <v>6517</v>
      </c>
      <c r="AT113" t="s">
        <v>6517</v>
      </c>
      <c r="AU113" t="s">
        <v>6517</v>
      </c>
      <c r="AV113" t="s">
        <v>6517</v>
      </c>
    </row>
    <row r="114" spans="1:48" x14ac:dyDescent="0.3">
      <c r="A114" t="s">
        <v>5632</v>
      </c>
      <c r="B114">
        <f t="shared" si="4"/>
        <v>200112</v>
      </c>
      <c r="C114">
        <v>200063</v>
      </c>
      <c r="D114" t="s">
        <v>8254</v>
      </c>
      <c r="E114" t="s">
        <v>8142</v>
      </c>
      <c r="F114" t="s">
        <v>8363</v>
      </c>
      <c r="G114">
        <v>200112</v>
      </c>
      <c r="H114" t="s">
        <v>8392</v>
      </c>
      <c r="I114" t="s">
        <v>8393</v>
      </c>
      <c r="J114" t="s">
        <v>8614</v>
      </c>
      <c r="K114" t="str">
        <f t="shared" si="5"/>
        <v>1</v>
      </c>
      <c r="L114">
        <f t="shared" si="6"/>
        <v>1</v>
      </c>
      <c r="M114">
        <f t="shared" si="7"/>
        <v>1</v>
      </c>
      <c r="N114">
        <v>202.93</v>
      </c>
      <c r="O114" t="s">
        <v>5403</v>
      </c>
      <c r="P114" t="s">
        <v>6778</v>
      </c>
      <c r="Q114">
        <v>2005</v>
      </c>
      <c r="R114" t="s">
        <v>5648</v>
      </c>
      <c r="S114">
        <v>113</v>
      </c>
      <c r="T114" t="s">
        <v>6670</v>
      </c>
      <c r="U114" s="1" t="s">
        <v>7345</v>
      </c>
      <c r="V114" s="1" t="s">
        <v>7346</v>
      </c>
      <c r="W114" t="b">
        <v>0</v>
      </c>
      <c r="X114" t="s">
        <v>76</v>
      </c>
      <c r="Y114" t="s">
        <v>7621</v>
      </c>
      <c r="Z114" t="s">
        <v>6517</v>
      </c>
      <c r="AA114" t="s">
        <v>6517</v>
      </c>
      <c r="AB114" t="s">
        <v>6517</v>
      </c>
      <c r="AC114" t="s">
        <v>7968</v>
      </c>
      <c r="AD114" t="s">
        <v>7802</v>
      </c>
      <c r="AF114" t="b">
        <v>0</v>
      </c>
      <c r="AG114" t="s">
        <v>76</v>
      </c>
      <c r="AH114" s="1">
        <v>42481</v>
      </c>
      <c r="AI114" s="4">
        <v>9.7666666666666675</v>
      </c>
      <c r="AJ114">
        <v>0</v>
      </c>
      <c r="AK114">
        <v>0</v>
      </c>
      <c r="AL114">
        <v>579.5</v>
      </c>
      <c r="AM114" t="s">
        <v>326</v>
      </c>
      <c r="AP114" t="s">
        <v>6517</v>
      </c>
      <c r="AQ114" t="s">
        <v>6517</v>
      </c>
      <c r="AR114" t="s">
        <v>6517</v>
      </c>
      <c r="AS114" t="s">
        <v>6517</v>
      </c>
      <c r="AT114" t="s">
        <v>6517</v>
      </c>
      <c r="AU114" t="s">
        <v>6517</v>
      </c>
      <c r="AV114" t="s">
        <v>6517</v>
      </c>
    </row>
    <row r="115" spans="1:48" x14ac:dyDescent="0.3">
      <c r="A115" t="s">
        <v>5632</v>
      </c>
      <c r="B115">
        <f t="shared" si="4"/>
        <v>200113</v>
      </c>
      <c r="C115">
        <v>200064</v>
      </c>
      <c r="D115" t="s">
        <v>8258</v>
      </c>
      <c r="E115" t="s">
        <v>8097</v>
      </c>
      <c r="F115" t="s">
        <v>8394</v>
      </c>
      <c r="G115">
        <v>200113</v>
      </c>
      <c r="H115" t="s">
        <v>8395</v>
      </c>
      <c r="I115" t="s">
        <v>8396</v>
      </c>
      <c r="J115" t="s">
        <v>8614</v>
      </c>
      <c r="K115" t="str">
        <f t="shared" si="5"/>
        <v>1</v>
      </c>
      <c r="L115">
        <f>1+SUMPRODUCT((R:R=R115)*(N:N&gt;N115)*(E:E=E115))</f>
        <v>5</v>
      </c>
      <c r="M115">
        <f t="shared" si="7"/>
        <v>1</v>
      </c>
      <c r="N115">
        <v>221.3</v>
      </c>
      <c r="O115" t="s">
        <v>5403</v>
      </c>
      <c r="P115" t="s">
        <v>6779</v>
      </c>
      <c r="Q115">
        <v>1991</v>
      </c>
      <c r="R115" t="s">
        <v>5648</v>
      </c>
      <c r="S115">
        <v>114</v>
      </c>
      <c r="T115" t="s">
        <v>6670</v>
      </c>
      <c r="U115" s="1" t="s">
        <v>7347</v>
      </c>
      <c r="V115" s="1" t="s">
        <v>7348</v>
      </c>
      <c r="W115" t="b">
        <v>0</v>
      </c>
      <c r="X115" t="s">
        <v>76</v>
      </c>
      <c r="Y115" t="s">
        <v>7622</v>
      </c>
      <c r="Z115" t="s">
        <v>6517</v>
      </c>
      <c r="AA115" t="s">
        <v>6517</v>
      </c>
      <c r="AB115" t="s">
        <v>6517</v>
      </c>
      <c r="AC115" t="s">
        <v>7969</v>
      </c>
      <c r="AD115" t="s">
        <v>7730</v>
      </c>
      <c r="AF115" t="b">
        <v>0</v>
      </c>
      <c r="AG115" t="s">
        <v>76</v>
      </c>
      <c r="AH115" s="1">
        <v>42481</v>
      </c>
      <c r="AI115" s="4">
        <v>11.55</v>
      </c>
      <c r="AJ115">
        <v>0</v>
      </c>
      <c r="AK115">
        <v>0</v>
      </c>
      <c r="AL115">
        <v>629.25</v>
      </c>
      <c r="AM115" t="s">
        <v>326</v>
      </c>
      <c r="AP115" t="s">
        <v>6517</v>
      </c>
      <c r="AQ115" t="s">
        <v>6517</v>
      </c>
      <c r="AR115" t="s">
        <v>6517</v>
      </c>
      <c r="AS115" t="s">
        <v>6517</v>
      </c>
      <c r="AT115" t="s">
        <v>6517</v>
      </c>
      <c r="AU115" t="s">
        <v>6517</v>
      </c>
      <c r="AV115" t="s">
        <v>6517</v>
      </c>
    </row>
    <row r="116" spans="1:48" x14ac:dyDescent="0.3">
      <c r="A116" t="s">
        <v>5632</v>
      </c>
      <c r="B116">
        <f t="shared" si="4"/>
        <v>200114</v>
      </c>
      <c r="C116">
        <v>200065</v>
      </c>
      <c r="D116" t="s">
        <v>8261</v>
      </c>
      <c r="E116" t="s">
        <v>8147</v>
      </c>
      <c r="F116" t="s">
        <v>8155</v>
      </c>
      <c r="G116">
        <v>200114</v>
      </c>
      <c r="H116" t="s">
        <v>8397</v>
      </c>
      <c r="I116" t="s">
        <v>8398</v>
      </c>
      <c r="J116" t="s">
        <v>8616</v>
      </c>
      <c r="K116" t="str">
        <f t="shared" si="5"/>
        <v>2</v>
      </c>
      <c r="L116">
        <f t="shared" si="6"/>
        <v>2</v>
      </c>
      <c r="M116">
        <f t="shared" si="7"/>
        <v>2</v>
      </c>
      <c r="N116">
        <v>221.78</v>
      </c>
      <c r="O116" t="s">
        <v>5403</v>
      </c>
      <c r="P116" t="s">
        <v>6780</v>
      </c>
      <c r="Q116">
        <v>1989</v>
      </c>
      <c r="R116" t="s">
        <v>5648</v>
      </c>
      <c r="S116">
        <v>115</v>
      </c>
      <c r="T116" t="s">
        <v>6670</v>
      </c>
      <c r="U116" s="1" t="s">
        <v>7349</v>
      </c>
      <c r="V116" s="1" t="s">
        <v>7350</v>
      </c>
      <c r="W116" t="b">
        <v>0</v>
      </c>
      <c r="X116" t="s">
        <v>76</v>
      </c>
      <c r="Y116" t="s">
        <v>7623</v>
      </c>
      <c r="Z116" t="s">
        <v>6517</v>
      </c>
      <c r="AA116" t="s">
        <v>6517</v>
      </c>
      <c r="AB116" t="s">
        <v>6517</v>
      </c>
      <c r="AC116" t="s">
        <v>7970</v>
      </c>
      <c r="AD116" t="s">
        <v>7803</v>
      </c>
      <c r="AF116" t="b">
        <v>0</v>
      </c>
      <c r="AG116" t="s">
        <v>76</v>
      </c>
      <c r="AH116" s="1">
        <v>42481</v>
      </c>
      <c r="AI116" s="4">
        <v>4.6111111111111107</v>
      </c>
      <c r="AJ116">
        <v>24</v>
      </c>
      <c r="AK116">
        <v>0</v>
      </c>
      <c r="AL116">
        <v>627.5</v>
      </c>
      <c r="AM116" t="s">
        <v>326</v>
      </c>
      <c r="AP116" t="s">
        <v>6517</v>
      </c>
      <c r="AQ116" t="s">
        <v>6517</v>
      </c>
      <c r="AR116" t="s">
        <v>6517</v>
      </c>
      <c r="AS116" t="s">
        <v>6517</v>
      </c>
      <c r="AT116" t="s">
        <v>6517</v>
      </c>
      <c r="AU116" t="s">
        <v>6517</v>
      </c>
      <c r="AV116" t="s">
        <v>6517</v>
      </c>
    </row>
    <row r="117" spans="1:48" x14ac:dyDescent="0.3">
      <c r="A117" t="s">
        <v>5632</v>
      </c>
      <c r="B117">
        <f t="shared" si="4"/>
        <v>200115</v>
      </c>
      <c r="C117">
        <v>200065</v>
      </c>
      <c r="D117" t="s">
        <v>8261</v>
      </c>
      <c r="E117" t="s">
        <v>8147</v>
      </c>
      <c r="F117" t="s">
        <v>8399</v>
      </c>
      <c r="G117">
        <v>200115</v>
      </c>
      <c r="H117" t="s">
        <v>8400</v>
      </c>
      <c r="I117" t="s">
        <v>8401</v>
      </c>
      <c r="J117" t="s">
        <v>8615</v>
      </c>
      <c r="K117" t="str">
        <f t="shared" si="5"/>
        <v>9</v>
      </c>
      <c r="L117">
        <f t="shared" si="6"/>
        <v>10</v>
      </c>
      <c r="M117">
        <f t="shared" si="7"/>
        <v>4</v>
      </c>
      <c r="N117">
        <v>36.01</v>
      </c>
      <c r="O117" t="s">
        <v>5403</v>
      </c>
      <c r="P117" t="s">
        <v>6781</v>
      </c>
      <c r="Q117">
        <v>1976</v>
      </c>
      <c r="R117" t="s">
        <v>5648</v>
      </c>
      <c r="S117">
        <v>116</v>
      </c>
      <c r="T117" t="s">
        <v>6670</v>
      </c>
      <c r="U117" s="1" t="s">
        <v>7351</v>
      </c>
      <c r="V117" s="1" t="s">
        <v>7352</v>
      </c>
      <c r="W117" t="b">
        <v>0</v>
      </c>
      <c r="X117" t="s">
        <v>76</v>
      </c>
      <c r="Y117" t="s">
        <v>7624</v>
      </c>
      <c r="Z117" t="s">
        <v>6517</v>
      </c>
      <c r="AA117" t="s">
        <v>6517</v>
      </c>
      <c r="AB117" t="s">
        <v>6517</v>
      </c>
      <c r="AC117" t="s">
        <v>7971</v>
      </c>
      <c r="AD117" t="s">
        <v>7804</v>
      </c>
      <c r="AF117" t="b">
        <v>0</v>
      </c>
      <c r="AG117" t="s">
        <v>76</v>
      </c>
      <c r="AH117" s="1">
        <v>42481</v>
      </c>
      <c r="AI117" s="4">
        <v>7.8388888888888886</v>
      </c>
      <c r="AJ117">
        <v>0</v>
      </c>
      <c r="AK117">
        <v>0</v>
      </c>
      <c r="AL117">
        <v>84.5</v>
      </c>
      <c r="AM117" t="s">
        <v>326</v>
      </c>
      <c r="AP117" t="s">
        <v>6517</v>
      </c>
      <c r="AQ117" t="s">
        <v>6517</v>
      </c>
      <c r="AR117" t="s">
        <v>6517</v>
      </c>
      <c r="AS117" t="s">
        <v>6517</v>
      </c>
      <c r="AT117" t="s">
        <v>6517</v>
      </c>
      <c r="AU117" t="s">
        <v>6517</v>
      </c>
      <c r="AV117" t="s">
        <v>6517</v>
      </c>
    </row>
    <row r="118" spans="1:48" x14ac:dyDescent="0.3">
      <c r="A118" t="s">
        <v>5632</v>
      </c>
      <c r="B118">
        <f t="shared" si="4"/>
        <v>200116</v>
      </c>
      <c r="C118">
        <v>200065</v>
      </c>
      <c r="D118" t="s">
        <v>8261</v>
      </c>
      <c r="E118" t="s">
        <v>8147</v>
      </c>
      <c r="F118" t="s">
        <v>8308</v>
      </c>
      <c r="G118">
        <v>200116</v>
      </c>
      <c r="H118" t="s">
        <v>8402</v>
      </c>
      <c r="I118" t="s">
        <v>8403</v>
      </c>
      <c r="J118" t="s">
        <v>8614</v>
      </c>
      <c r="K118" t="str">
        <f t="shared" si="5"/>
        <v>1</v>
      </c>
      <c r="L118">
        <f t="shared" si="6"/>
        <v>1</v>
      </c>
      <c r="M118">
        <f t="shared" si="7"/>
        <v>1</v>
      </c>
      <c r="N118">
        <v>403.92</v>
      </c>
      <c r="O118" t="s">
        <v>5403</v>
      </c>
      <c r="P118" t="s">
        <v>6782</v>
      </c>
      <c r="Q118">
        <v>2009</v>
      </c>
      <c r="R118" t="s">
        <v>5648</v>
      </c>
      <c r="S118">
        <v>117</v>
      </c>
      <c r="T118" t="s">
        <v>6670</v>
      </c>
      <c r="U118" s="1" t="s">
        <v>7353</v>
      </c>
      <c r="V118" s="1" t="s">
        <v>7354</v>
      </c>
      <c r="W118" t="b">
        <v>0</v>
      </c>
      <c r="X118" t="s">
        <v>76</v>
      </c>
      <c r="Y118" t="s">
        <v>7625</v>
      </c>
      <c r="Z118" t="s">
        <v>6517</v>
      </c>
      <c r="AA118" t="s">
        <v>6517</v>
      </c>
      <c r="AB118" t="s">
        <v>6517</v>
      </c>
      <c r="AC118" t="s">
        <v>7972</v>
      </c>
      <c r="AD118" t="s">
        <v>7805</v>
      </c>
      <c r="AF118" t="b">
        <v>0</v>
      </c>
      <c r="AG118" t="s">
        <v>76</v>
      </c>
      <c r="AH118" s="1">
        <v>42481</v>
      </c>
      <c r="AI118" s="4">
        <v>4.2555555555555555</v>
      </c>
      <c r="AJ118">
        <v>0</v>
      </c>
      <c r="AK118">
        <v>0</v>
      </c>
      <c r="AL118">
        <v>1199</v>
      </c>
      <c r="AM118" t="s">
        <v>326</v>
      </c>
      <c r="AP118" t="s">
        <v>6517</v>
      </c>
      <c r="AQ118" t="s">
        <v>6517</v>
      </c>
      <c r="AR118" t="s">
        <v>6517</v>
      </c>
      <c r="AS118" t="s">
        <v>6517</v>
      </c>
      <c r="AT118" t="s">
        <v>6517</v>
      </c>
      <c r="AU118" t="s">
        <v>6517</v>
      </c>
      <c r="AV118" t="s">
        <v>6517</v>
      </c>
    </row>
    <row r="119" spans="1:48" x14ac:dyDescent="0.3">
      <c r="A119" t="s">
        <v>5632</v>
      </c>
      <c r="B119">
        <f t="shared" si="4"/>
        <v>200117</v>
      </c>
      <c r="C119">
        <v>200065</v>
      </c>
      <c r="D119" t="s">
        <v>8261</v>
      </c>
      <c r="E119" t="s">
        <v>8147</v>
      </c>
      <c r="F119" t="s">
        <v>8111</v>
      </c>
      <c r="G119">
        <v>200117</v>
      </c>
      <c r="H119" t="s">
        <v>8404</v>
      </c>
      <c r="I119" t="s">
        <v>8405</v>
      </c>
      <c r="J119" t="s">
        <v>8615</v>
      </c>
      <c r="K119" t="str">
        <f t="shared" si="5"/>
        <v>9</v>
      </c>
      <c r="L119">
        <f t="shared" si="6"/>
        <v>3</v>
      </c>
      <c r="M119">
        <f t="shared" si="7"/>
        <v>3</v>
      </c>
      <c r="N119">
        <v>217.97</v>
      </c>
      <c r="O119" t="s">
        <v>5403</v>
      </c>
      <c r="P119" t="s">
        <v>6783</v>
      </c>
      <c r="Q119">
        <v>1985</v>
      </c>
      <c r="R119" t="s">
        <v>5648</v>
      </c>
      <c r="S119">
        <v>118</v>
      </c>
      <c r="T119" t="s">
        <v>6670</v>
      </c>
      <c r="U119" s="1" t="s">
        <v>7355</v>
      </c>
      <c r="V119" s="1" t="s">
        <v>7356</v>
      </c>
      <c r="W119" t="b">
        <v>0</v>
      </c>
      <c r="X119" t="s">
        <v>76</v>
      </c>
      <c r="Y119" t="s">
        <v>7626</v>
      </c>
      <c r="Z119" t="s">
        <v>6517</v>
      </c>
      <c r="AA119" t="s">
        <v>6517</v>
      </c>
      <c r="AB119" t="s">
        <v>6517</v>
      </c>
      <c r="AC119" t="s">
        <v>7973</v>
      </c>
      <c r="AD119" t="s">
        <v>7806</v>
      </c>
      <c r="AF119" t="b">
        <v>0</v>
      </c>
      <c r="AG119" t="s">
        <v>76</v>
      </c>
      <c r="AH119" s="1">
        <v>42481</v>
      </c>
      <c r="AI119" s="4">
        <v>12.472222222222221</v>
      </c>
      <c r="AJ119">
        <v>0</v>
      </c>
      <c r="AK119">
        <v>0</v>
      </c>
      <c r="AL119">
        <v>616.5</v>
      </c>
      <c r="AM119" t="s">
        <v>326</v>
      </c>
      <c r="AP119" t="s">
        <v>6517</v>
      </c>
      <c r="AQ119" t="s">
        <v>6517</v>
      </c>
      <c r="AR119" t="s">
        <v>6517</v>
      </c>
      <c r="AS119" t="s">
        <v>6517</v>
      </c>
      <c r="AT119" t="s">
        <v>6517</v>
      </c>
      <c r="AU119" t="s">
        <v>6517</v>
      </c>
      <c r="AV119" t="s">
        <v>6517</v>
      </c>
    </row>
    <row r="120" spans="1:48" x14ac:dyDescent="0.3">
      <c r="A120" t="s">
        <v>5632</v>
      </c>
      <c r="B120">
        <f t="shared" si="4"/>
        <v>200118</v>
      </c>
      <c r="C120">
        <v>200066</v>
      </c>
      <c r="D120" t="s">
        <v>8264</v>
      </c>
      <c r="E120" t="s">
        <v>8097</v>
      </c>
      <c r="F120" t="s">
        <v>8406</v>
      </c>
      <c r="G120">
        <v>200118</v>
      </c>
      <c r="H120" t="s">
        <v>8407</v>
      </c>
      <c r="I120" t="s">
        <v>8408</v>
      </c>
      <c r="J120" t="s">
        <v>8616</v>
      </c>
      <c r="K120" t="str">
        <f t="shared" si="5"/>
        <v>2</v>
      </c>
      <c r="L120">
        <f>1+SUMPRODUCT((R:R=R120)*(N:N&gt;N120)*(E:E=E120))</f>
        <v>4</v>
      </c>
      <c r="M120">
        <f t="shared" si="7"/>
        <v>2</v>
      </c>
      <c r="N120">
        <v>231.67</v>
      </c>
      <c r="O120" t="s">
        <v>5403</v>
      </c>
      <c r="P120" t="s">
        <v>6784</v>
      </c>
      <c r="Q120">
        <v>1970</v>
      </c>
      <c r="R120" t="s">
        <v>5648</v>
      </c>
      <c r="S120">
        <v>119</v>
      </c>
      <c r="T120" t="s">
        <v>6670</v>
      </c>
      <c r="U120" s="1" t="s">
        <v>7357</v>
      </c>
      <c r="V120" s="1" t="s">
        <v>7358</v>
      </c>
      <c r="W120" t="b">
        <v>0</v>
      </c>
      <c r="X120" t="s">
        <v>76</v>
      </c>
      <c r="Y120" t="s">
        <v>7627</v>
      </c>
      <c r="Z120" t="s">
        <v>6517</v>
      </c>
      <c r="AA120" t="s">
        <v>6517</v>
      </c>
      <c r="AB120" t="s">
        <v>6517</v>
      </c>
      <c r="AC120" t="s">
        <v>7974</v>
      </c>
      <c r="AD120" t="s">
        <v>7807</v>
      </c>
      <c r="AF120" t="b">
        <v>0</v>
      </c>
      <c r="AG120" t="s">
        <v>76</v>
      </c>
      <c r="AH120" s="1">
        <v>42481</v>
      </c>
      <c r="AI120" s="4">
        <v>7.0027777777777782</v>
      </c>
      <c r="AJ120">
        <v>56</v>
      </c>
      <c r="AK120">
        <v>27.5</v>
      </c>
      <c r="AL120">
        <v>590.5</v>
      </c>
      <c r="AM120" t="s">
        <v>326</v>
      </c>
      <c r="AP120" t="s">
        <v>6517</v>
      </c>
      <c r="AQ120" t="s">
        <v>6517</v>
      </c>
      <c r="AR120" t="s">
        <v>6517</v>
      </c>
      <c r="AS120" t="s">
        <v>6517</v>
      </c>
      <c r="AT120" t="s">
        <v>6517</v>
      </c>
      <c r="AU120" t="s">
        <v>6517</v>
      </c>
      <c r="AV120" t="s">
        <v>6517</v>
      </c>
    </row>
    <row r="121" spans="1:48" x14ac:dyDescent="0.3">
      <c r="A121" t="s">
        <v>5632</v>
      </c>
      <c r="B121">
        <f t="shared" si="4"/>
        <v>200119</v>
      </c>
      <c r="C121">
        <v>200066</v>
      </c>
      <c r="D121" t="s">
        <v>8264</v>
      </c>
      <c r="E121" t="s">
        <v>8097</v>
      </c>
      <c r="F121" t="s">
        <v>8409</v>
      </c>
      <c r="G121">
        <v>200119</v>
      </c>
      <c r="H121" t="s">
        <v>8410</v>
      </c>
      <c r="I121" t="s">
        <v>8411</v>
      </c>
      <c r="J121" t="s">
        <v>8615</v>
      </c>
      <c r="K121" t="str">
        <f t="shared" si="5"/>
        <v>9</v>
      </c>
      <c r="L121">
        <f t="shared" si="6"/>
        <v>12</v>
      </c>
      <c r="M121">
        <f t="shared" si="7"/>
        <v>3</v>
      </c>
      <c r="N121">
        <v>178.72</v>
      </c>
      <c r="O121" t="s">
        <v>5403</v>
      </c>
      <c r="P121" t="s">
        <v>6785</v>
      </c>
      <c r="Q121">
        <v>1996</v>
      </c>
      <c r="R121" t="s">
        <v>5648</v>
      </c>
      <c r="S121">
        <v>120</v>
      </c>
      <c r="T121" t="s">
        <v>6670</v>
      </c>
      <c r="U121" s="1" t="s">
        <v>7359</v>
      </c>
      <c r="V121" s="1" t="s">
        <v>7360</v>
      </c>
      <c r="W121" t="b">
        <v>0</v>
      </c>
      <c r="X121" t="s">
        <v>76</v>
      </c>
      <c r="Y121" t="s">
        <v>7628</v>
      </c>
      <c r="Z121" t="s">
        <v>6517</v>
      </c>
      <c r="AA121" t="s">
        <v>6517</v>
      </c>
      <c r="AB121" t="s">
        <v>6517</v>
      </c>
      <c r="AC121" t="s">
        <v>7975</v>
      </c>
      <c r="AD121" t="s">
        <v>7808</v>
      </c>
      <c r="AF121" t="b">
        <v>0</v>
      </c>
      <c r="AG121" t="s">
        <v>76</v>
      </c>
      <c r="AH121" s="1">
        <v>42481</v>
      </c>
      <c r="AI121" s="4">
        <v>5.8888888888888893</v>
      </c>
      <c r="AJ121">
        <v>0</v>
      </c>
      <c r="AK121">
        <v>0</v>
      </c>
      <c r="AL121">
        <v>518.5</v>
      </c>
      <c r="AM121" t="s">
        <v>326</v>
      </c>
      <c r="AP121" t="s">
        <v>6517</v>
      </c>
      <c r="AQ121" t="s">
        <v>6517</v>
      </c>
      <c r="AR121" t="s">
        <v>6517</v>
      </c>
      <c r="AS121" t="s">
        <v>6517</v>
      </c>
      <c r="AT121" t="s">
        <v>6517</v>
      </c>
      <c r="AU121" t="s">
        <v>6517</v>
      </c>
      <c r="AV121" t="s">
        <v>6517</v>
      </c>
    </row>
    <row r="122" spans="1:48" x14ac:dyDescent="0.3">
      <c r="A122" t="s">
        <v>5632</v>
      </c>
      <c r="B122">
        <f t="shared" si="4"/>
        <v>200120</v>
      </c>
      <c r="C122">
        <v>200066</v>
      </c>
      <c r="D122" t="s">
        <v>8264</v>
      </c>
      <c r="E122" t="s">
        <v>8097</v>
      </c>
      <c r="F122" t="s">
        <v>8148</v>
      </c>
      <c r="G122">
        <v>200120</v>
      </c>
      <c r="H122" t="s">
        <v>8412</v>
      </c>
      <c r="I122" t="s">
        <v>8413</v>
      </c>
      <c r="J122" t="s">
        <v>8614</v>
      </c>
      <c r="K122" t="str">
        <f t="shared" si="5"/>
        <v>1</v>
      </c>
      <c r="L122">
        <f t="shared" si="6"/>
        <v>3</v>
      </c>
      <c r="M122">
        <f t="shared" si="7"/>
        <v>1</v>
      </c>
      <c r="N122">
        <v>244.42</v>
      </c>
      <c r="O122" t="s">
        <v>5403</v>
      </c>
      <c r="P122" t="s">
        <v>6786</v>
      </c>
      <c r="Q122">
        <v>1997</v>
      </c>
      <c r="R122" t="s">
        <v>5648</v>
      </c>
      <c r="S122">
        <v>121</v>
      </c>
      <c r="T122" t="s">
        <v>6670</v>
      </c>
      <c r="U122" s="1" t="s">
        <v>7327</v>
      </c>
      <c r="V122" s="1" t="s">
        <v>7361</v>
      </c>
      <c r="W122" t="b">
        <v>0</v>
      </c>
      <c r="X122" t="s">
        <v>76</v>
      </c>
      <c r="Y122" t="s">
        <v>7629</v>
      </c>
      <c r="Z122" t="s">
        <v>6517</v>
      </c>
      <c r="AA122" t="s">
        <v>6517</v>
      </c>
      <c r="AB122" t="s">
        <v>6517</v>
      </c>
      <c r="AC122" t="s">
        <v>7976</v>
      </c>
      <c r="AD122" t="s">
        <v>7809</v>
      </c>
      <c r="AF122" t="b">
        <v>0</v>
      </c>
      <c r="AG122" t="s">
        <v>76</v>
      </c>
      <c r="AH122" s="1">
        <v>42481</v>
      </c>
      <c r="AI122" s="4">
        <v>6.4222222222222225</v>
      </c>
      <c r="AJ122">
        <v>72</v>
      </c>
      <c r="AK122">
        <v>12</v>
      </c>
      <c r="AL122">
        <v>630</v>
      </c>
      <c r="AM122" t="s">
        <v>326</v>
      </c>
      <c r="AP122" t="s">
        <v>6517</v>
      </c>
      <c r="AQ122" t="s">
        <v>6517</v>
      </c>
      <c r="AR122" t="s">
        <v>6517</v>
      </c>
      <c r="AS122" t="s">
        <v>6517</v>
      </c>
      <c r="AT122" t="s">
        <v>6517</v>
      </c>
      <c r="AU122" t="s">
        <v>6517</v>
      </c>
      <c r="AV122" t="s">
        <v>6517</v>
      </c>
    </row>
    <row r="123" spans="1:48" x14ac:dyDescent="0.3">
      <c r="A123" t="s">
        <v>5632</v>
      </c>
      <c r="B123">
        <f t="shared" si="4"/>
        <v>200121</v>
      </c>
      <c r="C123">
        <v>200067</v>
      </c>
      <c r="D123" t="s">
        <v>8267</v>
      </c>
      <c r="E123" t="s">
        <v>8097</v>
      </c>
      <c r="F123" t="s">
        <v>8163</v>
      </c>
      <c r="G123">
        <v>200121</v>
      </c>
      <c r="H123" t="s">
        <v>8414</v>
      </c>
      <c r="I123" t="s">
        <v>8415</v>
      </c>
      <c r="J123">
        <v>1</v>
      </c>
      <c r="K123" t="str">
        <f t="shared" si="5"/>
        <v>2</v>
      </c>
      <c r="L123">
        <f t="shared" si="6"/>
        <v>11</v>
      </c>
      <c r="M123">
        <f t="shared" si="7"/>
        <v>1</v>
      </c>
      <c r="N123">
        <v>180.33</v>
      </c>
      <c r="O123" t="s">
        <v>5403</v>
      </c>
      <c r="P123" t="s">
        <v>6787</v>
      </c>
      <c r="Q123">
        <v>2016</v>
      </c>
      <c r="R123" t="s">
        <v>5648</v>
      </c>
      <c r="S123">
        <v>122</v>
      </c>
      <c r="T123" t="s">
        <v>6670</v>
      </c>
      <c r="U123" s="1" t="s">
        <v>7362</v>
      </c>
      <c r="V123" s="1" t="s">
        <v>7129</v>
      </c>
      <c r="W123" t="b">
        <v>0</v>
      </c>
      <c r="X123" t="s">
        <v>76</v>
      </c>
      <c r="Y123" t="s">
        <v>7630</v>
      </c>
      <c r="Z123" t="s">
        <v>6517</v>
      </c>
      <c r="AA123" t="s">
        <v>6517</v>
      </c>
      <c r="AB123" t="s">
        <v>6517</v>
      </c>
      <c r="AC123" t="s">
        <v>7977</v>
      </c>
      <c r="AD123" t="s">
        <v>7787</v>
      </c>
      <c r="AF123" t="b">
        <v>0</v>
      </c>
      <c r="AG123" t="s">
        <v>76</v>
      </c>
      <c r="AH123" s="1">
        <v>42481</v>
      </c>
      <c r="AI123" s="4">
        <v>3.8250000000000002</v>
      </c>
      <c r="AJ123">
        <v>0</v>
      </c>
      <c r="AK123">
        <v>0</v>
      </c>
      <c r="AL123">
        <v>529.5</v>
      </c>
      <c r="AM123" t="s">
        <v>326</v>
      </c>
      <c r="AP123" t="s">
        <v>6517</v>
      </c>
      <c r="AQ123" t="s">
        <v>6517</v>
      </c>
      <c r="AR123" t="s">
        <v>6517</v>
      </c>
      <c r="AS123" t="s">
        <v>6517</v>
      </c>
      <c r="AT123" t="s">
        <v>6517</v>
      </c>
      <c r="AU123" t="s">
        <v>6517</v>
      </c>
      <c r="AV123" t="s">
        <v>6517</v>
      </c>
    </row>
    <row r="124" spans="1:48" x14ac:dyDescent="0.3">
      <c r="A124" t="s">
        <v>5632</v>
      </c>
      <c r="B124">
        <f t="shared" si="4"/>
        <v>200122</v>
      </c>
      <c r="C124">
        <v>200067</v>
      </c>
      <c r="D124" t="s">
        <v>8267</v>
      </c>
      <c r="E124" t="s">
        <v>8097</v>
      </c>
      <c r="F124" t="s">
        <v>8416</v>
      </c>
      <c r="G124">
        <v>200122</v>
      </c>
      <c r="H124" t="s">
        <v>8417</v>
      </c>
      <c r="I124" t="s">
        <v>8418</v>
      </c>
      <c r="J124" t="s">
        <v>8615</v>
      </c>
      <c r="K124" t="str">
        <f t="shared" si="5"/>
        <v>9</v>
      </c>
      <c r="L124">
        <f t="shared" si="6"/>
        <v>34</v>
      </c>
      <c r="M124">
        <f t="shared" si="7"/>
        <v>2</v>
      </c>
      <c r="N124">
        <v>19.84</v>
      </c>
      <c r="O124" t="s">
        <v>5403</v>
      </c>
      <c r="P124" t="s">
        <v>6788</v>
      </c>
      <c r="Q124">
        <v>2017</v>
      </c>
      <c r="R124" t="s">
        <v>5648</v>
      </c>
      <c r="S124">
        <v>123</v>
      </c>
      <c r="T124" t="s">
        <v>6670</v>
      </c>
      <c r="U124" s="1" t="s">
        <v>7363</v>
      </c>
      <c r="V124" s="1" t="s">
        <v>7364</v>
      </c>
      <c r="W124" t="b">
        <v>0</v>
      </c>
      <c r="X124" t="s">
        <v>76</v>
      </c>
      <c r="Y124" t="s">
        <v>7631</v>
      </c>
      <c r="Z124" t="s">
        <v>6517</v>
      </c>
      <c r="AA124" t="s">
        <v>6517</v>
      </c>
      <c r="AB124" t="s">
        <v>6517</v>
      </c>
      <c r="AC124" t="s">
        <v>7978</v>
      </c>
      <c r="AD124" t="s">
        <v>7810</v>
      </c>
      <c r="AF124" t="b">
        <v>0</v>
      </c>
      <c r="AG124" t="s">
        <v>76</v>
      </c>
      <c r="AH124" s="1">
        <v>42481</v>
      </c>
      <c r="AI124" s="4">
        <v>0.67777777777777781</v>
      </c>
      <c r="AJ124">
        <v>0</v>
      </c>
      <c r="AK124">
        <v>0</v>
      </c>
      <c r="AL124">
        <v>57.5</v>
      </c>
      <c r="AM124" t="s">
        <v>326</v>
      </c>
      <c r="AP124" t="s">
        <v>6517</v>
      </c>
      <c r="AQ124" t="s">
        <v>6517</v>
      </c>
      <c r="AR124" t="s">
        <v>6517</v>
      </c>
      <c r="AS124" t="s">
        <v>6517</v>
      </c>
      <c r="AT124" t="s">
        <v>6517</v>
      </c>
      <c r="AU124" t="s">
        <v>6517</v>
      </c>
      <c r="AV124" t="s">
        <v>6517</v>
      </c>
    </row>
    <row r="125" spans="1:48" x14ac:dyDescent="0.3">
      <c r="A125" t="s">
        <v>5632</v>
      </c>
      <c r="B125">
        <f t="shared" si="4"/>
        <v>200123</v>
      </c>
      <c r="C125">
        <v>200068</v>
      </c>
      <c r="D125" t="s">
        <v>8270</v>
      </c>
      <c r="E125" t="s">
        <v>8097</v>
      </c>
      <c r="F125" t="s">
        <v>8419</v>
      </c>
      <c r="G125">
        <v>200123</v>
      </c>
      <c r="H125" t="s">
        <v>8420</v>
      </c>
      <c r="I125" t="s">
        <v>8421</v>
      </c>
      <c r="J125" t="s">
        <v>8614</v>
      </c>
      <c r="K125" t="str">
        <f t="shared" si="5"/>
        <v>1</v>
      </c>
      <c r="L125">
        <f>1+SUMPRODUCT((R:R=R125)*(N:N&gt;N125)*(E:E=E125))</f>
        <v>6</v>
      </c>
      <c r="M125">
        <f t="shared" si="7"/>
        <v>1</v>
      </c>
      <c r="N125">
        <v>213.64</v>
      </c>
      <c r="O125" t="s">
        <v>5403</v>
      </c>
      <c r="P125" t="s">
        <v>6789</v>
      </c>
      <c r="Q125">
        <v>2001</v>
      </c>
      <c r="R125" t="s">
        <v>5648</v>
      </c>
      <c r="S125">
        <v>124</v>
      </c>
      <c r="T125" t="s">
        <v>6670</v>
      </c>
      <c r="U125" s="1" t="s">
        <v>7365</v>
      </c>
      <c r="V125" s="1" t="s">
        <v>7366</v>
      </c>
      <c r="W125" t="b">
        <v>0</v>
      </c>
      <c r="X125" t="s">
        <v>76</v>
      </c>
      <c r="Y125" t="s">
        <v>7632</v>
      </c>
      <c r="Z125" t="s">
        <v>6517</v>
      </c>
      <c r="AA125" t="s">
        <v>6517</v>
      </c>
      <c r="AB125" t="s">
        <v>6517</v>
      </c>
      <c r="AC125" t="s">
        <v>7979</v>
      </c>
      <c r="AD125" t="s">
        <v>7811</v>
      </c>
      <c r="AF125" t="b">
        <v>0</v>
      </c>
      <c r="AG125" t="s">
        <v>76</v>
      </c>
      <c r="AH125" s="1">
        <v>42481</v>
      </c>
      <c r="AI125" s="4">
        <v>5.9777777777777779</v>
      </c>
      <c r="AJ125">
        <v>0</v>
      </c>
      <c r="AK125">
        <v>0</v>
      </c>
      <c r="AL125">
        <v>623</v>
      </c>
      <c r="AM125" t="s">
        <v>326</v>
      </c>
      <c r="AP125" t="s">
        <v>6517</v>
      </c>
      <c r="AQ125" t="s">
        <v>6517</v>
      </c>
      <c r="AR125" t="s">
        <v>6517</v>
      </c>
      <c r="AS125" t="s">
        <v>6517</v>
      </c>
      <c r="AT125" t="s">
        <v>6517</v>
      </c>
      <c r="AU125" t="s">
        <v>6517</v>
      </c>
      <c r="AV125" t="s">
        <v>6517</v>
      </c>
    </row>
    <row r="126" spans="1:48" x14ac:dyDescent="0.3">
      <c r="A126" t="s">
        <v>5632</v>
      </c>
      <c r="B126">
        <f t="shared" si="4"/>
        <v>200124</v>
      </c>
      <c r="C126">
        <v>200069</v>
      </c>
      <c r="D126" t="s">
        <v>8274</v>
      </c>
      <c r="E126" t="s">
        <v>8147</v>
      </c>
      <c r="F126" t="s">
        <v>8422</v>
      </c>
      <c r="G126">
        <v>200124</v>
      </c>
      <c r="H126" t="s">
        <v>8423</v>
      </c>
      <c r="I126" t="s">
        <v>8424</v>
      </c>
      <c r="J126" t="s">
        <v>8614</v>
      </c>
      <c r="K126" t="str">
        <f t="shared" si="5"/>
        <v>1</v>
      </c>
      <c r="L126">
        <f t="shared" si="6"/>
        <v>4</v>
      </c>
      <c r="M126">
        <f t="shared" si="7"/>
        <v>1</v>
      </c>
      <c r="N126">
        <v>127.43</v>
      </c>
      <c r="O126" t="s">
        <v>5403</v>
      </c>
      <c r="P126" t="s">
        <v>6790</v>
      </c>
      <c r="Q126">
        <v>1997</v>
      </c>
      <c r="R126" t="s">
        <v>5648</v>
      </c>
      <c r="S126">
        <v>125</v>
      </c>
      <c r="T126" t="s">
        <v>6670</v>
      </c>
      <c r="U126" s="1" t="s">
        <v>7367</v>
      </c>
      <c r="V126" s="1" t="s">
        <v>7368</v>
      </c>
      <c r="W126" t="b">
        <v>0</v>
      </c>
      <c r="X126" t="s">
        <v>76</v>
      </c>
      <c r="Y126" t="s">
        <v>7633</v>
      </c>
      <c r="Z126" t="s">
        <v>6517</v>
      </c>
      <c r="AA126" t="s">
        <v>6517</v>
      </c>
      <c r="AB126" t="s">
        <v>6517</v>
      </c>
      <c r="AC126" t="s">
        <v>7980</v>
      </c>
      <c r="AD126" t="s">
        <v>7779</v>
      </c>
      <c r="AF126" t="b">
        <v>0</v>
      </c>
      <c r="AG126" t="s">
        <v>76</v>
      </c>
      <c r="AH126" s="1">
        <v>42481</v>
      </c>
      <c r="AI126" s="4">
        <v>5.5944444444444441</v>
      </c>
      <c r="AJ126">
        <v>0</v>
      </c>
      <c r="AK126">
        <v>0</v>
      </c>
      <c r="AL126">
        <v>365.5</v>
      </c>
      <c r="AM126" t="s">
        <v>326</v>
      </c>
      <c r="AP126" t="s">
        <v>6517</v>
      </c>
      <c r="AQ126" t="s">
        <v>6517</v>
      </c>
      <c r="AR126" t="s">
        <v>6517</v>
      </c>
      <c r="AS126" t="s">
        <v>6517</v>
      </c>
      <c r="AT126" t="s">
        <v>6517</v>
      </c>
      <c r="AU126" t="s">
        <v>6517</v>
      </c>
      <c r="AV126" t="s">
        <v>6517</v>
      </c>
    </row>
    <row r="127" spans="1:48" x14ac:dyDescent="0.3">
      <c r="A127" t="s">
        <v>5632</v>
      </c>
      <c r="B127">
        <f t="shared" si="4"/>
        <v>200125</v>
      </c>
      <c r="C127">
        <v>200070</v>
      </c>
      <c r="D127" t="s">
        <v>8277</v>
      </c>
      <c r="E127" t="s">
        <v>8256</v>
      </c>
      <c r="F127" t="s">
        <v>8425</v>
      </c>
      <c r="G127">
        <v>200125</v>
      </c>
      <c r="H127" t="s">
        <v>8426</v>
      </c>
      <c r="I127" t="s">
        <v>8427</v>
      </c>
      <c r="J127" t="s">
        <v>8615</v>
      </c>
      <c r="K127" t="str">
        <f t="shared" si="5"/>
        <v>9</v>
      </c>
      <c r="L127">
        <f t="shared" si="6"/>
        <v>6</v>
      </c>
      <c r="M127">
        <f t="shared" si="7"/>
        <v>4</v>
      </c>
      <c r="N127">
        <v>118.79</v>
      </c>
      <c r="O127" t="s">
        <v>5403</v>
      </c>
      <c r="P127" t="s">
        <v>6791</v>
      </c>
      <c r="Q127">
        <v>1977</v>
      </c>
      <c r="R127" t="s">
        <v>5648</v>
      </c>
      <c r="S127">
        <v>126</v>
      </c>
      <c r="T127" t="s">
        <v>6670</v>
      </c>
      <c r="U127" s="1" t="s">
        <v>7369</v>
      </c>
      <c r="V127" s="1" t="s">
        <v>7370</v>
      </c>
      <c r="W127" t="b">
        <v>0</v>
      </c>
      <c r="X127" t="s">
        <v>76</v>
      </c>
      <c r="Y127" t="s">
        <v>7634</v>
      </c>
      <c r="Z127" t="s">
        <v>6517</v>
      </c>
      <c r="AA127" t="s">
        <v>6517</v>
      </c>
      <c r="AB127" t="s">
        <v>6517</v>
      </c>
      <c r="AC127" t="s">
        <v>7981</v>
      </c>
      <c r="AD127" t="s">
        <v>7727</v>
      </c>
      <c r="AF127" t="b">
        <v>0</v>
      </c>
      <c r="AG127" t="s">
        <v>76</v>
      </c>
      <c r="AH127" s="1">
        <v>42481</v>
      </c>
      <c r="AI127" s="4">
        <v>9.375</v>
      </c>
      <c r="AJ127">
        <v>0</v>
      </c>
      <c r="AK127">
        <v>0</v>
      </c>
      <c r="AL127">
        <v>328.25</v>
      </c>
      <c r="AM127" t="s">
        <v>326</v>
      </c>
      <c r="AP127" t="s">
        <v>6517</v>
      </c>
      <c r="AQ127" t="s">
        <v>6517</v>
      </c>
      <c r="AR127" t="s">
        <v>6517</v>
      </c>
      <c r="AS127" t="s">
        <v>6517</v>
      </c>
      <c r="AT127" t="s">
        <v>6517</v>
      </c>
      <c r="AU127" t="s">
        <v>6517</v>
      </c>
      <c r="AV127" t="s">
        <v>6517</v>
      </c>
    </row>
    <row r="128" spans="1:48" x14ac:dyDescent="0.3">
      <c r="A128" t="s">
        <v>5632</v>
      </c>
      <c r="B128">
        <f t="shared" si="4"/>
        <v>200126</v>
      </c>
      <c r="C128">
        <v>200070</v>
      </c>
      <c r="D128" t="s">
        <v>8277</v>
      </c>
      <c r="E128" t="s">
        <v>8256</v>
      </c>
      <c r="F128" t="s">
        <v>8118</v>
      </c>
      <c r="G128">
        <v>200126</v>
      </c>
      <c r="H128" t="s">
        <v>8428</v>
      </c>
      <c r="I128" t="s">
        <v>8429</v>
      </c>
      <c r="J128" t="s">
        <v>8616</v>
      </c>
      <c r="K128" t="str">
        <f t="shared" si="5"/>
        <v>2</v>
      </c>
      <c r="L128">
        <f t="shared" si="6"/>
        <v>4</v>
      </c>
      <c r="M128">
        <f t="shared" si="7"/>
        <v>2</v>
      </c>
      <c r="N128">
        <v>208.36</v>
      </c>
      <c r="O128" t="s">
        <v>5403</v>
      </c>
      <c r="P128" t="s">
        <v>6792</v>
      </c>
      <c r="Q128">
        <v>1995</v>
      </c>
      <c r="R128" t="s">
        <v>5648</v>
      </c>
      <c r="S128">
        <v>127</v>
      </c>
      <c r="T128" t="s">
        <v>6670</v>
      </c>
      <c r="U128" s="1" t="s">
        <v>7371</v>
      </c>
      <c r="V128" s="1" t="s">
        <v>7372</v>
      </c>
      <c r="W128" t="b">
        <v>0</v>
      </c>
      <c r="X128" t="s">
        <v>76</v>
      </c>
      <c r="Y128" t="s">
        <v>7635</v>
      </c>
      <c r="Z128" t="s">
        <v>6517</v>
      </c>
      <c r="AA128" t="s">
        <v>6517</v>
      </c>
      <c r="AB128" t="s">
        <v>6517</v>
      </c>
      <c r="AC128" t="s">
        <v>7982</v>
      </c>
      <c r="AD128" t="s">
        <v>7812</v>
      </c>
      <c r="AF128" t="b">
        <v>0</v>
      </c>
      <c r="AG128" t="s">
        <v>76</v>
      </c>
      <c r="AH128" s="1">
        <v>42481</v>
      </c>
      <c r="AI128" s="4">
        <v>5.1055555555555552</v>
      </c>
      <c r="AJ128">
        <v>0</v>
      </c>
      <c r="AK128">
        <v>0</v>
      </c>
      <c r="AL128">
        <v>609.75</v>
      </c>
      <c r="AM128" t="s">
        <v>326</v>
      </c>
      <c r="AP128" t="s">
        <v>6517</v>
      </c>
      <c r="AQ128" t="s">
        <v>6517</v>
      </c>
      <c r="AR128" t="s">
        <v>6517</v>
      </c>
      <c r="AS128" t="s">
        <v>6517</v>
      </c>
      <c r="AT128" t="s">
        <v>6517</v>
      </c>
      <c r="AU128" t="s">
        <v>6517</v>
      </c>
      <c r="AV128" t="s">
        <v>6517</v>
      </c>
    </row>
    <row r="129" spans="1:48" x14ac:dyDescent="0.3">
      <c r="A129" t="s">
        <v>5632</v>
      </c>
      <c r="B129">
        <f t="shared" si="4"/>
        <v>200127</v>
      </c>
      <c r="C129">
        <v>200070</v>
      </c>
      <c r="D129" t="s">
        <v>8277</v>
      </c>
      <c r="E129" t="s">
        <v>8256</v>
      </c>
      <c r="F129" t="s">
        <v>8430</v>
      </c>
      <c r="G129">
        <v>200127</v>
      </c>
      <c r="H129" t="s">
        <v>8431</v>
      </c>
      <c r="I129" t="s">
        <v>8432</v>
      </c>
      <c r="J129" t="s">
        <v>8615</v>
      </c>
      <c r="K129" t="str">
        <f t="shared" si="5"/>
        <v>9</v>
      </c>
      <c r="L129">
        <f t="shared" si="6"/>
        <v>5</v>
      </c>
      <c r="M129">
        <f t="shared" si="7"/>
        <v>3</v>
      </c>
      <c r="N129">
        <v>207.67</v>
      </c>
      <c r="O129" t="s">
        <v>5403</v>
      </c>
      <c r="P129" t="s">
        <v>6793</v>
      </c>
      <c r="Q129">
        <v>2000</v>
      </c>
      <c r="R129" t="s">
        <v>5648</v>
      </c>
      <c r="S129">
        <v>128</v>
      </c>
      <c r="T129" t="s">
        <v>6670</v>
      </c>
      <c r="U129" s="1" t="s">
        <v>7373</v>
      </c>
      <c r="V129" s="1" t="s">
        <v>7374</v>
      </c>
      <c r="W129" t="b">
        <v>0</v>
      </c>
      <c r="X129" t="s">
        <v>76</v>
      </c>
      <c r="Y129" t="s">
        <v>7636</v>
      </c>
      <c r="Z129" t="s">
        <v>6517</v>
      </c>
      <c r="AA129" t="s">
        <v>6517</v>
      </c>
      <c r="AB129" t="s">
        <v>6517</v>
      </c>
      <c r="AC129" t="s">
        <v>7983</v>
      </c>
      <c r="AD129" t="s">
        <v>7813</v>
      </c>
      <c r="AF129" t="b">
        <v>0</v>
      </c>
      <c r="AG129" t="s">
        <v>76</v>
      </c>
      <c r="AH129" s="1">
        <v>42481</v>
      </c>
      <c r="AI129" s="4">
        <v>6.166666666666667</v>
      </c>
      <c r="AJ129">
        <v>0</v>
      </c>
      <c r="AK129">
        <v>0</v>
      </c>
      <c r="AL129">
        <v>604.5</v>
      </c>
      <c r="AM129" t="s">
        <v>326</v>
      </c>
      <c r="AP129" t="s">
        <v>6517</v>
      </c>
      <c r="AQ129" t="s">
        <v>6517</v>
      </c>
      <c r="AR129" t="s">
        <v>6517</v>
      </c>
      <c r="AS129" t="s">
        <v>6517</v>
      </c>
      <c r="AT129" t="s">
        <v>6517</v>
      </c>
      <c r="AU129" t="s">
        <v>6517</v>
      </c>
      <c r="AV129" t="s">
        <v>6517</v>
      </c>
    </row>
    <row r="130" spans="1:48" x14ac:dyDescent="0.3">
      <c r="A130" t="s">
        <v>5632</v>
      </c>
      <c r="B130">
        <f t="shared" si="4"/>
        <v>200128</v>
      </c>
      <c r="C130">
        <v>200070</v>
      </c>
      <c r="D130" t="s">
        <v>8277</v>
      </c>
      <c r="E130" t="s">
        <v>8256</v>
      </c>
      <c r="F130" t="s">
        <v>8433</v>
      </c>
      <c r="G130">
        <v>200128</v>
      </c>
      <c r="H130" t="s">
        <v>8434</v>
      </c>
      <c r="I130" t="s">
        <v>8435</v>
      </c>
      <c r="J130" t="s">
        <v>8614</v>
      </c>
      <c r="K130" t="str">
        <f t="shared" si="5"/>
        <v>1</v>
      </c>
      <c r="L130">
        <f t="shared" si="6"/>
        <v>3</v>
      </c>
      <c r="M130">
        <f t="shared" si="7"/>
        <v>1</v>
      </c>
      <c r="N130">
        <v>217.01</v>
      </c>
      <c r="O130" t="s">
        <v>5403</v>
      </c>
      <c r="P130" t="s">
        <v>6794</v>
      </c>
      <c r="Q130">
        <v>1977</v>
      </c>
      <c r="R130" t="s">
        <v>5648</v>
      </c>
      <c r="S130">
        <v>129</v>
      </c>
      <c r="T130" t="s">
        <v>6670</v>
      </c>
      <c r="U130" s="1" t="s">
        <v>7375</v>
      </c>
      <c r="V130" s="1" t="s">
        <v>7376</v>
      </c>
      <c r="W130" t="b">
        <v>0</v>
      </c>
      <c r="X130" t="s">
        <v>76</v>
      </c>
      <c r="Y130" t="s">
        <v>7637</v>
      </c>
      <c r="Z130" t="s">
        <v>6517</v>
      </c>
      <c r="AA130" t="s">
        <v>6517</v>
      </c>
      <c r="AB130" t="s">
        <v>6517</v>
      </c>
      <c r="AC130" t="s">
        <v>7984</v>
      </c>
      <c r="AD130" t="s">
        <v>7757</v>
      </c>
      <c r="AF130" t="b">
        <v>0</v>
      </c>
      <c r="AG130" t="s">
        <v>76</v>
      </c>
      <c r="AH130" s="1">
        <v>42481</v>
      </c>
      <c r="AI130" s="4">
        <v>8.6805555555555554</v>
      </c>
      <c r="AJ130">
        <v>0</v>
      </c>
      <c r="AK130">
        <v>0</v>
      </c>
      <c r="AL130">
        <v>625</v>
      </c>
      <c r="AM130" t="s">
        <v>326</v>
      </c>
      <c r="AP130" t="s">
        <v>6517</v>
      </c>
      <c r="AQ130" t="s">
        <v>6517</v>
      </c>
      <c r="AR130" t="s">
        <v>6517</v>
      </c>
      <c r="AS130" t="s">
        <v>6517</v>
      </c>
      <c r="AT130" t="s">
        <v>6517</v>
      </c>
      <c r="AU130" t="s">
        <v>6517</v>
      </c>
      <c r="AV130" t="s">
        <v>6517</v>
      </c>
    </row>
    <row r="131" spans="1:48" x14ac:dyDescent="0.3">
      <c r="A131" t="s">
        <v>5632</v>
      </c>
      <c r="B131">
        <f t="shared" ref="B131:B194" si="8">IF(ISNUMBER(B130),B130+1,200000)</f>
        <v>200129</v>
      </c>
      <c r="C131">
        <v>200071</v>
      </c>
      <c r="D131" t="s">
        <v>8280</v>
      </c>
      <c r="E131" t="s">
        <v>8097</v>
      </c>
      <c r="F131" t="s">
        <v>8240</v>
      </c>
      <c r="G131">
        <v>200129</v>
      </c>
      <c r="H131" t="s">
        <v>8436</v>
      </c>
      <c r="I131" t="s">
        <v>8437</v>
      </c>
      <c r="J131" t="s">
        <v>8614</v>
      </c>
      <c r="K131" t="str">
        <f t="shared" ref="K131:K194" si="9">IF(AND(L131*M131&lt;=10+COUNTIFS(L:L,"&lt;=10",M:M,2,C:C,C131),M131=1),"1",IF(OR(AND(L131*M131&lt;=20,L131*M131&gt;=11,M131=1),AND(L131*M131&gt;=4,L131*M131&lt;=40,M131=2)),"2","9"))</f>
        <v>1</v>
      </c>
      <c r="L131">
        <f>1+SUMPRODUCT((R:R=R131)*(N:N&gt;N131)*(E:E=E131))</f>
        <v>8</v>
      </c>
      <c r="M131">
        <f t="shared" ref="M131:M194" si="10">1+SUMPRODUCT((R:R=R131)*(N:N&gt;N131)*(C:C=C131))</f>
        <v>1</v>
      </c>
      <c r="N131">
        <v>206.6</v>
      </c>
      <c r="O131" t="s">
        <v>5403</v>
      </c>
      <c r="P131" t="s">
        <v>6795</v>
      </c>
      <c r="Q131">
        <v>1982</v>
      </c>
      <c r="R131" t="s">
        <v>5648</v>
      </c>
      <c r="S131">
        <v>130</v>
      </c>
      <c r="T131" t="s">
        <v>6670</v>
      </c>
      <c r="U131" s="1" t="s">
        <v>7377</v>
      </c>
      <c r="V131" s="1" t="s">
        <v>7378</v>
      </c>
      <c r="W131" t="b">
        <v>0</v>
      </c>
      <c r="X131" t="s">
        <v>76</v>
      </c>
      <c r="Y131" t="s">
        <v>7638</v>
      </c>
      <c r="Z131" t="s">
        <v>6517</v>
      </c>
      <c r="AA131" t="s">
        <v>6517</v>
      </c>
      <c r="AB131" t="s">
        <v>6517</v>
      </c>
      <c r="AC131" t="s">
        <v>7985</v>
      </c>
      <c r="AD131" t="s">
        <v>7814</v>
      </c>
      <c r="AF131" t="b">
        <v>0</v>
      </c>
      <c r="AG131" t="s">
        <v>76</v>
      </c>
      <c r="AH131" s="1">
        <v>42481</v>
      </c>
      <c r="AI131" s="4">
        <v>1.2666666666666666</v>
      </c>
      <c r="AJ131">
        <v>0</v>
      </c>
      <c r="AK131">
        <v>0</v>
      </c>
      <c r="AL131">
        <v>616</v>
      </c>
      <c r="AM131" t="s">
        <v>326</v>
      </c>
      <c r="AP131" t="s">
        <v>6517</v>
      </c>
      <c r="AQ131" t="s">
        <v>6517</v>
      </c>
      <c r="AR131" t="s">
        <v>6517</v>
      </c>
      <c r="AS131" t="s">
        <v>6517</v>
      </c>
      <c r="AT131" t="s">
        <v>6517</v>
      </c>
      <c r="AU131" t="s">
        <v>6517</v>
      </c>
      <c r="AV131" t="s">
        <v>6517</v>
      </c>
    </row>
    <row r="132" spans="1:48" x14ac:dyDescent="0.3">
      <c r="A132" t="s">
        <v>5632</v>
      </c>
      <c r="B132">
        <f t="shared" si="8"/>
        <v>200130</v>
      </c>
      <c r="C132">
        <v>200071</v>
      </c>
      <c r="D132" t="s">
        <v>8280</v>
      </c>
      <c r="E132" t="s">
        <v>8097</v>
      </c>
      <c r="F132" t="s">
        <v>8263</v>
      </c>
      <c r="G132">
        <v>200130</v>
      </c>
      <c r="H132" t="s">
        <v>8438</v>
      </c>
      <c r="I132" t="s">
        <v>8439</v>
      </c>
      <c r="J132" t="s">
        <v>8615</v>
      </c>
      <c r="K132" t="str">
        <f t="shared" si="9"/>
        <v>9</v>
      </c>
      <c r="L132">
        <f t="shared" ref="L132:L194" si="11">1+SUMPRODUCT((R:R=R132)*(N:N&gt;N132)*(E:E=E132))</f>
        <v>43</v>
      </c>
      <c r="M132">
        <f t="shared" si="10"/>
        <v>2</v>
      </c>
      <c r="N132">
        <v>11.94</v>
      </c>
      <c r="O132" t="s">
        <v>5403</v>
      </c>
      <c r="P132" t="s">
        <v>6796</v>
      </c>
      <c r="Q132">
        <v>1989</v>
      </c>
      <c r="R132" t="s">
        <v>5648</v>
      </c>
      <c r="S132">
        <v>131</v>
      </c>
      <c r="T132" t="s">
        <v>6670</v>
      </c>
      <c r="U132" s="1" t="s">
        <v>7278</v>
      </c>
      <c r="V132" s="1" t="s">
        <v>7379</v>
      </c>
      <c r="W132" t="b">
        <v>0</v>
      </c>
      <c r="X132" t="s">
        <v>76</v>
      </c>
      <c r="Y132" t="s">
        <v>7639</v>
      </c>
      <c r="Z132" t="s">
        <v>6517</v>
      </c>
      <c r="AA132" t="s">
        <v>6517</v>
      </c>
      <c r="AB132" t="s">
        <v>6517</v>
      </c>
      <c r="AC132" t="s">
        <v>7986</v>
      </c>
      <c r="AD132" t="s">
        <v>7712</v>
      </c>
      <c r="AF132" t="b">
        <v>0</v>
      </c>
      <c r="AG132" t="s">
        <v>76</v>
      </c>
      <c r="AH132" s="1">
        <v>42481</v>
      </c>
      <c r="AI132" s="4">
        <v>0.61111111111111116</v>
      </c>
      <c r="AJ132">
        <v>0</v>
      </c>
      <c r="AK132">
        <v>0</v>
      </c>
      <c r="AL132">
        <v>34</v>
      </c>
      <c r="AM132" t="s">
        <v>326</v>
      </c>
      <c r="AP132" t="s">
        <v>6517</v>
      </c>
      <c r="AQ132" t="s">
        <v>6517</v>
      </c>
      <c r="AR132" t="s">
        <v>6517</v>
      </c>
      <c r="AS132" t="s">
        <v>6517</v>
      </c>
      <c r="AT132" t="s">
        <v>6517</v>
      </c>
      <c r="AU132" t="s">
        <v>6517</v>
      </c>
      <c r="AV132" t="s">
        <v>6517</v>
      </c>
    </row>
    <row r="133" spans="1:48" x14ac:dyDescent="0.3">
      <c r="A133" t="s">
        <v>5632</v>
      </c>
      <c r="B133">
        <f t="shared" si="8"/>
        <v>200131</v>
      </c>
      <c r="C133">
        <v>200072</v>
      </c>
      <c r="D133" t="s">
        <v>8283</v>
      </c>
      <c r="E133" t="s">
        <v>8147</v>
      </c>
      <c r="F133" t="s">
        <v>8111</v>
      </c>
      <c r="G133">
        <v>200131</v>
      </c>
      <c r="H133" t="s">
        <v>8440</v>
      </c>
      <c r="I133" t="s">
        <v>8441</v>
      </c>
      <c r="J133" t="s">
        <v>8616</v>
      </c>
      <c r="K133" t="str">
        <f t="shared" si="9"/>
        <v>2</v>
      </c>
      <c r="L133">
        <f t="shared" si="11"/>
        <v>17</v>
      </c>
      <c r="M133">
        <f t="shared" si="10"/>
        <v>2</v>
      </c>
      <c r="N133">
        <v>11.06</v>
      </c>
      <c r="O133" t="s">
        <v>5403</v>
      </c>
      <c r="P133" t="s">
        <v>6797</v>
      </c>
      <c r="Q133">
        <v>1980</v>
      </c>
      <c r="R133" t="s">
        <v>5648</v>
      </c>
      <c r="S133">
        <v>132</v>
      </c>
      <c r="T133" t="s">
        <v>6670</v>
      </c>
      <c r="U133" s="1" t="s">
        <v>7380</v>
      </c>
      <c r="V133" s="1" t="s">
        <v>7381</v>
      </c>
      <c r="W133" t="b">
        <v>0</v>
      </c>
      <c r="X133" t="s">
        <v>76</v>
      </c>
      <c r="Y133" t="s">
        <v>7640</v>
      </c>
      <c r="Z133" t="s">
        <v>6517</v>
      </c>
      <c r="AA133" t="s">
        <v>6517</v>
      </c>
      <c r="AB133" t="s">
        <v>6517</v>
      </c>
      <c r="AC133" t="s">
        <v>7987</v>
      </c>
      <c r="AD133" t="s">
        <v>7815</v>
      </c>
      <c r="AF133" t="b">
        <v>0</v>
      </c>
      <c r="AG133" t="s">
        <v>76</v>
      </c>
      <c r="AH133" s="1">
        <v>42481</v>
      </c>
      <c r="AI133" s="4">
        <v>8.3944444444444439</v>
      </c>
      <c r="AJ133">
        <v>0</v>
      </c>
      <c r="AK133">
        <v>0</v>
      </c>
      <c r="AL133">
        <v>8</v>
      </c>
      <c r="AM133" t="s">
        <v>326</v>
      </c>
      <c r="AP133" t="s">
        <v>6517</v>
      </c>
      <c r="AQ133" t="s">
        <v>6517</v>
      </c>
      <c r="AR133" t="s">
        <v>6517</v>
      </c>
      <c r="AS133" t="s">
        <v>6517</v>
      </c>
      <c r="AT133" t="s">
        <v>6517</v>
      </c>
      <c r="AU133" t="s">
        <v>6517</v>
      </c>
      <c r="AV133" t="s">
        <v>6517</v>
      </c>
    </row>
    <row r="134" spans="1:48" x14ac:dyDescent="0.3">
      <c r="A134" t="s">
        <v>5632</v>
      </c>
      <c r="B134">
        <f t="shared" si="8"/>
        <v>200132</v>
      </c>
      <c r="C134">
        <v>200072</v>
      </c>
      <c r="D134" t="s">
        <v>8283</v>
      </c>
      <c r="E134" t="s">
        <v>8147</v>
      </c>
      <c r="F134" t="s">
        <v>8380</v>
      </c>
      <c r="G134">
        <v>200132</v>
      </c>
      <c r="H134" t="s">
        <v>8442</v>
      </c>
      <c r="I134" t="s">
        <v>8443</v>
      </c>
      <c r="J134" t="s">
        <v>8614</v>
      </c>
      <c r="K134" t="str">
        <f t="shared" si="9"/>
        <v>1</v>
      </c>
      <c r="L134">
        <f t="shared" si="11"/>
        <v>7</v>
      </c>
      <c r="M134">
        <f t="shared" si="10"/>
        <v>1</v>
      </c>
      <c r="N134">
        <v>61.39</v>
      </c>
      <c r="O134" t="s">
        <v>5403</v>
      </c>
      <c r="P134" t="s">
        <v>6798</v>
      </c>
      <c r="Q134">
        <v>2004</v>
      </c>
      <c r="R134" t="s">
        <v>5648</v>
      </c>
      <c r="S134">
        <v>133</v>
      </c>
      <c r="T134" t="s">
        <v>6670</v>
      </c>
      <c r="U134" s="1" t="s">
        <v>7382</v>
      </c>
      <c r="V134" s="1" t="s">
        <v>7383</v>
      </c>
      <c r="W134" t="b">
        <v>0</v>
      </c>
      <c r="X134" t="s">
        <v>76</v>
      </c>
      <c r="Y134" t="s">
        <v>7641</v>
      </c>
      <c r="Z134" t="s">
        <v>6517</v>
      </c>
      <c r="AA134" t="s">
        <v>6517</v>
      </c>
      <c r="AB134" t="s">
        <v>6517</v>
      </c>
      <c r="AC134" t="s">
        <v>7988</v>
      </c>
      <c r="AD134" t="s">
        <v>7816</v>
      </c>
      <c r="AF134" t="b">
        <v>0</v>
      </c>
      <c r="AG134" t="s">
        <v>76</v>
      </c>
      <c r="AH134" s="1">
        <v>42481</v>
      </c>
      <c r="AI134" s="4">
        <v>6.3888888888888893</v>
      </c>
      <c r="AJ134">
        <v>0</v>
      </c>
      <c r="AK134">
        <v>0</v>
      </c>
      <c r="AL134">
        <v>165</v>
      </c>
      <c r="AM134" t="s">
        <v>326</v>
      </c>
      <c r="AP134" t="s">
        <v>6517</v>
      </c>
      <c r="AQ134" t="s">
        <v>6517</v>
      </c>
      <c r="AR134" t="s">
        <v>6517</v>
      </c>
      <c r="AS134" t="s">
        <v>6517</v>
      </c>
      <c r="AT134" t="s">
        <v>6517</v>
      </c>
      <c r="AU134" t="s">
        <v>6517</v>
      </c>
      <c r="AV134" t="s">
        <v>6517</v>
      </c>
    </row>
    <row r="135" spans="1:48" x14ac:dyDescent="0.3">
      <c r="A135" t="s">
        <v>5632</v>
      </c>
      <c r="B135">
        <f t="shared" si="8"/>
        <v>200133</v>
      </c>
      <c r="C135">
        <v>200073</v>
      </c>
      <c r="D135" t="s">
        <v>8286</v>
      </c>
      <c r="E135" t="s">
        <v>8108</v>
      </c>
      <c r="F135" t="s">
        <v>8317</v>
      </c>
      <c r="G135">
        <v>200133</v>
      </c>
      <c r="H135" t="s">
        <v>8444</v>
      </c>
      <c r="I135" t="s">
        <v>8445</v>
      </c>
      <c r="J135" t="s">
        <v>8614</v>
      </c>
      <c r="K135" t="str">
        <f t="shared" si="9"/>
        <v>1</v>
      </c>
      <c r="L135">
        <f t="shared" si="11"/>
        <v>1</v>
      </c>
      <c r="M135">
        <f t="shared" si="10"/>
        <v>1</v>
      </c>
      <c r="N135">
        <v>75.760000000000005</v>
      </c>
      <c r="O135" t="s">
        <v>5403</v>
      </c>
      <c r="P135" t="s">
        <v>6799</v>
      </c>
      <c r="Q135">
        <v>2014</v>
      </c>
      <c r="R135" t="s">
        <v>5648</v>
      </c>
      <c r="S135">
        <v>134</v>
      </c>
      <c r="T135" t="s">
        <v>6670</v>
      </c>
      <c r="U135" s="1" t="s">
        <v>7384</v>
      </c>
      <c r="V135" s="1" t="s">
        <v>7385</v>
      </c>
      <c r="W135" t="b">
        <v>0</v>
      </c>
      <c r="X135" t="s">
        <v>76</v>
      </c>
      <c r="Y135" t="s">
        <v>7642</v>
      </c>
      <c r="Z135" t="s">
        <v>6517</v>
      </c>
      <c r="AA135" t="s">
        <v>6517</v>
      </c>
      <c r="AB135" t="s">
        <v>6517</v>
      </c>
      <c r="AC135" t="s">
        <v>7989</v>
      </c>
      <c r="AD135" t="s">
        <v>7775</v>
      </c>
      <c r="AF135" t="b">
        <v>0</v>
      </c>
      <c r="AG135" t="s">
        <v>76</v>
      </c>
      <c r="AH135" s="1">
        <v>42481</v>
      </c>
      <c r="AI135" s="4">
        <v>13.425000000000001</v>
      </c>
      <c r="AJ135">
        <v>0</v>
      </c>
      <c r="AK135">
        <v>0</v>
      </c>
      <c r="AL135">
        <v>187</v>
      </c>
      <c r="AM135" t="s">
        <v>326</v>
      </c>
      <c r="AP135" t="s">
        <v>6517</v>
      </c>
      <c r="AQ135" t="s">
        <v>6517</v>
      </c>
      <c r="AR135" t="s">
        <v>6517</v>
      </c>
      <c r="AS135" t="s">
        <v>6517</v>
      </c>
      <c r="AT135" t="s">
        <v>6517</v>
      </c>
      <c r="AU135" t="s">
        <v>6517</v>
      </c>
      <c r="AV135" t="s">
        <v>6517</v>
      </c>
    </row>
    <row r="136" spans="1:48" x14ac:dyDescent="0.3">
      <c r="A136" t="s">
        <v>5632</v>
      </c>
      <c r="B136">
        <f t="shared" si="8"/>
        <v>200134</v>
      </c>
      <c r="C136">
        <v>200073</v>
      </c>
      <c r="D136" t="s">
        <v>8286</v>
      </c>
      <c r="E136" t="s">
        <v>8108</v>
      </c>
      <c r="F136" t="s">
        <v>8446</v>
      </c>
      <c r="G136">
        <v>200134</v>
      </c>
      <c r="H136" t="s">
        <v>8447</v>
      </c>
      <c r="I136" t="s">
        <v>8448</v>
      </c>
      <c r="J136" t="s">
        <v>8616</v>
      </c>
      <c r="K136" t="str">
        <f t="shared" si="9"/>
        <v>2</v>
      </c>
      <c r="L136">
        <f t="shared" si="11"/>
        <v>2</v>
      </c>
      <c r="M136">
        <f t="shared" si="10"/>
        <v>2</v>
      </c>
      <c r="N136">
        <v>66.8</v>
      </c>
      <c r="O136" t="s">
        <v>5403</v>
      </c>
      <c r="P136" t="s">
        <v>6800</v>
      </c>
      <c r="Q136">
        <v>1991</v>
      </c>
      <c r="R136" t="s">
        <v>5648</v>
      </c>
      <c r="S136">
        <v>135</v>
      </c>
      <c r="T136" t="s">
        <v>6670</v>
      </c>
      <c r="U136" s="1" t="s">
        <v>7386</v>
      </c>
      <c r="V136" s="1" t="s">
        <v>7387</v>
      </c>
      <c r="W136" t="b">
        <v>0</v>
      </c>
      <c r="X136" t="s">
        <v>76</v>
      </c>
      <c r="Y136" t="s">
        <v>7643</v>
      </c>
      <c r="Z136" t="s">
        <v>6517</v>
      </c>
      <c r="AA136" t="s">
        <v>6517</v>
      </c>
      <c r="AB136" t="s">
        <v>6517</v>
      </c>
      <c r="AC136" t="s">
        <v>7990</v>
      </c>
      <c r="AD136" t="s">
        <v>7817</v>
      </c>
      <c r="AF136" t="b">
        <v>0</v>
      </c>
      <c r="AG136" t="s">
        <v>76</v>
      </c>
      <c r="AH136" s="1">
        <v>42481</v>
      </c>
      <c r="AI136" s="4">
        <v>1.3</v>
      </c>
      <c r="AJ136">
        <v>0</v>
      </c>
      <c r="AK136">
        <v>0</v>
      </c>
      <c r="AL136">
        <v>196.5</v>
      </c>
      <c r="AM136" t="s">
        <v>326</v>
      </c>
      <c r="AP136" t="s">
        <v>6517</v>
      </c>
      <c r="AQ136" t="s">
        <v>6517</v>
      </c>
      <c r="AR136" t="s">
        <v>6517</v>
      </c>
      <c r="AS136" t="s">
        <v>6517</v>
      </c>
      <c r="AT136" t="s">
        <v>6517</v>
      </c>
      <c r="AU136" t="s">
        <v>6517</v>
      </c>
      <c r="AV136" t="s">
        <v>6517</v>
      </c>
    </row>
    <row r="137" spans="1:48" x14ac:dyDescent="0.3">
      <c r="A137" t="s">
        <v>5632</v>
      </c>
      <c r="B137">
        <f t="shared" si="8"/>
        <v>200135</v>
      </c>
      <c r="C137">
        <v>200074</v>
      </c>
      <c r="D137" t="s">
        <v>8288</v>
      </c>
      <c r="E137" t="s">
        <v>8097</v>
      </c>
      <c r="F137" t="s">
        <v>8449</v>
      </c>
      <c r="G137">
        <v>200135</v>
      </c>
      <c r="H137" t="s">
        <v>8450</v>
      </c>
      <c r="I137" t="s">
        <v>8451</v>
      </c>
      <c r="J137" t="s">
        <v>8616</v>
      </c>
      <c r="K137" t="str">
        <f t="shared" si="9"/>
        <v>2</v>
      </c>
      <c r="L137">
        <f>1+SUMPRODUCT((R:R=R137)*(N:N&gt;N137)*(E:E=E137))</f>
        <v>20</v>
      </c>
      <c r="M137">
        <f t="shared" si="10"/>
        <v>1</v>
      </c>
      <c r="N137">
        <v>71.510000000000005</v>
      </c>
      <c r="O137" t="s">
        <v>5403</v>
      </c>
      <c r="P137" t="s">
        <v>6801</v>
      </c>
      <c r="Q137">
        <v>2012</v>
      </c>
      <c r="R137" t="s">
        <v>5648</v>
      </c>
      <c r="S137">
        <v>136</v>
      </c>
      <c r="T137" t="s">
        <v>6670</v>
      </c>
      <c r="U137" s="1" t="s">
        <v>7388</v>
      </c>
      <c r="V137" s="1" t="s">
        <v>7389</v>
      </c>
      <c r="W137" t="b">
        <v>0</v>
      </c>
      <c r="X137" t="s">
        <v>76</v>
      </c>
      <c r="Y137" t="s">
        <v>7644</v>
      </c>
      <c r="Z137" t="s">
        <v>6517</v>
      </c>
      <c r="AA137" t="s">
        <v>6517</v>
      </c>
      <c r="AB137" t="s">
        <v>6517</v>
      </c>
      <c r="AC137" t="s">
        <v>7991</v>
      </c>
      <c r="AD137" t="s">
        <v>7768</v>
      </c>
      <c r="AF137" t="b">
        <v>0</v>
      </c>
      <c r="AG137" t="s">
        <v>76</v>
      </c>
      <c r="AH137" s="1">
        <v>42481</v>
      </c>
      <c r="AI137" s="4">
        <v>8.6722222222222225</v>
      </c>
      <c r="AJ137">
        <v>0</v>
      </c>
      <c r="AK137">
        <v>0</v>
      </c>
      <c r="AL137">
        <v>188.5</v>
      </c>
      <c r="AM137" t="s">
        <v>326</v>
      </c>
      <c r="AP137" t="s">
        <v>6517</v>
      </c>
      <c r="AQ137" t="s">
        <v>6517</v>
      </c>
      <c r="AR137" t="s">
        <v>6517</v>
      </c>
      <c r="AS137" t="s">
        <v>6517</v>
      </c>
      <c r="AT137" t="s">
        <v>6517</v>
      </c>
      <c r="AU137" t="s">
        <v>6517</v>
      </c>
      <c r="AV137" t="s">
        <v>6517</v>
      </c>
    </row>
    <row r="138" spans="1:48" x14ac:dyDescent="0.3">
      <c r="A138" t="s">
        <v>5632</v>
      </c>
      <c r="B138">
        <f t="shared" si="8"/>
        <v>200136</v>
      </c>
      <c r="C138">
        <v>200075</v>
      </c>
      <c r="D138" t="s">
        <v>8291</v>
      </c>
      <c r="E138" t="s">
        <v>8166</v>
      </c>
      <c r="F138" t="s">
        <v>8151</v>
      </c>
      <c r="G138">
        <v>200136</v>
      </c>
      <c r="H138" t="s">
        <v>8452</v>
      </c>
      <c r="I138" t="s">
        <v>8453</v>
      </c>
      <c r="J138" t="s">
        <v>8614</v>
      </c>
      <c r="K138" t="str">
        <f t="shared" si="9"/>
        <v>1</v>
      </c>
      <c r="L138">
        <f t="shared" si="11"/>
        <v>1</v>
      </c>
      <c r="M138">
        <f t="shared" si="10"/>
        <v>1</v>
      </c>
      <c r="N138">
        <v>414.55</v>
      </c>
      <c r="O138" t="s">
        <v>5403</v>
      </c>
      <c r="P138" t="s">
        <v>6802</v>
      </c>
      <c r="Q138">
        <v>1975</v>
      </c>
      <c r="R138" t="s">
        <v>5648</v>
      </c>
      <c r="S138">
        <v>137</v>
      </c>
      <c r="T138" t="s">
        <v>6670</v>
      </c>
      <c r="U138" s="1" t="s">
        <v>7390</v>
      </c>
      <c r="V138" s="1" t="s">
        <v>7391</v>
      </c>
      <c r="W138" t="b">
        <v>0</v>
      </c>
      <c r="X138" t="s">
        <v>76</v>
      </c>
      <c r="Y138" t="s">
        <v>7645</v>
      </c>
      <c r="Z138" t="s">
        <v>6517</v>
      </c>
      <c r="AA138" t="s">
        <v>6517</v>
      </c>
      <c r="AB138" t="s">
        <v>6517</v>
      </c>
      <c r="AC138" t="s">
        <v>7992</v>
      </c>
      <c r="AD138" t="s">
        <v>7818</v>
      </c>
      <c r="AF138" t="b">
        <v>0</v>
      </c>
      <c r="AG138" t="s">
        <v>76</v>
      </c>
      <c r="AH138" s="1">
        <v>42481</v>
      </c>
      <c r="AI138" s="4">
        <v>10.380555555555556</v>
      </c>
      <c r="AJ138">
        <v>0</v>
      </c>
      <c r="AK138">
        <v>0</v>
      </c>
      <c r="AL138">
        <v>1212.5</v>
      </c>
      <c r="AM138" t="s">
        <v>326</v>
      </c>
      <c r="AP138" t="s">
        <v>6517</v>
      </c>
      <c r="AQ138" t="s">
        <v>6517</v>
      </c>
      <c r="AR138" t="s">
        <v>6517</v>
      </c>
      <c r="AS138" t="s">
        <v>6517</v>
      </c>
      <c r="AT138" t="s">
        <v>6517</v>
      </c>
      <c r="AU138" t="s">
        <v>6517</v>
      </c>
      <c r="AV138" t="s">
        <v>6517</v>
      </c>
    </row>
    <row r="139" spans="1:48" x14ac:dyDescent="0.3">
      <c r="A139" t="s">
        <v>5632</v>
      </c>
      <c r="B139">
        <f t="shared" si="8"/>
        <v>200137</v>
      </c>
      <c r="C139">
        <v>200076</v>
      </c>
      <c r="D139" t="s">
        <v>8293</v>
      </c>
      <c r="E139" t="s">
        <v>8097</v>
      </c>
      <c r="F139" t="s">
        <v>8433</v>
      </c>
      <c r="G139">
        <v>200137</v>
      </c>
      <c r="H139" t="s">
        <v>8454</v>
      </c>
      <c r="I139" t="s">
        <v>8455</v>
      </c>
      <c r="J139" t="s">
        <v>8614</v>
      </c>
      <c r="K139" t="str">
        <f t="shared" si="9"/>
        <v>1</v>
      </c>
      <c r="L139">
        <f>1+SUMPRODUCT((R:R=R139)*(N:N&gt;N139)*(E:E=E139))</f>
        <v>1</v>
      </c>
      <c r="M139">
        <f t="shared" si="10"/>
        <v>1</v>
      </c>
      <c r="N139">
        <v>351.95</v>
      </c>
      <c r="O139" t="s">
        <v>5403</v>
      </c>
      <c r="P139" t="s">
        <v>6803</v>
      </c>
      <c r="Q139">
        <v>1978</v>
      </c>
      <c r="R139" t="s">
        <v>5648</v>
      </c>
      <c r="S139">
        <v>138</v>
      </c>
      <c r="T139" t="s">
        <v>6670</v>
      </c>
      <c r="U139" s="1" t="s">
        <v>7392</v>
      </c>
      <c r="V139" s="1" t="s">
        <v>7393</v>
      </c>
      <c r="W139" t="b">
        <v>0</v>
      </c>
      <c r="X139" t="s">
        <v>76</v>
      </c>
      <c r="Y139" t="s">
        <v>7646</v>
      </c>
      <c r="Z139" t="s">
        <v>6517</v>
      </c>
      <c r="AA139" t="s">
        <v>6517</v>
      </c>
      <c r="AB139" t="s">
        <v>6517</v>
      </c>
      <c r="AC139" t="s">
        <v>7993</v>
      </c>
      <c r="AD139" t="s">
        <v>7819</v>
      </c>
      <c r="AF139" t="b">
        <v>0</v>
      </c>
      <c r="AG139" t="s">
        <v>76</v>
      </c>
      <c r="AH139" s="1">
        <v>42481</v>
      </c>
      <c r="AI139" s="4">
        <v>5.447222222222222</v>
      </c>
      <c r="AJ139">
        <v>0</v>
      </c>
      <c r="AK139">
        <v>0</v>
      </c>
      <c r="AL139">
        <v>1039.5</v>
      </c>
      <c r="AM139" t="s">
        <v>326</v>
      </c>
      <c r="AP139" t="s">
        <v>6517</v>
      </c>
      <c r="AQ139" t="s">
        <v>6517</v>
      </c>
      <c r="AR139" t="s">
        <v>6517</v>
      </c>
      <c r="AS139" t="s">
        <v>6517</v>
      </c>
      <c r="AT139" t="s">
        <v>6517</v>
      </c>
      <c r="AU139" t="s">
        <v>6517</v>
      </c>
      <c r="AV139" t="s">
        <v>6517</v>
      </c>
    </row>
    <row r="140" spans="1:48" x14ac:dyDescent="0.3">
      <c r="A140" t="s">
        <v>5632</v>
      </c>
      <c r="B140">
        <f t="shared" si="8"/>
        <v>200138</v>
      </c>
      <c r="C140">
        <v>200077</v>
      </c>
      <c r="D140" t="s">
        <v>8296</v>
      </c>
      <c r="E140" t="s">
        <v>8097</v>
      </c>
      <c r="F140" t="s">
        <v>8456</v>
      </c>
      <c r="G140">
        <v>200138</v>
      </c>
      <c r="H140" t="s">
        <v>8457</v>
      </c>
      <c r="I140" t="s">
        <v>8458</v>
      </c>
      <c r="J140" t="s">
        <v>8615</v>
      </c>
      <c r="K140" t="str">
        <f t="shared" si="9"/>
        <v>9</v>
      </c>
      <c r="L140">
        <f t="shared" si="11"/>
        <v>26</v>
      </c>
      <c r="M140">
        <f t="shared" si="10"/>
        <v>2</v>
      </c>
      <c r="N140">
        <v>49.04</v>
      </c>
      <c r="O140" t="s">
        <v>5403</v>
      </c>
      <c r="P140" t="s">
        <v>6804</v>
      </c>
      <c r="Q140">
        <v>2008</v>
      </c>
      <c r="R140" t="s">
        <v>5648</v>
      </c>
      <c r="S140">
        <v>139</v>
      </c>
      <c r="T140" t="s">
        <v>6670</v>
      </c>
      <c r="U140" s="1" t="s">
        <v>7394</v>
      </c>
      <c r="V140" s="1" t="s">
        <v>7395</v>
      </c>
      <c r="W140" t="b">
        <v>0</v>
      </c>
      <c r="X140" t="s">
        <v>76</v>
      </c>
      <c r="Y140" t="s">
        <v>7647</v>
      </c>
      <c r="Z140" t="s">
        <v>6517</v>
      </c>
      <c r="AA140" t="s">
        <v>6517</v>
      </c>
      <c r="AB140" t="s">
        <v>6517</v>
      </c>
      <c r="AC140" t="s">
        <v>7994</v>
      </c>
      <c r="AD140" t="s">
        <v>7820</v>
      </c>
      <c r="AF140" t="b">
        <v>0</v>
      </c>
      <c r="AG140" t="s">
        <v>76</v>
      </c>
      <c r="AH140" s="1">
        <v>42481</v>
      </c>
      <c r="AI140" s="4">
        <v>7.0361111111111114</v>
      </c>
      <c r="AJ140">
        <v>0</v>
      </c>
      <c r="AK140">
        <v>0</v>
      </c>
      <c r="AL140">
        <v>126</v>
      </c>
      <c r="AM140" t="s">
        <v>326</v>
      </c>
      <c r="AP140" t="s">
        <v>6517</v>
      </c>
      <c r="AQ140" t="s">
        <v>6517</v>
      </c>
      <c r="AR140" t="s">
        <v>6517</v>
      </c>
      <c r="AS140" t="s">
        <v>6517</v>
      </c>
      <c r="AT140" t="s">
        <v>6517</v>
      </c>
      <c r="AU140" t="s">
        <v>6517</v>
      </c>
      <c r="AV140" t="s">
        <v>6517</v>
      </c>
    </row>
    <row r="141" spans="1:48" x14ac:dyDescent="0.3">
      <c r="A141" t="s">
        <v>5632</v>
      </c>
      <c r="B141">
        <f t="shared" si="8"/>
        <v>200139</v>
      </c>
      <c r="C141">
        <v>200077</v>
      </c>
      <c r="D141" t="s">
        <v>8296</v>
      </c>
      <c r="E141" t="s">
        <v>8097</v>
      </c>
      <c r="F141" t="s">
        <v>8459</v>
      </c>
      <c r="G141">
        <v>200139</v>
      </c>
      <c r="H141" t="s">
        <v>8460</v>
      </c>
      <c r="I141" t="s">
        <v>8461</v>
      </c>
      <c r="J141" t="s">
        <v>8615</v>
      </c>
      <c r="K141" t="str">
        <f t="shared" si="9"/>
        <v>9</v>
      </c>
      <c r="L141">
        <f t="shared" si="11"/>
        <v>39</v>
      </c>
      <c r="M141">
        <f t="shared" si="10"/>
        <v>4</v>
      </c>
      <c r="N141">
        <v>14.02</v>
      </c>
      <c r="O141" t="s">
        <v>5403</v>
      </c>
      <c r="P141" t="s">
        <v>6805</v>
      </c>
      <c r="Q141">
        <v>2017</v>
      </c>
      <c r="R141" t="s">
        <v>5648</v>
      </c>
      <c r="S141">
        <v>140</v>
      </c>
      <c r="T141" t="s">
        <v>6670</v>
      </c>
      <c r="U141" s="1" t="s">
        <v>7396</v>
      </c>
      <c r="V141" s="1" t="s">
        <v>7397</v>
      </c>
      <c r="W141" t="b">
        <v>0</v>
      </c>
      <c r="X141" t="s">
        <v>76</v>
      </c>
      <c r="Y141" t="s">
        <v>7648</v>
      </c>
      <c r="Z141" t="s">
        <v>6517</v>
      </c>
      <c r="AA141" t="s">
        <v>6517</v>
      </c>
      <c r="AB141" t="s">
        <v>6517</v>
      </c>
      <c r="AC141" t="s">
        <v>7995</v>
      </c>
      <c r="AD141" t="s">
        <v>7712</v>
      </c>
      <c r="AF141" t="b">
        <v>0</v>
      </c>
      <c r="AG141" t="s">
        <v>76</v>
      </c>
      <c r="AH141" s="1">
        <v>42481</v>
      </c>
      <c r="AI141" s="4">
        <v>6.3555555555555552</v>
      </c>
      <c r="AJ141">
        <v>0</v>
      </c>
      <c r="AK141">
        <v>0</v>
      </c>
      <c r="AL141">
        <v>23</v>
      </c>
      <c r="AM141" t="s">
        <v>326</v>
      </c>
      <c r="AP141" t="s">
        <v>6517</v>
      </c>
      <c r="AQ141" t="s">
        <v>6517</v>
      </c>
      <c r="AR141" t="s">
        <v>6517</v>
      </c>
      <c r="AS141" t="s">
        <v>6517</v>
      </c>
      <c r="AT141" t="s">
        <v>6517</v>
      </c>
      <c r="AU141" t="s">
        <v>6517</v>
      </c>
      <c r="AV141" t="s">
        <v>6517</v>
      </c>
    </row>
    <row r="142" spans="1:48" x14ac:dyDescent="0.3">
      <c r="A142" t="s">
        <v>5632</v>
      </c>
      <c r="B142">
        <f t="shared" si="8"/>
        <v>200140</v>
      </c>
      <c r="C142">
        <v>200077</v>
      </c>
      <c r="D142" t="s">
        <v>8296</v>
      </c>
      <c r="E142" t="s">
        <v>8097</v>
      </c>
      <c r="F142" t="s">
        <v>8383</v>
      </c>
      <c r="G142">
        <v>200140</v>
      </c>
      <c r="H142" t="s">
        <v>8462</v>
      </c>
      <c r="I142" t="s">
        <v>8463</v>
      </c>
      <c r="J142" t="s">
        <v>8615</v>
      </c>
      <c r="K142" t="str">
        <f t="shared" si="9"/>
        <v>9</v>
      </c>
      <c r="L142">
        <f t="shared" si="11"/>
        <v>32</v>
      </c>
      <c r="M142">
        <f t="shared" si="10"/>
        <v>3</v>
      </c>
      <c r="N142">
        <v>26.37</v>
      </c>
      <c r="O142" t="s">
        <v>5403</v>
      </c>
      <c r="P142" t="s">
        <v>6806</v>
      </c>
      <c r="Q142">
        <v>2008</v>
      </c>
      <c r="R142" t="s">
        <v>5648</v>
      </c>
      <c r="S142">
        <v>141</v>
      </c>
      <c r="T142" t="s">
        <v>6670</v>
      </c>
      <c r="U142" s="1" t="s">
        <v>7398</v>
      </c>
      <c r="V142" s="1" t="s">
        <v>7399</v>
      </c>
      <c r="W142" t="b">
        <v>0</v>
      </c>
      <c r="X142" t="s">
        <v>76</v>
      </c>
      <c r="Y142" t="s">
        <v>7649</v>
      </c>
      <c r="Z142" t="s">
        <v>6517</v>
      </c>
      <c r="AA142" t="s">
        <v>6517</v>
      </c>
      <c r="AB142" t="s">
        <v>6517</v>
      </c>
      <c r="AC142" t="s">
        <v>7996</v>
      </c>
      <c r="AD142" t="s">
        <v>7821</v>
      </c>
      <c r="AF142" t="b">
        <v>0</v>
      </c>
      <c r="AG142" t="s">
        <v>76</v>
      </c>
      <c r="AH142" s="1">
        <v>42481</v>
      </c>
      <c r="AI142" s="4">
        <v>5.2</v>
      </c>
      <c r="AJ142">
        <v>0</v>
      </c>
      <c r="AK142">
        <v>0</v>
      </c>
      <c r="AL142">
        <v>63.5</v>
      </c>
      <c r="AM142" t="s">
        <v>326</v>
      </c>
      <c r="AP142" t="s">
        <v>6517</v>
      </c>
      <c r="AQ142" t="s">
        <v>6517</v>
      </c>
      <c r="AR142" t="s">
        <v>6517</v>
      </c>
      <c r="AS142" t="s">
        <v>6517</v>
      </c>
      <c r="AT142" t="s">
        <v>6517</v>
      </c>
      <c r="AU142" t="s">
        <v>6517</v>
      </c>
      <c r="AV142" t="s">
        <v>6517</v>
      </c>
    </row>
    <row r="143" spans="1:48" x14ac:dyDescent="0.3">
      <c r="A143" t="s">
        <v>5632</v>
      </c>
      <c r="B143">
        <f t="shared" si="8"/>
        <v>200141</v>
      </c>
      <c r="C143">
        <v>200077</v>
      </c>
      <c r="D143" t="s">
        <v>8296</v>
      </c>
      <c r="E143" t="s">
        <v>8097</v>
      </c>
      <c r="F143" t="s">
        <v>8459</v>
      </c>
      <c r="G143">
        <v>200141</v>
      </c>
      <c r="H143" t="s">
        <v>8464</v>
      </c>
      <c r="I143" t="s">
        <v>8465</v>
      </c>
      <c r="J143" t="s">
        <v>8616</v>
      </c>
      <c r="K143" t="str">
        <f t="shared" si="9"/>
        <v>2</v>
      </c>
      <c r="L143">
        <f t="shared" si="11"/>
        <v>15</v>
      </c>
      <c r="M143">
        <f t="shared" si="10"/>
        <v>1</v>
      </c>
      <c r="N143">
        <v>127.8</v>
      </c>
      <c r="O143" t="s">
        <v>5403</v>
      </c>
      <c r="P143" t="s">
        <v>6807</v>
      </c>
      <c r="Q143">
        <v>1989</v>
      </c>
      <c r="R143" t="s">
        <v>5648</v>
      </c>
      <c r="S143">
        <v>142</v>
      </c>
      <c r="T143" t="s">
        <v>6670</v>
      </c>
      <c r="U143" s="1" t="s">
        <v>7400</v>
      </c>
      <c r="V143" s="1" t="s">
        <v>7401</v>
      </c>
      <c r="W143" t="b">
        <v>0</v>
      </c>
      <c r="X143" t="s">
        <v>76</v>
      </c>
      <c r="Y143" t="s">
        <v>7650</v>
      </c>
      <c r="Z143" t="s">
        <v>6517</v>
      </c>
      <c r="AA143" t="s">
        <v>6517</v>
      </c>
      <c r="AB143" t="s">
        <v>6517</v>
      </c>
      <c r="AC143" t="s">
        <v>7997</v>
      </c>
      <c r="AD143" t="s">
        <v>7822</v>
      </c>
      <c r="AF143" t="b">
        <v>0</v>
      </c>
      <c r="AG143" t="s">
        <v>76</v>
      </c>
      <c r="AH143" s="1">
        <v>42481</v>
      </c>
      <c r="AI143" s="4">
        <v>1.1333333333333333</v>
      </c>
      <c r="AJ143">
        <v>115</v>
      </c>
      <c r="AK143">
        <v>0</v>
      </c>
      <c r="AL143">
        <v>265</v>
      </c>
      <c r="AM143" t="s">
        <v>326</v>
      </c>
      <c r="AP143" t="s">
        <v>6517</v>
      </c>
      <c r="AQ143" t="s">
        <v>6517</v>
      </c>
      <c r="AR143" t="s">
        <v>6517</v>
      </c>
      <c r="AS143" t="s">
        <v>6517</v>
      </c>
      <c r="AT143" t="s">
        <v>6517</v>
      </c>
      <c r="AU143" t="s">
        <v>6517</v>
      </c>
      <c r="AV143" t="s">
        <v>6517</v>
      </c>
    </row>
    <row r="144" spans="1:48" x14ac:dyDescent="0.3">
      <c r="A144" t="s">
        <v>5632</v>
      </c>
      <c r="B144">
        <f t="shared" si="8"/>
        <v>200142</v>
      </c>
      <c r="C144">
        <v>200078</v>
      </c>
      <c r="D144" t="s">
        <v>8298</v>
      </c>
      <c r="E144" t="s">
        <v>8097</v>
      </c>
      <c r="F144" t="s">
        <v>8466</v>
      </c>
      <c r="G144">
        <v>200142</v>
      </c>
      <c r="H144" t="s">
        <v>8467</v>
      </c>
      <c r="I144" t="s">
        <v>8468</v>
      </c>
      <c r="J144" t="s">
        <v>8614</v>
      </c>
      <c r="K144" t="str">
        <f t="shared" si="9"/>
        <v>1</v>
      </c>
      <c r="L144">
        <f t="shared" si="11"/>
        <v>2</v>
      </c>
      <c r="M144">
        <f t="shared" si="10"/>
        <v>1</v>
      </c>
      <c r="N144">
        <v>262.07</v>
      </c>
      <c r="O144" t="s">
        <v>5403</v>
      </c>
      <c r="P144" t="s">
        <v>6808</v>
      </c>
      <c r="Q144">
        <v>1986</v>
      </c>
      <c r="R144" t="s">
        <v>5648</v>
      </c>
      <c r="S144">
        <v>143</v>
      </c>
      <c r="T144" t="s">
        <v>6670</v>
      </c>
      <c r="U144" s="1" t="s">
        <v>7402</v>
      </c>
      <c r="V144" s="1" t="s">
        <v>7403</v>
      </c>
      <c r="W144" t="b">
        <v>0</v>
      </c>
      <c r="X144" t="s">
        <v>76</v>
      </c>
      <c r="Y144" t="s">
        <v>7651</v>
      </c>
      <c r="Z144" t="s">
        <v>6517</v>
      </c>
      <c r="AA144" t="s">
        <v>6517</v>
      </c>
      <c r="AB144" t="s">
        <v>6517</v>
      </c>
      <c r="AC144" t="s">
        <v>7998</v>
      </c>
      <c r="AD144" t="s">
        <v>7810</v>
      </c>
      <c r="AF144" t="b">
        <v>0</v>
      </c>
      <c r="AG144" t="s">
        <v>76</v>
      </c>
      <c r="AH144" s="1">
        <v>42481</v>
      </c>
      <c r="AI144" s="4">
        <v>8.0722222222222229</v>
      </c>
      <c r="AJ144">
        <v>0</v>
      </c>
      <c r="AK144">
        <v>0</v>
      </c>
      <c r="AL144">
        <v>762</v>
      </c>
      <c r="AM144" t="s">
        <v>326</v>
      </c>
      <c r="AP144" t="s">
        <v>6517</v>
      </c>
      <c r="AQ144" t="s">
        <v>6517</v>
      </c>
      <c r="AR144" t="s">
        <v>6517</v>
      </c>
      <c r="AS144" t="s">
        <v>6517</v>
      </c>
      <c r="AT144" t="s">
        <v>6517</v>
      </c>
      <c r="AU144" t="s">
        <v>6517</v>
      </c>
      <c r="AV144" t="s">
        <v>6517</v>
      </c>
    </row>
    <row r="145" spans="1:48" x14ac:dyDescent="0.3">
      <c r="A145" t="s">
        <v>5632</v>
      </c>
      <c r="B145">
        <f t="shared" si="8"/>
        <v>200143</v>
      </c>
      <c r="C145">
        <v>200079</v>
      </c>
      <c r="D145" t="s">
        <v>8301</v>
      </c>
      <c r="E145" t="s">
        <v>8097</v>
      </c>
      <c r="F145" t="s">
        <v>8111</v>
      </c>
      <c r="G145">
        <v>200143</v>
      </c>
      <c r="H145" t="s">
        <v>8469</v>
      </c>
      <c r="I145" t="s">
        <v>8470</v>
      </c>
      <c r="J145" t="s">
        <v>8616</v>
      </c>
      <c r="K145" t="str">
        <f t="shared" si="9"/>
        <v>2</v>
      </c>
      <c r="L145">
        <f t="shared" si="11"/>
        <v>17</v>
      </c>
      <c r="M145">
        <f t="shared" si="10"/>
        <v>1</v>
      </c>
      <c r="N145">
        <v>101.72</v>
      </c>
      <c r="O145" t="s">
        <v>5403</v>
      </c>
      <c r="P145" t="s">
        <v>6809</v>
      </c>
      <c r="Q145">
        <v>2003</v>
      </c>
      <c r="R145" t="s">
        <v>5648</v>
      </c>
      <c r="S145">
        <v>144</v>
      </c>
      <c r="T145" t="s">
        <v>6670</v>
      </c>
      <c r="U145" s="1" t="s">
        <v>7274</v>
      </c>
      <c r="V145" s="1" t="s">
        <v>7404</v>
      </c>
      <c r="W145" t="b">
        <v>0</v>
      </c>
      <c r="X145" t="s">
        <v>76</v>
      </c>
      <c r="Y145" t="s">
        <v>7652</v>
      </c>
      <c r="Z145" t="s">
        <v>6517</v>
      </c>
      <c r="AA145" t="s">
        <v>6517</v>
      </c>
      <c r="AB145" t="s">
        <v>6517</v>
      </c>
      <c r="AC145" t="s">
        <v>7999</v>
      </c>
      <c r="AD145" t="s">
        <v>7823</v>
      </c>
      <c r="AF145" t="b">
        <v>0</v>
      </c>
      <c r="AG145" t="s">
        <v>76</v>
      </c>
      <c r="AH145" s="1">
        <v>42481</v>
      </c>
      <c r="AI145" s="4">
        <v>3.3833333333333333</v>
      </c>
      <c r="AJ145">
        <v>0</v>
      </c>
      <c r="AK145">
        <v>0</v>
      </c>
      <c r="AL145">
        <v>295</v>
      </c>
      <c r="AM145" t="s">
        <v>326</v>
      </c>
      <c r="AP145" t="s">
        <v>6517</v>
      </c>
      <c r="AQ145" t="s">
        <v>6517</v>
      </c>
      <c r="AR145" t="s">
        <v>6517</v>
      </c>
      <c r="AS145" t="s">
        <v>6517</v>
      </c>
      <c r="AT145" t="s">
        <v>6517</v>
      </c>
      <c r="AU145" t="s">
        <v>6517</v>
      </c>
      <c r="AV145" t="s">
        <v>6517</v>
      </c>
    </row>
    <row r="146" spans="1:48" x14ac:dyDescent="0.3">
      <c r="A146" t="s">
        <v>5632</v>
      </c>
      <c r="B146">
        <f t="shared" si="8"/>
        <v>200144</v>
      </c>
      <c r="C146">
        <v>200080</v>
      </c>
      <c r="D146" t="s">
        <v>8303</v>
      </c>
      <c r="E146" t="s">
        <v>8097</v>
      </c>
      <c r="F146" t="s">
        <v>8102</v>
      </c>
      <c r="G146">
        <v>200144</v>
      </c>
      <c r="H146" t="s">
        <v>8471</v>
      </c>
      <c r="I146" t="s">
        <v>8472</v>
      </c>
      <c r="J146" t="s">
        <v>8616</v>
      </c>
      <c r="K146" t="str">
        <f t="shared" si="9"/>
        <v>2</v>
      </c>
      <c r="L146">
        <f t="shared" si="11"/>
        <v>14</v>
      </c>
      <c r="M146">
        <f t="shared" si="10"/>
        <v>1</v>
      </c>
      <c r="N146">
        <v>136.96</v>
      </c>
      <c r="O146" t="s">
        <v>5403</v>
      </c>
      <c r="P146" t="s">
        <v>6810</v>
      </c>
      <c r="Q146">
        <v>2002</v>
      </c>
      <c r="R146" t="s">
        <v>5648</v>
      </c>
      <c r="S146">
        <v>145</v>
      </c>
      <c r="T146" t="s">
        <v>6670</v>
      </c>
      <c r="U146" s="1" t="s">
        <v>7405</v>
      </c>
      <c r="V146" s="1" t="s">
        <v>7406</v>
      </c>
      <c r="W146" t="b">
        <v>0</v>
      </c>
      <c r="X146" t="s">
        <v>76</v>
      </c>
      <c r="Y146" t="s">
        <v>7653</v>
      </c>
      <c r="Z146" t="s">
        <v>6517</v>
      </c>
      <c r="AA146" t="s">
        <v>6517</v>
      </c>
      <c r="AB146" t="s">
        <v>6517</v>
      </c>
      <c r="AC146" t="s">
        <v>8000</v>
      </c>
      <c r="AD146" t="s">
        <v>7737</v>
      </c>
      <c r="AF146" t="b">
        <v>0</v>
      </c>
      <c r="AG146" t="s">
        <v>76</v>
      </c>
      <c r="AH146" s="1">
        <v>42481</v>
      </c>
      <c r="AI146" s="4">
        <v>1.8722222222222222</v>
      </c>
      <c r="AJ146">
        <v>0</v>
      </c>
      <c r="AK146">
        <v>0</v>
      </c>
      <c r="AL146">
        <v>405.25</v>
      </c>
      <c r="AM146" t="s">
        <v>326</v>
      </c>
      <c r="AP146" t="s">
        <v>6517</v>
      </c>
      <c r="AQ146" t="s">
        <v>6517</v>
      </c>
      <c r="AR146" t="s">
        <v>6517</v>
      </c>
      <c r="AS146" t="s">
        <v>6517</v>
      </c>
      <c r="AT146" t="s">
        <v>6517</v>
      </c>
      <c r="AU146" t="s">
        <v>6517</v>
      </c>
      <c r="AV146" t="s">
        <v>6517</v>
      </c>
    </row>
    <row r="147" spans="1:48" x14ac:dyDescent="0.3">
      <c r="A147" t="s">
        <v>5632</v>
      </c>
      <c r="B147">
        <f t="shared" si="8"/>
        <v>200145</v>
      </c>
      <c r="C147">
        <v>200081</v>
      </c>
      <c r="D147" t="s">
        <v>8306</v>
      </c>
      <c r="E147" t="s">
        <v>8236</v>
      </c>
      <c r="F147" t="s">
        <v>8116</v>
      </c>
      <c r="G147">
        <v>200145</v>
      </c>
      <c r="H147" t="s">
        <v>8473</v>
      </c>
      <c r="I147" t="s">
        <v>8474</v>
      </c>
      <c r="J147" t="s">
        <v>8614</v>
      </c>
      <c r="K147" t="str">
        <f t="shared" si="9"/>
        <v>1</v>
      </c>
      <c r="L147">
        <f t="shared" si="11"/>
        <v>4</v>
      </c>
      <c r="M147">
        <f t="shared" si="10"/>
        <v>1</v>
      </c>
      <c r="N147">
        <v>10.96</v>
      </c>
      <c r="O147" t="s">
        <v>5403</v>
      </c>
      <c r="P147" t="s">
        <v>6811</v>
      </c>
      <c r="Q147">
        <v>2014</v>
      </c>
      <c r="R147" t="s">
        <v>5648</v>
      </c>
      <c r="S147">
        <v>146</v>
      </c>
      <c r="T147" t="s">
        <v>6670</v>
      </c>
      <c r="U147" s="1" t="s">
        <v>7407</v>
      </c>
      <c r="V147" s="1" t="s">
        <v>7408</v>
      </c>
      <c r="W147" t="b">
        <v>0</v>
      </c>
      <c r="X147" t="s">
        <v>76</v>
      </c>
      <c r="Y147" t="s">
        <v>7654</v>
      </c>
      <c r="Z147" t="s">
        <v>6517</v>
      </c>
      <c r="AA147" t="s">
        <v>6517</v>
      </c>
      <c r="AB147" t="s">
        <v>6517</v>
      </c>
      <c r="AC147" t="s">
        <v>8001</v>
      </c>
      <c r="AD147" t="s">
        <v>7824</v>
      </c>
      <c r="AF147" t="b">
        <v>0</v>
      </c>
      <c r="AG147" t="s">
        <v>76</v>
      </c>
      <c r="AH147" s="1">
        <v>42481</v>
      </c>
      <c r="AI147" s="4">
        <v>9.625</v>
      </c>
      <c r="AJ147">
        <v>4</v>
      </c>
      <c r="AK147">
        <v>0</v>
      </c>
      <c r="AL147">
        <v>0</v>
      </c>
      <c r="AM147" t="s">
        <v>326</v>
      </c>
      <c r="AP147" t="s">
        <v>6517</v>
      </c>
      <c r="AQ147" t="s">
        <v>6517</v>
      </c>
      <c r="AR147" t="s">
        <v>6517</v>
      </c>
      <c r="AS147" t="s">
        <v>6517</v>
      </c>
      <c r="AT147" t="s">
        <v>6517</v>
      </c>
      <c r="AU147" t="s">
        <v>6517</v>
      </c>
      <c r="AV147" t="s">
        <v>6517</v>
      </c>
    </row>
    <row r="148" spans="1:48" x14ac:dyDescent="0.3">
      <c r="A148" t="s">
        <v>5632</v>
      </c>
      <c r="B148">
        <f t="shared" si="8"/>
        <v>200146</v>
      </c>
      <c r="C148">
        <v>200082</v>
      </c>
      <c r="D148" t="s">
        <v>8309</v>
      </c>
      <c r="E148" t="s">
        <v>8123</v>
      </c>
      <c r="F148" t="s">
        <v>8341</v>
      </c>
      <c r="G148">
        <v>200146</v>
      </c>
      <c r="H148" t="s">
        <v>8475</v>
      </c>
      <c r="I148" t="s">
        <v>8476</v>
      </c>
      <c r="J148" t="s">
        <v>8615</v>
      </c>
      <c r="K148" t="str">
        <f t="shared" si="9"/>
        <v>9</v>
      </c>
      <c r="L148">
        <f t="shared" si="11"/>
        <v>22</v>
      </c>
      <c r="M148">
        <f t="shared" si="10"/>
        <v>1</v>
      </c>
      <c r="N148">
        <v>6.99</v>
      </c>
      <c r="O148" t="s">
        <v>5403</v>
      </c>
      <c r="P148" t="s">
        <v>6812</v>
      </c>
      <c r="Q148">
        <v>2009</v>
      </c>
      <c r="R148" t="s">
        <v>5648</v>
      </c>
      <c r="S148">
        <v>147</v>
      </c>
      <c r="T148" t="s">
        <v>6670</v>
      </c>
      <c r="U148" s="1" t="s">
        <v>7409</v>
      </c>
      <c r="V148" s="1" t="s">
        <v>7410</v>
      </c>
      <c r="W148" t="b">
        <v>0</v>
      </c>
      <c r="X148" t="s">
        <v>76</v>
      </c>
      <c r="Y148" t="s">
        <v>7655</v>
      </c>
      <c r="Z148" t="s">
        <v>6517</v>
      </c>
      <c r="AA148" t="s">
        <v>6517</v>
      </c>
      <c r="AB148" t="s">
        <v>6517</v>
      </c>
      <c r="AC148" t="s">
        <v>8002</v>
      </c>
      <c r="AD148" t="s">
        <v>7747</v>
      </c>
      <c r="AF148" t="b">
        <v>0</v>
      </c>
      <c r="AG148" t="s">
        <v>76</v>
      </c>
      <c r="AH148" s="1">
        <v>42481</v>
      </c>
      <c r="AI148" s="4">
        <v>5.3277777777777775</v>
      </c>
      <c r="AJ148">
        <v>5</v>
      </c>
      <c r="AK148">
        <v>0</v>
      </c>
      <c r="AL148">
        <v>0</v>
      </c>
      <c r="AM148" t="s">
        <v>326</v>
      </c>
      <c r="AP148" t="s">
        <v>6517</v>
      </c>
      <c r="AQ148" t="s">
        <v>6517</v>
      </c>
      <c r="AR148" t="s">
        <v>6517</v>
      </c>
      <c r="AS148" t="s">
        <v>6517</v>
      </c>
      <c r="AT148" t="s">
        <v>6517</v>
      </c>
      <c r="AU148" t="s">
        <v>6517</v>
      </c>
      <c r="AV148" t="s">
        <v>6517</v>
      </c>
    </row>
    <row r="149" spans="1:48" x14ac:dyDescent="0.3">
      <c r="A149" t="s">
        <v>5632</v>
      </c>
      <c r="B149">
        <f t="shared" si="8"/>
        <v>200147</v>
      </c>
      <c r="C149">
        <v>200083</v>
      </c>
      <c r="D149" t="s">
        <v>8311</v>
      </c>
      <c r="E149" t="s">
        <v>8097</v>
      </c>
      <c r="F149" t="s">
        <v>8477</v>
      </c>
      <c r="G149">
        <v>200147</v>
      </c>
      <c r="H149" t="s">
        <v>8478</v>
      </c>
      <c r="I149" t="s">
        <v>8479</v>
      </c>
      <c r="J149" t="s">
        <v>8615</v>
      </c>
      <c r="K149" t="str">
        <f t="shared" si="9"/>
        <v>9</v>
      </c>
      <c r="L149">
        <f t="shared" si="11"/>
        <v>25</v>
      </c>
      <c r="M149">
        <f t="shared" si="10"/>
        <v>1</v>
      </c>
      <c r="N149">
        <v>49.89</v>
      </c>
      <c r="O149" t="s">
        <v>5403</v>
      </c>
      <c r="P149" t="s">
        <v>6813</v>
      </c>
      <c r="Q149">
        <v>2006</v>
      </c>
      <c r="R149" t="s">
        <v>5648</v>
      </c>
      <c r="S149">
        <v>148</v>
      </c>
      <c r="T149" t="s">
        <v>6670</v>
      </c>
      <c r="U149" s="1" t="s">
        <v>7411</v>
      </c>
      <c r="V149" s="1" t="s">
        <v>7412</v>
      </c>
      <c r="W149" t="b">
        <v>0</v>
      </c>
      <c r="X149" t="s">
        <v>76</v>
      </c>
      <c r="Y149" t="s">
        <v>7656</v>
      </c>
      <c r="Z149" t="s">
        <v>6517</v>
      </c>
      <c r="AA149" t="s">
        <v>6517</v>
      </c>
      <c r="AB149" t="s">
        <v>6517</v>
      </c>
      <c r="AC149" t="s">
        <v>8003</v>
      </c>
      <c r="AD149" t="s">
        <v>7825</v>
      </c>
      <c r="AF149" t="b">
        <v>0</v>
      </c>
      <c r="AG149" t="s">
        <v>76</v>
      </c>
      <c r="AH149" s="1">
        <v>42481</v>
      </c>
      <c r="AI149" s="4">
        <v>10.394444444444444</v>
      </c>
      <c r="AJ149">
        <v>0</v>
      </c>
      <c r="AK149">
        <v>0</v>
      </c>
      <c r="AL149">
        <v>118.5</v>
      </c>
      <c r="AM149" t="s">
        <v>326</v>
      </c>
      <c r="AP149" t="s">
        <v>6517</v>
      </c>
      <c r="AQ149" t="s">
        <v>6517</v>
      </c>
      <c r="AR149" t="s">
        <v>6517</v>
      </c>
      <c r="AS149" t="s">
        <v>6517</v>
      </c>
      <c r="AT149" t="s">
        <v>6517</v>
      </c>
      <c r="AU149" t="s">
        <v>6517</v>
      </c>
      <c r="AV149" t="s">
        <v>6517</v>
      </c>
    </row>
    <row r="150" spans="1:48" x14ac:dyDescent="0.3">
      <c r="A150" t="s">
        <v>5632</v>
      </c>
      <c r="B150">
        <f t="shared" si="8"/>
        <v>200148</v>
      </c>
      <c r="C150">
        <v>200084</v>
      </c>
      <c r="D150" t="s">
        <v>8315</v>
      </c>
      <c r="E150" t="s">
        <v>8171</v>
      </c>
      <c r="F150" t="s">
        <v>8279</v>
      </c>
      <c r="G150">
        <v>200148</v>
      </c>
      <c r="H150" t="s">
        <v>8480</v>
      </c>
      <c r="I150" t="s">
        <v>8481</v>
      </c>
      <c r="J150" t="s">
        <v>8614</v>
      </c>
      <c r="K150" t="str">
        <f t="shared" si="9"/>
        <v>1</v>
      </c>
      <c r="L150">
        <f t="shared" si="11"/>
        <v>6</v>
      </c>
      <c r="M150">
        <f t="shared" si="10"/>
        <v>1</v>
      </c>
      <c r="N150">
        <v>12.72</v>
      </c>
      <c r="O150" t="s">
        <v>5403</v>
      </c>
      <c r="P150" t="s">
        <v>6814</v>
      </c>
      <c r="Q150">
        <v>1975</v>
      </c>
      <c r="R150" t="s">
        <v>5648</v>
      </c>
      <c r="S150">
        <v>149</v>
      </c>
      <c r="T150" t="s">
        <v>6670</v>
      </c>
      <c r="U150" s="1" t="s">
        <v>7413</v>
      </c>
      <c r="V150" s="1" t="s">
        <v>7414</v>
      </c>
      <c r="W150" t="b">
        <v>0</v>
      </c>
      <c r="X150" t="s">
        <v>76</v>
      </c>
      <c r="Y150" t="s">
        <v>7657</v>
      </c>
      <c r="Z150" t="s">
        <v>6517</v>
      </c>
      <c r="AA150" t="s">
        <v>6517</v>
      </c>
      <c r="AB150" t="s">
        <v>6517</v>
      </c>
      <c r="AC150" t="s">
        <v>8004</v>
      </c>
      <c r="AD150" t="s">
        <v>7757</v>
      </c>
      <c r="AF150" t="b">
        <v>0</v>
      </c>
      <c r="AG150" t="s">
        <v>76</v>
      </c>
      <c r="AH150" s="1">
        <v>42481</v>
      </c>
      <c r="AI150" s="4">
        <v>12.722222222222221</v>
      </c>
      <c r="AJ150">
        <v>0</v>
      </c>
      <c r="AK150">
        <v>0</v>
      </c>
      <c r="AL150">
        <v>0</v>
      </c>
      <c r="AM150" t="s">
        <v>326</v>
      </c>
      <c r="AP150" t="s">
        <v>6517</v>
      </c>
      <c r="AQ150" t="s">
        <v>6517</v>
      </c>
      <c r="AR150" t="s">
        <v>6517</v>
      </c>
      <c r="AS150" t="s">
        <v>6517</v>
      </c>
      <c r="AT150" t="s">
        <v>6517</v>
      </c>
      <c r="AU150" t="s">
        <v>6517</v>
      </c>
      <c r="AV150" t="s">
        <v>6517</v>
      </c>
    </row>
    <row r="151" spans="1:48" x14ac:dyDescent="0.3">
      <c r="A151" t="s">
        <v>5632</v>
      </c>
      <c r="B151">
        <f t="shared" si="8"/>
        <v>200149</v>
      </c>
      <c r="C151">
        <v>200085</v>
      </c>
      <c r="D151" t="s">
        <v>8318</v>
      </c>
      <c r="E151" t="s">
        <v>8295</v>
      </c>
      <c r="F151" t="s">
        <v>8399</v>
      </c>
      <c r="G151">
        <v>200149</v>
      </c>
      <c r="H151" t="s">
        <v>8482</v>
      </c>
      <c r="I151" t="s">
        <v>8483</v>
      </c>
      <c r="J151" t="s">
        <v>8614</v>
      </c>
      <c r="K151" t="str">
        <f t="shared" si="9"/>
        <v>1</v>
      </c>
      <c r="L151">
        <f t="shared" si="11"/>
        <v>2</v>
      </c>
      <c r="M151">
        <f t="shared" si="10"/>
        <v>1</v>
      </c>
      <c r="N151">
        <v>65.06</v>
      </c>
      <c r="O151" t="s">
        <v>5403</v>
      </c>
      <c r="P151" t="s">
        <v>6815</v>
      </c>
      <c r="Q151">
        <v>1983</v>
      </c>
      <c r="R151" t="s">
        <v>5648</v>
      </c>
      <c r="S151">
        <v>150</v>
      </c>
      <c r="T151" t="s">
        <v>6670</v>
      </c>
      <c r="U151" s="1" t="s">
        <v>7415</v>
      </c>
      <c r="V151" s="1" t="s">
        <v>7416</v>
      </c>
      <c r="W151" t="b">
        <v>0</v>
      </c>
      <c r="X151" t="s">
        <v>76</v>
      </c>
      <c r="Y151" t="s">
        <v>7658</v>
      </c>
      <c r="Z151" t="s">
        <v>6517</v>
      </c>
      <c r="AA151" t="s">
        <v>6517</v>
      </c>
      <c r="AB151" t="s">
        <v>6517</v>
      </c>
      <c r="AC151" t="s">
        <v>8005</v>
      </c>
      <c r="AD151" t="s">
        <v>7714</v>
      </c>
      <c r="AF151" t="b">
        <v>0</v>
      </c>
      <c r="AG151" t="s">
        <v>76</v>
      </c>
      <c r="AH151" s="1">
        <v>42481</v>
      </c>
      <c r="AI151" s="4">
        <v>3.3972222222222221</v>
      </c>
      <c r="AJ151">
        <v>0</v>
      </c>
      <c r="AK151">
        <v>0</v>
      </c>
      <c r="AL151">
        <v>185</v>
      </c>
      <c r="AM151" t="s">
        <v>326</v>
      </c>
      <c r="AP151" t="s">
        <v>6517</v>
      </c>
      <c r="AQ151" t="s">
        <v>6517</v>
      </c>
      <c r="AR151" t="s">
        <v>6517</v>
      </c>
      <c r="AS151" t="s">
        <v>6517</v>
      </c>
      <c r="AT151" t="s">
        <v>6517</v>
      </c>
      <c r="AU151" t="s">
        <v>6517</v>
      </c>
      <c r="AV151" t="s">
        <v>6517</v>
      </c>
    </row>
    <row r="152" spans="1:48" x14ac:dyDescent="0.3">
      <c r="A152" t="s">
        <v>5632</v>
      </c>
      <c r="B152">
        <f t="shared" si="8"/>
        <v>200150</v>
      </c>
      <c r="C152">
        <v>200086</v>
      </c>
      <c r="D152" t="s">
        <v>8321</v>
      </c>
      <c r="E152" t="s">
        <v>8142</v>
      </c>
      <c r="F152" t="s">
        <v>8484</v>
      </c>
      <c r="G152">
        <v>200150</v>
      </c>
      <c r="H152" t="s">
        <v>8485</v>
      </c>
      <c r="I152" t="s">
        <v>8486</v>
      </c>
      <c r="J152" t="s">
        <v>8614</v>
      </c>
      <c r="K152" t="str">
        <f t="shared" si="9"/>
        <v>1</v>
      </c>
      <c r="L152">
        <f t="shared" si="11"/>
        <v>3</v>
      </c>
      <c r="M152">
        <f t="shared" si="10"/>
        <v>1</v>
      </c>
      <c r="N152">
        <v>68.92</v>
      </c>
      <c r="O152" t="s">
        <v>5403</v>
      </c>
      <c r="P152" t="s">
        <v>6816</v>
      </c>
      <c r="Q152">
        <v>2005</v>
      </c>
      <c r="R152" t="s">
        <v>5648</v>
      </c>
      <c r="S152">
        <v>151</v>
      </c>
      <c r="T152" t="s">
        <v>6670</v>
      </c>
      <c r="U152" s="1" t="s">
        <v>7417</v>
      </c>
      <c r="V152" s="1" t="s">
        <v>7418</v>
      </c>
      <c r="W152" t="b">
        <v>0</v>
      </c>
      <c r="X152" t="s">
        <v>76</v>
      </c>
      <c r="Y152" t="s">
        <v>7659</v>
      </c>
      <c r="Z152" t="s">
        <v>6517</v>
      </c>
      <c r="AA152" t="s">
        <v>6517</v>
      </c>
      <c r="AB152" t="s">
        <v>6517</v>
      </c>
      <c r="AC152" t="s">
        <v>8006</v>
      </c>
      <c r="AD152" t="s">
        <v>7826</v>
      </c>
      <c r="AF152" t="b">
        <v>0</v>
      </c>
      <c r="AG152" t="s">
        <v>76</v>
      </c>
      <c r="AH152" s="1">
        <v>42481</v>
      </c>
      <c r="AI152" s="4">
        <v>8.6694444444444443</v>
      </c>
      <c r="AJ152">
        <v>0</v>
      </c>
      <c r="AK152">
        <v>0</v>
      </c>
      <c r="AL152">
        <v>180.75</v>
      </c>
      <c r="AM152" t="s">
        <v>326</v>
      </c>
      <c r="AP152" t="s">
        <v>6517</v>
      </c>
      <c r="AQ152" t="s">
        <v>6517</v>
      </c>
      <c r="AR152" t="s">
        <v>6517</v>
      </c>
      <c r="AS152" t="s">
        <v>6517</v>
      </c>
      <c r="AT152" t="s">
        <v>6517</v>
      </c>
      <c r="AU152" t="s">
        <v>6517</v>
      </c>
      <c r="AV152" t="s">
        <v>6517</v>
      </c>
    </row>
    <row r="153" spans="1:48" x14ac:dyDescent="0.3">
      <c r="A153" t="s">
        <v>5632</v>
      </c>
      <c r="B153">
        <f t="shared" si="8"/>
        <v>200151</v>
      </c>
      <c r="C153">
        <v>200087</v>
      </c>
      <c r="D153" t="s">
        <v>8324</v>
      </c>
      <c r="E153" t="s">
        <v>8379</v>
      </c>
      <c r="F153" t="s">
        <v>8487</v>
      </c>
      <c r="G153">
        <v>200151</v>
      </c>
      <c r="H153" t="s">
        <v>8488</v>
      </c>
      <c r="I153" t="s">
        <v>8489</v>
      </c>
      <c r="J153" t="s">
        <v>8614</v>
      </c>
      <c r="K153" t="str">
        <f t="shared" si="9"/>
        <v>1</v>
      </c>
      <c r="L153">
        <f t="shared" si="11"/>
        <v>2</v>
      </c>
      <c r="M153">
        <f t="shared" si="10"/>
        <v>1</v>
      </c>
      <c r="N153">
        <v>67.92</v>
      </c>
      <c r="O153" t="s">
        <v>5403</v>
      </c>
      <c r="P153" t="s">
        <v>6817</v>
      </c>
      <c r="Q153">
        <v>1999</v>
      </c>
      <c r="R153" t="s">
        <v>5648</v>
      </c>
      <c r="S153">
        <v>152</v>
      </c>
      <c r="T153" t="s">
        <v>6670</v>
      </c>
      <c r="U153" s="1" t="s">
        <v>7419</v>
      </c>
      <c r="V153" s="1" t="s">
        <v>7420</v>
      </c>
      <c r="W153" t="b">
        <v>0</v>
      </c>
      <c r="X153" t="s">
        <v>76</v>
      </c>
      <c r="Y153" t="s">
        <v>7660</v>
      </c>
      <c r="Z153" t="s">
        <v>6517</v>
      </c>
      <c r="AA153" t="s">
        <v>6517</v>
      </c>
      <c r="AB153" t="s">
        <v>6517</v>
      </c>
      <c r="AC153" t="s">
        <v>8007</v>
      </c>
      <c r="AD153" t="s">
        <v>7827</v>
      </c>
      <c r="AF153" t="b">
        <v>0</v>
      </c>
      <c r="AG153" t="s">
        <v>76</v>
      </c>
      <c r="AH153" s="1">
        <v>42481</v>
      </c>
      <c r="AI153" s="4">
        <v>4.5055555555555555</v>
      </c>
      <c r="AJ153">
        <v>0</v>
      </c>
      <c r="AK153">
        <v>0</v>
      </c>
      <c r="AL153">
        <v>190.25</v>
      </c>
      <c r="AM153" t="s">
        <v>326</v>
      </c>
      <c r="AP153" t="s">
        <v>6517</v>
      </c>
      <c r="AQ153" t="s">
        <v>6517</v>
      </c>
      <c r="AR153" t="s">
        <v>6517</v>
      </c>
      <c r="AS153" t="s">
        <v>6517</v>
      </c>
      <c r="AT153" t="s">
        <v>6517</v>
      </c>
      <c r="AU153" t="s">
        <v>6517</v>
      </c>
      <c r="AV153" t="s">
        <v>6517</v>
      </c>
    </row>
    <row r="154" spans="1:48" x14ac:dyDescent="0.3">
      <c r="A154" t="s">
        <v>5632</v>
      </c>
      <c r="B154">
        <f t="shared" si="8"/>
        <v>200152</v>
      </c>
      <c r="C154">
        <v>200088</v>
      </c>
      <c r="D154" t="s">
        <v>8326</v>
      </c>
      <c r="E154" t="s">
        <v>8490</v>
      </c>
      <c r="F154" t="s">
        <v>8491</v>
      </c>
      <c r="G154">
        <v>200152</v>
      </c>
      <c r="H154" t="s">
        <v>8492</v>
      </c>
      <c r="I154" t="s">
        <v>8493</v>
      </c>
      <c r="J154" t="s">
        <v>8614</v>
      </c>
      <c r="K154" t="str">
        <f t="shared" si="9"/>
        <v>1</v>
      </c>
      <c r="L154">
        <f t="shared" si="11"/>
        <v>1</v>
      </c>
      <c r="M154">
        <f t="shared" si="10"/>
        <v>1</v>
      </c>
      <c r="N154">
        <v>68.290000000000006</v>
      </c>
      <c r="O154" t="s">
        <v>5403</v>
      </c>
      <c r="P154" t="s">
        <v>6818</v>
      </c>
      <c r="Q154">
        <v>2005</v>
      </c>
      <c r="R154" t="s">
        <v>5648</v>
      </c>
      <c r="S154">
        <v>153</v>
      </c>
      <c r="T154" t="s">
        <v>6670</v>
      </c>
      <c r="U154" s="1" t="s">
        <v>7421</v>
      </c>
      <c r="V154" s="1" t="s">
        <v>7422</v>
      </c>
      <c r="W154" t="b">
        <v>0</v>
      </c>
      <c r="X154" t="s">
        <v>76</v>
      </c>
      <c r="Y154" t="s">
        <v>7661</v>
      </c>
      <c r="Z154" t="s">
        <v>6517</v>
      </c>
      <c r="AA154" t="s">
        <v>6517</v>
      </c>
      <c r="AB154" t="s">
        <v>6517</v>
      </c>
      <c r="AC154" t="s">
        <v>8008</v>
      </c>
      <c r="AD154" t="s">
        <v>7828</v>
      </c>
      <c r="AF154" t="b">
        <v>0</v>
      </c>
      <c r="AG154" t="s">
        <v>76</v>
      </c>
      <c r="AH154" s="1">
        <v>42481</v>
      </c>
      <c r="AI154" s="4">
        <v>6.5444444444444443</v>
      </c>
      <c r="AJ154">
        <v>0</v>
      </c>
      <c r="AK154">
        <v>0</v>
      </c>
      <c r="AL154">
        <v>185.25</v>
      </c>
      <c r="AM154" t="s">
        <v>326</v>
      </c>
      <c r="AP154" t="s">
        <v>6517</v>
      </c>
      <c r="AQ154" t="s">
        <v>6517</v>
      </c>
      <c r="AR154" t="s">
        <v>6517</v>
      </c>
      <c r="AS154" t="s">
        <v>6517</v>
      </c>
      <c r="AT154" t="s">
        <v>6517</v>
      </c>
      <c r="AU154" t="s">
        <v>6517</v>
      </c>
      <c r="AV154" t="s">
        <v>6517</v>
      </c>
    </row>
    <row r="155" spans="1:48" x14ac:dyDescent="0.3">
      <c r="A155" t="s">
        <v>5632</v>
      </c>
      <c r="B155">
        <f t="shared" si="8"/>
        <v>200153</v>
      </c>
      <c r="C155">
        <v>200089</v>
      </c>
      <c r="D155" t="s">
        <v>8329</v>
      </c>
      <c r="E155" t="s">
        <v>8147</v>
      </c>
      <c r="F155" t="s">
        <v>8494</v>
      </c>
      <c r="G155">
        <v>200153</v>
      </c>
      <c r="H155" t="s">
        <v>8495</v>
      </c>
      <c r="I155" t="s">
        <v>8496</v>
      </c>
      <c r="J155" t="s">
        <v>8614</v>
      </c>
      <c r="K155" t="str">
        <f t="shared" si="9"/>
        <v>1</v>
      </c>
      <c r="L155">
        <f t="shared" si="11"/>
        <v>5</v>
      </c>
      <c r="M155">
        <f t="shared" si="10"/>
        <v>1</v>
      </c>
      <c r="N155">
        <v>70.25</v>
      </c>
      <c r="O155" t="s">
        <v>5403</v>
      </c>
      <c r="P155" t="s">
        <v>6819</v>
      </c>
      <c r="Q155">
        <v>1996</v>
      </c>
      <c r="R155" t="s">
        <v>5648</v>
      </c>
      <c r="S155">
        <v>154</v>
      </c>
      <c r="T155" t="s">
        <v>6670</v>
      </c>
      <c r="U155" s="1" t="s">
        <v>7423</v>
      </c>
      <c r="V155" s="1" t="s">
        <v>7424</v>
      </c>
      <c r="W155" t="b">
        <v>0</v>
      </c>
      <c r="X155" t="s">
        <v>76</v>
      </c>
      <c r="Y155" t="s">
        <v>7662</v>
      </c>
      <c r="Z155" t="s">
        <v>6517</v>
      </c>
      <c r="AA155" t="s">
        <v>6517</v>
      </c>
      <c r="AB155" t="s">
        <v>6517</v>
      </c>
      <c r="AC155" t="s">
        <v>8009</v>
      </c>
      <c r="AD155" t="s">
        <v>7829</v>
      </c>
      <c r="AF155" t="b">
        <v>0</v>
      </c>
      <c r="AG155" t="s">
        <v>76</v>
      </c>
      <c r="AH155" s="1">
        <v>42481</v>
      </c>
      <c r="AI155" s="4">
        <v>6.0805555555555557</v>
      </c>
      <c r="AJ155">
        <v>0</v>
      </c>
      <c r="AK155">
        <v>0</v>
      </c>
      <c r="AL155">
        <v>192.5</v>
      </c>
      <c r="AM155" t="s">
        <v>326</v>
      </c>
      <c r="AP155" t="s">
        <v>6517</v>
      </c>
      <c r="AQ155" t="s">
        <v>6517</v>
      </c>
      <c r="AR155" t="s">
        <v>6517</v>
      </c>
      <c r="AS155" t="s">
        <v>6517</v>
      </c>
      <c r="AT155" t="s">
        <v>6517</v>
      </c>
      <c r="AU155" t="s">
        <v>6517</v>
      </c>
      <c r="AV155" t="s">
        <v>6517</v>
      </c>
    </row>
    <row r="156" spans="1:48" x14ac:dyDescent="0.3">
      <c r="A156" t="s">
        <v>5632</v>
      </c>
      <c r="B156">
        <f t="shared" si="8"/>
        <v>200154</v>
      </c>
      <c r="C156">
        <v>200090</v>
      </c>
      <c r="D156" t="s">
        <v>8332</v>
      </c>
      <c r="E156" t="s">
        <v>8113</v>
      </c>
      <c r="F156" t="s">
        <v>8114</v>
      </c>
      <c r="G156">
        <v>200154</v>
      </c>
      <c r="H156" t="s">
        <v>8497</v>
      </c>
      <c r="I156" t="s">
        <v>8498</v>
      </c>
      <c r="J156" t="s">
        <v>8614</v>
      </c>
      <c r="K156" t="str">
        <f t="shared" si="9"/>
        <v>1</v>
      </c>
      <c r="L156">
        <f t="shared" si="11"/>
        <v>1</v>
      </c>
      <c r="M156">
        <f t="shared" si="10"/>
        <v>1</v>
      </c>
      <c r="N156">
        <v>72.63</v>
      </c>
      <c r="O156" t="s">
        <v>5403</v>
      </c>
      <c r="P156" t="s">
        <v>6820</v>
      </c>
      <c r="Q156">
        <v>1984</v>
      </c>
      <c r="R156" t="s">
        <v>5648</v>
      </c>
      <c r="S156">
        <v>155</v>
      </c>
      <c r="T156" t="s">
        <v>6670</v>
      </c>
      <c r="U156" s="1" t="s">
        <v>7425</v>
      </c>
      <c r="V156" s="1" t="s">
        <v>7195</v>
      </c>
      <c r="W156" t="b">
        <v>0</v>
      </c>
      <c r="X156" t="s">
        <v>76</v>
      </c>
      <c r="Y156" t="s">
        <v>7663</v>
      </c>
      <c r="Z156" t="s">
        <v>6517</v>
      </c>
      <c r="AA156" t="s">
        <v>6517</v>
      </c>
      <c r="AB156" t="s">
        <v>6517</v>
      </c>
      <c r="AC156" t="s">
        <v>8010</v>
      </c>
      <c r="AD156" t="s">
        <v>7830</v>
      </c>
      <c r="AF156" t="b">
        <v>0</v>
      </c>
      <c r="AG156" t="s">
        <v>76</v>
      </c>
      <c r="AH156" s="1">
        <v>42481</v>
      </c>
      <c r="AI156" s="4">
        <v>7.0472222222222225</v>
      </c>
      <c r="AJ156">
        <v>0</v>
      </c>
      <c r="AK156">
        <v>0</v>
      </c>
      <c r="AL156">
        <v>196.75</v>
      </c>
      <c r="AM156" t="s">
        <v>326</v>
      </c>
      <c r="AP156" t="s">
        <v>6517</v>
      </c>
      <c r="AQ156" t="s">
        <v>6517</v>
      </c>
      <c r="AR156" t="s">
        <v>6517</v>
      </c>
      <c r="AS156" t="s">
        <v>6517</v>
      </c>
      <c r="AT156" t="s">
        <v>6517</v>
      </c>
      <c r="AU156" t="s">
        <v>6517</v>
      </c>
      <c r="AV156" t="s">
        <v>6517</v>
      </c>
    </row>
    <row r="157" spans="1:48" x14ac:dyDescent="0.3">
      <c r="A157" t="s">
        <v>5632</v>
      </c>
      <c r="B157">
        <f t="shared" si="8"/>
        <v>200155</v>
      </c>
      <c r="C157">
        <v>200091</v>
      </c>
      <c r="D157" t="s">
        <v>8334</v>
      </c>
      <c r="E157" t="s">
        <v>8166</v>
      </c>
      <c r="F157" t="s">
        <v>8499</v>
      </c>
      <c r="G157">
        <v>200155</v>
      </c>
      <c r="H157" t="s">
        <v>8500</v>
      </c>
      <c r="I157" t="s">
        <v>8501</v>
      </c>
      <c r="J157" t="s">
        <v>8614</v>
      </c>
      <c r="K157" t="str">
        <f t="shared" si="9"/>
        <v>1</v>
      </c>
      <c r="L157">
        <f t="shared" si="11"/>
        <v>4</v>
      </c>
      <c r="M157">
        <f t="shared" si="10"/>
        <v>1</v>
      </c>
      <c r="N157">
        <v>23.36</v>
      </c>
      <c r="O157" t="s">
        <v>5403</v>
      </c>
      <c r="P157" t="s">
        <v>6821</v>
      </c>
      <c r="Q157">
        <v>1991</v>
      </c>
      <c r="R157" t="s">
        <v>5648</v>
      </c>
      <c r="S157">
        <v>156</v>
      </c>
      <c r="T157" t="s">
        <v>6670</v>
      </c>
      <c r="U157" s="1" t="s">
        <v>7426</v>
      </c>
      <c r="V157" s="1" t="s">
        <v>7427</v>
      </c>
      <c r="W157" t="b">
        <v>0</v>
      </c>
      <c r="X157" t="s">
        <v>76</v>
      </c>
      <c r="Y157" t="s">
        <v>7664</v>
      </c>
      <c r="Z157" t="s">
        <v>6517</v>
      </c>
      <c r="AA157" t="s">
        <v>6517</v>
      </c>
      <c r="AB157" t="s">
        <v>6517</v>
      </c>
      <c r="AC157" t="s">
        <v>8011</v>
      </c>
      <c r="AD157" t="s">
        <v>7831</v>
      </c>
      <c r="AF157" t="b">
        <v>0</v>
      </c>
      <c r="AG157" t="s">
        <v>76</v>
      </c>
      <c r="AH157" s="1">
        <v>42481</v>
      </c>
      <c r="AI157" s="4">
        <v>4.697222222222222</v>
      </c>
      <c r="AJ157">
        <v>0</v>
      </c>
      <c r="AK157">
        <v>56</v>
      </c>
      <c r="AL157">
        <v>0</v>
      </c>
      <c r="AM157" t="s">
        <v>326</v>
      </c>
      <c r="AP157" t="s">
        <v>6517</v>
      </c>
      <c r="AQ157" t="s">
        <v>6517</v>
      </c>
      <c r="AR157" t="s">
        <v>6517</v>
      </c>
      <c r="AS157" t="s">
        <v>6517</v>
      </c>
      <c r="AT157" t="s">
        <v>6517</v>
      </c>
      <c r="AU157" t="s">
        <v>6517</v>
      </c>
      <c r="AV157" t="s">
        <v>6517</v>
      </c>
    </row>
    <row r="158" spans="1:48" x14ac:dyDescent="0.3">
      <c r="A158" t="s">
        <v>5632</v>
      </c>
      <c r="B158">
        <f t="shared" si="8"/>
        <v>200156</v>
      </c>
      <c r="C158">
        <v>200092</v>
      </c>
      <c r="D158" t="s">
        <v>8336</v>
      </c>
      <c r="E158" t="s">
        <v>8097</v>
      </c>
      <c r="F158" t="s">
        <v>8449</v>
      </c>
      <c r="G158">
        <v>200156</v>
      </c>
      <c r="H158" t="s">
        <v>8502</v>
      </c>
      <c r="I158" t="s">
        <v>8503</v>
      </c>
      <c r="J158" t="s">
        <v>8615</v>
      </c>
      <c r="K158" t="str">
        <f t="shared" si="9"/>
        <v>9</v>
      </c>
      <c r="L158">
        <f t="shared" si="11"/>
        <v>38</v>
      </c>
      <c r="M158">
        <f t="shared" si="10"/>
        <v>1</v>
      </c>
      <c r="N158">
        <v>16.010000000000002</v>
      </c>
      <c r="O158" t="s">
        <v>5403</v>
      </c>
      <c r="P158" t="s">
        <v>6822</v>
      </c>
      <c r="Q158">
        <v>2014</v>
      </c>
      <c r="R158" t="s">
        <v>5648</v>
      </c>
      <c r="S158">
        <v>157</v>
      </c>
      <c r="T158" t="s">
        <v>6670</v>
      </c>
      <c r="U158" s="1" t="s">
        <v>7428</v>
      </c>
      <c r="V158" s="1" t="s">
        <v>7429</v>
      </c>
      <c r="W158" t="b">
        <v>0</v>
      </c>
      <c r="X158" t="s">
        <v>76</v>
      </c>
      <c r="Y158" t="s">
        <v>7665</v>
      </c>
      <c r="Z158" t="s">
        <v>6517</v>
      </c>
      <c r="AA158" t="s">
        <v>6517</v>
      </c>
      <c r="AB158" t="s">
        <v>6517</v>
      </c>
      <c r="AC158" t="s">
        <v>8012</v>
      </c>
      <c r="AD158" t="s">
        <v>7832</v>
      </c>
      <c r="AF158" t="b">
        <v>0</v>
      </c>
      <c r="AG158" t="s">
        <v>76</v>
      </c>
      <c r="AH158" s="1">
        <v>42481</v>
      </c>
      <c r="AI158" s="4">
        <v>4.0111111111111111</v>
      </c>
      <c r="AJ158">
        <v>0</v>
      </c>
      <c r="AK158">
        <v>36</v>
      </c>
      <c r="AL158">
        <v>0</v>
      </c>
      <c r="AM158" t="s">
        <v>326</v>
      </c>
      <c r="AP158" t="s">
        <v>6517</v>
      </c>
      <c r="AQ158" t="s">
        <v>6517</v>
      </c>
      <c r="AR158" t="s">
        <v>6517</v>
      </c>
      <c r="AS158" t="s">
        <v>6517</v>
      </c>
      <c r="AT158" t="s">
        <v>6517</v>
      </c>
      <c r="AU158" t="s">
        <v>6517</v>
      </c>
      <c r="AV158" t="s">
        <v>6517</v>
      </c>
    </row>
    <row r="159" spans="1:48" x14ac:dyDescent="0.3">
      <c r="A159" t="s">
        <v>5632</v>
      </c>
      <c r="B159">
        <f t="shared" si="8"/>
        <v>200157</v>
      </c>
      <c r="C159">
        <v>200093</v>
      </c>
      <c r="D159" t="s">
        <v>8339</v>
      </c>
      <c r="E159" t="s">
        <v>8097</v>
      </c>
      <c r="F159" t="s">
        <v>8504</v>
      </c>
      <c r="G159">
        <v>200157</v>
      </c>
      <c r="H159" t="s">
        <v>8505</v>
      </c>
      <c r="I159" t="s">
        <v>8506</v>
      </c>
      <c r="J159" t="s">
        <v>8615</v>
      </c>
      <c r="K159" t="str">
        <f t="shared" si="9"/>
        <v>9</v>
      </c>
      <c r="L159">
        <f t="shared" si="11"/>
        <v>45</v>
      </c>
      <c r="M159">
        <f t="shared" si="10"/>
        <v>1</v>
      </c>
      <c r="N159">
        <v>11.68</v>
      </c>
      <c r="O159" t="s">
        <v>5403</v>
      </c>
      <c r="P159" t="s">
        <v>6823</v>
      </c>
      <c r="Q159">
        <v>1993</v>
      </c>
      <c r="R159" t="s">
        <v>5648</v>
      </c>
      <c r="S159">
        <v>158</v>
      </c>
      <c r="T159" t="s">
        <v>6670</v>
      </c>
      <c r="U159" s="1" t="s">
        <v>7370</v>
      </c>
      <c r="V159" s="1" t="s">
        <v>7430</v>
      </c>
      <c r="W159" t="b">
        <v>0</v>
      </c>
      <c r="X159" t="s">
        <v>76</v>
      </c>
      <c r="Y159" t="s">
        <v>7666</v>
      </c>
      <c r="Z159" t="s">
        <v>6517</v>
      </c>
      <c r="AA159" t="s">
        <v>6517</v>
      </c>
      <c r="AB159" t="s">
        <v>6517</v>
      </c>
      <c r="AC159" t="s">
        <v>8013</v>
      </c>
      <c r="AD159" t="s">
        <v>7833</v>
      </c>
      <c r="AF159" t="b">
        <v>0</v>
      </c>
      <c r="AG159" t="s">
        <v>76</v>
      </c>
      <c r="AH159" s="1">
        <v>42481</v>
      </c>
      <c r="AI159" s="4">
        <v>9.3416666666666668</v>
      </c>
      <c r="AJ159">
        <v>0</v>
      </c>
      <c r="AK159">
        <v>7</v>
      </c>
      <c r="AL159">
        <v>0</v>
      </c>
      <c r="AM159" t="s">
        <v>326</v>
      </c>
      <c r="AP159" t="s">
        <v>6517</v>
      </c>
      <c r="AQ159" t="s">
        <v>6517</v>
      </c>
      <c r="AR159" t="s">
        <v>6517</v>
      </c>
      <c r="AS159" t="s">
        <v>6517</v>
      </c>
      <c r="AT159" t="s">
        <v>6517</v>
      </c>
      <c r="AU159" t="s">
        <v>6517</v>
      </c>
      <c r="AV159" t="s">
        <v>6517</v>
      </c>
    </row>
    <row r="160" spans="1:48" x14ac:dyDescent="0.3">
      <c r="A160" t="s">
        <v>5632</v>
      </c>
      <c r="B160">
        <f t="shared" si="8"/>
        <v>200158</v>
      </c>
      <c r="C160">
        <v>200094</v>
      </c>
      <c r="D160" t="s">
        <v>8342</v>
      </c>
      <c r="E160" t="s">
        <v>8236</v>
      </c>
      <c r="F160" t="s">
        <v>8273</v>
      </c>
      <c r="G160">
        <v>200158</v>
      </c>
      <c r="H160" t="s">
        <v>8507</v>
      </c>
      <c r="I160" t="s">
        <v>8508</v>
      </c>
      <c r="J160" t="s">
        <v>8614</v>
      </c>
      <c r="K160" t="str">
        <f t="shared" si="9"/>
        <v>1</v>
      </c>
      <c r="L160">
        <f t="shared" si="11"/>
        <v>2</v>
      </c>
      <c r="M160">
        <f t="shared" si="10"/>
        <v>1</v>
      </c>
      <c r="N160">
        <v>12.92</v>
      </c>
      <c r="O160" t="s">
        <v>5403</v>
      </c>
      <c r="P160" t="s">
        <v>6824</v>
      </c>
      <c r="Q160">
        <v>1999</v>
      </c>
      <c r="R160" t="s">
        <v>5648</v>
      </c>
      <c r="S160">
        <v>159</v>
      </c>
      <c r="T160" t="s">
        <v>6670</v>
      </c>
      <c r="U160" s="1" t="s">
        <v>7431</v>
      </c>
      <c r="V160" s="1" t="s">
        <v>7432</v>
      </c>
      <c r="W160" t="b">
        <v>0</v>
      </c>
      <c r="X160" t="s">
        <v>76</v>
      </c>
      <c r="Y160" t="s">
        <v>7667</v>
      </c>
      <c r="Z160" t="s">
        <v>6517</v>
      </c>
      <c r="AA160" t="s">
        <v>6517</v>
      </c>
      <c r="AB160" t="s">
        <v>6517</v>
      </c>
      <c r="AC160" t="s">
        <v>8014</v>
      </c>
      <c r="AD160" t="s">
        <v>7759</v>
      </c>
      <c r="AF160" t="b">
        <v>0</v>
      </c>
      <c r="AG160" t="s">
        <v>76</v>
      </c>
      <c r="AH160" s="1">
        <v>42481</v>
      </c>
      <c r="AI160" s="4">
        <v>8.9222222222222225</v>
      </c>
      <c r="AJ160">
        <v>0</v>
      </c>
      <c r="AK160">
        <v>12</v>
      </c>
      <c r="AL160">
        <v>0</v>
      </c>
      <c r="AM160" t="s">
        <v>326</v>
      </c>
      <c r="AP160" t="s">
        <v>6517</v>
      </c>
      <c r="AQ160" t="s">
        <v>6517</v>
      </c>
      <c r="AR160" t="s">
        <v>6517</v>
      </c>
      <c r="AS160" t="s">
        <v>6517</v>
      </c>
      <c r="AT160" t="s">
        <v>6517</v>
      </c>
      <c r="AU160" t="s">
        <v>6517</v>
      </c>
      <c r="AV160" t="s">
        <v>6517</v>
      </c>
    </row>
    <row r="161" spans="1:48" x14ac:dyDescent="0.3">
      <c r="A161" t="s">
        <v>5632</v>
      </c>
      <c r="B161">
        <f t="shared" si="8"/>
        <v>200159</v>
      </c>
      <c r="C161">
        <v>200095</v>
      </c>
      <c r="D161" t="s">
        <v>8344</v>
      </c>
      <c r="E161" t="s">
        <v>8509</v>
      </c>
      <c r="F161" t="s">
        <v>8305</v>
      </c>
      <c r="G161">
        <v>200159</v>
      </c>
      <c r="H161" t="s">
        <v>8510</v>
      </c>
      <c r="I161" t="s">
        <v>8511</v>
      </c>
      <c r="J161" t="s">
        <v>8614</v>
      </c>
      <c r="K161" t="str">
        <f t="shared" si="9"/>
        <v>1</v>
      </c>
      <c r="L161">
        <f t="shared" si="11"/>
        <v>1</v>
      </c>
      <c r="M161">
        <f t="shared" si="10"/>
        <v>1</v>
      </c>
      <c r="N161">
        <v>9.39</v>
      </c>
      <c r="O161" t="s">
        <v>5403</v>
      </c>
      <c r="P161" t="s">
        <v>6825</v>
      </c>
      <c r="Q161">
        <v>2004</v>
      </c>
      <c r="R161" t="s">
        <v>5648</v>
      </c>
      <c r="S161">
        <v>160</v>
      </c>
      <c r="T161" t="s">
        <v>6670</v>
      </c>
      <c r="U161" s="1" t="s">
        <v>7433</v>
      </c>
      <c r="V161" s="1" t="s">
        <v>7434</v>
      </c>
      <c r="W161" t="b">
        <v>0</v>
      </c>
      <c r="X161" t="s">
        <v>76</v>
      </c>
      <c r="Y161" t="s">
        <v>7668</v>
      </c>
      <c r="Z161" t="s">
        <v>6517</v>
      </c>
      <c r="AA161" t="s">
        <v>6517</v>
      </c>
      <c r="AB161" t="s">
        <v>6517</v>
      </c>
      <c r="AC161" t="s">
        <v>8015</v>
      </c>
      <c r="AD161" t="s">
        <v>7834</v>
      </c>
      <c r="AF161" t="b">
        <v>0</v>
      </c>
      <c r="AG161" t="s">
        <v>76</v>
      </c>
      <c r="AH161" s="1">
        <v>42481</v>
      </c>
      <c r="AI161" s="4">
        <v>8.0555555555555554</v>
      </c>
      <c r="AJ161">
        <v>4</v>
      </c>
      <c r="AK161">
        <v>0</v>
      </c>
      <c r="AL161">
        <v>0</v>
      </c>
      <c r="AM161" t="s">
        <v>326</v>
      </c>
      <c r="AP161" t="s">
        <v>6517</v>
      </c>
      <c r="AQ161" t="s">
        <v>6517</v>
      </c>
      <c r="AR161" t="s">
        <v>6517</v>
      </c>
      <c r="AS161" t="s">
        <v>6517</v>
      </c>
      <c r="AT161" t="s">
        <v>6517</v>
      </c>
      <c r="AU161" t="s">
        <v>6517</v>
      </c>
      <c r="AV161" t="s">
        <v>6517</v>
      </c>
    </row>
    <row r="162" spans="1:48" x14ac:dyDescent="0.3">
      <c r="A162" t="s">
        <v>5632</v>
      </c>
      <c r="B162">
        <f t="shared" si="8"/>
        <v>200160</v>
      </c>
      <c r="C162">
        <v>200096</v>
      </c>
      <c r="D162" t="s">
        <v>8348</v>
      </c>
      <c r="E162" t="s">
        <v>8097</v>
      </c>
      <c r="F162" t="s">
        <v>8199</v>
      </c>
      <c r="G162">
        <v>200160</v>
      </c>
      <c r="H162" t="s">
        <v>8512</v>
      </c>
      <c r="I162" t="s">
        <v>8513</v>
      </c>
      <c r="J162" t="s">
        <v>8615</v>
      </c>
      <c r="K162" t="str">
        <f t="shared" si="9"/>
        <v>9</v>
      </c>
      <c r="L162">
        <f t="shared" si="11"/>
        <v>29</v>
      </c>
      <c r="M162">
        <f t="shared" si="10"/>
        <v>1</v>
      </c>
      <c r="N162">
        <v>37.51</v>
      </c>
      <c r="O162" t="s">
        <v>5403</v>
      </c>
      <c r="P162" t="s">
        <v>6826</v>
      </c>
      <c r="Q162">
        <v>1981</v>
      </c>
      <c r="R162" t="s">
        <v>5648</v>
      </c>
      <c r="S162">
        <v>161</v>
      </c>
      <c r="T162" t="s">
        <v>6670</v>
      </c>
      <c r="U162" s="1" t="s">
        <v>7435</v>
      </c>
      <c r="V162" s="1" t="s">
        <v>7436</v>
      </c>
      <c r="W162" t="b">
        <v>0</v>
      </c>
      <c r="X162" t="s">
        <v>76</v>
      </c>
      <c r="Y162" t="s">
        <v>7669</v>
      </c>
      <c r="Z162" t="s">
        <v>6517</v>
      </c>
      <c r="AA162" t="s">
        <v>6517</v>
      </c>
      <c r="AB162" t="s">
        <v>6517</v>
      </c>
      <c r="AC162" t="s">
        <v>8016</v>
      </c>
      <c r="AD162" t="s">
        <v>7835</v>
      </c>
      <c r="AF162" t="b">
        <v>0</v>
      </c>
      <c r="AG162" t="s">
        <v>76</v>
      </c>
      <c r="AH162" s="1">
        <v>42481</v>
      </c>
      <c r="AI162" s="4">
        <v>7.5055555555555555</v>
      </c>
      <c r="AJ162">
        <v>0</v>
      </c>
      <c r="AK162">
        <v>90</v>
      </c>
      <c r="AL162">
        <v>0</v>
      </c>
      <c r="AM162" t="s">
        <v>326</v>
      </c>
      <c r="AP162" t="s">
        <v>6517</v>
      </c>
      <c r="AQ162" t="s">
        <v>6517</v>
      </c>
      <c r="AR162" t="s">
        <v>6517</v>
      </c>
      <c r="AS162" t="s">
        <v>6517</v>
      </c>
      <c r="AT162" t="s">
        <v>6517</v>
      </c>
      <c r="AU162" t="s">
        <v>6517</v>
      </c>
      <c r="AV162" t="s">
        <v>6517</v>
      </c>
    </row>
    <row r="163" spans="1:48" x14ac:dyDescent="0.3">
      <c r="A163" t="s">
        <v>5632</v>
      </c>
      <c r="B163">
        <f t="shared" si="8"/>
        <v>200161</v>
      </c>
      <c r="C163">
        <v>200097</v>
      </c>
      <c r="D163" t="s">
        <v>8351</v>
      </c>
      <c r="E163" t="s">
        <v>8097</v>
      </c>
      <c r="F163" t="s">
        <v>8514</v>
      </c>
      <c r="G163">
        <v>200161</v>
      </c>
      <c r="H163" t="s">
        <v>8515</v>
      </c>
      <c r="I163" t="s">
        <v>8516</v>
      </c>
      <c r="J163" t="s">
        <v>8615</v>
      </c>
      <c r="K163" t="str">
        <f t="shared" si="9"/>
        <v>9</v>
      </c>
      <c r="L163">
        <f t="shared" si="11"/>
        <v>42</v>
      </c>
      <c r="M163">
        <f t="shared" si="10"/>
        <v>1</v>
      </c>
      <c r="N163">
        <v>12.42</v>
      </c>
      <c r="O163" t="s">
        <v>5403</v>
      </c>
      <c r="P163" t="s">
        <v>6827</v>
      </c>
      <c r="Q163">
        <v>2001</v>
      </c>
      <c r="R163" t="s">
        <v>5648</v>
      </c>
      <c r="S163">
        <v>162</v>
      </c>
      <c r="T163" t="s">
        <v>6670</v>
      </c>
      <c r="U163" s="1" t="s">
        <v>7437</v>
      </c>
      <c r="V163" s="1" t="s">
        <v>7438</v>
      </c>
      <c r="W163" t="b">
        <v>0</v>
      </c>
      <c r="X163" t="s">
        <v>76</v>
      </c>
      <c r="Y163" t="s">
        <v>7670</v>
      </c>
      <c r="Z163" t="s">
        <v>6517</v>
      </c>
      <c r="AA163" t="s">
        <v>6517</v>
      </c>
      <c r="AB163" t="s">
        <v>6517</v>
      </c>
      <c r="AC163" t="s">
        <v>8017</v>
      </c>
      <c r="AD163" t="s">
        <v>7836</v>
      </c>
      <c r="AF163" t="b">
        <v>0</v>
      </c>
      <c r="AG163" t="s">
        <v>76</v>
      </c>
      <c r="AH163" s="1">
        <v>42481</v>
      </c>
      <c r="AI163" s="4">
        <v>7.0861111111111112</v>
      </c>
      <c r="AJ163">
        <v>0</v>
      </c>
      <c r="AK163">
        <v>16</v>
      </c>
      <c r="AL163">
        <v>0</v>
      </c>
      <c r="AM163" t="s">
        <v>326</v>
      </c>
      <c r="AP163" t="s">
        <v>6517</v>
      </c>
      <c r="AQ163" t="s">
        <v>6517</v>
      </c>
      <c r="AR163" t="s">
        <v>6517</v>
      </c>
      <c r="AS163" t="s">
        <v>6517</v>
      </c>
      <c r="AT163" t="s">
        <v>6517</v>
      </c>
      <c r="AU163" t="s">
        <v>6517</v>
      </c>
      <c r="AV163" t="s">
        <v>6517</v>
      </c>
    </row>
    <row r="164" spans="1:48" x14ac:dyDescent="0.3">
      <c r="A164" t="s">
        <v>5632</v>
      </c>
      <c r="B164">
        <f t="shared" si="8"/>
        <v>200162</v>
      </c>
      <c r="C164">
        <v>200098</v>
      </c>
      <c r="D164" t="s">
        <v>8354</v>
      </c>
      <c r="E164" t="s">
        <v>8147</v>
      </c>
      <c r="F164" t="s">
        <v>8425</v>
      </c>
      <c r="G164">
        <v>200162</v>
      </c>
      <c r="H164" t="s">
        <v>8517</v>
      </c>
      <c r="I164" t="s">
        <v>8518</v>
      </c>
      <c r="J164" t="s">
        <v>8616</v>
      </c>
      <c r="K164" t="str">
        <f t="shared" si="9"/>
        <v>2</v>
      </c>
      <c r="L164">
        <f t="shared" si="11"/>
        <v>13</v>
      </c>
      <c r="M164">
        <f t="shared" si="10"/>
        <v>2</v>
      </c>
      <c r="N164">
        <v>18.25</v>
      </c>
      <c r="O164" t="s">
        <v>5403</v>
      </c>
      <c r="P164" t="s">
        <v>6828</v>
      </c>
      <c r="Q164">
        <v>2001</v>
      </c>
      <c r="R164" t="s">
        <v>5648</v>
      </c>
      <c r="S164">
        <v>163</v>
      </c>
      <c r="T164" t="s">
        <v>6670</v>
      </c>
      <c r="U164" s="1" t="s">
        <v>7439</v>
      </c>
      <c r="V164" s="1" t="s">
        <v>7440</v>
      </c>
      <c r="W164" t="b">
        <v>0</v>
      </c>
      <c r="X164" t="s">
        <v>76</v>
      </c>
      <c r="Y164" t="s">
        <v>7671</v>
      </c>
      <c r="Z164" t="s">
        <v>6517</v>
      </c>
      <c r="AA164" t="s">
        <v>6517</v>
      </c>
      <c r="AB164" t="s">
        <v>6517</v>
      </c>
      <c r="AC164" t="s">
        <v>8018</v>
      </c>
      <c r="AD164" t="s">
        <v>7764</v>
      </c>
      <c r="AF164" t="b">
        <v>0</v>
      </c>
      <c r="AG164" t="s">
        <v>76</v>
      </c>
      <c r="AH164" s="1">
        <v>42481</v>
      </c>
      <c r="AI164" s="4">
        <v>3.9166666666666665</v>
      </c>
      <c r="AJ164">
        <v>0</v>
      </c>
      <c r="AK164">
        <v>43</v>
      </c>
      <c r="AL164">
        <v>0</v>
      </c>
      <c r="AM164" t="s">
        <v>326</v>
      </c>
      <c r="AP164" t="s">
        <v>6517</v>
      </c>
      <c r="AQ164" t="s">
        <v>6517</v>
      </c>
      <c r="AR164" t="s">
        <v>6517</v>
      </c>
      <c r="AS164" t="s">
        <v>6517</v>
      </c>
      <c r="AT164" t="s">
        <v>6517</v>
      </c>
      <c r="AU164" t="s">
        <v>6517</v>
      </c>
      <c r="AV164" t="s">
        <v>6517</v>
      </c>
    </row>
    <row r="165" spans="1:48" x14ac:dyDescent="0.3">
      <c r="A165" t="s">
        <v>5632</v>
      </c>
      <c r="B165">
        <f t="shared" si="8"/>
        <v>200163</v>
      </c>
      <c r="C165">
        <v>200098</v>
      </c>
      <c r="D165" t="s">
        <v>8354</v>
      </c>
      <c r="E165" t="s">
        <v>8147</v>
      </c>
      <c r="F165" t="s">
        <v>8419</v>
      </c>
      <c r="G165">
        <v>200163</v>
      </c>
      <c r="H165" t="s">
        <v>8519</v>
      </c>
      <c r="I165" t="s">
        <v>8520</v>
      </c>
      <c r="J165" t="s">
        <v>8615</v>
      </c>
      <c r="K165" t="str">
        <f t="shared" si="9"/>
        <v>9</v>
      </c>
      <c r="L165">
        <f t="shared" si="11"/>
        <v>19</v>
      </c>
      <c r="M165">
        <f t="shared" si="10"/>
        <v>3</v>
      </c>
      <c r="N165">
        <v>6.84</v>
      </c>
      <c r="O165" t="s">
        <v>5403</v>
      </c>
      <c r="P165" t="s">
        <v>6829</v>
      </c>
      <c r="Q165">
        <v>2016</v>
      </c>
      <c r="R165" t="s">
        <v>5648</v>
      </c>
      <c r="S165">
        <v>164</v>
      </c>
      <c r="T165" t="s">
        <v>6670</v>
      </c>
      <c r="U165" s="1" t="s">
        <v>7441</v>
      </c>
      <c r="V165" s="1" t="s">
        <v>7442</v>
      </c>
      <c r="W165" t="b">
        <v>0</v>
      </c>
      <c r="X165" t="s">
        <v>76</v>
      </c>
      <c r="Y165" t="s">
        <v>7672</v>
      </c>
      <c r="Z165" t="s">
        <v>6517</v>
      </c>
      <c r="AA165" t="s">
        <v>6517</v>
      </c>
      <c r="AB165" t="s">
        <v>6517</v>
      </c>
      <c r="AC165" t="s">
        <v>8019</v>
      </c>
      <c r="AD165" t="s">
        <v>7837</v>
      </c>
      <c r="AF165" t="b">
        <v>0</v>
      </c>
      <c r="AG165" t="s">
        <v>76</v>
      </c>
      <c r="AH165" s="1">
        <v>42481</v>
      </c>
      <c r="AI165" s="4">
        <v>1.5111111111111111</v>
      </c>
      <c r="AJ165">
        <v>0</v>
      </c>
      <c r="AK165">
        <v>16</v>
      </c>
      <c r="AL165">
        <v>0</v>
      </c>
      <c r="AM165" t="s">
        <v>326</v>
      </c>
      <c r="AP165" t="s">
        <v>6517</v>
      </c>
      <c r="AQ165" t="s">
        <v>6517</v>
      </c>
      <c r="AR165" t="s">
        <v>6517</v>
      </c>
      <c r="AS165" t="s">
        <v>6517</v>
      </c>
      <c r="AT165" t="s">
        <v>6517</v>
      </c>
      <c r="AU165" t="s">
        <v>6517</v>
      </c>
      <c r="AV165" t="s">
        <v>6517</v>
      </c>
    </row>
    <row r="166" spans="1:48" x14ac:dyDescent="0.3">
      <c r="A166" t="s">
        <v>5632</v>
      </c>
      <c r="B166">
        <f t="shared" si="8"/>
        <v>200164</v>
      </c>
      <c r="C166">
        <v>200098</v>
      </c>
      <c r="D166" t="s">
        <v>8354</v>
      </c>
      <c r="E166" t="s">
        <v>8147</v>
      </c>
      <c r="F166" t="s">
        <v>8433</v>
      </c>
      <c r="G166">
        <v>200164</v>
      </c>
      <c r="H166" t="s">
        <v>8521</v>
      </c>
      <c r="I166" t="s">
        <v>8522</v>
      </c>
      <c r="J166" t="s">
        <v>8614</v>
      </c>
      <c r="K166" t="str">
        <f t="shared" si="9"/>
        <v>1</v>
      </c>
      <c r="L166">
        <f t="shared" si="11"/>
        <v>6</v>
      </c>
      <c r="M166">
        <f t="shared" si="10"/>
        <v>1</v>
      </c>
      <c r="N166">
        <v>64.12</v>
      </c>
      <c r="O166" t="s">
        <v>5403</v>
      </c>
      <c r="P166" t="s">
        <v>6830</v>
      </c>
      <c r="Q166">
        <v>1994</v>
      </c>
      <c r="R166" t="s">
        <v>5648</v>
      </c>
      <c r="S166">
        <v>165</v>
      </c>
      <c r="T166" t="s">
        <v>6670</v>
      </c>
      <c r="U166" s="1" t="s">
        <v>7443</v>
      </c>
      <c r="V166" s="1" t="s">
        <v>7444</v>
      </c>
      <c r="W166" t="b">
        <v>0</v>
      </c>
      <c r="X166" t="s">
        <v>76</v>
      </c>
      <c r="Y166" t="s">
        <v>7673</v>
      </c>
      <c r="Z166" t="s">
        <v>6517</v>
      </c>
      <c r="AA166" t="s">
        <v>6517</v>
      </c>
      <c r="AB166" t="s">
        <v>6517</v>
      </c>
      <c r="AC166" t="s">
        <v>8020</v>
      </c>
      <c r="AD166" t="s">
        <v>7735</v>
      </c>
      <c r="AF166" t="b">
        <v>0</v>
      </c>
      <c r="AG166" t="s">
        <v>76</v>
      </c>
      <c r="AH166" s="1">
        <v>42481</v>
      </c>
      <c r="AI166" s="4">
        <v>11.955555555555556</v>
      </c>
      <c r="AJ166">
        <v>0</v>
      </c>
      <c r="AK166">
        <v>0</v>
      </c>
      <c r="AL166">
        <v>156.5</v>
      </c>
      <c r="AM166" t="s">
        <v>326</v>
      </c>
      <c r="AP166" t="s">
        <v>6517</v>
      </c>
      <c r="AQ166" t="s">
        <v>6517</v>
      </c>
      <c r="AR166" t="s">
        <v>6517</v>
      </c>
      <c r="AS166" t="s">
        <v>6517</v>
      </c>
      <c r="AT166" t="s">
        <v>6517</v>
      </c>
      <c r="AU166" t="s">
        <v>6517</v>
      </c>
      <c r="AV166" t="s">
        <v>6517</v>
      </c>
    </row>
    <row r="167" spans="1:48" x14ac:dyDescent="0.3">
      <c r="A167" t="s">
        <v>5632</v>
      </c>
      <c r="B167">
        <f t="shared" si="8"/>
        <v>200165</v>
      </c>
      <c r="C167">
        <v>200099</v>
      </c>
      <c r="D167" t="s">
        <v>8356</v>
      </c>
      <c r="E167" t="s">
        <v>8142</v>
      </c>
      <c r="F167" t="s">
        <v>8430</v>
      </c>
      <c r="G167">
        <v>200165</v>
      </c>
      <c r="H167" t="s">
        <v>8523</v>
      </c>
      <c r="I167" t="s">
        <v>8524</v>
      </c>
      <c r="J167" t="s">
        <v>8614</v>
      </c>
      <c r="K167" t="str">
        <f t="shared" si="9"/>
        <v>1</v>
      </c>
      <c r="L167">
        <f t="shared" si="11"/>
        <v>4</v>
      </c>
      <c r="M167">
        <f t="shared" si="10"/>
        <v>1</v>
      </c>
      <c r="N167">
        <v>33.590000000000003</v>
      </c>
      <c r="O167" t="s">
        <v>5403</v>
      </c>
      <c r="P167" t="s">
        <v>6831</v>
      </c>
      <c r="Q167">
        <v>2010</v>
      </c>
      <c r="R167" t="s">
        <v>5648</v>
      </c>
      <c r="S167">
        <v>166</v>
      </c>
      <c r="T167" t="s">
        <v>6670</v>
      </c>
      <c r="U167" s="1" t="s">
        <v>7445</v>
      </c>
      <c r="V167" s="1" t="s">
        <v>7446</v>
      </c>
      <c r="W167" t="b">
        <v>0</v>
      </c>
      <c r="X167" t="s">
        <v>76</v>
      </c>
      <c r="Y167" t="s">
        <v>7674</v>
      </c>
      <c r="Z167" t="s">
        <v>6517</v>
      </c>
      <c r="AA167" t="s">
        <v>6517</v>
      </c>
      <c r="AB167" t="s">
        <v>6517</v>
      </c>
      <c r="AC167" t="s">
        <v>8021</v>
      </c>
      <c r="AD167" t="s">
        <v>7776</v>
      </c>
      <c r="AF167" t="b">
        <v>0</v>
      </c>
      <c r="AG167" t="s">
        <v>76</v>
      </c>
      <c r="AH167" s="1">
        <v>42481</v>
      </c>
      <c r="AI167" s="4">
        <v>11.919444444444444</v>
      </c>
      <c r="AJ167">
        <v>0</v>
      </c>
      <c r="AK167">
        <v>0</v>
      </c>
      <c r="AL167">
        <v>65</v>
      </c>
      <c r="AM167" t="s">
        <v>326</v>
      </c>
      <c r="AP167" t="s">
        <v>6517</v>
      </c>
      <c r="AQ167" t="s">
        <v>6517</v>
      </c>
      <c r="AR167" t="s">
        <v>6517</v>
      </c>
      <c r="AS167" t="s">
        <v>6517</v>
      </c>
      <c r="AT167" t="s">
        <v>6517</v>
      </c>
      <c r="AU167" t="s">
        <v>6517</v>
      </c>
      <c r="AV167" t="s">
        <v>6517</v>
      </c>
    </row>
    <row r="168" spans="1:48" x14ac:dyDescent="0.3">
      <c r="A168" t="s">
        <v>5632</v>
      </c>
      <c r="B168">
        <f t="shared" si="8"/>
        <v>200166</v>
      </c>
      <c r="C168">
        <v>200100</v>
      </c>
      <c r="D168" t="s">
        <v>8359</v>
      </c>
      <c r="E168" t="s">
        <v>8525</v>
      </c>
      <c r="F168" t="s">
        <v>8366</v>
      </c>
      <c r="G168">
        <v>200166</v>
      </c>
      <c r="H168" t="s">
        <v>8526</v>
      </c>
      <c r="I168" t="s">
        <v>8527</v>
      </c>
      <c r="J168" t="s">
        <v>8614</v>
      </c>
      <c r="K168" t="str">
        <f t="shared" si="9"/>
        <v>1</v>
      </c>
      <c r="L168">
        <f t="shared" si="11"/>
        <v>1</v>
      </c>
      <c r="M168">
        <f t="shared" si="10"/>
        <v>1</v>
      </c>
      <c r="N168">
        <v>37.56</v>
      </c>
      <c r="O168" t="s">
        <v>5403</v>
      </c>
      <c r="P168" t="s">
        <v>6832</v>
      </c>
      <c r="Q168">
        <v>2014</v>
      </c>
      <c r="R168" t="s">
        <v>5648</v>
      </c>
      <c r="S168">
        <v>167</v>
      </c>
      <c r="T168" t="s">
        <v>6670</v>
      </c>
      <c r="U168" s="1" t="s">
        <v>7447</v>
      </c>
      <c r="V168" s="1" t="s">
        <v>7448</v>
      </c>
      <c r="W168" t="b">
        <v>0</v>
      </c>
      <c r="X168" t="s">
        <v>76</v>
      </c>
      <c r="Y168" t="s">
        <v>7675</v>
      </c>
      <c r="Z168" t="s">
        <v>6517</v>
      </c>
      <c r="AA168" t="s">
        <v>6517</v>
      </c>
      <c r="AB168" t="s">
        <v>6517</v>
      </c>
      <c r="AC168" t="s">
        <v>8022</v>
      </c>
      <c r="AD168" t="s">
        <v>7838</v>
      </c>
      <c r="AF168" t="b">
        <v>0</v>
      </c>
      <c r="AG168" t="s">
        <v>76</v>
      </c>
      <c r="AH168" s="1">
        <v>42481</v>
      </c>
      <c r="AI168" s="4">
        <v>5.7222222222222223</v>
      </c>
      <c r="AJ168">
        <v>0</v>
      </c>
      <c r="AK168">
        <v>0</v>
      </c>
      <c r="AL168">
        <v>95.5</v>
      </c>
      <c r="AM168" t="s">
        <v>326</v>
      </c>
      <c r="AP168" t="s">
        <v>6517</v>
      </c>
      <c r="AQ168" t="s">
        <v>6517</v>
      </c>
      <c r="AR168" t="s">
        <v>6517</v>
      </c>
      <c r="AS168" t="s">
        <v>6517</v>
      </c>
      <c r="AT168" t="s">
        <v>6517</v>
      </c>
      <c r="AU168" t="s">
        <v>6517</v>
      </c>
      <c r="AV168" t="s">
        <v>6517</v>
      </c>
    </row>
    <row r="169" spans="1:48" x14ac:dyDescent="0.3">
      <c r="A169" t="s">
        <v>5632</v>
      </c>
      <c r="B169">
        <f t="shared" si="8"/>
        <v>200167</v>
      </c>
      <c r="C169">
        <v>200100</v>
      </c>
      <c r="D169" t="s">
        <v>8359</v>
      </c>
      <c r="E169" t="s">
        <v>8525</v>
      </c>
      <c r="F169" t="s">
        <v>8528</v>
      </c>
      <c r="G169">
        <v>200167</v>
      </c>
      <c r="H169" t="s">
        <v>8529</v>
      </c>
      <c r="I169" t="s">
        <v>8530</v>
      </c>
      <c r="J169" t="s">
        <v>8616</v>
      </c>
      <c r="K169" t="str">
        <f t="shared" si="9"/>
        <v>2</v>
      </c>
      <c r="L169">
        <f t="shared" si="11"/>
        <v>2</v>
      </c>
      <c r="M169">
        <f t="shared" si="10"/>
        <v>2</v>
      </c>
      <c r="N169">
        <v>27.94</v>
      </c>
      <c r="O169" t="s">
        <v>5403</v>
      </c>
      <c r="P169" t="s">
        <v>6833</v>
      </c>
      <c r="Q169">
        <v>1997</v>
      </c>
      <c r="R169" t="s">
        <v>5648</v>
      </c>
      <c r="S169">
        <v>168</v>
      </c>
      <c r="T169" t="s">
        <v>6670</v>
      </c>
      <c r="U169" s="1" t="s">
        <v>7449</v>
      </c>
      <c r="V169" s="1" t="s">
        <v>7450</v>
      </c>
      <c r="W169" t="b">
        <v>0</v>
      </c>
      <c r="X169" t="s">
        <v>76</v>
      </c>
      <c r="Y169" t="s">
        <v>7676</v>
      </c>
      <c r="Z169" t="s">
        <v>6517</v>
      </c>
      <c r="AA169" t="s">
        <v>6517</v>
      </c>
      <c r="AB169" t="s">
        <v>6517</v>
      </c>
      <c r="AC169" t="s">
        <v>8023</v>
      </c>
      <c r="AD169" t="s">
        <v>7839</v>
      </c>
      <c r="AF169" t="b">
        <v>0</v>
      </c>
      <c r="AG169" t="s">
        <v>76</v>
      </c>
      <c r="AH169" s="1">
        <v>42481</v>
      </c>
      <c r="AI169" s="4">
        <v>6.9416666666666664</v>
      </c>
      <c r="AJ169">
        <v>0</v>
      </c>
      <c r="AK169">
        <v>0</v>
      </c>
      <c r="AL169">
        <v>63</v>
      </c>
      <c r="AM169" t="s">
        <v>5696</v>
      </c>
      <c r="AN169" t="s">
        <v>6893</v>
      </c>
      <c r="AO169" s="1">
        <v>42483</v>
      </c>
      <c r="AP169" t="s">
        <v>6517</v>
      </c>
      <c r="AQ169" t="s">
        <v>6517</v>
      </c>
      <c r="AR169" t="s">
        <v>6517</v>
      </c>
      <c r="AS169" t="s">
        <v>6517</v>
      </c>
      <c r="AT169" t="s">
        <v>6517</v>
      </c>
      <c r="AU169" t="s">
        <v>6517</v>
      </c>
      <c r="AV169" t="s">
        <v>6517</v>
      </c>
    </row>
    <row r="170" spans="1:48" x14ac:dyDescent="0.3">
      <c r="A170" t="s">
        <v>5632</v>
      </c>
      <c r="B170">
        <f t="shared" si="8"/>
        <v>200168</v>
      </c>
      <c r="C170">
        <v>200101</v>
      </c>
      <c r="D170" t="s">
        <v>8361</v>
      </c>
      <c r="E170" t="s">
        <v>8108</v>
      </c>
      <c r="F170" t="s">
        <v>8366</v>
      </c>
      <c r="G170">
        <v>200168</v>
      </c>
      <c r="H170" t="s">
        <v>8531</v>
      </c>
      <c r="I170" t="s">
        <v>8532</v>
      </c>
      <c r="J170" t="s">
        <v>8614</v>
      </c>
      <c r="K170" t="str">
        <f t="shared" si="9"/>
        <v>1</v>
      </c>
      <c r="L170">
        <f t="shared" si="11"/>
        <v>3</v>
      </c>
      <c r="M170">
        <f t="shared" si="10"/>
        <v>1</v>
      </c>
      <c r="N170">
        <v>59.5</v>
      </c>
      <c r="O170" t="s">
        <v>5403</v>
      </c>
      <c r="P170" t="s">
        <v>6834</v>
      </c>
      <c r="Q170">
        <v>1973</v>
      </c>
      <c r="R170" t="s">
        <v>5648</v>
      </c>
      <c r="S170">
        <v>169</v>
      </c>
      <c r="T170" t="s">
        <v>6670</v>
      </c>
      <c r="U170" s="1" t="s">
        <v>7451</v>
      </c>
      <c r="V170" s="1" t="s">
        <v>7452</v>
      </c>
      <c r="W170" t="b">
        <v>0</v>
      </c>
      <c r="X170" t="s">
        <v>76</v>
      </c>
      <c r="Y170" t="s">
        <v>7677</v>
      </c>
      <c r="Z170" t="s">
        <v>6517</v>
      </c>
      <c r="AA170" t="s">
        <v>6517</v>
      </c>
      <c r="AB170" t="s">
        <v>6517</v>
      </c>
      <c r="AC170" t="s">
        <v>8024</v>
      </c>
      <c r="AD170" t="s">
        <v>7822</v>
      </c>
      <c r="AF170" t="b">
        <v>0</v>
      </c>
      <c r="AG170" t="s">
        <v>76</v>
      </c>
      <c r="AH170" s="1">
        <v>42481</v>
      </c>
      <c r="AI170" s="4">
        <v>12.669444444444444</v>
      </c>
      <c r="AJ170">
        <v>0</v>
      </c>
      <c r="AK170">
        <v>0</v>
      </c>
      <c r="AL170">
        <v>140.5</v>
      </c>
      <c r="AM170" t="s">
        <v>326</v>
      </c>
      <c r="AP170" t="s">
        <v>6517</v>
      </c>
      <c r="AQ170" t="s">
        <v>6517</v>
      </c>
      <c r="AR170" t="s">
        <v>6517</v>
      </c>
      <c r="AS170" t="s">
        <v>6517</v>
      </c>
      <c r="AT170" t="s">
        <v>6517</v>
      </c>
      <c r="AU170" t="s">
        <v>6517</v>
      </c>
      <c r="AV170" t="s">
        <v>6517</v>
      </c>
    </row>
    <row r="171" spans="1:48" x14ac:dyDescent="0.3">
      <c r="A171" t="s">
        <v>5632</v>
      </c>
      <c r="B171">
        <f t="shared" si="8"/>
        <v>200169</v>
      </c>
      <c r="C171">
        <v>200102</v>
      </c>
      <c r="D171" t="s">
        <v>8364</v>
      </c>
      <c r="E171" t="s">
        <v>8533</v>
      </c>
      <c r="F171" t="s">
        <v>8184</v>
      </c>
      <c r="G171">
        <v>200169</v>
      </c>
      <c r="H171" t="s">
        <v>8534</v>
      </c>
      <c r="I171" t="s">
        <v>8535</v>
      </c>
      <c r="J171" t="s">
        <v>8614</v>
      </c>
      <c r="K171" t="str">
        <f t="shared" si="9"/>
        <v>1</v>
      </c>
      <c r="L171">
        <f t="shared" si="11"/>
        <v>1</v>
      </c>
      <c r="M171">
        <f t="shared" si="10"/>
        <v>1</v>
      </c>
      <c r="N171">
        <v>54.19</v>
      </c>
      <c r="O171" t="s">
        <v>5403</v>
      </c>
      <c r="P171" t="s">
        <v>6835</v>
      </c>
      <c r="Q171">
        <v>2007</v>
      </c>
      <c r="R171" t="s">
        <v>5648</v>
      </c>
      <c r="S171">
        <v>170</v>
      </c>
      <c r="T171" t="s">
        <v>6670</v>
      </c>
      <c r="U171" s="1" t="s">
        <v>7435</v>
      </c>
      <c r="V171" s="1" t="s">
        <v>7453</v>
      </c>
      <c r="W171" t="b">
        <v>0</v>
      </c>
      <c r="X171" t="s">
        <v>76</v>
      </c>
      <c r="Y171" t="s">
        <v>7678</v>
      </c>
      <c r="Z171" t="s">
        <v>6517</v>
      </c>
      <c r="AA171" t="s">
        <v>6517</v>
      </c>
      <c r="AB171" t="s">
        <v>6517</v>
      </c>
      <c r="AC171" t="s">
        <v>8025</v>
      </c>
      <c r="AD171" t="s">
        <v>7789</v>
      </c>
      <c r="AF171" t="b">
        <v>0</v>
      </c>
      <c r="AG171" t="s">
        <v>76</v>
      </c>
      <c r="AH171" s="1">
        <v>42481</v>
      </c>
      <c r="AI171" s="4">
        <v>7.5277777777777777</v>
      </c>
      <c r="AJ171">
        <v>0</v>
      </c>
      <c r="AK171">
        <v>0</v>
      </c>
      <c r="AL171">
        <v>140</v>
      </c>
      <c r="AM171" t="s">
        <v>326</v>
      </c>
      <c r="AP171" t="s">
        <v>6517</v>
      </c>
      <c r="AQ171" t="s">
        <v>6517</v>
      </c>
      <c r="AR171" t="s">
        <v>6517</v>
      </c>
      <c r="AS171" t="s">
        <v>6517</v>
      </c>
      <c r="AT171" t="s">
        <v>6517</v>
      </c>
      <c r="AU171" t="s">
        <v>6517</v>
      </c>
      <c r="AV171" t="s">
        <v>6517</v>
      </c>
    </row>
    <row r="172" spans="1:48" x14ac:dyDescent="0.3">
      <c r="A172" t="s">
        <v>5632</v>
      </c>
      <c r="B172">
        <f t="shared" si="8"/>
        <v>200170</v>
      </c>
      <c r="C172">
        <v>200103</v>
      </c>
      <c r="D172" t="s">
        <v>8367</v>
      </c>
      <c r="E172" t="s">
        <v>8113</v>
      </c>
      <c r="F172" t="s">
        <v>8250</v>
      </c>
      <c r="G172">
        <v>200170</v>
      </c>
      <c r="H172" t="s">
        <v>8536</v>
      </c>
      <c r="I172" t="s">
        <v>8537</v>
      </c>
      <c r="J172" t="s">
        <v>8614</v>
      </c>
      <c r="K172" t="str">
        <f t="shared" si="9"/>
        <v>1</v>
      </c>
      <c r="L172">
        <f t="shared" si="11"/>
        <v>3</v>
      </c>
      <c r="M172">
        <f t="shared" si="10"/>
        <v>1</v>
      </c>
      <c r="N172">
        <v>22.88</v>
      </c>
      <c r="O172" t="s">
        <v>5403</v>
      </c>
      <c r="P172" t="s">
        <v>6836</v>
      </c>
      <c r="Q172">
        <v>1986</v>
      </c>
      <c r="R172" t="s">
        <v>5648</v>
      </c>
      <c r="S172">
        <v>171</v>
      </c>
      <c r="T172" t="s">
        <v>6670</v>
      </c>
      <c r="U172" s="1" t="s">
        <v>7454</v>
      </c>
      <c r="V172" s="1" t="s">
        <v>7455</v>
      </c>
      <c r="W172" t="b">
        <v>0</v>
      </c>
      <c r="X172" t="s">
        <v>76</v>
      </c>
      <c r="Y172" t="s">
        <v>7679</v>
      </c>
      <c r="Z172" t="s">
        <v>6517</v>
      </c>
      <c r="AA172" t="s">
        <v>6517</v>
      </c>
      <c r="AB172" t="s">
        <v>6517</v>
      </c>
      <c r="AC172" t="s">
        <v>8026</v>
      </c>
      <c r="AD172" t="s">
        <v>7840</v>
      </c>
      <c r="AF172" t="b">
        <v>0</v>
      </c>
      <c r="AG172" t="s">
        <v>76</v>
      </c>
      <c r="AH172" s="1">
        <v>42481</v>
      </c>
      <c r="AI172" s="4">
        <v>1.5444444444444445</v>
      </c>
      <c r="AJ172">
        <v>0</v>
      </c>
      <c r="AK172">
        <v>0</v>
      </c>
      <c r="AL172">
        <v>64</v>
      </c>
      <c r="AM172" t="s">
        <v>326</v>
      </c>
      <c r="AP172" t="s">
        <v>6517</v>
      </c>
      <c r="AQ172" t="s">
        <v>6517</v>
      </c>
      <c r="AR172" t="s">
        <v>6517</v>
      </c>
      <c r="AS172" t="s">
        <v>6517</v>
      </c>
      <c r="AT172" t="s">
        <v>6517</v>
      </c>
      <c r="AU172" t="s">
        <v>6517</v>
      </c>
      <c r="AV172" t="s">
        <v>6517</v>
      </c>
    </row>
    <row r="173" spans="1:48" x14ac:dyDescent="0.3">
      <c r="A173" t="s">
        <v>5632</v>
      </c>
      <c r="B173">
        <f t="shared" si="8"/>
        <v>200171</v>
      </c>
      <c r="C173">
        <v>200104</v>
      </c>
      <c r="D173" t="s">
        <v>8370</v>
      </c>
      <c r="E173" t="s">
        <v>8123</v>
      </c>
      <c r="F173" t="s">
        <v>8538</v>
      </c>
      <c r="G173">
        <v>200171</v>
      </c>
      <c r="H173" t="s">
        <v>8539</v>
      </c>
      <c r="I173" t="s">
        <v>8540</v>
      </c>
      <c r="J173" t="s">
        <v>8616</v>
      </c>
      <c r="K173" t="str">
        <f t="shared" si="9"/>
        <v>2</v>
      </c>
      <c r="L173">
        <f t="shared" si="11"/>
        <v>13</v>
      </c>
      <c r="M173">
        <f t="shared" si="10"/>
        <v>1</v>
      </c>
      <c r="N173">
        <v>23.15</v>
      </c>
      <c r="O173" t="s">
        <v>5403</v>
      </c>
      <c r="P173" t="s">
        <v>6837</v>
      </c>
      <c r="Q173">
        <v>1992</v>
      </c>
      <c r="R173" t="s">
        <v>5648</v>
      </c>
      <c r="S173">
        <v>172</v>
      </c>
      <c r="T173" t="s">
        <v>6670</v>
      </c>
      <c r="U173" s="1" t="s">
        <v>7456</v>
      </c>
      <c r="V173" s="1" t="s">
        <v>7457</v>
      </c>
      <c r="W173" t="b">
        <v>0</v>
      </c>
      <c r="X173" t="s">
        <v>76</v>
      </c>
      <c r="Y173" t="s">
        <v>7680</v>
      </c>
      <c r="Z173" t="s">
        <v>6517</v>
      </c>
      <c r="AA173" t="s">
        <v>6517</v>
      </c>
      <c r="AB173" t="s">
        <v>6517</v>
      </c>
      <c r="AC173" t="s">
        <v>8027</v>
      </c>
      <c r="AD173" t="s">
        <v>7820</v>
      </c>
      <c r="AF173" t="b">
        <v>0</v>
      </c>
      <c r="AG173" t="s">
        <v>76</v>
      </c>
      <c r="AH173" s="1">
        <v>42481</v>
      </c>
      <c r="AI173" s="4">
        <v>9.8166666666666664</v>
      </c>
      <c r="AJ173">
        <v>0</v>
      </c>
      <c r="AK173">
        <v>0</v>
      </c>
      <c r="AL173">
        <v>40</v>
      </c>
      <c r="AM173" t="s">
        <v>5696</v>
      </c>
      <c r="AN173" t="s">
        <v>6896</v>
      </c>
      <c r="AO173" s="1">
        <v>42513</v>
      </c>
      <c r="AP173" t="s">
        <v>6517</v>
      </c>
      <c r="AQ173" t="s">
        <v>6517</v>
      </c>
      <c r="AR173" t="s">
        <v>6517</v>
      </c>
      <c r="AS173" t="s">
        <v>6517</v>
      </c>
      <c r="AT173" t="s">
        <v>6517</v>
      </c>
      <c r="AU173" t="s">
        <v>6517</v>
      </c>
      <c r="AV173" t="s">
        <v>6517</v>
      </c>
    </row>
    <row r="174" spans="1:48" x14ac:dyDescent="0.3">
      <c r="A174" t="s">
        <v>5632</v>
      </c>
      <c r="B174">
        <f t="shared" si="8"/>
        <v>200172</v>
      </c>
      <c r="C174">
        <v>200105</v>
      </c>
      <c r="D174" t="s">
        <v>8372</v>
      </c>
      <c r="E174" t="s">
        <v>8123</v>
      </c>
      <c r="F174" t="s">
        <v>8111</v>
      </c>
      <c r="G174">
        <v>200172</v>
      </c>
      <c r="H174" t="s">
        <v>8541</v>
      </c>
      <c r="I174" t="s">
        <v>8542</v>
      </c>
      <c r="J174" t="s">
        <v>8615</v>
      </c>
      <c r="K174" t="str">
        <f t="shared" si="9"/>
        <v>9</v>
      </c>
      <c r="L174">
        <f t="shared" si="11"/>
        <v>9</v>
      </c>
      <c r="M174">
        <f t="shared" si="10"/>
        <v>4</v>
      </c>
      <c r="N174">
        <v>30.15</v>
      </c>
      <c r="O174" t="s">
        <v>5403</v>
      </c>
      <c r="P174" t="s">
        <v>6838</v>
      </c>
      <c r="Q174">
        <v>1995</v>
      </c>
      <c r="R174" t="s">
        <v>5648</v>
      </c>
      <c r="S174">
        <v>173</v>
      </c>
      <c r="T174" t="s">
        <v>6670</v>
      </c>
      <c r="U174" s="1" t="s">
        <v>7458</v>
      </c>
      <c r="V174" s="1" t="s">
        <v>7459</v>
      </c>
      <c r="W174" t="b">
        <v>0</v>
      </c>
      <c r="X174" t="s">
        <v>76</v>
      </c>
      <c r="Y174" t="s">
        <v>7681</v>
      </c>
      <c r="Z174" t="s">
        <v>6517</v>
      </c>
      <c r="AA174" t="s">
        <v>6517</v>
      </c>
      <c r="AB174" t="s">
        <v>6517</v>
      </c>
      <c r="AC174" t="s">
        <v>8028</v>
      </c>
      <c r="AD174" t="s">
        <v>7725</v>
      </c>
      <c r="AF174" t="b">
        <v>0</v>
      </c>
      <c r="AG174" t="s">
        <v>76</v>
      </c>
      <c r="AH174" s="1">
        <v>42481</v>
      </c>
      <c r="AI174" s="4">
        <v>13.480555555555556</v>
      </c>
      <c r="AJ174">
        <v>0</v>
      </c>
      <c r="AK174">
        <v>0</v>
      </c>
      <c r="AL174">
        <v>50</v>
      </c>
      <c r="AM174" t="s">
        <v>326</v>
      </c>
      <c r="AP174" t="s">
        <v>6517</v>
      </c>
      <c r="AQ174" t="s">
        <v>6517</v>
      </c>
      <c r="AR174" t="s">
        <v>6517</v>
      </c>
      <c r="AS174" t="s">
        <v>6517</v>
      </c>
      <c r="AT174" t="s">
        <v>6517</v>
      </c>
      <c r="AU174" t="s">
        <v>6517</v>
      </c>
      <c r="AV174" t="s">
        <v>6517</v>
      </c>
    </row>
    <row r="175" spans="1:48" x14ac:dyDescent="0.3">
      <c r="A175" t="s">
        <v>5632</v>
      </c>
      <c r="B175">
        <f t="shared" si="8"/>
        <v>200173</v>
      </c>
      <c r="C175">
        <v>200105</v>
      </c>
      <c r="D175" t="s">
        <v>8372</v>
      </c>
      <c r="E175" t="s">
        <v>8123</v>
      </c>
      <c r="F175" t="s">
        <v>8543</v>
      </c>
      <c r="G175">
        <v>200173</v>
      </c>
      <c r="H175" t="s">
        <v>8544</v>
      </c>
      <c r="I175" t="s">
        <v>8545</v>
      </c>
      <c r="J175" t="s">
        <v>8615</v>
      </c>
      <c r="K175" t="str">
        <f t="shared" si="9"/>
        <v>9</v>
      </c>
      <c r="L175">
        <f t="shared" si="11"/>
        <v>6</v>
      </c>
      <c r="M175">
        <f t="shared" si="10"/>
        <v>3</v>
      </c>
      <c r="N175">
        <v>40.47</v>
      </c>
      <c r="O175" t="s">
        <v>5403</v>
      </c>
      <c r="P175" t="s">
        <v>6839</v>
      </c>
      <c r="Q175">
        <v>1971</v>
      </c>
      <c r="R175" t="s">
        <v>5648</v>
      </c>
      <c r="S175">
        <v>174</v>
      </c>
      <c r="T175" t="s">
        <v>6670</v>
      </c>
      <c r="U175" s="1" t="s">
        <v>7460</v>
      </c>
      <c r="V175" s="1" t="s">
        <v>7461</v>
      </c>
      <c r="W175" t="b">
        <v>0</v>
      </c>
      <c r="X175" t="s">
        <v>76</v>
      </c>
      <c r="Y175" t="s">
        <v>7682</v>
      </c>
      <c r="Z175" t="s">
        <v>6517</v>
      </c>
      <c r="AA175" t="s">
        <v>6517</v>
      </c>
      <c r="AB175" t="s">
        <v>6517</v>
      </c>
      <c r="AC175" t="s">
        <v>8029</v>
      </c>
      <c r="AD175" t="s">
        <v>7742</v>
      </c>
      <c r="AF175" t="b">
        <v>0</v>
      </c>
      <c r="AG175" t="s">
        <v>76</v>
      </c>
      <c r="AH175" s="1">
        <v>42481</v>
      </c>
      <c r="AI175" s="4">
        <v>9.1333333333333329</v>
      </c>
      <c r="AJ175">
        <v>0</v>
      </c>
      <c r="AK175">
        <v>0</v>
      </c>
      <c r="AL175">
        <v>94</v>
      </c>
      <c r="AM175" t="s">
        <v>326</v>
      </c>
      <c r="AP175" t="s">
        <v>6517</v>
      </c>
      <c r="AQ175" t="s">
        <v>6517</v>
      </c>
      <c r="AR175" t="s">
        <v>6517</v>
      </c>
      <c r="AS175" t="s">
        <v>6517</v>
      </c>
      <c r="AT175" t="s">
        <v>6517</v>
      </c>
      <c r="AU175" t="s">
        <v>6517</v>
      </c>
      <c r="AV175" t="s">
        <v>6517</v>
      </c>
    </row>
    <row r="176" spans="1:48" x14ac:dyDescent="0.3">
      <c r="A176" t="s">
        <v>5632</v>
      </c>
      <c r="B176">
        <f t="shared" si="8"/>
        <v>200174</v>
      </c>
      <c r="C176">
        <v>200105</v>
      </c>
      <c r="D176" t="s">
        <v>8372</v>
      </c>
      <c r="E176" t="s">
        <v>8123</v>
      </c>
      <c r="F176" t="s">
        <v>8328</v>
      </c>
      <c r="G176">
        <v>200174</v>
      </c>
      <c r="H176" t="s">
        <v>8546</v>
      </c>
      <c r="I176" t="s">
        <v>8547</v>
      </c>
      <c r="J176" t="s">
        <v>8616</v>
      </c>
      <c r="K176" t="str">
        <f t="shared" si="9"/>
        <v>2</v>
      </c>
      <c r="L176">
        <f t="shared" si="11"/>
        <v>5</v>
      </c>
      <c r="M176">
        <f t="shared" si="10"/>
        <v>2</v>
      </c>
      <c r="N176">
        <v>41.45</v>
      </c>
      <c r="O176" t="s">
        <v>5403</v>
      </c>
      <c r="P176" t="s">
        <v>6840</v>
      </c>
      <c r="Q176">
        <v>2012</v>
      </c>
      <c r="R176" t="s">
        <v>5648</v>
      </c>
      <c r="S176">
        <v>175</v>
      </c>
      <c r="T176" t="s">
        <v>6670</v>
      </c>
      <c r="U176" s="1" t="s">
        <v>7462</v>
      </c>
      <c r="V176" s="1" t="s">
        <v>7463</v>
      </c>
      <c r="W176" t="b">
        <v>0</v>
      </c>
      <c r="X176" t="s">
        <v>76</v>
      </c>
      <c r="Y176" t="s">
        <v>7683</v>
      </c>
      <c r="Z176" t="s">
        <v>6517</v>
      </c>
      <c r="AA176" t="s">
        <v>6517</v>
      </c>
      <c r="AB176" t="s">
        <v>6517</v>
      </c>
      <c r="AC176" t="s">
        <v>8030</v>
      </c>
      <c r="AD176" t="s">
        <v>7841</v>
      </c>
      <c r="AF176" t="b">
        <v>0</v>
      </c>
      <c r="AG176" t="s">
        <v>76</v>
      </c>
      <c r="AH176" s="1">
        <v>42481</v>
      </c>
      <c r="AI176" s="4">
        <v>10.286111111111111</v>
      </c>
      <c r="AJ176">
        <v>0</v>
      </c>
      <c r="AK176">
        <v>0</v>
      </c>
      <c r="AL176">
        <v>93.5</v>
      </c>
      <c r="AM176" t="s">
        <v>326</v>
      </c>
      <c r="AP176" t="s">
        <v>6517</v>
      </c>
      <c r="AQ176" t="s">
        <v>6517</v>
      </c>
      <c r="AR176" t="s">
        <v>6517</v>
      </c>
      <c r="AS176" t="s">
        <v>6517</v>
      </c>
      <c r="AT176" t="s">
        <v>6517</v>
      </c>
      <c r="AU176" t="s">
        <v>6517</v>
      </c>
      <c r="AV176" t="s">
        <v>6517</v>
      </c>
    </row>
    <row r="177" spans="1:48" x14ac:dyDescent="0.3">
      <c r="A177" t="s">
        <v>5632</v>
      </c>
      <c r="B177">
        <f t="shared" si="8"/>
        <v>200175</v>
      </c>
      <c r="C177">
        <v>200105</v>
      </c>
      <c r="D177" t="s">
        <v>8372</v>
      </c>
      <c r="E177" t="s">
        <v>8123</v>
      </c>
      <c r="F177" t="s">
        <v>8548</v>
      </c>
      <c r="G177">
        <v>200175</v>
      </c>
      <c r="H177" t="s">
        <v>8549</v>
      </c>
      <c r="I177" t="s">
        <v>8550</v>
      </c>
      <c r="J177" t="s">
        <v>8614</v>
      </c>
      <c r="K177" t="str">
        <f t="shared" si="9"/>
        <v>1</v>
      </c>
      <c r="L177">
        <f t="shared" si="11"/>
        <v>2</v>
      </c>
      <c r="M177">
        <f t="shared" si="10"/>
        <v>1</v>
      </c>
      <c r="N177">
        <v>77.790000000000006</v>
      </c>
      <c r="O177" t="s">
        <v>5403</v>
      </c>
      <c r="P177" t="s">
        <v>6841</v>
      </c>
      <c r="Q177">
        <v>1988</v>
      </c>
      <c r="R177" t="s">
        <v>5648</v>
      </c>
      <c r="S177">
        <v>176</v>
      </c>
      <c r="T177" t="s">
        <v>6670</v>
      </c>
      <c r="U177" s="1" t="s">
        <v>7464</v>
      </c>
      <c r="V177" s="1" t="s">
        <v>7465</v>
      </c>
      <c r="W177" t="b">
        <v>0</v>
      </c>
      <c r="X177" t="s">
        <v>76</v>
      </c>
      <c r="Y177" t="s">
        <v>7684</v>
      </c>
      <c r="Z177" t="s">
        <v>6517</v>
      </c>
      <c r="AA177" t="s">
        <v>6517</v>
      </c>
      <c r="AB177" t="s">
        <v>6517</v>
      </c>
      <c r="AC177" t="s">
        <v>8031</v>
      </c>
      <c r="AD177" t="s">
        <v>7740</v>
      </c>
      <c r="AF177" t="b">
        <v>0</v>
      </c>
      <c r="AG177" t="s">
        <v>76</v>
      </c>
      <c r="AH177" s="1">
        <v>42481</v>
      </c>
      <c r="AI177" s="4">
        <v>13.46111111111111</v>
      </c>
      <c r="AJ177">
        <v>0</v>
      </c>
      <c r="AK177">
        <v>0</v>
      </c>
      <c r="AL177">
        <v>193</v>
      </c>
      <c r="AM177" t="s">
        <v>326</v>
      </c>
      <c r="AP177" t="s">
        <v>6517</v>
      </c>
      <c r="AQ177" t="s">
        <v>6517</v>
      </c>
      <c r="AR177" t="s">
        <v>6517</v>
      </c>
      <c r="AS177" t="s">
        <v>6517</v>
      </c>
      <c r="AT177" t="s">
        <v>6517</v>
      </c>
      <c r="AU177" t="s">
        <v>6517</v>
      </c>
      <c r="AV177" t="s">
        <v>6517</v>
      </c>
    </row>
    <row r="178" spans="1:48" x14ac:dyDescent="0.3">
      <c r="A178" t="s">
        <v>5632</v>
      </c>
      <c r="B178">
        <f t="shared" si="8"/>
        <v>200176</v>
      </c>
      <c r="C178">
        <v>200106</v>
      </c>
      <c r="D178" t="s">
        <v>8375</v>
      </c>
      <c r="E178" t="s">
        <v>8097</v>
      </c>
      <c r="F178" t="s">
        <v>8406</v>
      </c>
      <c r="G178">
        <v>200176</v>
      </c>
      <c r="H178" t="s">
        <v>8551</v>
      </c>
      <c r="I178" t="s">
        <v>8552</v>
      </c>
      <c r="J178" t="s">
        <v>8615</v>
      </c>
      <c r="K178" t="str">
        <f t="shared" si="9"/>
        <v>9</v>
      </c>
      <c r="L178">
        <f t="shared" si="11"/>
        <v>51</v>
      </c>
      <c r="M178">
        <f t="shared" si="10"/>
        <v>1</v>
      </c>
      <c r="N178">
        <v>5.87</v>
      </c>
      <c r="O178" t="s">
        <v>5403</v>
      </c>
      <c r="P178" t="s">
        <v>6842</v>
      </c>
      <c r="Q178">
        <v>2003</v>
      </c>
      <c r="R178" t="s">
        <v>5648</v>
      </c>
      <c r="S178">
        <v>177</v>
      </c>
      <c r="T178" t="s">
        <v>6670</v>
      </c>
      <c r="U178" s="1" t="s">
        <v>7466</v>
      </c>
      <c r="V178" s="1" t="s">
        <v>7467</v>
      </c>
      <c r="W178" t="b">
        <v>0</v>
      </c>
      <c r="X178" t="s">
        <v>76</v>
      </c>
      <c r="Y178" t="s">
        <v>7685</v>
      </c>
      <c r="Z178" t="s">
        <v>6517</v>
      </c>
      <c r="AA178" t="s">
        <v>6517</v>
      </c>
      <c r="AB178" t="s">
        <v>6517</v>
      </c>
      <c r="AC178" t="s">
        <v>8032</v>
      </c>
      <c r="AD178" t="s">
        <v>7842</v>
      </c>
      <c r="AF178" t="b">
        <v>0</v>
      </c>
      <c r="AG178" t="s">
        <v>76</v>
      </c>
      <c r="AH178" s="1">
        <v>42481</v>
      </c>
      <c r="AI178" s="4">
        <v>5.8722222222222218</v>
      </c>
      <c r="AJ178">
        <v>0</v>
      </c>
      <c r="AK178">
        <v>0</v>
      </c>
      <c r="AL178">
        <v>0</v>
      </c>
      <c r="AM178" t="s">
        <v>326</v>
      </c>
      <c r="AP178" t="s">
        <v>6517</v>
      </c>
      <c r="AQ178" t="s">
        <v>6517</v>
      </c>
      <c r="AR178" t="s">
        <v>6517</v>
      </c>
      <c r="AS178" t="s">
        <v>6517</v>
      </c>
      <c r="AT178" t="s">
        <v>6517</v>
      </c>
      <c r="AU178" t="s">
        <v>6517</v>
      </c>
      <c r="AV178" t="s">
        <v>6517</v>
      </c>
    </row>
    <row r="179" spans="1:48" x14ac:dyDescent="0.3">
      <c r="A179" t="s">
        <v>5632</v>
      </c>
      <c r="B179">
        <f t="shared" si="8"/>
        <v>200177</v>
      </c>
      <c r="C179">
        <v>200106</v>
      </c>
      <c r="D179" t="s">
        <v>8375</v>
      </c>
      <c r="E179" t="s">
        <v>8097</v>
      </c>
      <c r="F179" t="s">
        <v>8553</v>
      </c>
      <c r="G179">
        <v>200177</v>
      </c>
      <c r="H179" t="s">
        <v>8554</v>
      </c>
      <c r="I179" t="s">
        <v>8555</v>
      </c>
      <c r="J179" t="s">
        <v>8615</v>
      </c>
      <c r="K179" t="str">
        <f t="shared" si="9"/>
        <v>9</v>
      </c>
      <c r="L179">
        <f t="shared" si="11"/>
        <v>54</v>
      </c>
      <c r="M179">
        <f t="shared" si="10"/>
        <v>2</v>
      </c>
      <c r="N179">
        <v>1.73</v>
      </c>
      <c r="O179" t="s">
        <v>5403</v>
      </c>
      <c r="P179" t="s">
        <v>6843</v>
      </c>
      <c r="Q179">
        <v>1995</v>
      </c>
      <c r="R179" t="s">
        <v>5648</v>
      </c>
      <c r="S179">
        <v>178</v>
      </c>
      <c r="T179" t="s">
        <v>6670</v>
      </c>
      <c r="U179" s="1" t="s">
        <v>7468</v>
      </c>
      <c r="V179" s="1" t="s">
        <v>7469</v>
      </c>
      <c r="W179" t="b">
        <v>0</v>
      </c>
      <c r="X179" t="s">
        <v>76</v>
      </c>
      <c r="Y179" t="s">
        <v>7686</v>
      </c>
      <c r="Z179" t="s">
        <v>6517</v>
      </c>
      <c r="AA179" t="s">
        <v>6517</v>
      </c>
      <c r="AB179" t="s">
        <v>6517</v>
      </c>
      <c r="AC179" t="s">
        <v>8033</v>
      </c>
      <c r="AD179" t="s">
        <v>7843</v>
      </c>
      <c r="AF179" t="b">
        <v>0</v>
      </c>
      <c r="AG179" t="s">
        <v>76</v>
      </c>
      <c r="AH179" s="1">
        <v>42481</v>
      </c>
      <c r="AI179" s="4">
        <v>1.7277777777777779</v>
      </c>
      <c r="AJ179">
        <v>0</v>
      </c>
      <c r="AK179">
        <v>0</v>
      </c>
      <c r="AL179">
        <v>0</v>
      </c>
      <c r="AM179" t="s">
        <v>326</v>
      </c>
      <c r="AP179" t="s">
        <v>6517</v>
      </c>
      <c r="AQ179" t="s">
        <v>6517</v>
      </c>
      <c r="AR179" t="s">
        <v>6517</v>
      </c>
      <c r="AS179" t="s">
        <v>6517</v>
      </c>
      <c r="AT179" t="s">
        <v>6517</v>
      </c>
      <c r="AU179" t="s">
        <v>6517</v>
      </c>
      <c r="AV179" t="s">
        <v>6517</v>
      </c>
    </row>
    <row r="180" spans="1:48" x14ac:dyDescent="0.3">
      <c r="A180" t="s">
        <v>5632</v>
      </c>
      <c r="B180">
        <f t="shared" si="8"/>
        <v>200178</v>
      </c>
      <c r="C180">
        <v>200107</v>
      </c>
      <c r="D180" t="s">
        <v>8377</v>
      </c>
      <c r="E180" t="s">
        <v>8226</v>
      </c>
      <c r="F180" t="s">
        <v>8369</v>
      </c>
      <c r="G180">
        <v>200178</v>
      </c>
      <c r="H180" t="s">
        <v>8556</v>
      </c>
      <c r="I180" t="s">
        <v>8557</v>
      </c>
      <c r="J180" t="s">
        <v>8614</v>
      </c>
      <c r="K180" t="str">
        <f t="shared" si="9"/>
        <v>1</v>
      </c>
      <c r="L180">
        <f t="shared" si="11"/>
        <v>5</v>
      </c>
      <c r="M180">
        <f t="shared" si="10"/>
        <v>1</v>
      </c>
      <c r="N180">
        <v>16.100000000000001</v>
      </c>
      <c r="O180" t="s">
        <v>5403</v>
      </c>
      <c r="P180" t="s">
        <v>6844</v>
      </c>
      <c r="Q180">
        <v>2002</v>
      </c>
      <c r="R180" t="s">
        <v>5648</v>
      </c>
      <c r="S180">
        <v>179</v>
      </c>
      <c r="T180" t="s">
        <v>6670</v>
      </c>
      <c r="U180" s="1" t="s">
        <v>7470</v>
      </c>
      <c r="V180" s="1" t="s">
        <v>7471</v>
      </c>
      <c r="W180" t="b">
        <v>0</v>
      </c>
      <c r="X180" t="s">
        <v>76</v>
      </c>
      <c r="Y180" t="s">
        <v>7687</v>
      </c>
      <c r="Z180" t="s">
        <v>6517</v>
      </c>
      <c r="AA180" t="s">
        <v>6517</v>
      </c>
      <c r="AB180" t="s">
        <v>6517</v>
      </c>
      <c r="AC180" t="s">
        <v>8034</v>
      </c>
      <c r="AD180" t="s">
        <v>7721</v>
      </c>
      <c r="AF180" t="b">
        <v>0</v>
      </c>
      <c r="AG180" t="s">
        <v>76</v>
      </c>
      <c r="AH180" s="1">
        <v>42481</v>
      </c>
      <c r="AI180" s="4">
        <v>1.5972222222222223</v>
      </c>
      <c r="AJ180">
        <v>0</v>
      </c>
      <c r="AK180">
        <v>43.5</v>
      </c>
      <c r="AL180">
        <v>0</v>
      </c>
      <c r="AM180" t="s">
        <v>326</v>
      </c>
      <c r="AP180" t="s">
        <v>6517</v>
      </c>
      <c r="AQ180" t="s">
        <v>6517</v>
      </c>
      <c r="AR180" t="s">
        <v>6517</v>
      </c>
      <c r="AS180" t="s">
        <v>6517</v>
      </c>
      <c r="AT180" t="s">
        <v>6517</v>
      </c>
      <c r="AU180" t="s">
        <v>6517</v>
      </c>
      <c r="AV180" t="s">
        <v>6517</v>
      </c>
    </row>
    <row r="181" spans="1:48" x14ac:dyDescent="0.3">
      <c r="A181" t="s">
        <v>5632</v>
      </c>
      <c r="B181">
        <f t="shared" si="8"/>
        <v>200179</v>
      </c>
      <c r="C181">
        <v>200108</v>
      </c>
      <c r="D181" t="s">
        <v>8381</v>
      </c>
      <c r="E181" t="s">
        <v>8097</v>
      </c>
      <c r="F181" t="s">
        <v>8477</v>
      </c>
      <c r="G181">
        <v>200179</v>
      </c>
      <c r="H181" t="s">
        <v>8558</v>
      </c>
      <c r="I181" t="s">
        <v>8559</v>
      </c>
      <c r="J181" t="s">
        <v>8615</v>
      </c>
      <c r="K181" t="str">
        <f t="shared" si="9"/>
        <v>9</v>
      </c>
      <c r="L181">
        <f t="shared" si="11"/>
        <v>49</v>
      </c>
      <c r="M181">
        <f t="shared" si="10"/>
        <v>2</v>
      </c>
      <c r="N181">
        <v>8.01</v>
      </c>
      <c r="O181" t="s">
        <v>5403</v>
      </c>
      <c r="P181" t="s">
        <v>6845</v>
      </c>
      <c r="Q181">
        <v>1990</v>
      </c>
      <c r="R181" t="s">
        <v>5648</v>
      </c>
      <c r="S181">
        <v>180</v>
      </c>
      <c r="T181" t="s">
        <v>6670</v>
      </c>
      <c r="U181" s="1" t="s">
        <v>7472</v>
      </c>
      <c r="V181" s="1" t="s">
        <v>7473</v>
      </c>
      <c r="W181" t="b">
        <v>0</v>
      </c>
      <c r="X181" t="s">
        <v>76</v>
      </c>
      <c r="Y181" t="s">
        <v>7688</v>
      </c>
      <c r="Z181" t="s">
        <v>6517</v>
      </c>
      <c r="AA181" t="s">
        <v>6517</v>
      </c>
      <c r="AB181" t="s">
        <v>6517</v>
      </c>
      <c r="AC181" t="s">
        <v>8035</v>
      </c>
      <c r="AD181" t="s">
        <v>7844</v>
      </c>
      <c r="AF181" t="b">
        <v>0</v>
      </c>
      <c r="AG181" t="s">
        <v>76</v>
      </c>
      <c r="AH181" s="1">
        <v>42481</v>
      </c>
      <c r="AI181" s="4">
        <v>5.0111111111111111</v>
      </c>
      <c r="AJ181">
        <v>0</v>
      </c>
      <c r="AK181">
        <v>0</v>
      </c>
      <c r="AL181">
        <v>9</v>
      </c>
      <c r="AM181" t="s">
        <v>326</v>
      </c>
      <c r="AP181" t="s">
        <v>6517</v>
      </c>
      <c r="AQ181" t="s">
        <v>6517</v>
      </c>
      <c r="AR181" t="s">
        <v>6517</v>
      </c>
      <c r="AS181" t="s">
        <v>6517</v>
      </c>
      <c r="AT181" t="s">
        <v>6517</v>
      </c>
      <c r="AU181" t="s">
        <v>6517</v>
      </c>
      <c r="AV181" t="s">
        <v>6517</v>
      </c>
    </row>
    <row r="182" spans="1:48" x14ac:dyDescent="0.3">
      <c r="A182" t="s">
        <v>5632</v>
      </c>
      <c r="B182">
        <f t="shared" si="8"/>
        <v>200180</v>
      </c>
      <c r="C182">
        <v>200108</v>
      </c>
      <c r="D182" t="s">
        <v>8381</v>
      </c>
      <c r="E182" t="s">
        <v>8097</v>
      </c>
      <c r="F182" t="s">
        <v>8560</v>
      </c>
      <c r="G182">
        <v>200180</v>
      </c>
      <c r="H182" t="s">
        <v>8561</v>
      </c>
      <c r="I182" t="s">
        <v>8562</v>
      </c>
      <c r="J182" t="s">
        <v>8615</v>
      </c>
      <c r="K182" t="str">
        <f t="shared" si="9"/>
        <v>9</v>
      </c>
      <c r="L182">
        <f t="shared" si="11"/>
        <v>33</v>
      </c>
      <c r="M182">
        <f t="shared" si="10"/>
        <v>1</v>
      </c>
      <c r="N182">
        <v>23.48</v>
      </c>
      <c r="O182" t="s">
        <v>5403</v>
      </c>
      <c r="P182" t="s">
        <v>6846</v>
      </c>
      <c r="Q182">
        <v>1978</v>
      </c>
      <c r="R182" t="s">
        <v>5648</v>
      </c>
      <c r="S182">
        <v>181</v>
      </c>
      <c r="T182" t="s">
        <v>6670</v>
      </c>
      <c r="U182" s="1" t="s">
        <v>7474</v>
      </c>
      <c r="V182" s="1" t="s">
        <v>7475</v>
      </c>
      <c r="W182" t="b">
        <v>0</v>
      </c>
      <c r="X182" t="s">
        <v>76</v>
      </c>
      <c r="Y182" t="s">
        <v>7689</v>
      </c>
      <c r="Z182" t="s">
        <v>6517</v>
      </c>
      <c r="AA182" t="s">
        <v>6517</v>
      </c>
      <c r="AB182" t="s">
        <v>6517</v>
      </c>
      <c r="AC182" t="s">
        <v>8036</v>
      </c>
      <c r="AD182" t="s">
        <v>7845</v>
      </c>
      <c r="AF182" t="b">
        <v>0</v>
      </c>
      <c r="AG182" t="s">
        <v>76</v>
      </c>
      <c r="AH182" s="1">
        <v>42481</v>
      </c>
      <c r="AI182" s="4">
        <v>7.1472222222222221</v>
      </c>
      <c r="AJ182">
        <v>0</v>
      </c>
      <c r="AK182">
        <v>0</v>
      </c>
      <c r="AL182">
        <v>49</v>
      </c>
      <c r="AM182" t="s">
        <v>326</v>
      </c>
      <c r="AP182" t="s">
        <v>6517</v>
      </c>
      <c r="AQ182" t="s">
        <v>6517</v>
      </c>
      <c r="AR182" t="s">
        <v>6517</v>
      </c>
      <c r="AS182" t="s">
        <v>6517</v>
      </c>
      <c r="AT182" t="s">
        <v>6517</v>
      </c>
      <c r="AU182" t="s">
        <v>6517</v>
      </c>
      <c r="AV182" t="s">
        <v>6517</v>
      </c>
    </row>
    <row r="183" spans="1:48" x14ac:dyDescent="0.3">
      <c r="A183" t="s">
        <v>5632</v>
      </c>
      <c r="B183">
        <f t="shared" si="8"/>
        <v>200181</v>
      </c>
      <c r="C183">
        <v>200109</v>
      </c>
      <c r="D183" t="s">
        <v>8384</v>
      </c>
      <c r="E183" t="s">
        <v>8108</v>
      </c>
      <c r="F183" t="s">
        <v>8145</v>
      </c>
      <c r="G183">
        <v>200181</v>
      </c>
      <c r="H183" t="s">
        <v>8563</v>
      </c>
      <c r="I183" t="s">
        <v>8564</v>
      </c>
      <c r="J183" t="s">
        <v>8614</v>
      </c>
      <c r="K183" t="str">
        <f t="shared" si="9"/>
        <v>1</v>
      </c>
      <c r="L183">
        <f t="shared" si="11"/>
        <v>4</v>
      </c>
      <c r="M183">
        <f t="shared" si="10"/>
        <v>1</v>
      </c>
      <c r="N183">
        <v>20.96</v>
      </c>
      <c r="O183" t="s">
        <v>5403</v>
      </c>
      <c r="P183" t="s">
        <v>6847</v>
      </c>
      <c r="Q183">
        <v>1975</v>
      </c>
      <c r="R183" t="s">
        <v>5648</v>
      </c>
      <c r="S183">
        <v>182</v>
      </c>
      <c r="T183" t="s">
        <v>6670</v>
      </c>
      <c r="U183" s="1" t="s">
        <v>7476</v>
      </c>
      <c r="V183" s="1" t="s">
        <v>7477</v>
      </c>
      <c r="W183" t="b">
        <v>0</v>
      </c>
      <c r="X183" t="s">
        <v>76</v>
      </c>
      <c r="Y183" t="s">
        <v>7690</v>
      </c>
      <c r="Z183" t="s">
        <v>6517</v>
      </c>
      <c r="AA183" t="s">
        <v>6517</v>
      </c>
      <c r="AB183" t="s">
        <v>6517</v>
      </c>
      <c r="AC183" t="s">
        <v>8037</v>
      </c>
      <c r="AD183" t="s">
        <v>7823</v>
      </c>
      <c r="AF183" t="b">
        <v>0</v>
      </c>
      <c r="AG183" t="s">
        <v>76</v>
      </c>
      <c r="AH183" s="1">
        <v>42481</v>
      </c>
      <c r="AI183" s="4">
        <v>7.625</v>
      </c>
      <c r="AJ183">
        <v>0</v>
      </c>
      <c r="AK183">
        <v>0</v>
      </c>
      <c r="AL183">
        <v>40</v>
      </c>
      <c r="AM183" t="s">
        <v>326</v>
      </c>
      <c r="AP183" t="s">
        <v>6517</v>
      </c>
      <c r="AQ183" t="s">
        <v>6517</v>
      </c>
      <c r="AR183" t="s">
        <v>6517</v>
      </c>
      <c r="AS183" t="s">
        <v>6517</v>
      </c>
      <c r="AT183" t="s">
        <v>6517</v>
      </c>
      <c r="AU183" t="s">
        <v>6517</v>
      </c>
      <c r="AV183" t="s">
        <v>6517</v>
      </c>
    </row>
    <row r="184" spans="1:48" x14ac:dyDescent="0.3">
      <c r="A184" t="s">
        <v>5632</v>
      </c>
      <c r="B184">
        <f t="shared" si="8"/>
        <v>200182</v>
      </c>
      <c r="C184">
        <v>200110</v>
      </c>
      <c r="D184" t="s">
        <v>8387</v>
      </c>
      <c r="E184" t="s">
        <v>8123</v>
      </c>
      <c r="F184" t="s">
        <v>8386</v>
      </c>
      <c r="G184">
        <v>200182</v>
      </c>
      <c r="H184" t="s">
        <v>8565</v>
      </c>
      <c r="I184" t="s">
        <v>8566</v>
      </c>
      <c r="J184" t="s">
        <v>8615</v>
      </c>
      <c r="K184" t="str">
        <f t="shared" si="9"/>
        <v>9</v>
      </c>
      <c r="L184">
        <f t="shared" si="11"/>
        <v>4</v>
      </c>
      <c r="M184">
        <f t="shared" si="10"/>
        <v>3</v>
      </c>
      <c r="N184">
        <v>45.17</v>
      </c>
      <c r="O184" t="s">
        <v>5403</v>
      </c>
      <c r="P184" t="s">
        <v>6848</v>
      </c>
      <c r="Q184">
        <v>2012</v>
      </c>
      <c r="R184" t="s">
        <v>5648</v>
      </c>
      <c r="S184">
        <v>183</v>
      </c>
      <c r="T184" t="s">
        <v>6670</v>
      </c>
      <c r="U184" s="1" t="s">
        <v>7478</v>
      </c>
      <c r="V184" s="1" t="s">
        <v>7479</v>
      </c>
      <c r="W184" t="b">
        <v>0</v>
      </c>
      <c r="X184" t="s">
        <v>76</v>
      </c>
      <c r="Y184" t="s">
        <v>7691</v>
      </c>
      <c r="Z184" t="s">
        <v>6517</v>
      </c>
      <c r="AA184" t="s">
        <v>6517</v>
      </c>
      <c r="AB184" t="s">
        <v>6517</v>
      </c>
      <c r="AC184" t="s">
        <v>8038</v>
      </c>
      <c r="AD184" t="s">
        <v>7800</v>
      </c>
      <c r="AF184" t="b">
        <v>0</v>
      </c>
      <c r="AG184" t="s">
        <v>76</v>
      </c>
      <c r="AH184" s="1">
        <v>42481</v>
      </c>
      <c r="AI184" s="4">
        <v>8.5027777777777782</v>
      </c>
      <c r="AJ184">
        <v>0</v>
      </c>
      <c r="AK184">
        <v>0</v>
      </c>
      <c r="AL184">
        <v>110</v>
      </c>
      <c r="AM184" t="s">
        <v>326</v>
      </c>
      <c r="AP184" t="s">
        <v>6517</v>
      </c>
      <c r="AQ184" t="s">
        <v>6517</v>
      </c>
      <c r="AR184" t="s">
        <v>6517</v>
      </c>
      <c r="AS184" t="s">
        <v>6517</v>
      </c>
      <c r="AT184" t="s">
        <v>6517</v>
      </c>
      <c r="AU184" t="s">
        <v>6517</v>
      </c>
      <c r="AV184" t="s">
        <v>6517</v>
      </c>
    </row>
    <row r="185" spans="1:48" x14ac:dyDescent="0.3">
      <c r="A185" t="s">
        <v>5632</v>
      </c>
      <c r="B185">
        <f t="shared" si="8"/>
        <v>200183</v>
      </c>
      <c r="C185">
        <v>200110</v>
      </c>
      <c r="D185" t="s">
        <v>8387</v>
      </c>
      <c r="E185" t="s">
        <v>8123</v>
      </c>
      <c r="F185" t="s">
        <v>8567</v>
      </c>
      <c r="G185">
        <v>200183</v>
      </c>
      <c r="H185" t="s">
        <v>8568</v>
      </c>
      <c r="I185" t="s">
        <v>8569</v>
      </c>
      <c r="J185" t="s">
        <v>8616</v>
      </c>
      <c r="K185" t="str">
        <f t="shared" si="9"/>
        <v>2</v>
      </c>
      <c r="L185">
        <f t="shared" si="11"/>
        <v>3</v>
      </c>
      <c r="M185">
        <f t="shared" si="10"/>
        <v>2</v>
      </c>
      <c r="N185">
        <v>50.7</v>
      </c>
      <c r="O185" t="s">
        <v>5403</v>
      </c>
      <c r="P185" t="s">
        <v>6849</v>
      </c>
      <c r="Q185">
        <v>1977</v>
      </c>
      <c r="R185" t="s">
        <v>5648</v>
      </c>
      <c r="S185">
        <v>184</v>
      </c>
      <c r="T185" t="s">
        <v>6670</v>
      </c>
      <c r="U185" s="1" t="s">
        <v>7480</v>
      </c>
      <c r="V185" s="1" t="s">
        <v>7481</v>
      </c>
      <c r="W185" t="b">
        <v>0</v>
      </c>
      <c r="X185" t="s">
        <v>76</v>
      </c>
      <c r="Y185" t="s">
        <v>7692</v>
      </c>
      <c r="Z185" t="s">
        <v>6517</v>
      </c>
      <c r="AA185" t="s">
        <v>6517</v>
      </c>
      <c r="AB185" t="s">
        <v>6517</v>
      </c>
      <c r="AC185" t="s">
        <v>8039</v>
      </c>
      <c r="AD185" t="s">
        <v>7846</v>
      </c>
      <c r="AF185" t="b">
        <v>0</v>
      </c>
      <c r="AG185" t="s">
        <v>76</v>
      </c>
      <c r="AH185" s="1">
        <v>42481</v>
      </c>
      <c r="AI185" s="4">
        <v>3.7027777777777779</v>
      </c>
      <c r="AJ185">
        <v>0</v>
      </c>
      <c r="AK185">
        <v>0</v>
      </c>
      <c r="AL185">
        <v>141</v>
      </c>
      <c r="AM185" t="s">
        <v>326</v>
      </c>
      <c r="AP185" t="s">
        <v>6517</v>
      </c>
      <c r="AQ185" t="s">
        <v>6517</v>
      </c>
      <c r="AR185" t="s">
        <v>6517</v>
      </c>
      <c r="AS185" t="s">
        <v>6517</v>
      </c>
      <c r="AT185" t="s">
        <v>6517</v>
      </c>
      <c r="AU185" t="s">
        <v>6517</v>
      </c>
      <c r="AV185" t="s">
        <v>6517</v>
      </c>
    </row>
    <row r="186" spans="1:48" x14ac:dyDescent="0.3">
      <c r="A186" t="s">
        <v>5632</v>
      </c>
      <c r="B186">
        <f t="shared" si="8"/>
        <v>200184</v>
      </c>
      <c r="C186">
        <v>200110</v>
      </c>
      <c r="D186" t="s">
        <v>8387</v>
      </c>
      <c r="E186" t="s">
        <v>8123</v>
      </c>
      <c r="F186" t="s">
        <v>8570</v>
      </c>
      <c r="G186">
        <v>200184</v>
      </c>
      <c r="H186" t="s">
        <v>8571</v>
      </c>
      <c r="I186" t="s">
        <v>8572</v>
      </c>
      <c r="J186" t="s">
        <v>8615</v>
      </c>
      <c r="K186" t="str">
        <f t="shared" si="9"/>
        <v>9</v>
      </c>
      <c r="L186">
        <f t="shared" si="11"/>
        <v>8</v>
      </c>
      <c r="M186">
        <f t="shared" si="10"/>
        <v>5</v>
      </c>
      <c r="N186">
        <v>34.28</v>
      </c>
      <c r="O186" t="s">
        <v>5403</v>
      </c>
      <c r="P186" t="s">
        <v>6850</v>
      </c>
      <c r="Q186">
        <v>2004</v>
      </c>
      <c r="R186" t="s">
        <v>5648</v>
      </c>
      <c r="S186">
        <v>185</v>
      </c>
      <c r="T186" t="s">
        <v>6670</v>
      </c>
      <c r="U186" s="1" t="s">
        <v>7482</v>
      </c>
      <c r="V186" s="1" t="s">
        <v>7483</v>
      </c>
      <c r="W186" t="b">
        <v>0</v>
      </c>
      <c r="X186" t="s">
        <v>76</v>
      </c>
      <c r="Y186" t="s">
        <v>7693</v>
      </c>
      <c r="Z186" t="s">
        <v>6517</v>
      </c>
      <c r="AA186" t="s">
        <v>6517</v>
      </c>
      <c r="AB186" t="s">
        <v>6517</v>
      </c>
      <c r="AC186" t="s">
        <v>8040</v>
      </c>
      <c r="AD186" t="s">
        <v>7731</v>
      </c>
      <c r="AF186" t="b">
        <v>0</v>
      </c>
      <c r="AG186" t="s">
        <v>76</v>
      </c>
      <c r="AH186" s="1">
        <v>42481</v>
      </c>
      <c r="AI186" s="4">
        <v>3.1111111111111112</v>
      </c>
      <c r="AJ186">
        <v>0</v>
      </c>
      <c r="AK186">
        <v>0</v>
      </c>
      <c r="AL186">
        <v>93.5</v>
      </c>
      <c r="AM186" t="s">
        <v>326</v>
      </c>
      <c r="AP186" t="s">
        <v>6517</v>
      </c>
      <c r="AQ186" t="s">
        <v>6517</v>
      </c>
      <c r="AR186" t="s">
        <v>6517</v>
      </c>
      <c r="AS186" t="s">
        <v>6517</v>
      </c>
      <c r="AT186" t="s">
        <v>6517</v>
      </c>
      <c r="AU186" t="s">
        <v>6517</v>
      </c>
      <c r="AV186" t="s">
        <v>6517</v>
      </c>
    </row>
    <row r="187" spans="1:48" x14ac:dyDescent="0.3">
      <c r="A187" t="s">
        <v>5632</v>
      </c>
      <c r="B187">
        <f t="shared" si="8"/>
        <v>200185</v>
      </c>
      <c r="C187">
        <v>200110</v>
      </c>
      <c r="D187" t="s">
        <v>8387</v>
      </c>
      <c r="E187" t="s">
        <v>8123</v>
      </c>
      <c r="F187" t="s">
        <v>8573</v>
      </c>
      <c r="G187">
        <v>200185</v>
      </c>
      <c r="H187" t="s">
        <v>8574</v>
      </c>
      <c r="I187" t="s">
        <v>8575</v>
      </c>
      <c r="J187" t="s">
        <v>8615</v>
      </c>
      <c r="K187" t="str">
        <f t="shared" si="9"/>
        <v>9</v>
      </c>
      <c r="L187">
        <f t="shared" si="11"/>
        <v>19</v>
      </c>
      <c r="M187">
        <f t="shared" si="10"/>
        <v>12</v>
      </c>
      <c r="N187">
        <v>12.8</v>
      </c>
      <c r="O187" t="s">
        <v>5403</v>
      </c>
      <c r="P187" t="s">
        <v>6851</v>
      </c>
      <c r="Q187">
        <v>2001</v>
      </c>
      <c r="R187" t="s">
        <v>5648</v>
      </c>
      <c r="S187">
        <v>186</v>
      </c>
      <c r="T187" t="s">
        <v>6670</v>
      </c>
      <c r="U187" s="1" t="s">
        <v>7484</v>
      </c>
      <c r="V187" s="1" t="s">
        <v>7485</v>
      </c>
      <c r="W187" t="b">
        <v>0</v>
      </c>
      <c r="X187" t="s">
        <v>76</v>
      </c>
      <c r="Y187" t="s">
        <v>7694</v>
      </c>
      <c r="Z187" t="s">
        <v>6517</v>
      </c>
      <c r="AA187" t="s">
        <v>6517</v>
      </c>
      <c r="AB187" t="s">
        <v>6517</v>
      </c>
      <c r="AC187" t="s">
        <v>8041</v>
      </c>
      <c r="AD187" t="s">
        <v>7847</v>
      </c>
      <c r="AF187" t="b">
        <v>0</v>
      </c>
      <c r="AG187" t="s">
        <v>76</v>
      </c>
      <c r="AH187" s="1">
        <v>42481</v>
      </c>
      <c r="AI187" s="4">
        <v>12.802777777777777</v>
      </c>
      <c r="AJ187">
        <v>0</v>
      </c>
      <c r="AK187">
        <v>0</v>
      </c>
      <c r="AL187">
        <v>0</v>
      </c>
      <c r="AM187" t="s">
        <v>326</v>
      </c>
      <c r="AP187" t="s">
        <v>6517</v>
      </c>
      <c r="AQ187" t="s">
        <v>6517</v>
      </c>
      <c r="AR187" t="s">
        <v>6517</v>
      </c>
      <c r="AS187" t="s">
        <v>6517</v>
      </c>
      <c r="AT187" t="s">
        <v>6517</v>
      </c>
      <c r="AU187" t="s">
        <v>6517</v>
      </c>
      <c r="AV187" t="s">
        <v>6517</v>
      </c>
    </row>
    <row r="188" spans="1:48" x14ac:dyDescent="0.3">
      <c r="A188" t="s">
        <v>5632</v>
      </c>
      <c r="B188">
        <f t="shared" si="8"/>
        <v>200186</v>
      </c>
      <c r="C188">
        <v>200110</v>
      </c>
      <c r="D188" t="s">
        <v>8387</v>
      </c>
      <c r="E188" t="s">
        <v>8123</v>
      </c>
      <c r="F188" t="s">
        <v>8576</v>
      </c>
      <c r="G188">
        <v>200186</v>
      </c>
      <c r="H188" t="s">
        <v>8577</v>
      </c>
      <c r="I188" t="s">
        <v>8578</v>
      </c>
      <c r="J188" t="s">
        <v>8615</v>
      </c>
      <c r="K188" t="str">
        <f t="shared" si="9"/>
        <v>9</v>
      </c>
      <c r="L188">
        <f t="shared" si="11"/>
        <v>11</v>
      </c>
      <c r="M188">
        <f t="shared" si="10"/>
        <v>7</v>
      </c>
      <c r="N188">
        <v>26.91</v>
      </c>
      <c r="O188" t="s">
        <v>5403</v>
      </c>
      <c r="P188" t="s">
        <v>6852</v>
      </c>
      <c r="Q188">
        <v>1985</v>
      </c>
      <c r="R188" t="s">
        <v>5648</v>
      </c>
      <c r="S188">
        <v>187</v>
      </c>
      <c r="T188" t="s">
        <v>6670</v>
      </c>
      <c r="U188" s="1" t="s">
        <v>7486</v>
      </c>
      <c r="V188" s="1" t="s">
        <v>7487</v>
      </c>
      <c r="W188" t="b">
        <v>0</v>
      </c>
      <c r="X188" t="s">
        <v>76</v>
      </c>
      <c r="Y188" t="s">
        <v>7695</v>
      </c>
      <c r="Z188" t="s">
        <v>6517</v>
      </c>
      <c r="AA188" t="s">
        <v>6517</v>
      </c>
      <c r="AB188" t="s">
        <v>6517</v>
      </c>
      <c r="AC188" t="s">
        <v>8042</v>
      </c>
      <c r="AD188" t="s">
        <v>7848</v>
      </c>
      <c r="AF188" t="b">
        <v>0</v>
      </c>
      <c r="AG188" t="s">
        <v>76</v>
      </c>
      <c r="AH188" s="1">
        <v>42481</v>
      </c>
      <c r="AI188" s="4">
        <v>6.2416666666666663</v>
      </c>
      <c r="AJ188">
        <v>62</v>
      </c>
      <c r="AK188">
        <v>0</v>
      </c>
      <c r="AL188">
        <v>0</v>
      </c>
      <c r="AM188" t="s">
        <v>326</v>
      </c>
      <c r="AP188" t="s">
        <v>6517</v>
      </c>
      <c r="AQ188" t="s">
        <v>6517</v>
      </c>
      <c r="AR188" t="s">
        <v>6517</v>
      </c>
      <c r="AS188" t="s">
        <v>6517</v>
      </c>
      <c r="AT188" t="s">
        <v>6517</v>
      </c>
      <c r="AU188" t="s">
        <v>6517</v>
      </c>
      <c r="AV188" t="s">
        <v>6517</v>
      </c>
    </row>
    <row r="189" spans="1:48" x14ac:dyDescent="0.3">
      <c r="A189" t="s">
        <v>5632</v>
      </c>
      <c r="B189">
        <f t="shared" si="8"/>
        <v>200187</v>
      </c>
      <c r="C189">
        <v>200110</v>
      </c>
      <c r="D189" t="s">
        <v>8387</v>
      </c>
      <c r="E189" t="s">
        <v>8123</v>
      </c>
      <c r="F189" t="s">
        <v>8579</v>
      </c>
      <c r="G189">
        <v>200187</v>
      </c>
      <c r="H189" t="s">
        <v>8580</v>
      </c>
      <c r="I189" t="s">
        <v>8581</v>
      </c>
      <c r="J189" t="s">
        <v>8615</v>
      </c>
      <c r="K189" t="str">
        <f t="shared" si="9"/>
        <v>9</v>
      </c>
      <c r="L189">
        <f t="shared" si="11"/>
        <v>20</v>
      </c>
      <c r="M189">
        <f t="shared" si="10"/>
        <v>13</v>
      </c>
      <c r="N189">
        <v>9.59</v>
      </c>
      <c r="O189" t="s">
        <v>5403</v>
      </c>
      <c r="P189" t="s">
        <v>6853</v>
      </c>
      <c r="Q189">
        <v>1975</v>
      </c>
      <c r="R189" t="s">
        <v>5648</v>
      </c>
      <c r="S189">
        <v>188</v>
      </c>
      <c r="T189" t="s">
        <v>6670</v>
      </c>
      <c r="U189" s="1" t="s">
        <v>7488</v>
      </c>
      <c r="V189" s="1" t="s">
        <v>7489</v>
      </c>
      <c r="W189" t="b">
        <v>0</v>
      </c>
      <c r="X189" t="s">
        <v>76</v>
      </c>
      <c r="Y189" t="s">
        <v>7696</v>
      </c>
      <c r="Z189" t="s">
        <v>6517</v>
      </c>
      <c r="AA189" t="s">
        <v>6517</v>
      </c>
      <c r="AB189" t="s">
        <v>6517</v>
      </c>
      <c r="AC189" t="s">
        <v>8043</v>
      </c>
      <c r="AD189" t="s">
        <v>7771</v>
      </c>
      <c r="AF189" t="b">
        <v>0</v>
      </c>
      <c r="AG189" t="s">
        <v>76</v>
      </c>
      <c r="AH189" s="1">
        <v>42481</v>
      </c>
      <c r="AI189" s="4">
        <v>6.4194444444444443</v>
      </c>
      <c r="AJ189">
        <v>9.5</v>
      </c>
      <c r="AK189">
        <v>0</v>
      </c>
      <c r="AL189">
        <v>0</v>
      </c>
      <c r="AM189" t="s">
        <v>326</v>
      </c>
      <c r="AP189" t="s">
        <v>6517</v>
      </c>
      <c r="AQ189" t="s">
        <v>6517</v>
      </c>
      <c r="AR189" t="s">
        <v>6517</v>
      </c>
      <c r="AS189" t="s">
        <v>6517</v>
      </c>
      <c r="AT189" t="s">
        <v>6517</v>
      </c>
      <c r="AU189" t="s">
        <v>6517</v>
      </c>
      <c r="AV189" t="s">
        <v>6517</v>
      </c>
    </row>
    <row r="190" spans="1:48" x14ac:dyDescent="0.3">
      <c r="A190" t="s">
        <v>5632</v>
      </c>
      <c r="B190">
        <f t="shared" si="8"/>
        <v>200188</v>
      </c>
      <c r="C190">
        <v>200110</v>
      </c>
      <c r="D190" t="s">
        <v>8387</v>
      </c>
      <c r="E190" t="s">
        <v>8123</v>
      </c>
      <c r="F190" t="s">
        <v>8128</v>
      </c>
      <c r="G190">
        <v>200188</v>
      </c>
      <c r="H190" t="s">
        <v>8582</v>
      </c>
      <c r="I190" t="s">
        <v>8583</v>
      </c>
      <c r="J190" t="s">
        <v>8615</v>
      </c>
      <c r="K190" t="str">
        <f t="shared" si="9"/>
        <v>9</v>
      </c>
      <c r="L190">
        <f t="shared" si="11"/>
        <v>24</v>
      </c>
      <c r="M190">
        <f t="shared" si="10"/>
        <v>16</v>
      </c>
      <c r="N190">
        <v>3.86</v>
      </c>
      <c r="O190" t="s">
        <v>5403</v>
      </c>
      <c r="P190" t="s">
        <v>6854</v>
      </c>
      <c r="Q190">
        <v>1997</v>
      </c>
      <c r="R190" t="s">
        <v>5648</v>
      </c>
      <c r="S190">
        <v>189</v>
      </c>
      <c r="T190" t="s">
        <v>6670</v>
      </c>
      <c r="U190" s="1" t="s">
        <v>7490</v>
      </c>
      <c r="V190" s="1" t="s">
        <v>7491</v>
      </c>
      <c r="W190" t="b">
        <v>0</v>
      </c>
      <c r="X190" t="s">
        <v>76</v>
      </c>
      <c r="Y190" t="s">
        <v>7697</v>
      </c>
      <c r="Z190" t="s">
        <v>6517</v>
      </c>
      <c r="AA190" t="s">
        <v>6517</v>
      </c>
      <c r="AB190" t="s">
        <v>6517</v>
      </c>
      <c r="AC190" t="s">
        <v>8044</v>
      </c>
      <c r="AD190" t="s">
        <v>7849</v>
      </c>
      <c r="AF190" t="b">
        <v>0</v>
      </c>
      <c r="AG190" t="s">
        <v>76</v>
      </c>
      <c r="AH190" s="1">
        <v>42481</v>
      </c>
      <c r="AI190" s="4">
        <v>1.8638888888888889</v>
      </c>
      <c r="AJ190">
        <v>6</v>
      </c>
      <c r="AK190">
        <v>0</v>
      </c>
      <c r="AL190">
        <v>0</v>
      </c>
      <c r="AM190" t="s">
        <v>326</v>
      </c>
      <c r="AP190" t="s">
        <v>6517</v>
      </c>
      <c r="AQ190" t="s">
        <v>6517</v>
      </c>
      <c r="AR190" t="s">
        <v>6517</v>
      </c>
      <c r="AS190" t="s">
        <v>6517</v>
      </c>
      <c r="AT190" t="s">
        <v>6517</v>
      </c>
      <c r="AU190" t="s">
        <v>6517</v>
      </c>
      <c r="AV190" t="s">
        <v>6517</v>
      </c>
    </row>
    <row r="191" spans="1:48" x14ac:dyDescent="0.3">
      <c r="A191" t="s">
        <v>5632</v>
      </c>
      <c r="B191">
        <f t="shared" si="8"/>
        <v>200189</v>
      </c>
      <c r="C191">
        <v>200110</v>
      </c>
      <c r="D191" t="s">
        <v>8387</v>
      </c>
      <c r="E191" t="s">
        <v>8123</v>
      </c>
      <c r="F191" t="s">
        <v>8290</v>
      </c>
      <c r="G191">
        <v>200189</v>
      </c>
      <c r="H191" t="s">
        <v>8584</v>
      </c>
      <c r="I191" t="s">
        <v>8585</v>
      </c>
      <c r="J191" t="s">
        <v>8614</v>
      </c>
      <c r="K191" t="str">
        <f t="shared" si="9"/>
        <v>1</v>
      </c>
      <c r="L191">
        <f t="shared" si="11"/>
        <v>1</v>
      </c>
      <c r="M191">
        <f t="shared" si="10"/>
        <v>1</v>
      </c>
      <c r="N191">
        <v>362.53</v>
      </c>
      <c r="O191" t="s">
        <v>5403</v>
      </c>
      <c r="P191" t="s">
        <v>6855</v>
      </c>
      <c r="Q191">
        <v>2017</v>
      </c>
      <c r="R191" t="s">
        <v>5648</v>
      </c>
      <c r="S191">
        <v>190</v>
      </c>
      <c r="T191" t="s">
        <v>6670</v>
      </c>
      <c r="U191" s="1" t="s">
        <v>7492</v>
      </c>
      <c r="V191" s="1" t="s">
        <v>7493</v>
      </c>
      <c r="W191" t="b">
        <v>0</v>
      </c>
      <c r="X191" t="s">
        <v>76</v>
      </c>
      <c r="Y191" t="s">
        <v>7698</v>
      </c>
      <c r="Z191" t="s">
        <v>6517</v>
      </c>
      <c r="AA191" t="s">
        <v>6517</v>
      </c>
      <c r="AB191" t="s">
        <v>6517</v>
      </c>
      <c r="AC191" t="s">
        <v>8045</v>
      </c>
      <c r="AD191" t="s">
        <v>7841</v>
      </c>
      <c r="AF191" t="b">
        <v>0</v>
      </c>
      <c r="AG191" t="s">
        <v>76</v>
      </c>
      <c r="AH191" s="1">
        <v>42481</v>
      </c>
      <c r="AI191" s="4">
        <v>13.533333333333333</v>
      </c>
      <c r="AJ191">
        <v>282</v>
      </c>
      <c r="AK191">
        <v>363.5</v>
      </c>
      <c r="AL191">
        <v>401.5</v>
      </c>
      <c r="AM191" t="s">
        <v>326</v>
      </c>
      <c r="AP191" t="s">
        <v>6517</v>
      </c>
      <c r="AQ191" t="s">
        <v>6517</v>
      </c>
      <c r="AR191" t="s">
        <v>6517</v>
      </c>
      <c r="AS191" t="s">
        <v>6517</v>
      </c>
      <c r="AT191" t="s">
        <v>6517</v>
      </c>
      <c r="AU191" t="s">
        <v>6517</v>
      </c>
      <c r="AV191" t="s">
        <v>6517</v>
      </c>
    </row>
    <row r="192" spans="1:48" x14ac:dyDescent="0.3">
      <c r="A192" t="s">
        <v>5632</v>
      </c>
      <c r="B192">
        <f t="shared" si="8"/>
        <v>200190</v>
      </c>
      <c r="C192">
        <v>200110</v>
      </c>
      <c r="D192" t="s">
        <v>8387</v>
      </c>
      <c r="E192" t="s">
        <v>8123</v>
      </c>
      <c r="F192" t="s">
        <v>8143</v>
      </c>
      <c r="G192">
        <v>200190</v>
      </c>
      <c r="H192" t="s">
        <v>8586</v>
      </c>
      <c r="I192" t="s">
        <v>8587</v>
      </c>
      <c r="J192" t="s">
        <v>8615</v>
      </c>
      <c r="K192" t="str">
        <f t="shared" si="9"/>
        <v>9</v>
      </c>
      <c r="L192">
        <f t="shared" si="11"/>
        <v>17</v>
      </c>
      <c r="M192">
        <f t="shared" si="10"/>
        <v>10</v>
      </c>
      <c r="N192">
        <v>15.28</v>
      </c>
      <c r="O192" t="s">
        <v>5403</v>
      </c>
      <c r="P192" t="s">
        <v>6856</v>
      </c>
      <c r="Q192">
        <v>1973</v>
      </c>
      <c r="R192" t="s">
        <v>5648</v>
      </c>
      <c r="S192">
        <v>191</v>
      </c>
      <c r="T192" t="s">
        <v>6670</v>
      </c>
      <c r="U192" s="1" t="s">
        <v>7494</v>
      </c>
      <c r="V192" s="1" t="s">
        <v>7135</v>
      </c>
      <c r="W192" t="b">
        <v>0</v>
      </c>
      <c r="X192" t="s">
        <v>76</v>
      </c>
      <c r="Y192" t="s">
        <v>7699</v>
      </c>
      <c r="Z192" t="s">
        <v>6517</v>
      </c>
      <c r="AA192" t="s">
        <v>6517</v>
      </c>
      <c r="AB192" t="s">
        <v>6517</v>
      </c>
      <c r="AC192" t="s">
        <v>8046</v>
      </c>
      <c r="AD192" t="s">
        <v>7811</v>
      </c>
      <c r="AF192" t="b">
        <v>0</v>
      </c>
      <c r="AG192" t="s">
        <v>76</v>
      </c>
      <c r="AH192" s="1">
        <v>42481</v>
      </c>
      <c r="AI192" s="4">
        <v>11.108333333333333</v>
      </c>
      <c r="AJ192">
        <v>12.5</v>
      </c>
      <c r="AK192">
        <v>0</v>
      </c>
      <c r="AL192">
        <v>0</v>
      </c>
      <c r="AM192" t="s">
        <v>326</v>
      </c>
      <c r="AP192" t="s">
        <v>6517</v>
      </c>
      <c r="AQ192" t="s">
        <v>6517</v>
      </c>
      <c r="AR192" t="s">
        <v>6517</v>
      </c>
      <c r="AS192" t="s">
        <v>6517</v>
      </c>
      <c r="AT192" t="s">
        <v>6517</v>
      </c>
      <c r="AU192" t="s">
        <v>6517</v>
      </c>
      <c r="AV192" t="s">
        <v>6517</v>
      </c>
    </row>
    <row r="193" spans="1:48" x14ac:dyDescent="0.3">
      <c r="A193" t="s">
        <v>5632</v>
      </c>
      <c r="B193">
        <f t="shared" si="8"/>
        <v>200191</v>
      </c>
      <c r="C193">
        <v>200110</v>
      </c>
      <c r="D193" t="s">
        <v>8387</v>
      </c>
      <c r="E193" t="s">
        <v>8123</v>
      </c>
      <c r="F193" t="s">
        <v>8145</v>
      </c>
      <c r="G193">
        <v>200191</v>
      </c>
      <c r="H193" t="s">
        <v>8588</v>
      </c>
      <c r="I193" t="s">
        <v>8589</v>
      </c>
      <c r="J193" t="s">
        <v>8615</v>
      </c>
      <c r="K193" t="str">
        <f t="shared" si="9"/>
        <v>9</v>
      </c>
      <c r="L193">
        <f t="shared" si="11"/>
        <v>15</v>
      </c>
      <c r="M193">
        <f t="shared" si="10"/>
        <v>8</v>
      </c>
      <c r="N193">
        <v>18.23</v>
      </c>
      <c r="O193" t="s">
        <v>5403</v>
      </c>
      <c r="P193" t="s">
        <v>6857</v>
      </c>
      <c r="Q193">
        <v>1978</v>
      </c>
      <c r="R193" t="s">
        <v>5648</v>
      </c>
      <c r="S193">
        <v>192</v>
      </c>
      <c r="T193" t="s">
        <v>6670</v>
      </c>
      <c r="U193" s="1" t="s">
        <v>7495</v>
      </c>
      <c r="V193" s="1" t="s">
        <v>7496</v>
      </c>
      <c r="W193" t="b">
        <v>0</v>
      </c>
      <c r="X193" t="s">
        <v>76</v>
      </c>
      <c r="Y193" t="s">
        <v>7700</v>
      </c>
      <c r="Z193" t="s">
        <v>6517</v>
      </c>
      <c r="AA193" t="s">
        <v>6517</v>
      </c>
      <c r="AB193" t="s">
        <v>6517</v>
      </c>
      <c r="AC193" t="s">
        <v>8047</v>
      </c>
      <c r="AD193" t="s">
        <v>7850</v>
      </c>
      <c r="AF193" t="b">
        <v>0</v>
      </c>
      <c r="AG193" t="s">
        <v>76</v>
      </c>
      <c r="AH193" s="1">
        <v>42481</v>
      </c>
      <c r="AI193" s="4">
        <v>13.397222222222222</v>
      </c>
      <c r="AJ193">
        <v>14.5</v>
      </c>
      <c r="AK193">
        <v>0</v>
      </c>
      <c r="AL193">
        <v>0</v>
      </c>
      <c r="AM193" t="s">
        <v>326</v>
      </c>
      <c r="AP193" t="s">
        <v>6517</v>
      </c>
      <c r="AQ193" t="s">
        <v>6517</v>
      </c>
      <c r="AR193" t="s">
        <v>6517</v>
      </c>
      <c r="AS193" t="s">
        <v>6517</v>
      </c>
      <c r="AT193" t="s">
        <v>6517</v>
      </c>
      <c r="AU193" t="s">
        <v>6517</v>
      </c>
      <c r="AV193" t="s">
        <v>6517</v>
      </c>
    </row>
    <row r="194" spans="1:48" x14ac:dyDescent="0.3">
      <c r="A194" t="s">
        <v>5632</v>
      </c>
      <c r="B194">
        <f t="shared" si="8"/>
        <v>200192</v>
      </c>
      <c r="C194">
        <v>200110</v>
      </c>
      <c r="D194" t="s">
        <v>8387</v>
      </c>
      <c r="E194" t="s">
        <v>8123</v>
      </c>
      <c r="F194" t="s">
        <v>8114</v>
      </c>
      <c r="G194">
        <v>200192</v>
      </c>
      <c r="H194" t="s">
        <v>8590</v>
      </c>
      <c r="I194" t="s">
        <v>8591</v>
      </c>
      <c r="J194" t="s">
        <v>8615</v>
      </c>
      <c r="K194" t="str">
        <f t="shared" si="9"/>
        <v>9</v>
      </c>
      <c r="L194">
        <f t="shared" si="11"/>
        <v>16</v>
      </c>
      <c r="M194">
        <f t="shared" si="10"/>
        <v>9</v>
      </c>
      <c r="N194">
        <v>17.03</v>
      </c>
      <c r="O194" t="s">
        <v>5403</v>
      </c>
      <c r="P194" t="s">
        <v>6858</v>
      </c>
      <c r="Q194">
        <v>1999</v>
      </c>
      <c r="R194" t="s">
        <v>5648</v>
      </c>
      <c r="S194">
        <v>193</v>
      </c>
      <c r="T194" t="s">
        <v>6670</v>
      </c>
      <c r="U194" s="1" t="s">
        <v>7497</v>
      </c>
      <c r="V194" s="1" t="s">
        <v>7498</v>
      </c>
      <c r="W194" t="b">
        <v>0</v>
      </c>
      <c r="X194" t="s">
        <v>76</v>
      </c>
      <c r="Y194" t="s">
        <v>7701</v>
      </c>
      <c r="Z194" t="s">
        <v>6517</v>
      </c>
      <c r="AA194" t="s">
        <v>6517</v>
      </c>
      <c r="AB194" t="s">
        <v>6517</v>
      </c>
      <c r="AC194" t="s">
        <v>8048</v>
      </c>
      <c r="AD194" t="s">
        <v>7851</v>
      </c>
      <c r="AF194" t="b">
        <v>0</v>
      </c>
      <c r="AG194" t="s">
        <v>76</v>
      </c>
      <c r="AH194" s="1">
        <v>42481</v>
      </c>
      <c r="AI194" s="4">
        <v>12.361111111111111</v>
      </c>
      <c r="AJ194">
        <v>14</v>
      </c>
      <c r="AK194">
        <v>0</v>
      </c>
      <c r="AL194">
        <v>0</v>
      </c>
      <c r="AM194" t="s">
        <v>326</v>
      </c>
      <c r="AP194" t="s">
        <v>6517</v>
      </c>
      <c r="AQ194" t="s">
        <v>6517</v>
      </c>
      <c r="AR194" t="s">
        <v>6517</v>
      </c>
      <c r="AS194" t="s">
        <v>6517</v>
      </c>
      <c r="AT194" t="s">
        <v>6517</v>
      </c>
      <c r="AU194" t="s">
        <v>6517</v>
      </c>
      <c r="AV194" t="s">
        <v>6517</v>
      </c>
    </row>
    <row r="195" spans="1:48" x14ac:dyDescent="0.3">
      <c r="A195" t="s">
        <v>5632</v>
      </c>
      <c r="B195">
        <f t="shared" ref="B195:B204" si="12">IF(ISNUMBER(B194),B194+1,200000)</f>
        <v>200193</v>
      </c>
      <c r="C195">
        <v>200110</v>
      </c>
      <c r="D195" t="s">
        <v>8387</v>
      </c>
      <c r="E195" t="s">
        <v>8123</v>
      </c>
      <c r="F195" t="s">
        <v>8592</v>
      </c>
      <c r="G195">
        <v>200193</v>
      </c>
      <c r="H195" t="s">
        <v>8593</v>
      </c>
      <c r="I195" t="s">
        <v>8594</v>
      </c>
      <c r="J195" t="s">
        <v>8615</v>
      </c>
      <c r="K195" t="str">
        <f t="shared" ref="K195:K204" si="13">IF(AND(L195*M195&lt;=10+COUNTIFS(L:L,"&lt;=10",M:M,2,C:C,C195),M195=1),"1",IF(OR(AND(L195*M195&lt;=20,L195*M195&gt;=11,M195=1),AND(L195*M195&gt;=4,L195*M195&lt;=40,M195=2)),"2","9"))</f>
        <v>9</v>
      </c>
      <c r="L195">
        <f t="shared" ref="L195:L204" si="14">1+SUMPRODUCT((R:R=R195)*(N:N&gt;N195)*(E:E=E195))</f>
        <v>7</v>
      </c>
      <c r="M195">
        <f t="shared" ref="M195:M204" si="15">1+SUMPRODUCT((R:R=R195)*(N:N&gt;N195)*(C:C=C195))</f>
        <v>4</v>
      </c>
      <c r="N195">
        <v>36.08</v>
      </c>
      <c r="O195" t="s">
        <v>5403</v>
      </c>
      <c r="P195" t="s">
        <v>6859</v>
      </c>
      <c r="Q195">
        <v>1997</v>
      </c>
      <c r="R195" t="s">
        <v>5648</v>
      </c>
      <c r="S195">
        <v>194</v>
      </c>
      <c r="T195" t="s">
        <v>6670</v>
      </c>
      <c r="U195" s="1" t="s">
        <v>7499</v>
      </c>
      <c r="V195" s="1" t="s">
        <v>7500</v>
      </c>
      <c r="W195" t="b">
        <v>0</v>
      </c>
      <c r="X195" t="s">
        <v>76</v>
      </c>
      <c r="Y195" t="s">
        <v>7702</v>
      </c>
      <c r="Z195" t="s">
        <v>6517</v>
      </c>
      <c r="AA195" t="s">
        <v>6517</v>
      </c>
      <c r="AB195" t="s">
        <v>6517</v>
      </c>
      <c r="AC195" t="s">
        <v>8049</v>
      </c>
      <c r="AD195" t="s">
        <v>7852</v>
      </c>
      <c r="AF195" t="b">
        <v>0</v>
      </c>
      <c r="AG195" t="s">
        <v>76</v>
      </c>
      <c r="AH195" s="1">
        <v>42481</v>
      </c>
      <c r="AI195" s="4">
        <v>8.9083333333333332</v>
      </c>
      <c r="AJ195">
        <v>0</v>
      </c>
      <c r="AK195">
        <v>81.5</v>
      </c>
      <c r="AL195">
        <v>0</v>
      </c>
      <c r="AM195" t="s">
        <v>326</v>
      </c>
      <c r="AP195" t="s">
        <v>6517</v>
      </c>
      <c r="AQ195" t="s">
        <v>6517</v>
      </c>
      <c r="AR195" t="s">
        <v>6517</v>
      </c>
      <c r="AS195" t="s">
        <v>6517</v>
      </c>
      <c r="AT195" t="s">
        <v>6517</v>
      </c>
      <c r="AU195" t="s">
        <v>6517</v>
      </c>
      <c r="AV195" t="s">
        <v>6517</v>
      </c>
    </row>
    <row r="196" spans="1:48" x14ac:dyDescent="0.3">
      <c r="A196" t="s">
        <v>5632</v>
      </c>
      <c r="B196">
        <f t="shared" si="12"/>
        <v>200194</v>
      </c>
      <c r="C196">
        <v>200110</v>
      </c>
      <c r="D196" t="s">
        <v>8387</v>
      </c>
      <c r="E196" t="s">
        <v>8123</v>
      </c>
      <c r="F196" t="s">
        <v>8560</v>
      </c>
      <c r="G196">
        <v>200194</v>
      </c>
      <c r="H196" t="s">
        <v>8595</v>
      </c>
      <c r="I196" t="s">
        <v>8596</v>
      </c>
      <c r="J196" t="s">
        <v>8615</v>
      </c>
      <c r="K196" t="str">
        <f t="shared" si="13"/>
        <v>9</v>
      </c>
      <c r="L196">
        <f t="shared" si="14"/>
        <v>23</v>
      </c>
      <c r="M196">
        <f t="shared" si="15"/>
        <v>15</v>
      </c>
      <c r="N196">
        <v>5.75</v>
      </c>
      <c r="O196" t="s">
        <v>5403</v>
      </c>
      <c r="P196" t="s">
        <v>6860</v>
      </c>
      <c r="Q196">
        <v>1997</v>
      </c>
      <c r="R196" t="s">
        <v>5648</v>
      </c>
      <c r="S196">
        <v>195</v>
      </c>
      <c r="T196" t="s">
        <v>6670</v>
      </c>
      <c r="U196" s="1" t="s">
        <v>7501</v>
      </c>
      <c r="V196" s="1" t="s">
        <v>7502</v>
      </c>
      <c r="W196" t="b">
        <v>0</v>
      </c>
      <c r="X196" t="s">
        <v>76</v>
      </c>
      <c r="Y196" t="s">
        <v>7703</v>
      </c>
      <c r="Z196" t="s">
        <v>6517</v>
      </c>
      <c r="AA196" t="s">
        <v>6517</v>
      </c>
      <c r="AB196" t="s">
        <v>6517</v>
      </c>
      <c r="AC196" t="s">
        <v>8050</v>
      </c>
      <c r="AD196" t="s">
        <v>7853</v>
      </c>
      <c r="AF196" t="b">
        <v>0</v>
      </c>
      <c r="AG196" t="s">
        <v>76</v>
      </c>
      <c r="AH196" s="1">
        <v>42481</v>
      </c>
      <c r="AI196" s="4">
        <v>5.7472222222222218</v>
      </c>
      <c r="AJ196">
        <v>0</v>
      </c>
      <c r="AK196">
        <v>0</v>
      </c>
      <c r="AL196">
        <v>0</v>
      </c>
      <c r="AM196" t="s">
        <v>326</v>
      </c>
      <c r="AP196" t="s">
        <v>6517</v>
      </c>
      <c r="AQ196" t="s">
        <v>6517</v>
      </c>
      <c r="AR196" t="s">
        <v>6517</v>
      </c>
      <c r="AS196" t="s">
        <v>6517</v>
      </c>
      <c r="AT196" t="s">
        <v>6517</v>
      </c>
      <c r="AU196" t="s">
        <v>6517</v>
      </c>
      <c r="AV196" t="s">
        <v>6517</v>
      </c>
    </row>
    <row r="197" spans="1:48" x14ac:dyDescent="0.3">
      <c r="A197" t="s">
        <v>5632</v>
      </c>
      <c r="B197">
        <f t="shared" si="12"/>
        <v>200195</v>
      </c>
      <c r="C197">
        <v>200110</v>
      </c>
      <c r="D197" t="s">
        <v>8387</v>
      </c>
      <c r="E197" t="s">
        <v>8123</v>
      </c>
      <c r="F197" t="s">
        <v>8597</v>
      </c>
      <c r="G197">
        <v>200195</v>
      </c>
      <c r="H197" t="s">
        <v>8598</v>
      </c>
      <c r="I197" t="s">
        <v>8599</v>
      </c>
      <c r="J197" t="s">
        <v>8615</v>
      </c>
      <c r="K197" t="str">
        <f t="shared" si="13"/>
        <v>9</v>
      </c>
      <c r="L197">
        <f t="shared" si="14"/>
        <v>10</v>
      </c>
      <c r="M197">
        <f t="shared" si="15"/>
        <v>6</v>
      </c>
      <c r="N197">
        <v>28.41</v>
      </c>
      <c r="O197" t="s">
        <v>5403</v>
      </c>
      <c r="P197" t="s">
        <v>6861</v>
      </c>
      <c r="Q197">
        <v>1994</v>
      </c>
      <c r="R197" t="s">
        <v>5648</v>
      </c>
      <c r="S197">
        <v>196</v>
      </c>
      <c r="T197" t="s">
        <v>6670</v>
      </c>
      <c r="U197" s="1" t="s">
        <v>7503</v>
      </c>
      <c r="V197" s="1" t="s">
        <v>7504</v>
      </c>
      <c r="W197" t="b">
        <v>0</v>
      </c>
      <c r="X197" t="s">
        <v>76</v>
      </c>
      <c r="Y197" t="s">
        <v>7704</v>
      </c>
      <c r="Z197" t="s">
        <v>6517</v>
      </c>
      <c r="AA197" t="s">
        <v>6517</v>
      </c>
      <c r="AB197" t="s">
        <v>6517</v>
      </c>
      <c r="AC197" t="s">
        <v>8051</v>
      </c>
      <c r="AD197" t="s">
        <v>7841</v>
      </c>
      <c r="AF197" t="b">
        <v>0</v>
      </c>
      <c r="AG197" t="s">
        <v>76</v>
      </c>
      <c r="AH197" s="1">
        <v>42481</v>
      </c>
      <c r="AI197" s="4">
        <v>10.580555555555556</v>
      </c>
      <c r="AJ197">
        <v>53.5</v>
      </c>
      <c r="AK197">
        <v>0</v>
      </c>
      <c r="AL197">
        <v>0</v>
      </c>
      <c r="AM197" t="s">
        <v>326</v>
      </c>
      <c r="AP197" t="s">
        <v>6517</v>
      </c>
      <c r="AQ197" t="s">
        <v>6517</v>
      </c>
      <c r="AR197" t="s">
        <v>6517</v>
      </c>
      <c r="AS197" t="s">
        <v>6517</v>
      </c>
      <c r="AT197" t="s">
        <v>6517</v>
      </c>
      <c r="AU197" t="s">
        <v>6517</v>
      </c>
      <c r="AV197" t="s">
        <v>6517</v>
      </c>
    </row>
    <row r="198" spans="1:48" x14ac:dyDescent="0.3">
      <c r="A198" t="s">
        <v>5632</v>
      </c>
      <c r="B198">
        <f t="shared" si="12"/>
        <v>200196</v>
      </c>
      <c r="C198">
        <v>200110</v>
      </c>
      <c r="D198" t="s">
        <v>8387</v>
      </c>
      <c r="E198" t="s">
        <v>8123</v>
      </c>
      <c r="F198" t="s">
        <v>8194</v>
      </c>
      <c r="G198">
        <v>200196</v>
      </c>
      <c r="H198" t="s">
        <v>8600</v>
      </c>
      <c r="I198" t="s">
        <v>8601</v>
      </c>
      <c r="J198" t="s">
        <v>8615</v>
      </c>
      <c r="K198" t="str">
        <f t="shared" si="13"/>
        <v>9</v>
      </c>
      <c r="L198">
        <f t="shared" si="14"/>
        <v>21</v>
      </c>
      <c r="M198">
        <f t="shared" si="15"/>
        <v>14</v>
      </c>
      <c r="N198">
        <v>8.94</v>
      </c>
      <c r="O198" t="s">
        <v>5403</v>
      </c>
      <c r="P198" t="s">
        <v>6862</v>
      </c>
      <c r="Q198">
        <v>1994</v>
      </c>
      <c r="R198" t="s">
        <v>5648</v>
      </c>
      <c r="S198">
        <v>197</v>
      </c>
      <c r="T198" t="s">
        <v>6670</v>
      </c>
      <c r="U198" s="1" t="s">
        <v>7505</v>
      </c>
      <c r="V198" s="1" t="s">
        <v>7506</v>
      </c>
      <c r="W198" t="b">
        <v>0</v>
      </c>
      <c r="X198" t="s">
        <v>76</v>
      </c>
      <c r="Y198" t="s">
        <v>7705</v>
      </c>
      <c r="Z198" t="s">
        <v>6517</v>
      </c>
      <c r="AA198" t="s">
        <v>6517</v>
      </c>
      <c r="AB198" t="s">
        <v>6517</v>
      </c>
      <c r="AC198" t="s">
        <v>8052</v>
      </c>
      <c r="AD198" t="s">
        <v>7854</v>
      </c>
      <c r="AF198" t="b">
        <v>0</v>
      </c>
      <c r="AG198" t="s">
        <v>76</v>
      </c>
      <c r="AH198" s="1">
        <v>42481</v>
      </c>
      <c r="AI198" s="4">
        <v>7.4444444444444446</v>
      </c>
      <c r="AJ198">
        <v>0</v>
      </c>
      <c r="AK198">
        <v>4.5</v>
      </c>
      <c r="AL198">
        <v>0</v>
      </c>
      <c r="AM198" t="s">
        <v>326</v>
      </c>
      <c r="AP198" t="s">
        <v>6517</v>
      </c>
      <c r="AQ198" t="s">
        <v>6517</v>
      </c>
      <c r="AR198" t="s">
        <v>6517</v>
      </c>
      <c r="AS198" t="s">
        <v>6517</v>
      </c>
      <c r="AT198" t="s">
        <v>6517</v>
      </c>
      <c r="AU198" t="s">
        <v>6517</v>
      </c>
      <c r="AV198" t="s">
        <v>6517</v>
      </c>
    </row>
    <row r="199" spans="1:48" x14ac:dyDescent="0.3">
      <c r="A199" t="s">
        <v>5632</v>
      </c>
      <c r="B199">
        <f t="shared" si="12"/>
        <v>200197</v>
      </c>
      <c r="C199">
        <v>200110</v>
      </c>
      <c r="D199" t="s">
        <v>8387</v>
      </c>
      <c r="E199" t="s">
        <v>8123</v>
      </c>
      <c r="F199" t="s">
        <v>8602</v>
      </c>
      <c r="G199">
        <v>200197</v>
      </c>
      <c r="H199" t="s">
        <v>8603</v>
      </c>
      <c r="I199" t="s">
        <v>8604</v>
      </c>
      <c r="J199" t="s">
        <v>8615</v>
      </c>
      <c r="K199" t="str">
        <f t="shared" si="13"/>
        <v>9</v>
      </c>
      <c r="L199">
        <f t="shared" si="14"/>
        <v>18</v>
      </c>
      <c r="M199">
        <f t="shared" si="15"/>
        <v>11</v>
      </c>
      <c r="N199">
        <v>13.29</v>
      </c>
      <c r="O199" t="s">
        <v>5403</v>
      </c>
      <c r="P199" t="s">
        <v>6863</v>
      </c>
      <c r="Q199">
        <v>2002</v>
      </c>
      <c r="R199" t="s">
        <v>5648</v>
      </c>
      <c r="S199">
        <v>198</v>
      </c>
      <c r="T199" t="s">
        <v>6670</v>
      </c>
      <c r="U199" s="1" t="s">
        <v>7507</v>
      </c>
      <c r="V199" s="1" t="s">
        <v>7508</v>
      </c>
      <c r="W199" t="b">
        <v>0</v>
      </c>
      <c r="X199" t="s">
        <v>76</v>
      </c>
      <c r="Y199" t="s">
        <v>7706</v>
      </c>
      <c r="Z199" t="s">
        <v>6517</v>
      </c>
      <c r="AA199" t="s">
        <v>6517</v>
      </c>
      <c r="AB199" t="s">
        <v>6517</v>
      </c>
      <c r="AC199" t="s">
        <v>8053</v>
      </c>
      <c r="AD199" t="s">
        <v>7855</v>
      </c>
      <c r="AF199" t="b">
        <v>0</v>
      </c>
      <c r="AG199" t="s">
        <v>76</v>
      </c>
      <c r="AH199" s="1">
        <v>42481</v>
      </c>
      <c r="AI199" s="4">
        <v>6.6194444444444445</v>
      </c>
      <c r="AJ199">
        <v>20</v>
      </c>
      <c r="AK199">
        <v>0</v>
      </c>
      <c r="AL199">
        <v>0</v>
      </c>
      <c r="AM199" t="s">
        <v>326</v>
      </c>
      <c r="AP199" t="s">
        <v>6517</v>
      </c>
      <c r="AQ199" t="s">
        <v>6517</v>
      </c>
      <c r="AR199" t="s">
        <v>6517</v>
      </c>
      <c r="AS199" t="s">
        <v>6517</v>
      </c>
      <c r="AT199" t="s">
        <v>6517</v>
      </c>
      <c r="AU199" t="s">
        <v>6517</v>
      </c>
      <c r="AV199" t="s">
        <v>6517</v>
      </c>
    </row>
    <row r="200" spans="1:48" x14ac:dyDescent="0.3">
      <c r="A200" t="s">
        <v>5632</v>
      </c>
      <c r="B200">
        <f t="shared" si="12"/>
        <v>200198</v>
      </c>
      <c r="C200">
        <v>200023</v>
      </c>
      <c r="D200" t="s">
        <v>6527</v>
      </c>
      <c r="E200" t="s">
        <v>8097</v>
      </c>
      <c r="F200" t="s">
        <v>7815</v>
      </c>
      <c r="G200">
        <v>200198</v>
      </c>
      <c r="H200" t="s">
        <v>8605</v>
      </c>
      <c r="I200" t="s">
        <v>8606</v>
      </c>
      <c r="J200" t="s">
        <v>8614</v>
      </c>
      <c r="K200" t="str">
        <f t="shared" si="13"/>
        <v>1</v>
      </c>
      <c r="L200">
        <f t="shared" si="14"/>
        <v>2</v>
      </c>
      <c r="M200">
        <f t="shared" si="15"/>
        <v>1</v>
      </c>
      <c r="N200">
        <v>10.28</v>
      </c>
      <c r="O200" t="s">
        <v>5665</v>
      </c>
      <c r="P200">
        <v>303</v>
      </c>
      <c r="Q200">
        <v>1989</v>
      </c>
      <c r="R200" t="s">
        <v>5647</v>
      </c>
      <c r="S200">
        <v>400</v>
      </c>
      <c r="T200" t="s">
        <v>6670</v>
      </c>
      <c r="U200" t="s">
        <v>8084</v>
      </c>
      <c r="V200" s="1">
        <v>40289</v>
      </c>
      <c r="W200" t="b">
        <v>0</v>
      </c>
      <c r="X200" t="s">
        <v>76</v>
      </c>
      <c r="Y200" t="s">
        <v>8086</v>
      </c>
      <c r="Z200" t="s">
        <v>6517</v>
      </c>
      <c r="AA200" t="s">
        <v>6517</v>
      </c>
      <c r="AB200" t="s">
        <v>6517</v>
      </c>
      <c r="AC200" t="s">
        <v>8088</v>
      </c>
      <c r="AD200" s="1">
        <v>43042</v>
      </c>
      <c r="AF200" t="b">
        <v>0</v>
      </c>
      <c r="AI200" s="4">
        <v>6.9444444444444446</v>
      </c>
      <c r="AJ200">
        <v>2</v>
      </c>
      <c r="AK200">
        <v>0</v>
      </c>
      <c r="AL200">
        <v>8</v>
      </c>
      <c r="AM200" t="s">
        <v>326</v>
      </c>
      <c r="AP200" t="s">
        <v>6517</v>
      </c>
      <c r="AQ200" t="s">
        <v>6517</v>
      </c>
      <c r="AR200" t="s">
        <v>6517</v>
      </c>
      <c r="AS200" t="s">
        <v>6517</v>
      </c>
      <c r="AT200" t="s">
        <v>6517</v>
      </c>
      <c r="AU200" t="s">
        <v>6517</v>
      </c>
      <c r="AV200" t="s">
        <v>6517</v>
      </c>
    </row>
    <row r="201" spans="1:48" x14ac:dyDescent="0.3">
      <c r="A201" t="s">
        <v>5632</v>
      </c>
      <c r="B201">
        <f t="shared" si="12"/>
        <v>200199</v>
      </c>
      <c r="C201">
        <v>200008</v>
      </c>
      <c r="D201" t="s">
        <v>6526</v>
      </c>
      <c r="E201" t="s">
        <v>8097</v>
      </c>
      <c r="F201" t="s">
        <v>8273</v>
      </c>
      <c r="G201">
        <v>200199</v>
      </c>
      <c r="H201" t="s">
        <v>8607</v>
      </c>
      <c r="I201" t="s">
        <v>8608</v>
      </c>
      <c r="J201" t="s">
        <v>8614</v>
      </c>
      <c r="K201" t="str">
        <f t="shared" si="13"/>
        <v>1</v>
      </c>
      <c r="L201">
        <f t="shared" si="14"/>
        <v>3</v>
      </c>
      <c r="M201">
        <f t="shared" si="15"/>
        <v>1</v>
      </c>
      <c r="N201">
        <v>7.29</v>
      </c>
      <c r="O201" t="s">
        <v>5665</v>
      </c>
      <c r="P201" t="s">
        <v>8083</v>
      </c>
      <c r="Q201">
        <v>2008</v>
      </c>
      <c r="R201" t="s">
        <v>5647</v>
      </c>
      <c r="S201">
        <v>700</v>
      </c>
      <c r="T201" t="s">
        <v>6670</v>
      </c>
      <c r="U201" t="s">
        <v>8085</v>
      </c>
      <c r="V201" s="1">
        <v>41504</v>
      </c>
      <c r="W201" t="b">
        <v>0</v>
      </c>
      <c r="X201" t="s">
        <v>76</v>
      </c>
      <c r="Y201" t="s">
        <v>8087</v>
      </c>
      <c r="Z201" t="s">
        <v>6517</v>
      </c>
      <c r="AA201" t="s">
        <v>6517</v>
      </c>
      <c r="AB201" t="s">
        <v>6517</v>
      </c>
      <c r="AC201">
        <v>123.456</v>
      </c>
      <c r="AD201" s="1">
        <v>43056</v>
      </c>
      <c r="AF201" t="b">
        <v>0</v>
      </c>
      <c r="AI201" s="4">
        <v>3.6194444444444445</v>
      </c>
      <c r="AJ201">
        <v>0</v>
      </c>
      <c r="AK201">
        <v>2</v>
      </c>
      <c r="AL201">
        <v>9</v>
      </c>
      <c r="AM201" t="s">
        <v>326</v>
      </c>
      <c r="AP201" t="s">
        <v>6517</v>
      </c>
      <c r="AQ201" t="s">
        <v>6517</v>
      </c>
      <c r="AR201" t="s">
        <v>6517</v>
      </c>
      <c r="AS201" t="s">
        <v>6517</v>
      </c>
      <c r="AT201" t="s">
        <v>6517</v>
      </c>
      <c r="AU201" t="s">
        <v>6517</v>
      </c>
      <c r="AV201" t="s">
        <v>6517</v>
      </c>
    </row>
    <row r="202" spans="1:48" x14ac:dyDescent="0.3">
      <c r="A202" t="s">
        <v>5632</v>
      </c>
      <c r="B202">
        <f t="shared" si="12"/>
        <v>200200</v>
      </c>
      <c r="C202">
        <v>200078</v>
      </c>
      <c r="D202" t="s">
        <v>8298</v>
      </c>
      <c r="E202" t="s">
        <v>8097</v>
      </c>
      <c r="F202" t="s">
        <v>8358</v>
      </c>
      <c r="G202">
        <v>200200</v>
      </c>
      <c r="H202" t="s">
        <v>8609</v>
      </c>
      <c r="I202" t="s">
        <v>8610</v>
      </c>
      <c r="J202" t="s">
        <v>8614</v>
      </c>
      <c r="K202" t="str">
        <f t="shared" si="13"/>
        <v>1</v>
      </c>
      <c r="L202">
        <f t="shared" si="14"/>
        <v>3</v>
      </c>
      <c r="M202">
        <f t="shared" si="15"/>
        <v>1</v>
      </c>
      <c r="N202">
        <v>1.53</v>
      </c>
      <c r="O202" t="s">
        <v>5665</v>
      </c>
      <c r="P202" t="s">
        <v>8090</v>
      </c>
      <c r="Q202">
        <v>1977</v>
      </c>
      <c r="R202" t="s">
        <v>5658</v>
      </c>
      <c r="S202">
        <v>10</v>
      </c>
      <c r="T202" t="s">
        <v>6670</v>
      </c>
      <c r="U202" s="1">
        <v>42501</v>
      </c>
      <c r="V202" s="1">
        <v>42512</v>
      </c>
      <c r="W202" t="b">
        <v>0</v>
      </c>
      <c r="X202" t="s">
        <v>76</v>
      </c>
      <c r="Y202" t="s">
        <v>8092</v>
      </c>
      <c r="Z202" t="s">
        <v>6517</v>
      </c>
      <c r="AA202" t="s">
        <v>6517</v>
      </c>
      <c r="AB202" t="s">
        <v>6517</v>
      </c>
      <c r="AC202" t="s">
        <v>8096</v>
      </c>
      <c r="AD202" t="s">
        <v>7714</v>
      </c>
      <c r="AF202" t="b">
        <v>0</v>
      </c>
      <c r="AG202" t="s">
        <v>76</v>
      </c>
      <c r="AH202" s="1">
        <v>42481</v>
      </c>
      <c r="AI202" s="4">
        <v>0.85833333333333328</v>
      </c>
      <c r="AJ202">
        <v>0</v>
      </c>
      <c r="AK202">
        <v>0</v>
      </c>
      <c r="AL202">
        <v>2</v>
      </c>
      <c r="AM202" t="s">
        <v>326</v>
      </c>
      <c r="AP202" t="s">
        <v>6517</v>
      </c>
      <c r="AQ202" t="s">
        <v>6517</v>
      </c>
      <c r="AR202" t="s">
        <v>6517</v>
      </c>
      <c r="AS202" t="s">
        <v>6517</v>
      </c>
      <c r="AT202" t="s">
        <v>6517</v>
      </c>
      <c r="AU202" t="s">
        <v>6517</v>
      </c>
      <c r="AV202" t="s">
        <v>6517</v>
      </c>
    </row>
    <row r="203" spans="1:48" x14ac:dyDescent="0.3">
      <c r="A203" t="s">
        <v>5632</v>
      </c>
      <c r="B203">
        <f t="shared" si="12"/>
        <v>200201</v>
      </c>
      <c r="C203">
        <v>200077</v>
      </c>
      <c r="D203" t="s">
        <v>8296</v>
      </c>
      <c r="E203" t="s">
        <v>8097</v>
      </c>
      <c r="F203" t="s">
        <v>8433</v>
      </c>
      <c r="G203">
        <v>200201</v>
      </c>
      <c r="H203" t="s">
        <v>8611</v>
      </c>
      <c r="I203" t="s">
        <v>8115</v>
      </c>
      <c r="J203" t="s">
        <v>8614</v>
      </c>
      <c r="K203" t="str">
        <f t="shared" si="13"/>
        <v>1</v>
      </c>
      <c r="L203">
        <f t="shared" si="14"/>
        <v>2</v>
      </c>
      <c r="M203">
        <f t="shared" si="15"/>
        <v>1</v>
      </c>
      <c r="N203">
        <v>6.32</v>
      </c>
      <c r="O203" t="s">
        <v>5469</v>
      </c>
      <c r="P203" t="s">
        <v>5659</v>
      </c>
      <c r="Q203">
        <v>1983</v>
      </c>
      <c r="R203" t="s">
        <v>5658</v>
      </c>
      <c r="S203">
        <v>10</v>
      </c>
      <c r="T203" t="s">
        <v>6670</v>
      </c>
      <c r="U203" s="1">
        <v>41242</v>
      </c>
      <c r="V203" s="1">
        <v>41250</v>
      </c>
      <c r="W203" t="b">
        <v>0</v>
      </c>
      <c r="X203" t="s">
        <v>76</v>
      </c>
      <c r="Y203" t="s">
        <v>8094</v>
      </c>
      <c r="Z203" t="s">
        <v>6517</v>
      </c>
      <c r="AA203" t="s">
        <v>6517</v>
      </c>
      <c r="AB203" t="s">
        <v>6517</v>
      </c>
      <c r="AC203" t="s">
        <v>8095</v>
      </c>
      <c r="AD203" t="s">
        <v>7714</v>
      </c>
      <c r="AF203" t="b">
        <v>0</v>
      </c>
      <c r="AG203" t="s">
        <v>76</v>
      </c>
      <c r="AH203" s="1">
        <v>42481</v>
      </c>
      <c r="AI203" s="4">
        <v>4.3166666666666664</v>
      </c>
      <c r="AJ203">
        <v>0</v>
      </c>
      <c r="AK203">
        <v>6</v>
      </c>
      <c r="AL203">
        <v>0</v>
      </c>
      <c r="AM203" t="s">
        <v>326</v>
      </c>
      <c r="AP203" t="s">
        <v>6517</v>
      </c>
      <c r="AQ203" t="s">
        <v>6517</v>
      </c>
      <c r="AR203" t="s">
        <v>6517</v>
      </c>
      <c r="AS203" t="s">
        <v>6517</v>
      </c>
      <c r="AT203" t="s">
        <v>6517</v>
      </c>
      <c r="AU203" t="s">
        <v>6517</v>
      </c>
      <c r="AV203" t="s">
        <v>6517</v>
      </c>
    </row>
    <row r="204" spans="1:48" x14ac:dyDescent="0.3">
      <c r="A204" t="s">
        <v>5632</v>
      </c>
      <c r="B204">
        <f t="shared" si="12"/>
        <v>200202</v>
      </c>
      <c r="C204">
        <v>200079</v>
      </c>
      <c r="D204" t="s">
        <v>8301</v>
      </c>
      <c r="E204" t="s">
        <v>8097</v>
      </c>
      <c r="F204" t="s">
        <v>7717</v>
      </c>
      <c r="G204">
        <v>200202</v>
      </c>
      <c r="H204" t="s">
        <v>8612</v>
      </c>
      <c r="I204" t="s">
        <v>8613</v>
      </c>
      <c r="J204" t="s">
        <v>8614</v>
      </c>
      <c r="K204" t="str">
        <f t="shared" si="13"/>
        <v>1</v>
      </c>
      <c r="L204">
        <f t="shared" si="14"/>
        <v>1</v>
      </c>
      <c r="M204">
        <f t="shared" si="15"/>
        <v>1</v>
      </c>
      <c r="N204">
        <v>9.73</v>
      </c>
      <c r="O204" t="s">
        <v>8089</v>
      </c>
      <c r="P204" t="s">
        <v>8091</v>
      </c>
      <c r="Q204">
        <v>1996</v>
      </c>
      <c r="R204" t="s">
        <v>5658</v>
      </c>
      <c r="S204">
        <v>10</v>
      </c>
      <c r="T204" t="s">
        <v>6670</v>
      </c>
      <c r="U204" s="1">
        <v>41447</v>
      </c>
      <c r="V204" s="1">
        <v>41462</v>
      </c>
      <c r="W204" t="b">
        <v>0</v>
      </c>
      <c r="X204" t="s">
        <v>76</v>
      </c>
      <c r="Y204" t="s">
        <v>8093</v>
      </c>
      <c r="Z204" t="s">
        <v>6517</v>
      </c>
      <c r="AA204" t="s">
        <v>6517</v>
      </c>
      <c r="AB204" t="s">
        <v>6517</v>
      </c>
      <c r="AC204">
        <v>6665432</v>
      </c>
      <c r="AD204" t="s">
        <v>7714</v>
      </c>
      <c r="AF204" t="b">
        <v>0</v>
      </c>
      <c r="AG204" t="s">
        <v>76</v>
      </c>
      <c r="AH204" s="1">
        <v>42481</v>
      </c>
      <c r="AI204" s="4">
        <v>3.7333333333333334</v>
      </c>
      <c r="AJ204">
        <v>0</v>
      </c>
      <c r="AK204">
        <v>14</v>
      </c>
      <c r="AL204">
        <v>4</v>
      </c>
      <c r="AM204" t="s">
        <v>326</v>
      </c>
      <c r="AP204" t="s">
        <v>6517</v>
      </c>
      <c r="AQ204" t="s">
        <v>6517</v>
      </c>
      <c r="AR204" t="s">
        <v>6517</v>
      </c>
      <c r="AS204" t="s">
        <v>6517</v>
      </c>
      <c r="AT204" t="s">
        <v>6517</v>
      </c>
      <c r="AU204" t="s">
        <v>6517</v>
      </c>
      <c r="AV204" t="s">
        <v>6517</v>
      </c>
    </row>
  </sheetData>
  <autoFilter ref="A1:AU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Discharge Belt</v>
      </c>
      <c r="B2" t="s">
        <v>5385</v>
      </c>
      <c r="C2" t="s">
        <v>5386</v>
      </c>
      <c r="E2" t="str">
        <f ca="1">CONCATR(A2:C2,",")</f>
        <v>Discharge Belt,[Edit],[Del]</v>
      </c>
    </row>
    <row r="3" spans="1:5" x14ac:dyDescent="0.3">
      <c r="A3" t="str">
        <f ca="1">VLOOKUP(RANDBETWEEN(1,10),'Lookups (2)'!A:G,7,FALSE)</f>
        <v>Full Guarding Package</v>
      </c>
      <c r="B3" t="s">
        <v>5385</v>
      </c>
      <c r="C3" t="s">
        <v>5386</v>
      </c>
      <c r="E3" t="str">
        <f ca="1">CONCATR(A3:C3,",")</f>
        <v>Full Guarding Package,[Edit],[Del]</v>
      </c>
    </row>
    <row r="4" spans="1:5" x14ac:dyDescent="0.3">
      <c r="A4" t="str">
        <f ca="1">VLOOKUP(RANDBETWEEN(1,10),'Lookups (2)'!A:G,7,FALSE)</f>
        <v>Full Guarding Package</v>
      </c>
      <c r="B4" t="s">
        <v>5385</v>
      </c>
      <c r="C4" t="s">
        <v>5386</v>
      </c>
      <c r="E4" t="str">
        <f ca="1">CONCATR(A4:C4,",")</f>
        <v>Full Guarding Package,[Edit],[Del]</v>
      </c>
    </row>
    <row r="5" spans="1:5" x14ac:dyDescent="0.3">
      <c r="A5" t="s">
        <v>5383</v>
      </c>
      <c r="B5" t="s">
        <v>5384</v>
      </c>
      <c r="C5" t="s">
        <v>5387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P284"/>
  <sheetViews>
    <sheetView topLeftCell="D1"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2" max="2" width="21" customWidth="1"/>
    <col min="3" max="3" width="9.33203125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6" x14ac:dyDescent="0.3">
      <c r="A1" t="s">
        <v>68</v>
      </c>
      <c r="B1" s="11" t="s">
        <v>5635</v>
      </c>
      <c r="C1" s="11" t="s">
        <v>8617</v>
      </c>
      <c r="D1" s="10" t="s">
        <v>6967</v>
      </c>
      <c r="E1" s="10" t="s">
        <v>73</v>
      </c>
      <c r="F1" t="s">
        <v>3</v>
      </c>
      <c r="G1" s="6" t="s">
        <v>6677</v>
      </c>
      <c r="H1" s="6" t="s">
        <v>6678</v>
      </c>
      <c r="I1" s="11" t="s">
        <v>7121</v>
      </c>
      <c r="J1" s="7" t="s">
        <v>6679</v>
      </c>
      <c r="K1" s="10" t="s">
        <v>8082</v>
      </c>
      <c r="L1" s="7" t="s">
        <v>5374</v>
      </c>
      <c r="M1" s="7" t="s">
        <v>5375</v>
      </c>
      <c r="N1" s="7" t="s">
        <v>5329</v>
      </c>
      <c r="O1" s="7" t="s">
        <v>5376</v>
      </c>
      <c r="P1" s="7" t="s">
        <v>5377</v>
      </c>
    </row>
    <row r="2" spans="1:16" x14ac:dyDescent="0.3">
      <c r="A2" t="s">
        <v>5388</v>
      </c>
      <c r="B2">
        <f ca="1">INDEX(LocalAreas.csv!G:G,RANDBETWEEN(2,88))</f>
        <v>200075</v>
      </c>
      <c r="C2" t="str">
        <f ca="1">"rg{'id': '"&amp;B2&amp;"'}'"</f>
        <v>rg{'id': '200075'}'</v>
      </c>
      <c r="D2" s="1" t="str">
        <f ca="1">MID(Names!G2,FIND(" ",Names!G2)+1,LEN(Names!G2)-FIND(" ", Names!G2))&amp;" "&amp;INDEX(PROJ_EXT_Name,RANDBETWEEN(2,12))</f>
        <v>Burdett Avenue Expressway</v>
      </c>
      <c r="E2" s="1" t="s">
        <v>6968</v>
      </c>
      <c r="F2">
        <f>IF(ISNUMBER(F1),F1+1,40000)</f>
        <v>40000</v>
      </c>
      <c r="G2">
        <f>IF(ISNUMBER(G1),G1+1,500000)</f>
        <v>500000</v>
      </c>
      <c r="H2" t="s">
        <v>6694</v>
      </c>
      <c r="I2" s="8">
        <f>IF(ISNUMBER(I1),I1+1,600000)</f>
        <v>600000</v>
      </c>
      <c r="J2" t="s">
        <v>6517</v>
      </c>
      <c r="K2">
        <f>IFERROR(VLOOKUP(E2,Contacts.csv!C:D,2,FALSE),"")</f>
        <v>200105</v>
      </c>
      <c r="L2" t="str">
        <f>IF(1=1,"rg:None", IF(ISNUMBER(K2),"rg:{'id':'" &amp; K2 &amp; "'}","rg:None"))</f>
        <v>rg:None</v>
      </c>
      <c r="M2" s="4" t="str">
        <f>IF(1=1,"rg:[]", IF(ISNUMBER(K2),"rg:[{'id':'" &amp; K2 &amp; "'}]","rg:[]"))</f>
        <v>rg:[]</v>
      </c>
      <c r="N2" t="s">
        <v>6517</v>
      </c>
      <c r="O2" t="s">
        <v>6517</v>
      </c>
      <c r="P2" t="s">
        <v>6517</v>
      </c>
    </row>
    <row r="3" spans="1:16" x14ac:dyDescent="0.3">
      <c r="A3" t="s">
        <v>5388</v>
      </c>
      <c r="B3">
        <f ca="1">INDEX(LocalAreas.csv!G:G,RANDBETWEEN(2,88))</f>
        <v>200077</v>
      </c>
      <c r="C3" t="str">
        <f t="shared" ref="C3:C65" ca="1" si="0">"rg{'id': '"&amp;B3&amp;"'}'"</f>
        <v>rg{'id': '200077'}'</v>
      </c>
      <c r="D3" s="1" t="str">
        <f ca="1">MID(Names!G3,FIND(" ",Names!G3)+1,LEN(Names!G3)-FIND(" ", Names!G3))&amp;" "&amp;INDEX(PROJ_EXT_Name,RANDBETWEEN(2,12))</f>
        <v>Brew Creek Rd Expressway</v>
      </c>
      <c r="E3" s="1" t="s">
        <v>6963</v>
      </c>
      <c r="F3">
        <f t="shared" ref="F3:F65" si="1">IF(ISNUMBER(F2),F2+1,40000)</f>
        <v>40001</v>
      </c>
      <c r="G3">
        <f t="shared" ref="G3:G65" si="2">IF(ISNUMBER(G2),G2+1,500000)</f>
        <v>500001</v>
      </c>
      <c r="H3" t="s">
        <v>6694</v>
      </c>
      <c r="I3" s="8">
        <f t="shared" ref="I3:I65" si="3">IF(ISNUMBER(I2),I2+1,600000)</f>
        <v>600001</v>
      </c>
      <c r="J3" t="s">
        <v>6517</v>
      </c>
      <c r="K3">
        <f>IFERROR(VLOOKUP(E3,Contacts.csv!C:D,2,FALSE),"")</f>
        <v>200106</v>
      </c>
      <c r="L3" t="str">
        <f t="shared" ref="L3:L65" si="4">IF(1=1,"rg:None", IF(ISNUMBER(K3),"rg:{'id':'" &amp; K3 &amp; "'}","rg:None"))</f>
        <v>rg:None</v>
      </c>
      <c r="M3" s="4" t="str">
        <f t="shared" ref="M3:M65" si="5">IF(1=1,"rg:[]", IF(ISNUMBER(K3),"rg:[{'id':'" &amp; K3 &amp; "'}]","rg:[]"))</f>
        <v>rg:[]</v>
      </c>
      <c r="N3" t="s">
        <v>6517</v>
      </c>
      <c r="O3" t="s">
        <v>6517</v>
      </c>
      <c r="P3" t="s">
        <v>6517</v>
      </c>
    </row>
    <row r="4" spans="1:16" x14ac:dyDescent="0.3">
      <c r="A4" t="s">
        <v>5388</v>
      </c>
      <c r="B4">
        <f ca="1">INDEX(LocalAreas.csv!G:G,RANDBETWEEN(2,88))</f>
        <v>200062</v>
      </c>
      <c r="C4" t="str">
        <f t="shared" ca="1" si="0"/>
        <v>rg{'id': '200062'}'</v>
      </c>
      <c r="D4" s="1" t="str">
        <f ca="1">MID(Names!G4,FIND(" ",Names!G4)+1,LEN(Names!G4)-FIND(" ", Names!G4))&amp;" "&amp;INDEX(PROJ_EXT_Name,RANDBETWEEN(2,12))</f>
        <v>Mesa Vista Drive HOV Lane</v>
      </c>
      <c r="E4" s="1" t="s">
        <v>6969</v>
      </c>
      <c r="F4">
        <f t="shared" si="1"/>
        <v>40002</v>
      </c>
      <c r="G4">
        <f t="shared" si="2"/>
        <v>500002</v>
      </c>
      <c r="H4" t="s">
        <v>6694</v>
      </c>
      <c r="I4" s="8">
        <f t="shared" si="3"/>
        <v>600002</v>
      </c>
      <c r="J4" t="s">
        <v>6517</v>
      </c>
      <c r="K4">
        <f>IFERROR(VLOOKUP(E4,Contacts.csv!C:D,2,FALSE),"")</f>
        <v>200107</v>
      </c>
      <c r="L4" t="str">
        <f t="shared" si="4"/>
        <v>rg:None</v>
      </c>
      <c r="M4" s="4" t="str">
        <f t="shared" si="5"/>
        <v>rg:[]</v>
      </c>
      <c r="N4" t="s">
        <v>6517</v>
      </c>
      <c r="O4" t="s">
        <v>6517</v>
      </c>
      <c r="P4" t="s">
        <v>6517</v>
      </c>
    </row>
    <row r="5" spans="1:16" x14ac:dyDescent="0.3">
      <c r="A5" t="s">
        <v>5388</v>
      </c>
      <c r="B5">
        <f ca="1">INDEX(LocalAreas.csv!G:G,RANDBETWEEN(2,88))</f>
        <v>200050</v>
      </c>
      <c r="C5" t="str">
        <f t="shared" ca="1" si="0"/>
        <v>rg{'id': '200050'}'</v>
      </c>
      <c r="D5" s="1" t="str">
        <f ca="1">MID(Names!G5,FIND(" ",Names!G5)+1,LEN(Names!G5)-FIND(" ", Names!G5))&amp;" "&amp;INDEX(PROJ_EXT_Name,RANDBETWEEN(2,12))</f>
        <v>Burdett Avenue Bridge</v>
      </c>
      <c r="E5" s="1" t="s">
        <v>6970</v>
      </c>
      <c r="F5">
        <f t="shared" si="1"/>
        <v>40003</v>
      </c>
      <c r="G5">
        <f t="shared" si="2"/>
        <v>500003</v>
      </c>
      <c r="H5" t="s">
        <v>6694</v>
      </c>
      <c r="I5" s="8">
        <f t="shared" si="3"/>
        <v>600003</v>
      </c>
      <c r="J5" t="s">
        <v>6517</v>
      </c>
      <c r="K5">
        <f>IFERROR(VLOOKUP(E5,Contacts.csv!C:D,2,FALSE),"")</f>
        <v>200108</v>
      </c>
      <c r="L5" t="str">
        <f t="shared" si="4"/>
        <v>rg:None</v>
      </c>
      <c r="M5" s="4" t="str">
        <f t="shared" si="5"/>
        <v>rg:[]</v>
      </c>
      <c r="N5" t="s">
        <v>6517</v>
      </c>
      <c r="O5" t="s">
        <v>6517</v>
      </c>
      <c r="P5" t="s">
        <v>6517</v>
      </c>
    </row>
    <row r="6" spans="1:16" x14ac:dyDescent="0.3">
      <c r="A6" t="s">
        <v>5388</v>
      </c>
      <c r="B6">
        <f ca="1">INDEX(LocalAreas.csv!G:G,RANDBETWEEN(2,88))</f>
        <v>200010</v>
      </c>
      <c r="C6" t="str">
        <f t="shared" ca="1" si="0"/>
        <v>rg{'id': '200010'}'</v>
      </c>
      <c r="D6" s="1" t="str">
        <f ca="1">MID(Names!G6,FIND(" ",Names!G6)+1,LEN(Names!G6)-FIND(" ", Names!G6))&amp;" "&amp;INDEX(PROJ_EXT_Name,RANDBETWEEN(2,12))</f>
        <v>Noble Rd Overpass</v>
      </c>
      <c r="E6" s="1" t="s">
        <v>6971</v>
      </c>
      <c r="F6">
        <f t="shared" si="1"/>
        <v>40004</v>
      </c>
      <c r="G6">
        <f t="shared" si="2"/>
        <v>500004</v>
      </c>
      <c r="H6" t="s">
        <v>6694</v>
      </c>
      <c r="I6" s="8">
        <f t="shared" si="3"/>
        <v>600004</v>
      </c>
      <c r="J6" t="s">
        <v>6517</v>
      </c>
      <c r="K6">
        <f>IFERROR(VLOOKUP(E6,Contacts.csv!C:D,2,FALSE),"")</f>
        <v>200109</v>
      </c>
      <c r="L6" t="str">
        <f t="shared" si="4"/>
        <v>rg:None</v>
      </c>
      <c r="M6" s="4" t="str">
        <f t="shared" si="5"/>
        <v>rg:[]</v>
      </c>
      <c r="N6" t="s">
        <v>6517</v>
      </c>
      <c r="O6" t="s">
        <v>6517</v>
      </c>
      <c r="P6" t="s">
        <v>6517</v>
      </c>
    </row>
    <row r="7" spans="1:16" x14ac:dyDescent="0.3">
      <c r="A7" t="s">
        <v>5388</v>
      </c>
      <c r="B7">
        <f ca="1">INDEX(LocalAreas.csv!G:G,RANDBETWEEN(2,88))</f>
        <v>200032</v>
      </c>
      <c r="C7" t="str">
        <f t="shared" ca="1" si="0"/>
        <v>rg{'id': '200032'}'</v>
      </c>
      <c r="D7" s="1" t="str">
        <f ca="1">MID(Names!G7,FIND(" ",Names!G7)+1,LEN(Names!G7)-FIND(" ", Names!G7))&amp;" "&amp;INDEX(PROJ_EXT_Name,RANDBETWEEN(2,12))</f>
        <v>Essendene Avenue Express Lane</v>
      </c>
      <c r="E7" s="1" t="s">
        <v>6972</v>
      </c>
      <c r="F7">
        <f t="shared" si="1"/>
        <v>40005</v>
      </c>
      <c r="G7">
        <f t="shared" si="2"/>
        <v>500005</v>
      </c>
      <c r="H7" t="s">
        <v>6694</v>
      </c>
      <c r="I7" s="8">
        <f t="shared" si="3"/>
        <v>600005</v>
      </c>
      <c r="J7" t="s">
        <v>6517</v>
      </c>
      <c r="K7">
        <f>IFERROR(VLOOKUP(E7,Contacts.csv!C:D,2,FALSE),"")</f>
        <v>200110</v>
      </c>
      <c r="L7" t="str">
        <f t="shared" si="4"/>
        <v>rg:None</v>
      </c>
      <c r="M7" s="4" t="str">
        <f t="shared" si="5"/>
        <v>rg:[]</v>
      </c>
      <c r="N7" t="s">
        <v>6517</v>
      </c>
      <c r="O7" t="s">
        <v>6517</v>
      </c>
      <c r="P7" t="s">
        <v>6517</v>
      </c>
    </row>
    <row r="8" spans="1:16" x14ac:dyDescent="0.3">
      <c r="A8" t="s">
        <v>5388</v>
      </c>
      <c r="B8">
        <f ca="1">INDEX(LocalAreas.csv!G:G,RANDBETWEEN(2,88))</f>
        <v>200073</v>
      </c>
      <c r="C8" t="str">
        <f t="shared" ca="1" si="0"/>
        <v>rg{'id': '200073'}'</v>
      </c>
      <c r="D8" s="1" t="str">
        <f ca="1">MID(Names!G8,FIND(" ",Names!G8)+1,LEN(Names!G8)-FIND(" ", Names!G8))&amp;" "&amp;INDEX(PROJ_EXT_Name,RANDBETWEEN(2,12))</f>
        <v>Cordova Street Extension</v>
      </c>
      <c r="E8" s="1" t="s">
        <v>6973</v>
      </c>
      <c r="F8">
        <f t="shared" si="1"/>
        <v>40006</v>
      </c>
      <c r="G8">
        <f t="shared" si="2"/>
        <v>500006</v>
      </c>
      <c r="H8" t="s">
        <v>6694</v>
      </c>
      <c r="I8" s="8">
        <f t="shared" si="3"/>
        <v>600006</v>
      </c>
      <c r="J8" t="s">
        <v>6517</v>
      </c>
      <c r="K8">
        <f>IFERROR(VLOOKUP(E8,Contacts.csv!C:D,2,FALSE),"")</f>
        <v>200111</v>
      </c>
      <c r="L8" t="str">
        <f t="shared" si="4"/>
        <v>rg:None</v>
      </c>
      <c r="M8" s="4" t="str">
        <f t="shared" si="5"/>
        <v>rg:[]</v>
      </c>
      <c r="N8" t="s">
        <v>6517</v>
      </c>
      <c r="O8" t="s">
        <v>6517</v>
      </c>
      <c r="P8" t="s">
        <v>6517</v>
      </c>
    </row>
    <row r="9" spans="1:16" x14ac:dyDescent="0.3">
      <c r="A9" t="s">
        <v>5388</v>
      </c>
      <c r="B9">
        <f ca="1">INDEX(LocalAreas.csv!G:G,RANDBETWEEN(2,88))</f>
        <v>200065</v>
      </c>
      <c r="C9" t="str">
        <f t="shared" ca="1" si="0"/>
        <v>rg{'id': '200065'}'</v>
      </c>
      <c r="D9" s="1" t="str">
        <f ca="1">MID(Names!G9,FIND(" ",Names!G9)+1,LEN(Names!G9)-FIND(" ", Names!G9))&amp;" "&amp;INDEX(PROJ_EXT_Name,RANDBETWEEN(2,12))</f>
        <v>Hardy Street Expressway</v>
      </c>
      <c r="E9" s="1" t="s">
        <v>6947</v>
      </c>
      <c r="F9">
        <f t="shared" si="1"/>
        <v>40007</v>
      </c>
      <c r="G9">
        <f t="shared" si="2"/>
        <v>500007</v>
      </c>
      <c r="H9" t="s">
        <v>6694</v>
      </c>
      <c r="I9" s="8">
        <f t="shared" si="3"/>
        <v>600007</v>
      </c>
      <c r="J9" t="s">
        <v>6517</v>
      </c>
      <c r="K9">
        <f>IFERROR(VLOOKUP(E9,Contacts.csv!C:D,2,FALSE),"")</f>
        <v>200112</v>
      </c>
      <c r="L9" t="str">
        <f t="shared" si="4"/>
        <v>rg:None</v>
      </c>
      <c r="M9" s="4" t="str">
        <f t="shared" si="5"/>
        <v>rg:[]</v>
      </c>
      <c r="N9" t="s">
        <v>6517</v>
      </c>
      <c r="O9" t="s">
        <v>6517</v>
      </c>
      <c r="P9" t="s">
        <v>6517</v>
      </c>
    </row>
    <row r="10" spans="1:16" x14ac:dyDescent="0.3">
      <c r="A10" t="s">
        <v>5388</v>
      </c>
      <c r="B10">
        <f ca="1">INDEX(LocalAreas.csv!G:G,RANDBETWEEN(2,88))</f>
        <v>200076</v>
      </c>
      <c r="C10" t="str">
        <f t="shared" ca="1" si="0"/>
        <v>rg{'id': '200076'}'</v>
      </c>
      <c r="D10" s="1" t="str">
        <f ca="1">MID(Names!G10,FIND(" ",Names!G10)+1,LEN(Names!G10)-FIND(" ", Names!G10))&amp;" "&amp;INDEX(PROJ_EXT_Name,RANDBETWEEN(2,12))</f>
        <v>Robson St Bridge</v>
      </c>
      <c r="E10" s="1" t="s">
        <v>6974</v>
      </c>
      <c r="F10">
        <f t="shared" si="1"/>
        <v>40008</v>
      </c>
      <c r="G10">
        <f t="shared" si="2"/>
        <v>500008</v>
      </c>
      <c r="H10" t="s">
        <v>6694</v>
      </c>
      <c r="I10" s="8">
        <f t="shared" si="3"/>
        <v>600008</v>
      </c>
      <c r="J10" t="s">
        <v>6517</v>
      </c>
      <c r="K10">
        <f>IFERROR(VLOOKUP(E10,Contacts.csv!C:D,2,FALSE),"")</f>
        <v>200113</v>
      </c>
      <c r="L10" t="str">
        <f t="shared" si="4"/>
        <v>rg:None</v>
      </c>
      <c r="M10" s="4" t="str">
        <f t="shared" si="5"/>
        <v>rg:[]</v>
      </c>
      <c r="N10" t="s">
        <v>6517</v>
      </c>
      <c r="O10" t="s">
        <v>6517</v>
      </c>
      <c r="P10" t="s">
        <v>6517</v>
      </c>
    </row>
    <row r="11" spans="1:16" x14ac:dyDescent="0.3">
      <c r="A11" t="s">
        <v>5388</v>
      </c>
      <c r="B11">
        <f ca="1">INDEX(LocalAreas.csv!G:G,RANDBETWEEN(2,88))</f>
        <v>200021</v>
      </c>
      <c r="C11" t="str">
        <f t="shared" ca="1" si="0"/>
        <v>rg{'id': '200021'}'</v>
      </c>
      <c r="D11" s="1" t="str">
        <f ca="1">MID(Names!G11,FIND(" ",Names!G11)+1,LEN(Names!G11)-FIND(" ", Names!G11))&amp;" "&amp;INDEX(PROJ_EXT_Name,RANDBETWEEN(2,12))</f>
        <v>Wellington Ave HOV Lane</v>
      </c>
      <c r="E11" s="1" t="s">
        <v>6915</v>
      </c>
      <c r="F11">
        <f t="shared" si="1"/>
        <v>40009</v>
      </c>
      <c r="G11">
        <f t="shared" si="2"/>
        <v>500009</v>
      </c>
      <c r="H11" t="s">
        <v>6694</v>
      </c>
      <c r="I11" s="8">
        <f t="shared" si="3"/>
        <v>600009</v>
      </c>
      <c r="J11" t="s">
        <v>6517</v>
      </c>
      <c r="K11">
        <f>IFERROR(VLOOKUP(E11,Contacts.csv!C:D,2,FALSE),"")</f>
        <v>200114</v>
      </c>
      <c r="L11" t="str">
        <f t="shared" si="4"/>
        <v>rg:None</v>
      </c>
      <c r="M11" s="4" t="str">
        <f t="shared" si="5"/>
        <v>rg:[]</v>
      </c>
      <c r="N11" t="s">
        <v>6517</v>
      </c>
      <c r="O11" t="s">
        <v>6517</v>
      </c>
      <c r="P11" t="s">
        <v>6517</v>
      </c>
    </row>
    <row r="12" spans="1:16" x14ac:dyDescent="0.3">
      <c r="A12" t="s">
        <v>5388</v>
      </c>
      <c r="B12">
        <f ca="1">INDEX(LocalAreas.csv!G:G,RANDBETWEEN(2,88))</f>
        <v>200080</v>
      </c>
      <c r="C12" t="str">
        <f t="shared" ca="1" si="0"/>
        <v>rg{'id': '200080'}'</v>
      </c>
      <c r="D12" s="1" t="str">
        <f ca="1">MID(Names!G12,FIND(" ",Names!G12)+1,LEN(Names!G12)-FIND(" ", Names!G12))&amp;" "&amp;INDEX(PROJ_EXT_Name,RANDBETWEEN(2,12))</f>
        <v>Old Spallumcheen Rd Bridge</v>
      </c>
      <c r="E12" s="1" t="s">
        <v>6975</v>
      </c>
      <c r="F12">
        <f t="shared" si="1"/>
        <v>40010</v>
      </c>
      <c r="G12">
        <f t="shared" si="2"/>
        <v>500010</v>
      </c>
      <c r="H12" t="s">
        <v>6694</v>
      </c>
      <c r="I12" s="8">
        <f t="shared" si="3"/>
        <v>600010</v>
      </c>
      <c r="J12" t="s">
        <v>6517</v>
      </c>
      <c r="K12">
        <f>IFERROR(VLOOKUP(E12,Contacts.csv!C:D,2,FALSE),"")</f>
        <v>200115</v>
      </c>
      <c r="L12" t="str">
        <f t="shared" si="4"/>
        <v>rg:None</v>
      </c>
      <c r="M12" s="4" t="str">
        <f t="shared" si="5"/>
        <v>rg:[]</v>
      </c>
      <c r="N12" t="s">
        <v>6517</v>
      </c>
      <c r="O12" t="s">
        <v>6517</v>
      </c>
      <c r="P12" t="s">
        <v>6517</v>
      </c>
    </row>
    <row r="13" spans="1:16" x14ac:dyDescent="0.3">
      <c r="A13" t="s">
        <v>5388</v>
      </c>
      <c r="B13">
        <f ca="1">INDEX(LocalAreas.csv!G:G,RANDBETWEEN(2,88))</f>
        <v>200006</v>
      </c>
      <c r="C13" t="str">
        <f t="shared" ca="1" si="0"/>
        <v>rg{'id': '200006'}'</v>
      </c>
      <c r="D13" s="1" t="str">
        <f ca="1">MID(Names!G13,FIND(" ",Names!G13)+1,LEN(Names!G13)-FIND(" ", Names!G13))&amp;" "&amp;INDEX(PROJ_EXT_Name,RANDBETWEEN(2,12))</f>
        <v>Noble Rd HOV Lane</v>
      </c>
      <c r="E13" s="1" t="s">
        <v>6976</v>
      </c>
      <c r="F13">
        <f t="shared" si="1"/>
        <v>40011</v>
      </c>
      <c r="G13">
        <f t="shared" si="2"/>
        <v>500011</v>
      </c>
      <c r="H13" t="s">
        <v>6694</v>
      </c>
      <c r="I13" s="8">
        <f t="shared" si="3"/>
        <v>600011</v>
      </c>
      <c r="J13" t="s">
        <v>6517</v>
      </c>
      <c r="K13">
        <f>IFERROR(VLOOKUP(E13,Contacts.csv!C:D,2,FALSE),"")</f>
        <v>200116</v>
      </c>
      <c r="L13" t="str">
        <f t="shared" si="4"/>
        <v>rg:None</v>
      </c>
      <c r="M13" s="4" t="str">
        <f t="shared" si="5"/>
        <v>rg:[]</v>
      </c>
      <c r="N13" t="s">
        <v>6517</v>
      </c>
      <c r="O13" t="s">
        <v>6517</v>
      </c>
      <c r="P13" t="s">
        <v>6517</v>
      </c>
    </row>
    <row r="14" spans="1:16" x14ac:dyDescent="0.3">
      <c r="A14" t="s">
        <v>5388</v>
      </c>
      <c r="B14">
        <f ca="1">INDEX(LocalAreas.csv!G:G,RANDBETWEEN(2,88))</f>
        <v>200069</v>
      </c>
      <c r="C14" t="str">
        <f t="shared" ca="1" si="0"/>
        <v>rg{'id': '200069'}'</v>
      </c>
      <c r="D14" s="1" t="str">
        <f ca="1">MID(Names!G14,FIND(" ",Names!G14)+1,LEN(Names!G14)-FIND(" ", Names!G14))&amp;" "&amp;INDEX(PROJ_EXT_Name,RANDBETWEEN(2,12))</f>
        <v>Jade St Express Lane</v>
      </c>
      <c r="E14" s="1" t="s">
        <v>6977</v>
      </c>
      <c r="F14">
        <f t="shared" si="1"/>
        <v>40012</v>
      </c>
      <c r="G14">
        <f t="shared" si="2"/>
        <v>500012</v>
      </c>
      <c r="H14" t="s">
        <v>6694</v>
      </c>
      <c r="I14" s="8">
        <f t="shared" si="3"/>
        <v>600012</v>
      </c>
      <c r="J14" t="s">
        <v>6517</v>
      </c>
      <c r="K14">
        <f>IFERROR(VLOOKUP(E14,Contacts.csv!C:D,2,FALSE),"")</f>
        <v>200117</v>
      </c>
      <c r="L14" t="str">
        <f t="shared" si="4"/>
        <v>rg:None</v>
      </c>
      <c r="M14" s="4" t="str">
        <f t="shared" si="5"/>
        <v>rg:[]</v>
      </c>
      <c r="N14" t="s">
        <v>6517</v>
      </c>
      <c r="O14" t="s">
        <v>6517</v>
      </c>
      <c r="P14" t="s">
        <v>6517</v>
      </c>
    </row>
    <row r="15" spans="1:16" x14ac:dyDescent="0.3">
      <c r="A15" t="s">
        <v>5388</v>
      </c>
      <c r="B15">
        <f ca="1">INDEX(LocalAreas.csv!G:G,RANDBETWEEN(2,88))</f>
        <v>200027</v>
      </c>
      <c r="C15" t="str">
        <f t="shared" ca="1" si="0"/>
        <v>rg{'id': '200027'}'</v>
      </c>
      <c r="D15" s="1" t="str">
        <f ca="1">MID(Names!G15,FIND(" ",Names!G15)+1,LEN(Names!G15)-FIND(" ", Names!G15))&amp;" "&amp;INDEX(PROJ_EXT_Name,RANDBETWEEN(2,12))</f>
        <v>Wallace Street Bridge Replacement</v>
      </c>
      <c r="E15" s="1" t="s">
        <v>6978</v>
      </c>
      <c r="F15">
        <f t="shared" si="1"/>
        <v>40013</v>
      </c>
      <c r="G15">
        <f t="shared" si="2"/>
        <v>500013</v>
      </c>
      <c r="H15" t="s">
        <v>6694</v>
      </c>
      <c r="I15" s="8">
        <f t="shared" si="3"/>
        <v>600013</v>
      </c>
      <c r="J15" t="s">
        <v>6517</v>
      </c>
      <c r="K15">
        <f>IFERROR(VLOOKUP(E15,Contacts.csv!C:D,2,FALSE),"")</f>
        <v>200118</v>
      </c>
      <c r="L15" t="str">
        <f t="shared" si="4"/>
        <v>rg:None</v>
      </c>
      <c r="M15" s="4" t="str">
        <f t="shared" si="5"/>
        <v>rg:[]</v>
      </c>
      <c r="N15" t="s">
        <v>6517</v>
      </c>
      <c r="O15" t="s">
        <v>6517</v>
      </c>
      <c r="P15" t="s">
        <v>6517</v>
      </c>
    </row>
    <row r="16" spans="1:16" x14ac:dyDescent="0.3">
      <c r="A16" t="s">
        <v>5388</v>
      </c>
      <c r="B16">
        <f ca="1">INDEX(LocalAreas.csv!G:G,RANDBETWEEN(2,88))</f>
        <v>200086</v>
      </c>
      <c r="C16" t="str">
        <f t="shared" ca="1" si="0"/>
        <v>rg{'id': '200086'}'</v>
      </c>
      <c r="D16" s="1" t="str">
        <f ca="1">MID(Names!G16,FIND(" ",Names!G16)+1,LEN(Names!G16)-FIND(" ", Names!G16))&amp;" "&amp;INDEX(PROJ_EXT_Name,RANDBETWEEN(2,12))</f>
        <v>James Street Bridge</v>
      </c>
      <c r="E16" s="1" t="s">
        <v>6965</v>
      </c>
      <c r="F16">
        <f t="shared" si="1"/>
        <v>40014</v>
      </c>
      <c r="G16">
        <f t="shared" si="2"/>
        <v>500014</v>
      </c>
      <c r="H16" t="s">
        <v>6694</v>
      </c>
      <c r="I16" s="8">
        <f t="shared" si="3"/>
        <v>600014</v>
      </c>
      <c r="J16" t="s">
        <v>6517</v>
      </c>
      <c r="K16">
        <f>IFERROR(VLOOKUP(E16,Contacts.csv!C:D,2,FALSE),"")</f>
        <v>200119</v>
      </c>
      <c r="L16" t="str">
        <f t="shared" si="4"/>
        <v>rg:None</v>
      </c>
      <c r="M16" s="4" t="str">
        <f t="shared" si="5"/>
        <v>rg:[]</v>
      </c>
      <c r="N16" t="s">
        <v>6517</v>
      </c>
      <c r="O16" t="s">
        <v>6517</v>
      </c>
      <c r="P16" t="s">
        <v>6517</v>
      </c>
    </row>
    <row r="17" spans="1:16" x14ac:dyDescent="0.3">
      <c r="A17" t="s">
        <v>5388</v>
      </c>
      <c r="B17">
        <f ca="1">INDEX(LocalAreas.csv!G:G,RANDBETWEEN(2,88))</f>
        <v>200077</v>
      </c>
      <c r="C17" t="str">
        <f t="shared" ca="1" si="0"/>
        <v>rg{'id': '200077'}'</v>
      </c>
      <c r="D17" s="1" t="str">
        <f ca="1">MID(Names!G17,FIND(" ",Names!G17)+1,LEN(Names!G17)-FIND(" ", Names!G17))&amp;" "&amp;INDEX(PROJ_EXT_Name,RANDBETWEEN(2,12))</f>
        <v>Holdom Avenue Extension</v>
      </c>
      <c r="E17" s="1" t="s">
        <v>6979</v>
      </c>
      <c r="F17">
        <f t="shared" si="1"/>
        <v>40015</v>
      </c>
      <c r="G17">
        <f t="shared" si="2"/>
        <v>500015</v>
      </c>
      <c r="H17" t="s">
        <v>6694</v>
      </c>
      <c r="I17" s="8">
        <f t="shared" si="3"/>
        <v>600015</v>
      </c>
      <c r="J17" t="s">
        <v>6517</v>
      </c>
      <c r="K17">
        <f>IFERROR(VLOOKUP(E17,Contacts.csv!C:D,2,FALSE),"")</f>
        <v>200120</v>
      </c>
      <c r="L17" t="str">
        <f t="shared" si="4"/>
        <v>rg:None</v>
      </c>
      <c r="M17" s="4" t="str">
        <f t="shared" si="5"/>
        <v>rg:[]</v>
      </c>
      <c r="N17" t="s">
        <v>6517</v>
      </c>
      <c r="O17" t="s">
        <v>6517</v>
      </c>
      <c r="P17" t="s">
        <v>6517</v>
      </c>
    </row>
    <row r="18" spans="1:16" x14ac:dyDescent="0.3">
      <c r="A18" t="s">
        <v>5388</v>
      </c>
      <c r="B18">
        <f ca="1">INDEX(LocalAreas.csv!G:G,RANDBETWEEN(2,88))</f>
        <v>200022</v>
      </c>
      <c r="C18" t="str">
        <f t="shared" ca="1" si="0"/>
        <v>rg{'id': '200022'}'</v>
      </c>
      <c r="D18" s="1" t="str">
        <f ca="1">MID(Names!G18,FIND(" ",Names!G18)+1,LEN(Names!G18)-FIND(" ", Names!G18))&amp;" "&amp;INDEX(PROJ_EXT_Name,RANDBETWEEN(2,12))</f>
        <v>Roger Street Bridge</v>
      </c>
      <c r="E18" s="1" t="s">
        <v>6939</v>
      </c>
      <c r="F18">
        <f t="shared" si="1"/>
        <v>40016</v>
      </c>
      <c r="G18">
        <f t="shared" si="2"/>
        <v>500016</v>
      </c>
      <c r="H18" t="s">
        <v>6694</v>
      </c>
      <c r="I18" s="8">
        <f t="shared" si="3"/>
        <v>600016</v>
      </c>
      <c r="J18" t="s">
        <v>6517</v>
      </c>
      <c r="K18">
        <f>IFERROR(VLOOKUP(E18,Contacts.csv!C:D,2,FALSE),"")</f>
        <v>200121</v>
      </c>
      <c r="L18" t="str">
        <f t="shared" si="4"/>
        <v>rg:None</v>
      </c>
      <c r="M18" s="4" t="str">
        <f t="shared" si="5"/>
        <v>rg:[]</v>
      </c>
      <c r="N18" t="s">
        <v>6517</v>
      </c>
      <c r="O18" t="s">
        <v>6517</v>
      </c>
      <c r="P18" t="s">
        <v>6517</v>
      </c>
    </row>
    <row r="19" spans="1:16" x14ac:dyDescent="0.3">
      <c r="A19" t="s">
        <v>5388</v>
      </c>
      <c r="B19">
        <f ca="1">INDEX(LocalAreas.csv!G:G,RANDBETWEEN(2,88))</f>
        <v>200076</v>
      </c>
      <c r="C19" t="str">
        <f t="shared" ca="1" si="0"/>
        <v>rg{'id': '200076'}'</v>
      </c>
      <c r="D19" s="1" t="str">
        <f ca="1">MID(Names!G19,FIND(" ",Names!G19)+1,LEN(Names!G19)-FIND(" ", Names!G19))&amp;" "&amp;INDEX(PROJ_EXT_Name,RANDBETWEEN(2,12))</f>
        <v>Scotts Lane Upgrade</v>
      </c>
      <c r="E19" s="1" t="s">
        <v>6980</v>
      </c>
      <c r="F19">
        <f t="shared" si="1"/>
        <v>40017</v>
      </c>
      <c r="G19">
        <f t="shared" si="2"/>
        <v>500017</v>
      </c>
      <c r="H19" t="s">
        <v>6694</v>
      </c>
      <c r="I19" s="8">
        <f t="shared" si="3"/>
        <v>600017</v>
      </c>
      <c r="J19" t="s">
        <v>6517</v>
      </c>
      <c r="K19">
        <f>IFERROR(VLOOKUP(E19,Contacts.csv!C:D,2,FALSE),"")</f>
        <v>200122</v>
      </c>
      <c r="L19" t="str">
        <f t="shared" si="4"/>
        <v>rg:None</v>
      </c>
      <c r="M19" s="4" t="str">
        <f t="shared" si="5"/>
        <v>rg:[]</v>
      </c>
      <c r="N19" t="s">
        <v>6517</v>
      </c>
      <c r="O19" t="s">
        <v>6517</v>
      </c>
      <c r="P19" t="s">
        <v>6517</v>
      </c>
    </row>
    <row r="20" spans="1:16" x14ac:dyDescent="0.3">
      <c r="A20" t="s">
        <v>5388</v>
      </c>
      <c r="B20">
        <f ca="1">INDEX(LocalAreas.csv!G:G,RANDBETWEEN(2,88))</f>
        <v>200025</v>
      </c>
      <c r="C20" t="str">
        <f t="shared" ca="1" si="0"/>
        <v>rg{'id': '200025'}'</v>
      </c>
      <c r="D20" s="1" t="str">
        <f ca="1">MID(Names!G20,FIND(" ",Names!G20)+1,LEN(Names!G20)-FIND(" ", Names!G20))&amp;" "&amp;INDEX(PROJ_EXT_Name,RANDBETWEEN(2,12))</f>
        <v>Findlay Creek Road Bypass</v>
      </c>
      <c r="E20" s="1" t="s">
        <v>6907</v>
      </c>
      <c r="F20">
        <f t="shared" si="1"/>
        <v>40018</v>
      </c>
      <c r="G20">
        <f t="shared" si="2"/>
        <v>500018</v>
      </c>
      <c r="H20" t="s">
        <v>6694</v>
      </c>
      <c r="I20" s="8">
        <f t="shared" si="3"/>
        <v>600018</v>
      </c>
      <c r="J20" t="s">
        <v>6517</v>
      </c>
      <c r="K20">
        <f>IFERROR(VLOOKUP(E20,Contacts.csv!C:D,2,FALSE),"")</f>
        <v>200123</v>
      </c>
      <c r="L20" t="str">
        <f t="shared" si="4"/>
        <v>rg:None</v>
      </c>
      <c r="M20" s="4" t="str">
        <f t="shared" si="5"/>
        <v>rg:[]</v>
      </c>
      <c r="N20" t="s">
        <v>6517</v>
      </c>
      <c r="O20" t="s">
        <v>6517</v>
      </c>
      <c r="P20" t="s">
        <v>6517</v>
      </c>
    </row>
    <row r="21" spans="1:16" x14ac:dyDescent="0.3">
      <c r="A21" t="s">
        <v>5388</v>
      </c>
      <c r="B21">
        <f ca="1">INDEX(LocalAreas.csv!G:G,RANDBETWEEN(2,88))</f>
        <v>200085</v>
      </c>
      <c r="C21" t="str">
        <f t="shared" ca="1" si="0"/>
        <v>rg{'id': '200085'}'</v>
      </c>
      <c r="D21" s="1" t="str">
        <f ca="1">MID(Names!G21,FIND(" ",Names!G21)+1,LEN(Names!G21)-FIND(" ", Names!G21))&amp;" "&amp;INDEX(PROJ_EXT_Name,RANDBETWEEN(2,12))</f>
        <v>Sixth Street Upgrade</v>
      </c>
      <c r="E21" s="1" t="s">
        <v>6981</v>
      </c>
      <c r="F21">
        <f t="shared" si="1"/>
        <v>40019</v>
      </c>
      <c r="G21">
        <f t="shared" si="2"/>
        <v>500019</v>
      </c>
      <c r="H21" t="s">
        <v>6694</v>
      </c>
      <c r="I21" s="8">
        <f t="shared" si="3"/>
        <v>600019</v>
      </c>
      <c r="J21" t="s">
        <v>6517</v>
      </c>
      <c r="K21">
        <f>IFERROR(VLOOKUP(E21,Contacts.csv!C:D,2,FALSE),"")</f>
        <v>200124</v>
      </c>
      <c r="L21" t="str">
        <f t="shared" si="4"/>
        <v>rg:None</v>
      </c>
      <c r="M21" s="4" t="str">
        <f t="shared" si="5"/>
        <v>rg:[]</v>
      </c>
      <c r="N21" t="s">
        <v>6517</v>
      </c>
      <c r="O21" t="s">
        <v>6517</v>
      </c>
      <c r="P21" t="s">
        <v>6517</v>
      </c>
    </row>
    <row r="22" spans="1:16" x14ac:dyDescent="0.3">
      <c r="A22" t="s">
        <v>5388</v>
      </c>
      <c r="B22">
        <f ca="1">INDEX(LocalAreas.csv!G:G,RANDBETWEEN(2,88))</f>
        <v>200049</v>
      </c>
      <c r="C22" t="str">
        <f t="shared" ca="1" si="0"/>
        <v>rg{'id': '200049'}'</v>
      </c>
      <c r="D22" s="1" t="str">
        <f ca="1">MID(Names!G22,FIND(" ",Names!G22)+1,LEN(Names!G22)-FIND(" ", Names!G22))&amp;" "&amp;INDEX(PROJ_EXT_Name,RANDBETWEEN(2,12))</f>
        <v>Blanshard Cloverleaf</v>
      </c>
      <c r="E22" s="1" t="s">
        <v>6918</v>
      </c>
      <c r="F22">
        <f t="shared" si="1"/>
        <v>40020</v>
      </c>
      <c r="G22">
        <f t="shared" si="2"/>
        <v>500020</v>
      </c>
      <c r="H22" t="s">
        <v>6694</v>
      </c>
      <c r="I22" s="8">
        <f t="shared" si="3"/>
        <v>600020</v>
      </c>
      <c r="J22" t="s">
        <v>6517</v>
      </c>
      <c r="K22">
        <f>IFERROR(VLOOKUP(E22,Contacts.csv!C:D,2,FALSE),"")</f>
        <v>200125</v>
      </c>
      <c r="L22" t="str">
        <f t="shared" si="4"/>
        <v>rg:None</v>
      </c>
      <c r="M22" s="4" t="str">
        <f t="shared" si="5"/>
        <v>rg:[]</v>
      </c>
      <c r="N22" t="s">
        <v>6517</v>
      </c>
      <c r="O22" t="s">
        <v>6517</v>
      </c>
      <c r="P22" t="s">
        <v>6517</v>
      </c>
    </row>
    <row r="23" spans="1:16" x14ac:dyDescent="0.3">
      <c r="A23" t="s">
        <v>5388</v>
      </c>
      <c r="B23">
        <f ca="1">INDEX(LocalAreas.csv!G:G,RANDBETWEEN(2,88))</f>
        <v>200036</v>
      </c>
      <c r="C23" t="str">
        <f t="shared" ca="1" si="0"/>
        <v>rg{'id': '200036'}'</v>
      </c>
      <c r="D23" s="1" t="str">
        <f ca="1">MID(Names!G23,FIND(" ",Names!G23)+1,LEN(Names!G23)-FIND(" ", Names!G23))&amp;" "&amp;INDEX(PROJ_EXT_Name,RANDBETWEEN(2,12))</f>
        <v>King George Hwy Bypass</v>
      </c>
      <c r="E23" s="1" t="s">
        <v>6982</v>
      </c>
      <c r="F23">
        <f t="shared" si="1"/>
        <v>40021</v>
      </c>
      <c r="G23">
        <f t="shared" si="2"/>
        <v>500021</v>
      </c>
      <c r="H23" t="s">
        <v>6694</v>
      </c>
      <c r="I23" s="8">
        <f t="shared" si="3"/>
        <v>600021</v>
      </c>
      <c r="J23" t="s">
        <v>6517</v>
      </c>
      <c r="K23">
        <f>IFERROR(VLOOKUP(E23,Contacts.csv!C:D,2,FALSE),"")</f>
        <v>200126</v>
      </c>
      <c r="L23" t="str">
        <f t="shared" si="4"/>
        <v>rg:None</v>
      </c>
      <c r="M23" s="4" t="str">
        <f t="shared" si="5"/>
        <v>rg:[]</v>
      </c>
      <c r="N23" t="s">
        <v>6517</v>
      </c>
      <c r="O23" t="s">
        <v>6517</v>
      </c>
      <c r="P23" t="s">
        <v>6517</v>
      </c>
    </row>
    <row r="24" spans="1:16" x14ac:dyDescent="0.3">
      <c r="A24" t="s">
        <v>5388</v>
      </c>
      <c r="B24">
        <f ca="1">INDEX(LocalAreas.csv!G:G,RANDBETWEEN(2,88))</f>
        <v>200038</v>
      </c>
      <c r="C24" t="str">
        <f t="shared" ca="1" si="0"/>
        <v>rg{'id': '200038'}'</v>
      </c>
      <c r="D24" s="1" t="str">
        <f ca="1">MID(Names!G24,FIND(" ",Names!G24)+1,LEN(Names!G24)-FIND(" ", Names!G24))&amp;" "&amp;INDEX(PROJ_EXT_Name,RANDBETWEEN(2,12))</f>
        <v>Glover Road Extension</v>
      </c>
      <c r="E24" s="1" t="s">
        <v>6905</v>
      </c>
      <c r="F24">
        <f t="shared" si="1"/>
        <v>40022</v>
      </c>
      <c r="G24">
        <f t="shared" si="2"/>
        <v>500022</v>
      </c>
      <c r="H24" t="s">
        <v>6694</v>
      </c>
      <c r="I24" s="8">
        <f t="shared" si="3"/>
        <v>600022</v>
      </c>
      <c r="J24" t="s">
        <v>6517</v>
      </c>
      <c r="K24">
        <f>IFERROR(VLOOKUP(E24,Contacts.csv!C:D,2,FALSE),"")</f>
        <v>200127</v>
      </c>
      <c r="L24" t="str">
        <f t="shared" si="4"/>
        <v>rg:None</v>
      </c>
      <c r="M24" s="4" t="str">
        <f t="shared" si="5"/>
        <v>rg:[]</v>
      </c>
      <c r="N24" t="s">
        <v>6517</v>
      </c>
      <c r="O24" t="s">
        <v>6517</v>
      </c>
      <c r="P24" t="s">
        <v>6517</v>
      </c>
    </row>
    <row r="25" spans="1:16" x14ac:dyDescent="0.3">
      <c r="A25" t="s">
        <v>5388</v>
      </c>
      <c r="B25">
        <f ca="1">INDEX(LocalAreas.csv!G:G,RANDBETWEEN(2,88))</f>
        <v>200016</v>
      </c>
      <c r="C25" t="str">
        <f t="shared" ca="1" si="0"/>
        <v>rg{'id': '200016'}'</v>
      </c>
      <c r="D25" s="1" t="str">
        <f ca="1">MID(Names!G25,FIND(" ",Names!G25)+1,LEN(Names!G25)-FIND(" ", Names!G25))&amp;" "&amp;INDEX(PROJ_EXT_Name,RANDBETWEEN(2,12))</f>
        <v>Wallace Street Overpass</v>
      </c>
      <c r="E25" s="1" t="s">
        <v>6983</v>
      </c>
      <c r="F25">
        <f t="shared" si="1"/>
        <v>40023</v>
      </c>
      <c r="G25">
        <f t="shared" si="2"/>
        <v>500023</v>
      </c>
      <c r="H25" t="s">
        <v>6694</v>
      </c>
      <c r="I25" s="8">
        <f t="shared" si="3"/>
        <v>600023</v>
      </c>
      <c r="J25" t="s">
        <v>6517</v>
      </c>
      <c r="K25">
        <f>IFERROR(VLOOKUP(E25,Contacts.csv!C:D,2,FALSE),"")</f>
        <v>200128</v>
      </c>
      <c r="L25" t="str">
        <f t="shared" si="4"/>
        <v>rg:None</v>
      </c>
      <c r="M25" s="4" t="str">
        <f t="shared" si="5"/>
        <v>rg:[]</v>
      </c>
      <c r="N25" t="s">
        <v>6517</v>
      </c>
      <c r="O25" t="s">
        <v>6517</v>
      </c>
      <c r="P25" t="s">
        <v>6517</v>
      </c>
    </row>
    <row r="26" spans="1:16" x14ac:dyDescent="0.3">
      <c r="A26" t="s">
        <v>5388</v>
      </c>
      <c r="B26">
        <f ca="1">INDEX(LocalAreas.csv!G:G,RANDBETWEEN(2,88))</f>
        <v>200029</v>
      </c>
      <c r="C26" t="str">
        <f t="shared" ca="1" si="0"/>
        <v>rg{'id': '200029'}'</v>
      </c>
      <c r="D26" s="1" t="str">
        <f ca="1">MID(Names!G26,FIND(" ",Names!G26)+1,LEN(Names!G26)-FIND(" ", Names!G26))&amp;" "&amp;INDEX(PROJ_EXT_Name,RANDBETWEEN(2,12))</f>
        <v>Yoho Valley Road Bridge</v>
      </c>
      <c r="E26" s="1" t="s">
        <v>6984</v>
      </c>
      <c r="F26">
        <f t="shared" si="1"/>
        <v>40024</v>
      </c>
      <c r="G26">
        <f t="shared" si="2"/>
        <v>500024</v>
      </c>
      <c r="H26" t="s">
        <v>6694</v>
      </c>
      <c r="I26" s="8">
        <f t="shared" si="3"/>
        <v>600024</v>
      </c>
      <c r="J26" t="s">
        <v>6517</v>
      </c>
      <c r="K26">
        <f>IFERROR(VLOOKUP(E26,Contacts.csv!C:D,2,FALSE),"")</f>
        <v>200129</v>
      </c>
      <c r="L26" t="str">
        <f t="shared" si="4"/>
        <v>rg:None</v>
      </c>
      <c r="M26" s="4" t="str">
        <f t="shared" si="5"/>
        <v>rg:[]</v>
      </c>
      <c r="N26" t="s">
        <v>6517</v>
      </c>
      <c r="O26" t="s">
        <v>6517</v>
      </c>
      <c r="P26" t="s">
        <v>6517</v>
      </c>
    </row>
    <row r="27" spans="1:16" x14ac:dyDescent="0.3">
      <c r="A27" t="s">
        <v>5388</v>
      </c>
      <c r="B27">
        <f ca="1">INDEX(LocalAreas.csv!G:G,RANDBETWEEN(2,88))</f>
        <v>200003</v>
      </c>
      <c r="C27" t="str">
        <f t="shared" ca="1" si="0"/>
        <v>rg{'id': '200003'}'</v>
      </c>
      <c r="D27" s="1" t="str">
        <f ca="1">MID(Names!G27,FIND(" ",Names!G27)+1,LEN(Names!G27)-FIND(" ", Names!G27))&amp;" "&amp;INDEX(PROJ_EXT_Name,RANDBETWEEN(2,12))</f>
        <v>Burdett Avenue Bridge Replacement</v>
      </c>
      <c r="E27" s="1" t="s">
        <v>6933</v>
      </c>
      <c r="F27">
        <f t="shared" si="1"/>
        <v>40025</v>
      </c>
      <c r="G27">
        <f t="shared" si="2"/>
        <v>500025</v>
      </c>
      <c r="H27" t="s">
        <v>6694</v>
      </c>
      <c r="I27" s="8">
        <f t="shared" si="3"/>
        <v>600025</v>
      </c>
      <c r="J27" t="s">
        <v>6517</v>
      </c>
      <c r="K27">
        <f>IFERROR(VLOOKUP(E27,Contacts.csv!C:D,2,FALSE),"")</f>
        <v>200130</v>
      </c>
      <c r="L27" t="str">
        <f t="shared" si="4"/>
        <v>rg:None</v>
      </c>
      <c r="M27" s="4" t="str">
        <f t="shared" si="5"/>
        <v>rg:[]</v>
      </c>
      <c r="N27" t="s">
        <v>6517</v>
      </c>
      <c r="O27" t="s">
        <v>6517</v>
      </c>
      <c r="P27" t="s">
        <v>6517</v>
      </c>
    </row>
    <row r="28" spans="1:16" x14ac:dyDescent="0.3">
      <c r="A28" t="s">
        <v>5388</v>
      </c>
      <c r="B28">
        <f ca="1">INDEX(LocalAreas.csv!G:G,RANDBETWEEN(2,88))</f>
        <v>200079</v>
      </c>
      <c r="C28" t="str">
        <f t="shared" ca="1" si="0"/>
        <v>rg{'id': '200079'}'</v>
      </c>
      <c r="D28" s="1" t="str">
        <f ca="1">MID(Names!G28,FIND(" ",Names!G28)+1,LEN(Names!G28)-FIND(" ", Names!G28))&amp;" "&amp;INDEX(PROJ_EXT_Name,RANDBETWEEN(2,12))</f>
        <v>Cordova Street Upgrade</v>
      </c>
      <c r="E28" s="1" t="s">
        <v>6985</v>
      </c>
      <c r="F28">
        <f t="shared" si="1"/>
        <v>40026</v>
      </c>
      <c r="G28">
        <f t="shared" si="2"/>
        <v>500026</v>
      </c>
      <c r="H28" t="s">
        <v>6694</v>
      </c>
      <c r="I28" s="8">
        <f t="shared" si="3"/>
        <v>600026</v>
      </c>
      <c r="J28" t="s">
        <v>6517</v>
      </c>
      <c r="K28">
        <f>IFERROR(VLOOKUP(E28,Contacts.csv!C:D,2,FALSE),"")</f>
        <v>200131</v>
      </c>
      <c r="L28" t="str">
        <f t="shared" si="4"/>
        <v>rg:None</v>
      </c>
      <c r="M28" s="4" t="str">
        <f t="shared" si="5"/>
        <v>rg:[]</v>
      </c>
      <c r="N28" t="s">
        <v>6517</v>
      </c>
      <c r="O28" t="s">
        <v>6517</v>
      </c>
      <c r="P28" t="s">
        <v>6517</v>
      </c>
    </row>
    <row r="29" spans="1:16" x14ac:dyDescent="0.3">
      <c r="A29" t="s">
        <v>5388</v>
      </c>
      <c r="B29">
        <f ca="1">INDEX(LocalAreas.csv!G:G,RANDBETWEEN(2,88))</f>
        <v>200034</v>
      </c>
      <c r="C29" t="str">
        <f t="shared" ca="1" si="0"/>
        <v>rg{'id': '200034'}'</v>
      </c>
      <c r="D29" s="1" t="str">
        <f ca="1">MID(Names!G29,FIND(" ",Names!G29)+1,LEN(Names!G29)-FIND(" ", Names!G29))&amp;" "&amp;INDEX(PROJ_EXT_Name,RANDBETWEEN(2,12))</f>
        <v>Glover Road Bypass</v>
      </c>
      <c r="E29" s="1" t="s">
        <v>6955</v>
      </c>
      <c r="F29">
        <f t="shared" si="1"/>
        <v>40027</v>
      </c>
      <c r="G29">
        <f t="shared" si="2"/>
        <v>500027</v>
      </c>
      <c r="H29" t="s">
        <v>6694</v>
      </c>
      <c r="I29" s="8">
        <f t="shared" si="3"/>
        <v>600027</v>
      </c>
      <c r="J29" t="s">
        <v>6517</v>
      </c>
      <c r="K29">
        <f>IFERROR(VLOOKUP(E29,Contacts.csv!C:D,2,FALSE),"")</f>
        <v>200132</v>
      </c>
      <c r="L29" t="str">
        <f t="shared" si="4"/>
        <v>rg:None</v>
      </c>
      <c r="M29" s="4" t="str">
        <f t="shared" si="5"/>
        <v>rg:[]</v>
      </c>
      <c r="N29" t="s">
        <v>6517</v>
      </c>
      <c r="O29" t="s">
        <v>6517</v>
      </c>
      <c r="P29" t="s">
        <v>6517</v>
      </c>
    </row>
    <row r="30" spans="1:16" x14ac:dyDescent="0.3">
      <c r="A30" t="s">
        <v>5388</v>
      </c>
      <c r="B30">
        <f ca="1">INDEX(LocalAreas.csv!G:G,RANDBETWEEN(2,88))</f>
        <v>200077</v>
      </c>
      <c r="C30" t="str">
        <f t="shared" ca="1" si="0"/>
        <v>rg{'id': '200077'}'</v>
      </c>
      <c r="D30" s="1" t="str">
        <f ca="1">MID(Names!G30,FIND(" ",Names!G30)+1,LEN(Names!G30)-FIND(" ", Names!G30))&amp;" "&amp;INDEX(PROJ_EXT_Name,RANDBETWEEN(2,12))</f>
        <v>Scotts Lane Bridge</v>
      </c>
      <c r="E30" s="1" t="s">
        <v>6986</v>
      </c>
      <c r="F30">
        <f t="shared" si="1"/>
        <v>40028</v>
      </c>
      <c r="G30">
        <f t="shared" si="2"/>
        <v>500028</v>
      </c>
      <c r="H30" t="s">
        <v>6694</v>
      </c>
      <c r="I30" s="8">
        <f t="shared" si="3"/>
        <v>600028</v>
      </c>
      <c r="J30" t="s">
        <v>6517</v>
      </c>
      <c r="K30">
        <f>IFERROR(VLOOKUP(E30,Contacts.csv!C:D,2,FALSE),"")</f>
        <v>200133</v>
      </c>
      <c r="L30" t="str">
        <f t="shared" si="4"/>
        <v>rg:None</v>
      </c>
      <c r="M30" s="4" t="str">
        <f t="shared" si="5"/>
        <v>rg:[]</v>
      </c>
      <c r="N30" t="s">
        <v>6517</v>
      </c>
      <c r="O30" t="s">
        <v>6517</v>
      </c>
      <c r="P30" t="s">
        <v>6517</v>
      </c>
    </row>
    <row r="31" spans="1:16" x14ac:dyDescent="0.3">
      <c r="A31" t="s">
        <v>5388</v>
      </c>
      <c r="B31">
        <f ca="1">INDEX(LocalAreas.csv!G:G,RANDBETWEEN(2,88))</f>
        <v>200063</v>
      </c>
      <c r="C31" t="str">
        <f t="shared" ca="1" si="0"/>
        <v>rg{'id': '200063'}'</v>
      </c>
      <c r="D31" s="1" t="str">
        <f ca="1">MID(Names!G31,FIND(" ",Names!G31)+1,LEN(Names!G31)-FIND(" ", Names!G31))&amp;" "&amp;INDEX(PROJ_EXT_Name,RANDBETWEEN(2,12))</f>
        <v>Nootka Street Express Lane</v>
      </c>
      <c r="E31" s="1" t="s">
        <v>6987</v>
      </c>
      <c r="F31">
        <f t="shared" si="1"/>
        <v>40029</v>
      </c>
      <c r="G31">
        <f t="shared" si="2"/>
        <v>500029</v>
      </c>
      <c r="H31" t="s">
        <v>6694</v>
      </c>
      <c r="I31" s="8">
        <f t="shared" si="3"/>
        <v>600029</v>
      </c>
      <c r="J31" t="s">
        <v>6517</v>
      </c>
      <c r="K31">
        <f>IFERROR(VLOOKUP(E31,Contacts.csv!C:D,2,FALSE),"")</f>
        <v>200134</v>
      </c>
      <c r="L31" t="str">
        <f t="shared" si="4"/>
        <v>rg:None</v>
      </c>
      <c r="M31" s="4" t="str">
        <f t="shared" si="5"/>
        <v>rg:[]</v>
      </c>
      <c r="N31" t="s">
        <v>6517</v>
      </c>
      <c r="O31" t="s">
        <v>6517</v>
      </c>
      <c r="P31" t="s">
        <v>6517</v>
      </c>
    </row>
    <row r="32" spans="1:16" x14ac:dyDescent="0.3">
      <c r="A32" t="s">
        <v>5388</v>
      </c>
      <c r="B32">
        <f ca="1">INDEX(LocalAreas.csv!G:G,RANDBETWEEN(2,88))</f>
        <v>200062</v>
      </c>
      <c r="C32" t="str">
        <f t="shared" ca="1" si="0"/>
        <v>rg{'id': '200062'}'</v>
      </c>
      <c r="D32" s="1" t="str">
        <f ca="1">MID(Names!G32,FIND(" ",Names!G32)+1,LEN(Names!G32)-FIND(" ", Names!G32))&amp;" "&amp;INDEX(PROJ_EXT_Name,RANDBETWEEN(2,12))</f>
        <v>Nootka Street Extension</v>
      </c>
      <c r="E32" s="1" t="s">
        <v>6988</v>
      </c>
      <c r="F32">
        <f t="shared" si="1"/>
        <v>40030</v>
      </c>
      <c r="G32">
        <f t="shared" si="2"/>
        <v>500030</v>
      </c>
      <c r="H32" t="s">
        <v>6694</v>
      </c>
      <c r="I32" s="8">
        <f t="shared" si="3"/>
        <v>600030</v>
      </c>
      <c r="J32" t="s">
        <v>6517</v>
      </c>
      <c r="K32">
        <f>IFERROR(VLOOKUP(E32,Contacts.csv!C:D,2,FALSE),"")</f>
        <v>200135</v>
      </c>
      <c r="L32" t="str">
        <f t="shared" si="4"/>
        <v>rg:None</v>
      </c>
      <c r="M32" s="4" t="str">
        <f t="shared" si="5"/>
        <v>rg:[]</v>
      </c>
      <c r="N32" t="s">
        <v>6517</v>
      </c>
      <c r="O32" t="s">
        <v>6517</v>
      </c>
      <c r="P32" t="s">
        <v>6517</v>
      </c>
    </row>
    <row r="33" spans="1:16" x14ac:dyDescent="0.3">
      <c r="A33" t="s">
        <v>5388</v>
      </c>
      <c r="B33">
        <f ca="1">INDEX(LocalAreas.csv!G:G,RANDBETWEEN(2,88))</f>
        <v>200000</v>
      </c>
      <c r="C33" t="str">
        <f t="shared" ca="1" si="0"/>
        <v>rg{'id': '200000'}'</v>
      </c>
      <c r="D33" s="1" t="str">
        <f ca="1">MID(Names!G33,FIND(" ",Names!G33)+1,LEN(Names!G33)-FIND(" ", Names!G33))&amp;" "&amp;INDEX(PROJ_EXT_Name,RANDBETWEEN(2,12))</f>
        <v>Kinchant St Bridge Replacement</v>
      </c>
      <c r="E33" s="1" t="s">
        <v>6989</v>
      </c>
      <c r="F33">
        <f t="shared" si="1"/>
        <v>40031</v>
      </c>
      <c r="G33">
        <f t="shared" si="2"/>
        <v>500031</v>
      </c>
      <c r="H33" t="s">
        <v>6694</v>
      </c>
      <c r="I33" s="8">
        <f t="shared" si="3"/>
        <v>600031</v>
      </c>
      <c r="J33" t="s">
        <v>6517</v>
      </c>
      <c r="K33">
        <f>IFERROR(VLOOKUP(E33,Contacts.csv!C:D,2,FALSE),"")</f>
        <v>200136</v>
      </c>
      <c r="L33" t="str">
        <f t="shared" si="4"/>
        <v>rg:None</v>
      </c>
      <c r="M33" s="4" t="str">
        <f t="shared" si="5"/>
        <v>rg:[]</v>
      </c>
      <c r="N33" t="s">
        <v>6517</v>
      </c>
      <c r="O33" t="s">
        <v>6517</v>
      </c>
      <c r="P33" t="s">
        <v>6517</v>
      </c>
    </row>
    <row r="34" spans="1:16" x14ac:dyDescent="0.3">
      <c r="A34" t="s">
        <v>5388</v>
      </c>
      <c r="B34">
        <f ca="1">INDEX(LocalAreas.csv!G:G,RANDBETWEEN(2,88))</f>
        <v>200002</v>
      </c>
      <c r="C34" t="str">
        <f t="shared" ca="1" si="0"/>
        <v>rg{'id': '200002'}'</v>
      </c>
      <c r="D34" s="1" t="str">
        <f ca="1">MID(Names!G34,FIND(" ",Names!G34)+1,LEN(Names!G34)-FIND(" ", Names!G34))&amp;" "&amp;INDEX(PROJ_EXT_Name,RANDBETWEEN(2,12))</f>
        <v>Queens Bay Bridge</v>
      </c>
      <c r="E34" s="1" t="s">
        <v>6990</v>
      </c>
      <c r="F34">
        <f t="shared" si="1"/>
        <v>40032</v>
      </c>
      <c r="G34">
        <f t="shared" si="2"/>
        <v>500032</v>
      </c>
      <c r="H34" t="s">
        <v>6694</v>
      </c>
      <c r="I34" s="8">
        <f t="shared" si="3"/>
        <v>600032</v>
      </c>
      <c r="J34" t="s">
        <v>6517</v>
      </c>
      <c r="K34">
        <f>IFERROR(VLOOKUP(E34,Contacts.csv!C:D,2,FALSE),"")</f>
        <v>200137</v>
      </c>
      <c r="L34" t="str">
        <f t="shared" si="4"/>
        <v>rg:None</v>
      </c>
      <c r="M34" s="4" t="str">
        <f t="shared" si="5"/>
        <v>rg:[]</v>
      </c>
      <c r="N34" t="s">
        <v>6517</v>
      </c>
      <c r="O34" t="s">
        <v>6517</v>
      </c>
      <c r="P34" t="s">
        <v>6517</v>
      </c>
    </row>
    <row r="35" spans="1:16" x14ac:dyDescent="0.3">
      <c r="A35" t="s">
        <v>5388</v>
      </c>
      <c r="B35">
        <f ca="1">INDEX(LocalAreas.csv!G:G,RANDBETWEEN(2,88))</f>
        <v>200069</v>
      </c>
      <c r="C35" t="str">
        <f t="shared" ca="1" si="0"/>
        <v>rg{'id': '200069'}'</v>
      </c>
      <c r="D35" s="1" t="str">
        <f ca="1">MID(Names!G35,FIND(" ",Names!G35)+1,LEN(Names!G35)-FIND(" ", Names!G35))&amp;" "&amp;INDEX(PROJ_EXT_Name,RANDBETWEEN(2,12))</f>
        <v>102nd Avenue HOV Lane</v>
      </c>
      <c r="E35" s="1" t="s">
        <v>6923</v>
      </c>
      <c r="F35">
        <f t="shared" si="1"/>
        <v>40033</v>
      </c>
      <c r="G35">
        <f t="shared" si="2"/>
        <v>500033</v>
      </c>
      <c r="H35" t="s">
        <v>6694</v>
      </c>
      <c r="I35" s="8">
        <f t="shared" si="3"/>
        <v>600033</v>
      </c>
      <c r="J35" t="s">
        <v>6517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6517</v>
      </c>
      <c r="O35" t="s">
        <v>6517</v>
      </c>
      <c r="P35" t="s">
        <v>6517</v>
      </c>
    </row>
    <row r="36" spans="1:16" x14ac:dyDescent="0.3">
      <c r="A36" t="s">
        <v>5388</v>
      </c>
      <c r="B36">
        <f ca="1">INDEX(LocalAreas.csv!G:G,RANDBETWEEN(2,88))</f>
        <v>200018</v>
      </c>
      <c r="C36" t="str">
        <f t="shared" ca="1" si="0"/>
        <v>rg{'id': '200018'}'</v>
      </c>
      <c r="D36" s="1" t="str">
        <f ca="1">MID(Names!G36,FIND(" ",Names!G36)+1,LEN(Names!G36)-FIND(" ", Names!G36))&amp;" "&amp;INDEX(PROJ_EXT_Name,RANDBETWEEN(2,12))</f>
        <v>Kinchant St Bridge</v>
      </c>
      <c r="E36" s="1" t="s">
        <v>6991</v>
      </c>
      <c r="F36">
        <f t="shared" si="1"/>
        <v>40034</v>
      </c>
      <c r="G36">
        <f t="shared" si="2"/>
        <v>500034</v>
      </c>
      <c r="H36" t="s">
        <v>6694</v>
      </c>
      <c r="I36" s="8">
        <f t="shared" si="3"/>
        <v>600034</v>
      </c>
      <c r="J36" t="s">
        <v>6517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6517</v>
      </c>
      <c r="O36" t="s">
        <v>6517</v>
      </c>
      <c r="P36" t="s">
        <v>6517</v>
      </c>
    </row>
    <row r="37" spans="1:16" x14ac:dyDescent="0.3">
      <c r="A37" t="s">
        <v>5388</v>
      </c>
      <c r="B37">
        <f ca="1">INDEX(LocalAreas.csv!G:G,RANDBETWEEN(2,88))</f>
        <v>200038</v>
      </c>
      <c r="C37" t="str">
        <f t="shared" ca="1" si="0"/>
        <v>rg{'id': '200038'}'</v>
      </c>
      <c r="D37" s="1" t="str">
        <f ca="1">MID(Names!G37,FIND(" ",Names!G37)+1,LEN(Names!G37)-FIND(" ", Names!G37))&amp;" "&amp;INDEX(PROJ_EXT_Name,RANDBETWEEN(2,12))</f>
        <v>Blanshard Bypass</v>
      </c>
      <c r="E37" s="1" t="s">
        <v>6929</v>
      </c>
      <c r="F37">
        <f t="shared" si="1"/>
        <v>40035</v>
      </c>
      <c r="G37">
        <f t="shared" si="2"/>
        <v>500035</v>
      </c>
      <c r="H37" t="s">
        <v>6694</v>
      </c>
      <c r="I37" s="8">
        <f t="shared" si="3"/>
        <v>600035</v>
      </c>
      <c r="J37" t="s">
        <v>6517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6517</v>
      </c>
      <c r="O37" t="s">
        <v>6517</v>
      </c>
      <c r="P37" t="s">
        <v>6517</v>
      </c>
    </row>
    <row r="38" spans="1:16" x14ac:dyDescent="0.3">
      <c r="A38" t="s">
        <v>5388</v>
      </c>
      <c r="B38">
        <f ca="1">INDEX(LocalAreas.csv!G:G,RANDBETWEEN(2,88))</f>
        <v>200039</v>
      </c>
      <c r="C38" t="str">
        <f t="shared" ca="1" si="0"/>
        <v>rg{'id': '200039'}'</v>
      </c>
      <c r="D38" s="1" t="str">
        <f ca="1">MID(Names!G38,FIND(" ",Names!G38)+1,LEN(Names!G38)-FIND(" ", Names!G38))&amp;" "&amp;INDEX(PROJ_EXT_Name,RANDBETWEEN(2,12))</f>
        <v>Robson St Express Lane</v>
      </c>
      <c r="E38" s="1" t="s">
        <v>6992</v>
      </c>
      <c r="F38">
        <f t="shared" si="1"/>
        <v>40036</v>
      </c>
      <c r="G38">
        <f t="shared" si="2"/>
        <v>500036</v>
      </c>
      <c r="H38" t="s">
        <v>6694</v>
      </c>
      <c r="I38" s="8">
        <f t="shared" si="3"/>
        <v>600036</v>
      </c>
      <c r="J38" t="s">
        <v>6517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6517</v>
      </c>
      <c r="O38" t="s">
        <v>6517</v>
      </c>
      <c r="P38" t="s">
        <v>6517</v>
      </c>
    </row>
    <row r="39" spans="1:16" x14ac:dyDescent="0.3">
      <c r="A39" t="s">
        <v>5388</v>
      </c>
      <c r="B39">
        <f ca="1">INDEX(LocalAreas.csv!G:G,RANDBETWEEN(2,88))</f>
        <v>200041</v>
      </c>
      <c r="C39" t="str">
        <f t="shared" ca="1" si="0"/>
        <v>rg{'id': '200041'}'</v>
      </c>
      <c r="D39" s="1" t="str">
        <f ca="1">MID(Names!G39,FIND(" ",Names!G39)+1,LEN(Names!G39)-FIND(" ", Names!G39))&amp;" "&amp;INDEX(PROJ_EXT_Name,RANDBETWEEN(2,12))</f>
        <v>Findlay Creek Road Extension</v>
      </c>
      <c r="E39" s="1" t="s">
        <v>6993</v>
      </c>
      <c r="F39">
        <f t="shared" si="1"/>
        <v>40037</v>
      </c>
      <c r="G39">
        <f t="shared" si="2"/>
        <v>500037</v>
      </c>
      <c r="H39" t="s">
        <v>6694</v>
      </c>
      <c r="I39" s="8">
        <f t="shared" si="3"/>
        <v>600037</v>
      </c>
      <c r="J39" t="s">
        <v>6517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6517</v>
      </c>
      <c r="O39" t="s">
        <v>6517</v>
      </c>
      <c r="P39" t="s">
        <v>6517</v>
      </c>
    </row>
    <row r="40" spans="1:16" x14ac:dyDescent="0.3">
      <c r="A40" t="s">
        <v>5388</v>
      </c>
      <c r="B40">
        <f ca="1">INDEX(LocalAreas.csv!G:G,RANDBETWEEN(2,88))</f>
        <v>200074</v>
      </c>
      <c r="C40" t="str">
        <f t="shared" ca="1" si="0"/>
        <v>rg{'id': '200074'}'</v>
      </c>
      <c r="D40" s="1" t="str">
        <f ca="1">MID(Names!G40,FIND(" ",Names!G40)+1,LEN(Names!G40)-FIND(" ", Names!G40))&amp;" "&amp;INDEX(PROJ_EXT_Name,RANDBETWEEN(2,12))</f>
        <v>Roger Street Extension</v>
      </c>
      <c r="E40" s="1" t="s">
        <v>6941</v>
      </c>
      <c r="F40">
        <f t="shared" si="1"/>
        <v>40038</v>
      </c>
      <c r="G40">
        <f t="shared" si="2"/>
        <v>500038</v>
      </c>
      <c r="H40" t="s">
        <v>6694</v>
      </c>
      <c r="I40" s="8">
        <f t="shared" si="3"/>
        <v>600038</v>
      </c>
      <c r="J40" t="s">
        <v>6517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6517</v>
      </c>
      <c r="O40" t="s">
        <v>6517</v>
      </c>
      <c r="P40" t="s">
        <v>6517</v>
      </c>
    </row>
    <row r="41" spans="1:16" x14ac:dyDescent="0.3">
      <c r="A41" t="s">
        <v>5388</v>
      </c>
      <c r="B41">
        <f ca="1">INDEX(LocalAreas.csv!G:G,RANDBETWEEN(2,88))</f>
        <v>200020</v>
      </c>
      <c r="C41" t="str">
        <f t="shared" ca="1" si="0"/>
        <v>rg{'id': '200020'}'</v>
      </c>
      <c r="D41" s="1" t="str">
        <f ca="1">MID(Names!G41,FIND(" ",Names!G41)+1,LEN(Names!G41)-FIND(" ", Names!G41))&amp;" "&amp;INDEX(PROJ_EXT_Name,RANDBETWEEN(2,12))</f>
        <v>Cardero St Cloverleaf</v>
      </c>
      <c r="E41" s="1" t="s">
        <v>6994</v>
      </c>
      <c r="F41">
        <f t="shared" si="1"/>
        <v>40039</v>
      </c>
      <c r="G41">
        <f t="shared" si="2"/>
        <v>500039</v>
      </c>
      <c r="H41" t="s">
        <v>6694</v>
      </c>
      <c r="I41" s="8">
        <f t="shared" si="3"/>
        <v>600039</v>
      </c>
      <c r="J41" t="s">
        <v>6517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6517</v>
      </c>
      <c r="O41" t="s">
        <v>6517</v>
      </c>
      <c r="P41" t="s">
        <v>6517</v>
      </c>
    </row>
    <row r="42" spans="1:16" x14ac:dyDescent="0.3">
      <c r="A42" t="s">
        <v>5388</v>
      </c>
      <c r="B42">
        <f ca="1">INDEX(LocalAreas.csv!G:G,RANDBETWEEN(2,88))</f>
        <v>200083</v>
      </c>
      <c r="C42" t="str">
        <f t="shared" ca="1" si="0"/>
        <v>rg{'id': '200083'}'</v>
      </c>
      <c r="D42" s="1" t="str">
        <f ca="1">MID(Names!G42,FIND(" ",Names!G42)+1,LEN(Names!G42)-FIND(" ", Names!G42))&amp;" "&amp;INDEX(PROJ_EXT_Name,RANDBETWEEN(2,12))</f>
        <v>Blind Bay Road Building</v>
      </c>
      <c r="E42" s="1" t="s">
        <v>6959</v>
      </c>
      <c r="F42">
        <f t="shared" si="1"/>
        <v>40040</v>
      </c>
      <c r="G42">
        <f t="shared" si="2"/>
        <v>500040</v>
      </c>
      <c r="H42" t="s">
        <v>6694</v>
      </c>
      <c r="I42" s="8">
        <f t="shared" si="3"/>
        <v>600040</v>
      </c>
      <c r="J42" t="s">
        <v>6517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6517</v>
      </c>
      <c r="O42" t="s">
        <v>6517</v>
      </c>
      <c r="P42" t="s">
        <v>6517</v>
      </c>
    </row>
    <row r="43" spans="1:16" x14ac:dyDescent="0.3">
      <c r="A43" t="s">
        <v>5388</v>
      </c>
      <c r="B43">
        <f ca="1">INDEX(LocalAreas.csv!G:G,RANDBETWEEN(2,88))</f>
        <v>200017</v>
      </c>
      <c r="C43" t="str">
        <f t="shared" ca="1" si="0"/>
        <v>rg{'id': '200017'}'</v>
      </c>
      <c r="D43" s="1" t="str">
        <f ca="1">MID(Names!G43,FIND(" ",Names!G43)+1,LEN(Names!G43)-FIND(" ", Names!G43))&amp;" "&amp;INDEX(PROJ_EXT_Name,RANDBETWEEN(2,12))</f>
        <v>Old Spallumcheen Rd Bridge</v>
      </c>
      <c r="E43" s="1" t="s">
        <v>6995</v>
      </c>
      <c r="F43">
        <f t="shared" si="1"/>
        <v>40041</v>
      </c>
      <c r="G43">
        <f t="shared" si="2"/>
        <v>500041</v>
      </c>
      <c r="H43" t="s">
        <v>6694</v>
      </c>
      <c r="I43" s="8">
        <f t="shared" si="3"/>
        <v>600041</v>
      </c>
      <c r="J43" t="s">
        <v>6517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6517</v>
      </c>
      <c r="O43" t="s">
        <v>6517</v>
      </c>
      <c r="P43" t="s">
        <v>6517</v>
      </c>
    </row>
    <row r="44" spans="1:16" x14ac:dyDescent="0.3">
      <c r="A44" t="s">
        <v>5388</v>
      </c>
      <c r="B44">
        <f ca="1">INDEX(LocalAreas.csv!G:G,RANDBETWEEN(2,88))</f>
        <v>200021</v>
      </c>
      <c r="C44" t="str">
        <f t="shared" ca="1" si="0"/>
        <v>rg{'id': '200021'}'</v>
      </c>
      <c r="D44" s="1" t="str">
        <f ca="1">MID(Names!G44,FIND(" ",Names!G44)+1,LEN(Names!G44)-FIND(" ", Names!G44))&amp;" "&amp;INDEX(PROJ_EXT_Name,RANDBETWEEN(2,12))</f>
        <v>Roger Street Bypass</v>
      </c>
      <c r="E44" s="1" t="s">
        <v>6996</v>
      </c>
      <c r="F44">
        <f t="shared" si="1"/>
        <v>40042</v>
      </c>
      <c r="G44">
        <f t="shared" si="2"/>
        <v>500042</v>
      </c>
      <c r="H44" t="s">
        <v>6694</v>
      </c>
      <c r="I44" s="8">
        <f t="shared" si="3"/>
        <v>600042</v>
      </c>
      <c r="J44" t="s">
        <v>6517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6517</v>
      </c>
      <c r="O44" t="s">
        <v>6517</v>
      </c>
      <c r="P44" t="s">
        <v>6517</v>
      </c>
    </row>
    <row r="45" spans="1:16" x14ac:dyDescent="0.3">
      <c r="A45" t="s">
        <v>5388</v>
      </c>
      <c r="B45">
        <f ca="1">INDEX(LocalAreas.csv!G:G,RANDBETWEEN(2,88))</f>
        <v>200068</v>
      </c>
      <c r="C45" t="str">
        <f t="shared" ca="1" si="0"/>
        <v>rg{'id': '200068'}'</v>
      </c>
      <c r="D45" s="1" t="str">
        <f ca="1">MID(Names!G45,FIND(" ",Names!G45)+1,LEN(Names!G45)-FIND(" ", Names!G45))&amp;" "&amp;INDEX(PROJ_EXT_Name,RANDBETWEEN(2,12))</f>
        <v>Keith Road Bridge</v>
      </c>
      <c r="E45" s="1" t="s">
        <v>6997</v>
      </c>
      <c r="F45">
        <f t="shared" si="1"/>
        <v>40043</v>
      </c>
      <c r="G45">
        <f t="shared" si="2"/>
        <v>500043</v>
      </c>
      <c r="H45" t="s">
        <v>6694</v>
      </c>
      <c r="I45" s="8">
        <f t="shared" si="3"/>
        <v>600043</v>
      </c>
      <c r="J45" t="s">
        <v>6517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6517</v>
      </c>
      <c r="O45" t="s">
        <v>6517</v>
      </c>
      <c r="P45" t="s">
        <v>6517</v>
      </c>
    </row>
    <row r="46" spans="1:16" x14ac:dyDescent="0.3">
      <c r="A46" t="s">
        <v>5388</v>
      </c>
      <c r="B46">
        <f ca="1">INDEX(LocalAreas.csv!G:G,RANDBETWEEN(2,88))</f>
        <v>200086</v>
      </c>
      <c r="C46" t="str">
        <f t="shared" ca="1" si="0"/>
        <v>rg{'id': '200086'}'</v>
      </c>
      <c r="D46" s="1" t="str">
        <f ca="1">MID(Names!G46,FIND(" ",Names!G46)+1,LEN(Names!G46)-FIND(" ", Names!G46))&amp;" "&amp;INDEX(PROJ_EXT_Name,RANDBETWEEN(2,12))</f>
        <v>Burdett Avenue Express Lane</v>
      </c>
      <c r="E46" s="1" t="s">
        <v>6958</v>
      </c>
      <c r="F46">
        <f t="shared" si="1"/>
        <v>40044</v>
      </c>
      <c r="G46">
        <f t="shared" si="2"/>
        <v>500044</v>
      </c>
      <c r="H46" t="s">
        <v>6694</v>
      </c>
      <c r="I46" s="8">
        <f t="shared" si="3"/>
        <v>600044</v>
      </c>
      <c r="J46" t="s">
        <v>6517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6517</v>
      </c>
      <c r="O46" t="s">
        <v>6517</v>
      </c>
      <c r="P46" t="s">
        <v>6517</v>
      </c>
    </row>
    <row r="47" spans="1:16" x14ac:dyDescent="0.3">
      <c r="A47" t="s">
        <v>5388</v>
      </c>
      <c r="B47">
        <f ca="1">INDEX(LocalAreas.csv!G:G,RANDBETWEEN(2,88))</f>
        <v>200073</v>
      </c>
      <c r="C47" t="str">
        <f t="shared" ca="1" si="0"/>
        <v>rg{'id': '200073'}'</v>
      </c>
      <c r="D47" s="1" t="str">
        <f ca="1">MID(Names!G47,FIND(" ",Names!G47)+1,LEN(Names!G47)-FIND(" ", Names!G47))&amp;" "&amp;INDEX(PROJ_EXT_Name,RANDBETWEEN(2,12))</f>
        <v>Brew Creek Rd HOV Lane</v>
      </c>
      <c r="E47" s="1" t="s">
        <v>6998</v>
      </c>
      <c r="F47">
        <f t="shared" si="1"/>
        <v>40045</v>
      </c>
      <c r="G47">
        <f t="shared" si="2"/>
        <v>500045</v>
      </c>
      <c r="H47" t="s">
        <v>6694</v>
      </c>
      <c r="I47" s="8">
        <f t="shared" si="3"/>
        <v>600045</v>
      </c>
      <c r="J47" t="s">
        <v>6517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6517</v>
      </c>
      <c r="O47" t="s">
        <v>6517</v>
      </c>
      <c r="P47" t="s">
        <v>6517</v>
      </c>
    </row>
    <row r="48" spans="1:16" x14ac:dyDescent="0.3">
      <c r="A48" t="s">
        <v>5388</v>
      </c>
      <c r="B48">
        <f ca="1">INDEX(LocalAreas.csv!G:G,RANDBETWEEN(2,88))</f>
        <v>200069</v>
      </c>
      <c r="C48" t="str">
        <f t="shared" ca="1" si="0"/>
        <v>rg{'id': '200069'}'</v>
      </c>
      <c r="D48" s="1" t="str">
        <f ca="1">MID(Names!G48,FIND(" ",Names!G48)+1,LEN(Names!G48)-FIND(" ", Names!G48))&amp;" "&amp;INDEX(PROJ_EXT_Name,RANDBETWEEN(2,12))</f>
        <v>Coldstream Avenue Cloverleaf</v>
      </c>
      <c r="E48" s="1" t="s">
        <v>6950</v>
      </c>
      <c r="F48">
        <f t="shared" si="1"/>
        <v>40046</v>
      </c>
      <c r="G48">
        <f t="shared" si="2"/>
        <v>500046</v>
      </c>
      <c r="H48" t="s">
        <v>6694</v>
      </c>
      <c r="I48" s="8">
        <f t="shared" si="3"/>
        <v>600046</v>
      </c>
      <c r="J48" t="s">
        <v>6517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6517</v>
      </c>
      <c r="O48" t="s">
        <v>6517</v>
      </c>
      <c r="P48" t="s">
        <v>6517</v>
      </c>
    </row>
    <row r="49" spans="1:16" x14ac:dyDescent="0.3">
      <c r="A49" t="s">
        <v>5388</v>
      </c>
      <c r="B49">
        <f ca="1">INDEX(LocalAreas.csv!G:G,RANDBETWEEN(2,88))</f>
        <v>200076</v>
      </c>
      <c r="C49" t="str">
        <f t="shared" ca="1" si="0"/>
        <v>rg{'id': '200076'}'</v>
      </c>
      <c r="D49" s="1" t="str">
        <f ca="1">MID(Names!G49,FIND(" ",Names!G49)+1,LEN(Names!G49)-FIND(" ", Names!G49))&amp;" "&amp;INDEX(PROJ_EXT_Name,RANDBETWEEN(2,12))</f>
        <v>Roger Street Bridge Replacement</v>
      </c>
      <c r="E49" s="1" t="s">
        <v>6999</v>
      </c>
      <c r="F49">
        <f t="shared" si="1"/>
        <v>40047</v>
      </c>
      <c r="G49">
        <f t="shared" si="2"/>
        <v>500047</v>
      </c>
      <c r="H49" t="s">
        <v>6694</v>
      </c>
      <c r="I49" s="8">
        <f t="shared" si="3"/>
        <v>600047</v>
      </c>
      <c r="J49" t="s">
        <v>6517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6517</v>
      </c>
      <c r="O49" t="s">
        <v>6517</v>
      </c>
      <c r="P49" t="s">
        <v>6517</v>
      </c>
    </row>
    <row r="50" spans="1:16" x14ac:dyDescent="0.3">
      <c r="A50" t="s">
        <v>5388</v>
      </c>
      <c r="B50">
        <f ca="1">INDEX(LocalAreas.csv!G:G,RANDBETWEEN(2,88))</f>
        <v>200070</v>
      </c>
      <c r="C50" t="str">
        <f t="shared" ca="1" si="0"/>
        <v>rg{'id': '200070'}'</v>
      </c>
      <c r="D50" s="1" t="str">
        <f ca="1">MID(Names!G51,FIND(" ",Names!G51)+1,LEN(Names!G51)-FIND(" ", Names!G51))&amp;" "&amp;INDEX(PROJ_EXT_Name,RANDBETWEEN(2,12))</f>
        <v>Hardy Street HOV Lane</v>
      </c>
      <c r="E50" s="1" t="s">
        <v>6961</v>
      </c>
      <c r="F50">
        <f>IF(ISNUMBER(#REF!),#REF!+1,40000)</f>
        <v>40000</v>
      </c>
      <c r="G50">
        <f>IF(ISNUMBER(#REF!),#REF!+1,500000)</f>
        <v>500000</v>
      </c>
      <c r="H50" t="s">
        <v>6694</v>
      </c>
      <c r="I50" s="8">
        <f>IF(ISNUMBER(#REF!),#REF!+1,600000)</f>
        <v>600000</v>
      </c>
      <c r="J50" t="s">
        <v>6517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6517</v>
      </c>
      <c r="O50" t="s">
        <v>6517</v>
      </c>
      <c r="P50" t="s">
        <v>6517</v>
      </c>
    </row>
    <row r="51" spans="1:16" x14ac:dyDescent="0.3">
      <c r="A51" t="s">
        <v>5388</v>
      </c>
      <c r="B51">
        <f ca="1">INDEX(LocalAreas.csv!G:G,RANDBETWEEN(2,88))</f>
        <v>200049</v>
      </c>
      <c r="C51" t="str">
        <f t="shared" ca="1" si="0"/>
        <v>rg{'id': '200049'}'</v>
      </c>
      <c r="D51" s="1" t="str">
        <f ca="1">MID(Names!G52,FIND(" ",Names!G52)+1,LEN(Names!G52)-FIND(" ", Names!G52))&amp;" "&amp;INDEX(PROJ_EXT_Name,RANDBETWEEN(2,12))</f>
        <v>Hastings Street Cloverleaf</v>
      </c>
      <c r="E51" s="1" t="s">
        <v>7000</v>
      </c>
      <c r="F51">
        <f t="shared" si="1"/>
        <v>40001</v>
      </c>
      <c r="G51">
        <f t="shared" si="2"/>
        <v>500001</v>
      </c>
      <c r="H51" t="s">
        <v>6694</v>
      </c>
      <c r="I51" s="8">
        <f t="shared" si="3"/>
        <v>600001</v>
      </c>
      <c r="J51" t="s">
        <v>6517</v>
      </c>
      <c r="K51" t="str">
        <f>IFERROR(VLOOKUP(E51,Contacts.csv!C:D,2,FALSE),"")</f>
        <v/>
      </c>
      <c r="L51" t="str">
        <f t="shared" si="4"/>
        <v>rg:None</v>
      </c>
      <c r="M51" s="4" t="str">
        <f t="shared" si="5"/>
        <v>rg:[]</v>
      </c>
      <c r="N51" t="s">
        <v>6517</v>
      </c>
      <c r="O51" t="s">
        <v>6517</v>
      </c>
      <c r="P51" t="s">
        <v>6517</v>
      </c>
    </row>
    <row r="52" spans="1:16" x14ac:dyDescent="0.3">
      <c r="A52" t="s">
        <v>5388</v>
      </c>
      <c r="B52">
        <f ca="1">INDEX(LocalAreas.csv!G:G,RANDBETWEEN(2,88))</f>
        <v>200020</v>
      </c>
      <c r="C52" t="str">
        <f t="shared" ca="1" si="0"/>
        <v>rg{'id': '200020'}'</v>
      </c>
      <c r="D52" s="1" t="str">
        <f ca="1">MID(Names!G53,FIND(" ",Names!G53)+1,LEN(Names!G53)-FIND(" ", Names!G53))&amp;" "&amp;INDEX(PROJ_EXT_Name,RANDBETWEEN(2,12))</f>
        <v>Queens Bay Overpass</v>
      </c>
      <c r="E52" s="1" t="s">
        <v>7001</v>
      </c>
      <c r="F52">
        <f t="shared" si="1"/>
        <v>40002</v>
      </c>
      <c r="G52">
        <f t="shared" si="2"/>
        <v>500002</v>
      </c>
      <c r="H52" t="s">
        <v>6694</v>
      </c>
      <c r="I52" s="8">
        <f t="shared" si="3"/>
        <v>600002</v>
      </c>
      <c r="J52" t="s">
        <v>6517</v>
      </c>
      <c r="K52" t="str">
        <f>IFERROR(VLOOKUP(E52,Contacts.csv!C:D,2,FALSE),"")</f>
        <v/>
      </c>
      <c r="L52" t="str">
        <f t="shared" si="4"/>
        <v>rg:None</v>
      </c>
      <c r="M52" s="4" t="str">
        <f t="shared" si="5"/>
        <v>rg:[]</v>
      </c>
      <c r="N52" t="s">
        <v>6517</v>
      </c>
      <c r="O52" t="s">
        <v>6517</v>
      </c>
      <c r="P52" t="s">
        <v>6517</v>
      </c>
    </row>
    <row r="53" spans="1:16" x14ac:dyDescent="0.3">
      <c r="A53" t="s">
        <v>5388</v>
      </c>
      <c r="B53">
        <f ca="1">INDEX(LocalAreas.csv!G:G,RANDBETWEEN(2,88))</f>
        <v>200086</v>
      </c>
      <c r="C53" t="str">
        <f t="shared" ca="1" si="0"/>
        <v>rg{'id': '200086'}'</v>
      </c>
      <c r="D53" s="1" t="str">
        <f ca="1">MID(Names!G54,FIND(" ",Names!G54)+1,LEN(Names!G54)-FIND(" ", Names!G54))&amp;" "&amp;INDEX(PROJ_EXT_Name,RANDBETWEEN(2,12))</f>
        <v>Hastings Street Upgrade</v>
      </c>
      <c r="E53" s="1" t="s">
        <v>7002</v>
      </c>
      <c r="F53">
        <f t="shared" si="1"/>
        <v>40003</v>
      </c>
      <c r="G53">
        <f t="shared" si="2"/>
        <v>500003</v>
      </c>
      <c r="H53" t="s">
        <v>6694</v>
      </c>
      <c r="I53" s="8">
        <f t="shared" si="3"/>
        <v>600003</v>
      </c>
      <c r="J53" t="s">
        <v>6517</v>
      </c>
      <c r="K53" t="str">
        <f>IFERROR(VLOOKUP(E53,Contacts.csv!C:D,2,FALSE),"")</f>
        <v/>
      </c>
      <c r="L53" t="str">
        <f t="shared" si="4"/>
        <v>rg:None</v>
      </c>
      <c r="M53" s="4" t="str">
        <f t="shared" si="5"/>
        <v>rg:[]</v>
      </c>
      <c r="N53" t="s">
        <v>6517</v>
      </c>
      <c r="O53" t="s">
        <v>6517</v>
      </c>
      <c r="P53" t="s">
        <v>6517</v>
      </c>
    </row>
    <row r="54" spans="1:16" x14ac:dyDescent="0.3">
      <c r="A54" t="s">
        <v>5388</v>
      </c>
      <c r="B54">
        <f ca="1">INDEX(LocalAreas.csv!G:G,RANDBETWEEN(2,88))</f>
        <v>200027</v>
      </c>
      <c r="C54" t="str">
        <f t="shared" ca="1" si="0"/>
        <v>rg{'id': '200027'}'</v>
      </c>
      <c r="D54" s="1" t="str">
        <f ca="1">MID(Names!G55,FIND(" ",Names!G55)+1,LEN(Names!G55)-FIND(" ", Names!G55))&amp;" "&amp;INDEX(PROJ_EXT_Name,RANDBETWEEN(2,12))</f>
        <v>Findlay Creek Road Bridge</v>
      </c>
      <c r="E54" s="1" t="s">
        <v>6952</v>
      </c>
      <c r="F54">
        <f t="shared" si="1"/>
        <v>40004</v>
      </c>
      <c r="G54">
        <f t="shared" si="2"/>
        <v>500004</v>
      </c>
      <c r="H54" t="s">
        <v>6694</v>
      </c>
      <c r="I54" s="8">
        <f t="shared" si="3"/>
        <v>600004</v>
      </c>
      <c r="J54" t="s">
        <v>6517</v>
      </c>
      <c r="K54" t="str">
        <f>IFERROR(VLOOKUP(E54,Contacts.csv!C:D,2,FALSE),"")</f>
        <v/>
      </c>
      <c r="L54" t="str">
        <f t="shared" si="4"/>
        <v>rg:None</v>
      </c>
      <c r="M54" s="4" t="str">
        <f t="shared" si="5"/>
        <v>rg:[]</v>
      </c>
      <c r="N54" t="s">
        <v>6517</v>
      </c>
      <c r="O54" t="s">
        <v>6517</v>
      </c>
      <c r="P54" t="s">
        <v>6517</v>
      </c>
    </row>
    <row r="55" spans="1:16" x14ac:dyDescent="0.3">
      <c r="A55" t="s">
        <v>5388</v>
      </c>
      <c r="B55">
        <f ca="1">INDEX(LocalAreas.csv!G:G,RANDBETWEEN(2,88))</f>
        <v>200040</v>
      </c>
      <c r="C55" t="str">
        <f t="shared" ca="1" si="0"/>
        <v>rg{'id': '200040'}'</v>
      </c>
      <c r="D55" s="1" t="str">
        <f ca="1">MID(Names!G56,FIND(" ",Names!G56)+1,LEN(Names!G56)-FIND(" ", Names!G56))&amp;" "&amp;INDEX(PROJ_EXT_Name,RANDBETWEEN(2,12))</f>
        <v>Burdett Avenue Bridge</v>
      </c>
      <c r="E55" s="1" t="s">
        <v>6906</v>
      </c>
      <c r="F55">
        <f t="shared" si="1"/>
        <v>40005</v>
      </c>
      <c r="G55">
        <f t="shared" si="2"/>
        <v>500005</v>
      </c>
      <c r="H55" t="s">
        <v>6694</v>
      </c>
      <c r="I55" s="8">
        <f t="shared" si="3"/>
        <v>600005</v>
      </c>
      <c r="J55" t="s">
        <v>6517</v>
      </c>
      <c r="K55" t="str">
        <f>IFERROR(VLOOKUP(E55,Contacts.csv!C:D,2,FALSE),"")</f>
        <v/>
      </c>
      <c r="L55" t="str">
        <f t="shared" si="4"/>
        <v>rg:None</v>
      </c>
      <c r="M55" s="4" t="str">
        <f t="shared" si="5"/>
        <v>rg:[]</v>
      </c>
      <c r="N55" t="s">
        <v>6517</v>
      </c>
      <c r="O55" t="s">
        <v>6517</v>
      </c>
      <c r="P55" t="s">
        <v>6517</v>
      </c>
    </row>
    <row r="56" spans="1:16" x14ac:dyDescent="0.3">
      <c r="A56" t="s">
        <v>5388</v>
      </c>
      <c r="B56">
        <f ca="1">INDEX(LocalAreas.csv!G:G,RANDBETWEEN(2,88))</f>
        <v>200086</v>
      </c>
      <c r="C56" t="str">
        <f t="shared" ca="1" si="0"/>
        <v>rg{'id': '200086'}'</v>
      </c>
      <c r="D56" s="1" t="str">
        <f ca="1">MID(Names!G57,FIND(" ",Names!G57)+1,LEN(Names!G57)-FIND(" ", Names!G57))&amp;" "&amp;INDEX(PROJ_EXT_Name,RANDBETWEEN(2,12))</f>
        <v>Alaska Hwy Bypass</v>
      </c>
      <c r="E56" s="1" t="s">
        <v>6935</v>
      </c>
      <c r="F56">
        <f t="shared" si="1"/>
        <v>40006</v>
      </c>
      <c r="G56">
        <f t="shared" si="2"/>
        <v>500006</v>
      </c>
      <c r="H56" t="s">
        <v>6694</v>
      </c>
      <c r="I56" s="8">
        <f t="shared" si="3"/>
        <v>600006</v>
      </c>
      <c r="J56" t="s">
        <v>6517</v>
      </c>
      <c r="K56" t="str">
        <f>IFERROR(VLOOKUP(E56,Contacts.csv!C:D,2,FALSE),"")</f>
        <v/>
      </c>
      <c r="L56" t="str">
        <f t="shared" si="4"/>
        <v>rg:None</v>
      </c>
      <c r="M56" s="4" t="str">
        <f t="shared" si="5"/>
        <v>rg:[]</v>
      </c>
      <c r="N56" t="s">
        <v>6517</v>
      </c>
      <c r="O56" t="s">
        <v>6517</v>
      </c>
      <c r="P56" t="s">
        <v>6517</v>
      </c>
    </row>
    <row r="57" spans="1:16" x14ac:dyDescent="0.3">
      <c r="A57" t="s">
        <v>5388</v>
      </c>
      <c r="B57">
        <f ca="1">INDEX(LocalAreas.csv!G:G,RANDBETWEEN(2,88))</f>
        <v>200032</v>
      </c>
      <c r="C57" t="str">
        <f t="shared" ca="1" si="0"/>
        <v>rg{'id': '200032'}'</v>
      </c>
      <c r="D57" s="1" t="str">
        <f ca="1">MID(Names!G58,FIND(" ",Names!G58)+1,LEN(Names!G58)-FIND(" ", Names!G58))&amp;" "&amp;INDEX(PROJ_EXT_Name,RANDBETWEEN(2,12))</f>
        <v>Burdett Avenue Upgrade</v>
      </c>
      <c r="E57" s="1" t="s">
        <v>7003</v>
      </c>
      <c r="F57">
        <f t="shared" si="1"/>
        <v>40007</v>
      </c>
      <c r="G57">
        <f t="shared" si="2"/>
        <v>500007</v>
      </c>
      <c r="H57" t="s">
        <v>6694</v>
      </c>
      <c r="I57" s="8">
        <f t="shared" si="3"/>
        <v>600007</v>
      </c>
      <c r="J57" t="s">
        <v>6517</v>
      </c>
      <c r="K57" t="str">
        <f>IFERROR(VLOOKUP(E57,Contacts.csv!C:D,2,FALSE),"")</f>
        <v/>
      </c>
      <c r="L57" t="str">
        <f t="shared" si="4"/>
        <v>rg:None</v>
      </c>
      <c r="M57" s="4" t="str">
        <f t="shared" si="5"/>
        <v>rg:[]</v>
      </c>
      <c r="N57" t="s">
        <v>6517</v>
      </c>
      <c r="O57" t="s">
        <v>6517</v>
      </c>
      <c r="P57" t="s">
        <v>6517</v>
      </c>
    </row>
    <row r="58" spans="1:16" x14ac:dyDescent="0.3">
      <c r="A58" t="s">
        <v>5388</v>
      </c>
      <c r="B58">
        <f ca="1">INDEX(LocalAreas.csv!G:G,RANDBETWEEN(2,88))</f>
        <v>200054</v>
      </c>
      <c r="C58" t="str">
        <f t="shared" ca="1" si="0"/>
        <v>rg{'id': '200054'}'</v>
      </c>
      <c r="D58" s="1" t="str">
        <f ca="1">MID(Names!G59,FIND(" ",Names!G59)+1,LEN(Names!G59)-FIND(" ", Names!G59))&amp;" "&amp;INDEX(PROJ_EXT_Name,RANDBETWEEN(2,12))</f>
        <v>James Street Bridge</v>
      </c>
      <c r="E58" s="1" t="s">
        <v>7004</v>
      </c>
      <c r="F58">
        <f t="shared" si="1"/>
        <v>40008</v>
      </c>
      <c r="G58">
        <f t="shared" si="2"/>
        <v>500008</v>
      </c>
      <c r="H58" t="s">
        <v>6694</v>
      </c>
      <c r="I58" s="8">
        <f t="shared" si="3"/>
        <v>600008</v>
      </c>
      <c r="J58" t="s">
        <v>6517</v>
      </c>
      <c r="K58" t="str">
        <f>IFERROR(VLOOKUP(E58,Contacts.csv!C:D,2,FALSE),"")</f>
        <v/>
      </c>
      <c r="L58" t="str">
        <f t="shared" si="4"/>
        <v>rg:None</v>
      </c>
      <c r="M58" s="4" t="str">
        <f t="shared" si="5"/>
        <v>rg:[]</v>
      </c>
      <c r="N58" t="s">
        <v>6517</v>
      </c>
      <c r="O58" t="s">
        <v>6517</v>
      </c>
      <c r="P58" t="s">
        <v>6517</v>
      </c>
    </row>
    <row r="59" spans="1:16" x14ac:dyDescent="0.3">
      <c r="A59" t="s">
        <v>5388</v>
      </c>
      <c r="B59">
        <f ca="1">INDEX(LocalAreas.csv!G:G,RANDBETWEEN(2,88))</f>
        <v>200028</v>
      </c>
      <c r="C59" t="str">
        <f t="shared" ca="1" si="0"/>
        <v>rg{'id': '200028'}'</v>
      </c>
      <c r="D59" s="1" t="str">
        <f ca="1">MID(Names!G60,FIND(" ",Names!G60)+1,LEN(Names!G60)-FIND(" ", Names!G60))&amp;" "&amp;INDEX(PROJ_EXT_Name,RANDBETWEEN(2,12))</f>
        <v>Tolmie St Upgrade</v>
      </c>
      <c r="E59" s="1" t="s">
        <v>7005</v>
      </c>
      <c r="F59">
        <f t="shared" si="1"/>
        <v>40009</v>
      </c>
      <c r="G59">
        <f t="shared" si="2"/>
        <v>500009</v>
      </c>
      <c r="H59" t="s">
        <v>6694</v>
      </c>
      <c r="I59" s="8">
        <f t="shared" si="3"/>
        <v>600009</v>
      </c>
      <c r="J59" t="s">
        <v>6517</v>
      </c>
      <c r="K59" t="str">
        <f>IFERROR(VLOOKUP(E59,Contacts.csv!C:D,2,FALSE),"")</f>
        <v/>
      </c>
      <c r="L59" t="str">
        <f t="shared" si="4"/>
        <v>rg:None</v>
      </c>
      <c r="M59" s="4" t="str">
        <f t="shared" si="5"/>
        <v>rg:[]</v>
      </c>
      <c r="N59" t="s">
        <v>6517</v>
      </c>
      <c r="O59" t="s">
        <v>6517</v>
      </c>
      <c r="P59" t="s">
        <v>6517</v>
      </c>
    </row>
    <row r="60" spans="1:16" x14ac:dyDescent="0.3">
      <c r="A60" t="s">
        <v>5388</v>
      </c>
      <c r="B60">
        <f ca="1">INDEX(LocalAreas.csv!G:G,RANDBETWEEN(2,88))</f>
        <v>200015</v>
      </c>
      <c r="C60" t="str">
        <f t="shared" ca="1" si="0"/>
        <v>rg{'id': '200015'}'</v>
      </c>
      <c r="D60" s="1" t="str">
        <f ca="1">MID(Names!G61,FIND(" ",Names!G61)+1,LEN(Names!G61)-FIND(" ", Names!G61))&amp;" "&amp;INDEX(PROJ_EXT_Name,RANDBETWEEN(2,12))</f>
        <v>Quayside Dr Bridge</v>
      </c>
      <c r="E60" s="1" t="s">
        <v>7006</v>
      </c>
      <c r="F60">
        <f t="shared" si="1"/>
        <v>40010</v>
      </c>
      <c r="G60">
        <f t="shared" si="2"/>
        <v>500010</v>
      </c>
      <c r="H60" t="s">
        <v>6694</v>
      </c>
      <c r="I60" s="8">
        <f t="shared" si="3"/>
        <v>600010</v>
      </c>
      <c r="J60" t="s">
        <v>6517</v>
      </c>
      <c r="K60" t="str">
        <f>IFERROR(VLOOKUP(E60,Contacts.csv!C:D,2,FALSE),"")</f>
        <v/>
      </c>
      <c r="L60" t="str">
        <f t="shared" si="4"/>
        <v>rg:None</v>
      </c>
      <c r="M60" s="4" t="str">
        <f t="shared" si="5"/>
        <v>rg:[]</v>
      </c>
      <c r="N60" t="s">
        <v>6517</v>
      </c>
      <c r="O60" t="s">
        <v>6517</v>
      </c>
      <c r="P60" t="s">
        <v>6517</v>
      </c>
    </row>
    <row r="61" spans="1:16" x14ac:dyDescent="0.3">
      <c r="A61" t="s">
        <v>5388</v>
      </c>
      <c r="B61">
        <f ca="1">INDEX(LocalAreas.csv!G:G,RANDBETWEEN(2,88))</f>
        <v>200071</v>
      </c>
      <c r="C61" t="str">
        <f t="shared" ca="1" si="0"/>
        <v>rg{'id': '200071'}'</v>
      </c>
      <c r="D61" s="1" t="str">
        <f ca="1">MID(Names!G62,FIND(" ",Names!G62)+1,LEN(Names!G62)-FIND(" ", Names!G62))&amp;" "&amp;INDEX(PROJ_EXT_Name,RANDBETWEEN(2,12))</f>
        <v>Jade St Building</v>
      </c>
      <c r="E61" s="1" t="s">
        <v>7007</v>
      </c>
      <c r="F61">
        <f t="shared" si="1"/>
        <v>40011</v>
      </c>
      <c r="G61">
        <f t="shared" si="2"/>
        <v>500011</v>
      </c>
      <c r="H61" t="s">
        <v>6694</v>
      </c>
      <c r="I61" s="8">
        <f t="shared" si="3"/>
        <v>600011</v>
      </c>
      <c r="J61" t="s">
        <v>6517</v>
      </c>
      <c r="K61" t="str">
        <f>IFERROR(VLOOKUP(E61,Contacts.csv!C:D,2,FALSE),"")</f>
        <v/>
      </c>
      <c r="L61" t="str">
        <f t="shared" si="4"/>
        <v>rg:None</v>
      </c>
      <c r="M61" s="4" t="str">
        <f t="shared" si="5"/>
        <v>rg:[]</v>
      </c>
      <c r="N61" t="s">
        <v>6517</v>
      </c>
      <c r="O61" t="s">
        <v>6517</v>
      </c>
      <c r="P61" t="s">
        <v>6517</v>
      </c>
    </row>
    <row r="62" spans="1:16" x14ac:dyDescent="0.3">
      <c r="A62" t="s">
        <v>5388</v>
      </c>
      <c r="B62">
        <f ca="1">INDEX(LocalAreas.csv!G:G,RANDBETWEEN(2,88))</f>
        <v>200073</v>
      </c>
      <c r="C62" t="str">
        <f t="shared" ca="1" si="0"/>
        <v>rg{'id': '200073'}'</v>
      </c>
      <c r="D62" s="1" t="str">
        <f ca="1">MID(Names!G63,FIND(" ",Names!G63)+1,LEN(Names!G63)-FIND(" ", Names!G63))&amp;" "&amp;INDEX(PROJ_EXT_Name,RANDBETWEEN(2,12))</f>
        <v>Alaska Hwy Upgrade</v>
      </c>
      <c r="E62" s="1" t="s">
        <v>7008</v>
      </c>
      <c r="F62">
        <f t="shared" si="1"/>
        <v>40012</v>
      </c>
      <c r="G62">
        <f t="shared" si="2"/>
        <v>500012</v>
      </c>
      <c r="H62" t="s">
        <v>6694</v>
      </c>
      <c r="I62" s="8">
        <f t="shared" si="3"/>
        <v>600012</v>
      </c>
      <c r="J62" t="s">
        <v>6517</v>
      </c>
      <c r="K62" t="str">
        <f>IFERROR(VLOOKUP(E62,Contacts.csv!C:D,2,FALSE),"")</f>
        <v/>
      </c>
      <c r="L62" t="str">
        <f t="shared" si="4"/>
        <v>rg:None</v>
      </c>
      <c r="M62" s="4" t="str">
        <f t="shared" si="5"/>
        <v>rg:[]</v>
      </c>
      <c r="N62" t="s">
        <v>6517</v>
      </c>
      <c r="O62" t="s">
        <v>6517</v>
      </c>
      <c r="P62" t="s">
        <v>6517</v>
      </c>
    </row>
    <row r="63" spans="1:16" x14ac:dyDescent="0.3">
      <c r="A63" t="s">
        <v>5388</v>
      </c>
      <c r="B63">
        <f ca="1">INDEX(LocalAreas.csv!G:G,RANDBETWEEN(2,88))</f>
        <v>200013</v>
      </c>
      <c r="C63" t="str">
        <f t="shared" ca="1" si="0"/>
        <v>rg{'id': '200013'}'</v>
      </c>
      <c r="D63" s="1" t="str">
        <f ca="1">MID(Names!G64,FIND(" ",Names!G64)+1,LEN(Names!G64)-FIND(" ", Names!G64))&amp;" "&amp;INDEX(PROJ_EXT_Name,RANDBETWEEN(2,12))</f>
        <v>Sixth Street Extension</v>
      </c>
      <c r="E63" s="1" t="s">
        <v>7009</v>
      </c>
      <c r="F63">
        <f t="shared" si="1"/>
        <v>40013</v>
      </c>
      <c r="G63">
        <f t="shared" si="2"/>
        <v>500013</v>
      </c>
      <c r="H63" t="s">
        <v>6694</v>
      </c>
      <c r="I63" s="8">
        <f t="shared" si="3"/>
        <v>600013</v>
      </c>
      <c r="J63" t="s">
        <v>6517</v>
      </c>
      <c r="K63" t="str">
        <f>IFERROR(VLOOKUP(E63,Contacts.csv!C:D,2,FALSE),"")</f>
        <v/>
      </c>
      <c r="L63" t="str">
        <f t="shared" si="4"/>
        <v>rg:None</v>
      </c>
      <c r="M63" s="4" t="str">
        <f t="shared" si="5"/>
        <v>rg:[]</v>
      </c>
      <c r="N63" t="s">
        <v>6517</v>
      </c>
      <c r="O63" t="s">
        <v>6517</v>
      </c>
      <c r="P63" t="s">
        <v>6517</v>
      </c>
    </row>
    <row r="64" spans="1:16" x14ac:dyDescent="0.3">
      <c r="A64" t="s">
        <v>5388</v>
      </c>
      <c r="B64">
        <f ca="1">INDEX(LocalAreas.csv!G:G,RANDBETWEEN(2,88))</f>
        <v>200054</v>
      </c>
      <c r="C64" t="str">
        <f t="shared" ca="1" si="0"/>
        <v>rg{'id': '200054'}'</v>
      </c>
      <c r="D64" s="1" t="str">
        <f ca="1">MID(Names!G65,FIND(" ",Names!G65)+1,LEN(Names!G65)-FIND(" ", Names!G65))&amp;" "&amp;INDEX(PROJ_EXT_Name,RANDBETWEEN(2,12))</f>
        <v>King George Hwy Bridge</v>
      </c>
      <c r="E64" s="1" t="s">
        <v>6926</v>
      </c>
      <c r="F64">
        <f t="shared" si="1"/>
        <v>40014</v>
      </c>
      <c r="G64">
        <f t="shared" si="2"/>
        <v>500014</v>
      </c>
      <c r="H64" t="s">
        <v>6694</v>
      </c>
      <c r="I64" s="8">
        <f t="shared" si="3"/>
        <v>600014</v>
      </c>
      <c r="J64" t="s">
        <v>6517</v>
      </c>
      <c r="K64" t="str">
        <f>IFERROR(VLOOKUP(E64,Contacts.csv!C:D,2,FALSE),"")</f>
        <v/>
      </c>
      <c r="L64" t="str">
        <f t="shared" si="4"/>
        <v>rg:None</v>
      </c>
      <c r="M64" s="4" t="str">
        <f t="shared" si="5"/>
        <v>rg:[]</v>
      </c>
      <c r="N64" t="s">
        <v>6517</v>
      </c>
      <c r="O64" t="s">
        <v>6517</v>
      </c>
      <c r="P64" t="s">
        <v>6517</v>
      </c>
    </row>
    <row r="65" spans="1:16" x14ac:dyDescent="0.3">
      <c r="A65" t="s">
        <v>5388</v>
      </c>
      <c r="B65">
        <f ca="1">INDEX(LocalAreas.csv!G:G,RANDBETWEEN(2,88))</f>
        <v>200075</v>
      </c>
      <c r="C65" t="str">
        <f t="shared" ca="1" si="0"/>
        <v>rg{'id': '200075'}'</v>
      </c>
      <c r="D65" s="1" t="str">
        <f ca="1">MID(Names!G66,FIND(" ",Names!G66)+1,LEN(Names!G66)-FIND(" ", Names!G66))&amp;" "&amp;INDEX(PROJ_EXT_Name,RANDBETWEEN(2,12))</f>
        <v>Burdett Avenue Building</v>
      </c>
      <c r="E65" s="1" t="s">
        <v>6908</v>
      </c>
      <c r="F65">
        <f t="shared" si="1"/>
        <v>40015</v>
      </c>
      <c r="G65">
        <f t="shared" si="2"/>
        <v>500015</v>
      </c>
      <c r="H65" t="s">
        <v>6694</v>
      </c>
      <c r="I65" s="8">
        <f t="shared" si="3"/>
        <v>600015</v>
      </c>
      <c r="J65" t="s">
        <v>6517</v>
      </c>
      <c r="K65" t="str">
        <f>IFERROR(VLOOKUP(E65,Contacts.csv!C:D,2,FALSE),"")</f>
        <v/>
      </c>
      <c r="L65" t="str">
        <f t="shared" si="4"/>
        <v>rg:None</v>
      </c>
      <c r="M65" s="4" t="str">
        <f t="shared" si="5"/>
        <v>rg:[]</v>
      </c>
      <c r="N65" t="s">
        <v>6517</v>
      </c>
      <c r="O65" t="s">
        <v>6517</v>
      </c>
      <c r="P65" t="s">
        <v>6517</v>
      </c>
    </row>
    <row r="66" spans="1:16" x14ac:dyDescent="0.3">
      <c r="A66" t="s">
        <v>5388</v>
      </c>
      <c r="B66">
        <f ca="1">INDEX(LocalAreas.csv!G:G,RANDBETWEEN(2,88))</f>
        <v>200038</v>
      </c>
      <c r="C66" t="str">
        <f t="shared" ref="C66:C126" ca="1" si="6">"rg{'id': '"&amp;B66&amp;"'}'"</f>
        <v>rg{'id': '200038'}'</v>
      </c>
      <c r="D66" s="1" t="str">
        <f ca="1">MID(Names!G67,FIND(" ",Names!G67)+1,LEN(Names!G67)-FIND(" ", Names!G67))&amp;" "&amp;INDEX(PROJ_EXT_Name,RANDBETWEEN(2,12))</f>
        <v>Stum Lake Road Bridge</v>
      </c>
      <c r="E66" s="1" t="s">
        <v>7010</v>
      </c>
      <c r="F66">
        <f t="shared" ref="F66:F126" si="7">IF(ISNUMBER(F65),F65+1,40000)</f>
        <v>40016</v>
      </c>
      <c r="G66">
        <f t="shared" ref="G66:G126" si="8">IF(ISNUMBER(G65),G65+1,500000)</f>
        <v>500016</v>
      </c>
      <c r="H66" t="s">
        <v>6694</v>
      </c>
      <c r="I66" s="8">
        <f t="shared" ref="I66:I126" si="9">IF(ISNUMBER(I65),I65+1,600000)</f>
        <v>600016</v>
      </c>
      <c r="J66" t="s">
        <v>6517</v>
      </c>
      <c r="K66" t="str">
        <f>IFERROR(VLOOKUP(E66,Contacts.csv!C:D,2,FALSE),"")</f>
        <v/>
      </c>
      <c r="L66" t="str">
        <f t="shared" ref="L66:L126" si="10">IF(1=1,"rg:None", IF(ISNUMBER(K66),"rg:{'id':'" &amp; K66 &amp; "'}","rg:None"))</f>
        <v>rg:None</v>
      </c>
      <c r="M66" s="4" t="str">
        <f t="shared" ref="M66:M126" si="11">IF(1=1,"rg:[]", IF(ISNUMBER(K66),"rg:[{'id':'" &amp; K66 &amp; "'}]","rg:[]"))</f>
        <v>rg:[]</v>
      </c>
      <c r="N66" t="s">
        <v>6517</v>
      </c>
      <c r="O66" t="s">
        <v>6517</v>
      </c>
      <c r="P66" t="s">
        <v>6517</v>
      </c>
    </row>
    <row r="67" spans="1:16" x14ac:dyDescent="0.3">
      <c r="A67" t="s">
        <v>5388</v>
      </c>
      <c r="B67">
        <f ca="1">INDEX(LocalAreas.csv!G:G,RANDBETWEEN(2,88))</f>
        <v>200035</v>
      </c>
      <c r="C67" t="str">
        <f t="shared" ca="1" si="6"/>
        <v>rg{'id': '200035'}'</v>
      </c>
      <c r="D67" s="1" t="str">
        <f ca="1">MID(Names!G68,FIND(" ",Names!G68)+1,LEN(Names!G68)-FIND(" ", Names!G68))&amp;" "&amp;INDEX(PROJ_EXT_Name,RANDBETWEEN(2,12))</f>
        <v>James Street Bridge</v>
      </c>
      <c r="E67" s="1" t="s">
        <v>7011</v>
      </c>
      <c r="F67">
        <f t="shared" si="7"/>
        <v>40017</v>
      </c>
      <c r="G67">
        <f t="shared" si="8"/>
        <v>500017</v>
      </c>
      <c r="H67" t="s">
        <v>6694</v>
      </c>
      <c r="I67" s="8">
        <f t="shared" si="9"/>
        <v>600017</v>
      </c>
      <c r="J67" t="s">
        <v>6517</v>
      </c>
      <c r="K67" t="str">
        <f>IFERROR(VLOOKUP(E67,Contacts.csv!C:D,2,FALSE),"")</f>
        <v/>
      </c>
      <c r="L67" t="str">
        <f t="shared" si="10"/>
        <v>rg:None</v>
      </c>
      <c r="M67" s="4" t="str">
        <f t="shared" si="11"/>
        <v>rg:[]</v>
      </c>
      <c r="N67" t="s">
        <v>6517</v>
      </c>
      <c r="O67" t="s">
        <v>6517</v>
      </c>
      <c r="P67" t="s">
        <v>6517</v>
      </c>
    </row>
    <row r="68" spans="1:16" x14ac:dyDescent="0.3">
      <c r="A68" t="s">
        <v>5388</v>
      </c>
      <c r="B68">
        <f ca="1">INDEX(LocalAreas.csv!G:G,RANDBETWEEN(2,88))</f>
        <v>200080</v>
      </c>
      <c r="C68" t="str">
        <f t="shared" ca="1" si="6"/>
        <v>rg{'id': '200080'}'</v>
      </c>
      <c r="D68" s="1" t="str">
        <f ca="1">MID(Names!G69,FIND(" ",Names!G69)+1,LEN(Names!G69)-FIND(" ", Names!G69))&amp;" "&amp;INDEX(PROJ_EXT_Name,RANDBETWEEN(2,12))</f>
        <v>Tolmie St Bypass</v>
      </c>
      <c r="E68" s="1" t="s">
        <v>7012</v>
      </c>
      <c r="F68">
        <f t="shared" si="7"/>
        <v>40018</v>
      </c>
      <c r="G68">
        <f t="shared" si="8"/>
        <v>500018</v>
      </c>
      <c r="H68" t="s">
        <v>6694</v>
      </c>
      <c r="I68" s="8">
        <f t="shared" si="9"/>
        <v>600018</v>
      </c>
      <c r="J68" t="s">
        <v>6517</v>
      </c>
      <c r="K68" t="str">
        <f>IFERROR(VLOOKUP(E68,Contacts.csv!C:D,2,FALSE),"")</f>
        <v/>
      </c>
      <c r="L68" t="str">
        <f t="shared" si="10"/>
        <v>rg:None</v>
      </c>
      <c r="M68" s="4" t="str">
        <f t="shared" si="11"/>
        <v>rg:[]</v>
      </c>
      <c r="N68" t="s">
        <v>6517</v>
      </c>
      <c r="O68" t="s">
        <v>6517</v>
      </c>
      <c r="P68" t="s">
        <v>6517</v>
      </c>
    </row>
    <row r="69" spans="1:16" x14ac:dyDescent="0.3">
      <c r="A69" t="s">
        <v>5388</v>
      </c>
      <c r="B69">
        <f ca="1">INDEX(LocalAreas.csv!G:G,RANDBETWEEN(2,88))</f>
        <v>200079</v>
      </c>
      <c r="C69" t="str">
        <f t="shared" ca="1" si="6"/>
        <v>rg{'id': '200079'}'</v>
      </c>
      <c r="D69" s="1" t="str">
        <f ca="1">MID(Names!G70,FIND(" ",Names!G70)+1,LEN(Names!G70)-FIND(" ", Names!G70))&amp;" "&amp;INDEX(PROJ_EXT_Name,RANDBETWEEN(2,12))</f>
        <v>Blanshard Upgrade</v>
      </c>
      <c r="E69" s="1" t="s">
        <v>7013</v>
      </c>
      <c r="F69">
        <f t="shared" si="7"/>
        <v>40019</v>
      </c>
      <c r="G69">
        <f t="shared" si="8"/>
        <v>500019</v>
      </c>
      <c r="H69" t="s">
        <v>6694</v>
      </c>
      <c r="I69" s="8">
        <f t="shared" si="9"/>
        <v>600019</v>
      </c>
      <c r="J69" t="s">
        <v>6517</v>
      </c>
      <c r="K69" t="str">
        <f>IFERROR(VLOOKUP(E69,Contacts.csv!C:D,2,FALSE),"")</f>
        <v/>
      </c>
      <c r="L69" t="str">
        <f t="shared" si="10"/>
        <v>rg:None</v>
      </c>
      <c r="M69" s="4" t="str">
        <f t="shared" si="11"/>
        <v>rg:[]</v>
      </c>
      <c r="N69" t="s">
        <v>6517</v>
      </c>
      <c r="O69" t="s">
        <v>6517</v>
      </c>
      <c r="P69" t="s">
        <v>6517</v>
      </c>
    </row>
    <row r="70" spans="1:16" x14ac:dyDescent="0.3">
      <c r="A70" t="s">
        <v>5388</v>
      </c>
      <c r="B70">
        <f ca="1">INDEX(LocalAreas.csv!G:G,RANDBETWEEN(2,88))</f>
        <v>200078</v>
      </c>
      <c r="C70" t="str">
        <f t="shared" ca="1" si="6"/>
        <v>rg{'id': '200078'}'</v>
      </c>
      <c r="D70" s="1" t="str">
        <f ca="1">MID(Names!G72,FIND(" ",Names!G72)+1,LEN(Names!G72)-FIND(" ", Names!G72))&amp;" "&amp;INDEX(PROJ_EXT_Name,RANDBETWEEN(2,12))</f>
        <v>Coldstream Avenue Express Lane</v>
      </c>
      <c r="E70" s="1" t="s">
        <v>7014</v>
      </c>
      <c r="F70">
        <f>IF(ISNUMBER(#REF!),#REF!+1,40000)</f>
        <v>40000</v>
      </c>
      <c r="G70">
        <f>IF(ISNUMBER(#REF!),#REF!+1,500000)</f>
        <v>500000</v>
      </c>
      <c r="H70" t="s">
        <v>6694</v>
      </c>
      <c r="I70" s="8">
        <f>IF(ISNUMBER(#REF!),#REF!+1,600000)</f>
        <v>600000</v>
      </c>
      <c r="J70" t="s">
        <v>6517</v>
      </c>
      <c r="K70" t="str">
        <f>IFERROR(VLOOKUP(E70,Contacts.csv!C:D,2,FALSE),"")</f>
        <v/>
      </c>
      <c r="L70" t="str">
        <f t="shared" si="10"/>
        <v>rg:None</v>
      </c>
      <c r="M70" s="4" t="str">
        <f t="shared" si="11"/>
        <v>rg:[]</v>
      </c>
      <c r="N70" t="s">
        <v>6517</v>
      </c>
      <c r="O70" t="s">
        <v>6517</v>
      </c>
      <c r="P70" t="s">
        <v>6517</v>
      </c>
    </row>
    <row r="71" spans="1:16" x14ac:dyDescent="0.3">
      <c r="A71" t="s">
        <v>5388</v>
      </c>
      <c r="B71">
        <f ca="1">INDEX(LocalAreas.csv!G:G,RANDBETWEEN(2,88))</f>
        <v>200011</v>
      </c>
      <c r="C71" t="str">
        <f t="shared" ca="1" si="6"/>
        <v>rg{'id': '200011'}'</v>
      </c>
      <c r="D71" s="1" t="str">
        <f ca="1">MID(Names!G73,FIND(" ",Names!G73)+1,LEN(Names!G73)-FIND(" ", Names!G73))&amp;" "&amp;INDEX(PROJ_EXT_Name,RANDBETWEEN(2,12))</f>
        <v>Lake City Way Building</v>
      </c>
      <c r="E71" s="1" t="s">
        <v>6931</v>
      </c>
      <c r="F71">
        <f t="shared" si="7"/>
        <v>40001</v>
      </c>
      <c r="G71">
        <f t="shared" si="8"/>
        <v>500001</v>
      </c>
      <c r="H71" t="s">
        <v>6694</v>
      </c>
      <c r="I71" s="8">
        <f t="shared" si="9"/>
        <v>600001</v>
      </c>
      <c r="J71" t="s">
        <v>6517</v>
      </c>
      <c r="K71" t="str">
        <f>IFERROR(VLOOKUP(E71,Contacts.csv!C:D,2,FALSE),"")</f>
        <v/>
      </c>
      <c r="L71" t="str">
        <f t="shared" si="10"/>
        <v>rg:None</v>
      </c>
      <c r="M71" s="4" t="str">
        <f t="shared" si="11"/>
        <v>rg:[]</v>
      </c>
      <c r="N71" t="s">
        <v>6517</v>
      </c>
      <c r="O71" t="s">
        <v>6517</v>
      </c>
      <c r="P71" t="s">
        <v>6517</v>
      </c>
    </row>
    <row r="72" spans="1:16" x14ac:dyDescent="0.3">
      <c r="A72" t="s">
        <v>5388</v>
      </c>
      <c r="B72">
        <f ca="1">INDEX(LocalAreas.csv!G:G,RANDBETWEEN(2,88))</f>
        <v>200050</v>
      </c>
      <c r="C72" t="str">
        <f t="shared" ca="1" si="6"/>
        <v>rg{'id': '200050'}'</v>
      </c>
      <c r="D72" s="1" t="str">
        <f ca="1">MID(Names!G74,FIND(" ",Names!G74)+1,LEN(Names!G74)-FIND(" ", Names!G74))&amp;" "&amp;INDEX(PROJ_EXT_Name,RANDBETWEEN(2,12))</f>
        <v>Roger Street Bypass</v>
      </c>
      <c r="E72" s="1" t="s">
        <v>6954</v>
      </c>
      <c r="F72">
        <f t="shared" si="7"/>
        <v>40002</v>
      </c>
      <c r="G72">
        <f t="shared" si="8"/>
        <v>500002</v>
      </c>
      <c r="H72" t="s">
        <v>6694</v>
      </c>
      <c r="I72" s="8">
        <f t="shared" si="9"/>
        <v>600002</v>
      </c>
      <c r="J72" t="s">
        <v>6517</v>
      </c>
      <c r="K72" t="str">
        <f>IFERROR(VLOOKUP(E72,Contacts.csv!C:D,2,FALSE),"")</f>
        <v/>
      </c>
      <c r="L72" t="str">
        <f t="shared" si="10"/>
        <v>rg:None</v>
      </c>
      <c r="M72" s="4" t="str">
        <f t="shared" si="11"/>
        <v>rg:[]</v>
      </c>
      <c r="N72" t="s">
        <v>6517</v>
      </c>
      <c r="O72" t="s">
        <v>6517</v>
      </c>
      <c r="P72" t="s">
        <v>6517</v>
      </c>
    </row>
    <row r="73" spans="1:16" x14ac:dyDescent="0.3">
      <c r="A73" t="s">
        <v>5388</v>
      </c>
      <c r="B73">
        <f ca="1">INDEX(LocalAreas.csv!G:G,RANDBETWEEN(2,88))</f>
        <v>200000</v>
      </c>
      <c r="C73" t="str">
        <f t="shared" ca="1" si="6"/>
        <v>rg{'id': '200000'}'</v>
      </c>
      <c r="D73" s="1" t="str">
        <f ca="1">MID(Names!G75,FIND(" ",Names!G75)+1,LEN(Names!G75)-FIND(" ", Names!G75))&amp;" "&amp;INDEX(PROJ_EXT_Name,RANDBETWEEN(2,12))</f>
        <v>Essendene Avenue Expressway</v>
      </c>
      <c r="E73" s="1" t="s">
        <v>6930</v>
      </c>
      <c r="F73">
        <f t="shared" si="7"/>
        <v>40003</v>
      </c>
      <c r="G73">
        <f t="shared" si="8"/>
        <v>500003</v>
      </c>
      <c r="H73" t="s">
        <v>6694</v>
      </c>
      <c r="I73" s="8">
        <f t="shared" si="9"/>
        <v>600003</v>
      </c>
      <c r="J73" t="s">
        <v>6517</v>
      </c>
      <c r="K73" t="str">
        <f>IFERROR(VLOOKUP(E73,Contacts.csv!C:D,2,FALSE),"")</f>
        <v/>
      </c>
      <c r="L73" t="str">
        <f t="shared" si="10"/>
        <v>rg:None</v>
      </c>
      <c r="M73" s="4" t="str">
        <f t="shared" si="11"/>
        <v>rg:[]</v>
      </c>
      <c r="N73" t="s">
        <v>6517</v>
      </c>
      <c r="O73" t="s">
        <v>6517</v>
      </c>
      <c r="P73" t="s">
        <v>6517</v>
      </c>
    </row>
    <row r="74" spans="1:16" x14ac:dyDescent="0.3">
      <c r="A74" t="s">
        <v>5388</v>
      </c>
      <c r="B74">
        <f ca="1">INDEX(LocalAreas.csv!G:G,RANDBETWEEN(2,88))</f>
        <v>200030</v>
      </c>
      <c r="C74" t="str">
        <f t="shared" ca="1" si="6"/>
        <v>rg{'id': '200030'}'</v>
      </c>
      <c r="D74" s="1" t="str">
        <f ca="1">MID(Names!G76,FIND(" ",Names!G76)+1,LEN(Names!G76)-FIND(" ", Names!G76))&amp;" "&amp;INDEX(PROJ_EXT_Name,RANDBETWEEN(2,12))</f>
        <v>Blanshard Cloverleaf</v>
      </c>
      <c r="E74" s="1" t="s">
        <v>6957</v>
      </c>
      <c r="F74">
        <f t="shared" si="7"/>
        <v>40004</v>
      </c>
      <c r="G74">
        <f t="shared" si="8"/>
        <v>500004</v>
      </c>
      <c r="H74" t="s">
        <v>6694</v>
      </c>
      <c r="I74" s="8">
        <f t="shared" si="9"/>
        <v>600004</v>
      </c>
      <c r="J74" t="s">
        <v>6517</v>
      </c>
      <c r="K74" t="str">
        <f>IFERROR(VLOOKUP(E74,Contacts.csv!C:D,2,FALSE),"")</f>
        <v/>
      </c>
      <c r="L74" t="str">
        <f t="shared" si="10"/>
        <v>rg:None</v>
      </c>
      <c r="M74" s="4" t="str">
        <f t="shared" si="11"/>
        <v>rg:[]</v>
      </c>
      <c r="N74" t="s">
        <v>6517</v>
      </c>
      <c r="O74" t="s">
        <v>6517</v>
      </c>
      <c r="P74" t="s">
        <v>6517</v>
      </c>
    </row>
    <row r="75" spans="1:16" x14ac:dyDescent="0.3">
      <c r="A75" t="s">
        <v>5388</v>
      </c>
      <c r="B75">
        <f ca="1">INDEX(LocalAreas.csv!G:G,RANDBETWEEN(2,88))</f>
        <v>200007</v>
      </c>
      <c r="C75" t="str">
        <f t="shared" ca="1" si="6"/>
        <v>rg{'id': '200007'}'</v>
      </c>
      <c r="D75" s="1" t="str">
        <f ca="1">MID(Names!G77,FIND(" ",Names!G77)+1,LEN(Names!G77)-FIND(" ", Names!G77))&amp;" "&amp;INDEX(PROJ_EXT_Name,RANDBETWEEN(2,12))</f>
        <v>Wallace Street Upgrade</v>
      </c>
      <c r="E75" s="1" t="s">
        <v>7015</v>
      </c>
      <c r="F75">
        <f t="shared" si="7"/>
        <v>40005</v>
      </c>
      <c r="G75">
        <f t="shared" si="8"/>
        <v>500005</v>
      </c>
      <c r="H75" t="s">
        <v>6694</v>
      </c>
      <c r="I75" s="8">
        <f t="shared" si="9"/>
        <v>600005</v>
      </c>
      <c r="J75" t="s">
        <v>6517</v>
      </c>
      <c r="K75" t="str">
        <f>IFERROR(VLOOKUP(E75,Contacts.csv!C:D,2,FALSE),"")</f>
        <v/>
      </c>
      <c r="L75" t="str">
        <f t="shared" si="10"/>
        <v>rg:None</v>
      </c>
      <c r="M75" s="4" t="str">
        <f t="shared" si="11"/>
        <v>rg:[]</v>
      </c>
      <c r="N75" t="s">
        <v>6517</v>
      </c>
      <c r="O75" t="s">
        <v>6517</v>
      </c>
      <c r="P75" t="s">
        <v>6517</v>
      </c>
    </row>
    <row r="76" spans="1:16" x14ac:dyDescent="0.3">
      <c r="A76" t="s">
        <v>5388</v>
      </c>
      <c r="B76">
        <f ca="1">INDEX(LocalAreas.csv!G:G,RANDBETWEEN(2,88))</f>
        <v>200058</v>
      </c>
      <c r="C76" t="str">
        <f t="shared" ca="1" si="6"/>
        <v>rg{'id': '200058'}'</v>
      </c>
      <c r="D76" s="1" t="str">
        <f ca="1">MID(Names!G78,FIND(" ",Names!G78)+1,LEN(Names!G78)-FIND(" ", Names!G78))&amp;" "&amp;INDEX(PROJ_EXT_Name,RANDBETWEEN(2,12))</f>
        <v>Glover Road Building</v>
      </c>
      <c r="E76" s="1" t="s">
        <v>6932</v>
      </c>
      <c r="F76">
        <f t="shared" si="7"/>
        <v>40006</v>
      </c>
      <c r="G76">
        <f t="shared" si="8"/>
        <v>500006</v>
      </c>
      <c r="H76" t="s">
        <v>6694</v>
      </c>
      <c r="I76" s="8">
        <f t="shared" si="9"/>
        <v>600006</v>
      </c>
      <c r="J76" t="s">
        <v>6517</v>
      </c>
      <c r="K76" t="str">
        <f>IFERROR(VLOOKUP(E76,Contacts.csv!C:D,2,FALSE),"")</f>
        <v/>
      </c>
      <c r="L76" t="str">
        <f t="shared" si="10"/>
        <v>rg:None</v>
      </c>
      <c r="M76" s="4" t="str">
        <f t="shared" si="11"/>
        <v>rg:[]</v>
      </c>
      <c r="N76" t="s">
        <v>6517</v>
      </c>
      <c r="O76" t="s">
        <v>6517</v>
      </c>
      <c r="P76" t="s">
        <v>6517</v>
      </c>
    </row>
    <row r="77" spans="1:16" x14ac:dyDescent="0.3">
      <c r="A77" t="s">
        <v>5388</v>
      </c>
      <c r="B77">
        <f ca="1">INDEX(LocalAreas.csv!G:G,RANDBETWEEN(2,88))</f>
        <v>200018</v>
      </c>
      <c r="C77" t="str">
        <f t="shared" ca="1" si="6"/>
        <v>rg{'id': '200018'}'</v>
      </c>
      <c r="D77" s="1" t="str">
        <f ca="1">MID(Names!G79,FIND(" ",Names!G79)+1,LEN(Names!G79)-FIND(" ", Names!G79))&amp;" "&amp;INDEX(PROJ_EXT_Name,RANDBETWEEN(2,12))</f>
        <v>Burdett Avenue Cloverleaf</v>
      </c>
      <c r="E77" s="1" t="s">
        <v>6908</v>
      </c>
      <c r="F77">
        <f t="shared" si="7"/>
        <v>40007</v>
      </c>
      <c r="G77">
        <f t="shared" si="8"/>
        <v>500007</v>
      </c>
      <c r="H77" t="s">
        <v>6694</v>
      </c>
      <c r="I77" s="8">
        <f t="shared" si="9"/>
        <v>600007</v>
      </c>
      <c r="J77" t="s">
        <v>6517</v>
      </c>
      <c r="K77" t="str">
        <f>IFERROR(VLOOKUP(E77,Contacts.csv!C:D,2,FALSE),"")</f>
        <v/>
      </c>
      <c r="L77" t="str">
        <f t="shared" si="10"/>
        <v>rg:None</v>
      </c>
      <c r="M77" s="4" t="str">
        <f t="shared" si="11"/>
        <v>rg:[]</v>
      </c>
      <c r="N77" t="s">
        <v>6517</v>
      </c>
      <c r="O77" t="s">
        <v>6517</v>
      </c>
      <c r="P77" t="s">
        <v>6517</v>
      </c>
    </row>
    <row r="78" spans="1:16" x14ac:dyDescent="0.3">
      <c r="A78" t="s">
        <v>5388</v>
      </c>
      <c r="B78">
        <f ca="1">INDEX(LocalAreas.csv!G:G,RANDBETWEEN(2,88))</f>
        <v>200005</v>
      </c>
      <c r="C78" t="str">
        <f t="shared" ca="1" si="6"/>
        <v>rg{'id': '200005'}'</v>
      </c>
      <c r="D78" s="1" t="str">
        <f ca="1">MID(Names!G81,FIND(" ",Names!G81)+1,LEN(Names!G81)-FIND(" ", Names!G81))&amp;" "&amp;INDEX(PROJ_EXT_Name,RANDBETWEEN(2,12))</f>
        <v>Shaughnessy St Express Lane</v>
      </c>
      <c r="E78" s="1" t="s">
        <v>7016</v>
      </c>
      <c r="F78">
        <f>IF(ISNUMBER(#REF!),#REF!+1,40000)</f>
        <v>40000</v>
      </c>
      <c r="G78">
        <f>IF(ISNUMBER(#REF!),#REF!+1,500000)</f>
        <v>500000</v>
      </c>
      <c r="H78" t="s">
        <v>6694</v>
      </c>
      <c r="I78" s="8">
        <f>IF(ISNUMBER(#REF!),#REF!+1,600000)</f>
        <v>600000</v>
      </c>
      <c r="J78" t="s">
        <v>6517</v>
      </c>
      <c r="K78" t="str">
        <f>IFERROR(VLOOKUP(E78,Contacts.csv!C:D,2,FALSE),"")</f>
        <v/>
      </c>
      <c r="L78" t="str">
        <f t="shared" si="10"/>
        <v>rg:None</v>
      </c>
      <c r="M78" s="4" t="str">
        <f t="shared" si="11"/>
        <v>rg:[]</v>
      </c>
      <c r="N78" t="s">
        <v>6517</v>
      </c>
      <c r="O78" t="s">
        <v>6517</v>
      </c>
      <c r="P78" t="s">
        <v>6517</v>
      </c>
    </row>
    <row r="79" spans="1:16" x14ac:dyDescent="0.3">
      <c r="A79" t="s">
        <v>5388</v>
      </c>
      <c r="B79">
        <f ca="1">INDEX(LocalAreas.csv!G:G,RANDBETWEEN(2,88))</f>
        <v>200033</v>
      </c>
      <c r="C79" t="str">
        <f t="shared" ca="1" si="6"/>
        <v>rg{'id': '200033'}'</v>
      </c>
      <c r="D79" s="1" t="str">
        <f ca="1">MID(Names!G82,FIND(" ",Names!G82)+1,LEN(Names!G82)-FIND(" ", Names!G82))&amp;" "&amp;INDEX(PROJ_EXT_Name,RANDBETWEEN(2,12))</f>
        <v>Tchesinkut Lake Rd Building</v>
      </c>
      <c r="E79" s="1" t="s">
        <v>7017</v>
      </c>
      <c r="F79">
        <f t="shared" si="7"/>
        <v>40001</v>
      </c>
      <c r="G79">
        <f t="shared" si="8"/>
        <v>500001</v>
      </c>
      <c r="H79" t="s">
        <v>6694</v>
      </c>
      <c r="I79" s="8">
        <f t="shared" si="9"/>
        <v>600001</v>
      </c>
      <c r="J79" t="s">
        <v>6517</v>
      </c>
      <c r="K79" t="str">
        <f>IFERROR(VLOOKUP(E79,Contacts.csv!C:D,2,FALSE),"")</f>
        <v/>
      </c>
      <c r="L79" t="str">
        <f t="shared" si="10"/>
        <v>rg:None</v>
      </c>
      <c r="M79" s="4" t="str">
        <f t="shared" si="11"/>
        <v>rg:[]</v>
      </c>
      <c r="N79" t="s">
        <v>6517</v>
      </c>
      <c r="O79" t="s">
        <v>6517</v>
      </c>
      <c r="P79" t="s">
        <v>6517</v>
      </c>
    </row>
    <row r="80" spans="1:16" x14ac:dyDescent="0.3">
      <c r="A80" t="s">
        <v>5388</v>
      </c>
      <c r="B80">
        <f ca="1">INDEX(LocalAreas.csv!G:G,RANDBETWEEN(2,88))</f>
        <v>200007</v>
      </c>
      <c r="C80" t="str">
        <f t="shared" ca="1" si="6"/>
        <v>rg{'id': '200007'}'</v>
      </c>
      <c r="D80" s="1" t="str">
        <f ca="1">MID(Names!G83,FIND(" ",Names!G83)+1,LEN(Names!G83)-FIND(" ", Names!G83))&amp;" "&amp;INDEX(PROJ_EXT_Name,RANDBETWEEN(2,12))</f>
        <v>Blind Bay Road Bridge</v>
      </c>
      <c r="E80" s="1" t="s">
        <v>7018</v>
      </c>
      <c r="F80">
        <f t="shared" si="7"/>
        <v>40002</v>
      </c>
      <c r="G80">
        <f t="shared" si="8"/>
        <v>500002</v>
      </c>
      <c r="H80" t="s">
        <v>6694</v>
      </c>
      <c r="I80" s="8">
        <f t="shared" si="9"/>
        <v>600002</v>
      </c>
      <c r="J80" t="s">
        <v>6517</v>
      </c>
      <c r="K80" t="str">
        <f>IFERROR(VLOOKUP(E80,Contacts.csv!C:D,2,FALSE),"")</f>
        <v/>
      </c>
      <c r="L80" t="str">
        <f t="shared" si="10"/>
        <v>rg:None</v>
      </c>
      <c r="M80" s="4" t="str">
        <f t="shared" si="11"/>
        <v>rg:[]</v>
      </c>
      <c r="N80" t="s">
        <v>6517</v>
      </c>
      <c r="O80" t="s">
        <v>6517</v>
      </c>
      <c r="P80" t="s">
        <v>6517</v>
      </c>
    </row>
    <row r="81" spans="1:16" x14ac:dyDescent="0.3">
      <c r="A81" t="s">
        <v>5388</v>
      </c>
      <c r="B81">
        <f ca="1">INDEX(LocalAreas.csv!G:G,RANDBETWEEN(2,88))</f>
        <v>200016</v>
      </c>
      <c r="C81" t="str">
        <f t="shared" ca="1" si="6"/>
        <v>rg{'id': '200016'}'</v>
      </c>
      <c r="D81" s="1" t="str">
        <f ca="1">MID(Names!G84,FIND(" ",Names!G84)+1,LEN(Names!G84)-FIND(" ", Names!G84))&amp;" "&amp;INDEX(PROJ_EXT_Name,RANDBETWEEN(2,12))</f>
        <v>Blind Bay Road Upgrade</v>
      </c>
      <c r="E81" s="1" t="s">
        <v>7019</v>
      </c>
      <c r="F81">
        <f t="shared" si="7"/>
        <v>40003</v>
      </c>
      <c r="G81">
        <f t="shared" si="8"/>
        <v>500003</v>
      </c>
      <c r="H81" t="s">
        <v>6694</v>
      </c>
      <c r="I81" s="8">
        <f t="shared" si="9"/>
        <v>600003</v>
      </c>
      <c r="J81" t="s">
        <v>6517</v>
      </c>
      <c r="K81" t="str">
        <f>IFERROR(VLOOKUP(E81,Contacts.csv!C:D,2,FALSE),"")</f>
        <v/>
      </c>
      <c r="L81" t="str">
        <f t="shared" si="10"/>
        <v>rg:None</v>
      </c>
      <c r="M81" s="4" t="str">
        <f t="shared" si="11"/>
        <v>rg:[]</v>
      </c>
      <c r="N81" t="s">
        <v>6517</v>
      </c>
      <c r="O81" t="s">
        <v>6517</v>
      </c>
      <c r="P81" t="s">
        <v>6517</v>
      </c>
    </row>
    <row r="82" spans="1:16" x14ac:dyDescent="0.3">
      <c r="A82" t="s">
        <v>5388</v>
      </c>
      <c r="B82">
        <f ca="1">INDEX(LocalAreas.csv!G:G,RANDBETWEEN(2,88))</f>
        <v>200003</v>
      </c>
      <c r="C82" t="str">
        <f t="shared" ca="1" si="6"/>
        <v>rg{'id': '200003'}'</v>
      </c>
      <c r="D82" s="1" t="str">
        <f ca="1">MID(Names!G85,FIND(" ",Names!G85)+1,LEN(Names!G85)-FIND(" ", Names!G85))&amp;" "&amp;INDEX(PROJ_EXT_Name,RANDBETWEEN(2,12))</f>
        <v>James Street Express Lane</v>
      </c>
      <c r="E82" s="1" t="s">
        <v>7011</v>
      </c>
      <c r="F82">
        <f t="shared" si="7"/>
        <v>40004</v>
      </c>
      <c r="G82">
        <f t="shared" si="8"/>
        <v>500004</v>
      </c>
      <c r="H82" t="s">
        <v>6694</v>
      </c>
      <c r="I82" s="8">
        <f t="shared" si="9"/>
        <v>600004</v>
      </c>
      <c r="J82" t="s">
        <v>6517</v>
      </c>
      <c r="K82" t="str">
        <f>IFERROR(VLOOKUP(E82,Contacts.csv!C:D,2,FALSE),"")</f>
        <v/>
      </c>
      <c r="L82" t="str">
        <f t="shared" si="10"/>
        <v>rg:None</v>
      </c>
      <c r="M82" s="4" t="str">
        <f t="shared" si="11"/>
        <v>rg:[]</v>
      </c>
      <c r="N82" t="s">
        <v>6517</v>
      </c>
      <c r="O82" t="s">
        <v>6517</v>
      </c>
      <c r="P82" t="s">
        <v>6517</v>
      </c>
    </row>
    <row r="83" spans="1:16" x14ac:dyDescent="0.3">
      <c r="A83" t="s">
        <v>5388</v>
      </c>
      <c r="B83">
        <f ca="1">INDEX(LocalAreas.csv!G:G,RANDBETWEEN(2,88))</f>
        <v>200043</v>
      </c>
      <c r="C83" t="str">
        <f t="shared" ca="1" si="6"/>
        <v>rg{'id': '200043'}'</v>
      </c>
      <c r="D83" s="1" t="str">
        <f ca="1">MID(Names!G86,FIND(" ",Names!G86)+1,LEN(Names!G86)-FIND(" ", Names!G86))&amp;" "&amp;INDEX(PROJ_EXT_Name,RANDBETWEEN(2,12))</f>
        <v>Glover Road Extension</v>
      </c>
      <c r="E83" s="1" t="s">
        <v>7020</v>
      </c>
      <c r="F83">
        <f t="shared" si="7"/>
        <v>40005</v>
      </c>
      <c r="G83">
        <f t="shared" si="8"/>
        <v>500005</v>
      </c>
      <c r="H83" t="s">
        <v>6694</v>
      </c>
      <c r="I83" s="8">
        <f t="shared" si="9"/>
        <v>600005</v>
      </c>
      <c r="J83" t="s">
        <v>6517</v>
      </c>
      <c r="K83" t="str">
        <f>IFERROR(VLOOKUP(E83,Contacts.csv!C:D,2,FALSE),"")</f>
        <v/>
      </c>
      <c r="L83" t="str">
        <f t="shared" si="10"/>
        <v>rg:None</v>
      </c>
      <c r="M83" s="4" t="str">
        <f t="shared" si="11"/>
        <v>rg:[]</v>
      </c>
      <c r="N83" t="s">
        <v>6517</v>
      </c>
      <c r="O83" t="s">
        <v>6517</v>
      </c>
      <c r="P83" t="s">
        <v>6517</v>
      </c>
    </row>
    <row r="84" spans="1:16" x14ac:dyDescent="0.3">
      <c r="A84" t="s">
        <v>5388</v>
      </c>
      <c r="B84">
        <f ca="1">INDEX(LocalAreas.csv!G:G,RANDBETWEEN(2,88))</f>
        <v>200038</v>
      </c>
      <c r="C84" t="str">
        <f t="shared" ca="1" si="6"/>
        <v>rg{'id': '200038'}'</v>
      </c>
      <c r="D84" s="1" t="str">
        <f ca="1">MID(Names!G87,FIND(" ",Names!G87)+1,LEN(Names!G87)-FIND(" ", Names!G87))&amp;" "&amp;INDEX(PROJ_EXT_Name,RANDBETWEEN(2,12))</f>
        <v>Wellington Ave Expressway</v>
      </c>
      <c r="E84" s="1" t="s">
        <v>7021</v>
      </c>
      <c r="F84">
        <f t="shared" si="7"/>
        <v>40006</v>
      </c>
      <c r="G84">
        <f t="shared" si="8"/>
        <v>500006</v>
      </c>
      <c r="H84" t="s">
        <v>6694</v>
      </c>
      <c r="I84" s="8">
        <f t="shared" si="9"/>
        <v>600006</v>
      </c>
      <c r="J84" t="s">
        <v>6517</v>
      </c>
      <c r="K84" t="str">
        <f>IFERROR(VLOOKUP(E84,Contacts.csv!C:D,2,FALSE),"")</f>
        <v/>
      </c>
      <c r="L84" t="str">
        <f t="shared" si="10"/>
        <v>rg:None</v>
      </c>
      <c r="M84" s="4" t="str">
        <f t="shared" si="11"/>
        <v>rg:[]</v>
      </c>
      <c r="N84" t="s">
        <v>6517</v>
      </c>
      <c r="O84" t="s">
        <v>6517</v>
      </c>
      <c r="P84" t="s">
        <v>6517</v>
      </c>
    </row>
    <row r="85" spans="1:16" x14ac:dyDescent="0.3">
      <c r="A85" t="s">
        <v>5388</v>
      </c>
      <c r="B85">
        <f ca="1">INDEX(LocalAreas.csv!G:G,RANDBETWEEN(2,88))</f>
        <v>200085</v>
      </c>
      <c r="C85" t="str">
        <f t="shared" ca="1" si="6"/>
        <v>rg{'id': '200085'}'</v>
      </c>
      <c r="D85" s="1" t="str">
        <f ca="1">MID(Names!G88,FIND(" ",Names!G88)+1,LEN(Names!G88)-FIND(" ", Names!G88))&amp;" "&amp;INDEX(PROJ_EXT_Name,RANDBETWEEN(2,12))</f>
        <v>Roger Street Bridge</v>
      </c>
      <c r="E85" s="1" t="s">
        <v>6962</v>
      </c>
      <c r="F85">
        <f t="shared" si="7"/>
        <v>40007</v>
      </c>
      <c r="G85">
        <f t="shared" si="8"/>
        <v>500007</v>
      </c>
      <c r="H85" t="s">
        <v>6694</v>
      </c>
      <c r="I85" s="8">
        <f t="shared" si="9"/>
        <v>600007</v>
      </c>
      <c r="J85" t="s">
        <v>6517</v>
      </c>
      <c r="K85" t="str">
        <f>IFERROR(VLOOKUP(E85,Contacts.csv!C:D,2,FALSE),"")</f>
        <v/>
      </c>
      <c r="L85" t="str">
        <f t="shared" si="10"/>
        <v>rg:None</v>
      </c>
      <c r="M85" s="4" t="str">
        <f t="shared" si="11"/>
        <v>rg:[]</v>
      </c>
      <c r="N85" t="s">
        <v>6517</v>
      </c>
      <c r="O85" t="s">
        <v>6517</v>
      </c>
      <c r="P85" t="s">
        <v>6517</v>
      </c>
    </row>
    <row r="86" spans="1:16" x14ac:dyDescent="0.3">
      <c r="A86" t="s">
        <v>5388</v>
      </c>
      <c r="B86">
        <f ca="1">INDEX(LocalAreas.csv!G:G,RANDBETWEEN(2,88))</f>
        <v>200017</v>
      </c>
      <c r="C86" t="str">
        <f t="shared" ca="1" si="6"/>
        <v>rg{'id': '200017'}'</v>
      </c>
      <c r="D86" s="1" t="str">
        <f ca="1">MID(Names!G89,FIND(" ",Names!G89)+1,LEN(Names!G89)-FIND(" ", Names!G89))&amp;" "&amp;INDEX(PROJ_EXT_Name,RANDBETWEEN(2,12))</f>
        <v>Hastings Street Building</v>
      </c>
      <c r="E86" s="1" t="s">
        <v>7022</v>
      </c>
      <c r="F86">
        <f t="shared" si="7"/>
        <v>40008</v>
      </c>
      <c r="G86">
        <f t="shared" si="8"/>
        <v>500008</v>
      </c>
      <c r="H86" t="s">
        <v>6694</v>
      </c>
      <c r="I86" s="8">
        <f t="shared" si="9"/>
        <v>600008</v>
      </c>
      <c r="J86" t="s">
        <v>6517</v>
      </c>
      <c r="K86" t="str">
        <f>IFERROR(VLOOKUP(E86,Contacts.csv!C:D,2,FALSE),"")</f>
        <v/>
      </c>
      <c r="L86" t="str">
        <f t="shared" si="10"/>
        <v>rg:None</v>
      </c>
      <c r="M86" s="4" t="str">
        <f t="shared" si="11"/>
        <v>rg:[]</v>
      </c>
      <c r="N86" t="s">
        <v>6517</v>
      </c>
      <c r="O86" t="s">
        <v>6517</v>
      </c>
      <c r="P86" t="s">
        <v>6517</v>
      </c>
    </row>
    <row r="87" spans="1:16" x14ac:dyDescent="0.3">
      <c r="A87" t="s">
        <v>5388</v>
      </c>
      <c r="B87">
        <f ca="1">INDEX(LocalAreas.csv!G:G,RANDBETWEEN(2,88))</f>
        <v>200064</v>
      </c>
      <c r="C87" t="str">
        <f t="shared" ca="1" si="6"/>
        <v>rg{'id': '200064'}'</v>
      </c>
      <c r="D87" s="1" t="str">
        <f ca="1">MID(Names!G90,FIND(" ",Names!G90)+1,LEN(Names!G90)-FIND(" ", Names!G90))&amp;" "&amp;INDEX(PROJ_EXT_Name,RANDBETWEEN(2,12))</f>
        <v>Tchesinkut Lake Rd Upgrade</v>
      </c>
      <c r="E87" s="1" t="s">
        <v>7023</v>
      </c>
      <c r="F87">
        <f t="shared" si="7"/>
        <v>40009</v>
      </c>
      <c r="G87">
        <f t="shared" si="8"/>
        <v>500009</v>
      </c>
      <c r="H87" t="s">
        <v>6694</v>
      </c>
      <c r="I87" s="8">
        <f t="shared" si="9"/>
        <v>600009</v>
      </c>
      <c r="J87" t="s">
        <v>6517</v>
      </c>
      <c r="K87" t="str">
        <f>IFERROR(VLOOKUP(E87,Contacts.csv!C:D,2,FALSE),"")</f>
        <v/>
      </c>
      <c r="L87" t="str">
        <f t="shared" si="10"/>
        <v>rg:None</v>
      </c>
      <c r="M87" s="4" t="str">
        <f t="shared" si="11"/>
        <v>rg:[]</v>
      </c>
      <c r="N87" t="s">
        <v>6517</v>
      </c>
      <c r="O87" t="s">
        <v>6517</v>
      </c>
      <c r="P87" t="s">
        <v>6517</v>
      </c>
    </row>
    <row r="88" spans="1:16" x14ac:dyDescent="0.3">
      <c r="A88" t="s">
        <v>5388</v>
      </c>
      <c r="B88">
        <f ca="1">INDEX(LocalAreas.csv!G:G,RANDBETWEEN(2,88))</f>
        <v>200018</v>
      </c>
      <c r="C88" t="str">
        <f t="shared" ca="1" si="6"/>
        <v>rg{'id': '200018'}'</v>
      </c>
      <c r="D88" s="1" t="str">
        <f ca="1">MID(Names!G91,FIND(" ",Names!G91)+1,LEN(Names!G91)-FIND(" ", Names!G91))&amp;" "&amp;INDEX(PROJ_EXT_Name,RANDBETWEEN(2,12))</f>
        <v>Blanshard Extension</v>
      </c>
      <c r="E88" s="1" t="s">
        <v>7024</v>
      </c>
      <c r="F88">
        <f t="shared" si="7"/>
        <v>40010</v>
      </c>
      <c r="G88">
        <f t="shared" si="8"/>
        <v>500010</v>
      </c>
      <c r="H88" t="s">
        <v>6694</v>
      </c>
      <c r="I88" s="8">
        <f t="shared" si="9"/>
        <v>600010</v>
      </c>
      <c r="J88" t="s">
        <v>6517</v>
      </c>
      <c r="K88" t="str">
        <f>IFERROR(VLOOKUP(E88,Contacts.csv!C:D,2,FALSE),"")</f>
        <v/>
      </c>
      <c r="L88" t="str">
        <f t="shared" si="10"/>
        <v>rg:None</v>
      </c>
      <c r="M88" s="4" t="str">
        <f t="shared" si="11"/>
        <v>rg:[]</v>
      </c>
      <c r="N88" t="s">
        <v>6517</v>
      </c>
      <c r="O88" t="s">
        <v>6517</v>
      </c>
      <c r="P88" t="s">
        <v>6517</v>
      </c>
    </row>
    <row r="89" spans="1:16" x14ac:dyDescent="0.3">
      <c r="A89" t="s">
        <v>5388</v>
      </c>
      <c r="B89">
        <f ca="1">INDEX(LocalAreas.csv!G:G,RANDBETWEEN(2,88))</f>
        <v>200050</v>
      </c>
      <c r="C89" t="str">
        <f t="shared" ca="1" si="6"/>
        <v>rg{'id': '200050'}'</v>
      </c>
      <c r="D89" s="1" t="str">
        <f ca="1">MID(Names!G92,FIND(" ",Names!G92)+1,LEN(Names!G92)-FIND(" ", Names!G92))&amp;" "&amp;INDEX(PROJ_EXT_Name,RANDBETWEEN(2,12))</f>
        <v>St George Street Extension</v>
      </c>
      <c r="E89" s="1" t="s">
        <v>7025</v>
      </c>
      <c r="F89">
        <f t="shared" si="7"/>
        <v>40011</v>
      </c>
      <c r="G89">
        <f t="shared" si="8"/>
        <v>500011</v>
      </c>
      <c r="H89" t="s">
        <v>6694</v>
      </c>
      <c r="I89" s="8">
        <f t="shared" si="9"/>
        <v>600011</v>
      </c>
      <c r="J89" t="s">
        <v>6517</v>
      </c>
      <c r="K89" t="str">
        <f>IFERROR(VLOOKUP(E89,Contacts.csv!C:D,2,FALSE),"")</f>
        <v/>
      </c>
      <c r="L89" t="str">
        <f t="shared" si="10"/>
        <v>rg:None</v>
      </c>
      <c r="M89" s="4" t="str">
        <f t="shared" si="11"/>
        <v>rg:[]</v>
      </c>
      <c r="N89" t="s">
        <v>6517</v>
      </c>
      <c r="O89" t="s">
        <v>6517</v>
      </c>
      <c r="P89" t="s">
        <v>6517</v>
      </c>
    </row>
    <row r="90" spans="1:16" x14ac:dyDescent="0.3">
      <c r="A90" t="s">
        <v>5388</v>
      </c>
      <c r="B90">
        <f ca="1">INDEX(LocalAreas.csv!G:G,RANDBETWEEN(2,88))</f>
        <v>200021</v>
      </c>
      <c r="C90" t="str">
        <f t="shared" ca="1" si="6"/>
        <v>rg{'id': '200021'}'</v>
      </c>
      <c r="D90" s="1" t="str">
        <f ca="1">MID(Names!G93,FIND(" ",Names!G93)+1,LEN(Names!G93)-FIND(" ", Names!G93))&amp;" "&amp;INDEX(PROJ_EXT_Name,RANDBETWEEN(2,12))</f>
        <v>Stum Lake Road Extension</v>
      </c>
      <c r="E90" s="1" t="s">
        <v>7026</v>
      </c>
      <c r="F90">
        <f t="shared" si="7"/>
        <v>40012</v>
      </c>
      <c r="G90">
        <f t="shared" si="8"/>
        <v>500012</v>
      </c>
      <c r="H90" t="s">
        <v>6694</v>
      </c>
      <c r="I90" s="8">
        <f t="shared" si="9"/>
        <v>600012</v>
      </c>
      <c r="J90" t="s">
        <v>6517</v>
      </c>
      <c r="K90" t="str">
        <f>IFERROR(VLOOKUP(E90,Contacts.csv!C:D,2,FALSE),"")</f>
        <v/>
      </c>
      <c r="L90" t="str">
        <f t="shared" si="10"/>
        <v>rg:None</v>
      </c>
      <c r="M90" s="4" t="str">
        <f t="shared" si="11"/>
        <v>rg:[]</v>
      </c>
      <c r="N90" t="s">
        <v>6517</v>
      </c>
      <c r="O90" t="s">
        <v>6517</v>
      </c>
      <c r="P90" t="s">
        <v>6517</v>
      </c>
    </row>
    <row r="91" spans="1:16" x14ac:dyDescent="0.3">
      <c r="A91" t="s">
        <v>5388</v>
      </c>
      <c r="B91">
        <f ca="1">INDEX(LocalAreas.csv!G:G,RANDBETWEEN(2,88))</f>
        <v>200082</v>
      </c>
      <c r="C91" t="str">
        <f t="shared" ca="1" si="6"/>
        <v>rg{'id': '200082'}'</v>
      </c>
      <c r="D91" s="1" t="str">
        <f ca="1">MID(Names!G94,FIND(" ",Names!G94)+1,LEN(Names!G94)-FIND(" ", Names!G94))&amp;" "&amp;INDEX(PROJ_EXT_Name,RANDBETWEEN(2,12))</f>
        <v>Yoho Valley Road Building</v>
      </c>
      <c r="E91" s="1" t="s">
        <v>7027</v>
      </c>
      <c r="F91">
        <f t="shared" si="7"/>
        <v>40013</v>
      </c>
      <c r="G91">
        <f t="shared" si="8"/>
        <v>500013</v>
      </c>
      <c r="H91" t="s">
        <v>6694</v>
      </c>
      <c r="I91" s="8">
        <f t="shared" si="9"/>
        <v>600013</v>
      </c>
      <c r="J91" t="s">
        <v>6517</v>
      </c>
      <c r="K91" t="str">
        <f>IFERROR(VLOOKUP(E91,Contacts.csv!C:D,2,FALSE),"")</f>
        <v/>
      </c>
      <c r="L91" t="str">
        <f t="shared" si="10"/>
        <v>rg:None</v>
      </c>
      <c r="M91" s="4" t="str">
        <f t="shared" si="11"/>
        <v>rg:[]</v>
      </c>
      <c r="N91" t="s">
        <v>6517</v>
      </c>
      <c r="O91" t="s">
        <v>6517</v>
      </c>
      <c r="P91" t="s">
        <v>6517</v>
      </c>
    </row>
    <row r="92" spans="1:16" x14ac:dyDescent="0.3">
      <c r="A92" t="s">
        <v>5388</v>
      </c>
      <c r="B92">
        <f ca="1">INDEX(LocalAreas.csv!G:G,RANDBETWEEN(2,88))</f>
        <v>200073</v>
      </c>
      <c r="C92" t="str">
        <f t="shared" ca="1" si="6"/>
        <v>rg{'id': '200073'}'</v>
      </c>
      <c r="D92" s="1" t="str">
        <f ca="1">MID(Names!G95,FIND(" ",Names!G95)+1,LEN(Names!G95)-FIND(" ", Names!G95))&amp;" "&amp;INDEX(PROJ_EXT_Name,RANDBETWEEN(2,12))</f>
        <v>Keith Road Cloverleaf</v>
      </c>
      <c r="E92" s="1" t="s">
        <v>7028</v>
      </c>
      <c r="F92">
        <f t="shared" si="7"/>
        <v>40014</v>
      </c>
      <c r="G92">
        <f t="shared" si="8"/>
        <v>500014</v>
      </c>
      <c r="H92" t="s">
        <v>6694</v>
      </c>
      <c r="I92" s="8">
        <f t="shared" si="9"/>
        <v>600014</v>
      </c>
      <c r="J92" t="s">
        <v>6517</v>
      </c>
      <c r="K92" t="str">
        <f>IFERROR(VLOOKUP(E92,Contacts.csv!C:D,2,FALSE),"")</f>
        <v/>
      </c>
      <c r="L92" t="str">
        <f t="shared" si="10"/>
        <v>rg:None</v>
      </c>
      <c r="M92" s="4" t="str">
        <f t="shared" si="11"/>
        <v>rg:[]</v>
      </c>
      <c r="N92" t="s">
        <v>6517</v>
      </c>
      <c r="O92" t="s">
        <v>6517</v>
      </c>
      <c r="P92" t="s">
        <v>6517</v>
      </c>
    </row>
    <row r="93" spans="1:16" x14ac:dyDescent="0.3">
      <c r="A93" t="s">
        <v>5388</v>
      </c>
      <c r="B93">
        <f ca="1">INDEX(LocalAreas.csv!G:G,RANDBETWEEN(2,88))</f>
        <v>200048</v>
      </c>
      <c r="C93" t="str">
        <f t="shared" ca="1" si="6"/>
        <v>rg{'id': '200048'}'</v>
      </c>
      <c r="D93" s="1" t="str">
        <f ca="1">MID(Names!G96,FIND(" ",Names!G96)+1,LEN(Names!G96)-FIND(" ", Names!G96))&amp;" "&amp;INDEX(PROJ_EXT_Name,RANDBETWEEN(2,12))</f>
        <v>Burdett Avenue HOV Lane</v>
      </c>
      <c r="E93" s="1" t="s">
        <v>6908</v>
      </c>
      <c r="F93">
        <f t="shared" si="7"/>
        <v>40015</v>
      </c>
      <c r="G93">
        <f t="shared" si="8"/>
        <v>500015</v>
      </c>
      <c r="H93" t="s">
        <v>6694</v>
      </c>
      <c r="I93" s="8">
        <f t="shared" si="9"/>
        <v>600015</v>
      </c>
      <c r="J93" t="s">
        <v>6517</v>
      </c>
      <c r="K93" t="str">
        <f>IFERROR(VLOOKUP(E93,Contacts.csv!C:D,2,FALSE),"")</f>
        <v/>
      </c>
      <c r="L93" t="str">
        <f t="shared" si="10"/>
        <v>rg:None</v>
      </c>
      <c r="M93" s="4" t="str">
        <f t="shared" si="11"/>
        <v>rg:[]</v>
      </c>
      <c r="N93" t="s">
        <v>6517</v>
      </c>
      <c r="O93" t="s">
        <v>6517</v>
      </c>
      <c r="P93" t="s">
        <v>6517</v>
      </c>
    </row>
    <row r="94" spans="1:16" x14ac:dyDescent="0.3">
      <c r="A94" t="s">
        <v>5388</v>
      </c>
      <c r="B94">
        <f ca="1">INDEX(LocalAreas.csv!G:G,RANDBETWEEN(2,88))</f>
        <v>200023</v>
      </c>
      <c r="C94" t="str">
        <f t="shared" ca="1" si="6"/>
        <v>rg{'id': '200023'}'</v>
      </c>
      <c r="D94" s="1" t="str">
        <f ca="1">MID(Names!G97,FIND(" ",Names!G97)+1,LEN(Names!G97)-FIND(" ", Names!G97))&amp;" "&amp;INDEX(PROJ_EXT_Name,RANDBETWEEN(2,12))</f>
        <v>Blanshard Building</v>
      </c>
      <c r="E94" s="1" t="s">
        <v>7013</v>
      </c>
      <c r="F94">
        <f t="shared" si="7"/>
        <v>40016</v>
      </c>
      <c r="G94">
        <f t="shared" si="8"/>
        <v>500016</v>
      </c>
      <c r="H94" t="s">
        <v>6694</v>
      </c>
      <c r="I94" s="8">
        <f t="shared" si="9"/>
        <v>600016</v>
      </c>
      <c r="J94" t="s">
        <v>6517</v>
      </c>
      <c r="K94" t="str">
        <f>IFERROR(VLOOKUP(E94,Contacts.csv!C:D,2,FALSE),"")</f>
        <v/>
      </c>
      <c r="L94" t="str">
        <f t="shared" si="10"/>
        <v>rg:None</v>
      </c>
      <c r="M94" s="4" t="str">
        <f t="shared" si="11"/>
        <v>rg:[]</v>
      </c>
      <c r="N94" t="s">
        <v>6517</v>
      </c>
      <c r="O94" t="s">
        <v>6517</v>
      </c>
      <c r="P94" t="s">
        <v>6517</v>
      </c>
    </row>
    <row r="95" spans="1:16" x14ac:dyDescent="0.3">
      <c r="A95" t="s">
        <v>5388</v>
      </c>
      <c r="B95">
        <f ca="1">INDEX(LocalAreas.csv!G:G,RANDBETWEEN(2,88))</f>
        <v>200021</v>
      </c>
      <c r="C95" t="str">
        <f t="shared" ca="1" si="6"/>
        <v>rg{'id': '200021'}'</v>
      </c>
      <c r="D95" s="1" t="str">
        <f ca="1">MID(Names!G98,FIND(" ",Names!G98)+1,LEN(Names!G98)-FIND(" ", Names!G98))&amp;" "&amp;INDEX(PROJ_EXT_Name,RANDBETWEEN(2,12))</f>
        <v>Quayside Dr Express Lane</v>
      </c>
      <c r="E95" s="1" t="s">
        <v>7029</v>
      </c>
      <c r="F95">
        <f t="shared" si="7"/>
        <v>40017</v>
      </c>
      <c r="G95">
        <f t="shared" si="8"/>
        <v>500017</v>
      </c>
      <c r="H95" t="s">
        <v>6694</v>
      </c>
      <c r="I95" s="8">
        <f t="shared" si="9"/>
        <v>600017</v>
      </c>
      <c r="J95" t="s">
        <v>6517</v>
      </c>
      <c r="K95" t="str">
        <f>IFERROR(VLOOKUP(E95,Contacts.csv!C:D,2,FALSE),"")</f>
        <v/>
      </c>
      <c r="L95" t="str">
        <f t="shared" si="10"/>
        <v>rg:None</v>
      </c>
      <c r="M95" s="4" t="str">
        <f t="shared" si="11"/>
        <v>rg:[]</v>
      </c>
      <c r="N95" t="s">
        <v>6517</v>
      </c>
      <c r="O95" t="s">
        <v>6517</v>
      </c>
      <c r="P95" t="s">
        <v>6517</v>
      </c>
    </row>
    <row r="96" spans="1:16" x14ac:dyDescent="0.3">
      <c r="A96" t="s">
        <v>5388</v>
      </c>
      <c r="B96">
        <f ca="1">INDEX(LocalAreas.csv!G:G,RANDBETWEEN(2,88))</f>
        <v>200007</v>
      </c>
      <c r="C96" t="str">
        <f t="shared" ca="1" si="6"/>
        <v>rg{'id': '200007'}'</v>
      </c>
      <c r="D96" s="1" t="str">
        <f ca="1">MID(Names!G99,FIND(" ",Names!G99)+1,LEN(Names!G99)-FIND(" ", Names!G99))&amp;" "&amp;INDEX(PROJ_EXT_Name,RANDBETWEEN(2,12))</f>
        <v>Jade St Upgrade</v>
      </c>
      <c r="E96" s="1" t="s">
        <v>7030</v>
      </c>
      <c r="F96">
        <f t="shared" si="7"/>
        <v>40018</v>
      </c>
      <c r="G96">
        <f t="shared" si="8"/>
        <v>500018</v>
      </c>
      <c r="H96" t="s">
        <v>6694</v>
      </c>
      <c r="I96" s="8">
        <f t="shared" si="9"/>
        <v>600018</v>
      </c>
      <c r="J96" t="s">
        <v>6517</v>
      </c>
      <c r="K96" t="str">
        <f>IFERROR(VLOOKUP(E96,Contacts.csv!C:D,2,FALSE),"")</f>
        <v/>
      </c>
      <c r="L96" t="str">
        <f t="shared" si="10"/>
        <v>rg:None</v>
      </c>
      <c r="M96" s="4" t="str">
        <f t="shared" si="11"/>
        <v>rg:[]</v>
      </c>
      <c r="N96" t="s">
        <v>6517</v>
      </c>
      <c r="O96" t="s">
        <v>6517</v>
      </c>
      <c r="P96" t="s">
        <v>6517</v>
      </c>
    </row>
    <row r="97" spans="1:16" x14ac:dyDescent="0.3">
      <c r="A97" t="s">
        <v>5388</v>
      </c>
      <c r="B97">
        <f ca="1">INDEX(LocalAreas.csv!G:G,RANDBETWEEN(2,88))</f>
        <v>200053</v>
      </c>
      <c r="C97" t="str">
        <f t="shared" ca="1" si="6"/>
        <v>rg{'id': '200053'}'</v>
      </c>
      <c r="D97" s="1" t="str">
        <f ca="1">MID(Names!G100,FIND(" ",Names!G100)+1,LEN(Names!G100)-FIND(" ", Names!G100))&amp;" "&amp;INDEX(PROJ_EXT_Name,RANDBETWEEN(2,12))</f>
        <v>Robson St Express Lane</v>
      </c>
      <c r="E97" s="1" t="s">
        <v>7031</v>
      </c>
      <c r="F97">
        <f t="shared" si="7"/>
        <v>40019</v>
      </c>
      <c r="G97">
        <f t="shared" si="8"/>
        <v>500019</v>
      </c>
      <c r="H97" t="s">
        <v>6694</v>
      </c>
      <c r="I97" s="8">
        <f t="shared" si="9"/>
        <v>600019</v>
      </c>
      <c r="J97" t="s">
        <v>6517</v>
      </c>
      <c r="K97" t="str">
        <f>IFERROR(VLOOKUP(E97,Contacts.csv!C:D,2,FALSE),"")</f>
        <v/>
      </c>
      <c r="L97" t="str">
        <f t="shared" si="10"/>
        <v>rg:None</v>
      </c>
      <c r="M97" s="4" t="str">
        <f t="shared" si="11"/>
        <v>rg:[]</v>
      </c>
      <c r="N97" t="s">
        <v>6517</v>
      </c>
      <c r="O97" t="s">
        <v>6517</v>
      </c>
      <c r="P97" t="s">
        <v>6517</v>
      </c>
    </row>
    <row r="98" spans="1:16" x14ac:dyDescent="0.3">
      <c r="A98" t="s">
        <v>5388</v>
      </c>
      <c r="B98">
        <f ca="1">INDEX(LocalAreas.csv!G:G,RANDBETWEEN(2,88))</f>
        <v>200058</v>
      </c>
      <c r="C98" t="str">
        <f t="shared" ca="1" si="6"/>
        <v>rg{'id': '200058'}'</v>
      </c>
      <c r="D98" s="1" t="str">
        <f ca="1">MID(Names!G101,FIND(" ",Names!G101)+1,LEN(Names!G101)-FIND(" ", Names!G101))&amp;" "&amp;INDEX(PROJ_EXT_Name,RANDBETWEEN(2,12))</f>
        <v>Robson St Building</v>
      </c>
      <c r="E98" s="1" t="s">
        <v>6938</v>
      </c>
      <c r="F98">
        <f t="shared" si="7"/>
        <v>40020</v>
      </c>
      <c r="G98">
        <f t="shared" si="8"/>
        <v>500020</v>
      </c>
      <c r="H98" t="s">
        <v>6694</v>
      </c>
      <c r="I98" s="8">
        <f t="shared" si="9"/>
        <v>600020</v>
      </c>
      <c r="J98" t="s">
        <v>6517</v>
      </c>
      <c r="K98" t="str">
        <f>IFERROR(VLOOKUP(E98,Contacts.csv!C:D,2,FALSE),"")</f>
        <v/>
      </c>
      <c r="L98" t="str">
        <f t="shared" si="10"/>
        <v>rg:None</v>
      </c>
      <c r="M98" s="4" t="str">
        <f t="shared" si="11"/>
        <v>rg:[]</v>
      </c>
      <c r="N98" t="s">
        <v>6517</v>
      </c>
      <c r="O98" t="s">
        <v>6517</v>
      </c>
      <c r="P98" t="s">
        <v>6517</v>
      </c>
    </row>
    <row r="99" spans="1:16" x14ac:dyDescent="0.3">
      <c r="A99" t="s">
        <v>5388</v>
      </c>
      <c r="B99">
        <f ca="1">INDEX(LocalAreas.csv!G:G,RANDBETWEEN(2,88))</f>
        <v>200043</v>
      </c>
      <c r="C99" t="str">
        <f t="shared" ca="1" si="6"/>
        <v>rg{'id': '200043'}'</v>
      </c>
      <c r="D99" s="1" t="str">
        <f ca="1">MID(Names!G102,FIND(" ",Names!G102)+1,LEN(Names!G102)-FIND(" ", Names!G102))&amp;" "&amp;INDEX(PROJ_EXT_Name,RANDBETWEEN(2,12))</f>
        <v>Kinchant St Overpass</v>
      </c>
      <c r="E99" s="1" t="s">
        <v>6936</v>
      </c>
      <c r="F99">
        <f t="shared" si="7"/>
        <v>40021</v>
      </c>
      <c r="G99">
        <f t="shared" si="8"/>
        <v>500021</v>
      </c>
      <c r="H99" t="s">
        <v>6694</v>
      </c>
      <c r="I99" s="8">
        <f t="shared" si="9"/>
        <v>600021</v>
      </c>
      <c r="J99" t="s">
        <v>6517</v>
      </c>
      <c r="K99" t="str">
        <f>IFERROR(VLOOKUP(E99,Contacts.csv!C:D,2,FALSE),"")</f>
        <v/>
      </c>
      <c r="L99" t="str">
        <f t="shared" si="10"/>
        <v>rg:None</v>
      </c>
      <c r="M99" s="4" t="str">
        <f t="shared" si="11"/>
        <v>rg:[]</v>
      </c>
      <c r="N99" t="s">
        <v>6517</v>
      </c>
      <c r="O99" t="s">
        <v>6517</v>
      </c>
      <c r="P99" t="s">
        <v>6517</v>
      </c>
    </row>
    <row r="100" spans="1:16" x14ac:dyDescent="0.3">
      <c r="A100" t="s">
        <v>5388</v>
      </c>
      <c r="B100">
        <f ca="1">INDEX(LocalAreas.csv!G:G,RANDBETWEEN(2,88))</f>
        <v>200074</v>
      </c>
      <c r="C100" t="str">
        <f t="shared" ca="1" si="6"/>
        <v>rg{'id': '200074'}'</v>
      </c>
      <c r="D100" s="1" t="str">
        <f ca="1">MID(Names!G103,FIND(" ",Names!G103)+1,LEN(Names!G103)-FIND(" ", Names!G103))&amp;" "&amp;INDEX(PROJ_EXT_Name,RANDBETWEEN(2,12))</f>
        <v>Alaska Hwy Bridge Replacement</v>
      </c>
      <c r="E100" s="1" t="s">
        <v>7008</v>
      </c>
      <c r="F100">
        <f t="shared" si="7"/>
        <v>40022</v>
      </c>
      <c r="G100">
        <f t="shared" si="8"/>
        <v>500022</v>
      </c>
      <c r="H100" t="s">
        <v>6694</v>
      </c>
      <c r="I100" s="8">
        <f t="shared" si="9"/>
        <v>600022</v>
      </c>
      <c r="J100" t="s">
        <v>6517</v>
      </c>
      <c r="K100" t="str">
        <f>IFERROR(VLOOKUP(E100,Contacts.csv!C:D,2,FALSE),"")</f>
        <v/>
      </c>
      <c r="L100" t="str">
        <f t="shared" si="10"/>
        <v>rg:None</v>
      </c>
      <c r="M100" s="4" t="str">
        <f t="shared" si="11"/>
        <v>rg:[]</v>
      </c>
      <c r="N100" t="s">
        <v>6517</v>
      </c>
      <c r="O100" t="s">
        <v>6517</v>
      </c>
      <c r="P100" t="s">
        <v>6517</v>
      </c>
    </row>
    <row r="101" spans="1:16" x14ac:dyDescent="0.3">
      <c r="A101" t="s">
        <v>5388</v>
      </c>
      <c r="B101">
        <f ca="1">INDEX(LocalAreas.csv!G:G,RANDBETWEEN(2,88))</f>
        <v>200005</v>
      </c>
      <c r="C101" t="str">
        <f t="shared" ca="1" si="6"/>
        <v>rg{'id': '200005'}'</v>
      </c>
      <c r="D101" s="1" t="str">
        <f ca="1">MID(Names!G104,FIND(" ",Names!G104)+1,LEN(Names!G104)-FIND(" ", Names!G104))&amp;" "&amp;INDEX(PROJ_EXT_Name,RANDBETWEEN(2,12))</f>
        <v>Carlson Road Overpass</v>
      </c>
      <c r="E101" s="1" t="s">
        <v>7032</v>
      </c>
      <c r="F101">
        <f t="shared" si="7"/>
        <v>40023</v>
      </c>
      <c r="G101">
        <f t="shared" si="8"/>
        <v>500023</v>
      </c>
      <c r="H101" t="s">
        <v>6694</v>
      </c>
      <c r="I101" s="8">
        <f t="shared" si="9"/>
        <v>600023</v>
      </c>
      <c r="J101" t="s">
        <v>6517</v>
      </c>
      <c r="K101" t="str">
        <f>IFERROR(VLOOKUP(E101,Contacts.csv!C:D,2,FALSE),"")</f>
        <v/>
      </c>
      <c r="L101" t="str">
        <f t="shared" si="10"/>
        <v>rg:None</v>
      </c>
      <c r="M101" s="4" t="str">
        <f t="shared" si="11"/>
        <v>rg:[]</v>
      </c>
      <c r="N101" t="s">
        <v>6517</v>
      </c>
      <c r="O101" t="s">
        <v>6517</v>
      </c>
      <c r="P101" t="s">
        <v>6517</v>
      </c>
    </row>
    <row r="102" spans="1:16" x14ac:dyDescent="0.3">
      <c r="A102" t="s">
        <v>5388</v>
      </c>
      <c r="B102">
        <f ca="1">INDEX(LocalAreas.csv!G:G,RANDBETWEEN(2,88))</f>
        <v>200080</v>
      </c>
      <c r="C102" t="str">
        <f t="shared" ca="1" si="6"/>
        <v>rg{'id': '200080'}'</v>
      </c>
      <c r="D102" s="1" t="str">
        <f ca="1">MID(Names!G105,FIND(" ",Names!G105)+1,LEN(Names!G105)-FIND(" ", Names!G105))&amp;" "&amp;INDEX(PROJ_EXT_Name,RANDBETWEEN(2,12))</f>
        <v>102nd Avenue Bridge</v>
      </c>
      <c r="E102" s="1" t="s">
        <v>6919</v>
      </c>
      <c r="F102">
        <f t="shared" si="7"/>
        <v>40024</v>
      </c>
      <c r="G102">
        <f t="shared" si="8"/>
        <v>500024</v>
      </c>
      <c r="H102" t="s">
        <v>6694</v>
      </c>
      <c r="I102" s="8">
        <f t="shared" si="9"/>
        <v>600024</v>
      </c>
      <c r="J102" t="s">
        <v>6517</v>
      </c>
      <c r="K102" t="str">
        <f>IFERROR(VLOOKUP(E102,Contacts.csv!C:D,2,FALSE),"")</f>
        <v/>
      </c>
      <c r="L102" t="str">
        <f t="shared" si="10"/>
        <v>rg:None</v>
      </c>
      <c r="M102" s="4" t="str">
        <f t="shared" si="11"/>
        <v>rg:[]</v>
      </c>
      <c r="N102" t="s">
        <v>6517</v>
      </c>
      <c r="O102" t="s">
        <v>6517</v>
      </c>
      <c r="P102" t="s">
        <v>6517</v>
      </c>
    </row>
    <row r="103" spans="1:16" x14ac:dyDescent="0.3">
      <c r="A103" t="s">
        <v>5388</v>
      </c>
      <c r="B103">
        <f ca="1">INDEX(LocalAreas.csv!G:G,RANDBETWEEN(2,88))</f>
        <v>200024</v>
      </c>
      <c r="C103" t="str">
        <f t="shared" ca="1" si="6"/>
        <v>rg{'id': '200024'}'</v>
      </c>
      <c r="D103" s="1" t="str">
        <f ca="1">MID(Names!G106,FIND(" ",Names!G106)+1,LEN(Names!G106)-FIND(" ", Names!G106))&amp;" "&amp;INDEX(PROJ_EXT_Name,RANDBETWEEN(2,12))</f>
        <v>Roger Street Overpass</v>
      </c>
      <c r="E103" s="1" t="s">
        <v>6942</v>
      </c>
      <c r="F103">
        <f t="shared" si="7"/>
        <v>40025</v>
      </c>
      <c r="G103">
        <f t="shared" si="8"/>
        <v>500025</v>
      </c>
      <c r="H103" t="s">
        <v>6694</v>
      </c>
      <c r="I103" s="8">
        <f t="shared" si="9"/>
        <v>600025</v>
      </c>
      <c r="J103" t="s">
        <v>6517</v>
      </c>
      <c r="K103" t="str">
        <f>IFERROR(VLOOKUP(E103,Contacts.csv!C:D,2,FALSE),"")</f>
        <v/>
      </c>
      <c r="L103" t="str">
        <f t="shared" si="10"/>
        <v>rg:None</v>
      </c>
      <c r="M103" s="4" t="str">
        <f t="shared" si="11"/>
        <v>rg:[]</v>
      </c>
      <c r="N103" t="s">
        <v>6517</v>
      </c>
      <c r="O103" t="s">
        <v>6517</v>
      </c>
      <c r="P103" t="s">
        <v>6517</v>
      </c>
    </row>
    <row r="104" spans="1:16" x14ac:dyDescent="0.3">
      <c r="A104" t="s">
        <v>5388</v>
      </c>
      <c r="B104">
        <f ca="1">INDEX(LocalAreas.csv!G:G,RANDBETWEEN(2,88))</f>
        <v>200086</v>
      </c>
      <c r="C104" t="str">
        <f t="shared" ca="1" si="6"/>
        <v>rg{'id': '200086'}'</v>
      </c>
      <c r="D104" s="1" t="str">
        <f ca="1">MID(Names!G107,FIND(" ",Names!G107)+1,LEN(Names!G107)-FIND(" ", Names!G107))&amp;" "&amp;INDEX(PROJ_EXT_Name,RANDBETWEEN(2,12))</f>
        <v>McGill Road Express Lane</v>
      </c>
      <c r="E104" s="1" t="s">
        <v>7033</v>
      </c>
      <c r="F104">
        <f t="shared" si="7"/>
        <v>40026</v>
      </c>
      <c r="G104">
        <f t="shared" si="8"/>
        <v>500026</v>
      </c>
      <c r="H104" t="s">
        <v>6694</v>
      </c>
      <c r="I104" s="8">
        <f t="shared" si="9"/>
        <v>600026</v>
      </c>
      <c r="J104" t="s">
        <v>6517</v>
      </c>
      <c r="K104" t="str">
        <f>IFERROR(VLOOKUP(E104,Contacts.csv!C:D,2,FALSE),"")</f>
        <v/>
      </c>
      <c r="L104" t="str">
        <f t="shared" si="10"/>
        <v>rg:None</v>
      </c>
      <c r="M104" s="4" t="str">
        <f t="shared" si="11"/>
        <v>rg:[]</v>
      </c>
      <c r="N104" t="s">
        <v>6517</v>
      </c>
      <c r="O104" t="s">
        <v>6517</v>
      </c>
      <c r="P104" t="s">
        <v>6517</v>
      </c>
    </row>
    <row r="105" spans="1:16" x14ac:dyDescent="0.3">
      <c r="A105" t="s">
        <v>5388</v>
      </c>
      <c r="B105">
        <f ca="1">INDEX(LocalAreas.csv!G:G,RANDBETWEEN(2,88))</f>
        <v>200028</v>
      </c>
      <c r="C105" t="str">
        <f t="shared" ca="1" si="6"/>
        <v>rg{'id': '200028'}'</v>
      </c>
      <c r="D105" s="1" t="str">
        <f ca="1">MID(Names!G108,FIND(" ",Names!G108)+1,LEN(Names!G108)-FIND(" ", Names!G108))&amp;" "&amp;INDEX(PROJ_EXT_Name,RANDBETWEEN(2,12))</f>
        <v>Russell Avenue Building</v>
      </c>
      <c r="E105" s="1" t="s">
        <v>7034</v>
      </c>
      <c r="F105">
        <f t="shared" si="7"/>
        <v>40027</v>
      </c>
      <c r="G105">
        <f t="shared" si="8"/>
        <v>500027</v>
      </c>
      <c r="H105" t="s">
        <v>6694</v>
      </c>
      <c r="I105" s="8">
        <f t="shared" si="9"/>
        <v>600027</v>
      </c>
      <c r="J105" t="s">
        <v>6517</v>
      </c>
      <c r="K105" t="str">
        <f>IFERROR(VLOOKUP(E105,Contacts.csv!C:D,2,FALSE),"")</f>
        <v/>
      </c>
      <c r="L105" t="str">
        <f t="shared" si="10"/>
        <v>rg:None</v>
      </c>
      <c r="M105" s="4" t="str">
        <f t="shared" si="11"/>
        <v>rg:[]</v>
      </c>
      <c r="N105" t="s">
        <v>6517</v>
      </c>
      <c r="O105" t="s">
        <v>6517</v>
      </c>
      <c r="P105" t="s">
        <v>6517</v>
      </c>
    </row>
    <row r="106" spans="1:16" x14ac:dyDescent="0.3">
      <c r="A106" t="s">
        <v>5388</v>
      </c>
      <c r="B106">
        <f ca="1">INDEX(LocalAreas.csv!G:G,RANDBETWEEN(2,88))</f>
        <v>200027</v>
      </c>
      <c r="C106" t="str">
        <f t="shared" ca="1" si="6"/>
        <v>rg{'id': '200027'}'</v>
      </c>
      <c r="D106" s="1" t="str">
        <f ca="1">MID(Names!G109,FIND(" ",Names!G109)+1,LEN(Names!G109)-FIND(" ", Names!G109))&amp;" "&amp;INDEX(PROJ_EXT_Name,RANDBETWEEN(2,12))</f>
        <v>Cardero St HOV Lane</v>
      </c>
      <c r="E106" s="1" t="s">
        <v>6922</v>
      </c>
      <c r="F106">
        <f t="shared" si="7"/>
        <v>40028</v>
      </c>
      <c r="G106">
        <f t="shared" si="8"/>
        <v>500028</v>
      </c>
      <c r="H106" t="s">
        <v>6694</v>
      </c>
      <c r="I106" s="8">
        <f t="shared" si="9"/>
        <v>600028</v>
      </c>
      <c r="J106" t="s">
        <v>6517</v>
      </c>
      <c r="K106" t="str">
        <f>IFERROR(VLOOKUP(E106,Contacts.csv!C:D,2,FALSE),"")</f>
        <v/>
      </c>
      <c r="L106" t="str">
        <f t="shared" si="10"/>
        <v>rg:None</v>
      </c>
      <c r="M106" s="4" t="str">
        <f t="shared" si="11"/>
        <v>rg:[]</v>
      </c>
      <c r="N106" t="s">
        <v>6517</v>
      </c>
      <c r="O106" t="s">
        <v>6517</v>
      </c>
      <c r="P106" t="s">
        <v>6517</v>
      </c>
    </row>
    <row r="107" spans="1:16" x14ac:dyDescent="0.3">
      <c r="A107" t="s">
        <v>5388</v>
      </c>
      <c r="B107">
        <f ca="1">INDEX(LocalAreas.csv!G:G,RANDBETWEEN(2,88))</f>
        <v>200008</v>
      </c>
      <c r="C107" t="str">
        <f t="shared" ca="1" si="6"/>
        <v>rg{'id': '200008'}'</v>
      </c>
      <c r="D107" s="1" t="str">
        <f ca="1">MID(Names!G110,FIND(" ",Names!G110)+1,LEN(Names!G110)-FIND(" ", Names!G110))&amp;" "&amp;INDEX(PROJ_EXT_Name,RANDBETWEEN(2,12))</f>
        <v>Findlay Creek Road Extension</v>
      </c>
      <c r="E107" s="1" t="s">
        <v>6993</v>
      </c>
      <c r="F107">
        <f t="shared" si="7"/>
        <v>40029</v>
      </c>
      <c r="G107">
        <f t="shared" si="8"/>
        <v>500029</v>
      </c>
      <c r="H107" t="s">
        <v>6694</v>
      </c>
      <c r="I107" s="8">
        <f t="shared" si="9"/>
        <v>600029</v>
      </c>
      <c r="J107" t="s">
        <v>6517</v>
      </c>
      <c r="K107" t="str">
        <f>IFERROR(VLOOKUP(E107,Contacts.csv!C:D,2,FALSE),"")</f>
        <v/>
      </c>
      <c r="L107" t="str">
        <f t="shared" si="10"/>
        <v>rg:None</v>
      </c>
      <c r="M107" s="4" t="str">
        <f t="shared" si="11"/>
        <v>rg:[]</v>
      </c>
      <c r="N107" t="s">
        <v>6517</v>
      </c>
      <c r="O107" t="s">
        <v>6517</v>
      </c>
      <c r="P107" t="s">
        <v>6517</v>
      </c>
    </row>
    <row r="108" spans="1:16" x14ac:dyDescent="0.3">
      <c r="A108" t="s">
        <v>5388</v>
      </c>
      <c r="B108">
        <f ca="1">INDEX(LocalAreas.csv!G:G,RANDBETWEEN(2,88))</f>
        <v>200062</v>
      </c>
      <c r="C108" t="str">
        <f t="shared" ca="1" si="6"/>
        <v>rg{'id': '200062'}'</v>
      </c>
      <c r="D108" s="1" t="str">
        <f ca="1">MID(Names!G112,FIND(" ",Names!G112)+1,LEN(Names!G112)-FIND(" ", Names!G112))&amp;" "&amp;INDEX(PROJ_EXT_Name,RANDBETWEEN(2,12))</f>
        <v>Brew Creek Rd Overpass</v>
      </c>
      <c r="E108" s="1" t="s">
        <v>7035</v>
      </c>
      <c r="F108">
        <f>IF(ISNUMBER(#REF!),#REF!+1,40000)</f>
        <v>40000</v>
      </c>
      <c r="G108">
        <f>IF(ISNUMBER(#REF!),#REF!+1,500000)</f>
        <v>500000</v>
      </c>
      <c r="H108" t="s">
        <v>6694</v>
      </c>
      <c r="I108" s="8">
        <f>IF(ISNUMBER(#REF!),#REF!+1,600000)</f>
        <v>600000</v>
      </c>
      <c r="J108" t="s">
        <v>6517</v>
      </c>
      <c r="K108" t="str">
        <f>IFERROR(VLOOKUP(E108,Contacts.csv!C:D,2,FALSE),"")</f>
        <v/>
      </c>
      <c r="L108" t="str">
        <f t="shared" si="10"/>
        <v>rg:None</v>
      </c>
      <c r="M108" s="4" t="str">
        <f t="shared" si="11"/>
        <v>rg:[]</v>
      </c>
      <c r="N108" t="s">
        <v>6517</v>
      </c>
      <c r="O108" t="s">
        <v>6517</v>
      </c>
      <c r="P108" t="s">
        <v>6517</v>
      </c>
    </row>
    <row r="109" spans="1:16" x14ac:dyDescent="0.3">
      <c r="A109" t="s">
        <v>5388</v>
      </c>
      <c r="B109">
        <f ca="1">INDEX(LocalAreas.csv!G:G,RANDBETWEEN(2,88))</f>
        <v>200041</v>
      </c>
      <c r="C109" t="str">
        <f t="shared" ca="1" si="6"/>
        <v>rg{'id': '200041'}'</v>
      </c>
      <c r="D109" s="1" t="str">
        <f ca="1">MID(Names!G113,FIND(" ",Names!G113)+1,LEN(Names!G113)-FIND(" ", Names!G113))&amp;" "&amp;INDEX(PROJ_EXT_Name,RANDBETWEEN(2,12))</f>
        <v>Robson St Bypass</v>
      </c>
      <c r="E109" s="1" t="s">
        <v>6948</v>
      </c>
      <c r="F109">
        <f t="shared" si="7"/>
        <v>40001</v>
      </c>
      <c r="G109">
        <f t="shared" si="8"/>
        <v>500001</v>
      </c>
      <c r="H109" t="s">
        <v>6694</v>
      </c>
      <c r="I109" s="8">
        <f t="shared" si="9"/>
        <v>600001</v>
      </c>
      <c r="J109" t="s">
        <v>6517</v>
      </c>
      <c r="K109" t="str">
        <f>IFERROR(VLOOKUP(E109,Contacts.csv!C:D,2,FALSE),"")</f>
        <v/>
      </c>
      <c r="L109" t="str">
        <f t="shared" si="10"/>
        <v>rg:None</v>
      </c>
      <c r="M109" s="4" t="str">
        <f t="shared" si="11"/>
        <v>rg:[]</v>
      </c>
      <c r="N109" t="s">
        <v>6517</v>
      </c>
      <c r="O109" t="s">
        <v>6517</v>
      </c>
      <c r="P109" t="s">
        <v>6517</v>
      </c>
    </row>
    <row r="110" spans="1:16" x14ac:dyDescent="0.3">
      <c r="A110" t="s">
        <v>5388</v>
      </c>
      <c r="B110">
        <f ca="1">INDEX(LocalAreas.csv!G:G,RANDBETWEEN(2,88))</f>
        <v>200080</v>
      </c>
      <c r="C110" t="str">
        <f t="shared" ca="1" si="6"/>
        <v>rg{'id': '200080'}'</v>
      </c>
      <c r="D110" s="1" t="str">
        <f ca="1">MID(Names!G114,FIND(" ",Names!G114)+1,LEN(Names!G114)-FIND(" ", Names!G114))&amp;" "&amp;INDEX(PROJ_EXT_Name,RANDBETWEEN(2,12))</f>
        <v>Roger Street Bypass</v>
      </c>
      <c r="E110" s="1" t="s">
        <v>6942</v>
      </c>
      <c r="F110">
        <f t="shared" si="7"/>
        <v>40002</v>
      </c>
      <c r="G110">
        <f t="shared" si="8"/>
        <v>500002</v>
      </c>
      <c r="H110" t="s">
        <v>6694</v>
      </c>
      <c r="I110" s="8">
        <f t="shared" si="9"/>
        <v>600002</v>
      </c>
      <c r="J110" t="s">
        <v>6517</v>
      </c>
      <c r="K110" t="str">
        <f>IFERROR(VLOOKUP(E110,Contacts.csv!C:D,2,FALSE),"")</f>
        <v/>
      </c>
      <c r="L110" t="str">
        <f t="shared" si="10"/>
        <v>rg:None</v>
      </c>
      <c r="M110" s="4" t="str">
        <f t="shared" si="11"/>
        <v>rg:[]</v>
      </c>
      <c r="N110" t="s">
        <v>6517</v>
      </c>
      <c r="O110" t="s">
        <v>6517</v>
      </c>
      <c r="P110" t="s">
        <v>6517</v>
      </c>
    </row>
    <row r="111" spans="1:16" x14ac:dyDescent="0.3">
      <c r="A111" t="s">
        <v>5388</v>
      </c>
      <c r="B111">
        <f ca="1">INDEX(LocalAreas.csv!G:G,RANDBETWEEN(2,88))</f>
        <v>200067</v>
      </c>
      <c r="C111" t="str">
        <f t="shared" ca="1" si="6"/>
        <v>rg{'id': '200067'}'</v>
      </c>
      <c r="D111" s="1" t="str">
        <f ca="1">MID(Names!G115,FIND(" ",Names!G115)+1,LEN(Names!G115)-FIND(" ", Names!G115))&amp;" "&amp;INDEX(PROJ_EXT_Name,RANDBETWEEN(2,12))</f>
        <v>Queens Bay Bypass</v>
      </c>
      <c r="E111" s="1" t="s">
        <v>7036</v>
      </c>
      <c r="F111">
        <f t="shared" si="7"/>
        <v>40003</v>
      </c>
      <c r="G111">
        <f t="shared" si="8"/>
        <v>500003</v>
      </c>
      <c r="H111" t="s">
        <v>6694</v>
      </c>
      <c r="I111" s="8">
        <f t="shared" si="9"/>
        <v>600003</v>
      </c>
      <c r="J111" t="s">
        <v>6517</v>
      </c>
      <c r="K111" t="str">
        <f>IFERROR(VLOOKUP(E111,Contacts.csv!C:D,2,FALSE),"")</f>
        <v/>
      </c>
      <c r="L111" t="str">
        <f t="shared" si="10"/>
        <v>rg:None</v>
      </c>
      <c r="M111" s="4" t="str">
        <f t="shared" si="11"/>
        <v>rg:[]</v>
      </c>
      <c r="N111" t="s">
        <v>6517</v>
      </c>
      <c r="O111" t="s">
        <v>6517</v>
      </c>
      <c r="P111" t="s">
        <v>6517</v>
      </c>
    </row>
    <row r="112" spans="1:16" x14ac:dyDescent="0.3">
      <c r="A112" t="s">
        <v>5388</v>
      </c>
      <c r="B112">
        <f ca="1">INDEX(LocalAreas.csv!G:G,RANDBETWEEN(2,88))</f>
        <v>200076</v>
      </c>
      <c r="C112" t="str">
        <f t="shared" ca="1" si="6"/>
        <v>rg{'id': '200076'}'</v>
      </c>
      <c r="D112" s="1" t="str">
        <f ca="1">MID(Names!G116,FIND(" ",Names!G116)+1,LEN(Names!G116)-FIND(" ", Names!G116))&amp;" "&amp;INDEX(PROJ_EXT_Name,RANDBETWEEN(2,12))</f>
        <v>Jade St Upgrade</v>
      </c>
      <c r="E112" s="1" t="s">
        <v>7007</v>
      </c>
      <c r="F112">
        <f t="shared" si="7"/>
        <v>40004</v>
      </c>
      <c r="G112">
        <f t="shared" si="8"/>
        <v>500004</v>
      </c>
      <c r="H112" t="s">
        <v>6694</v>
      </c>
      <c r="I112" s="8">
        <f t="shared" si="9"/>
        <v>600004</v>
      </c>
      <c r="J112" t="s">
        <v>6517</v>
      </c>
      <c r="K112" t="str">
        <f>IFERROR(VLOOKUP(E112,Contacts.csv!C:D,2,FALSE),"")</f>
        <v/>
      </c>
      <c r="L112" t="str">
        <f t="shared" si="10"/>
        <v>rg:None</v>
      </c>
      <c r="M112" s="4" t="str">
        <f t="shared" si="11"/>
        <v>rg:[]</v>
      </c>
      <c r="N112" t="s">
        <v>6517</v>
      </c>
      <c r="O112" t="s">
        <v>6517</v>
      </c>
      <c r="P112" t="s">
        <v>6517</v>
      </c>
    </row>
    <row r="113" spans="1:16" x14ac:dyDescent="0.3">
      <c r="A113" t="s">
        <v>5388</v>
      </c>
      <c r="B113">
        <f ca="1">INDEX(LocalAreas.csv!G:G,RANDBETWEEN(2,88))</f>
        <v>200027</v>
      </c>
      <c r="C113" t="str">
        <f t="shared" ca="1" si="6"/>
        <v>rg{'id': '200027'}'</v>
      </c>
      <c r="D113" s="1" t="str">
        <f ca="1">MID(Names!G117,FIND(" ",Names!G117)+1,LEN(Names!G117)-FIND(" ", Names!G117))&amp;" "&amp;INDEX(PROJ_EXT_Name,RANDBETWEEN(2,12))</f>
        <v>Brew Creek Rd HOV Lane</v>
      </c>
      <c r="E113" s="1" t="s">
        <v>6914</v>
      </c>
      <c r="F113">
        <f t="shared" si="7"/>
        <v>40005</v>
      </c>
      <c r="G113">
        <f t="shared" si="8"/>
        <v>500005</v>
      </c>
      <c r="H113" t="s">
        <v>6694</v>
      </c>
      <c r="I113" s="8">
        <f t="shared" si="9"/>
        <v>600005</v>
      </c>
      <c r="J113" t="s">
        <v>6517</v>
      </c>
      <c r="K113" t="str">
        <f>IFERROR(VLOOKUP(E113,Contacts.csv!C:D,2,FALSE),"")</f>
        <v/>
      </c>
      <c r="L113" t="str">
        <f t="shared" si="10"/>
        <v>rg:None</v>
      </c>
      <c r="M113" s="4" t="str">
        <f t="shared" si="11"/>
        <v>rg:[]</v>
      </c>
      <c r="N113" t="s">
        <v>6517</v>
      </c>
      <c r="O113" t="s">
        <v>6517</v>
      </c>
      <c r="P113" t="s">
        <v>6517</v>
      </c>
    </row>
    <row r="114" spans="1:16" x14ac:dyDescent="0.3">
      <c r="A114" t="s">
        <v>5388</v>
      </c>
      <c r="B114">
        <f ca="1">INDEX(LocalAreas.csv!G:G,RANDBETWEEN(2,88))</f>
        <v>200058</v>
      </c>
      <c r="C114" t="str">
        <f t="shared" ca="1" si="6"/>
        <v>rg{'id': '200058'}'</v>
      </c>
      <c r="D114" s="1" t="str">
        <f ca="1">MID(Names!G118,FIND(" ",Names!G118)+1,LEN(Names!G118)-FIND(" ", Names!G118))&amp;" "&amp;INDEX(PROJ_EXT_Name,RANDBETWEEN(2,12))</f>
        <v>Roger Street Bypass</v>
      </c>
      <c r="E114" s="1" t="s">
        <v>6913</v>
      </c>
      <c r="F114">
        <f t="shared" si="7"/>
        <v>40006</v>
      </c>
      <c r="G114">
        <f t="shared" si="8"/>
        <v>500006</v>
      </c>
      <c r="H114" t="s">
        <v>6694</v>
      </c>
      <c r="I114" s="8">
        <f t="shared" si="9"/>
        <v>600006</v>
      </c>
      <c r="J114" t="s">
        <v>6517</v>
      </c>
      <c r="K114" t="str">
        <f>IFERROR(VLOOKUP(E114,Contacts.csv!C:D,2,FALSE),"")</f>
        <v/>
      </c>
      <c r="L114" t="str">
        <f t="shared" si="10"/>
        <v>rg:None</v>
      </c>
      <c r="M114" s="4" t="str">
        <f t="shared" si="11"/>
        <v>rg:[]</v>
      </c>
      <c r="N114" t="s">
        <v>6517</v>
      </c>
      <c r="O114" t="s">
        <v>6517</v>
      </c>
      <c r="P114" t="s">
        <v>6517</v>
      </c>
    </row>
    <row r="115" spans="1:16" x14ac:dyDescent="0.3">
      <c r="A115" t="s">
        <v>5388</v>
      </c>
      <c r="B115">
        <f ca="1">INDEX(LocalAreas.csv!G:G,RANDBETWEEN(2,88))</f>
        <v>200049</v>
      </c>
      <c r="C115" t="str">
        <f t="shared" ca="1" si="6"/>
        <v>rg{'id': '200049'}'</v>
      </c>
      <c r="D115" s="1" t="str">
        <f ca="1">MID(Names!G119,FIND(" ",Names!G119)+1,LEN(Names!G119)-FIND(" ", Names!G119))&amp;" "&amp;INDEX(PROJ_EXT_Name,RANDBETWEEN(2,12))</f>
        <v>Quayside Dr Express Lane</v>
      </c>
      <c r="E115" s="1" t="s">
        <v>7006</v>
      </c>
      <c r="F115">
        <f t="shared" si="7"/>
        <v>40007</v>
      </c>
      <c r="G115">
        <f t="shared" si="8"/>
        <v>500007</v>
      </c>
      <c r="H115" t="s">
        <v>6694</v>
      </c>
      <c r="I115" s="8">
        <f t="shared" si="9"/>
        <v>600007</v>
      </c>
      <c r="J115" t="s">
        <v>6517</v>
      </c>
      <c r="K115" t="str">
        <f>IFERROR(VLOOKUP(E115,Contacts.csv!C:D,2,FALSE),"")</f>
        <v/>
      </c>
      <c r="L115" t="str">
        <f t="shared" si="10"/>
        <v>rg:None</v>
      </c>
      <c r="M115" s="4" t="str">
        <f t="shared" si="11"/>
        <v>rg:[]</v>
      </c>
      <c r="N115" t="s">
        <v>6517</v>
      </c>
      <c r="O115" t="s">
        <v>6517</v>
      </c>
      <c r="P115" t="s">
        <v>6517</v>
      </c>
    </row>
    <row r="116" spans="1:16" x14ac:dyDescent="0.3">
      <c r="A116" t="s">
        <v>5388</v>
      </c>
      <c r="B116">
        <f ca="1">INDEX(LocalAreas.csv!G:G,RANDBETWEEN(2,88))</f>
        <v>200034</v>
      </c>
      <c r="C116" t="str">
        <f t="shared" ca="1" si="6"/>
        <v>rg{'id': '200034'}'</v>
      </c>
      <c r="D116" s="1" t="str">
        <f ca="1">MID(Names!G120,FIND(" ",Names!G120)+1,LEN(Names!G120)-FIND(" ", Names!G120))&amp;" "&amp;INDEX(PROJ_EXT_Name,RANDBETWEEN(2,12))</f>
        <v>Haaglund Rd Cloverleaf</v>
      </c>
      <c r="E116" s="1" t="s">
        <v>7037</v>
      </c>
      <c r="F116">
        <f t="shared" si="7"/>
        <v>40008</v>
      </c>
      <c r="G116">
        <f t="shared" si="8"/>
        <v>500008</v>
      </c>
      <c r="H116" t="s">
        <v>6694</v>
      </c>
      <c r="I116" s="8">
        <f t="shared" si="9"/>
        <v>600008</v>
      </c>
      <c r="J116" t="s">
        <v>6517</v>
      </c>
      <c r="K116" t="str">
        <f>IFERROR(VLOOKUP(E116,Contacts.csv!C:D,2,FALSE),"")</f>
        <v/>
      </c>
      <c r="L116" t="str">
        <f t="shared" si="10"/>
        <v>rg:None</v>
      </c>
      <c r="M116" s="4" t="str">
        <f t="shared" si="11"/>
        <v>rg:[]</v>
      </c>
      <c r="N116" t="s">
        <v>6517</v>
      </c>
      <c r="O116" t="s">
        <v>6517</v>
      </c>
      <c r="P116" t="s">
        <v>6517</v>
      </c>
    </row>
    <row r="117" spans="1:16" x14ac:dyDescent="0.3">
      <c r="A117" t="s">
        <v>5388</v>
      </c>
      <c r="B117">
        <f ca="1">INDEX(LocalAreas.csv!G:G,RANDBETWEEN(2,88))</f>
        <v>200031</v>
      </c>
      <c r="C117" t="str">
        <f t="shared" ca="1" si="6"/>
        <v>rg{'id': '200031'}'</v>
      </c>
      <c r="D117" s="1" t="str">
        <f ca="1">MID(Names!G121,FIND(" ",Names!G121)+1,LEN(Names!G121)-FIND(" ", Names!G121))&amp;" "&amp;INDEX(PROJ_EXT_Name,RANDBETWEEN(2,12))</f>
        <v>Tchesinkut Lake Rd HOV Lane</v>
      </c>
      <c r="E117" s="1" t="s">
        <v>7038</v>
      </c>
      <c r="F117">
        <f t="shared" si="7"/>
        <v>40009</v>
      </c>
      <c r="G117">
        <f t="shared" si="8"/>
        <v>500009</v>
      </c>
      <c r="H117" t="s">
        <v>6694</v>
      </c>
      <c r="I117" s="8">
        <f t="shared" si="9"/>
        <v>600009</v>
      </c>
      <c r="J117" t="s">
        <v>6517</v>
      </c>
      <c r="K117" t="str">
        <f>IFERROR(VLOOKUP(E117,Contacts.csv!C:D,2,FALSE),"")</f>
        <v/>
      </c>
      <c r="L117" t="str">
        <f t="shared" si="10"/>
        <v>rg:None</v>
      </c>
      <c r="M117" s="4" t="str">
        <f t="shared" si="11"/>
        <v>rg:[]</v>
      </c>
      <c r="N117" t="s">
        <v>6517</v>
      </c>
      <c r="O117" t="s">
        <v>6517</v>
      </c>
      <c r="P117" t="s">
        <v>6517</v>
      </c>
    </row>
    <row r="118" spans="1:16" x14ac:dyDescent="0.3">
      <c r="A118" t="s">
        <v>5388</v>
      </c>
      <c r="B118">
        <f ca="1">INDEX(LocalAreas.csv!G:G,RANDBETWEEN(2,88))</f>
        <v>200078</v>
      </c>
      <c r="C118" t="str">
        <f t="shared" ca="1" si="6"/>
        <v>rg{'id': '200078'}'</v>
      </c>
      <c r="D118" s="1" t="str">
        <f ca="1">MID(Names!G122,FIND(" ",Names!G122)+1,LEN(Names!G122)-FIND(" ", Names!G122))&amp;" "&amp;INDEX(PROJ_EXT_Name,RANDBETWEEN(2,12))</f>
        <v>Roger Street Extension</v>
      </c>
      <c r="E118" s="1" t="s">
        <v>6913</v>
      </c>
      <c r="F118">
        <f t="shared" si="7"/>
        <v>40010</v>
      </c>
      <c r="G118">
        <f t="shared" si="8"/>
        <v>500010</v>
      </c>
      <c r="H118" t="s">
        <v>6694</v>
      </c>
      <c r="I118" s="8">
        <f t="shared" si="9"/>
        <v>600010</v>
      </c>
      <c r="J118" t="s">
        <v>6517</v>
      </c>
      <c r="K118" t="str">
        <f>IFERROR(VLOOKUP(E118,Contacts.csv!C:D,2,FALSE),"")</f>
        <v/>
      </c>
      <c r="L118" t="str">
        <f t="shared" si="10"/>
        <v>rg:None</v>
      </c>
      <c r="M118" s="4" t="str">
        <f t="shared" si="11"/>
        <v>rg:[]</v>
      </c>
      <c r="N118" t="s">
        <v>6517</v>
      </c>
      <c r="O118" t="s">
        <v>6517</v>
      </c>
      <c r="P118" t="s">
        <v>6517</v>
      </c>
    </row>
    <row r="119" spans="1:16" x14ac:dyDescent="0.3">
      <c r="A119" t="s">
        <v>5388</v>
      </c>
      <c r="B119">
        <f ca="1">INDEX(LocalAreas.csv!G:G,RANDBETWEEN(2,88))</f>
        <v>200048</v>
      </c>
      <c r="C119" t="str">
        <f t="shared" ca="1" si="6"/>
        <v>rg{'id': '200048'}'</v>
      </c>
      <c r="D119" s="1" t="str">
        <f ca="1">MID(Names!G123,FIND(" ",Names!G123)+1,LEN(Names!G123)-FIND(" ", Names!G123))&amp;" "&amp;INDEX(PROJ_EXT_Name,RANDBETWEEN(2,12))</f>
        <v>Glover Road Express Lane</v>
      </c>
      <c r="E119" s="1" t="s">
        <v>7039</v>
      </c>
      <c r="F119">
        <f t="shared" si="7"/>
        <v>40011</v>
      </c>
      <c r="G119">
        <f t="shared" si="8"/>
        <v>500011</v>
      </c>
      <c r="H119" t="s">
        <v>6694</v>
      </c>
      <c r="I119" s="8">
        <f t="shared" si="9"/>
        <v>600011</v>
      </c>
      <c r="J119" t="s">
        <v>6517</v>
      </c>
      <c r="K119" t="str">
        <f>IFERROR(VLOOKUP(E119,Contacts.csv!C:D,2,FALSE),"")</f>
        <v/>
      </c>
      <c r="L119" t="str">
        <f t="shared" si="10"/>
        <v>rg:None</v>
      </c>
      <c r="M119" s="4" t="str">
        <f t="shared" si="11"/>
        <v>rg:[]</v>
      </c>
      <c r="N119" t="s">
        <v>6517</v>
      </c>
      <c r="O119" t="s">
        <v>6517</v>
      </c>
      <c r="P119" t="s">
        <v>6517</v>
      </c>
    </row>
    <row r="120" spans="1:16" x14ac:dyDescent="0.3">
      <c r="A120" t="s">
        <v>5388</v>
      </c>
      <c r="B120">
        <f ca="1">INDEX(LocalAreas.csv!G:G,RANDBETWEEN(2,88))</f>
        <v>200033</v>
      </c>
      <c r="C120" t="str">
        <f t="shared" ca="1" si="6"/>
        <v>rg{'id': '200033'}'</v>
      </c>
      <c r="D120" s="1" t="str">
        <f ca="1">MID(Names!G124,FIND(" ",Names!G124)+1,LEN(Names!G124)-FIND(" ", Names!G124))&amp;" "&amp;INDEX(PROJ_EXT_Name,RANDBETWEEN(2,12))</f>
        <v>Stum Lake Road Building</v>
      </c>
      <c r="E120" s="1" t="s">
        <v>7040</v>
      </c>
      <c r="F120">
        <f t="shared" si="7"/>
        <v>40012</v>
      </c>
      <c r="G120">
        <f t="shared" si="8"/>
        <v>500012</v>
      </c>
      <c r="H120" t="s">
        <v>6694</v>
      </c>
      <c r="I120" s="8">
        <f t="shared" si="9"/>
        <v>600012</v>
      </c>
      <c r="J120" t="s">
        <v>6517</v>
      </c>
      <c r="K120" t="str">
        <f>IFERROR(VLOOKUP(E120,Contacts.csv!C:D,2,FALSE),"")</f>
        <v/>
      </c>
      <c r="L120" t="str">
        <f t="shared" si="10"/>
        <v>rg:None</v>
      </c>
      <c r="M120" s="4" t="str">
        <f t="shared" si="11"/>
        <v>rg:[]</v>
      </c>
      <c r="N120" t="s">
        <v>6517</v>
      </c>
      <c r="O120" t="s">
        <v>6517</v>
      </c>
      <c r="P120" t="s">
        <v>6517</v>
      </c>
    </row>
    <row r="121" spans="1:16" x14ac:dyDescent="0.3">
      <c r="A121" t="s">
        <v>5388</v>
      </c>
      <c r="B121">
        <f ca="1">INDEX(LocalAreas.csv!G:G,RANDBETWEEN(2,88))</f>
        <v>200072</v>
      </c>
      <c r="C121" t="str">
        <f t="shared" ca="1" si="6"/>
        <v>rg{'id': '200072'}'</v>
      </c>
      <c r="D121" s="1" t="str">
        <f ca="1">MID(Names!G125,FIND(" ",Names!G125)+1,LEN(Names!G125)-FIND(" ", Names!G125))&amp;" "&amp;INDEX(PROJ_EXT_Name,RANDBETWEEN(2,12))</f>
        <v>Queens Bay Upgrade</v>
      </c>
      <c r="E121" s="1" t="s">
        <v>6946</v>
      </c>
      <c r="F121">
        <f t="shared" si="7"/>
        <v>40013</v>
      </c>
      <c r="G121">
        <f t="shared" si="8"/>
        <v>500013</v>
      </c>
      <c r="H121" t="s">
        <v>6694</v>
      </c>
      <c r="I121" s="8">
        <f t="shared" si="9"/>
        <v>600013</v>
      </c>
      <c r="J121" t="s">
        <v>6517</v>
      </c>
      <c r="K121" t="str">
        <f>IFERROR(VLOOKUP(E121,Contacts.csv!C:D,2,FALSE),"")</f>
        <v/>
      </c>
      <c r="L121" t="str">
        <f t="shared" si="10"/>
        <v>rg:None</v>
      </c>
      <c r="M121" s="4" t="str">
        <f t="shared" si="11"/>
        <v>rg:[]</v>
      </c>
      <c r="N121" t="s">
        <v>6517</v>
      </c>
      <c r="O121" t="s">
        <v>6517</v>
      </c>
      <c r="P121" t="s">
        <v>6517</v>
      </c>
    </row>
    <row r="122" spans="1:16" x14ac:dyDescent="0.3">
      <c r="A122" t="s">
        <v>5388</v>
      </c>
      <c r="B122">
        <f ca="1">INDEX(LocalAreas.csv!G:G,RANDBETWEEN(2,88))</f>
        <v>200017</v>
      </c>
      <c r="C122" t="str">
        <f t="shared" ca="1" si="6"/>
        <v>rg{'id': '200017'}'</v>
      </c>
      <c r="D122" s="1" t="str">
        <f ca="1">MID(Names!G126,FIND(" ",Names!G126)+1,LEN(Names!G126)-FIND(" ", Names!G126))&amp;" "&amp;INDEX(PROJ_EXT_Name,RANDBETWEEN(2,12))</f>
        <v>Shaughnessy St Upgrade</v>
      </c>
      <c r="E122" s="1" t="s">
        <v>7041</v>
      </c>
      <c r="F122">
        <f t="shared" si="7"/>
        <v>40014</v>
      </c>
      <c r="G122">
        <f t="shared" si="8"/>
        <v>500014</v>
      </c>
      <c r="H122" t="s">
        <v>6694</v>
      </c>
      <c r="I122" s="8">
        <f t="shared" si="9"/>
        <v>600014</v>
      </c>
      <c r="J122" t="s">
        <v>6517</v>
      </c>
      <c r="K122" t="str">
        <f>IFERROR(VLOOKUP(E122,Contacts.csv!C:D,2,FALSE),"")</f>
        <v/>
      </c>
      <c r="L122" t="str">
        <f t="shared" si="10"/>
        <v>rg:None</v>
      </c>
      <c r="M122" s="4" t="str">
        <f t="shared" si="11"/>
        <v>rg:[]</v>
      </c>
      <c r="N122" t="s">
        <v>6517</v>
      </c>
      <c r="O122" t="s">
        <v>6517</v>
      </c>
      <c r="P122" t="s">
        <v>6517</v>
      </c>
    </row>
    <row r="123" spans="1:16" x14ac:dyDescent="0.3">
      <c r="A123" t="s">
        <v>5388</v>
      </c>
      <c r="B123">
        <f ca="1">INDEX(LocalAreas.csv!G:G,RANDBETWEEN(2,88))</f>
        <v>200061</v>
      </c>
      <c r="C123" t="str">
        <f t="shared" ca="1" si="6"/>
        <v>rg{'id': '200061'}'</v>
      </c>
      <c r="D123" s="1" t="str">
        <f ca="1">MID(Names!G127,FIND(" ",Names!G127)+1,LEN(Names!G127)-FIND(" ", Names!G127))&amp;" "&amp;INDEX(PROJ_EXT_Name,RANDBETWEEN(2,12))</f>
        <v>Burdett Avenue Extension</v>
      </c>
      <c r="E123" s="1" t="s">
        <v>6906</v>
      </c>
      <c r="F123">
        <f t="shared" si="7"/>
        <v>40015</v>
      </c>
      <c r="G123">
        <f t="shared" si="8"/>
        <v>500015</v>
      </c>
      <c r="H123" t="s">
        <v>6694</v>
      </c>
      <c r="I123" s="8">
        <f t="shared" si="9"/>
        <v>600015</v>
      </c>
      <c r="J123" t="s">
        <v>6517</v>
      </c>
      <c r="K123" t="str">
        <f>IFERROR(VLOOKUP(E123,Contacts.csv!C:D,2,FALSE),"")</f>
        <v/>
      </c>
      <c r="L123" t="str">
        <f t="shared" si="10"/>
        <v>rg:None</v>
      </c>
      <c r="M123" s="4" t="str">
        <f t="shared" si="11"/>
        <v>rg:[]</v>
      </c>
      <c r="N123" t="s">
        <v>6517</v>
      </c>
      <c r="O123" t="s">
        <v>6517</v>
      </c>
      <c r="P123" t="s">
        <v>6517</v>
      </c>
    </row>
    <row r="124" spans="1:16" x14ac:dyDescent="0.3">
      <c r="A124" t="s">
        <v>5388</v>
      </c>
      <c r="B124">
        <f ca="1">INDEX(LocalAreas.csv!G:G,RANDBETWEEN(2,88))</f>
        <v>200010</v>
      </c>
      <c r="C124" t="str">
        <f t="shared" ca="1" si="6"/>
        <v>rg{'id': '200010'}'</v>
      </c>
      <c r="D124" s="1" t="str">
        <f ca="1">MID(Names!G128,FIND(" ",Names!G128)+1,LEN(Names!G128)-FIND(" ", Names!G128))&amp;" "&amp;INDEX(PROJ_EXT_Name,RANDBETWEEN(2,12))</f>
        <v>Shaughnessy St Upgrade</v>
      </c>
      <c r="E124" s="1" t="s">
        <v>7042</v>
      </c>
      <c r="F124">
        <f t="shared" si="7"/>
        <v>40016</v>
      </c>
      <c r="G124">
        <f t="shared" si="8"/>
        <v>500016</v>
      </c>
      <c r="H124" t="s">
        <v>6694</v>
      </c>
      <c r="I124" s="8">
        <f t="shared" si="9"/>
        <v>600016</v>
      </c>
      <c r="J124" t="s">
        <v>6517</v>
      </c>
      <c r="K124" t="str">
        <f>IFERROR(VLOOKUP(E124,Contacts.csv!C:D,2,FALSE),"")</f>
        <v/>
      </c>
      <c r="L124" t="str">
        <f t="shared" si="10"/>
        <v>rg:None</v>
      </c>
      <c r="M124" s="4" t="str">
        <f t="shared" si="11"/>
        <v>rg:[]</v>
      </c>
      <c r="N124" t="s">
        <v>6517</v>
      </c>
      <c r="O124" t="s">
        <v>6517</v>
      </c>
      <c r="P124" t="s">
        <v>6517</v>
      </c>
    </row>
    <row r="125" spans="1:16" x14ac:dyDescent="0.3">
      <c r="A125" t="s">
        <v>5388</v>
      </c>
      <c r="B125">
        <f ca="1">INDEX(LocalAreas.csv!G:G,RANDBETWEEN(2,88))</f>
        <v>200011</v>
      </c>
      <c r="C125" t="str">
        <f t="shared" ca="1" si="6"/>
        <v>rg{'id': '200011'}'</v>
      </c>
      <c r="D125" s="1" t="str">
        <f ca="1">MID(Names!G129,FIND(" ",Names!G129)+1,LEN(Names!G129)-FIND(" ", Names!G129))&amp;" "&amp;INDEX(PROJ_EXT_Name,RANDBETWEEN(2,12))</f>
        <v>Cordova Street Overpass</v>
      </c>
      <c r="E125" s="1" t="s">
        <v>6920</v>
      </c>
      <c r="F125">
        <f t="shared" si="7"/>
        <v>40017</v>
      </c>
      <c r="G125">
        <f t="shared" si="8"/>
        <v>500017</v>
      </c>
      <c r="H125" t="s">
        <v>6694</v>
      </c>
      <c r="I125" s="8">
        <f t="shared" si="9"/>
        <v>600017</v>
      </c>
      <c r="J125" t="s">
        <v>6517</v>
      </c>
      <c r="K125" t="str">
        <f>IFERROR(VLOOKUP(E125,Contacts.csv!C:D,2,FALSE),"")</f>
        <v/>
      </c>
      <c r="L125" t="str">
        <f t="shared" si="10"/>
        <v>rg:None</v>
      </c>
      <c r="M125" s="4" t="str">
        <f t="shared" si="11"/>
        <v>rg:[]</v>
      </c>
      <c r="N125" t="s">
        <v>6517</v>
      </c>
      <c r="O125" t="s">
        <v>6517</v>
      </c>
      <c r="P125" t="s">
        <v>6517</v>
      </c>
    </row>
    <row r="126" spans="1:16" x14ac:dyDescent="0.3">
      <c r="A126" t="s">
        <v>5388</v>
      </c>
      <c r="B126">
        <f ca="1">INDEX(LocalAreas.csv!G:G,RANDBETWEEN(2,88))</f>
        <v>200026</v>
      </c>
      <c r="C126" t="str">
        <f t="shared" ca="1" si="6"/>
        <v>rg{'id': '200026'}'</v>
      </c>
      <c r="D126" s="1" t="str">
        <f ca="1">MID(Names!G130,FIND(" ",Names!G130)+1,LEN(Names!G130)-FIND(" ", Names!G130))&amp;" "&amp;INDEX(PROJ_EXT_Name,RANDBETWEEN(2,12))</f>
        <v>Mesa Vista Drive Express Lane</v>
      </c>
      <c r="E126" s="1" t="s">
        <v>7043</v>
      </c>
      <c r="F126">
        <f t="shared" si="7"/>
        <v>40018</v>
      </c>
      <c r="G126">
        <f t="shared" si="8"/>
        <v>500018</v>
      </c>
      <c r="H126" t="s">
        <v>6694</v>
      </c>
      <c r="I126" s="8">
        <f t="shared" si="9"/>
        <v>600018</v>
      </c>
      <c r="J126" t="s">
        <v>6517</v>
      </c>
      <c r="K126" t="str">
        <f>IFERROR(VLOOKUP(E126,Contacts.csv!C:D,2,FALSE),"")</f>
        <v/>
      </c>
      <c r="L126" t="str">
        <f t="shared" si="10"/>
        <v>rg:None</v>
      </c>
      <c r="M126" s="4" t="str">
        <f t="shared" si="11"/>
        <v>rg:[]</v>
      </c>
      <c r="N126" t="s">
        <v>6517</v>
      </c>
      <c r="O126" t="s">
        <v>6517</v>
      </c>
      <c r="P126" t="s">
        <v>6517</v>
      </c>
    </row>
    <row r="127" spans="1:16" x14ac:dyDescent="0.3">
      <c r="A127" t="s">
        <v>5388</v>
      </c>
      <c r="B127">
        <f ca="1">INDEX(LocalAreas.csv!G:G,RANDBETWEEN(2,88))</f>
        <v>200013</v>
      </c>
      <c r="C127" t="str">
        <f t="shared" ref="C127:C185" ca="1" si="12">"rg{'id': '"&amp;B127&amp;"'}'"</f>
        <v>rg{'id': '200013'}'</v>
      </c>
      <c r="D127" s="1" t="str">
        <f ca="1">MID(Names!G131,FIND(" ",Names!G131)+1,LEN(Names!G131)-FIND(" ", Names!G131))&amp;" "&amp;INDEX(PROJ_EXT_Name,RANDBETWEEN(2,12))</f>
        <v>Blanshard Cloverleaf</v>
      </c>
      <c r="E127" s="1" t="s">
        <v>7044</v>
      </c>
      <c r="F127">
        <f t="shared" ref="F127:F185" si="13">IF(ISNUMBER(F126),F126+1,40000)</f>
        <v>40019</v>
      </c>
      <c r="G127">
        <f t="shared" ref="G127:G185" si="14">IF(ISNUMBER(G126),G126+1,500000)</f>
        <v>500019</v>
      </c>
      <c r="H127" t="s">
        <v>6694</v>
      </c>
      <c r="I127" s="8">
        <f t="shared" ref="I127:I185" si="15">IF(ISNUMBER(I126),I126+1,600000)</f>
        <v>600019</v>
      </c>
      <c r="J127" t="s">
        <v>6517</v>
      </c>
      <c r="K127" t="str">
        <f>IFERROR(VLOOKUP(E127,Contacts.csv!C:D,2,FALSE),"")</f>
        <v/>
      </c>
      <c r="L127" t="str">
        <f t="shared" ref="L127:L185" si="16">IF(1=1,"rg:None", IF(ISNUMBER(K127),"rg:{'id':'" &amp; K127 &amp; "'}","rg:None"))</f>
        <v>rg:None</v>
      </c>
      <c r="M127" s="4" t="str">
        <f t="shared" ref="M127:M185" si="17">IF(1=1,"rg:[]", IF(ISNUMBER(K127),"rg:[{'id':'" &amp; K127 &amp; "'}]","rg:[]"))</f>
        <v>rg:[]</v>
      </c>
      <c r="N127" t="s">
        <v>6517</v>
      </c>
      <c r="O127" t="s">
        <v>6517</v>
      </c>
      <c r="P127" t="s">
        <v>6517</v>
      </c>
    </row>
    <row r="128" spans="1:16" x14ac:dyDescent="0.3">
      <c r="A128" t="s">
        <v>5388</v>
      </c>
      <c r="B128">
        <f ca="1">INDEX(LocalAreas.csv!G:G,RANDBETWEEN(2,88))</f>
        <v>200032</v>
      </c>
      <c r="C128" t="str">
        <f t="shared" ca="1" si="12"/>
        <v>rg{'id': '200032'}'</v>
      </c>
      <c r="D128" s="1" t="str">
        <f ca="1">MID(Names!G132,FIND(" ",Names!G132)+1,LEN(Names!G132)-FIND(" ", Names!G132))&amp;" "&amp;INDEX(PROJ_EXT_Name,RANDBETWEEN(2,12))</f>
        <v>Roger Street Bridge</v>
      </c>
      <c r="E128" s="1" t="s">
        <v>6921</v>
      </c>
      <c r="F128">
        <f t="shared" si="13"/>
        <v>40020</v>
      </c>
      <c r="G128">
        <f t="shared" si="14"/>
        <v>500020</v>
      </c>
      <c r="H128" t="s">
        <v>6694</v>
      </c>
      <c r="I128" s="8">
        <f t="shared" si="15"/>
        <v>600020</v>
      </c>
      <c r="J128" t="s">
        <v>6517</v>
      </c>
      <c r="K128" t="str">
        <f>IFERROR(VLOOKUP(E128,Contacts.csv!C:D,2,FALSE),"")</f>
        <v/>
      </c>
      <c r="L128" t="str">
        <f t="shared" si="16"/>
        <v>rg:None</v>
      </c>
      <c r="M128" s="4" t="str">
        <f t="shared" si="17"/>
        <v>rg:[]</v>
      </c>
      <c r="N128" t="s">
        <v>6517</v>
      </c>
      <c r="O128" t="s">
        <v>6517</v>
      </c>
      <c r="P128" t="s">
        <v>6517</v>
      </c>
    </row>
    <row r="129" spans="1:16" x14ac:dyDescent="0.3">
      <c r="A129" t="s">
        <v>5388</v>
      </c>
      <c r="B129">
        <f ca="1">INDEX(LocalAreas.csv!G:G,RANDBETWEEN(2,88))</f>
        <v>200053</v>
      </c>
      <c r="C129" t="str">
        <f t="shared" ca="1" si="12"/>
        <v>rg{'id': '200053'}'</v>
      </c>
      <c r="D129" s="1" t="str">
        <f ca="1">MID(Names!G133,FIND(" ",Names!G133)+1,LEN(Names!G133)-FIND(" ", Names!G133))&amp;" "&amp;INDEX(PROJ_EXT_Name,RANDBETWEEN(2,12))</f>
        <v>Cordova Street Bypass</v>
      </c>
      <c r="E129" s="1" t="s">
        <v>6920</v>
      </c>
      <c r="F129">
        <f t="shared" si="13"/>
        <v>40021</v>
      </c>
      <c r="G129">
        <f t="shared" si="14"/>
        <v>500021</v>
      </c>
      <c r="H129" t="s">
        <v>6694</v>
      </c>
      <c r="I129" s="8">
        <f t="shared" si="15"/>
        <v>600021</v>
      </c>
      <c r="J129" t="s">
        <v>6517</v>
      </c>
      <c r="K129" t="str">
        <f>IFERROR(VLOOKUP(E129,Contacts.csv!C:D,2,FALSE),"")</f>
        <v/>
      </c>
      <c r="L129" t="str">
        <f t="shared" si="16"/>
        <v>rg:None</v>
      </c>
      <c r="M129" s="4" t="str">
        <f t="shared" si="17"/>
        <v>rg:[]</v>
      </c>
      <c r="N129" t="s">
        <v>6517</v>
      </c>
      <c r="O129" t="s">
        <v>6517</v>
      </c>
      <c r="P129" t="s">
        <v>6517</v>
      </c>
    </row>
    <row r="130" spans="1:16" x14ac:dyDescent="0.3">
      <c r="A130" t="s">
        <v>5388</v>
      </c>
      <c r="B130">
        <f ca="1">INDEX(LocalAreas.csv!G:G,RANDBETWEEN(2,88))</f>
        <v>200044</v>
      </c>
      <c r="C130" t="str">
        <f t="shared" ca="1" si="12"/>
        <v>rg{'id': '200044'}'</v>
      </c>
      <c r="D130" s="1" t="str">
        <f ca="1">MID(Names!G134,FIND(" ",Names!G134)+1,LEN(Names!G134)-FIND(" ", Names!G134))&amp;" "&amp;INDEX(PROJ_EXT_Name,RANDBETWEEN(2,12))</f>
        <v>Kinchant St Expressway</v>
      </c>
      <c r="E130" s="1" t="s">
        <v>7045</v>
      </c>
      <c r="F130">
        <f t="shared" si="13"/>
        <v>40022</v>
      </c>
      <c r="G130">
        <f t="shared" si="14"/>
        <v>500022</v>
      </c>
      <c r="H130" t="s">
        <v>6694</v>
      </c>
      <c r="I130" s="8">
        <f t="shared" si="15"/>
        <v>600022</v>
      </c>
      <c r="J130" t="s">
        <v>6517</v>
      </c>
      <c r="K130" t="str">
        <f>IFERROR(VLOOKUP(E130,Contacts.csv!C:D,2,FALSE),"")</f>
        <v/>
      </c>
      <c r="L130" t="str">
        <f t="shared" si="16"/>
        <v>rg:None</v>
      </c>
      <c r="M130" s="4" t="str">
        <f t="shared" si="17"/>
        <v>rg:[]</v>
      </c>
      <c r="N130" t="s">
        <v>6517</v>
      </c>
      <c r="O130" t="s">
        <v>6517</v>
      </c>
      <c r="P130" t="s">
        <v>6517</v>
      </c>
    </row>
    <row r="131" spans="1:16" x14ac:dyDescent="0.3">
      <c r="A131" t="s">
        <v>5388</v>
      </c>
      <c r="B131">
        <f ca="1">INDEX(LocalAreas.csv!G:G,RANDBETWEEN(2,88))</f>
        <v>200074</v>
      </c>
      <c r="C131" t="str">
        <f t="shared" ca="1" si="12"/>
        <v>rg{'id': '200074'}'</v>
      </c>
      <c r="D131" s="1" t="str">
        <f ca="1">MID(Names!G135,FIND(" ",Names!G135)+1,LEN(Names!G135)-FIND(" ", Names!G135))&amp;" "&amp;INDEX(PROJ_EXT_Name,RANDBETWEEN(2,12))</f>
        <v>Blanshard Express Lane</v>
      </c>
      <c r="E131" s="1" t="s">
        <v>7013</v>
      </c>
      <c r="F131">
        <f t="shared" si="13"/>
        <v>40023</v>
      </c>
      <c r="G131">
        <f t="shared" si="14"/>
        <v>500023</v>
      </c>
      <c r="H131" t="s">
        <v>6694</v>
      </c>
      <c r="I131" s="8">
        <f t="shared" si="15"/>
        <v>600023</v>
      </c>
      <c r="J131" t="s">
        <v>6517</v>
      </c>
      <c r="K131" t="str">
        <f>IFERROR(VLOOKUP(E131,Contacts.csv!C:D,2,FALSE),"")</f>
        <v/>
      </c>
      <c r="L131" t="str">
        <f t="shared" si="16"/>
        <v>rg:None</v>
      </c>
      <c r="M131" s="4" t="str">
        <f t="shared" si="17"/>
        <v>rg:[]</v>
      </c>
      <c r="N131" t="s">
        <v>6517</v>
      </c>
      <c r="O131" t="s">
        <v>6517</v>
      </c>
      <c r="P131" t="s">
        <v>6517</v>
      </c>
    </row>
    <row r="132" spans="1:16" x14ac:dyDescent="0.3">
      <c r="A132" t="s">
        <v>5388</v>
      </c>
      <c r="B132">
        <f ca="1">INDEX(LocalAreas.csv!G:G,RANDBETWEEN(2,88))</f>
        <v>200080</v>
      </c>
      <c r="C132" t="str">
        <f t="shared" ca="1" si="12"/>
        <v>rg{'id': '200080'}'</v>
      </c>
      <c r="D132" s="1" t="str">
        <f ca="1">MID(Names!G136,FIND(" ",Names!G136)+1,LEN(Names!G136)-FIND(" ", Names!G136))&amp;" "&amp;INDEX(PROJ_EXT_Name,RANDBETWEEN(2,12))</f>
        <v>St George Street Bridge</v>
      </c>
      <c r="E132" s="1" t="s">
        <v>7046</v>
      </c>
      <c r="F132">
        <f t="shared" si="13"/>
        <v>40024</v>
      </c>
      <c r="G132">
        <f t="shared" si="14"/>
        <v>500024</v>
      </c>
      <c r="H132" t="s">
        <v>6694</v>
      </c>
      <c r="I132" s="8">
        <f t="shared" si="15"/>
        <v>600024</v>
      </c>
      <c r="J132" t="s">
        <v>6517</v>
      </c>
      <c r="K132" t="str">
        <f>IFERROR(VLOOKUP(E132,Contacts.csv!C:D,2,FALSE),"")</f>
        <v/>
      </c>
      <c r="L132" t="str">
        <f t="shared" si="16"/>
        <v>rg:None</v>
      </c>
      <c r="M132" s="4" t="str">
        <f t="shared" si="17"/>
        <v>rg:[]</v>
      </c>
      <c r="N132" t="s">
        <v>6517</v>
      </c>
      <c r="O132" t="s">
        <v>6517</v>
      </c>
      <c r="P132" t="s">
        <v>6517</v>
      </c>
    </row>
    <row r="133" spans="1:16" x14ac:dyDescent="0.3">
      <c r="A133" t="s">
        <v>5388</v>
      </c>
      <c r="B133">
        <f ca="1">INDEX(LocalAreas.csv!G:G,RANDBETWEEN(2,88))</f>
        <v>200068</v>
      </c>
      <c r="C133" t="str">
        <f t="shared" ca="1" si="12"/>
        <v>rg{'id': '200068'}'</v>
      </c>
      <c r="D133" s="1" t="str">
        <f ca="1">MID(Names!G137,FIND(" ",Names!G137)+1,LEN(Names!G137)-FIND(" ", Names!G137))&amp;" "&amp;INDEX(PROJ_EXT_Name,RANDBETWEEN(2,12))</f>
        <v>Brew Creek Rd Cloverleaf</v>
      </c>
      <c r="E133" s="1" t="s">
        <v>6998</v>
      </c>
      <c r="F133">
        <f t="shared" si="13"/>
        <v>40025</v>
      </c>
      <c r="G133">
        <f t="shared" si="14"/>
        <v>500025</v>
      </c>
      <c r="H133" t="s">
        <v>6694</v>
      </c>
      <c r="I133" s="8">
        <f t="shared" si="15"/>
        <v>600025</v>
      </c>
      <c r="J133" t="s">
        <v>6517</v>
      </c>
      <c r="K133" t="str">
        <f>IFERROR(VLOOKUP(E133,Contacts.csv!C:D,2,FALSE),"")</f>
        <v/>
      </c>
      <c r="L133" t="str">
        <f t="shared" si="16"/>
        <v>rg:None</v>
      </c>
      <c r="M133" s="4" t="str">
        <f t="shared" si="17"/>
        <v>rg:[]</v>
      </c>
      <c r="N133" t="s">
        <v>6517</v>
      </c>
      <c r="O133" t="s">
        <v>6517</v>
      </c>
      <c r="P133" t="s">
        <v>6517</v>
      </c>
    </row>
    <row r="134" spans="1:16" x14ac:dyDescent="0.3">
      <c r="A134" t="s">
        <v>5388</v>
      </c>
      <c r="B134">
        <f ca="1">INDEX(LocalAreas.csv!G:G,RANDBETWEEN(2,88))</f>
        <v>200012</v>
      </c>
      <c r="C134" t="str">
        <f t="shared" ca="1" si="12"/>
        <v>rg{'id': '200012'}'</v>
      </c>
      <c r="D134" s="1" t="str">
        <f ca="1">MID(Names!G138,FIND(" ",Names!G138)+1,LEN(Names!G138)-FIND(" ", Names!G138))&amp;" "&amp;INDEX(PROJ_EXT_Name,RANDBETWEEN(2,12))</f>
        <v>Alaska Hwy Overpass</v>
      </c>
      <c r="E134" s="1" t="s">
        <v>7047</v>
      </c>
      <c r="F134">
        <f t="shared" si="13"/>
        <v>40026</v>
      </c>
      <c r="G134">
        <f t="shared" si="14"/>
        <v>500026</v>
      </c>
      <c r="H134" t="s">
        <v>6694</v>
      </c>
      <c r="I134" s="8">
        <f t="shared" si="15"/>
        <v>600026</v>
      </c>
      <c r="J134" t="s">
        <v>6517</v>
      </c>
      <c r="K134" t="str">
        <f>IFERROR(VLOOKUP(E134,Contacts.csv!C:D,2,FALSE),"")</f>
        <v/>
      </c>
      <c r="L134" t="str">
        <f t="shared" si="16"/>
        <v>rg:None</v>
      </c>
      <c r="M134" s="4" t="str">
        <f t="shared" si="17"/>
        <v>rg:[]</v>
      </c>
      <c r="N134" t="s">
        <v>6517</v>
      </c>
      <c r="O134" t="s">
        <v>6517</v>
      </c>
      <c r="P134" t="s">
        <v>6517</v>
      </c>
    </row>
    <row r="135" spans="1:16" x14ac:dyDescent="0.3">
      <c r="A135" t="s">
        <v>5388</v>
      </c>
      <c r="B135">
        <f ca="1">INDEX(LocalAreas.csv!G:G,RANDBETWEEN(2,88))</f>
        <v>200069</v>
      </c>
      <c r="C135" t="str">
        <f t="shared" ca="1" si="12"/>
        <v>rg{'id': '200069'}'</v>
      </c>
      <c r="D135" s="1" t="str">
        <f ca="1">MID(Names!G139,FIND(" ",Names!G139)+1,LEN(Names!G139)-FIND(" ", Names!G139))&amp;" "&amp;INDEX(PROJ_EXT_Name,RANDBETWEEN(2,12))</f>
        <v>Stum Lake Road Expressway</v>
      </c>
      <c r="E135" s="1" t="s">
        <v>6911</v>
      </c>
      <c r="F135">
        <f t="shared" si="13"/>
        <v>40027</v>
      </c>
      <c r="G135">
        <f t="shared" si="14"/>
        <v>500027</v>
      </c>
      <c r="H135" t="s">
        <v>6694</v>
      </c>
      <c r="I135" s="8">
        <f t="shared" si="15"/>
        <v>600027</v>
      </c>
      <c r="J135" t="s">
        <v>6517</v>
      </c>
      <c r="K135" t="str">
        <f>IFERROR(VLOOKUP(E135,Contacts.csv!C:D,2,FALSE),"")</f>
        <v/>
      </c>
      <c r="L135" t="str">
        <f t="shared" si="16"/>
        <v>rg:None</v>
      </c>
      <c r="M135" s="4" t="str">
        <f t="shared" si="17"/>
        <v>rg:[]</v>
      </c>
      <c r="N135" t="s">
        <v>6517</v>
      </c>
      <c r="O135" t="s">
        <v>6517</v>
      </c>
      <c r="P135" t="s">
        <v>6517</v>
      </c>
    </row>
    <row r="136" spans="1:16" x14ac:dyDescent="0.3">
      <c r="A136" t="s">
        <v>5388</v>
      </c>
      <c r="B136">
        <f ca="1">INDEX(LocalAreas.csv!G:G,RANDBETWEEN(2,88))</f>
        <v>200021</v>
      </c>
      <c r="C136" t="str">
        <f t="shared" ca="1" si="12"/>
        <v>rg{'id': '200021'}'</v>
      </c>
      <c r="D136" s="1" t="str">
        <f ca="1">MID(Names!G140,FIND(" ",Names!G140)+1,LEN(Names!G140)-FIND(" ", Names!G140))&amp;" "&amp;INDEX(PROJ_EXT_Name,RANDBETWEEN(2,12))</f>
        <v>Blind Bay Road Express Lane</v>
      </c>
      <c r="E136" s="1" t="s">
        <v>7048</v>
      </c>
      <c r="F136">
        <f t="shared" si="13"/>
        <v>40028</v>
      </c>
      <c r="G136">
        <f t="shared" si="14"/>
        <v>500028</v>
      </c>
      <c r="H136" t="s">
        <v>6694</v>
      </c>
      <c r="I136" s="8">
        <f t="shared" si="15"/>
        <v>600028</v>
      </c>
      <c r="J136" t="s">
        <v>6517</v>
      </c>
      <c r="K136" t="str">
        <f>IFERROR(VLOOKUP(E136,Contacts.csv!C:D,2,FALSE),"")</f>
        <v/>
      </c>
      <c r="L136" t="str">
        <f t="shared" si="16"/>
        <v>rg:None</v>
      </c>
      <c r="M136" s="4" t="str">
        <f t="shared" si="17"/>
        <v>rg:[]</v>
      </c>
      <c r="N136" t="s">
        <v>6517</v>
      </c>
      <c r="O136" t="s">
        <v>6517</v>
      </c>
      <c r="P136" t="s">
        <v>6517</v>
      </c>
    </row>
    <row r="137" spans="1:16" x14ac:dyDescent="0.3">
      <c r="A137" t="s">
        <v>5388</v>
      </c>
      <c r="B137">
        <f ca="1">INDEX(LocalAreas.csv!G:G,RANDBETWEEN(2,88))</f>
        <v>200035</v>
      </c>
      <c r="C137" t="str">
        <f t="shared" ca="1" si="12"/>
        <v>rg{'id': '200035'}'</v>
      </c>
      <c r="D137" s="1" t="str">
        <f ca="1">MID(Names!G141,FIND(" ",Names!G141)+1,LEN(Names!G141)-FIND(" ", Names!G141))&amp;" "&amp;INDEX(PROJ_EXT_Name,RANDBETWEEN(2,12))</f>
        <v>Shaughnessy St Building</v>
      </c>
      <c r="E137" s="1" t="s">
        <v>7049</v>
      </c>
      <c r="F137">
        <f t="shared" si="13"/>
        <v>40029</v>
      </c>
      <c r="G137">
        <f t="shared" si="14"/>
        <v>500029</v>
      </c>
      <c r="H137" t="s">
        <v>6694</v>
      </c>
      <c r="I137" s="8">
        <f t="shared" si="15"/>
        <v>600029</v>
      </c>
      <c r="J137" t="s">
        <v>6517</v>
      </c>
      <c r="K137" t="str">
        <f>IFERROR(VLOOKUP(E137,Contacts.csv!C:D,2,FALSE),"")</f>
        <v/>
      </c>
      <c r="L137" t="str">
        <f t="shared" si="16"/>
        <v>rg:None</v>
      </c>
      <c r="M137" s="4" t="str">
        <f t="shared" si="17"/>
        <v>rg:[]</v>
      </c>
      <c r="N137" t="s">
        <v>6517</v>
      </c>
      <c r="O137" t="s">
        <v>6517</v>
      </c>
      <c r="P137" t="s">
        <v>6517</v>
      </c>
    </row>
    <row r="138" spans="1:16" x14ac:dyDescent="0.3">
      <c r="A138" t="s">
        <v>5388</v>
      </c>
      <c r="B138">
        <f ca="1">INDEX(LocalAreas.csv!G:G,RANDBETWEEN(2,88))</f>
        <v>200039</v>
      </c>
      <c r="C138" t="str">
        <f t="shared" ca="1" si="12"/>
        <v>rg{'id': '200039'}'</v>
      </c>
      <c r="D138" s="1" t="str">
        <f ca="1">MID(Names!G142,FIND(" ",Names!G142)+1,LEN(Names!G142)-FIND(" ", Names!G142))&amp;" "&amp;INDEX(PROJ_EXT_Name,RANDBETWEEN(2,12))</f>
        <v>King George Hwy Bridge</v>
      </c>
      <c r="E138" s="1" t="s">
        <v>7050</v>
      </c>
      <c r="F138">
        <f t="shared" si="13"/>
        <v>40030</v>
      </c>
      <c r="G138">
        <f t="shared" si="14"/>
        <v>500030</v>
      </c>
      <c r="H138" t="s">
        <v>6694</v>
      </c>
      <c r="I138" s="8">
        <f t="shared" si="15"/>
        <v>600030</v>
      </c>
      <c r="J138" t="s">
        <v>6517</v>
      </c>
      <c r="K138" t="str">
        <f>IFERROR(VLOOKUP(E138,Contacts.csv!C:D,2,FALSE),"")</f>
        <v/>
      </c>
      <c r="L138" t="str">
        <f t="shared" si="16"/>
        <v>rg:None</v>
      </c>
      <c r="M138" s="4" t="str">
        <f t="shared" si="17"/>
        <v>rg:[]</v>
      </c>
      <c r="N138" t="s">
        <v>6517</v>
      </c>
      <c r="O138" t="s">
        <v>6517</v>
      </c>
      <c r="P138" t="s">
        <v>6517</v>
      </c>
    </row>
    <row r="139" spans="1:16" x14ac:dyDescent="0.3">
      <c r="A139" t="s">
        <v>5388</v>
      </c>
      <c r="B139">
        <f ca="1">INDEX(LocalAreas.csv!G:G,RANDBETWEEN(2,88))</f>
        <v>200029</v>
      </c>
      <c r="C139" t="str">
        <f t="shared" ca="1" si="12"/>
        <v>rg{'id': '200029'}'</v>
      </c>
      <c r="D139" s="1" t="str">
        <f ca="1">MID(Names!G143,FIND(" ",Names!G143)+1,LEN(Names!G143)-FIND(" ", Names!G143))&amp;" "&amp;INDEX(PROJ_EXT_Name,RANDBETWEEN(2,12))</f>
        <v>Brew Creek Rd Cloverleaf</v>
      </c>
      <c r="E139" s="1" t="s">
        <v>7035</v>
      </c>
      <c r="F139">
        <f t="shared" si="13"/>
        <v>40031</v>
      </c>
      <c r="G139">
        <f t="shared" si="14"/>
        <v>500031</v>
      </c>
      <c r="H139" t="s">
        <v>6694</v>
      </c>
      <c r="I139" s="8">
        <f t="shared" si="15"/>
        <v>600031</v>
      </c>
      <c r="J139" t="s">
        <v>6517</v>
      </c>
      <c r="K139" t="str">
        <f>IFERROR(VLOOKUP(E139,Contacts.csv!C:D,2,FALSE),"")</f>
        <v/>
      </c>
      <c r="L139" t="str">
        <f t="shared" si="16"/>
        <v>rg:None</v>
      </c>
      <c r="M139" s="4" t="str">
        <f t="shared" si="17"/>
        <v>rg:[]</v>
      </c>
      <c r="N139" t="s">
        <v>6517</v>
      </c>
      <c r="O139" t="s">
        <v>6517</v>
      </c>
      <c r="P139" t="s">
        <v>6517</v>
      </c>
    </row>
    <row r="140" spans="1:16" x14ac:dyDescent="0.3">
      <c r="A140" t="s">
        <v>5388</v>
      </c>
      <c r="B140">
        <f ca="1">INDEX(LocalAreas.csv!G:G,RANDBETWEEN(2,88))</f>
        <v>200030</v>
      </c>
      <c r="C140" t="str">
        <f t="shared" ca="1" si="12"/>
        <v>rg{'id': '200030'}'</v>
      </c>
      <c r="D140" s="1" t="str">
        <f ca="1">MID(Names!G145,FIND(" ",Names!G145)+1,LEN(Names!G145)-FIND(" ", Names!G145))&amp;" "&amp;INDEX(PROJ_EXT_Name,RANDBETWEEN(2,12))</f>
        <v>Yoho Valley Road HOV Lane</v>
      </c>
      <c r="E140" s="1" t="s">
        <v>7051</v>
      </c>
      <c r="F140">
        <f>IF(ISNUMBER(#REF!),#REF!+1,40000)</f>
        <v>40000</v>
      </c>
      <c r="G140">
        <f>IF(ISNUMBER(#REF!),#REF!+1,500000)</f>
        <v>500000</v>
      </c>
      <c r="H140" t="s">
        <v>6694</v>
      </c>
      <c r="I140" s="8">
        <f>IF(ISNUMBER(#REF!),#REF!+1,600000)</f>
        <v>600000</v>
      </c>
      <c r="J140" t="s">
        <v>6517</v>
      </c>
      <c r="K140" t="str">
        <f>IFERROR(VLOOKUP(E140,Contacts.csv!C:D,2,FALSE),"")</f>
        <v/>
      </c>
      <c r="L140" t="str">
        <f t="shared" si="16"/>
        <v>rg:None</v>
      </c>
      <c r="M140" s="4" t="str">
        <f t="shared" si="17"/>
        <v>rg:[]</v>
      </c>
      <c r="N140" t="s">
        <v>6517</v>
      </c>
      <c r="O140" t="s">
        <v>6517</v>
      </c>
      <c r="P140" t="s">
        <v>6517</v>
      </c>
    </row>
    <row r="141" spans="1:16" x14ac:dyDescent="0.3">
      <c r="A141" t="s">
        <v>5388</v>
      </c>
      <c r="B141">
        <f ca="1">INDEX(LocalAreas.csv!G:G,RANDBETWEEN(2,88))</f>
        <v>200005</v>
      </c>
      <c r="C141" t="str">
        <f t="shared" ca="1" si="12"/>
        <v>rg{'id': '200005'}'</v>
      </c>
      <c r="D141" s="1" t="str">
        <f ca="1">MID(Names!G146,FIND(" ",Names!G146)+1,LEN(Names!G146)-FIND(" ", Names!G146))&amp;" "&amp;INDEX(PROJ_EXT_Name,RANDBETWEEN(2,12))</f>
        <v>Hastings Street Express Lane</v>
      </c>
      <c r="E141" s="1" t="s">
        <v>7052</v>
      </c>
      <c r="F141">
        <f t="shared" si="13"/>
        <v>40001</v>
      </c>
      <c r="G141">
        <f t="shared" si="14"/>
        <v>500001</v>
      </c>
      <c r="H141" t="s">
        <v>6694</v>
      </c>
      <c r="I141" s="8">
        <f t="shared" si="15"/>
        <v>600001</v>
      </c>
      <c r="J141" t="s">
        <v>6517</v>
      </c>
      <c r="K141" t="str">
        <f>IFERROR(VLOOKUP(E141,Contacts.csv!C:D,2,FALSE),"")</f>
        <v/>
      </c>
      <c r="L141" t="str">
        <f t="shared" si="16"/>
        <v>rg:None</v>
      </c>
      <c r="M141" s="4" t="str">
        <f t="shared" si="17"/>
        <v>rg:[]</v>
      </c>
      <c r="N141" t="s">
        <v>6517</v>
      </c>
      <c r="O141" t="s">
        <v>6517</v>
      </c>
      <c r="P141" t="s">
        <v>6517</v>
      </c>
    </row>
    <row r="142" spans="1:16" x14ac:dyDescent="0.3">
      <c r="A142" t="s">
        <v>5388</v>
      </c>
      <c r="B142">
        <f ca="1">INDEX(LocalAreas.csv!G:G,RANDBETWEEN(2,88))</f>
        <v>200075</v>
      </c>
      <c r="C142" t="str">
        <f t="shared" ca="1" si="12"/>
        <v>rg{'id': '200075'}'</v>
      </c>
      <c r="D142" s="1" t="str">
        <f ca="1">MID(Names!G147,FIND(" ",Names!G147)+1,LEN(Names!G147)-FIND(" ", Names!G147))&amp;" "&amp;INDEX(PROJ_EXT_Name,RANDBETWEEN(2,12))</f>
        <v>Old Spallumcheen Rd Expressway</v>
      </c>
      <c r="E142" s="1" t="s">
        <v>7053</v>
      </c>
      <c r="F142">
        <f t="shared" si="13"/>
        <v>40002</v>
      </c>
      <c r="G142">
        <f t="shared" si="14"/>
        <v>500002</v>
      </c>
      <c r="H142" t="s">
        <v>6694</v>
      </c>
      <c r="I142" s="8">
        <f t="shared" si="15"/>
        <v>600002</v>
      </c>
      <c r="J142" t="s">
        <v>6517</v>
      </c>
      <c r="K142" t="str">
        <f>IFERROR(VLOOKUP(E142,Contacts.csv!C:D,2,FALSE),"")</f>
        <v/>
      </c>
      <c r="L142" t="str">
        <f t="shared" si="16"/>
        <v>rg:None</v>
      </c>
      <c r="M142" s="4" t="str">
        <f t="shared" si="17"/>
        <v>rg:[]</v>
      </c>
      <c r="N142" t="s">
        <v>6517</v>
      </c>
      <c r="O142" t="s">
        <v>6517</v>
      </c>
      <c r="P142" t="s">
        <v>6517</v>
      </c>
    </row>
    <row r="143" spans="1:16" x14ac:dyDescent="0.3">
      <c r="A143" t="s">
        <v>5388</v>
      </c>
      <c r="B143">
        <f ca="1">INDEX(LocalAreas.csv!G:G,RANDBETWEEN(2,88))</f>
        <v>200082</v>
      </c>
      <c r="C143" t="str">
        <f t="shared" ca="1" si="12"/>
        <v>rg{'id': '200082'}'</v>
      </c>
      <c r="D143" s="1" t="str">
        <f ca="1">MID(Names!G148,FIND(" ",Names!G148)+1,LEN(Names!G148)-FIND(" ", Names!G148))&amp;" "&amp;INDEX(PROJ_EXT_Name,RANDBETWEEN(2,12))</f>
        <v>Glover Road Overpass</v>
      </c>
      <c r="E143" s="1" t="s">
        <v>6910</v>
      </c>
      <c r="F143">
        <f t="shared" si="13"/>
        <v>40003</v>
      </c>
      <c r="G143">
        <f t="shared" si="14"/>
        <v>500003</v>
      </c>
      <c r="H143" t="s">
        <v>6694</v>
      </c>
      <c r="I143" s="8">
        <f t="shared" si="15"/>
        <v>600003</v>
      </c>
      <c r="J143" t="s">
        <v>6517</v>
      </c>
      <c r="K143" t="str">
        <f>IFERROR(VLOOKUP(E143,Contacts.csv!C:D,2,FALSE),"")</f>
        <v/>
      </c>
      <c r="L143" t="str">
        <f t="shared" si="16"/>
        <v>rg:None</v>
      </c>
      <c r="M143" s="4" t="str">
        <f t="shared" si="17"/>
        <v>rg:[]</v>
      </c>
      <c r="N143" t="s">
        <v>6517</v>
      </c>
      <c r="O143" t="s">
        <v>6517</v>
      </c>
      <c r="P143" t="s">
        <v>6517</v>
      </c>
    </row>
    <row r="144" spans="1:16" x14ac:dyDescent="0.3">
      <c r="A144" t="s">
        <v>5388</v>
      </c>
      <c r="B144">
        <f ca="1">INDEX(LocalAreas.csv!G:G,RANDBETWEEN(2,88))</f>
        <v>200045</v>
      </c>
      <c r="C144" t="str">
        <f t="shared" ca="1" si="12"/>
        <v>rg{'id': '200045'}'</v>
      </c>
      <c r="D144" s="1" t="str">
        <f ca="1">MID(Names!G149,FIND(" ",Names!G149)+1,LEN(Names!G149)-FIND(" ", Names!G149))&amp;" "&amp;INDEX(PROJ_EXT_Name,RANDBETWEEN(2,12))</f>
        <v>Coldstream Avenue Bridge</v>
      </c>
      <c r="E144" s="1" t="s">
        <v>7054</v>
      </c>
      <c r="F144">
        <f t="shared" si="13"/>
        <v>40004</v>
      </c>
      <c r="G144">
        <f t="shared" si="14"/>
        <v>500004</v>
      </c>
      <c r="H144" t="s">
        <v>6694</v>
      </c>
      <c r="I144" s="8">
        <f t="shared" si="15"/>
        <v>600004</v>
      </c>
      <c r="J144" t="s">
        <v>6517</v>
      </c>
      <c r="K144" t="str">
        <f>IFERROR(VLOOKUP(E144,Contacts.csv!C:D,2,FALSE),"")</f>
        <v/>
      </c>
      <c r="L144" t="str">
        <f t="shared" si="16"/>
        <v>rg:None</v>
      </c>
      <c r="M144" s="4" t="str">
        <f t="shared" si="17"/>
        <v>rg:[]</v>
      </c>
      <c r="N144" t="s">
        <v>6517</v>
      </c>
      <c r="O144" t="s">
        <v>6517</v>
      </c>
      <c r="P144" t="s">
        <v>6517</v>
      </c>
    </row>
    <row r="145" spans="1:16" x14ac:dyDescent="0.3">
      <c r="A145" t="s">
        <v>5388</v>
      </c>
      <c r="B145">
        <f ca="1">INDEX(LocalAreas.csv!G:G,RANDBETWEEN(2,88))</f>
        <v>200077</v>
      </c>
      <c r="C145" t="str">
        <f t="shared" ca="1" si="12"/>
        <v>rg{'id': '200077'}'</v>
      </c>
      <c r="D145" s="1" t="str">
        <f ca="1">MID(Names!G150,FIND(" ",Names!G150)+1,LEN(Names!G150)-FIND(" ", Names!G150))&amp;" "&amp;INDEX(PROJ_EXT_Name,RANDBETWEEN(2,12))</f>
        <v>Kinchant St Express Lane</v>
      </c>
      <c r="E145" s="1" t="s">
        <v>6991</v>
      </c>
      <c r="F145">
        <f t="shared" si="13"/>
        <v>40005</v>
      </c>
      <c r="G145">
        <f t="shared" si="14"/>
        <v>500005</v>
      </c>
      <c r="H145" t="s">
        <v>6694</v>
      </c>
      <c r="I145" s="8">
        <f t="shared" si="15"/>
        <v>600005</v>
      </c>
      <c r="J145" t="s">
        <v>6517</v>
      </c>
      <c r="K145" t="str">
        <f>IFERROR(VLOOKUP(E145,Contacts.csv!C:D,2,FALSE),"")</f>
        <v/>
      </c>
      <c r="L145" t="str">
        <f t="shared" si="16"/>
        <v>rg:None</v>
      </c>
      <c r="M145" s="4" t="str">
        <f t="shared" si="17"/>
        <v>rg:[]</v>
      </c>
      <c r="N145" t="s">
        <v>6517</v>
      </c>
      <c r="O145" t="s">
        <v>6517</v>
      </c>
      <c r="P145" t="s">
        <v>6517</v>
      </c>
    </row>
    <row r="146" spans="1:16" x14ac:dyDescent="0.3">
      <c r="A146" t="s">
        <v>5388</v>
      </c>
      <c r="B146">
        <f ca="1">INDEX(LocalAreas.csv!G:G,RANDBETWEEN(2,88))</f>
        <v>200046</v>
      </c>
      <c r="C146" t="str">
        <f t="shared" ca="1" si="12"/>
        <v>rg{'id': '200046'}'</v>
      </c>
      <c r="D146" s="1" t="str">
        <f ca="1">MID(Names!G17,FIND(" ",Names!G17)+1,LEN(Names!G17)-FIND(" ", Names!G17))&amp;" "&amp;INDEX(PROJ_EXT_Name,RANDBETWEEN(2,12))</f>
        <v>Holdom Avenue Overpass</v>
      </c>
      <c r="E146" s="1" t="s">
        <v>7055</v>
      </c>
      <c r="F146">
        <f t="shared" si="13"/>
        <v>40006</v>
      </c>
      <c r="G146">
        <f t="shared" si="14"/>
        <v>500006</v>
      </c>
      <c r="H146" t="s">
        <v>6694</v>
      </c>
      <c r="I146" s="8">
        <f t="shared" si="15"/>
        <v>600006</v>
      </c>
      <c r="J146" t="s">
        <v>6517</v>
      </c>
      <c r="K146" t="str">
        <f>IFERROR(VLOOKUP(E146,Contacts.csv!C:D,2,FALSE),"")</f>
        <v/>
      </c>
      <c r="L146" t="str">
        <f t="shared" si="16"/>
        <v>rg:None</v>
      </c>
      <c r="M146" s="4" t="str">
        <f t="shared" si="17"/>
        <v>rg:[]</v>
      </c>
      <c r="N146" t="s">
        <v>6517</v>
      </c>
      <c r="O146" t="s">
        <v>6517</v>
      </c>
      <c r="P146" t="s">
        <v>6517</v>
      </c>
    </row>
    <row r="147" spans="1:16" x14ac:dyDescent="0.3">
      <c r="A147" t="s">
        <v>5388</v>
      </c>
      <c r="B147">
        <f ca="1">INDEX(LocalAreas.csv!G:G,RANDBETWEEN(2,88))</f>
        <v>200010</v>
      </c>
      <c r="C147" t="str">
        <f t="shared" ca="1" si="12"/>
        <v>rg{'id': '200010'}'</v>
      </c>
      <c r="D147" s="1" t="str">
        <f ca="1">MID(Names!G18,FIND(" ",Names!G18)+1,LEN(Names!G18)-FIND(" ", Names!G18))&amp;" "&amp;INDEX(PROJ_EXT_Name,RANDBETWEEN(2,12))</f>
        <v>Roger Street Extension</v>
      </c>
      <c r="E147" s="1" t="s">
        <v>6942</v>
      </c>
      <c r="F147">
        <f t="shared" si="13"/>
        <v>40007</v>
      </c>
      <c r="G147">
        <f t="shared" si="14"/>
        <v>500007</v>
      </c>
      <c r="H147" t="s">
        <v>6694</v>
      </c>
      <c r="I147" s="8">
        <f t="shared" si="15"/>
        <v>600007</v>
      </c>
      <c r="J147" t="s">
        <v>6517</v>
      </c>
      <c r="K147" t="str">
        <f>IFERROR(VLOOKUP(E147,Contacts.csv!C:D,2,FALSE),"")</f>
        <v/>
      </c>
      <c r="L147" t="str">
        <f t="shared" si="16"/>
        <v>rg:None</v>
      </c>
      <c r="M147" s="4" t="str">
        <f t="shared" si="17"/>
        <v>rg:[]</v>
      </c>
      <c r="N147" t="s">
        <v>6517</v>
      </c>
      <c r="O147" t="s">
        <v>6517</v>
      </c>
      <c r="P147" t="s">
        <v>6517</v>
      </c>
    </row>
    <row r="148" spans="1:16" x14ac:dyDescent="0.3">
      <c r="A148" t="s">
        <v>5388</v>
      </c>
      <c r="B148">
        <f ca="1">INDEX(LocalAreas.csv!G:G,RANDBETWEEN(2,88))</f>
        <v>200051</v>
      </c>
      <c r="C148" t="str">
        <f t="shared" ca="1" si="12"/>
        <v>rg{'id': '200051'}'</v>
      </c>
      <c r="D148" s="1" t="str">
        <f ca="1">MID(Names!G19,FIND(" ",Names!G19)+1,LEN(Names!G19)-FIND(" ", Names!G19))&amp;" "&amp;INDEX(PROJ_EXT_Name,RANDBETWEEN(2,12))</f>
        <v>Scotts Lane Express Lane</v>
      </c>
      <c r="E148" s="1" t="s">
        <v>7056</v>
      </c>
      <c r="F148">
        <f t="shared" si="13"/>
        <v>40008</v>
      </c>
      <c r="G148">
        <f t="shared" si="14"/>
        <v>500008</v>
      </c>
      <c r="H148" t="s">
        <v>6694</v>
      </c>
      <c r="I148" s="8">
        <f t="shared" si="15"/>
        <v>600008</v>
      </c>
      <c r="J148" t="s">
        <v>6517</v>
      </c>
      <c r="K148" t="str">
        <f>IFERROR(VLOOKUP(E148,Contacts.csv!C:D,2,FALSE),"")</f>
        <v/>
      </c>
      <c r="L148" t="str">
        <f t="shared" si="16"/>
        <v>rg:None</v>
      </c>
      <c r="M148" s="4" t="str">
        <f t="shared" si="17"/>
        <v>rg:[]</v>
      </c>
      <c r="N148" t="s">
        <v>6517</v>
      </c>
      <c r="O148" t="s">
        <v>6517</v>
      </c>
      <c r="P148" t="s">
        <v>6517</v>
      </c>
    </row>
    <row r="149" spans="1:16" x14ac:dyDescent="0.3">
      <c r="A149" t="s">
        <v>5388</v>
      </c>
      <c r="B149">
        <f ca="1">INDEX(LocalAreas.csv!G:G,RANDBETWEEN(2,88))</f>
        <v>200012</v>
      </c>
      <c r="C149" t="str">
        <f t="shared" ca="1" si="12"/>
        <v>rg{'id': '200012'}'</v>
      </c>
      <c r="D149" s="1" t="str">
        <f ca="1">MID(Names!G20,FIND(" ",Names!G20)+1,LEN(Names!G20)-FIND(" ", Names!G20))&amp;" "&amp;INDEX(PROJ_EXT_Name,RANDBETWEEN(2,12))</f>
        <v>Findlay Creek Road Upgrade</v>
      </c>
      <c r="E149" s="1" t="s">
        <v>6928</v>
      </c>
      <c r="F149">
        <f t="shared" si="13"/>
        <v>40009</v>
      </c>
      <c r="G149">
        <f t="shared" si="14"/>
        <v>500009</v>
      </c>
      <c r="H149" t="s">
        <v>6694</v>
      </c>
      <c r="I149" s="8">
        <f t="shared" si="15"/>
        <v>600009</v>
      </c>
      <c r="J149" t="s">
        <v>6517</v>
      </c>
      <c r="K149" t="str">
        <f>IFERROR(VLOOKUP(E149,Contacts.csv!C:D,2,FALSE),"")</f>
        <v/>
      </c>
      <c r="L149" t="str">
        <f t="shared" si="16"/>
        <v>rg:None</v>
      </c>
      <c r="M149" s="4" t="str">
        <f t="shared" si="17"/>
        <v>rg:[]</v>
      </c>
      <c r="N149" t="s">
        <v>6517</v>
      </c>
      <c r="O149" t="s">
        <v>6517</v>
      </c>
      <c r="P149" t="s">
        <v>6517</v>
      </c>
    </row>
    <row r="150" spans="1:16" x14ac:dyDescent="0.3">
      <c r="A150" t="s">
        <v>5388</v>
      </c>
      <c r="B150">
        <f ca="1">INDEX(LocalAreas.csv!G:G,RANDBETWEEN(2,88))</f>
        <v>200080</v>
      </c>
      <c r="C150" t="str">
        <f t="shared" ca="1" si="12"/>
        <v>rg{'id': '200080'}'</v>
      </c>
      <c r="D150" s="1" t="str">
        <f ca="1">MID(Names!G21,FIND(" ",Names!G21)+1,LEN(Names!G21)-FIND(" ", Names!G21))&amp;" "&amp;INDEX(PROJ_EXT_Name,RANDBETWEEN(2,12))</f>
        <v>Sixth Street Bypass</v>
      </c>
      <c r="E150" s="1" t="s">
        <v>7057</v>
      </c>
      <c r="F150">
        <f t="shared" si="13"/>
        <v>40010</v>
      </c>
      <c r="G150">
        <f t="shared" si="14"/>
        <v>500010</v>
      </c>
      <c r="H150" t="s">
        <v>6694</v>
      </c>
      <c r="I150" s="8">
        <f t="shared" si="15"/>
        <v>600010</v>
      </c>
      <c r="J150" t="s">
        <v>6517</v>
      </c>
      <c r="K150" t="str">
        <f>IFERROR(VLOOKUP(E150,Contacts.csv!C:D,2,FALSE),"")</f>
        <v/>
      </c>
      <c r="L150" t="str">
        <f t="shared" si="16"/>
        <v>rg:None</v>
      </c>
      <c r="M150" s="4" t="str">
        <f t="shared" si="17"/>
        <v>rg:[]</v>
      </c>
      <c r="N150" t="s">
        <v>6517</v>
      </c>
      <c r="O150" t="s">
        <v>6517</v>
      </c>
      <c r="P150" t="s">
        <v>6517</v>
      </c>
    </row>
    <row r="151" spans="1:16" x14ac:dyDescent="0.3">
      <c r="A151" t="s">
        <v>5388</v>
      </c>
      <c r="B151">
        <f ca="1">INDEX(LocalAreas.csv!G:G,RANDBETWEEN(2,88))</f>
        <v>200020</v>
      </c>
      <c r="C151" t="str">
        <f t="shared" ca="1" si="12"/>
        <v>rg{'id': '200020'}'</v>
      </c>
      <c r="D151" s="1" t="str">
        <f ca="1">MID(Names!G22,FIND(" ",Names!G22)+1,LEN(Names!G22)-FIND(" ", Names!G22))&amp;" "&amp;INDEX(PROJ_EXT_Name,RANDBETWEEN(2,12))</f>
        <v>Blanshard Cloverleaf</v>
      </c>
      <c r="E151" s="1" t="s">
        <v>6957</v>
      </c>
      <c r="F151">
        <f t="shared" si="13"/>
        <v>40011</v>
      </c>
      <c r="G151">
        <f t="shared" si="14"/>
        <v>500011</v>
      </c>
      <c r="H151" t="s">
        <v>6694</v>
      </c>
      <c r="I151" s="8">
        <f t="shared" si="15"/>
        <v>600011</v>
      </c>
      <c r="J151" t="s">
        <v>6517</v>
      </c>
      <c r="K151" t="str">
        <f>IFERROR(VLOOKUP(E151,Contacts.csv!C:D,2,FALSE),"")</f>
        <v/>
      </c>
      <c r="L151" t="str">
        <f t="shared" si="16"/>
        <v>rg:None</v>
      </c>
      <c r="M151" s="4" t="str">
        <f t="shared" si="17"/>
        <v>rg:[]</v>
      </c>
      <c r="N151" t="s">
        <v>6517</v>
      </c>
      <c r="O151" t="s">
        <v>6517</v>
      </c>
      <c r="P151" t="s">
        <v>6517</v>
      </c>
    </row>
    <row r="152" spans="1:16" x14ac:dyDescent="0.3">
      <c r="A152" t="s">
        <v>5388</v>
      </c>
      <c r="B152">
        <f ca="1">INDEX(LocalAreas.csv!G:G,RANDBETWEEN(2,88))</f>
        <v>200050</v>
      </c>
      <c r="C152" t="str">
        <f t="shared" ca="1" si="12"/>
        <v>rg{'id': '200050'}'</v>
      </c>
      <c r="D152" s="1" t="str">
        <f ca="1">MID(Names!G23,FIND(" ",Names!G23)+1,LEN(Names!G23)-FIND(" ", Names!G23))&amp;" "&amp;INDEX(PROJ_EXT_Name,RANDBETWEEN(2,12))</f>
        <v>King George Hwy Bypass</v>
      </c>
      <c r="E152" s="1" t="s">
        <v>7058</v>
      </c>
      <c r="F152">
        <f t="shared" si="13"/>
        <v>40012</v>
      </c>
      <c r="G152">
        <f t="shared" si="14"/>
        <v>500012</v>
      </c>
      <c r="H152" t="s">
        <v>6694</v>
      </c>
      <c r="I152" s="8">
        <f t="shared" si="15"/>
        <v>600012</v>
      </c>
      <c r="J152" t="s">
        <v>6517</v>
      </c>
      <c r="K152" t="str">
        <f>IFERROR(VLOOKUP(E152,Contacts.csv!C:D,2,FALSE),"")</f>
        <v/>
      </c>
      <c r="L152" t="str">
        <f t="shared" si="16"/>
        <v>rg:None</v>
      </c>
      <c r="M152" s="4" t="str">
        <f t="shared" si="17"/>
        <v>rg:[]</v>
      </c>
      <c r="N152" t="s">
        <v>6517</v>
      </c>
      <c r="O152" t="s">
        <v>6517</v>
      </c>
      <c r="P152" t="s">
        <v>6517</v>
      </c>
    </row>
    <row r="153" spans="1:16" x14ac:dyDescent="0.3">
      <c r="A153" t="s">
        <v>5388</v>
      </c>
      <c r="B153">
        <f ca="1">INDEX(LocalAreas.csv!G:G,RANDBETWEEN(2,88))</f>
        <v>200035</v>
      </c>
      <c r="C153" t="str">
        <f t="shared" ca="1" si="12"/>
        <v>rg{'id': '200035'}'</v>
      </c>
      <c r="D153" s="1" t="str">
        <f ca="1">MID(Names!G24,FIND(" ",Names!G24)+1,LEN(Names!G24)-FIND(" ", Names!G24))&amp;" "&amp;INDEX(PROJ_EXT_Name,RANDBETWEEN(2,12))</f>
        <v>Glover Road Bridge</v>
      </c>
      <c r="E153" s="1" t="s">
        <v>7059</v>
      </c>
      <c r="F153">
        <f t="shared" si="13"/>
        <v>40013</v>
      </c>
      <c r="G153">
        <f t="shared" si="14"/>
        <v>500013</v>
      </c>
      <c r="H153" t="s">
        <v>6694</v>
      </c>
      <c r="I153" s="8">
        <f t="shared" si="15"/>
        <v>600013</v>
      </c>
      <c r="J153" t="s">
        <v>6517</v>
      </c>
      <c r="K153" t="str">
        <f>IFERROR(VLOOKUP(E153,Contacts.csv!C:D,2,FALSE),"")</f>
        <v/>
      </c>
      <c r="L153" t="str">
        <f t="shared" si="16"/>
        <v>rg:None</v>
      </c>
      <c r="M153" s="4" t="str">
        <f t="shared" si="17"/>
        <v>rg:[]</v>
      </c>
      <c r="N153" t="s">
        <v>6517</v>
      </c>
      <c r="O153" t="s">
        <v>6517</v>
      </c>
      <c r="P153" t="s">
        <v>6517</v>
      </c>
    </row>
    <row r="154" spans="1:16" x14ac:dyDescent="0.3">
      <c r="A154" t="s">
        <v>5388</v>
      </c>
      <c r="B154">
        <f ca="1">INDEX(LocalAreas.csv!G:G,RANDBETWEEN(2,88))</f>
        <v>200017</v>
      </c>
      <c r="C154" t="str">
        <f t="shared" ca="1" si="12"/>
        <v>rg{'id': '200017'}'</v>
      </c>
      <c r="D154" s="1" t="str">
        <f ca="1">MID(Names!G25,FIND(" ",Names!G25)+1,LEN(Names!G25)-FIND(" ", Names!G25))&amp;" "&amp;INDEX(PROJ_EXT_Name,RANDBETWEEN(2,12))</f>
        <v>Wallace Street HOV Lane</v>
      </c>
      <c r="E154" s="1" t="s">
        <v>7060</v>
      </c>
      <c r="F154">
        <f t="shared" si="13"/>
        <v>40014</v>
      </c>
      <c r="G154">
        <f t="shared" si="14"/>
        <v>500014</v>
      </c>
      <c r="H154" t="s">
        <v>6694</v>
      </c>
      <c r="I154" s="8">
        <f t="shared" si="15"/>
        <v>600014</v>
      </c>
      <c r="J154" t="s">
        <v>6517</v>
      </c>
      <c r="K154" t="str">
        <f>IFERROR(VLOOKUP(E154,Contacts.csv!C:D,2,FALSE),"")</f>
        <v/>
      </c>
      <c r="L154" t="str">
        <f t="shared" si="16"/>
        <v>rg:None</v>
      </c>
      <c r="M154" s="4" t="str">
        <f t="shared" si="17"/>
        <v>rg:[]</v>
      </c>
      <c r="N154" t="s">
        <v>6517</v>
      </c>
      <c r="O154" t="s">
        <v>6517</v>
      </c>
      <c r="P154" t="s">
        <v>6517</v>
      </c>
    </row>
    <row r="155" spans="1:16" x14ac:dyDescent="0.3">
      <c r="A155" t="s">
        <v>5388</v>
      </c>
      <c r="B155">
        <f ca="1">INDEX(LocalAreas.csv!G:G,RANDBETWEEN(2,88))</f>
        <v>200025</v>
      </c>
      <c r="C155" t="str">
        <f t="shared" ca="1" si="12"/>
        <v>rg{'id': '200025'}'</v>
      </c>
      <c r="D155" s="1" t="str">
        <f ca="1">MID(Names!G26,FIND(" ",Names!G26)+1,LEN(Names!G26)-FIND(" ", Names!G26))&amp;" "&amp;INDEX(PROJ_EXT_Name,RANDBETWEEN(2,12))</f>
        <v>Yoho Valley Road Bridge Replacement</v>
      </c>
      <c r="E155" s="1" t="s">
        <v>7061</v>
      </c>
      <c r="F155">
        <f t="shared" si="13"/>
        <v>40015</v>
      </c>
      <c r="G155">
        <f t="shared" si="14"/>
        <v>500015</v>
      </c>
      <c r="H155" t="s">
        <v>6694</v>
      </c>
      <c r="I155" s="8">
        <f t="shared" si="15"/>
        <v>600015</v>
      </c>
      <c r="J155" t="s">
        <v>6517</v>
      </c>
      <c r="K155" t="str">
        <f>IFERROR(VLOOKUP(E155,Contacts.csv!C:D,2,FALSE),"")</f>
        <v/>
      </c>
      <c r="L155" t="str">
        <f t="shared" si="16"/>
        <v>rg:None</v>
      </c>
      <c r="M155" s="4" t="str">
        <f t="shared" si="17"/>
        <v>rg:[]</v>
      </c>
      <c r="N155" t="s">
        <v>6517</v>
      </c>
      <c r="O155" t="s">
        <v>6517</v>
      </c>
      <c r="P155" t="s">
        <v>6517</v>
      </c>
    </row>
    <row r="156" spans="1:16" x14ac:dyDescent="0.3">
      <c r="A156" t="s">
        <v>5388</v>
      </c>
      <c r="B156">
        <f ca="1">INDEX(LocalAreas.csv!G:G,RANDBETWEEN(2,88))</f>
        <v>200085</v>
      </c>
      <c r="C156" t="str">
        <f t="shared" ca="1" si="12"/>
        <v>rg{'id': '200085'}'</v>
      </c>
      <c r="D156" s="1" t="str">
        <f ca="1">MID(Names!G28,FIND(" ",Names!G28)+1,LEN(Names!G28)-FIND(" ", Names!G28))&amp;" "&amp;INDEX(PROJ_EXT_Name,RANDBETWEEN(2,12))</f>
        <v>Cordova Street Bridge Replacement</v>
      </c>
      <c r="E156" s="1" t="s">
        <v>6920</v>
      </c>
      <c r="F156">
        <f>IF(ISNUMBER(#REF!),#REF!+1,40000)</f>
        <v>40000</v>
      </c>
      <c r="G156">
        <f>IF(ISNUMBER(#REF!),#REF!+1,500000)</f>
        <v>500000</v>
      </c>
      <c r="H156" t="s">
        <v>6694</v>
      </c>
      <c r="I156" s="8">
        <f>IF(ISNUMBER(#REF!),#REF!+1,600000)</f>
        <v>600000</v>
      </c>
      <c r="J156" t="s">
        <v>6517</v>
      </c>
      <c r="K156" t="str">
        <f>IFERROR(VLOOKUP(E156,Contacts.csv!C:D,2,FALSE),"")</f>
        <v/>
      </c>
      <c r="L156" t="str">
        <f t="shared" si="16"/>
        <v>rg:None</v>
      </c>
      <c r="M156" s="4" t="str">
        <f t="shared" si="17"/>
        <v>rg:[]</v>
      </c>
      <c r="N156" t="s">
        <v>6517</v>
      </c>
      <c r="O156" t="s">
        <v>6517</v>
      </c>
      <c r="P156" t="s">
        <v>6517</v>
      </c>
    </row>
    <row r="157" spans="1:16" x14ac:dyDescent="0.3">
      <c r="A157" t="s">
        <v>5388</v>
      </c>
      <c r="B157">
        <f ca="1">INDEX(LocalAreas.csv!G:G,RANDBETWEEN(2,88))</f>
        <v>200077</v>
      </c>
      <c r="C157" t="str">
        <f t="shared" ca="1" si="12"/>
        <v>rg{'id': '200077'}'</v>
      </c>
      <c r="D157" s="1" t="str">
        <f ca="1">MID(Names!G30,FIND(" ",Names!G30)+1,LEN(Names!G30)-FIND(" ", Names!G30))&amp;" "&amp;INDEX(PROJ_EXT_Name,RANDBETWEEN(2,12))</f>
        <v>Scotts Lane Express Lane</v>
      </c>
      <c r="E157" s="1" t="s">
        <v>7062</v>
      </c>
      <c r="F157">
        <f>IF(ISNUMBER(#REF!),#REF!+1,40000)</f>
        <v>40000</v>
      </c>
      <c r="G157">
        <f>IF(ISNUMBER(#REF!),#REF!+1,500000)</f>
        <v>500000</v>
      </c>
      <c r="H157" t="s">
        <v>6694</v>
      </c>
      <c r="I157" s="8">
        <f>IF(ISNUMBER(#REF!),#REF!+1,600000)</f>
        <v>600000</v>
      </c>
      <c r="J157" t="s">
        <v>6517</v>
      </c>
      <c r="K157" t="str">
        <f>IFERROR(VLOOKUP(E157,Contacts.csv!C:D,2,FALSE),"")</f>
        <v/>
      </c>
      <c r="L157" t="str">
        <f t="shared" si="16"/>
        <v>rg:None</v>
      </c>
      <c r="M157" s="4" t="str">
        <f t="shared" si="17"/>
        <v>rg:[]</v>
      </c>
      <c r="N157" t="s">
        <v>6517</v>
      </c>
      <c r="O157" t="s">
        <v>6517</v>
      </c>
      <c r="P157" t="s">
        <v>6517</v>
      </c>
    </row>
    <row r="158" spans="1:16" x14ac:dyDescent="0.3">
      <c r="A158" t="s">
        <v>5388</v>
      </c>
      <c r="B158">
        <f ca="1">INDEX(LocalAreas.csv!G:G,RANDBETWEEN(2,88))</f>
        <v>200079</v>
      </c>
      <c r="C158" t="str">
        <f t="shared" ca="1" si="12"/>
        <v>rg{'id': '200079'}'</v>
      </c>
      <c r="D158" s="1" t="str">
        <f ca="1">MID(Names!G31,FIND(" ",Names!G31)+1,LEN(Names!G31)-FIND(" ", Names!G31))&amp;" "&amp;INDEX(PROJ_EXT_Name,RANDBETWEEN(2,12))</f>
        <v>Nootka Street Bypass</v>
      </c>
      <c r="E158" s="1" t="s">
        <v>7063</v>
      </c>
      <c r="F158">
        <f t="shared" si="13"/>
        <v>40001</v>
      </c>
      <c r="G158">
        <f t="shared" si="14"/>
        <v>500001</v>
      </c>
      <c r="H158" t="s">
        <v>6694</v>
      </c>
      <c r="I158" s="8">
        <f t="shared" si="15"/>
        <v>600001</v>
      </c>
      <c r="J158" t="s">
        <v>6517</v>
      </c>
      <c r="K158" t="str">
        <f>IFERROR(VLOOKUP(E158,Contacts.csv!C:D,2,FALSE),"")</f>
        <v/>
      </c>
      <c r="L158" t="str">
        <f t="shared" si="16"/>
        <v>rg:None</v>
      </c>
      <c r="M158" s="4" t="str">
        <f t="shared" si="17"/>
        <v>rg:[]</v>
      </c>
      <c r="N158" t="s">
        <v>6517</v>
      </c>
      <c r="O158" t="s">
        <v>6517</v>
      </c>
      <c r="P158" t="s">
        <v>6517</v>
      </c>
    </row>
    <row r="159" spans="1:16" x14ac:dyDescent="0.3">
      <c r="A159" t="s">
        <v>5388</v>
      </c>
      <c r="B159">
        <f ca="1">INDEX(LocalAreas.csv!G:G,RANDBETWEEN(2,88))</f>
        <v>200045</v>
      </c>
      <c r="C159" t="str">
        <f t="shared" ca="1" si="12"/>
        <v>rg{'id': '200045'}'</v>
      </c>
      <c r="D159" s="1" t="str">
        <f ca="1">MID(Names!G32,FIND(" ",Names!G32)+1,LEN(Names!G32)-FIND(" ", Names!G32))&amp;" "&amp;INDEX(PROJ_EXT_Name,RANDBETWEEN(2,12))</f>
        <v>Nootka Street HOV Lane</v>
      </c>
      <c r="E159" s="1" t="s">
        <v>6934</v>
      </c>
      <c r="F159">
        <f t="shared" si="13"/>
        <v>40002</v>
      </c>
      <c r="G159">
        <f t="shared" si="14"/>
        <v>500002</v>
      </c>
      <c r="H159" t="s">
        <v>6694</v>
      </c>
      <c r="I159" s="8">
        <f t="shared" si="15"/>
        <v>600002</v>
      </c>
      <c r="J159" t="s">
        <v>6517</v>
      </c>
      <c r="K159" t="str">
        <f>IFERROR(VLOOKUP(E159,Contacts.csv!C:D,2,FALSE),"")</f>
        <v/>
      </c>
      <c r="L159" t="str">
        <f t="shared" si="16"/>
        <v>rg:None</v>
      </c>
      <c r="M159" s="4" t="str">
        <f t="shared" si="17"/>
        <v>rg:[]</v>
      </c>
      <c r="N159" t="s">
        <v>6517</v>
      </c>
      <c r="O159" t="s">
        <v>6517</v>
      </c>
      <c r="P159" t="s">
        <v>6517</v>
      </c>
    </row>
    <row r="160" spans="1:16" x14ac:dyDescent="0.3">
      <c r="A160" t="s">
        <v>5388</v>
      </c>
      <c r="B160">
        <f ca="1">INDEX(LocalAreas.csv!G:G,RANDBETWEEN(2,88))</f>
        <v>200030</v>
      </c>
      <c r="C160" t="str">
        <f t="shared" ca="1" si="12"/>
        <v>rg{'id': '200030'}'</v>
      </c>
      <c r="D160" s="1" t="str">
        <f ca="1">MID(Names!G33,FIND(" ",Names!G33)+1,LEN(Names!G33)-FIND(" ", Names!G33))&amp;" "&amp;INDEX(PROJ_EXT_Name,RANDBETWEEN(2,12))</f>
        <v>Kinchant St Express Lane</v>
      </c>
      <c r="E160" s="1" t="s">
        <v>7045</v>
      </c>
      <c r="F160">
        <f t="shared" si="13"/>
        <v>40003</v>
      </c>
      <c r="G160">
        <f t="shared" si="14"/>
        <v>500003</v>
      </c>
      <c r="H160" t="s">
        <v>6694</v>
      </c>
      <c r="I160" s="8">
        <f t="shared" si="15"/>
        <v>600003</v>
      </c>
      <c r="J160" t="s">
        <v>6517</v>
      </c>
      <c r="K160" t="str">
        <f>IFERROR(VLOOKUP(E160,Contacts.csv!C:D,2,FALSE),"")</f>
        <v/>
      </c>
      <c r="L160" t="str">
        <f t="shared" si="16"/>
        <v>rg:None</v>
      </c>
      <c r="M160" s="4" t="str">
        <f t="shared" si="17"/>
        <v>rg:[]</v>
      </c>
      <c r="N160" t="s">
        <v>6517</v>
      </c>
      <c r="O160" t="s">
        <v>6517</v>
      </c>
      <c r="P160" t="s">
        <v>6517</v>
      </c>
    </row>
    <row r="161" spans="1:16" x14ac:dyDescent="0.3">
      <c r="A161" t="s">
        <v>5388</v>
      </c>
      <c r="B161">
        <f ca="1">INDEX(LocalAreas.csv!G:G,RANDBETWEEN(2,88))</f>
        <v>200024</v>
      </c>
      <c r="C161" t="str">
        <f t="shared" ca="1" si="12"/>
        <v>rg{'id': '200024'}'</v>
      </c>
      <c r="D161" s="1" t="str">
        <f ca="1">MID(Names!G34,FIND(" ",Names!G34)+1,LEN(Names!G34)-FIND(" ", Names!G34))&amp;" "&amp;INDEX(PROJ_EXT_Name,RANDBETWEEN(2,12))</f>
        <v>Queens Bay Expressway</v>
      </c>
      <c r="E161" s="1" t="s">
        <v>7001</v>
      </c>
      <c r="F161">
        <f t="shared" si="13"/>
        <v>40004</v>
      </c>
      <c r="G161">
        <f t="shared" si="14"/>
        <v>500004</v>
      </c>
      <c r="H161" t="s">
        <v>6694</v>
      </c>
      <c r="I161" s="8">
        <f t="shared" si="15"/>
        <v>600004</v>
      </c>
      <c r="J161" t="s">
        <v>6517</v>
      </c>
      <c r="K161" t="str">
        <f>IFERROR(VLOOKUP(E161,Contacts.csv!C:D,2,FALSE),"")</f>
        <v/>
      </c>
      <c r="L161" t="str">
        <f t="shared" si="16"/>
        <v>rg:None</v>
      </c>
      <c r="M161" s="4" t="str">
        <f t="shared" si="17"/>
        <v>rg:[]</v>
      </c>
      <c r="N161" t="s">
        <v>6517</v>
      </c>
      <c r="O161" t="s">
        <v>6517</v>
      </c>
      <c r="P161" t="s">
        <v>6517</v>
      </c>
    </row>
    <row r="162" spans="1:16" x14ac:dyDescent="0.3">
      <c r="A162" t="s">
        <v>5388</v>
      </c>
      <c r="B162">
        <f ca="1">INDEX(LocalAreas.csv!G:G,RANDBETWEEN(2,88))</f>
        <v>200083</v>
      </c>
      <c r="C162" t="str">
        <f t="shared" ca="1" si="12"/>
        <v>rg{'id': '200083'}'</v>
      </c>
      <c r="D162" s="1" t="str">
        <f ca="1">MID(Names!G35,FIND(" ",Names!G35)+1,LEN(Names!G35)-FIND(" ", Names!G35))&amp;" "&amp;INDEX(PROJ_EXT_Name,RANDBETWEEN(2,12))</f>
        <v>102nd Avenue Cloverleaf</v>
      </c>
      <c r="E162" s="1" t="s">
        <v>7064</v>
      </c>
      <c r="F162">
        <f t="shared" si="13"/>
        <v>40005</v>
      </c>
      <c r="G162">
        <f t="shared" si="14"/>
        <v>500005</v>
      </c>
      <c r="H162" t="s">
        <v>6694</v>
      </c>
      <c r="I162" s="8">
        <f t="shared" si="15"/>
        <v>600005</v>
      </c>
      <c r="J162" t="s">
        <v>6517</v>
      </c>
      <c r="K162" t="str">
        <f>IFERROR(VLOOKUP(E162,Contacts.csv!C:D,2,FALSE),"")</f>
        <v/>
      </c>
      <c r="L162" t="str">
        <f t="shared" si="16"/>
        <v>rg:None</v>
      </c>
      <c r="M162" s="4" t="str">
        <f t="shared" si="17"/>
        <v>rg:[]</v>
      </c>
      <c r="N162" t="s">
        <v>6517</v>
      </c>
      <c r="O162" t="s">
        <v>6517</v>
      </c>
      <c r="P162" t="s">
        <v>6517</v>
      </c>
    </row>
    <row r="163" spans="1:16" x14ac:dyDescent="0.3">
      <c r="A163" t="s">
        <v>5388</v>
      </c>
      <c r="B163">
        <f ca="1">INDEX(LocalAreas.csv!G:G,RANDBETWEEN(2,88))</f>
        <v>200048</v>
      </c>
      <c r="C163" t="str">
        <f t="shared" ca="1" si="12"/>
        <v>rg{'id': '200048'}'</v>
      </c>
      <c r="D163" s="1" t="str">
        <f ca="1">MID(Names!G36,FIND(" ",Names!G36)+1,LEN(Names!G36)-FIND(" ", Names!G36))&amp;" "&amp;INDEX(PROJ_EXT_Name,RANDBETWEEN(2,12))</f>
        <v>Kinchant St Overpass</v>
      </c>
      <c r="E163" s="1" t="s">
        <v>7065</v>
      </c>
      <c r="F163">
        <f t="shared" si="13"/>
        <v>40006</v>
      </c>
      <c r="G163">
        <f t="shared" si="14"/>
        <v>500006</v>
      </c>
      <c r="H163" t="s">
        <v>6694</v>
      </c>
      <c r="I163" s="8">
        <f t="shared" si="15"/>
        <v>600006</v>
      </c>
      <c r="J163" t="s">
        <v>6517</v>
      </c>
      <c r="K163" t="str">
        <f>IFERROR(VLOOKUP(E163,Contacts.csv!C:D,2,FALSE),"")</f>
        <v/>
      </c>
      <c r="L163" t="str">
        <f t="shared" si="16"/>
        <v>rg:None</v>
      </c>
      <c r="M163" s="4" t="str">
        <f t="shared" si="17"/>
        <v>rg:[]</v>
      </c>
      <c r="N163" t="s">
        <v>6517</v>
      </c>
      <c r="O163" t="s">
        <v>6517</v>
      </c>
      <c r="P163" t="s">
        <v>6517</v>
      </c>
    </row>
    <row r="164" spans="1:16" x14ac:dyDescent="0.3">
      <c r="A164" t="s">
        <v>5388</v>
      </c>
      <c r="B164">
        <f ca="1">INDEX(LocalAreas.csv!G:G,RANDBETWEEN(2,88))</f>
        <v>200045</v>
      </c>
      <c r="C164" t="str">
        <f t="shared" ca="1" si="12"/>
        <v>rg{'id': '200045'}'</v>
      </c>
      <c r="D164" s="1" t="str">
        <f ca="1">MID(Names!G37,FIND(" ",Names!G37)+1,LEN(Names!G37)-FIND(" ", Names!G37))&amp;" "&amp;INDEX(PROJ_EXT_Name,RANDBETWEEN(2,12))</f>
        <v>Blanshard Express Lane</v>
      </c>
      <c r="E164" s="1" t="s">
        <v>7024</v>
      </c>
      <c r="F164">
        <f t="shared" si="13"/>
        <v>40007</v>
      </c>
      <c r="G164">
        <f t="shared" si="14"/>
        <v>500007</v>
      </c>
      <c r="H164" t="s">
        <v>6694</v>
      </c>
      <c r="I164" s="8">
        <f t="shared" si="15"/>
        <v>600007</v>
      </c>
      <c r="J164" t="s">
        <v>6517</v>
      </c>
      <c r="K164" t="str">
        <f>IFERROR(VLOOKUP(E164,Contacts.csv!C:D,2,FALSE),"")</f>
        <v/>
      </c>
      <c r="L164" t="str">
        <f t="shared" si="16"/>
        <v>rg:None</v>
      </c>
      <c r="M164" s="4" t="str">
        <f t="shared" si="17"/>
        <v>rg:[]</v>
      </c>
      <c r="N164" t="s">
        <v>6517</v>
      </c>
      <c r="O164" t="s">
        <v>6517</v>
      </c>
      <c r="P164" t="s">
        <v>6517</v>
      </c>
    </row>
    <row r="165" spans="1:16" x14ac:dyDescent="0.3">
      <c r="A165" t="s">
        <v>5388</v>
      </c>
      <c r="B165">
        <f ca="1">INDEX(LocalAreas.csv!G:G,RANDBETWEEN(2,88))</f>
        <v>200066</v>
      </c>
      <c r="C165" t="str">
        <f t="shared" ca="1" si="12"/>
        <v>rg{'id': '200066'}'</v>
      </c>
      <c r="D165" s="1" t="str">
        <f ca="1">MID(Names!G38,FIND(" ",Names!G38)+1,LEN(Names!G38)-FIND(" ", Names!G38))&amp;" "&amp;INDEX(PROJ_EXT_Name,RANDBETWEEN(2,12))</f>
        <v>Robson St Building</v>
      </c>
      <c r="E165" s="1" t="s">
        <v>7031</v>
      </c>
      <c r="F165">
        <f t="shared" si="13"/>
        <v>40008</v>
      </c>
      <c r="G165">
        <f t="shared" si="14"/>
        <v>500008</v>
      </c>
      <c r="H165" t="s">
        <v>6694</v>
      </c>
      <c r="I165" s="8">
        <f t="shared" si="15"/>
        <v>600008</v>
      </c>
      <c r="J165" t="s">
        <v>6517</v>
      </c>
      <c r="K165" t="str">
        <f>IFERROR(VLOOKUP(E165,Contacts.csv!C:D,2,FALSE),"")</f>
        <v/>
      </c>
      <c r="L165" t="str">
        <f t="shared" si="16"/>
        <v>rg:None</v>
      </c>
      <c r="M165" s="4" t="str">
        <f t="shared" si="17"/>
        <v>rg:[]</v>
      </c>
      <c r="N165" t="s">
        <v>6517</v>
      </c>
      <c r="O165" t="s">
        <v>6517</v>
      </c>
      <c r="P165" t="s">
        <v>6517</v>
      </c>
    </row>
    <row r="166" spans="1:16" x14ac:dyDescent="0.3">
      <c r="A166" t="s">
        <v>5388</v>
      </c>
      <c r="B166">
        <f ca="1">INDEX(LocalAreas.csv!G:G,RANDBETWEEN(2,88))</f>
        <v>200034</v>
      </c>
      <c r="C166" t="str">
        <f t="shared" ca="1" si="12"/>
        <v>rg{'id': '200034'}'</v>
      </c>
      <c r="D166" s="1" t="str">
        <f ca="1">MID(Names!G39,FIND(" ",Names!G39)+1,LEN(Names!G39)-FIND(" ", Names!G39))&amp;" "&amp;INDEX(PROJ_EXT_Name,RANDBETWEEN(2,12))</f>
        <v>Findlay Creek Road Bridge</v>
      </c>
      <c r="E166" s="1" t="s">
        <v>6952</v>
      </c>
      <c r="F166">
        <f t="shared" si="13"/>
        <v>40009</v>
      </c>
      <c r="G166">
        <f t="shared" si="14"/>
        <v>500009</v>
      </c>
      <c r="H166" t="s">
        <v>6694</v>
      </c>
      <c r="I166" s="8">
        <f t="shared" si="15"/>
        <v>600009</v>
      </c>
      <c r="J166" t="s">
        <v>6517</v>
      </c>
      <c r="K166" t="str">
        <f>IFERROR(VLOOKUP(E166,Contacts.csv!C:D,2,FALSE),"")</f>
        <v/>
      </c>
      <c r="L166" t="str">
        <f t="shared" si="16"/>
        <v>rg:None</v>
      </c>
      <c r="M166" s="4" t="str">
        <f t="shared" si="17"/>
        <v>rg:[]</v>
      </c>
      <c r="N166" t="s">
        <v>6517</v>
      </c>
      <c r="O166" t="s">
        <v>6517</v>
      </c>
      <c r="P166" t="s">
        <v>6517</v>
      </c>
    </row>
    <row r="167" spans="1:16" x14ac:dyDescent="0.3">
      <c r="A167" t="s">
        <v>5388</v>
      </c>
      <c r="B167">
        <f ca="1">INDEX(LocalAreas.csv!G:G,RANDBETWEEN(2,88))</f>
        <v>200086</v>
      </c>
      <c r="C167" t="str">
        <f t="shared" ca="1" si="12"/>
        <v>rg{'id': '200086'}'</v>
      </c>
      <c r="D167" s="1" t="str">
        <f ca="1">MID(Names!G40,FIND(" ",Names!G40)+1,LEN(Names!G40)-FIND(" ", Names!G40))&amp;" "&amp;INDEX(PROJ_EXT_Name,RANDBETWEEN(2,12))</f>
        <v>Roger Street Express Lane</v>
      </c>
      <c r="E167" s="1" t="s">
        <v>6941</v>
      </c>
      <c r="F167">
        <f t="shared" si="13"/>
        <v>40010</v>
      </c>
      <c r="G167">
        <f t="shared" si="14"/>
        <v>500010</v>
      </c>
      <c r="H167" t="s">
        <v>6694</v>
      </c>
      <c r="I167" s="8">
        <f t="shared" si="15"/>
        <v>600010</v>
      </c>
      <c r="J167" t="s">
        <v>6517</v>
      </c>
      <c r="K167" t="str">
        <f>IFERROR(VLOOKUP(E167,Contacts.csv!C:D,2,FALSE),"")</f>
        <v/>
      </c>
      <c r="L167" t="str">
        <f t="shared" si="16"/>
        <v>rg:None</v>
      </c>
      <c r="M167" s="4" t="str">
        <f t="shared" si="17"/>
        <v>rg:[]</v>
      </c>
      <c r="N167" t="s">
        <v>6517</v>
      </c>
      <c r="O167" t="s">
        <v>6517</v>
      </c>
      <c r="P167" t="s">
        <v>6517</v>
      </c>
    </row>
    <row r="168" spans="1:16" x14ac:dyDescent="0.3">
      <c r="A168" t="s">
        <v>5388</v>
      </c>
      <c r="B168">
        <f ca="1">INDEX(LocalAreas.csv!G:G,RANDBETWEEN(2,88))</f>
        <v>200057</v>
      </c>
      <c r="C168" t="str">
        <f t="shared" ca="1" si="12"/>
        <v>rg{'id': '200057'}'</v>
      </c>
      <c r="D168" s="1" t="str">
        <f ca="1">MID(Names!G41,FIND(" ",Names!G41)+1,LEN(Names!G41)-FIND(" ", Names!G41))&amp;" "&amp;INDEX(PROJ_EXT_Name,RANDBETWEEN(2,12))</f>
        <v>Cardero St Bridge</v>
      </c>
      <c r="E168" s="1" t="s">
        <v>7066</v>
      </c>
      <c r="F168">
        <f t="shared" si="13"/>
        <v>40011</v>
      </c>
      <c r="G168">
        <f t="shared" si="14"/>
        <v>500011</v>
      </c>
      <c r="H168" t="s">
        <v>6694</v>
      </c>
      <c r="I168" s="8">
        <f t="shared" si="15"/>
        <v>600011</v>
      </c>
      <c r="J168" t="s">
        <v>6517</v>
      </c>
      <c r="K168" t="str">
        <f>IFERROR(VLOOKUP(E168,Contacts.csv!C:D,2,FALSE),"")</f>
        <v/>
      </c>
      <c r="L168" t="str">
        <f t="shared" si="16"/>
        <v>rg:None</v>
      </c>
      <c r="M168" s="4" t="str">
        <f t="shared" si="17"/>
        <v>rg:[]</v>
      </c>
      <c r="N168" t="s">
        <v>6517</v>
      </c>
      <c r="O168" t="s">
        <v>6517</v>
      </c>
      <c r="P168" t="s">
        <v>6517</v>
      </c>
    </row>
    <row r="169" spans="1:16" x14ac:dyDescent="0.3">
      <c r="A169" t="s">
        <v>5388</v>
      </c>
      <c r="B169">
        <f ca="1">INDEX(LocalAreas.csv!G:G,RANDBETWEEN(2,88))</f>
        <v>200009</v>
      </c>
      <c r="C169" t="str">
        <f t="shared" ca="1" si="12"/>
        <v>rg{'id': '200009'}'</v>
      </c>
      <c r="D169" s="1" t="str">
        <f ca="1">MID(Names!G42,FIND(" ",Names!G42)+1,LEN(Names!G42)-FIND(" ", Names!G42))&amp;" "&amp;INDEX(PROJ_EXT_Name,RANDBETWEEN(2,12))</f>
        <v>Blind Bay Road Bridge</v>
      </c>
      <c r="E169" s="1" t="s">
        <v>7067</v>
      </c>
      <c r="F169">
        <f t="shared" si="13"/>
        <v>40012</v>
      </c>
      <c r="G169">
        <f t="shared" si="14"/>
        <v>500012</v>
      </c>
      <c r="H169" t="s">
        <v>6694</v>
      </c>
      <c r="I169" s="8">
        <f t="shared" si="15"/>
        <v>600012</v>
      </c>
      <c r="J169" t="s">
        <v>6517</v>
      </c>
      <c r="K169" t="str">
        <f>IFERROR(VLOOKUP(E169,Contacts.csv!C:D,2,FALSE),"")</f>
        <v/>
      </c>
      <c r="L169" t="str">
        <f t="shared" si="16"/>
        <v>rg:None</v>
      </c>
      <c r="M169" s="4" t="str">
        <f t="shared" si="17"/>
        <v>rg:[]</v>
      </c>
      <c r="N169" t="s">
        <v>6517</v>
      </c>
      <c r="O169" t="s">
        <v>6517</v>
      </c>
      <c r="P169" t="s">
        <v>6517</v>
      </c>
    </row>
    <row r="170" spans="1:16" x14ac:dyDescent="0.3">
      <c r="A170" t="s">
        <v>5388</v>
      </c>
      <c r="B170">
        <f ca="1">INDEX(LocalAreas.csv!G:G,RANDBETWEEN(2,88))</f>
        <v>200048</v>
      </c>
      <c r="C170" t="str">
        <f t="shared" ca="1" si="12"/>
        <v>rg{'id': '200048'}'</v>
      </c>
      <c r="D170" s="1" t="str">
        <f ca="1">MID(Names!G43,FIND(" ",Names!G43)+1,LEN(Names!G43)-FIND(" ", Names!G43))&amp;" "&amp;INDEX(PROJ_EXT_Name,RANDBETWEEN(2,12))</f>
        <v>Old Spallumcheen Rd Extension</v>
      </c>
      <c r="E170" s="1" t="s">
        <v>7068</v>
      </c>
      <c r="F170">
        <f t="shared" si="13"/>
        <v>40013</v>
      </c>
      <c r="G170">
        <f t="shared" si="14"/>
        <v>500013</v>
      </c>
      <c r="H170" t="s">
        <v>6694</v>
      </c>
      <c r="I170" s="8">
        <f t="shared" si="15"/>
        <v>600013</v>
      </c>
      <c r="J170" t="s">
        <v>6517</v>
      </c>
      <c r="K170" t="str">
        <f>IFERROR(VLOOKUP(E170,Contacts.csv!C:D,2,FALSE),"")</f>
        <v/>
      </c>
      <c r="L170" t="str">
        <f t="shared" si="16"/>
        <v>rg:None</v>
      </c>
      <c r="M170" s="4" t="str">
        <f t="shared" si="17"/>
        <v>rg:[]</v>
      </c>
      <c r="N170" t="s">
        <v>6517</v>
      </c>
      <c r="O170" t="s">
        <v>6517</v>
      </c>
      <c r="P170" t="s">
        <v>6517</v>
      </c>
    </row>
    <row r="171" spans="1:16" x14ac:dyDescent="0.3">
      <c r="A171" t="s">
        <v>5388</v>
      </c>
      <c r="B171">
        <f ca="1">INDEX(LocalAreas.csv!G:G,RANDBETWEEN(2,88))</f>
        <v>200056</v>
      </c>
      <c r="C171" t="str">
        <f t="shared" ca="1" si="12"/>
        <v>rg{'id': '200056'}'</v>
      </c>
      <c r="D171" s="1" t="str">
        <f ca="1">MID(Names!G44,FIND(" ",Names!G44)+1,LEN(Names!G44)-FIND(" ", Names!G44))&amp;" "&amp;INDEX(PROJ_EXT_Name,RANDBETWEEN(2,12))</f>
        <v>Roger Street Express Lane</v>
      </c>
      <c r="E171" s="1" t="s">
        <v>6941</v>
      </c>
      <c r="F171">
        <f t="shared" si="13"/>
        <v>40014</v>
      </c>
      <c r="G171">
        <f t="shared" si="14"/>
        <v>500014</v>
      </c>
      <c r="H171" t="s">
        <v>6694</v>
      </c>
      <c r="I171" s="8">
        <f t="shared" si="15"/>
        <v>600014</v>
      </c>
      <c r="J171" t="s">
        <v>6517</v>
      </c>
      <c r="K171" t="str">
        <f>IFERROR(VLOOKUP(E171,Contacts.csv!C:D,2,FALSE),"")</f>
        <v/>
      </c>
      <c r="L171" t="str">
        <f t="shared" si="16"/>
        <v>rg:None</v>
      </c>
      <c r="M171" s="4" t="str">
        <f t="shared" si="17"/>
        <v>rg:[]</v>
      </c>
      <c r="N171" t="s">
        <v>6517</v>
      </c>
      <c r="O171" t="s">
        <v>6517</v>
      </c>
      <c r="P171" t="s">
        <v>6517</v>
      </c>
    </row>
    <row r="172" spans="1:16" x14ac:dyDescent="0.3">
      <c r="A172" t="s">
        <v>5388</v>
      </c>
      <c r="B172">
        <f ca="1">INDEX(LocalAreas.csv!G:G,RANDBETWEEN(2,88))</f>
        <v>200016</v>
      </c>
      <c r="C172" t="str">
        <f t="shared" ca="1" si="12"/>
        <v>rg{'id': '200016'}'</v>
      </c>
      <c r="D172" s="1" t="str">
        <f ca="1">MID(Names!G45,FIND(" ",Names!G45)+1,LEN(Names!G45)-FIND(" ", Names!G45))&amp;" "&amp;INDEX(PROJ_EXT_Name,RANDBETWEEN(2,12))</f>
        <v>Keith Road Cloverleaf</v>
      </c>
      <c r="E172" s="1" t="s">
        <v>7069</v>
      </c>
      <c r="F172">
        <f t="shared" si="13"/>
        <v>40015</v>
      </c>
      <c r="G172">
        <f t="shared" si="14"/>
        <v>500015</v>
      </c>
      <c r="H172" t="s">
        <v>6694</v>
      </c>
      <c r="I172" s="8">
        <f t="shared" si="15"/>
        <v>600015</v>
      </c>
      <c r="J172" t="s">
        <v>6517</v>
      </c>
      <c r="K172" t="str">
        <f>IFERROR(VLOOKUP(E172,Contacts.csv!C:D,2,FALSE),"")</f>
        <v/>
      </c>
      <c r="L172" t="str">
        <f t="shared" si="16"/>
        <v>rg:None</v>
      </c>
      <c r="M172" s="4" t="str">
        <f t="shared" si="17"/>
        <v>rg:[]</v>
      </c>
      <c r="N172" t="s">
        <v>6517</v>
      </c>
      <c r="O172" t="s">
        <v>6517</v>
      </c>
      <c r="P172" t="s">
        <v>6517</v>
      </c>
    </row>
    <row r="173" spans="1:16" x14ac:dyDescent="0.3">
      <c r="A173" t="s">
        <v>5388</v>
      </c>
      <c r="B173">
        <f ca="1">INDEX(LocalAreas.csv!G:G,RANDBETWEEN(2,88))</f>
        <v>200047</v>
      </c>
      <c r="C173" t="str">
        <f t="shared" ca="1" si="12"/>
        <v>rg{'id': '200047'}'</v>
      </c>
      <c r="D173" s="1" t="str">
        <f ca="1">MID(Names!G47,FIND(" ",Names!G47)+1,LEN(Names!G47)-FIND(" ", Names!G47))&amp;" "&amp;INDEX(PROJ_EXT_Name,RANDBETWEEN(2,12))</f>
        <v>Brew Creek Rd Upgrade</v>
      </c>
      <c r="E173" s="1" t="s">
        <v>6944</v>
      </c>
      <c r="F173">
        <f>IF(ISNUMBER(#REF!),#REF!+1,40000)</f>
        <v>40000</v>
      </c>
      <c r="G173">
        <f>IF(ISNUMBER(#REF!),#REF!+1,500000)</f>
        <v>500000</v>
      </c>
      <c r="H173" t="s">
        <v>6694</v>
      </c>
      <c r="I173" s="8">
        <f>IF(ISNUMBER(#REF!),#REF!+1,600000)</f>
        <v>600000</v>
      </c>
      <c r="J173" t="s">
        <v>6517</v>
      </c>
      <c r="K173" t="str">
        <f>IFERROR(VLOOKUP(E173,Contacts.csv!C:D,2,FALSE),"")</f>
        <v/>
      </c>
      <c r="L173" t="str">
        <f t="shared" si="16"/>
        <v>rg:None</v>
      </c>
      <c r="M173" s="4" t="str">
        <f t="shared" si="17"/>
        <v>rg:[]</v>
      </c>
      <c r="N173" t="s">
        <v>6517</v>
      </c>
      <c r="O173" t="s">
        <v>6517</v>
      </c>
      <c r="P173" t="s">
        <v>6517</v>
      </c>
    </row>
    <row r="174" spans="1:16" x14ac:dyDescent="0.3">
      <c r="A174" t="s">
        <v>5388</v>
      </c>
      <c r="B174">
        <f ca="1">INDEX(LocalAreas.csv!G:G,RANDBETWEEN(2,88))</f>
        <v>200074</v>
      </c>
      <c r="C174" t="str">
        <f t="shared" ca="1" si="12"/>
        <v>rg{'id': '200074'}'</v>
      </c>
      <c r="D174" s="1" t="str">
        <f ca="1">MID(Names!G48,FIND(" ",Names!G48)+1,LEN(Names!G48)-FIND(" ", Names!G48))&amp;" "&amp;INDEX(PROJ_EXT_Name,RANDBETWEEN(2,12))</f>
        <v>Coldstream Avenue Bridge Replacement</v>
      </c>
      <c r="E174" s="1" t="s">
        <v>7070</v>
      </c>
      <c r="F174">
        <f t="shared" si="13"/>
        <v>40001</v>
      </c>
      <c r="G174">
        <f t="shared" si="14"/>
        <v>500001</v>
      </c>
      <c r="H174" t="s">
        <v>6694</v>
      </c>
      <c r="I174" s="8">
        <f t="shared" si="15"/>
        <v>600001</v>
      </c>
      <c r="J174" t="s">
        <v>6517</v>
      </c>
      <c r="K174" t="str">
        <f>IFERROR(VLOOKUP(E174,Contacts.csv!C:D,2,FALSE),"")</f>
        <v/>
      </c>
      <c r="L174" t="str">
        <f t="shared" si="16"/>
        <v>rg:None</v>
      </c>
      <c r="M174" s="4" t="str">
        <f t="shared" si="17"/>
        <v>rg:[]</v>
      </c>
      <c r="N174" t="s">
        <v>6517</v>
      </c>
      <c r="O174" t="s">
        <v>6517</v>
      </c>
      <c r="P174" t="s">
        <v>6517</v>
      </c>
    </row>
    <row r="175" spans="1:16" x14ac:dyDescent="0.3">
      <c r="A175" t="s">
        <v>5388</v>
      </c>
      <c r="B175">
        <f ca="1">INDEX(LocalAreas.csv!G:G,RANDBETWEEN(2,88))</f>
        <v>200024</v>
      </c>
      <c r="C175" t="str">
        <f t="shared" ca="1" si="12"/>
        <v>rg{'id': '200024'}'</v>
      </c>
      <c r="D175" s="1" t="str">
        <f ca="1">MID(Names!G49,FIND(" ",Names!G49)+1,LEN(Names!G49)-FIND(" ", Names!G49))&amp;" "&amp;INDEX(PROJ_EXT_Name,RANDBETWEEN(2,12))</f>
        <v>Roger Street Cloverleaf</v>
      </c>
      <c r="E175" s="1" t="s">
        <v>6999</v>
      </c>
      <c r="F175">
        <f t="shared" si="13"/>
        <v>40002</v>
      </c>
      <c r="G175">
        <f t="shared" si="14"/>
        <v>500002</v>
      </c>
      <c r="H175" t="s">
        <v>6694</v>
      </c>
      <c r="I175" s="8">
        <f t="shared" si="15"/>
        <v>600002</v>
      </c>
      <c r="J175" t="s">
        <v>6517</v>
      </c>
      <c r="K175" t="str">
        <f>IFERROR(VLOOKUP(E175,Contacts.csv!C:D,2,FALSE),"")</f>
        <v/>
      </c>
      <c r="L175" t="str">
        <f t="shared" si="16"/>
        <v>rg:None</v>
      </c>
      <c r="M175" s="4" t="str">
        <f t="shared" si="17"/>
        <v>rg:[]</v>
      </c>
      <c r="N175" t="s">
        <v>6517</v>
      </c>
      <c r="O175" t="s">
        <v>6517</v>
      </c>
      <c r="P175" t="s">
        <v>6517</v>
      </c>
    </row>
    <row r="176" spans="1:16" x14ac:dyDescent="0.3">
      <c r="A176" t="s">
        <v>5388</v>
      </c>
      <c r="B176">
        <f ca="1">INDEX(LocalAreas.csv!G:G,RANDBETWEEN(2,88))</f>
        <v>200055</v>
      </c>
      <c r="C176" t="str">
        <f t="shared" ca="1" si="12"/>
        <v>rg{'id': '200055'}'</v>
      </c>
      <c r="D176" s="1" t="str">
        <f ca="1">MID(Names!G50,FIND(" ",Names!G50)+1,LEN(Names!G50)-FIND(" ", Names!G50))&amp;" "&amp;INDEX(PROJ_EXT_Name,RANDBETWEEN(2,12))</f>
        <v>Wellington Ave Upgrade</v>
      </c>
      <c r="E176" s="1" t="s">
        <v>6924</v>
      </c>
      <c r="F176">
        <f t="shared" si="13"/>
        <v>40003</v>
      </c>
      <c r="G176">
        <f t="shared" si="14"/>
        <v>500003</v>
      </c>
      <c r="H176" t="s">
        <v>6694</v>
      </c>
      <c r="I176" s="8">
        <f t="shared" si="15"/>
        <v>600003</v>
      </c>
      <c r="J176" t="s">
        <v>6517</v>
      </c>
      <c r="K176" t="str">
        <f>IFERROR(VLOOKUP(E176,Contacts.csv!C:D,2,FALSE),"")</f>
        <v/>
      </c>
      <c r="L176" t="str">
        <f t="shared" si="16"/>
        <v>rg:None</v>
      </c>
      <c r="M176" s="4" t="str">
        <f t="shared" si="17"/>
        <v>rg:[]</v>
      </c>
      <c r="N176" t="s">
        <v>6517</v>
      </c>
      <c r="O176" t="s">
        <v>6517</v>
      </c>
      <c r="P176" t="s">
        <v>6517</v>
      </c>
    </row>
    <row r="177" spans="1:16" x14ac:dyDescent="0.3">
      <c r="A177" t="s">
        <v>5388</v>
      </c>
      <c r="B177">
        <f ca="1">INDEX(LocalAreas.csv!G:G,RANDBETWEEN(2,88))</f>
        <v>200080</v>
      </c>
      <c r="C177" t="str">
        <f t="shared" ca="1" si="12"/>
        <v>rg{'id': '200080'}'</v>
      </c>
      <c r="D177" s="1" t="str">
        <f ca="1">MID(Names!G51,FIND(" ",Names!G51)+1,LEN(Names!G51)-FIND(" ", Names!G51))&amp;" "&amp;INDEX(PROJ_EXT_Name,RANDBETWEEN(2,12))</f>
        <v>Hardy Street Expressway</v>
      </c>
      <c r="E177" s="1" t="s">
        <v>7071</v>
      </c>
      <c r="F177">
        <f t="shared" si="13"/>
        <v>40004</v>
      </c>
      <c r="G177">
        <f t="shared" si="14"/>
        <v>500004</v>
      </c>
      <c r="H177" t="s">
        <v>6694</v>
      </c>
      <c r="I177" s="8">
        <f t="shared" si="15"/>
        <v>600004</v>
      </c>
      <c r="J177" t="s">
        <v>6517</v>
      </c>
      <c r="K177" t="str">
        <f>IFERROR(VLOOKUP(E177,Contacts.csv!C:D,2,FALSE),"")</f>
        <v/>
      </c>
      <c r="L177" t="str">
        <f t="shared" si="16"/>
        <v>rg:None</v>
      </c>
      <c r="M177" s="4" t="str">
        <f t="shared" si="17"/>
        <v>rg:[]</v>
      </c>
      <c r="N177" t="s">
        <v>6517</v>
      </c>
      <c r="O177" t="s">
        <v>6517</v>
      </c>
      <c r="P177" t="s">
        <v>6517</v>
      </c>
    </row>
    <row r="178" spans="1:16" x14ac:dyDescent="0.3">
      <c r="A178" t="s">
        <v>5388</v>
      </c>
      <c r="B178">
        <f ca="1">INDEX(LocalAreas.csv!G:G,RANDBETWEEN(2,88))</f>
        <v>200070</v>
      </c>
      <c r="C178" t="str">
        <f t="shared" ca="1" si="12"/>
        <v>rg{'id': '200070'}'</v>
      </c>
      <c r="D178" s="1" t="str">
        <f ca="1">MID(Names!G52,FIND(" ",Names!G52)+1,LEN(Names!G52)-FIND(" ", Names!G52))&amp;" "&amp;INDEX(PROJ_EXT_Name,RANDBETWEEN(2,12))</f>
        <v>Hastings Street Bridge Replacement</v>
      </c>
      <c r="E178" s="1" t="s">
        <v>7072</v>
      </c>
      <c r="F178">
        <f t="shared" si="13"/>
        <v>40005</v>
      </c>
      <c r="G178">
        <f t="shared" si="14"/>
        <v>500005</v>
      </c>
      <c r="H178" t="s">
        <v>6694</v>
      </c>
      <c r="I178" s="8">
        <f t="shared" si="15"/>
        <v>600005</v>
      </c>
      <c r="J178" t="s">
        <v>6517</v>
      </c>
      <c r="K178" t="str">
        <f>IFERROR(VLOOKUP(E178,Contacts.csv!C:D,2,FALSE),"")</f>
        <v/>
      </c>
      <c r="L178" t="str">
        <f t="shared" si="16"/>
        <v>rg:None</v>
      </c>
      <c r="M178" s="4" t="str">
        <f t="shared" si="17"/>
        <v>rg:[]</v>
      </c>
      <c r="N178" t="s">
        <v>6517</v>
      </c>
      <c r="O178" t="s">
        <v>6517</v>
      </c>
      <c r="P178" t="s">
        <v>6517</v>
      </c>
    </row>
    <row r="179" spans="1:16" x14ac:dyDescent="0.3">
      <c r="A179" t="s">
        <v>5388</v>
      </c>
      <c r="B179">
        <f ca="1">INDEX(LocalAreas.csv!G:G,RANDBETWEEN(2,88))</f>
        <v>200051</v>
      </c>
      <c r="C179" t="str">
        <f t="shared" ca="1" si="12"/>
        <v>rg{'id': '200051'}'</v>
      </c>
      <c r="D179" s="1" t="str">
        <f ca="1">MID(Names!G54,FIND(" ",Names!G54)+1,LEN(Names!G54)-FIND(" ", Names!G54))&amp;" "&amp;INDEX(PROJ_EXT_Name,RANDBETWEEN(2,12))</f>
        <v>Hastings Street Bypass</v>
      </c>
      <c r="E179" s="1" t="s">
        <v>7000</v>
      </c>
      <c r="F179">
        <f>IF(ISNUMBER(#REF!),#REF!+1,40000)</f>
        <v>40000</v>
      </c>
      <c r="G179">
        <f>IF(ISNUMBER(#REF!),#REF!+1,500000)</f>
        <v>500000</v>
      </c>
      <c r="H179" t="s">
        <v>6694</v>
      </c>
      <c r="I179" s="8">
        <f>IF(ISNUMBER(#REF!),#REF!+1,600000)</f>
        <v>600000</v>
      </c>
      <c r="J179" t="s">
        <v>6517</v>
      </c>
      <c r="K179" t="str">
        <f>IFERROR(VLOOKUP(E179,Contacts.csv!C:D,2,FALSE),"")</f>
        <v/>
      </c>
      <c r="L179" t="str">
        <f t="shared" si="16"/>
        <v>rg:None</v>
      </c>
      <c r="M179" s="4" t="str">
        <f t="shared" si="17"/>
        <v>rg:[]</v>
      </c>
      <c r="N179" t="s">
        <v>6517</v>
      </c>
      <c r="O179" t="s">
        <v>6517</v>
      </c>
      <c r="P179" t="s">
        <v>6517</v>
      </c>
    </row>
    <row r="180" spans="1:16" x14ac:dyDescent="0.3">
      <c r="A180" t="s">
        <v>5388</v>
      </c>
      <c r="B180">
        <f ca="1">INDEX(LocalAreas.csv!G:G,RANDBETWEEN(2,88))</f>
        <v>200026</v>
      </c>
      <c r="C180" t="str">
        <f t="shared" ca="1" si="12"/>
        <v>rg{'id': '200026'}'</v>
      </c>
      <c r="D180" s="1" t="str">
        <f ca="1">MID(Names!G55,FIND(" ",Names!G55)+1,LEN(Names!G55)-FIND(" ", Names!G55))&amp;" "&amp;INDEX(PROJ_EXT_Name,RANDBETWEEN(2,12))</f>
        <v>Findlay Creek Road Overpass</v>
      </c>
      <c r="E180" s="1" t="s">
        <v>6966</v>
      </c>
      <c r="F180">
        <f t="shared" si="13"/>
        <v>40001</v>
      </c>
      <c r="G180">
        <f t="shared" si="14"/>
        <v>500001</v>
      </c>
      <c r="H180" t="s">
        <v>6694</v>
      </c>
      <c r="I180" s="8">
        <f t="shared" si="15"/>
        <v>600001</v>
      </c>
      <c r="J180" t="s">
        <v>6517</v>
      </c>
      <c r="K180" t="str">
        <f>IFERROR(VLOOKUP(E180,Contacts.csv!C:D,2,FALSE),"")</f>
        <v/>
      </c>
      <c r="L180" t="str">
        <f t="shared" si="16"/>
        <v>rg:None</v>
      </c>
      <c r="M180" s="4" t="str">
        <f t="shared" si="17"/>
        <v>rg:[]</v>
      </c>
      <c r="N180" t="s">
        <v>6517</v>
      </c>
      <c r="O180" t="s">
        <v>6517</v>
      </c>
      <c r="P180" t="s">
        <v>6517</v>
      </c>
    </row>
    <row r="181" spans="1:16" x14ac:dyDescent="0.3">
      <c r="A181" t="s">
        <v>5388</v>
      </c>
      <c r="B181">
        <f ca="1">INDEX(LocalAreas.csv!G:G,RANDBETWEEN(2,88))</f>
        <v>200018</v>
      </c>
      <c r="C181" t="str">
        <f t="shared" ca="1" si="12"/>
        <v>rg{'id': '200018'}'</v>
      </c>
      <c r="D181" s="1" t="str">
        <f ca="1">MID(Names!G56,FIND(" ",Names!G56)+1,LEN(Names!G56)-FIND(" ", Names!G56))&amp;" "&amp;INDEX(PROJ_EXT_Name,RANDBETWEEN(2,12))</f>
        <v>Burdett Avenue Bridge</v>
      </c>
      <c r="E181" s="1" t="s">
        <v>6925</v>
      </c>
      <c r="F181">
        <f t="shared" si="13"/>
        <v>40002</v>
      </c>
      <c r="G181">
        <f t="shared" si="14"/>
        <v>500002</v>
      </c>
      <c r="H181" t="s">
        <v>6694</v>
      </c>
      <c r="I181" s="8">
        <f t="shared" si="15"/>
        <v>600002</v>
      </c>
      <c r="J181" t="s">
        <v>6517</v>
      </c>
      <c r="K181" t="str">
        <f>IFERROR(VLOOKUP(E181,Contacts.csv!C:D,2,FALSE),"")</f>
        <v/>
      </c>
      <c r="L181" t="str">
        <f t="shared" si="16"/>
        <v>rg:None</v>
      </c>
      <c r="M181" s="4" t="str">
        <f t="shared" si="17"/>
        <v>rg:[]</v>
      </c>
      <c r="N181" t="s">
        <v>6517</v>
      </c>
      <c r="O181" t="s">
        <v>6517</v>
      </c>
      <c r="P181" t="s">
        <v>6517</v>
      </c>
    </row>
    <row r="182" spans="1:16" x14ac:dyDescent="0.3">
      <c r="A182" t="s">
        <v>5388</v>
      </c>
      <c r="B182">
        <f ca="1">INDEX(LocalAreas.csv!G:G,RANDBETWEEN(2,88))</f>
        <v>200060</v>
      </c>
      <c r="C182" t="str">
        <f t="shared" ca="1" si="12"/>
        <v>rg{'id': '200060'}'</v>
      </c>
      <c r="D182" s="1" t="str">
        <f ca="1">MID(Names!G57,FIND(" ",Names!G57)+1,LEN(Names!G57)-FIND(" ", Names!G57))&amp;" "&amp;INDEX(PROJ_EXT_Name,RANDBETWEEN(2,12))</f>
        <v>Alaska Hwy HOV Lane</v>
      </c>
      <c r="E182" s="1" t="s">
        <v>7047</v>
      </c>
      <c r="F182">
        <f t="shared" si="13"/>
        <v>40003</v>
      </c>
      <c r="G182">
        <f t="shared" si="14"/>
        <v>500003</v>
      </c>
      <c r="H182" t="s">
        <v>6694</v>
      </c>
      <c r="I182" s="8">
        <f t="shared" si="15"/>
        <v>600003</v>
      </c>
      <c r="J182" t="s">
        <v>6517</v>
      </c>
      <c r="K182" t="str">
        <f>IFERROR(VLOOKUP(E182,Contacts.csv!C:D,2,FALSE),"")</f>
        <v/>
      </c>
      <c r="L182" t="str">
        <f t="shared" si="16"/>
        <v>rg:None</v>
      </c>
      <c r="M182" s="4" t="str">
        <f t="shared" si="17"/>
        <v>rg:[]</v>
      </c>
      <c r="N182" t="s">
        <v>6517</v>
      </c>
      <c r="O182" t="s">
        <v>6517</v>
      </c>
      <c r="P182" t="s">
        <v>6517</v>
      </c>
    </row>
    <row r="183" spans="1:16" x14ac:dyDescent="0.3">
      <c r="A183" t="s">
        <v>5388</v>
      </c>
      <c r="B183">
        <f ca="1">INDEX(LocalAreas.csv!G:G,RANDBETWEEN(2,88))</f>
        <v>200027</v>
      </c>
      <c r="C183" t="str">
        <f t="shared" ca="1" si="12"/>
        <v>rg{'id': '200027'}'</v>
      </c>
      <c r="D183" s="1" t="str">
        <f ca="1">MID(Names!G58,FIND(" ",Names!G58)+1,LEN(Names!G58)-FIND(" ", Names!G58))&amp;" "&amp;INDEX(PROJ_EXT_Name,RANDBETWEEN(2,12))</f>
        <v>Burdett Avenue Bridge</v>
      </c>
      <c r="E183" s="1" t="s">
        <v>6908</v>
      </c>
      <c r="F183">
        <f t="shared" si="13"/>
        <v>40004</v>
      </c>
      <c r="G183">
        <f t="shared" si="14"/>
        <v>500004</v>
      </c>
      <c r="H183" t="s">
        <v>6694</v>
      </c>
      <c r="I183" s="8">
        <f t="shared" si="15"/>
        <v>600004</v>
      </c>
      <c r="J183" t="s">
        <v>6517</v>
      </c>
      <c r="K183" t="str">
        <f>IFERROR(VLOOKUP(E183,Contacts.csv!C:D,2,FALSE),"")</f>
        <v/>
      </c>
      <c r="L183" t="str">
        <f t="shared" si="16"/>
        <v>rg:None</v>
      </c>
      <c r="M183" s="4" t="str">
        <f t="shared" si="17"/>
        <v>rg:[]</v>
      </c>
      <c r="N183" t="s">
        <v>6517</v>
      </c>
      <c r="O183" t="s">
        <v>6517</v>
      </c>
      <c r="P183" t="s">
        <v>6517</v>
      </c>
    </row>
    <row r="184" spans="1:16" x14ac:dyDescent="0.3">
      <c r="A184" t="s">
        <v>5388</v>
      </c>
      <c r="B184">
        <f ca="1">INDEX(LocalAreas.csv!G:G,RANDBETWEEN(2,88))</f>
        <v>200016</v>
      </c>
      <c r="C184" t="str">
        <f t="shared" ca="1" si="12"/>
        <v>rg{'id': '200016'}'</v>
      </c>
      <c r="D184" s="1" t="str">
        <f ca="1">MID(Names!G59,FIND(" ",Names!G59)+1,LEN(Names!G59)-FIND(" ", Names!G59))&amp;" "&amp;INDEX(PROJ_EXT_Name,RANDBETWEEN(2,12))</f>
        <v>James Street Express Lane</v>
      </c>
      <c r="E184" s="1" t="s">
        <v>6945</v>
      </c>
      <c r="F184">
        <f t="shared" si="13"/>
        <v>40005</v>
      </c>
      <c r="G184">
        <f t="shared" si="14"/>
        <v>500005</v>
      </c>
      <c r="H184" t="s">
        <v>6694</v>
      </c>
      <c r="I184" s="8">
        <f t="shared" si="15"/>
        <v>600005</v>
      </c>
      <c r="J184" t="s">
        <v>6517</v>
      </c>
      <c r="K184" t="str">
        <f>IFERROR(VLOOKUP(E184,Contacts.csv!C:D,2,FALSE),"")</f>
        <v/>
      </c>
      <c r="L184" t="str">
        <f t="shared" si="16"/>
        <v>rg:None</v>
      </c>
      <c r="M184" s="4" t="str">
        <f t="shared" si="17"/>
        <v>rg:[]</v>
      </c>
      <c r="N184" t="s">
        <v>6517</v>
      </c>
      <c r="O184" t="s">
        <v>6517</v>
      </c>
      <c r="P184" t="s">
        <v>6517</v>
      </c>
    </row>
    <row r="185" spans="1:16" x14ac:dyDescent="0.3">
      <c r="A185" t="s">
        <v>5388</v>
      </c>
      <c r="B185">
        <f ca="1">INDEX(LocalAreas.csv!G:G,RANDBETWEEN(2,88))</f>
        <v>200057</v>
      </c>
      <c r="C185" t="str">
        <f t="shared" ca="1" si="12"/>
        <v>rg{'id': '200057'}'</v>
      </c>
      <c r="D185" s="1" t="str">
        <f ca="1">MID(Names!G60,FIND(" ",Names!G60)+1,LEN(Names!G60)-FIND(" ", Names!G60))&amp;" "&amp;INDEX(PROJ_EXT_Name,RANDBETWEEN(2,12))</f>
        <v>Tolmie St Extension</v>
      </c>
      <c r="E185" s="1" t="s">
        <v>7073</v>
      </c>
      <c r="F185">
        <f t="shared" si="13"/>
        <v>40006</v>
      </c>
      <c r="G185">
        <f t="shared" si="14"/>
        <v>500006</v>
      </c>
      <c r="H185" t="s">
        <v>6694</v>
      </c>
      <c r="I185" s="8">
        <f t="shared" si="15"/>
        <v>600006</v>
      </c>
      <c r="J185" t="s">
        <v>6517</v>
      </c>
      <c r="K185" t="str">
        <f>IFERROR(VLOOKUP(E185,Contacts.csv!C:D,2,FALSE),"")</f>
        <v/>
      </c>
      <c r="L185" t="str">
        <f t="shared" si="16"/>
        <v>rg:None</v>
      </c>
      <c r="M185" s="4" t="str">
        <f t="shared" si="17"/>
        <v>rg:[]</v>
      </c>
      <c r="N185" t="s">
        <v>6517</v>
      </c>
      <c r="O185" t="s">
        <v>6517</v>
      </c>
      <c r="P185" t="s">
        <v>6517</v>
      </c>
    </row>
    <row r="186" spans="1:16" x14ac:dyDescent="0.3">
      <c r="A186" t="s">
        <v>5388</v>
      </c>
      <c r="B186">
        <f ca="1">INDEX(LocalAreas.csv!G:G,RANDBETWEEN(2,88))</f>
        <v>200024</v>
      </c>
      <c r="C186" t="str">
        <f t="shared" ref="C186:C244" ca="1" si="18">"rg{'id': '"&amp;B186&amp;"'}'"</f>
        <v>rg{'id': '200024'}'</v>
      </c>
      <c r="D186" s="1" t="str">
        <f ca="1">MID(Names!G61,FIND(" ",Names!G61)+1,LEN(Names!G61)-FIND(" ", Names!G61))&amp;" "&amp;INDEX(PROJ_EXT_Name,RANDBETWEEN(2,12))</f>
        <v>Quayside Dr Overpass</v>
      </c>
      <c r="E186" s="1" t="s">
        <v>7074</v>
      </c>
      <c r="F186">
        <f t="shared" ref="F186:F244" si="19">IF(ISNUMBER(F185),F185+1,40000)</f>
        <v>40007</v>
      </c>
      <c r="G186">
        <f t="shared" ref="G186:G244" si="20">IF(ISNUMBER(G185),G185+1,500000)</f>
        <v>500007</v>
      </c>
      <c r="H186" t="s">
        <v>6694</v>
      </c>
      <c r="I186" s="8">
        <f t="shared" ref="I186:I244" si="21">IF(ISNUMBER(I185),I185+1,600000)</f>
        <v>600007</v>
      </c>
      <c r="J186" t="s">
        <v>6517</v>
      </c>
      <c r="K186" t="str">
        <f>IFERROR(VLOOKUP(E186,Contacts.csv!C:D,2,FALSE),"")</f>
        <v/>
      </c>
      <c r="L186" t="str">
        <f t="shared" ref="L186:L244" si="22">IF(1=1,"rg:None", IF(ISNUMBER(K186),"rg:{'id':'" &amp; K186 &amp; "'}","rg:None"))</f>
        <v>rg:None</v>
      </c>
      <c r="M186" s="4" t="str">
        <f t="shared" ref="M186:M244" si="23">IF(1=1,"rg:[]", IF(ISNUMBER(K186),"rg:[{'id':'" &amp; K186 &amp; "'}]","rg:[]"))</f>
        <v>rg:[]</v>
      </c>
      <c r="N186" t="s">
        <v>6517</v>
      </c>
      <c r="O186" t="s">
        <v>6517</v>
      </c>
      <c r="P186" t="s">
        <v>6517</v>
      </c>
    </row>
    <row r="187" spans="1:16" x14ac:dyDescent="0.3">
      <c r="A187" t="s">
        <v>5388</v>
      </c>
      <c r="B187">
        <f ca="1">INDEX(LocalAreas.csv!G:G,RANDBETWEEN(2,88))</f>
        <v>200069</v>
      </c>
      <c r="C187" t="str">
        <f t="shared" ca="1" si="18"/>
        <v>rg{'id': '200069'}'</v>
      </c>
      <c r="D187" s="1" t="str">
        <f ca="1">MID(Names!G63,FIND(" ",Names!G63)+1,LEN(Names!G63)-FIND(" ", Names!G63))&amp;" "&amp;INDEX(PROJ_EXT_Name,RANDBETWEEN(2,12))</f>
        <v>Alaska Hwy Bridge</v>
      </c>
      <c r="E187" s="1" t="s">
        <v>7047</v>
      </c>
      <c r="F187">
        <f>IF(ISNUMBER(#REF!),#REF!+1,40000)</f>
        <v>40000</v>
      </c>
      <c r="G187">
        <f>IF(ISNUMBER(#REF!),#REF!+1,500000)</f>
        <v>500000</v>
      </c>
      <c r="H187" t="s">
        <v>6694</v>
      </c>
      <c r="I187" s="8">
        <f>IF(ISNUMBER(#REF!),#REF!+1,600000)</f>
        <v>600000</v>
      </c>
      <c r="J187" t="s">
        <v>6517</v>
      </c>
      <c r="K187" t="str">
        <f>IFERROR(VLOOKUP(E187,Contacts.csv!C:D,2,FALSE),"")</f>
        <v/>
      </c>
      <c r="L187" t="str">
        <f t="shared" si="22"/>
        <v>rg:None</v>
      </c>
      <c r="M187" s="4" t="str">
        <f t="shared" si="23"/>
        <v>rg:[]</v>
      </c>
      <c r="N187" t="s">
        <v>6517</v>
      </c>
      <c r="O187" t="s">
        <v>6517</v>
      </c>
      <c r="P187" t="s">
        <v>6517</v>
      </c>
    </row>
    <row r="188" spans="1:16" x14ac:dyDescent="0.3">
      <c r="A188" t="s">
        <v>5388</v>
      </c>
      <c r="B188">
        <f ca="1">INDEX(LocalAreas.csv!G:G,RANDBETWEEN(2,88))</f>
        <v>200018</v>
      </c>
      <c r="C188" t="str">
        <f t="shared" ca="1" si="18"/>
        <v>rg{'id': '200018'}'</v>
      </c>
      <c r="D188" s="1" t="str">
        <f ca="1">MID(Names!G64,FIND(" ",Names!G64)+1,LEN(Names!G64)-FIND(" ", Names!G64))&amp;" "&amp;INDEX(PROJ_EXT_Name,RANDBETWEEN(2,12))</f>
        <v>Sixth Street Building</v>
      </c>
      <c r="E188" s="1" t="s">
        <v>7075</v>
      </c>
      <c r="F188">
        <f t="shared" si="19"/>
        <v>40001</v>
      </c>
      <c r="G188">
        <f t="shared" si="20"/>
        <v>500001</v>
      </c>
      <c r="H188" t="s">
        <v>6694</v>
      </c>
      <c r="I188" s="8">
        <f t="shared" si="21"/>
        <v>600001</v>
      </c>
      <c r="J188" t="s">
        <v>6517</v>
      </c>
      <c r="K188" t="str">
        <f>IFERROR(VLOOKUP(E188,Contacts.csv!C:D,2,FALSE),"")</f>
        <v/>
      </c>
      <c r="L188" t="str">
        <f t="shared" si="22"/>
        <v>rg:None</v>
      </c>
      <c r="M188" s="4" t="str">
        <f t="shared" si="23"/>
        <v>rg:[]</v>
      </c>
      <c r="N188" t="s">
        <v>6517</v>
      </c>
      <c r="O188" t="s">
        <v>6517</v>
      </c>
      <c r="P188" t="s">
        <v>6517</v>
      </c>
    </row>
    <row r="189" spans="1:16" x14ac:dyDescent="0.3">
      <c r="A189" t="s">
        <v>5388</v>
      </c>
      <c r="B189">
        <f ca="1">INDEX(LocalAreas.csv!G:G,RANDBETWEEN(2,88))</f>
        <v>200032</v>
      </c>
      <c r="C189" t="str">
        <f t="shared" ca="1" si="18"/>
        <v>rg{'id': '200032'}'</v>
      </c>
      <c r="D189" s="1" t="str">
        <f ca="1">MID(Names!G65,FIND(" ",Names!G65)+1,LEN(Names!G65)-FIND(" ", Names!G65))&amp;" "&amp;INDEX(PROJ_EXT_Name,RANDBETWEEN(2,12))</f>
        <v>King George Hwy Cloverleaf</v>
      </c>
      <c r="E189" s="1" t="s">
        <v>7050</v>
      </c>
      <c r="F189">
        <f t="shared" si="19"/>
        <v>40002</v>
      </c>
      <c r="G189">
        <f t="shared" si="20"/>
        <v>500002</v>
      </c>
      <c r="H189" t="s">
        <v>6694</v>
      </c>
      <c r="I189" s="8">
        <f t="shared" si="21"/>
        <v>600002</v>
      </c>
      <c r="J189" t="s">
        <v>6517</v>
      </c>
      <c r="K189" t="str">
        <f>IFERROR(VLOOKUP(E189,Contacts.csv!C:D,2,FALSE),"")</f>
        <v/>
      </c>
      <c r="L189" t="str">
        <f t="shared" si="22"/>
        <v>rg:None</v>
      </c>
      <c r="M189" s="4" t="str">
        <f t="shared" si="23"/>
        <v>rg:[]</v>
      </c>
      <c r="N189" t="s">
        <v>6517</v>
      </c>
      <c r="O189" t="s">
        <v>6517</v>
      </c>
      <c r="P189" t="s">
        <v>6517</v>
      </c>
    </row>
    <row r="190" spans="1:16" x14ac:dyDescent="0.3">
      <c r="A190" t="s">
        <v>5388</v>
      </c>
      <c r="B190">
        <f ca="1">INDEX(LocalAreas.csv!G:G,RANDBETWEEN(2,88))</f>
        <v>200060</v>
      </c>
      <c r="C190" t="str">
        <f t="shared" ca="1" si="18"/>
        <v>rg{'id': '200060'}'</v>
      </c>
      <c r="D190" s="1" t="str">
        <f ca="1">MID(Names!G66,FIND(" ",Names!G66)+1,LEN(Names!G66)-FIND(" ", Names!G66))&amp;" "&amp;INDEX(PROJ_EXT_Name,RANDBETWEEN(2,12))</f>
        <v>Burdett Avenue Upgrade</v>
      </c>
      <c r="E190" s="1" t="s">
        <v>6908</v>
      </c>
      <c r="F190">
        <f t="shared" si="19"/>
        <v>40003</v>
      </c>
      <c r="G190">
        <f t="shared" si="20"/>
        <v>500003</v>
      </c>
      <c r="H190" t="s">
        <v>6694</v>
      </c>
      <c r="I190" s="8">
        <f t="shared" si="21"/>
        <v>600003</v>
      </c>
      <c r="J190" t="s">
        <v>6517</v>
      </c>
      <c r="K190" t="str">
        <f>IFERROR(VLOOKUP(E190,Contacts.csv!C:D,2,FALSE),"")</f>
        <v/>
      </c>
      <c r="L190" t="str">
        <f t="shared" si="22"/>
        <v>rg:None</v>
      </c>
      <c r="M190" s="4" t="str">
        <f t="shared" si="23"/>
        <v>rg:[]</v>
      </c>
      <c r="N190" t="s">
        <v>6517</v>
      </c>
      <c r="O190" t="s">
        <v>6517</v>
      </c>
      <c r="P190" t="s">
        <v>6517</v>
      </c>
    </row>
    <row r="191" spans="1:16" x14ac:dyDescent="0.3">
      <c r="A191" t="s">
        <v>5388</v>
      </c>
      <c r="B191">
        <f ca="1">INDEX(LocalAreas.csv!G:G,RANDBETWEEN(2,88))</f>
        <v>200006</v>
      </c>
      <c r="C191" t="str">
        <f t="shared" ca="1" si="18"/>
        <v>rg{'id': '200006'}'</v>
      </c>
      <c r="D191" s="1" t="str">
        <f ca="1">MID(Names!G67,FIND(" ",Names!G67)+1,LEN(Names!G67)-FIND(" ", Names!G67))&amp;" "&amp;INDEX(PROJ_EXT_Name,RANDBETWEEN(2,12))</f>
        <v>Stum Lake Road HOV Lane</v>
      </c>
      <c r="E191" s="1" t="s">
        <v>7026</v>
      </c>
      <c r="F191">
        <f t="shared" si="19"/>
        <v>40004</v>
      </c>
      <c r="G191">
        <f t="shared" si="20"/>
        <v>500004</v>
      </c>
      <c r="H191" t="s">
        <v>6694</v>
      </c>
      <c r="I191" s="8">
        <f t="shared" si="21"/>
        <v>600004</v>
      </c>
      <c r="J191" t="s">
        <v>6517</v>
      </c>
      <c r="K191" t="str">
        <f>IFERROR(VLOOKUP(E191,Contacts.csv!C:D,2,FALSE),"")</f>
        <v/>
      </c>
      <c r="L191" t="str">
        <f t="shared" si="22"/>
        <v>rg:None</v>
      </c>
      <c r="M191" s="4" t="str">
        <f t="shared" si="23"/>
        <v>rg:[]</v>
      </c>
      <c r="N191" t="s">
        <v>6517</v>
      </c>
      <c r="O191" t="s">
        <v>6517</v>
      </c>
      <c r="P191" t="s">
        <v>6517</v>
      </c>
    </row>
    <row r="192" spans="1:16" x14ac:dyDescent="0.3">
      <c r="A192" t="s">
        <v>5388</v>
      </c>
      <c r="B192">
        <f ca="1">INDEX(LocalAreas.csv!G:G,RANDBETWEEN(2,88))</f>
        <v>200015</v>
      </c>
      <c r="C192" t="str">
        <f t="shared" ca="1" si="18"/>
        <v>rg{'id': '200015'}'</v>
      </c>
      <c r="D192" s="1" t="str">
        <f ca="1">MID(Names!G68,FIND(" ",Names!G68)+1,LEN(Names!G68)-FIND(" ", Names!G68))&amp;" "&amp;INDEX(PROJ_EXT_Name,RANDBETWEEN(2,12))</f>
        <v>James Street Express Lane</v>
      </c>
      <c r="E192" s="1" t="s">
        <v>7076</v>
      </c>
      <c r="F192">
        <f t="shared" si="19"/>
        <v>40005</v>
      </c>
      <c r="G192">
        <f t="shared" si="20"/>
        <v>500005</v>
      </c>
      <c r="H192" t="s">
        <v>6694</v>
      </c>
      <c r="I192" s="8">
        <f t="shared" si="21"/>
        <v>600005</v>
      </c>
      <c r="J192" t="s">
        <v>6517</v>
      </c>
      <c r="K192" t="str">
        <f>IFERROR(VLOOKUP(E192,Contacts.csv!C:D,2,FALSE),"")</f>
        <v/>
      </c>
      <c r="L192" t="str">
        <f t="shared" si="22"/>
        <v>rg:None</v>
      </c>
      <c r="M192" s="4" t="str">
        <f t="shared" si="23"/>
        <v>rg:[]</v>
      </c>
      <c r="N192" t="s">
        <v>6517</v>
      </c>
      <c r="O192" t="s">
        <v>6517</v>
      </c>
      <c r="P192" t="s">
        <v>6517</v>
      </c>
    </row>
    <row r="193" spans="1:16" x14ac:dyDescent="0.3">
      <c r="A193" t="s">
        <v>5388</v>
      </c>
      <c r="B193">
        <f ca="1">INDEX(LocalAreas.csv!G:G,RANDBETWEEN(2,88))</f>
        <v>200026</v>
      </c>
      <c r="C193" t="str">
        <f t="shared" ca="1" si="18"/>
        <v>rg{'id': '200026'}'</v>
      </c>
      <c r="D193" s="1" t="str">
        <f ca="1">MID(Names!G69,FIND(" ",Names!G69)+1,LEN(Names!G69)-FIND(" ", Names!G69))&amp;" "&amp;INDEX(PROJ_EXT_Name,RANDBETWEEN(2,12))</f>
        <v>Tolmie St Cloverleaf</v>
      </c>
      <c r="E193" s="1" t="s">
        <v>7077</v>
      </c>
      <c r="F193">
        <f t="shared" si="19"/>
        <v>40006</v>
      </c>
      <c r="G193">
        <f t="shared" si="20"/>
        <v>500006</v>
      </c>
      <c r="H193" t="s">
        <v>6694</v>
      </c>
      <c r="I193" s="8">
        <f t="shared" si="21"/>
        <v>600006</v>
      </c>
      <c r="J193" t="s">
        <v>6517</v>
      </c>
      <c r="K193" t="str">
        <f>IFERROR(VLOOKUP(E193,Contacts.csv!C:D,2,FALSE),"")</f>
        <v/>
      </c>
      <c r="L193" t="str">
        <f t="shared" si="22"/>
        <v>rg:None</v>
      </c>
      <c r="M193" s="4" t="str">
        <f t="shared" si="23"/>
        <v>rg:[]</v>
      </c>
      <c r="N193" t="s">
        <v>6517</v>
      </c>
      <c r="O193" t="s">
        <v>6517</v>
      </c>
      <c r="P193" t="s">
        <v>6517</v>
      </c>
    </row>
    <row r="194" spans="1:16" x14ac:dyDescent="0.3">
      <c r="A194" t="s">
        <v>5388</v>
      </c>
      <c r="B194">
        <f ca="1">INDEX(LocalAreas.csv!G:G,RANDBETWEEN(2,88))</f>
        <v>200045</v>
      </c>
      <c r="C194" t="str">
        <f t="shared" ca="1" si="18"/>
        <v>rg{'id': '200045'}'</v>
      </c>
      <c r="D194" s="1" t="str">
        <f ca="1">MID(Names!G70,FIND(" ",Names!G70)+1,LEN(Names!G70)-FIND(" ", Names!G70))&amp;" "&amp;INDEX(PROJ_EXT_Name,RANDBETWEEN(2,12))</f>
        <v>Blanshard Bridge</v>
      </c>
      <c r="E194" s="1" t="s">
        <v>7013</v>
      </c>
      <c r="F194">
        <f t="shared" si="19"/>
        <v>40007</v>
      </c>
      <c r="G194">
        <f t="shared" si="20"/>
        <v>500007</v>
      </c>
      <c r="H194" t="s">
        <v>6694</v>
      </c>
      <c r="I194" s="8">
        <f t="shared" si="21"/>
        <v>600007</v>
      </c>
      <c r="J194" t="s">
        <v>6517</v>
      </c>
      <c r="K194" t="str">
        <f>IFERROR(VLOOKUP(E194,Contacts.csv!C:D,2,FALSE),"")</f>
        <v/>
      </c>
      <c r="L194" t="str">
        <f t="shared" si="22"/>
        <v>rg:None</v>
      </c>
      <c r="M194" s="4" t="str">
        <f t="shared" si="23"/>
        <v>rg:[]</v>
      </c>
      <c r="N194" t="s">
        <v>6517</v>
      </c>
      <c r="O194" t="s">
        <v>6517</v>
      </c>
      <c r="P194" t="s">
        <v>6517</v>
      </c>
    </row>
    <row r="195" spans="1:16" x14ac:dyDescent="0.3">
      <c r="A195" t="s">
        <v>5388</v>
      </c>
      <c r="B195">
        <f ca="1">INDEX(LocalAreas.csv!G:G,RANDBETWEEN(2,88))</f>
        <v>200023</v>
      </c>
      <c r="C195" t="str">
        <f t="shared" ca="1" si="18"/>
        <v>rg{'id': '200023'}'</v>
      </c>
      <c r="D195" s="1" t="str">
        <f ca="1">MID(Names!G71,FIND(" ",Names!G71)+1,LEN(Names!G71)-FIND(" ", Names!G71))&amp;" "&amp;INDEX(PROJ_EXT_Name,RANDBETWEEN(2,12))</f>
        <v>Glover Road Extension</v>
      </c>
      <c r="E195" s="1" t="s">
        <v>6932</v>
      </c>
      <c r="F195">
        <f t="shared" si="19"/>
        <v>40008</v>
      </c>
      <c r="G195">
        <f t="shared" si="20"/>
        <v>500008</v>
      </c>
      <c r="H195" t="s">
        <v>6694</v>
      </c>
      <c r="I195" s="8">
        <f t="shared" si="21"/>
        <v>600008</v>
      </c>
      <c r="J195" t="s">
        <v>6517</v>
      </c>
      <c r="K195" t="str">
        <f>IFERROR(VLOOKUP(E195,Contacts.csv!C:D,2,FALSE),"")</f>
        <v/>
      </c>
      <c r="L195" t="str">
        <f t="shared" si="22"/>
        <v>rg:None</v>
      </c>
      <c r="M195" s="4" t="str">
        <f t="shared" si="23"/>
        <v>rg:[]</v>
      </c>
      <c r="N195" t="s">
        <v>6517</v>
      </c>
      <c r="O195" t="s">
        <v>6517</v>
      </c>
      <c r="P195" t="s">
        <v>6517</v>
      </c>
    </row>
    <row r="196" spans="1:16" x14ac:dyDescent="0.3">
      <c r="A196" t="s">
        <v>5388</v>
      </c>
      <c r="B196">
        <f ca="1">INDEX(LocalAreas.csv!G:G,RANDBETWEEN(2,88))</f>
        <v>200051</v>
      </c>
      <c r="C196" t="str">
        <f t="shared" ca="1" si="18"/>
        <v>rg{'id': '200051'}'</v>
      </c>
      <c r="D196" s="1" t="str">
        <f ca="1">MID(Names!G72,FIND(" ",Names!G72)+1,LEN(Names!G72)-FIND(" ", Names!G72))&amp;" "&amp;INDEX(PROJ_EXT_Name,RANDBETWEEN(2,12))</f>
        <v>Coldstream Avenue Express Lane</v>
      </c>
      <c r="E196" s="1" t="s">
        <v>7078</v>
      </c>
      <c r="F196">
        <f t="shared" si="19"/>
        <v>40009</v>
      </c>
      <c r="G196">
        <f t="shared" si="20"/>
        <v>500009</v>
      </c>
      <c r="H196" t="s">
        <v>6694</v>
      </c>
      <c r="I196" s="8">
        <f t="shared" si="21"/>
        <v>600009</v>
      </c>
      <c r="J196" t="s">
        <v>6517</v>
      </c>
      <c r="K196" t="str">
        <f>IFERROR(VLOOKUP(E196,Contacts.csv!C:D,2,FALSE),"")</f>
        <v/>
      </c>
      <c r="L196" t="str">
        <f t="shared" si="22"/>
        <v>rg:None</v>
      </c>
      <c r="M196" s="4" t="str">
        <f t="shared" si="23"/>
        <v>rg:[]</v>
      </c>
      <c r="N196" t="s">
        <v>6517</v>
      </c>
      <c r="O196" t="s">
        <v>6517</v>
      </c>
      <c r="P196" t="s">
        <v>6517</v>
      </c>
    </row>
    <row r="197" spans="1:16" x14ac:dyDescent="0.3">
      <c r="A197" t="s">
        <v>5388</v>
      </c>
      <c r="B197">
        <f ca="1">INDEX(LocalAreas.csv!G:G,RANDBETWEEN(2,88))</f>
        <v>200080</v>
      </c>
      <c r="C197" t="str">
        <f t="shared" ca="1" si="18"/>
        <v>rg{'id': '200080'}'</v>
      </c>
      <c r="D197" s="1" t="str">
        <f ca="1">MID(Names!G73,FIND(" ",Names!G73)+1,LEN(Names!G73)-FIND(" ", Names!G73))&amp;" "&amp;INDEX(PROJ_EXT_Name,RANDBETWEEN(2,12))</f>
        <v>Lake City Way Bypass</v>
      </c>
      <c r="E197" s="1" t="s">
        <v>7079</v>
      </c>
      <c r="F197">
        <f t="shared" si="19"/>
        <v>40010</v>
      </c>
      <c r="G197">
        <f t="shared" si="20"/>
        <v>500010</v>
      </c>
      <c r="H197" t="s">
        <v>6694</v>
      </c>
      <c r="I197" s="8">
        <f t="shared" si="21"/>
        <v>600010</v>
      </c>
      <c r="J197" t="s">
        <v>6517</v>
      </c>
      <c r="K197" t="str">
        <f>IFERROR(VLOOKUP(E197,Contacts.csv!C:D,2,FALSE),"")</f>
        <v/>
      </c>
      <c r="L197" t="str">
        <f t="shared" si="22"/>
        <v>rg:None</v>
      </c>
      <c r="M197" s="4" t="str">
        <f t="shared" si="23"/>
        <v>rg:[]</v>
      </c>
      <c r="N197" t="s">
        <v>6517</v>
      </c>
      <c r="O197" t="s">
        <v>6517</v>
      </c>
      <c r="P197" t="s">
        <v>6517</v>
      </c>
    </row>
    <row r="198" spans="1:16" x14ac:dyDescent="0.3">
      <c r="A198" t="s">
        <v>5388</v>
      </c>
      <c r="B198">
        <f ca="1">INDEX(LocalAreas.csv!G:G,RANDBETWEEN(2,88))</f>
        <v>200033</v>
      </c>
      <c r="C198" t="str">
        <f t="shared" ca="1" si="18"/>
        <v>rg{'id': '200033'}'</v>
      </c>
      <c r="D198" s="1" t="str">
        <f ca="1">MID(Names!G74,FIND(" ",Names!G74)+1,LEN(Names!G74)-FIND(" ", Names!G74))&amp;" "&amp;INDEX(PROJ_EXT_Name,RANDBETWEEN(2,12))</f>
        <v>Roger Street Cloverleaf</v>
      </c>
      <c r="E198" s="1" t="s">
        <v>6912</v>
      </c>
      <c r="F198">
        <f t="shared" si="19"/>
        <v>40011</v>
      </c>
      <c r="G198">
        <f t="shared" si="20"/>
        <v>500011</v>
      </c>
      <c r="H198" t="s">
        <v>6694</v>
      </c>
      <c r="I198" s="8">
        <f t="shared" si="21"/>
        <v>600011</v>
      </c>
      <c r="J198" t="s">
        <v>6517</v>
      </c>
      <c r="K198" t="str">
        <f>IFERROR(VLOOKUP(E198,Contacts.csv!C:D,2,FALSE),"")</f>
        <v/>
      </c>
      <c r="L198" t="str">
        <f t="shared" si="22"/>
        <v>rg:None</v>
      </c>
      <c r="M198" s="4" t="str">
        <f t="shared" si="23"/>
        <v>rg:[]</v>
      </c>
      <c r="N198" t="s">
        <v>6517</v>
      </c>
      <c r="O198" t="s">
        <v>6517</v>
      </c>
      <c r="P198" t="s">
        <v>6517</v>
      </c>
    </row>
    <row r="199" spans="1:16" x14ac:dyDescent="0.3">
      <c r="A199" t="s">
        <v>5388</v>
      </c>
      <c r="B199">
        <f ca="1">INDEX(LocalAreas.csv!G:G,RANDBETWEEN(2,88))</f>
        <v>200027</v>
      </c>
      <c r="C199" t="str">
        <f t="shared" ca="1" si="18"/>
        <v>rg{'id': '200027'}'</v>
      </c>
      <c r="D199" s="1" t="str">
        <f ca="1">MID(Names!G75,FIND(" ",Names!G75)+1,LEN(Names!G75)-FIND(" ", Names!G75))&amp;" "&amp;INDEX(PROJ_EXT_Name,RANDBETWEEN(2,12))</f>
        <v>Essendene Avenue Building</v>
      </c>
      <c r="E199" s="1" t="s">
        <v>7080</v>
      </c>
      <c r="F199">
        <f t="shared" si="19"/>
        <v>40012</v>
      </c>
      <c r="G199">
        <f t="shared" si="20"/>
        <v>500012</v>
      </c>
      <c r="H199" t="s">
        <v>6694</v>
      </c>
      <c r="I199" s="8">
        <f t="shared" si="21"/>
        <v>600012</v>
      </c>
      <c r="J199" t="s">
        <v>6517</v>
      </c>
      <c r="K199" t="str">
        <f>IFERROR(VLOOKUP(E199,Contacts.csv!C:D,2,FALSE),"")</f>
        <v/>
      </c>
      <c r="L199" t="str">
        <f t="shared" si="22"/>
        <v>rg:None</v>
      </c>
      <c r="M199" s="4" t="str">
        <f t="shared" si="23"/>
        <v>rg:[]</v>
      </c>
      <c r="N199" t="s">
        <v>6517</v>
      </c>
      <c r="O199" t="s">
        <v>6517</v>
      </c>
      <c r="P199" t="s">
        <v>6517</v>
      </c>
    </row>
    <row r="200" spans="1:16" x14ac:dyDescent="0.3">
      <c r="A200" t="s">
        <v>5388</v>
      </c>
      <c r="B200">
        <f ca="1">INDEX(LocalAreas.csv!G:G,RANDBETWEEN(2,88))</f>
        <v>200063</v>
      </c>
      <c r="C200" t="str">
        <f t="shared" ca="1" si="18"/>
        <v>rg{'id': '200063'}'</v>
      </c>
      <c r="D200" s="1" t="str">
        <f ca="1">MID(Names!G76,FIND(" ",Names!G76)+1,LEN(Names!G76)-FIND(" ", Names!G76))&amp;" "&amp;INDEX(PROJ_EXT_Name,RANDBETWEEN(2,12))</f>
        <v>Blanshard Cloverleaf</v>
      </c>
      <c r="E200" s="1" t="s">
        <v>6951</v>
      </c>
      <c r="F200">
        <f t="shared" si="19"/>
        <v>40013</v>
      </c>
      <c r="G200">
        <f t="shared" si="20"/>
        <v>500013</v>
      </c>
      <c r="H200" t="s">
        <v>6694</v>
      </c>
      <c r="I200" s="8">
        <f t="shared" si="21"/>
        <v>600013</v>
      </c>
      <c r="J200" t="s">
        <v>6517</v>
      </c>
      <c r="K200" t="str">
        <f>IFERROR(VLOOKUP(E200,Contacts.csv!C:D,2,FALSE),"")</f>
        <v/>
      </c>
      <c r="L200" t="str">
        <f t="shared" si="22"/>
        <v>rg:None</v>
      </c>
      <c r="M200" s="4" t="str">
        <f t="shared" si="23"/>
        <v>rg:[]</v>
      </c>
      <c r="N200" t="s">
        <v>6517</v>
      </c>
      <c r="O200" t="s">
        <v>6517</v>
      </c>
      <c r="P200" t="s">
        <v>6517</v>
      </c>
    </row>
    <row r="201" spans="1:16" x14ac:dyDescent="0.3">
      <c r="A201" t="s">
        <v>5388</v>
      </c>
      <c r="B201">
        <f ca="1">INDEX(LocalAreas.csv!G:G,RANDBETWEEN(2,88))</f>
        <v>200019</v>
      </c>
      <c r="C201" t="str">
        <f t="shared" ca="1" si="18"/>
        <v>rg{'id': '200019'}'</v>
      </c>
      <c r="D201" s="1" t="str">
        <f ca="1">MID(Names!G77,FIND(" ",Names!G77)+1,LEN(Names!G77)-FIND(" ", Names!G77))&amp;" "&amp;INDEX(PROJ_EXT_Name,RANDBETWEEN(2,12))</f>
        <v>Wallace Street Bypass</v>
      </c>
      <c r="E201" s="1" t="s">
        <v>6943</v>
      </c>
      <c r="F201">
        <f t="shared" si="19"/>
        <v>40014</v>
      </c>
      <c r="G201">
        <f t="shared" si="20"/>
        <v>500014</v>
      </c>
      <c r="H201" t="s">
        <v>6694</v>
      </c>
      <c r="I201" s="8">
        <f t="shared" si="21"/>
        <v>600014</v>
      </c>
      <c r="J201" t="s">
        <v>6517</v>
      </c>
      <c r="K201" t="str">
        <f>IFERROR(VLOOKUP(E201,Contacts.csv!C:D,2,FALSE),"")</f>
        <v/>
      </c>
      <c r="L201" t="str">
        <f t="shared" si="22"/>
        <v>rg:None</v>
      </c>
      <c r="M201" s="4" t="str">
        <f t="shared" si="23"/>
        <v>rg:[]</v>
      </c>
      <c r="N201" t="s">
        <v>6517</v>
      </c>
      <c r="O201" t="s">
        <v>6517</v>
      </c>
      <c r="P201" t="s">
        <v>6517</v>
      </c>
    </row>
    <row r="202" spans="1:16" x14ac:dyDescent="0.3">
      <c r="A202" t="s">
        <v>5388</v>
      </c>
      <c r="B202">
        <f ca="1">INDEX(LocalAreas.csv!G:G,RANDBETWEEN(2,88))</f>
        <v>200068</v>
      </c>
      <c r="C202" t="str">
        <f t="shared" ca="1" si="18"/>
        <v>rg{'id': '200068'}'</v>
      </c>
      <c r="D202" s="1" t="str">
        <f ca="1">MID(Names!G78,FIND(" ",Names!G78)+1,LEN(Names!G78)-FIND(" ", Names!G78))&amp;" "&amp;INDEX(PROJ_EXT_Name,RANDBETWEEN(2,12))</f>
        <v>Glover Road HOV Lane</v>
      </c>
      <c r="E202" s="1" t="s">
        <v>7081</v>
      </c>
      <c r="F202">
        <f t="shared" si="19"/>
        <v>40015</v>
      </c>
      <c r="G202">
        <f t="shared" si="20"/>
        <v>500015</v>
      </c>
      <c r="H202" t="s">
        <v>6694</v>
      </c>
      <c r="I202" s="8">
        <f t="shared" si="21"/>
        <v>600015</v>
      </c>
      <c r="J202" t="s">
        <v>6517</v>
      </c>
      <c r="K202" t="str">
        <f>IFERROR(VLOOKUP(E202,Contacts.csv!C:D,2,FALSE),"")</f>
        <v/>
      </c>
      <c r="L202" t="str">
        <f t="shared" si="22"/>
        <v>rg:None</v>
      </c>
      <c r="M202" s="4" t="str">
        <f t="shared" si="23"/>
        <v>rg:[]</v>
      </c>
      <c r="N202" t="s">
        <v>6517</v>
      </c>
      <c r="O202" t="s">
        <v>6517</v>
      </c>
      <c r="P202" t="s">
        <v>6517</v>
      </c>
    </row>
    <row r="203" spans="1:16" x14ac:dyDescent="0.3">
      <c r="A203" t="s">
        <v>5388</v>
      </c>
      <c r="B203">
        <f ca="1">INDEX(LocalAreas.csv!G:G,RANDBETWEEN(2,88))</f>
        <v>200041</v>
      </c>
      <c r="C203" t="str">
        <f t="shared" ca="1" si="18"/>
        <v>rg{'id': '200041'}'</v>
      </c>
      <c r="D203" s="1" t="str">
        <f ca="1">MID(Names!G80,FIND(" ",Names!G80)+1,LEN(Names!G80)-FIND(" ", Names!G80))&amp;" "&amp;INDEX(PROJ_EXT_Name,RANDBETWEEN(2,12))</f>
        <v>Burdett Avenue Overpass</v>
      </c>
      <c r="E203" s="1" t="s">
        <v>7082</v>
      </c>
      <c r="F203">
        <f>IF(ISNUMBER(#REF!),#REF!+1,40000)</f>
        <v>40000</v>
      </c>
      <c r="G203">
        <f>IF(ISNUMBER(#REF!),#REF!+1,500000)</f>
        <v>500000</v>
      </c>
      <c r="H203" t="s">
        <v>6694</v>
      </c>
      <c r="I203" s="8">
        <f>IF(ISNUMBER(#REF!),#REF!+1,600000)</f>
        <v>600000</v>
      </c>
      <c r="J203" t="s">
        <v>6517</v>
      </c>
      <c r="K203" t="str">
        <f>IFERROR(VLOOKUP(E203,Contacts.csv!C:D,2,FALSE),"")</f>
        <v/>
      </c>
      <c r="L203" t="str">
        <f t="shared" si="22"/>
        <v>rg:None</v>
      </c>
      <c r="M203" s="4" t="str">
        <f t="shared" si="23"/>
        <v>rg:[]</v>
      </c>
      <c r="N203" t="s">
        <v>6517</v>
      </c>
      <c r="O203" t="s">
        <v>6517</v>
      </c>
      <c r="P203" t="s">
        <v>6517</v>
      </c>
    </row>
    <row r="204" spans="1:16" x14ac:dyDescent="0.3">
      <c r="A204" t="s">
        <v>5388</v>
      </c>
      <c r="B204">
        <f ca="1">INDEX(LocalAreas.csv!G:G,RANDBETWEEN(2,88))</f>
        <v>200061</v>
      </c>
      <c r="C204" t="str">
        <f t="shared" ca="1" si="18"/>
        <v>rg{'id': '200061'}'</v>
      </c>
      <c r="D204" s="1" t="str">
        <f ca="1">MID(Names!G81,FIND(" ",Names!G81)+1,LEN(Names!G81)-FIND(" ", Names!G81))&amp;" "&amp;INDEX(PROJ_EXT_Name,RANDBETWEEN(2,12))</f>
        <v>Shaughnessy St Overpass</v>
      </c>
      <c r="E204" s="1" t="s">
        <v>7083</v>
      </c>
      <c r="F204">
        <f t="shared" si="19"/>
        <v>40001</v>
      </c>
      <c r="G204">
        <f t="shared" si="20"/>
        <v>500001</v>
      </c>
      <c r="H204" t="s">
        <v>6694</v>
      </c>
      <c r="I204" s="8">
        <f t="shared" si="21"/>
        <v>600001</v>
      </c>
      <c r="J204" t="s">
        <v>6517</v>
      </c>
      <c r="K204" t="str">
        <f>IFERROR(VLOOKUP(E204,Contacts.csv!C:D,2,FALSE),"")</f>
        <v/>
      </c>
      <c r="L204" t="str">
        <f t="shared" si="22"/>
        <v>rg:None</v>
      </c>
      <c r="M204" s="4" t="str">
        <f t="shared" si="23"/>
        <v>rg:[]</v>
      </c>
      <c r="N204" t="s">
        <v>6517</v>
      </c>
      <c r="O204" t="s">
        <v>6517</v>
      </c>
      <c r="P204" t="s">
        <v>6517</v>
      </c>
    </row>
    <row r="205" spans="1:16" x14ac:dyDescent="0.3">
      <c r="A205" t="s">
        <v>5388</v>
      </c>
      <c r="B205">
        <f ca="1">INDEX(LocalAreas.csv!G:G,RANDBETWEEN(2,88))</f>
        <v>200054</v>
      </c>
      <c r="C205" t="str">
        <f t="shared" ca="1" si="18"/>
        <v>rg{'id': '200054'}'</v>
      </c>
      <c r="D205" s="1" t="str">
        <f ca="1">MID(Names!G82,FIND(" ",Names!G82)+1,LEN(Names!G82)-FIND(" ", Names!G82))&amp;" "&amp;INDEX(PROJ_EXT_Name,RANDBETWEEN(2,12))</f>
        <v>Tchesinkut Lake Rd Bypass</v>
      </c>
      <c r="E205" s="1" t="s">
        <v>7084</v>
      </c>
      <c r="F205">
        <f t="shared" si="19"/>
        <v>40002</v>
      </c>
      <c r="G205">
        <f t="shared" si="20"/>
        <v>500002</v>
      </c>
      <c r="H205" t="s">
        <v>6694</v>
      </c>
      <c r="I205" s="8">
        <f t="shared" si="21"/>
        <v>600002</v>
      </c>
      <c r="J205" t="s">
        <v>6517</v>
      </c>
      <c r="K205" t="str">
        <f>IFERROR(VLOOKUP(E205,Contacts.csv!C:D,2,FALSE),"")</f>
        <v/>
      </c>
      <c r="L205" t="str">
        <f t="shared" si="22"/>
        <v>rg:None</v>
      </c>
      <c r="M205" s="4" t="str">
        <f t="shared" si="23"/>
        <v>rg:[]</v>
      </c>
      <c r="N205" t="s">
        <v>6517</v>
      </c>
      <c r="O205" t="s">
        <v>6517</v>
      </c>
      <c r="P205" t="s">
        <v>6517</v>
      </c>
    </row>
    <row r="206" spans="1:16" x14ac:dyDescent="0.3">
      <c r="A206" t="s">
        <v>5388</v>
      </c>
      <c r="B206">
        <f ca="1">INDEX(LocalAreas.csv!G:G,RANDBETWEEN(2,88))</f>
        <v>200084</v>
      </c>
      <c r="C206" t="str">
        <f t="shared" ca="1" si="18"/>
        <v>rg{'id': '200084'}'</v>
      </c>
      <c r="D206" s="1" t="str">
        <f ca="1">MID(Names!G83,FIND(" ",Names!G83)+1,LEN(Names!G83)-FIND(" ", Names!G83))&amp;" "&amp;INDEX(PROJ_EXT_Name,RANDBETWEEN(2,12))</f>
        <v>Blind Bay Road Cloverleaf</v>
      </c>
      <c r="E206" s="1" t="s">
        <v>6927</v>
      </c>
      <c r="F206">
        <f t="shared" si="19"/>
        <v>40003</v>
      </c>
      <c r="G206">
        <f t="shared" si="20"/>
        <v>500003</v>
      </c>
      <c r="H206" t="s">
        <v>6694</v>
      </c>
      <c r="I206" s="8">
        <f t="shared" si="21"/>
        <v>600003</v>
      </c>
      <c r="J206" t="s">
        <v>6517</v>
      </c>
      <c r="K206" t="str">
        <f>IFERROR(VLOOKUP(E206,Contacts.csv!C:D,2,FALSE),"")</f>
        <v/>
      </c>
      <c r="L206" t="str">
        <f t="shared" si="22"/>
        <v>rg:None</v>
      </c>
      <c r="M206" s="4" t="str">
        <f t="shared" si="23"/>
        <v>rg:[]</v>
      </c>
      <c r="N206" t="s">
        <v>6517</v>
      </c>
      <c r="O206" t="s">
        <v>6517</v>
      </c>
      <c r="P206" t="s">
        <v>6517</v>
      </c>
    </row>
    <row r="207" spans="1:16" x14ac:dyDescent="0.3">
      <c r="A207" t="s">
        <v>5388</v>
      </c>
      <c r="B207">
        <f ca="1">INDEX(LocalAreas.csv!G:G,RANDBETWEEN(2,88))</f>
        <v>200061</v>
      </c>
      <c r="C207" t="str">
        <f t="shared" ca="1" si="18"/>
        <v>rg{'id': '200061'}'</v>
      </c>
      <c r="D207" s="1" t="str">
        <f ca="1">MID(Names!G84,FIND(" ",Names!G84)+1,LEN(Names!G84)-FIND(" ", Names!G84))&amp;" "&amp;INDEX(PROJ_EXT_Name,RANDBETWEEN(2,12))</f>
        <v>Blind Bay Road Cloverleaf</v>
      </c>
      <c r="E207" s="1" t="s">
        <v>6959</v>
      </c>
      <c r="F207">
        <f t="shared" si="19"/>
        <v>40004</v>
      </c>
      <c r="G207">
        <f t="shared" si="20"/>
        <v>500004</v>
      </c>
      <c r="H207" t="s">
        <v>6694</v>
      </c>
      <c r="I207" s="8">
        <f t="shared" si="21"/>
        <v>600004</v>
      </c>
      <c r="J207" t="s">
        <v>6517</v>
      </c>
      <c r="K207" t="str">
        <f>IFERROR(VLOOKUP(E207,Contacts.csv!C:D,2,FALSE),"")</f>
        <v/>
      </c>
      <c r="L207" t="str">
        <f t="shared" si="22"/>
        <v>rg:None</v>
      </c>
      <c r="M207" s="4" t="str">
        <f t="shared" si="23"/>
        <v>rg:[]</v>
      </c>
      <c r="N207" t="s">
        <v>6517</v>
      </c>
      <c r="O207" t="s">
        <v>6517</v>
      </c>
      <c r="P207" t="s">
        <v>6517</v>
      </c>
    </row>
    <row r="208" spans="1:16" x14ac:dyDescent="0.3">
      <c r="A208" t="s">
        <v>5388</v>
      </c>
      <c r="B208">
        <f ca="1">INDEX(LocalAreas.csv!G:G,RANDBETWEEN(2,88))</f>
        <v>200079</v>
      </c>
      <c r="C208" t="str">
        <f t="shared" ca="1" si="18"/>
        <v>rg{'id': '200079'}'</v>
      </c>
      <c r="D208" s="1" t="str">
        <f ca="1">MID(Names!G85,FIND(" ",Names!G85)+1,LEN(Names!G85)-FIND(" ", Names!G85))&amp;" "&amp;INDEX(PROJ_EXT_Name,RANDBETWEEN(2,12))</f>
        <v>James Street Overpass</v>
      </c>
      <c r="E208" s="1" t="s">
        <v>6945</v>
      </c>
      <c r="F208">
        <f t="shared" si="19"/>
        <v>40005</v>
      </c>
      <c r="G208">
        <f t="shared" si="20"/>
        <v>500005</v>
      </c>
      <c r="H208" t="s">
        <v>6694</v>
      </c>
      <c r="I208" s="8">
        <f t="shared" si="21"/>
        <v>600005</v>
      </c>
      <c r="J208" t="s">
        <v>6517</v>
      </c>
      <c r="K208" t="str">
        <f>IFERROR(VLOOKUP(E208,Contacts.csv!C:D,2,FALSE),"")</f>
        <v/>
      </c>
      <c r="L208" t="str">
        <f t="shared" si="22"/>
        <v>rg:None</v>
      </c>
      <c r="M208" s="4" t="str">
        <f t="shared" si="23"/>
        <v>rg:[]</v>
      </c>
      <c r="N208" t="s">
        <v>6517</v>
      </c>
      <c r="O208" t="s">
        <v>6517</v>
      </c>
      <c r="P208" t="s">
        <v>6517</v>
      </c>
    </row>
    <row r="209" spans="1:16" x14ac:dyDescent="0.3">
      <c r="A209" t="s">
        <v>5388</v>
      </c>
      <c r="B209">
        <f ca="1">INDEX(LocalAreas.csv!G:G,RANDBETWEEN(2,88))</f>
        <v>200084</v>
      </c>
      <c r="C209" t="str">
        <f t="shared" ca="1" si="18"/>
        <v>rg{'id': '200084'}'</v>
      </c>
      <c r="D209" s="1" t="str">
        <f ca="1">MID(Names!G86,FIND(" ",Names!G86)+1,LEN(Names!G86)-FIND(" ", Names!G86))&amp;" "&amp;INDEX(PROJ_EXT_Name,RANDBETWEEN(2,12))</f>
        <v>Glover Road Bridge</v>
      </c>
      <c r="E209" s="1" t="s">
        <v>7059</v>
      </c>
      <c r="F209">
        <f t="shared" si="19"/>
        <v>40006</v>
      </c>
      <c r="G209">
        <f t="shared" si="20"/>
        <v>500006</v>
      </c>
      <c r="H209" t="s">
        <v>6694</v>
      </c>
      <c r="I209" s="8">
        <f t="shared" si="21"/>
        <v>600006</v>
      </c>
      <c r="J209" t="s">
        <v>6517</v>
      </c>
      <c r="K209" t="str">
        <f>IFERROR(VLOOKUP(E209,Contacts.csv!C:D,2,FALSE),"")</f>
        <v/>
      </c>
      <c r="L209" t="str">
        <f t="shared" si="22"/>
        <v>rg:None</v>
      </c>
      <c r="M209" s="4" t="str">
        <f t="shared" si="23"/>
        <v>rg:[]</v>
      </c>
      <c r="N209" t="s">
        <v>6517</v>
      </c>
      <c r="O209" t="s">
        <v>6517</v>
      </c>
      <c r="P209" t="s">
        <v>6517</v>
      </c>
    </row>
    <row r="210" spans="1:16" x14ac:dyDescent="0.3">
      <c r="A210" t="s">
        <v>5388</v>
      </c>
      <c r="B210">
        <f ca="1">INDEX(LocalAreas.csv!G:G,RANDBETWEEN(2,88))</f>
        <v>200059</v>
      </c>
      <c r="C210" t="str">
        <f t="shared" ca="1" si="18"/>
        <v>rg{'id': '200059'}'</v>
      </c>
      <c r="D210" s="1" t="str">
        <f ca="1">MID(Names!G88,FIND(" ",Names!G88)+1,LEN(Names!G88)-FIND(" ", Names!G88))&amp;" "&amp;INDEX(PROJ_EXT_Name,RANDBETWEEN(2,12))</f>
        <v>Roger Street Expressway</v>
      </c>
      <c r="E210" s="1" t="s">
        <v>6962</v>
      </c>
      <c r="F210">
        <f>IF(ISNUMBER(#REF!),#REF!+1,40000)</f>
        <v>40000</v>
      </c>
      <c r="G210">
        <f>IF(ISNUMBER(#REF!),#REF!+1,500000)</f>
        <v>500000</v>
      </c>
      <c r="H210" t="s">
        <v>6694</v>
      </c>
      <c r="I210" s="8">
        <f>IF(ISNUMBER(#REF!),#REF!+1,600000)</f>
        <v>600000</v>
      </c>
      <c r="J210" t="s">
        <v>6517</v>
      </c>
      <c r="K210" t="str">
        <f>IFERROR(VLOOKUP(E210,Contacts.csv!C:D,2,FALSE),"")</f>
        <v/>
      </c>
      <c r="L210" t="str">
        <f t="shared" si="22"/>
        <v>rg:None</v>
      </c>
      <c r="M210" s="4" t="str">
        <f t="shared" si="23"/>
        <v>rg:[]</v>
      </c>
      <c r="N210" t="s">
        <v>6517</v>
      </c>
      <c r="O210" t="s">
        <v>6517</v>
      </c>
      <c r="P210" t="s">
        <v>6517</v>
      </c>
    </row>
    <row r="211" spans="1:16" x14ac:dyDescent="0.3">
      <c r="A211" t="s">
        <v>5388</v>
      </c>
      <c r="B211">
        <f ca="1">INDEX(LocalAreas.csv!G:G,RANDBETWEEN(2,88))</f>
        <v>200009</v>
      </c>
      <c r="C211" t="str">
        <f t="shared" ca="1" si="18"/>
        <v>rg{'id': '200009'}'</v>
      </c>
      <c r="D211" s="1" t="str">
        <f ca="1">MID(Names!G89,FIND(" ",Names!G89)+1,LEN(Names!G89)-FIND(" ", Names!G89))&amp;" "&amp;INDEX(PROJ_EXT_Name,RANDBETWEEN(2,12))</f>
        <v>Hastings Street Upgrade</v>
      </c>
      <c r="E211" s="1" t="s">
        <v>7052</v>
      </c>
      <c r="F211">
        <f t="shared" si="19"/>
        <v>40001</v>
      </c>
      <c r="G211">
        <f t="shared" si="20"/>
        <v>500001</v>
      </c>
      <c r="H211" t="s">
        <v>6694</v>
      </c>
      <c r="I211" s="8">
        <f t="shared" si="21"/>
        <v>600001</v>
      </c>
      <c r="J211" t="s">
        <v>6517</v>
      </c>
      <c r="K211" t="str">
        <f>IFERROR(VLOOKUP(E211,Contacts.csv!C:D,2,FALSE),"")</f>
        <v/>
      </c>
      <c r="L211" t="str">
        <f t="shared" si="22"/>
        <v>rg:None</v>
      </c>
      <c r="M211" s="4" t="str">
        <f t="shared" si="23"/>
        <v>rg:[]</v>
      </c>
      <c r="N211" t="s">
        <v>6517</v>
      </c>
      <c r="O211" t="s">
        <v>6517</v>
      </c>
      <c r="P211" t="s">
        <v>6517</v>
      </c>
    </row>
    <row r="212" spans="1:16" x14ac:dyDescent="0.3">
      <c r="A212" t="s">
        <v>5388</v>
      </c>
      <c r="B212">
        <f ca="1">INDEX(LocalAreas.csv!G:G,RANDBETWEEN(2,88))</f>
        <v>200075</v>
      </c>
      <c r="C212" t="str">
        <f t="shared" ca="1" si="18"/>
        <v>rg{'id': '200075'}'</v>
      </c>
      <c r="D212" s="1" t="str">
        <f ca="1">MID(Names!G90,FIND(" ",Names!G90)+1,LEN(Names!G90)-FIND(" ", Names!G90))&amp;" "&amp;INDEX(PROJ_EXT_Name,RANDBETWEEN(2,12))</f>
        <v>Tchesinkut Lake Rd Express Lane</v>
      </c>
      <c r="E212" s="1" t="s">
        <v>7085</v>
      </c>
      <c r="F212">
        <f t="shared" si="19"/>
        <v>40002</v>
      </c>
      <c r="G212">
        <f t="shared" si="20"/>
        <v>500002</v>
      </c>
      <c r="H212" t="s">
        <v>6694</v>
      </c>
      <c r="I212" s="8">
        <f t="shared" si="21"/>
        <v>600002</v>
      </c>
      <c r="J212" t="s">
        <v>6517</v>
      </c>
      <c r="K212" t="str">
        <f>IFERROR(VLOOKUP(E212,Contacts.csv!C:D,2,FALSE),"")</f>
        <v/>
      </c>
      <c r="L212" t="str">
        <f t="shared" si="22"/>
        <v>rg:None</v>
      </c>
      <c r="M212" s="4" t="str">
        <f t="shared" si="23"/>
        <v>rg:[]</v>
      </c>
      <c r="N212" t="s">
        <v>6517</v>
      </c>
      <c r="O212" t="s">
        <v>6517</v>
      </c>
      <c r="P212" t="s">
        <v>6517</v>
      </c>
    </row>
    <row r="213" spans="1:16" x14ac:dyDescent="0.3">
      <c r="A213" t="s">
        <v>5388</v>
      </c>
      <c r="B213">
        <f ca="1">INDEX(LocalAreas.csv!G:G,RANDBETWEEN(2,88))</f>
        <v>200046</v>
      </c>
      <c r="C213" t="str">
        <f t="shared" ca="1" si="18"/>
        <v>rg{'id': '200046'}'</v>
      </c>
      <c r="D213" s="1" t="str">
        <f ca="1">MID(Names!G91,FIND(" ",Names!G91)+1,LEN(Names!G91)-FIND(" ", Names!G91))&amp;" "&amp;INDEX(PROJ_EXT_Name,RANDBETWEEN(2,12))</f>
        <v>Blanshard Extension</v>
      </c>
      <c r="E213" s="1" t="s">
        <v>7044</v>
      </c>
      <c r="F213">
        <f t="shared" si="19"/>
        <v>40003</v>
      </c>
      <c r="G213">
        <f t="shared" si="20"/>
        <v>500003</v>
      </c>
      <c r="H213" t="s">
        <v>6694</v>
      </c>
      <c r="I213" s="8">
        <f t="shared" si="21"/>
        <v>600003</v>
      </c>
      <c r="J213" t="s">
        <v>6517</v>
      </c>
      <c r="K213" t="str">
        <f>IFERROR(VLOOKUP(E213,Contacts.csv!C:D,2,FALSE),"")</f>
        <v/>
      </c>
      <c r="L213" t="str">
        <f t="shared" si="22"/>
        <v>rg:None</v>
      </c>
      <c r="M213" s="4" t="str">
        <f t="shared" si="23"/>
        <v>rg:[]</v>
      </c>
      <c r="N213" t="s">
        <v>6517</v>
      </c>
      <c r="O213" t="s">
        <v>6517</v>
      </c>
      <c r="P213" t="s">
        <v>6517</v>
      </c>
    </row>
    <row r="214" spans="1:16" x14ac:dyDescent="0.3">
      <c r="A214" t="s">
        <v>5388</v>
      </c>
      <c r="B214">
        <f ca="1">INDEX(LocalAreas.csv!G:G,RANDBETWEEN(2,88))</f>
        <v>200036</v>
      </c>
      <c r="C214" t="str">
        <f t="shared" ca="1" si="18"/>
        <v>rg{'id': '200036'}'</v>
      </c>
      <c r="D214" s="1" t="str">
        <f ca="1">MID(Names!G92,FIND(" ",Names!G92)+1,LEN(Names!G92)-FIND(" ", Names!G92))&amp;" "&amp;INDEX(PROJ_EXT_Name,RANDBETWEEN(2,12))</f>
        <v>St George Street Bypass</v>
      </c>
      <c r="E214" s="1" t="s">
        <v>7025</v>
      </c>
      <c r="F214">
        <f t="shared" si="19"/>
        <v>40004</v>
      </c>
      <c r="G214">
        <f t="shared" si="20"/>
        <v>500004</v>
      </c>
      <c r="H214" t="s">
        <v>6694</v>
      </c>
      <c r="I214" s="8">
        <f t="shared" si="21"/>
        <v>600004</v>
      </c>
      <c r="J214" t="s">
        <v>6517</v>
      </c>
      <c r="K214" t="str">
        <f>IFERROR(VLOOKUP(E214,Contacts.csv!C:D,2,FALSE),"")</f>
        <v/>
      </c>
      <c r="L214" t="str">
        <f t="shared" si="22"/>
        <v>rg:None</v>
      </c>
      <c r="M214" s="4" t="str">
        <f t="shared" si="23"/>
        <v>rg:[]</v>
      </c>
      <c r="N214" t="s">
        <v>6517</v>
      </c>
      <c r="O214" t="s">
        <v>6517</v>
      </c>
      <c r="P214" t="s">
        <v>6517</v>
      </c>
    </row>
    <row r="215" spans="1:16" x14ac:dyDescent="0.3">
      <c r="A215" t="s">
        <v>5388</v>
      </c>
      <c r="B215">
        <f ca="1">INDEX(LocalAreas.csv!G:G,RANDBETWEEN(2,88))</f>
        <v>200083</v>
      </c>
      <c r="C215" t="str">
        <f t="shared" ca="1" si="18"/>
        <v>rg{'id': '200083'}'</v>
      </c>
      <c r="D215" s="1" t="str">
        <f ca="1">MID(Names!G93,FIND(" ",Names!G93)+1,LEN(Names!G93)-FIND(" ", Names!G93))&amp;" "&amp;INDEX(PROJ_EXT_Name,RANDBETWEEN(2,12))</f>
        <v>Stum Lake Road Cloverleaf</v>
      </c>
      <c r="E215" s="1" t="s">
        <v>7086</v>
      </c>
      <c r="F215">
        <f t="shared" si="19"/>
        <v>40005</v>
      </c>
      <c r="G215">
        <f t="shared" si="20"/>
        <v>500005</v>
      </c>
      <c r="H215" t="s">
        <v>6694</v>
      </c>
      <c r="I215" s="8">
        <f t="shared" si="21"/>
        <v>600005</v>
      </c>
      <c r="J215" t="s">
        <v>6517</v>
      </c>
      <c r="K215" t="str">
        <f>IFERROR(VLOOKUP(E215,Contacts.csv!C:D,2,FALSE),"")</f>
        <v/>
      </c>
      <c r="L215" t="str">
        <f t="shared" si="22"/>
        <v>rg:None</v>
      </c>
      <c r="M215" s="4" t="str">
        <f t="shared" si="23"/>
        <v>rg:[]</v>
      </c>
      <c r="N215" t="s">
        <v>6517</v>
      </c>
      <c r="O215" t="s">
        <v>6517</v>
      </c>
      <c r="P215" t="s">
        <v>6517</v>
      </c>
    </row>
    <row r="216" spans="1:16" x14ac:dyDescent="0.3">
      <c r="A216" t="s">
        <v>5388</v>
      </c>
      <c r="B216">
        <f ca="1">INDEX(LocalAreas.csv!G:G,RANDBETWEEN(2,88))</f>
        <v>200076</v>
      </c>
      <c r="C216" t="str">
        <f t="shared" ca="1" si="18"/>
        <v>rg{'id': '200076'}'</v>
      </c>
      <c r="D216" s="1" t="str">
        <f ca="1">MID(Names!G94,FIND(" ",Names!G94)+1,LEN(Names!G94)-FIND(" ", Names!G94))&amp;" "&amp;INDEX(PROJ_EXT_Name,RANDBETWEEN(2,12))</f>
        <v>Yoho Valley Road Cloverleaf</v>
      </c>
      <c r="E216" s="1" t="s">
        <v>7087</v>
      </c>
      <c r="F216">
        <f t="shared" si="19"/>
        <v>40006</v>
      </c>
      <c r="G216">
        <f t="shared" si="20"/>
        <v>500006</v>
      </c>
      <c r="H216" t="s">
        <v>6694</v>
      </c>
      <c r="I216" s="8">
        <f t="shared" si="21"/>
        <v>600006</v>
      </c>
      <c r="J216" t="s">
        <v>6517</v>
      </c>
      <c r="K216" t="str">
        <f>IFERROR(VLOOKUP(E216,Contacts.csv!C:D,2,FALSE),"")</f>
        <v/>
      </c>
      <c r="L216" t="str">
        <f t="shared" si="22"/>
        <v>rg:None</v>
      </c>
      <c r="M216" s="4" t="str">
        <f t="shared" si="23"/>
        <v>rg:[]</v>
      </c>
      <c r="N216" t="s">
        <v>6517</v>
      </c>
      <c r="O216" t="s">
        <v>6517</v>
      </c>
      <c r="P216" t="s">
        <v>6517</v>
      </c>
    </row>
    <row r="217" spans="1:16" x14ac:dyDescent="0.3">
      <c r="A217" t="s">
        <v>5388</v>
      </c>
      <c r="B217">
        <f ca="1">INDEX(LocalAreas.csv!G:G,RANDBETWEEN(2,88))</f>
        <v>200062</v>
      </c>
      <c r="C217" t="str">
        <f t="shared" ca="1" si="18"/>
        <v>rg{'id': '200062'}'</v>
      </c>
      <c r="D217" s="1" t="str">
        <f ca="1">MID(Names!G95,FIND(" ",Names!G95)+1,LEN(Names!G95)-FIND(" ", Names!G95))&amp;" "&amp;INDEX(PROJ_EXT_Name,RANDBETWEEN(2,12))</f>
        <v>Keith Road Express Lane</v>
      </c>
      <c r="E217" s="1" t="s">
        <v>6949</v>
      </c>
      <c r="F217">
        <f t="shared" si="19"/>
        <v>40007</v>
      </c>
      <c r="G217">
        <f t="shared" si="20"/>
        <v>500007</v>
      </c>
      <c r="H217" t="s">
        <v>6694</v>
      </c>
      <c r="I217" s="8">
        <f t="shared" si="21"/>
        <v>600007</v>
      </c>
      <c r="J217" t="s">
        <v>6517</v>
      </c>
      <c r="K217" t="str">
        <f>IFERROR(VLOOKUP(E217,Contacts.csv!C:D,2,FALSE),"")</f>
        <v/>
      </c>
      <c r="L217" t="str">
        <f t="shared" si="22"/>
        <v>rg:None</v>
      </c>
      <c r="M217" s="4" t="str">
        <f t="shared" si="23"/>
        <v>rg:[]</v>
      </c>
      <c r="N217" t="s">
        <v>6517</v>
      </c>
      <c r="O217" t="s">
        <v>6517</v>
      </c>
      <c r="P217" t="s">
        <v>6517</v>
      </c>
    </row>
    <row r="218" spans="1:16" x14ac:dyDescent="0.3">
      <c r="A218" t="s">
        <v>5388</v>
      </c>
      <c r="B218">
        <f ca="1">INDEX(LocalAreas.csv!G:G,RANDBETWEEN(2,88))</f>
        <v>200083</v>
      </c>
      <c r="C218" t="str">
        <f t="shared" ca="1" si="18"/>
        <v>rg{'id': '200083'}'</v>
      </c>
      <c r="D218" s="1" t="str">
        <f ca="1">MID(Names!G96,FIND(" ",Names!G96)+1,LEN(Names!G96)-FIND(" ", Names!G96))&amp;" "&amp;INDEX(PROJ_EXT_Name,RANDBETWEEN(2,12))</f>
        <v>Burdett Avenue HOV Lane</v>
      </c>
      <c r="E218" s="1" t="s">
        <v>7088</v>
      </c>
      <c r="F218">
        <f t="shared" si="19"/>
        <v>40008</v>
      </c>
      <c r="G218">
        <f t="shared" si="20"/>
        <v>500008</v>
      </c>
      <c r="H218" t="s">
        <v>6694</v>
      </c>
      <c r="I218" s="8">
        <f t="shared" si="21"/>
        <v>600008</v>
      </c>
      <c r="J218" t="s">
        <v>6517</v>
      </c>
      <c r="K218" t="str">
        <f>IFERROR(VLOOKUP(E218,Contacts.csv!C:D,2,FALSE),"")</f>
        <v/>
      </c>
      <c r="L218" t="str">
        <f t="shared" si="22"/>
        <v>rg:None</v>
      </c>
      <c r="M218" s="4" t="str">
        <f t="shared" si="23"/>
        <v>rg:[]</v>
      </c>
      <c r="N218" t="s">
        <v>6517</v>
      </c>
      <c r="O218" t="s">
        <v>6517</v>
      </c>
      <c r="P218" t="s">
        <v>6517</v>
      </c>
    </row>
    <row r="219" spans="1:16" x14ac:dyDescent="0.3">
      <c r="A219" t="s">
        <v>5388</v>
      </c>
      <c r="B219">
        <f ca="1">INDEX(LocalAreas.csv!G:G,RANDBETWEEN(2,88))</f>
        <v>200055</v>
      </c>
      <c r="C219" t="str">
        <f t="shared" ca="1" si="18"/>
        <v>rg{'id': '200055'}'</v>
      </c>
      <c r="D219" s="1" t="str">
        <f ca="1">MID(Names!G97,FIND(" ",Names!G97)+1,LEN(Names!G97)-FIND(" ", Names!G97))&amp;" "&amp;INDEX(PROJ_EXT_Name,RANDBETWEEN(2,12))</f>
        <v>Blanshard Bypass</v>
      </c>
      <c r="E219" s="1" t="s">
        <v>7013</v>
      </c>
      <c r="F219">
        <f t="shared" si="19"/>
        <v>40009</v>
      </c>
      <c r="G219">
        <f t="shared" si="20"/>
        <v>500009</v>
      </c>
      <c r="H219" t="s">
        <v>6694</v>
      </c>
      <c r="I219" s="8">
        <f t="shared" si="21"/>
        <v>600009</v>
      </c>
      <c r="J219" t="s">
        <v>6517</v>
      </c>
      <c r="K219" t="str">
        <f>IFERROR(VLOOKUP(E219,Contacts.csv!C:D,2,FALSE),"")</f>
        <v/>
      </c>
      <c r="L219" t="str">
        <f t="shared" si="22"/>
        <v>rg:None</v>
      </c>
      <c r="M219" s="4" t="str">
        <f t="shared" si="23"/>
        <v>rg:[]</v>
      </c>
      <c r="N219" t="s">
        <v>6517</v>
      </c>
      <c r="O219" t="s">
        <v>6517</v>
      </c>
      <c r="P219" t="s">
        <v>6517</v>
      </c>
    </row>
    <row r="220" spans="1:16" x14ac:dyDescent="0.3">
      <c r="A220" t="s">
        <v>5388</v>
      </c>
      <c r="B220">
        <f ca="1">INDEX(LocalAreas.csv!G:G,RANDBETWEEN(2,88))</f>
        <v>200070</v>
      </c>
      <c r="C220" t="str">
        <f t="shared" ca="1" si="18"/>
        <v>rg{'id': '200070'}'</v>
      </c>
      <c r="D220" s="1" t="str">
        <f ca="1">MID(Names!G98,FIND(" ",Names!G98)+1,LEN(Names!G98)-FIND(" ", Names!G98))&amp;" "&amp;INDEX(PROJ_EXT_Name,RANDBETWEEN(2,12))</f>
        <v>Quayside Dr Overpass</v>
      </c>
      <c r="E220" s="1" t="s">
        <v>7089</v>
      </c>
      <c r="F220">
        <f t="shared" si="19"/>
        <v>40010</v>
      </c>
      <c r="G220">
        <f t="shared" si="20"/>
        <v>500010</v>
      </c>
      <c r="H220" t="s">
        <v>6694</v>
      </c>
      <c r="I220" s="8">
        <f t="shared" si="21"/>
        <v>600010</v>
      </c>
      <c r="J220" t="s">
        <v>6517</v>
      </c>
      <c r="K220" t="str">
        <f>IFERROR(VLOOKUP(E220,Contacts.csv!C:D,2,FALSE),"")</f>
        <v/>
      </c>
      <c r="L220" t="str">
        <f t="shared" si="22"/>
        <v>rg:None</v>
      </c>
      <c r="M220" s="4" t="str">
        <f t="shared" si="23"/>
        <v>rg:[]</v>
      </c>
      <c r="N220" t="s">
        <v>6517</v>
      </c>
      <c r="O220" t="s">
        <v>6517</v>
      </c>
      <c r="P220" t="s">
        <v>6517</v>
      </c>
    </row>
    <row r="221" spans="1:16" x14ac:dyDescent="0.3">
      <c r="A221" t="s">
        <v>5388</v>
      </c>
      <c r="B221">
        <f ca="1">INDEX(LocalAreas.csv!G:G,RANDBETWEEN(2,88))</f>
        <v>200001</v>
      </c>
      <c r="C221" t="str">
        <f t="shared" ca="1" si="18"/>
        <v>rg{'id': '200001'}'</v>
      </c>
      <c r="D221" s="1" t="str">
        <f ca="1">MID(Names!G99,FIND(" ",Names!G99)+1,LEN(Names!G99)-FIND(" ", Names!G99))&amp;" "&amp;INDEX(PROJ_EXT_Name,RANDBETWEEN(2,12))</f>
        <v>Jade St Upgrade</v>
      </c>
      <c r="E221" s="1" t="s">
        <v>6960</v>
      </c>
      <c r="F221">
        <f t="shared" si="19"/>
        <v>40011</v>
      </c>
      <c r="G221">
        <f t="shared" si="20"/>
        <v>500011</v>
      </c>
      <c r="H221" t="s">
        <v>6694</v>
      </c>
      <c r="I221" s="8">
        <f t="shared" si="21"/>
        <v>600011</v>
      </c>
      <c r="J221" t="s">
        <v>6517</v>
      </c>
      <c r="K221" t="str">
        <f>IFERROR(VLOOKUP(E221,Contacts.csv!C:D,2,FALSE),"")</f>
        <v/>
      </c>
      <c r="L221" t="str">
        <f t="shared" si="22"/>
        <v>rg:None</v>
      </c>
      <c r="M221" s="4" t="str">
        <f t="shared" si="23"/>
        <v>rg:[]</v>
      </c>
      <c r="N221" t="s">
        <v>6517</v>
      </c>
      <c r="O221" t="s">
        <v>6517</v>
      </c>
      <c r="P221" t="s">
        <v>6517</v>
      </c>
    </row>
    <row r="222" spans="1:16" x14ac:dyDescent="0.3">
      <c r="A222" t="s">
        <v>5388</v>
      </c>
      <c r="B222">
        <f ca="1">INDEX(LocalAreas.csv!G:G,RANDBETWEEN(2,88))</f>
        <v>200038</v>
      </c>
      <c r="C222" t="str">
        <f t="shared" ca="1" si="18"/>
        <v>rg{'id': '200038'}'</v>
      </c>
      <c r="D222" s="1" t="str">
        <f ca="1">MID(Names!G100,FIND(" ",Names!G100)+1,LEN(Names!G100)-FIND(" ", Names!G100))&amp;" "&amp;INDEX(PROJ_EXT_Name,RANDBETWEEN(2,12))</f>
        <v>Robson St Bridge Replacement</v>
      </c>
      <c r="E222" s="1" t="s">
        <v>7090</v>
      </c>
      <c r="F222">
        <f t="shared" si="19"/>
        <v>40012</v>
      </c>
      <c r="G222">
        <f t="shared" si="20"/>
        <v>500012</v>
      </c>
      <c r="H222" t="s">
        <v>6694</v>
      </c>
      <c r="I222" s="8">
        <f t="shared" si="21"/>
        <v>600012</v>
      </c>
      <c r="J222" t="s">
        <v>6517</v>
      </c>
      <c r="K222" t="str">
        <f>IFERROR(VLOOKUP(E222,Contacts.csv!C:D,2,FALSE),"")</f>
        <v/>
      </c>
      <c r="L222" t="str">
        <f t="shared" si="22"/>
        <v>rg:None</v>
      </c>
      <c r="M222" s="4" t="str">
        <f t="shared" si="23"/>
        <v>rg:[]</v>
      </c>
      <c r="N222" t="s">
        <v>6517</v>
      </c>
      <c r="O222" t="s">
        <v>6517</v>
      </c>
      <c r="P222" t="s">
        <v>6517</v>
      </c>
    </row>
    <row r="223" spans="1:16" x14ac:dyDescent="0.3">
      <c r="A223" t="s">
        <v>5388</v>
      </c>
      <c r="B223">
        <f ca="1">INDEX(LocalAreas.csv!G:G,RANDBETWEEN(2,88))</f>
        <v>200084</v>
      </c>
      <c r="C223" t="str">
        <f t="shared" ca="1" si="18"/>
        <v>rg{'id': '200084'}'</v>
      </c>
      <c r="D223" s="1" t="str">
        <f ca="1">MID(Names!G101,FIND(" ",Names!G101)+1,LEN(Names!G101)-FIND(" ", Names!G101))&amp;" "&amp;INDEX(PROJ_EXT_Name,RANDBETWEEN(2,12))</f>
        <v>Robson St Bridge Replacement</v>
      </c>
      <c r="E223" s="1" t="s">
        <v>7091</v>
      </c>
      <c r="F223">
        <f t="shared" si="19"/>
        <v>40013</v>
      </c>
      <c r="G223">
        <f t="shared" si="20"/>
        <v>500013</v>
      </c>
      <c r="H223" t="s">
        <v>6694</v>
      </c>
      <c r="I223" s="8">
        <f t="shared" si="21"/>
        <v>600013</v>
      </c>
      <c r="J223" t="s">
        <v>6517</v>
      </c>
      <c r="K223" t="str">
        <f>IFERROR(VLOOKUP(E223,Contacts.csv!C:D,2,FALSE),"")</f>
        <v/>
      </c>
      <c r="L223" t="str">
        <f t="shared" si="22"/>
        <v>rg:None</v>
      </c>
      <c r="M223" s="4" t="str">
        <f t="shared" si="23"/>
        <v>rg:[]</v>
      </c>
      <c r="N223" t="s">
        <v>6517</v>
      </c>
      <c r="O223" t="s">
        <v>6517</v>
      </c>
      <c r="P223" t="s">
        <v>6517</v>
      </c>
    </row>
    <row r="224" spans="1:16" x14ac:dyDescent="0.3">
      <c r="A224" t="s">
        <v>5388</v>
      </c>
      <c r="B224">
        <f ca="1">INDEX(LocalAreas.csv!G:G,RANDBETWEEN(2,88))</f>
        <v>200078</v>
      </c>
      <c r="C224" t="str">
        <f t="shared" ca="1" si="18"/>
        <v>rg{'id': '200078'}'</v>
      </c>
      <c r="D224" s="1" t="str">
        <f ca="1">MID(Names!G102,FIND(" ",Names!G102)+1,LEN(Names!G102)-FIND(" ", Names!G102))&amp;" "&amp;INDEX(PROJ_EXT_Name,RANDBETWEEN(2,12))</f>
        <v>Kinchant St Bridge</v>
      </c>
      <c r="E224" s="1" t="s">
        <v>6936</v>
      </c>
      <c r="F224">
        <f t="shared" si="19"/>
        <v>40014</v>
      </c>
      <c r="G224">
        <f t="shared" si="20"/>
        <v>500014</v>
      </c>
      <c r="H224" t="s">
        <v>6694</v>
      </c>
      <c r="I224" s="8">
        <f t="shared" si="21"/>
        <v>600014</v>
      </c>
      <c r="J224" t="s">
        <v>6517</v>
      </c>
      <c r="K224" t="str">
        <f>IFERROR(VLOOKUP(E224,Contacts.csv!C:D,2,FALSE),"")</f>
        <v/>
      </c>
      <c r="L224" t="str">
        <f t="shared" si="22"/>
        <v>rg:None</v>
      </c>
      <c r="M224" s="4" t="str">
        <f t="shared" si="23"/>
        <v>rg:[]</v>
      </c>
      <c r="N224" t="s">
        <v>6517</v>
      </c>
      <c r="O224" t="s">
        <v>6517</v>
      </c>
      <c r="P224" t="s">
        <v>6517</v>
      </c>
    </row>
    <row r="225" spans="1:16" x14ac:dyDescent="0.3">
      <c r="A225" t="s">
        <v>5388</v>
      </c>
      <c r="B225">
        <f ca="1">INDEX(LocalAreas.csv!G:G,RANDBETWEEN(2,88))</f>
        <v>200066</v>
      </c>
      <c r="C225" t="str">
        <f t="shared" ca="1" si="18"/>
        <v>rg{'id': '200066'}'</v>
      </c>
      <c r="D225" s="1" t="str">
        <f ca="1">MID(Names!G103,FIND(" ",Names!G103)+1,LEN(Names!G103)-FIND(" ", Names!G103))&amp;" "&amp;INDEX(PROJ_EXT_Name,RANDBETWEEN(2,12))</f>
        <v>Alaska Hwy HOV Lane</v>
      </c>
      <c r="E225" s="1" t="s">
        <v>7092</v>
      </c>
      <c r="F225">
        <f t="shared" si="19"/>
        <v>40015</v>
      </c>
      <c r="G225">
        <f t="shared" si="20"/>
        <v>500015</v>
      </c>
      <c r="H225" t="s">
        <v>6694</v>
      </c>
      <c r="I225" s="8">
        <f t="shared" si="21"/>
        <v>600015</v>
      </c>
      <c r="J225" t="s">
        <v>6517</v>
      </c>
      <c r="K225" t="str">
        <f>IFERROR(VLOOKUP(E225,Contacts.csv!C:D,2,FALSE),"")</f>
        <v/>
      </c>
      <c r="L225" t="str">
        <f t="shared" si="22"/>
        <v>rg:None</v>
      </c>
      <c r="M225" s="4" t="str">
        <f t="shared" si="23"/>
        <v>rg:[]</v>
      </c>
      <c r="N225" t="s">
        <v>6517</v>
      </c>
      <c r="O225" t="s">
        <v>6517</v>
      </c>
      <c r="P225" t="s">
        <v>6517</v>
      </c>
    </row>
    <row r="226" spans="1:16" x14ac:dyDescent="0.3">
      <c r="A226" t="s">
        <v>5388</v>
      </c>
      <c r="B226">
        <f ca="1">INDEX(LocalAreas.csv!G:G,RANDBETWEEN(2,88))</f>
        <v>200001</v>
      </c>
      <c r="C226" t="str">
        <f t="shared" ca="1" si="18"/>
        <v>rg{'id': '200001'}'</v>
      </c>
      <c r="D226" s="1" t="str">
        <f ca="1">MID(Names!G104,FIND(" ",Names!G104)+1,LEN(Names!G104)-FIND(" ", Names!G104))&amp;" "&amp;INDEX(PROJ_EXT_Name,RANDBETWEEN(2,12))</f>
        <v>Carlson Road Overpass</v>
      </c>
      <c r="E226" s="1" t="s">
        <v>7093</v>
      </c>
      <c r="F226">
        <f t="shared" si="19"/>
        <v>40016</v>
      </c>
      <c r="G226">
        <f t="shared" si="20"/>
        <v>500016</v>
      </c>
      <c r="H226" t="s">
        <v>6694</v>
      </c>
      <c r="I226" s="8">
        <f t="shared" si="21"/>
        <v>600016</v>
      </c>
      <c r="J226" t="s">
        <v>6517</v>
      </c>
      <c r="K226" t="str">
        <f>IFERROR(VLOOKUP(E226,Contacts.csv!C:D,2,FALSE),"")</f>
        <v/>
      </c>
      <c r="L226" t="str">
        <f t="shared" si="22"/>
        <v>rg:None</v>
      </c>
      <c r="M226" s="4" t="str">
        <f t="shared" si="23"/>
        <v>rg:[]</v>
      </c>
      <c r="N226" t="s">
        <v>6517</v>
      </c>
      <c r="O226" t="s">
        <v>6517</v>
      </c>
      <c r="P226" t="s">
        <v>6517</v>
      </c>
    </row>
    <row r="227" spans="1:16" x14ac:dyDescent="0.3">
      <c r="A227" t="s">
        <v>5388</v>
      </c>
      <c r="B227">
        <f ca="1">INDEX(LocalAreas.csv!G:G,RANDBETWEEN(2,88))</f>
        <v>200036</v>
      </c>
      <c r="C227" t="str">
        <f t="shared" ca="1" si="18"/>
        <v>rg{'id': '200036'}'</v>
      </c>
      <c r="D227" s="1" t="str">
        <f ca="1">MID(Names!G105,FIND(" ",Names!G105)+1,LEN(Names!G105)-FIND(" ", Names!G105))&amp;" "&amp;INDEX(PROJ_EXT_Name,RANDBETWEEN(2,12))</f>
        <v>102nd Avenue Bypass</v>
      </c>
      <c r="E227" s="1" t="s">
        <v>6919</v>
      </c>
      <c r="F227">
        <f t="shared" si="19"/>
        <v>40017</v>
      </c>
      <c r="G227">
        <f t="shared" si="20"/>
        <v>500017</v>
      </c>
      <c r="H227" t="s">
        <v>6694</v>
      </c>
      <c r="I227" s="8">
        <f t="shared" si="21"/>
        <v>600017</v>
      </c>
      <c r="J227" t="s">
        <v>6517</v>
      </c>
      <c r="K227" t="str">
        <f>IFERROR(VLOOKUP(E227,Contacts.csv!C:D,2,FALSE),"")</f>
        <v/>
      </c>
      <c r="L227" t="str">
        <f t="shared" si="22"/>
        <v>rg:None</v>
      </c>
      <c r="M227" s="4" t="str">
        <f t="shared" si="23"/>
        <v>rg:[]</v>
      </c>
      <c r="N227" t="s">
        <v>6517</v>
      </c>
      <c r="O227" t="s">
        <v>6517</v>
      </c>
      <c r="P227" t="s">
        <v>6517</v>
      </c>
    </row>
    <row r="228" spans="1:16" x14ac:dyDescent="0.3">
      <c r="A228" t="s">
        <v>5388</v>
      </c>
      <c r="B228">
        <f ca="1">INDEX(LocalAreas.csv!G:G,RANDBETWEEN(2,88))</f>
        <v>200037</v>
      </c>
      <c r="C228" t="str">
        <f t="shared" ca="1" si="18"/>
        <v>rg{'id': '200037'}'</v>
      </c>
      <c r="D228" s="1" t="str">
        <f ca="1">MID(Names!G107,FIND(" ",Names!G107)+1,LEN(Names!G107)-FIND(" ", Names!G107))&amp;" "&amp;INDEX(PROJ_EXT_Name,RANDBETWEEN(2,12))</f>
        <v>McGill Road Bridge</v>
      </c>
      <c r="E228" s="1" t="s">
        <v>7094</v>
      </c>
      <c r="F228">
        <f>IF(ISNUMBER(#REF!),#REF!+1,40000)</f>
        <v>40000</v>
      </c>
      <c r="G228">
        <f>IF(ISNUMBER(#REF!),#REF!+1,500000)</f>
        <v>500000</v>
      </c>
      <c r="H228" t="s">
        <v>6694</v>
      </c>
      <c r="I228" s="8">
        <f>IF(ISNUMBER(#REF!),#REF!+1,600000)</f>
        <v>600000</v>
      </c>
      <c r="J228" t="s">
        <v>6517</v>
      </c>
      <c r="K228" t="str">
        <f>IFERROR(VLOOKUP(E228,Contacts.csv!C:D,2,FALSE),"")</f>
        <v/>
      </c>
      <c r="L228" t="str">
        <f t="shared" si="22"/>
        <v>rg:None</v>
      </c>
      <c r="M228" s="4" t="str">
        <f t="shared" si="23"/>
        <v>rg:[]</v>
      </c>
      <c r="N228" t="s">
        <v>6517</v>
      </c>
      <c r="O228" t="s">
        <v>6517</v>
      </c>
      <c r="P228" t="s">
        <v>6517</v>
      </c>
    </row>
    <row r="229" spans="1:16" x14ac:dyDescent="0.3">
      <c r="A229" t="s">
        <v>5388</v>
      </c>
      <c r="B229">
        <f ca="1">INDEX(LocalAreas.csv!G:G,RANDBETWEEN(2,88))</f>
        <v>200039</v>
      </c>
      <c r="C229" t="str">
        <f t="shared" ca="1" si="18"/>
        <v>rg{'id': '200039'}'</v>
      </c>
      <c r="D229" s="1" t="str">
        <f ca="1">MID(Names!G108,FIND(" ",Names!G108)+1,LEN(Names!G108)-FIND(" ", Names!G108))&amp;" "&amp;INDEX(PROJ_EXT_Name,RANDBETWEEN(2,12))</f>
        <v>Russell Avenue Overpass</v>
      </c>
      <c r="E229" s="1" t="s">
        <v>7095</v>
      </c>
      <c r="F229">
        <f t="shared" si="19"/>
        <v>40001</v>
      </c>
      <c r="G229">
        <f t="shared" si="20"/>
        <v>500001</v>
      </c>
      <c r="H229" t="s">
        <v>6694</v>
      </c>
      <c r="I229" s="8">
        <f t="shared" si="21"/>
        <v>600001</v>
      </c>
      <c r="J229" t="s">
        <v>6517</v>
      </c>
      <c r="K229" t="str">
        <f>IFERROR(VLOOKUP(E229,Contacts.csv!C:D,2,FALSE),"")</f>
        <v/>
      </c>
      <c r="L229" t="str">
        <f t="shared" si="22"/>
        <v>rg:None</v>
      </c>
      <c r="M229" s="4" t="str">
        <f t="shared" si="23"/>
        <v>rg:[]</v>
      </c>
      <c r="N229" t="s">
        <v>6517</v>
      </c>
      <c r="O229" t="s">
        <v>6517</v>
      </c>
      <c r="P229" t="s">
        <v>6517</v>
      </c>
    </row>
    <row r="230" spans="1:16" x14ac:dyDescent="0.3">
      <c r="A230" t="s">
        <v>5388</v>
      </c>
      <c r="B230">
        <f ca="1">INDEX(LocalAreas.csv!G:G,RANDBETWEEN(2,88))</f>
        <v>200060</v>
      </c>
      <c r="C230" t="str">
        <f t="shared" ca="1" si="18"/>
        <v>rg{'id': '200060'}'</v>
      </c>
      <c r="D230" s="1" t="str">
        <f ca="1">MID(Names!G109,FIND(" ",Names!G109)+1,LEN(Names!G109)-FIND(" ", Names!G109))&amp;" "&amp;INDEX(PROJ_EXT_Name,RANDBETWEEN(2,12))</f>
        <v>Cardero St HOV Lane</v>
      </c>
      <c r="E230" s="1" t="s">
        <v>6922</v>
      </c>
      <c r="F230">
        <f t="shared" si="19"/>
        <v>40002</v>
      </c>
      <c r="G230">
        <f t="shared" si="20"/>
        <v>500002</v>
      </c>
      <c r="H230" t="s">
        <v>6694</v>
      </c>
      <c r="I230" s="8">
        <f t="shared" si="21"/>
        <v>600002</v>
      </c>
      <c r="J230" t="s">
        <v>6517</v>
      </c>
      <c r="K230" t="str">
        <f>IFERROR(VLOOKUP(E230,Contacts.csv!C:D,2,FALSE),"")</f>
        <v/>
      </c>
      <c r="L230" t="str">
        <f t="shared" si="22"/>
        <v>rg:None</v>
      </c>
      <c r="M230" s="4" t="str">
        <f t="shared" si="23"/>
        <v>rg:[]</v>
      </c>
      <c r="N230" t="s">
        <v>6517</v>
      </c>
      <c r="O230" t="s">
        <v>6517</v>
      </c>
      <c r="P230" t="s">
        <v>6517</v>
      </c>
    </row>
    <row r="231" spans="1:16" x14ac:dyDescent="0.3">
      <c r="A231" t="s">
        <v>5388</v>
      </c>
      <c r="B231">
        <f ca="1">INDEX(LocalAreas.csv!G:G,RANDBETWEEN(2,88))</f>
        <v>200063</v>
      </c>
      <c r="C231" t="str">
        <f t="shared" ca="1" si="18"/>
        <v>rg{'id': '200063'}'</v>
      </c>
      <c r="D231" s="1" t="str">
        <f ca="1">MID(Names!G110,FIND(" ",Names!G110)+1,LEN(Names!G110)-FIND(" ", Names!G110))&amp;" "&amp;INDEX(PROJ_EXT_Name,RANDBETWEEN(2,12))</f>
        <v>Findlay Creek Road Cloverleaf</v>
      </c>
      <c r="E231" s="1" t="s">
        <v>7096</v>
      </c>
      <c r="F231">
        <f t="shared" si="19"/>
        <v>40003</v>
      </c>
      <c r="G231">
        <f t="shared" si="20"/>
        <v>500003</v>
      </c>
      <c r="H231" t="s">
        <v>6694</v>
      </c>
      <c r="I231" s="8">
        <f t="shared" si="21"/>
        <v>600003</v>
      </c>
      <c r="J231" t="s">
        <v>6517</v>
      </c>
      <c r="K231" t="str">
        <f>IFERROR(VLOOKUP(E231,Contacts.csv!C:D,2,FALSE),"")</f>
        <v/>
      </c>
      <c r="L231" t="str">
        <f t="shared" si="22"/>
        <v>rg:None</v>
      </c>
      <c r="M231" s="4" t="str">
        <f t="shared" si="23"/>
        <v>rg:[]</v>
      </c>
      <c r="N231" t="s">
        <v>6517</v>
      </c>
      <c r="O231" t="s">
        <v>6517</v>
      </c>
      <c r="P231" t="s">
        <v>6517</v>
      </c>
    </row>
    <row r="232" spans="1:16" x14ac:dyDescent="0.3">
      <c r="A232" t="s">
        <v>5388</v>
      </c>
      <c r="B232">
        <f ca="1">INDEX(LocalAreas.csv!G:G,RANDBETWEEN(2,88))</f>
        <v>200001</v>
      </c>
      <c r="C232" t="str">
        <f t="shared" ca="1" si="18"/>
        <v>rg{'id': '200001'}'</v>
      </c>
      <c r="D232" s="1" t="str">
        <f ca="1">MID(Names!G111,FIND(" ",Names!G111)+1,LEN(Names!G111)-FIND(" ", Names!G111))&amp;" "&amp;INDEX(PROJ_EXT_Name,RANDBETWEEN(2,12))</f>
        <v>Queens Bay Extension</v>
      </c>
      <c r="E232" s="1" t="s">
        <v>7036</v>
      </c>
      <c r="F232">
        <f t="shared" si="19"/>
        <v>40004</v>
      </c>
      <c r="G232">
        <f t="shared" si="20"/>
        <v>500004</v>
      </c>
      <c r="H232" t="s">
        <v>6694</v>
      </c>
      <c r="I232" s="8">
        <f t="shared" si="21"/>
        <v>600004</v>
      </c>
      <c r="J232" t="s">
        <v>6517</v>
      </c>
      <c r="K232" t="str">
        <f>IFERROR(VLOOKUP(E232,Contacts.csv!C:D,2,FALSE),"")</f>
        <v/>
      </c>
      <c r="L232" t="str">
        <f t="shared" si="22"/>
        <v>rg:None</v>
      </c>
      <c r="M232" s="4" t="str">
        <f t="shared" si="23"/>
        <v>rg:[]</v>
      </c>
      <c r="N232" t="s">
        <v>6517</v>
      </c>
      <c r="O232" t="s">
        <v>6517</v>
      </c>
      <c r="P232" t="s">
        <v>6517</v>
      </c>
    </row>
    <row r="233" spans="1:16" x14ac:dyDescent="0.3">
      <c r="A233" t="s">
        <v>5388</v>
      </c>
      <c r="B233">
        <f ca="1">INDEX(LocalAreas.csv!G:G,RANDBETWEEN(2,88))</f>
        <v>200021</v>
      </c>
      <c r="C233" t="str">
        <f t="shared" ca="1" si="18"/>
        <v>rg{'id': '200021'}'</v>
      </c>
      <c r="D233" s="1" t="str">
        <f ca="1">MID(Names!G112,FIND(" ",Names!G112)+1,LEN(Names!G112)-FIND(" ", Names!G112))&amp;" "&amp;INDEX(PROJ_EXT_Name,RANDBETWEEN(2,12))</f>
        <v>Brew Creek Rd Overpass</v>
      </c>
      <c r="E233" s="1" t="s">
        <v>6916</v>
      </c>
      <c r="F233">
        <f t="shared" si="19"/>
        <v>40005</v>
      </c>
      <c r="G233">
        <f t="shared" si="20"/>
        <v>500005</v>
      </c>
      <c r="H233" t="s">
        <v>6694</v>
      </c>
      <c r="I233" s="8">
        <f t="shared" si="21"/>
        <v>600005</v>
      </c>
      <c r="J233" t="s">
        <v>6517</v>
      </c>
      <c r="K233" t="str">
        <f>IFERROR(VLOOKUP(E233,Contacts.csv!C:D,2,FALSE),"")</f>
        <v/>
      </c>
      <c r="L233" t="str">
        <f t="shared" si="22"/>
        <v>rg:None</v>
      </c>
      <c r="M233" s="4" t="str">
        <f t="shared" si="23"/>
        <v>rg:[]</v>
      </c>
      <c r="N233" t="s">
        <v>6517</v>
      </c>
      <c r="O233" t="s">
        <v>6517</v>
      </c>
      <c r="P233" t="s">
        <v>6517</v>
      </c>
    </row>
    <row r="234" spans="1:16" x14ac:dyDescent="0.3">
      <c r="A234" t="s">
        <v>5388</v>
      </c>
      <c r="B234">
        <f ca="1">INDEX(LocalAreas.csv!G:G,RANDBETWEEN(2,88))</f>
        <v>200053</v>
      </c>
      <c r="C234" t="str">
        <f t="shared" ca="1" si="18"/>
        <v>rg{'id': '200053'}'</v>
      </c>
      <c r="D234" s="1" t="str">
        <f ca="1">MID(Names!G113,FIND(" ",Names!G113)+1,LEN(Names!G113)-FIND(" ", Names!G113))&amp;" "&amp;INDEX(PROJ_EXT_Name,RANDBETWEEN(2,12))</f>
        <v>Robson St Express Lane</v>
      </c>
      <c r="E234" s="1" t="s">
        <v>6992</v>
      </c>
      <c r="F234">
        <f t="shared" si="19"/>
        <v>40006</v>
      </c>
      <c r="G234">
        <f t="shared" si="20"/>
        <v>500006</v>
      </c>
      <c r="H234" t="s">
        <v>6694</v>
      </c>
      <c r="I234" s="8">
        <f t="shared" si="21"/>
        <v>600006</v>
      </c>
      <c r="J234" t="s">
        <v>6517</v>
      </c>
      <c r="K234" t="str">
        <f>IFERROR(VLOOKUP(E234,Contacts.csv!C:D,2,FALSE),"")</f>
        <v/>
      </c>
      <c r="L234" t="str">
        <f t="shared" si="22"/>
        <v>rg:None</v>
      </c>
      <c r="M234" s="4" t="str">
        <f t="shared" si="23"/>
        <v>rg:[]</v>
      </c>
      <c r="N234" t="s">
        <v>6517</v>
      </c>
      <c r="O234" t="s">
        <v>6517</v>
      </c>
      <c r="P234" t="s">
        <v>6517</v>
      </c>
    </row>
    <row r="235" spans="1:16" x14ac:dyDescent="0.3">
      <c r="A235" t="s">
        <v>5388</v>
      </c>
      <c r="B235">
        <f ca="1">INDEX(LocalAreas.csv!G:G,RANDBETWEEN(2,88))</f>
        <v>200041</v>
      </c>
      <c r="C235" t="str">
        <f t="shared" ca="1" si="18"/>
        <v>rg{'id': '200041'}'</v>
      </c>
      <c r="D235" s="1" t="str">
        <f ca="1">MID(Names!G114,FIND(" ",Names!G114)+1,LEN(Names!G114)-FIND(" ", Names!G114))&amp;" "&amp;INDEX(PROJ_EXT_Name,RANDBETWEEN(2,12))</f>
        <v>Roger Street Cloverleaf</v>
      </c>
      <c r="E235" s="1" t="s">
        <v>6941</v>
      </c>
      <c r="F235">
        <f t="shared" si="19"/>
        <v>40007</v>
      </c>
      <c r="G235">
        <f t="shared" si="20"/>
        <v>500007</v>
      </c>
      <c r="H235" t="s">
        <v>6694</v>
      </c>
      <c r="I235" s="8">
        <f t="shared" si="21"/>
        <v>600007</v>
      </c>
      <c r="J235" t="s">
        <v>6517</v>
      </c>
      <c r="K235" t="str">
        <f>IFERROR(VLOOKUP(E235,Contacts.csv!C:D,2,FALSE),"")</f>
        <v/>
      </c>
      <c r="L235" t="str">
        <f t="shared" si="22"/>
        <v>rg:None</v>
      </c>
      <c r="M235" s="4" t="str">
        <f t="shared" si="23"/>
        <v>rg:[]</v>
      </c>
      <c r="N235" t="s">
        <v>6517</v>
      </c>
      <c r="O235" t="s">
        <v>6517</v>
      </c>
      <c r="P235" t="s">
        <v>6517</v>
      </c>
    </row>
    <row r="236" spans="1:16" x14ac:dyDescent="0.3">
      <c r="A236" t="s">
        <v>5388</v>
      </c>
      <c r="B236">
        <f ca="1">INDEX(LocalAreas.csv!G:G,RANDBETWEEN(2,88))</f>
        <v>200059</v>
      </c>
      <c r="C236" t="str">
        <f t="shared" ca="1" si="18"/>
        <v>rg{'id': '200059'}'</v>
      </c>
      <c r="D236" s="1" t="str">
        <f ca="1">MID(Names!G115,FIND(" ",Names!G115)+1,LEN(Names!G115)-FIND(" ", Names!G115))&amp;" "&amp;INDEX(PROJ_EXT_Name,RANDBETWEEN(2,12))</f>
        <v>Queens Bay Building</v>
      </c>
      <c r="E236" s="1" t="s">
        <v>6946</v>
      </c>
      <c r="F236">
        <f t="shared" si="19"/>
        <v>40008</v>
      </c>
      <c r="G236">
        <f t="shared" si="20"/>
        <v>500008</v>
      </c>
      <c r="H236" t="s">
        <v>6694</v>
      </c>
      <c r="I236" s="8">
        <f t="shared" si="21"/>
        <v>600008</v>
      </c>
      <c r="J236" t="s">
        <v>6517</v>
      </c>
      <c r="K236" t="str">
        <f>IFERROR(VLOOKUP(E236,Contacts.csv!C:D,2,FALSE),"")</f>
        <v/>
      </c>
      <c r="L236" t="str">
        <f t="shared" si="22"/>
        <v>rg:None</v>
      </c>
      <c r="M236" s="4" t="str">
        <f t="shared" si="23"/>
        <v>rg:[]</v>
      </c>
      <c r="N236" t="s">
        <v>6517</v>
      </c>
      <c r="O236" t="s">
        <v>6517</v>
      </c>
      <c r="P236" t="s">
        <v>6517</v>
      </c>
    </row>
    <row r="237" spans="1:16" x14ac:dyDescent="0.3">
      <c r="A237" t="s">
        <v>5388</v>
      </c>
      <c r="B237">
        <f ca="1">INDEX(LocalAreas.csv!G:G,RANDBETWEEN(2,88))</f>
        <v>200016</v>
      </c>
      <c r="C237" t="str">
        <f t="shared" ca="1" si="18"/>
        <v>rg{'id': '200016'}'</v>
      </c>
      <c r="D237" s="1" t="str">
        <f ca="1">MID(Names!G117,FIND(" ",Names!G117)+1,LEN(Names!G117)-FIND(" ", Names!G117))&amp;" "&amp;INDEX(PROJ_EXT_Name,RANDBETWEEN(2,12))</f>
        <v>Brew Creek Rd Expressway</v>
      </c>
      <c r="E237" s="1" t="s">
        <v>7097</v>
      </c>
      <c r="F237">
        <f>IF(ISNUMBER(#REF!),#REF!+1,40000)</f>
        <v>40000</v>
      </c>
      <c r="G237">
        <f>IF(ISNUMBER(#REF!),#REF!+1,500000)</f>
        <v>500000</v>
      </c>
      <c r="H237" t="s">
        <v>6694</v>
      </c>
      <c r="I237" s="8">
        <f>IF(ISNUMBER(#REF!),#REF!+1,600000)</f>
        <v>600000</v>
      </c>
      <c r="J237" t="s">
        <v>6517</v>
      </c>
      <c r="K237" t="str">
        <f>IFERROR(VLOOKUP(E237,Contacts.csv!C:D,2,FALSE),"")</f>
        <v/>
      </c>
      <c r="L237" t="str">
        <f t="shared" si="22"/>
        <v>rg:None</v>
      </c>
      <c r="M237" s="4" t="str">
        <f t="shared" si="23"/>
        <v>rg:[]</v>
      </c>
      <c r="N237" t="s">
        <v>6517</v>
      </c>
      <c r="O237" t="s">
        <v>6517</v>
      </c>
      <c r="P237" t="s">
        <v>6517</v>
      </c>
    </row>
    <row r="238" spans="1:16" x14ac:dyDescent="0.3">
      <c r="A238" t="s">
        <v>5388</v>
      </c>
      <c r="B238">
        <f ca="1">INDEX(LocalAreas.csv!G:G,RANDBETWEEN(2,88))</f>
        <v>200013</v>
      </c>
      <c r="C238" t="str">
        <f t="shared" ca="1" si="18"/>
        <v>rg{'id': '200013'}'</v>
      </c>
      <c r="D238" s="1" t="str">
        <f ca="1">MID(Names!G118,FIND(" ",Names!G118)+1,LEN(Names!G118)-FIND(" ", Names!G118))&amp;" "&amp;INDEX(PROJ_EXT_Name,RANDBETWEEN(2,12))</f>
        <v>Roger Street Bypass</v>
      </c>
      <c r="E238" s="1" t="s">
        <v>6909</v>
      </c>
      <c r="F238">
        <f t="shared" si="19"/>
        <v>40001</v>
      </c>
      <c r="G238">
        <f t="shared" si="20"/>
        <v>500001</v>
      </c>
      <c r="H238" t="s">
        <v>6694</v>
      </c>
      <c r="I238" s="8">
        <f t="shared" si="21"/>
        <v>600001</v>
      </c>
      <c r="J238" t="s">
        <v>6517</v>
      </c>
      <c r="K238" t="str">
        <f>IFERROR(VLOOKUP(E238,Contacts.csv!C:D,2,FALSE),"")</f>
        <v/>
      </c>
      <c r="L238" t="str">
        <f t="shared" si="22"/>
        <v>rg:None</v>
      </c>
      <c r="M238" s="4" t="str">
        <f t="shared" si="23"/>
        <v>rg:[]</v>
      </c>
      <c r="N238" t="s">
        <v>6517</v>
      </c>
      <c r="O238" t="s">
        <v>6517</v>
      </c>
      <c r="P238" t="s">
        <v>6517</v>
      </c>
    </row>
    <row r="239" spans="1:16" x14ac:dyDescent="0.3">
      <c r="A239" t="s">
        <v>5388</v>
      </c>
      <c r="B239">
        <f ca="1">INDEX(LocalAreas.csv!G:G,RANDBETWEEN(2,88))</f>
        <v>200069</v>
      </c>
      <c r="C239" t="str">
        <f t="shared" ca="1" si="18"/>
        <v>rg{'id': '200069'}'</v>
      </c>
      <c r="D239" s="1" t="str">
        <f ca="1">MID(Names!G119,FIND(" ",Names!G119)+1,LEN(Names!G119)-FIND(" ", Names!G119))&amp;" "&amp;INDEX(PROJ_EXT_Name,RANDBETWEEN(2,12))</f>
        <v>Quayside Dr Express Lane</v>
      </c>
      <c r="E239" s="1" t="s">
        <v>7098</v>
      </c>
      <c r="F239">
        <f t="shared" si="19"/>
        <v>40002</v>
      </c>
      <c r="G239">
        <f t="shared" si="20"/>
        <v>500002</v>
      </c>
      <c r="H239" t="s">
        <v>6694</v>
      </c>
      <c r="I239" s="8">
        <f t="shared" si="21"/>
        <v>600002</v>
      </c>
      <c r="J239" t="s">
        <v>6517</v>
      </c>
      <c r="K239" t="str">
        <f>IFERROR(VLOOKUP(E239,Contacts.csv!C:D,2,FALSE),"")</f>
        <v/>
      </c>
      <c r="L239" t="str">
        <f t="shared" si="22"/>
        <v>rg:None</v>
      </c>
      <c r="M239" s="4" t="str">
        <f t="shared" si="23"/>
        <v>rg:[]</v>
      </c>
      <c r="N239" t="s">
        <v>6517</v>
      </c>
      <c r="O239" t="s">
        <v>6517</v>
      </c>
      <c r="P239" t="s">
        <v>6517</v>
      </c>
    </row>
    <row r="240" spans="1:16" x14ac:dyDescent="0.3">
      <c r="A240" t="s">
        <v>5388</v>
      </c>
      <c r="B240">
        <f ca="1">INDEX(LocalAreas.csv!G:G,RANDBETWEEN(2,88))</f>
        <v>200009</v>
      </c>
      <c r="C240" t="str">
        <f t="shared" ca="1" si="18"/>
        <v>rg{'id': '200009'}'</v>
      </c>
      <c r="D240" s="1" t="str">
        <f ca="1">MID(Names!G120,FIND(" ",Names!G120)+1,LEN(Names!G120)-FIND(" ", Names!G120))&amp;" "&amp;INDEX(PROJ_EXT_Name,RANDBETWEEN(2,12))</f>
        <v>Haaglund Rd Extension</v>
      </c>
      <c r="E240" s="1" t="s">
        <v>6964</v>
      </c>
      <c r="F240">
        <f t="shared" si="19"/>
        <v>40003</v>
      </c>
      <c r="G240">
        <f t="shared" si="20"/>
        <v>500003</v>
      </c>
      <c r="H240" t="s">
        <v>6694</v>
      </c>
      <c r="I240" s="8">
        <f t="shared" si="21"/>
        <v>600003</v>
      </c>
      <c r="J240" t="s">
        <v>6517</v>
      </c>
      <c r="K240" t="str">
        <f>IFERROR(VLOOKUP(E240,Contacts.csv!C:D,2,FALSE),"")</f>
        <v/>
      </c>
      <c r="L240" t="str">
        <f t="shared" si="22"/>
        <v>rg:None</v>
      </c>
      <c r="M240" s="4" t="str">
        <f t="shared" si="23"/>
        <v>rg:[]</v>
      </c>
      <c r="N240" t="s">
        <v>6517</v>
      </c>
      <c r="O240" t="s">
        <v>6517</v>
      </c>
      <c r="P240" t="s">
        <v>6517</v>
      </c>
    </row>
    <row r="241" spans="1:16" x14ac:dyDescent="0.3">
      <c r="A241" t="s">
        <v>5388</v>
      </c>
      <c r="B241">
        <f ca="1">INDEX(LocalAreas.csv!G:G,RANDBETWEEN(2,88))</f>
        <v>200079</v>
      </c>
      <c r="C241" t="str">
        <f t="shared" ca="1" si="18"/>
        <v>rg{'id': '200079'}'</v>
      </c>
      <c r="D241" s="1" t="str">
        <f ca="1">MID(Names!G121,FIND(" ",Names!G121)+1,LEN(Names!G121)-FIND(" ", Names!G121))&amp;" "&amp;INDEX(PROJ_EXT_Name,RANDBETWEEN(2,12))</f>
        <v>Tchesinkut Lake Rd Extension</v>
      </c>
      <c r="E241" s="1" t="s">
        <v>7099</v>
      </c>
      <c r="F241">
        <f t="shared" si="19"/>
        <v>40004</v>
      </c>
      <c r="G241">
        <f t="shared" si="20"/>
        <v>500004</v>
      </c>
      <c r="H241" t="s">
        <v>6694</v>
      </c>
      <c r="I241" s="8">
        <f t="shared" si="21"/>
        <v>600004</v>
      </c>
      <c r="J241" t="s">
        <v>6517</v>
      </c>
      <c r="K241" t="str">
        <f>IFERROR(VLOOKUP(E241,Contacts.csv!C:D,2,FALSE),"")</f>
        <v/>
      </c>
      <c r="L241" t="str">
        <f t="shared" si="22"/>
        <v>rg:None</v>
      </c>
      <c r="M241" s="4" t="str">
        <f t="shared" si="23"/>
        <v>rg:[]</v>
      </c>
      <c r="N241" t="s">
        <v>6517</v>
      </c>
      <c r="O241" t="s">
        <v>6517</v>
      </c>
      <c r="P241" t="s">
        <v>6517</v>
      </c>
    </row>
    <row r="242" spans="1:16" x14ac:dyDescent="0.3">
      <c r="A242" t="s">
        <v>5388</v>
      </c>
      <c r="B242">
        <f ca="1">INDEX(LocalAreas.csv!G:G,RANDBETWEEN(2,88))</f>
        <v>200032</v>
      </c>
      <c r="C242" t="str">
        <f t="shared" ca="1" si="18"/>
        <v>rg{'id': '200032'}'</v>
      </c>
      <c r="D242" s="1" t="str">
        <f ca="1">MID(Names!G122,FIND(" ",Names!G122)+1,LEN(Names!G122)-FIND(" ", Names!G122))&amp;" "&amp;INDEX(PROJ_EXT_Name,RANDBETWEEN(2,12))</f>
        <v>Roger Street Building</v>
      </c>
      <c r="E242" s="1" t="s">
        <v>6954</v>
      </c>
      <c r="F242">
        <f t="shared" si="19"/>
        <v>40005</v>
      </c>
      <c r="G242">
        <f t="shared" si="20"/>
        <v>500005</v>
      </c>
      <c r="H242" t="s">
        <v>6694</v>
      </c>
      <c r="I242" s="8">
        <f t="shared" si="21"/>
        <v>600005</v>
      </c>
      <c r="J242" t="s">
        <v>6517</v>
      </c>
      <c r="K242" t="str">
        <f>IFERROR(VLOOKUP(E242,Contacts.csv!C:D,2,FALSE),"")</f>
        <v/>
      </c>
      <c r="L242" t="str">
        <f t="shared" si="22"/>
        <v>rg:None</v>
      </c>
      <c r="M242" s="4" t="str">
        <f t="shared" si="23"/>
        <v>rg:[]</v>
      </c>
      <c r="N242" t="s">
        <v>6517</v>
      </c>
      <c r="O242" t="s">
        <v>6517</v>
      </c>
      <c r="P242" t="s">
        <v>6517</v>
      </c>
    </row>
    <row r="243" spans="1:16" x14ac:dyDescent="0.3">
      <c r="A243" t="s">
        <v>5388</v>
      </c>
      <c r="B243">
        <f ca="1">INDEX(LocalAreas.csv!G:G,RANDBETWEEN(2,88))</f>
        <v>200048</v>
      </c>
      <c r="C243" t="str">
        <f t="shared" ca="1" si="18"/>
        <v>rg{'id': '200048'}'</v>
      </c>
      <c r="D243" s="1" t="str">
        <f ca="1">MID(Names!G123,FIND(" ",Names!G123)+1,LEN(Names!G123)-FIND(" ", Names!G123))&amp;" "&amp;INDEX(PROJ_EXT_Name,RANDBETWEEN(2,12))</f>
        <v>Glover Road Extension</v>
      </c>
      <c r="E243" s="1" t="s">
        <v>7081</v>
      </c>
      <c r="F243">
        <f t="shared" si="19"/>
        <v>40006</v>
      </c>
      <c r="G243">
        <f t="shared" si="20"/>
        <v>500006</v>
      </c>
      <c r="H243" t="s">
        <v>6694</v>
      </c>
      <c r="I243" s="8">
        <f t="shared" si="21"/>
        <v>600006</v>
      </c>
      <c r="J243" t="s">
        <v>6517</v>
      </c>
      <c r="K243" t="str">
        <f>IFERROR(VLOOKUP(E243,Contacts.csv!C:D,2,FALSE),"")</f>
        <v/>
      </c>
      <c r="L243" t="str">
        <f t="shared" si="22"/>
        <v>rg:None</v>
      </c>
      <c r="M243" s="4" t="str">
        <f t="shared" si="23"/>
        <v>rg:[]</v>
      </c>
      <c r="N243" t="s">
        <v>6517</v>
      </c>
      <c r="O243" t="s">
        <v>6517</v>
      </c>
      <c r="P243" t="s">
        <v>6517</v>
      </c>
    </row>
    <row r="244" spans="1:16" x14ac:dyDescent="0.3">
      <c r="A244" t="s">
        <v>5388</v>
      </c>
      <c r="B244">
        <f ca="1">INDEX(LocalAreas.csv!G:G,RANDBETWEEN(2,88))</f>
        <v>200036</v>
      </c>
      <c r="C244" t="str">
        <f t="shared" ca="1" si="18"/>
        <v>rg{'id': '200036'}'</v>
      </c>
      <c r="D244" s="1" t="str">
        <f ca="1">MID(Names!G124,FIND(" ",Names!G124)+1,LEN(Names!G124)-FIND(" ", Names!G124))&amp;" "&amp;INDEX(PROJ_EXT_Name,RANDBETWEEN(2,12))</f>
        <v>Stum Lake Road Bypass</v>
      </c>
      <c r="E244" s="1" t="s">
        <v>7100</v>
      </c>
      <c r="F244">
        <f t="shared" si="19"/>
        <v>40007</v>
      </c>
      <c r="G244">
        <f t="shared" si="20"/>
        <v>500007</v>
      </c>
      <c r="H244" t="s">
        <v>6694</v>
      </c>
      <c r="I244" s="8">
        <f t="shared" si="21"/>
        <v>600007</v>
      </c>
      <c r="J244" t="s">
        <v>6517</v>
      </c>
      <c r="K244" t="str">
        <f>IFERROR(VLOOKUP(E244,Contacts.csv!C:D,2,FALSE),"")</f>
        <v/>
      </c>
      <c r="L244" t="str">
        <f t="shared" si="22"/>
        <v>rg:None</v>
      </c>
      <c r="M244" s="4" t="str">
        <f t="shared" si="23"/>
        <v>rg:[]</v>
      </c>
      <c r="N244" t="s">
        <v>6517</v>
      </c>
      <c r="O244" t="s">
        <v>6517</v>
      </c>
      <c r="P244" t="s">
        <v>6517</v>
      </c>
    </row>
    <row r="245" spans="1:16" x14ac:dyDescent="0.3">
      <c r="A245" t="s">
        <v>5388</v>
      </c>
      <c r="B245">
        <f ca="1">INDEX(LocalAreas.csv!G:G,RANDBETWEEN(2,88))</f>
        <v>200072</v>
      </c>
      <c r="C245" t="str">
        <f t="shared" ref="C245:C284" ca="1" si="24">"rg{'id': '"&amp;B245&amp;"'}'"</f>
        <v>rg{'id': '200072'}'</v>
      </c>
      <c r="D245" s="1" t="str">
        <f ca="1">MID(Names!G125,FIND(" ",Names!G125)+1,LEN(Names!G125)-FIND(" ", Names!G125))&amp;" "&amp;INDEX(PROJ_EXT_Name,RANDBETWEEN(2,12))</f>
        <v>Queens Bay Cloverleaf</v>
      </c>
      <c r="E245" s="1" t="s">
        <v>7001</v>
      </c>
      <c r="F245">
        <f t="shared" ref="F245:F284" si="25">IF(ISNUMBER(F244),F244+1,40000)</f>
        <v>40008</v>
      </c>
      <c r="G245">
        <f t="shared" ref="G245:G284" si="26">IF(ISNUMBER(G244),G244+1,500000)</f>
        <v>500008</v>
      </c>
      <c r="H245" t="s">
        <v>6694</v>
      </c>
      <c r="I245" s="8">
        <f t="shared" ref="I245:I284" si="27">IF(ISNUMBER(I244),I244+1,600000)</f>
        <v>600008</v>
      </c>
      <c r="J245" t="s">
        <v>6517</v>
      </c>
      <c r="K245" t="str">
        <f>IFERROR(VLOOKUP(E245,Contacts.csv!C:D,2,FALSE),"")</f>
        <v/>
      </c>
      <c r="L245" t="str">
        <f t="shared" ref="L245:L284" si="28">IF(1=1,"rg:None", IF(ISNUMBER(K245),"rg:{'id':'" &amp; K245 &amp; "'}","rg:None"))</f>
        <v>rg:None</v>
      </c>
      <c r="M245" s="4" t="str">
        <f t="shared" ref="M245:M284" si="29">IF(1=1,"rg:[]", IF(ISNUMBER(K245),"rg:[{'id':'" &amp; K245 &amp; "'}]","rg:[]"))</f>
        <v>rg:[]</v>
      </c>
      <c r="N245" t="s">
        <v>6517</v>
      </c>
      <c r="O245" t="s">
        <v>6517</v>
      </c>
      <c r="P245" t="s">
        <v>6517</v>
      </c>
    </row>
    <row r="246" spans="1:16" x14ac:dyDescent="0.3">
      <c r="A246" t="s">
        <v>5388</v>
      </c>
      <c r="B246">
        <f ca="1">INDEX(LocalAreas.csv!G:G,RANDBETWEEN(2,88))</f>
        <v>200000</v>
      </c>
      <c r="C246" t="str">
        <f t="shared" ca="1" si="24"/>
        <v>rg{'id': '200000'}'</v>
      </c>
      <c r="D246" s="1" t="str">
        <f ca="1">MID(Names!G126,FIND(" ",Names!G126)+1,LEN(Names!G126)-FIND(" ", Names!G126))&amp;" "&amp;INDEX(PROJ_EXT_Name,RANDBETWEEN(2,12))</f>
        <v>Shaughnessy St Express Lane</v>
      </c>
      <c r="E246" s="1" t="s">
        <v>7101</v>
      </c>
      <c r="F246">
        <f t="shared" si="25"/>
        <v>40009</v>
      </c>
      <c r="G246">
        <f t="shared" si="26"/>
        <v>500009</v>
      </c>
      <c r="H246" t="s">
        <v>6694</v>
      </c>
      <c r="I246" s="8">
        <f t="shared" si="27"/>
        <v>600009</v>
      </c>
      <c r="J246" t="s">
        <v>6517</v>
      </c>
      <c r="K246" t="str">
        <f>IFERROR(VLOOKUP(E246,Contacts.csv!C:D,2,FALSE),"")</f>
        <v/>
      </c>
      <c r="L246" t="str">
        <f t="shared" si="28"/>
        <v>rg:None</v>
      </c>
      <c r="M246" s="4" t="str">
        <f t="shared" si="29"/>
        <v>rg:[]</v>
      </c>
      <c r="N246" t="s">
        <v>6517</v>
      </c>
      <c r="O246" t="s">
        <v>6517</v>
      </c>
      <c r="P246" t="s">
        <v>6517</v>
      </c>
    </row>
    <row r="247" spans="1:16" x14ac:dyDescent="0.3">
      <c r="A247" t="s">
        <v>5388</v>
      </c>
      <c r="B247">
        <f ca="1">INDEX(LocalAreas.csv!G:G,RANDBETWEEN(2,88))</f>
        <v>200018</v>
      </c>
      <c r="C247" t="str">
        <f t="shared" ca="1" si="24"/>
        <v>rg{'id': '200018'}'</v>
      </c>
      <c r="D247" s="1" t="str">
        <f ca="1">MID(Names!G128,FIND(" ",Names!G128)+1,LEN(Names!G128)-FIND(" ", Names!G128))&amp;" "&amp;INDEX(PROJ_EXT_Name,RANDBETWEEN(2,12))</f>
        <v>Shaughnessy St Express Lane</v>
      </c>
      <c r="E247" s="1" t="s">
        <v>6953</v>
      </c>
      <c r="F247">
        <f>IF(ISNUMBER(#REF!),#REF!+1,40000)</f>
        <v>40000</v>
      </c>
      <c r="G247">
        <f>IF(ISNUMBER(#REF!),#REF!+1,500000)</f>
        <v>500000</v>
      </c>
      <c r="H247" t="s">
        <v>6694</v>
      </c>
      <c r="I247" s="8">
        <f>IF(ISNUMBER(#REF!),#REF!+1,600000)</f>
        <v>600000</v>
      </c>
      <c r="J247" t="s">
        <v>6517</v>
      </c>
      <c r="K247" t="str">
        <f>IFERROR(VLOOKUP(E247,Contacts.csv!C:D,2,FALSE),"")</f>
        <v/>
      </c>
      <c r="L247" t="str">
        <f t="shared" si="28"/>
        <v>rg:None</v>
      </c>
      <c r="M247" s="4" t="str">
        <f t="shared" si="29"/>
        <v>rg:[]</v>
      </c>
      <c r="N247" t="s">
        <v>6517</v>
      </c>
      <c r="O247" t="s">
        <v>6517</v>
      </c>
      <c r="P247" t="s">
        <v>6517</v>
      </c>
    </row>
    <row r="248" spans="1:16" x14ac:dyDescent="0.3">
      <c r="A248" t="s">
        <v>5388</v>
      </c>
      <c r="B248">
        <f ca="1">INDEX(LocalAreas.csv!G:G,RANDBETWEEN(2,88))</f>
        <v>200081</v>
      </c>
      <c r="C248" t="str">
        <f t="shared" ca="1" si="24"/>
        <v>rg{'id': '200081'}'</v>
      </c>
      <c r="D248" s="1" t="str">
        <f ca="1">MID(Names!G129,FIND(" ",Names!G129)+1,LEN(Names!G129)-FIND(" ", Names!G129))&amp;" "&amp;INDEX(PROJ_EXT_Name,RANDBETWEEN(2,12))</f>
        <v>Cordova Street Express Lane</v>
      </c>
      <c r="E248" s="1" t="s">
        <v>7102</v>
      </c>
      <c r="F248">
        <f t="shared" si="25"/>
        <v>40001</v>
      </c>
      <c r="G248">
        <f t="shared" si="26"/>
        <v>500001</v>
      </c>
      <c r="H248" t="s">
        <v>6694</v>
      </c>
      <c r="I248" s="8">
        <f t="shared" si="27"/>
        <v>600001</v>
      </c>
      <c r="J248" t="s">
        <v>6517</v>
      </c>
      <c r="K248" t="str">
        <f>IFERROR(VLOOKUP(E248,Contacts.csv!C:D,2,FALSE),"")</f>
        <v/>
      </c>
      <c r="L248" t="str">
        <f t="shared" si="28"/>
        <v>rg:None</v>
      </c>
      <c r="M248" s="4" t="str">
        <f t="shared" si="29"/>
        <v>rg:[]</v>
      </c>
      <c r="N248" t="s">
        <v>6517</v>
      </c>
      <c r="O248" t="s">
        <v>6517</v>
      </c>
      <c r="P248" t="s">
        <v>6517</v>
      </c>
    </row>
    <row r="249" spans="1:16" x14ac:dyDescent="0.3">
      <c r="A249" t="s">
        <v>5388</v>
      </c>
      <c r="B249">
        <f ca="1">INDEX(LocalAreas.csv!G:G,RANDBETWEEN(2,88))</f>
        <v>200029</v>
      </c>
      <c r="C249" t="str">
        <f t="shared" ca="1" si="24"/>
        <v>rg{'id': '200029'}'</v>
      </c>
      <c r="D249" s="1" t="str">
        <f ca="1">MID(Names!G130,FIND(" ",Names!G130)+1,LEN(Names!G130)-FIND(" ", Names!G130))&amp;" "&amp;INDEX(PROJ_EXT_Name,RANDBETWEEN(2,12))</f>
        <v>Mesa Vista Drive Expressway</v>
      </c>
      <c r="E249" s="1" t="s">
        <v>7103</v>
      </c>
      <c r="F249">
        <f t="shared" si="25"/>
        <v>40002</v>
      </c>
      <c r="G249">
        <f t="shared" si="26"/>
        <v>500002</v>
      </c>
      <c r="H249" t="s">
        <v>6694</v>
      </c>
      <c r="I249" s="8">
        <f t="shared" si="27"/>
        <v>600002</v>
      </c>
      <c r="J249" t="s">
        <v>6517</v>
      </c>
      <c r="K249" t="str">
        <f>IFERROR(VLOOKUP(E249,Contacts.csv!C:D,2,FALSE),"")</f>
        <v/>
      </c>
      <c r="L249" t="str">
        <f t="shared" si="28"/>
        <v>rg:None</v>
      </c>
      <c r="M249" s="4" t="str">
        <f t="shared" si="29"/>
        <v>rg:[]</v>
      </c>
      <c r="N249" t="s">
        <v>6517</v>
      </c>
      <c r="O249" t="s">
        <v>6517</v>
      </c>
      <c r="P249" t="s">
        <v>6517</v>
      </c>
    </row>
    <row r="250" spans="1:16" x14ac:dyDescent="0.3">
      <c r="A250" t="s">
        <v>5388</v>
      </c>
      <c r="B250">
        <f ca="1">INDEX(LocalAreas.csv!G:G,RANDBETWEEN(2,88))</f>
        <v>200020</v>
      </c>
      <c r="C250" t="str">
        <f t="shared" ca="1" si="24"/>
        <v>rg{'id': '200020'}'</v>
      </c>
      <c r="D250" s="1" t="str">
        <f ca="1">MID(Names!G131,FIND(" ",Names!G131)+1,LEN(Names!G131)-FIND(" ", Names!G131))&amp;" "&amp;INDEX(PROJ_EXT_Name,RANDBETWEEN(2,12))</f>
        <v>Blanshard Bridge</v>
      </c>
      <c r="E250" s="1" t="s">
        <v>7104</v>
      </c>
      <c r="F250">
        <f t="shared" si="25"/>
        <v>40003</v>
      </c>
      <c r="G250">
        <f t="shared" si="26"/>
        <v>500003</v>
      </c>
      <c r="H250" t="s">
        <v>6694</v>
      </c>
      <c r="I250" s="8">
        <f t="shared" si="27"/>
        <v>600003</v>
      </c>
      <c r="J250" t="s">
        <v>6517</v>
      </c>
      <c r="K250" t="str">
        <f>IFERROR(VLOOKUP(E250,Contacts.csv!C:D,2,FALSE),"")</f>
        <v/>
      </c>
      <c r="L250" t="str">
        <f t="shared" si="28"/>
        <v>rg:None</v>
      </c>
      <c r="M250" s="4" t="str">
        <f t="shared" si="29"/>
        <v>rg:[]</v>
      </c>
      <c r="N250" t="s">
        <v>6517</v>
      </c>
      <c r="O250" t="s">
        <v>6517</v>
      </c>
      <c r="P250" t="s">
        <v>6517</v>
      </c>
    </row>
    <row r="251" spans="1:16" x14ac:dyDescent="0.3">
      <c r="A251" t="s">
        <v>5388</v>
      </c>
      <c r="B251">
        <f ca="1">INDEX(LocalAreas.csv!G:G,RANDBETWEEN(2,88))</f>
        <v>200057</v>
      </c>
      <c r="C251" t="str">
        <f t="shared" ca="1" si="24"/>
        <v>rg{'id': '200057'}'</v>
      </c>
      <c r="D251" s="1" t="str">
        <f ca="1">MID(Names!G132,FIND(" ",Names!G132)+1,LEN(Names!G132)-FIND(" ", Names!G132))&amp;" "&amp;INDEX(PROJ_EXT_Name,RANDBETWEEN(2,12))</f>
        <v>Roger Street Bridge Replacement</v>
      </c>
      <c r="E251" s="1" t="s">
        <v>6942</v>
      </c>
      <c r="F251">
        <f t="shared" si="25"/>
        <v>40004</v>
      </c>
      <c r="G251">
        <f t="shared" si="26"/>
        <v>500004</v>
      </c>
      <c r="H251" t="s">
        <v>6694</v>
      </c>
      <c r="I251" s="8">
        <f t="shared" si="27"/>
        <v>600004</v>
      </c>
      <c r="J251" t="s">
        <v>6517</v>
      </c>
      <c r="K251" t="str">
        <f>IFERROR(VLOOKUP(E251,Contacts.csv!C:D,2,FALSE),"")</f>
        <v/>
      </c>
      <c r="L251" t="str">
        <f t="shared" si="28"/>
        <v>rg:None</v>
      </c>
      <c r="M251" s="4" t="str">
        <f t="shared" si="29"/>
        <v>rg:[]</v>
      </c>
      <c r="N251" t="s">
        <v>6517</v>
      </c>
      <c r="O251" t="s">
        <v>6517</v>
      </c>
      <c r="P251" t="s">
        <v>6517</v>
      </c>
    </row>
    <row r="252" spans="1:16" x14ac:dyDescent="0.3">
      <c r="A252" t="s">
        <v>5388</v>
      </c>
      <c r="B252">
        <f ca="1">INDEX(LocalAreas.csv!G:G,RANDBETWEEN(2,88))</f>
        <v>200000</v>
      </c>
      <c r="C252" t="str">
        <f t="shared" ca="1" si="24"/>
        <v>rg{'id': '200000'}'</v>
      </c>
      <c r="D252" s="1" t="str">
        <f ca="1">MID(Names!G133,FIND(" ",Names!G133)+1,LEN(Names!G133)-FIND(" ", Names!G133))&amp;" "&amp;INDEX(PROJ_EXT_Name,RANDBETWEEN(2,12))</f>
        <v>Cordova Street Bypass</v>
      </c>
      <c r="E252" s="1" t="s">
        <v>7105</v>
      </c>
      <c r="F252">
        <f t="shared" si="25"/>
        <v>40005</v>
      </c>
      <c r="G252">
        <f t="shared" si="26"/>
        <v>500005</v>
      </c>
      <c r="H252" t="s">
        <v>6694</v>
      </c>
      <c r="I252" s="8">
        <f t="shared" si="27"/>
        <v>600005</v>
      </c>
      <c r="J252" t="s">
        <v>6517</v>
      </c>
      <c r="K252" t="str">
        <f>IFERROR(VLOOKUP(E252,Contacts.csv!C:D,2,FALSE),"")</f>
        <v/>
      </c>
      <c r="L252" t="str">
        <f t="shared" si="28"/>
        <v>rg:None</v>
      </c>
      <c r="M252" s="4" t="str">
        <f t="shared" si="29"/>
        <v>rg:[]</v>
      </c>
      <c r="N252" t="s">
        <v>6517</v>
      </c>
      <c r="O252" t="s">
        <v>6517</v>
      </c>
      <c r="P252" t="s">
        <v>6517</v>
      </c>
    </row>
    <row r="253" spans="1:16" x14ac:dyDescent="0.3">
      <c r="A253" t="s">
        <v>5388</v>
      </c>
      <c r="B253">
        <f ca="1">INDEX(LocalAreas.csv!G:G,RANDBETWEEN(2,88))</f>
        <v>200025</v>
      </c>
      <c r="C253" t="str">
        <f t="shared" ca="1" si="24"/>
        <v>rg{'id': '200025'}'</v>
      </c>
      <c r="D253" s="1" t="str">
        <f ca="1">MID(Names!G134,FIND(" ",Names!G134)+1,LEN(Names!G134)-FIND(" ", Names!G134))&amp;" "&amp;INDEX(PROJ_EXT_Name,RANDBETWEEN(2,12))</f>
        <v>Kinchant St Bypass</v>
      </c>
      <c r="E253" s="1" t="s">
        <v>7106</v>
      </c>
      <c r="F253">
        <f t="shared" si="25"/>
        <v>40006</v>
      </c>
      <c r="G253">
        <f t="shared" si="26"/>
        <v>500006</v>
      </c>
      <c r="H253" t="s">
        <v>6694</v>
      </c>
      <c r="I253" s="8">
        <f t="shared" si="27"/>
        <v>600006</v>
      </c>
      <c r="J253" t="s">
        <v>6517</v>
      </c>
      <c r="K253" t="str">
        <f>IFERROR(VLOOKUP(E253,Contacts.csv!C:D,2,FALSE),"")</f>
        <v/>
      </c>
      <c r="L253" t="str">
        <f t="shared" si="28"/>
        <v>rg:None</v>
      </c>
      <c r="M253" s="4" t="str">
        <f t="shared" si="29"/>
        <v>rg:[]</v>
      </c>
      <c r="N253" t="s">
        <v>6517</v>
      </c>
      <c r="O253" t="s">
        <v>6517</v>
      </c>
      <c r="P253" t="s">
        <v>6517</v>
      </c>
    </row>
    <row r="254" spans="1:16" x14ac:dyDescent="0.3">
      <c r="A254" t="s">
        <v>5388</v>
      </c>
      <c r="B254">
        <f ca="1">INDEX(LocalAreas.csv!G:G,RANDBETWEEN(2,88))</f>
        <v>200006</v>
      </c>
      <c r="C254" t="str">
        <f t="shared" ca="1" si="24"/>
        <v>rg{'id': '200006'}'</v>
      </c>
      <c r="D254" s="1" t="str">
        <f ca="1">MID(Names!G135,FIND(" ",Names!G135)+1,LEN(Names!G135)-FIND(" ", Names!G135))&amp;" "&amp;INDEX(PROJ_EXT_Name,RANDBETWEEN(2,12))</f>
        <v>Blanshard Building</v>
      </c>
      <c r="E254" s="1" t="s">
        <v>7013</v>
      </c>
      <c r="F254">
        <f t="shared" si="25"/>
        <v>40007</v>
      </c>
      <c r="G254">
        <f t="shared" si="26"/>
        <v>500007</v>
      </c>
      <c r="H254" t="s">
        <v>6694</v>
      </c>
      <c r="I254" s="8">
        <f t="shared" si="27"/>
        <v>600007</v>
      </c>
      <c r="J254" t="s">
        <v>6517</v>
      </c>
      <c r="K254" t="str">
        <f>IFERROR(VLOOKUP(E254,Contacts.csv!C:D,2,FALSE),"")</f>
        <v/>
      </c>
      <c r="L254" t="str">
        <f t="shared" si="28"/>
        <v>rg:None</v>
      </c>
      <c r="M254" s="4" t="str">
        <f t="shared" si="29"/>
        <v>rg:[]</v>
      </c>
      <c r="N254" t="s">
        <v>6517</v>
      </c>
      <c r="O254" t="s">
        <v>6517</v>
      </c>
      <c r="P254" t="s">
        <v>6517</v>
      </c>
    </row>
    <row r="255" spans="1:16" x14ac:dyDescent="0.3">
      <c r="A255" t="s">
        <v>5388</v>
      </c>
      <c r="B255">
        <f ca="1">INDEX(LocalAreas.csv!G:G,RANDBETWEEN(2,88))</f>
        <v>200064</v>
      </c>
      <c r="C255" t="str">
        <f t="shared" ca="1" si="24"/>
        <v>rg{'id': '200064'}'</v>
      </c>
      <c r="D255" s="1" t="str">
        <f ca="1">MID(Names!G136,FIND(" ",Names!G136)+1,LEN(Names!G136)-FIND(" ", Names!G136))&amp;" "&amp;INDEX(PROJ_EXT_Name,RANDBETWEEN(2,12))</f>
        <v>St George Street Overpass</v>
      </c>
      <c r="E255" s="1" t="s">
        <v>7046</v>
      </c>
      <c r="F255">
        <f t="shared" si="25"/>
        <v>40008</v>
      </c>
      <c r="G255">
        <f t="shared" si="26"/>
        <v>500008</v>
      </c>
      <c r="H255" t="s">
        <v>6694</v>
      </c>
      <c r="I255" s="8">
        <f t="shared" si="27"/>
        <v>600008</v>
      </c>
      <c r="J255" t="s">
        <v>6517</v>
      </c>
      <c r="K255" t="str">
        <f>IFERROR(VLOOKUP(E255,Contacts.csv!C:D,2,FALSE),"")</f>
        <v/>
      </c>
      <c r="L255" t="str">
        <f t="shared" si="28"/>
        <v>rg:None</v>
      </c>
      <c r="M255" s="4" t="str">
        <f t="shared" si="29"/>
        <v>rg:[]</v>
      </c>
      <c r="N255" t="s">
        <v>6517</v>
      </c>
      <c r="O255" t="s">
        <v>6517</v>
      </c>
      <c r="P255" t="s">
        <v>6517</v>
      </c>
    </row>
    <row r="256" spans="1:16" x14ac:dyDescent="0.3">
      <c r="A256" t="s">
        <v>5388</v>
      </c>
      <c r="B256">
        <f ca="1">INDEX(LocalAreas.csv!G:G,RANDBETWEEN(2,88))</f>
        <v>200008</v>
      </c>
      <c r="C256" t="str">
        <f t="shared" ca="1" si="24"/>
        <v>rg{'id': '200008'}'</v>
      </c>
      <c r="D256" s="1" t="str">
        <f ca="1">MID(Names!G138,FIND(" ",Names!G138)+1,LEN(Names!G138)-FIND(" ", Names!G138))&amp;" "&amp;INDEX(PROJ_EXT_Name,RANDBETWEEN(2,12))</f>
        <v>Alaska Hwy Overpass</v>
      </c>
      <c r="E256" s="1" t="s">
        <v>7107</v>
      </c>
      <c r="F256">
        <f>IF(ISNUMBER(#REF!),#REF!+1,40000)</f>
        <v>40000</v>
      </c>
      <c r="G256">
        <f>IF(ISNUMBER(#REF!),#REF!+1,500000)</f>
        <v>500000</v>
      </c>
      <c r="H256" t="s">
        <v>6694</v>
      </c>
      <c r="I256" s="8">
        <f>IF(ISNUMBER(#REF!),#REF!+1,600000)</f>
        <v>600000</v>
      </c>
      <c r="J256" t="s">
        <v>6517</v>
      </c>
      <c r="K256" t="str">
        <f>IFERROR(VLOOKUP(E256,Contacts.csv!C:D,2,FALSE),"")</f>
        <v/>
      </c>
      <c r="L256" t="str">
        <f t="shared" si="28"/>
        <v>rg:None</v>
      </c>
      <c r="M256" s="4" t="str">
        <f t="shared" si="29"/>
        <v>rg:[]</v>
      </c>
      <c r="N256" t="s">
        <v>6517</v>
      </c>
      <c r="O256" t="s">
        <v>6517</v>
      </c>
      <c r="P256" t="s">
        <v>6517</v>
      </c>
    </row>
    <row r="257" spans="1:16" x14ac:dyDescent="0.3">
      <c r="A257" t="s">
        <v>5388</v>
      </c>
      <c r="B257">
        <f ca="1">INDEX(LocalAreas.csv!G:G,RANDBETWEEN(2,88))</f>
        <v>200019</v>
      </c>
      <c r="C257" t="str">
        <f t="shared" ca="1" si="24"/>
        <v>rg{'id': '200019'}'</v>
      </c>
      <c r="D257" s="1" t="str">
        <f ca="1">MID(Names!G139,FIND(" ",Names!G139)+1,LEN(Names!G139)-FIND(" ", Names!G139))&amp;" "&amp;INDEX(PROJ_EXT_Name,RANDBETWEEN(2,12))</f>
        <v>Stum Lake Road Express Lane</v>
      </c>
      <c r="E257" s="1" t="s">
        <v>6937</v>
      </c>
      <c r="F257">
        <f t="shared" si="25"/>
        <v>40001</v>
      </c>
      <c r="G257">
        <f t="shared" si="26"/>
        <v>500001</v>
      </c>
      <c r="H257" t="s">
        <v>6694</v>
      </c>
      <c r="I257" s="8">
        <f t="shared" si="27"/>
        <v>600001</v>
      </c>
      <c r="J257" t="s">
        <v>6517</v>
      </c>
      <c r="K257" t="str">
        <f>IFERROR(VLOOKUP(E257,Contacts.csv!C:D,2,FALSE),"")</f>
        <v/>
      </c>
      <c r="L257" t="str">
        <f t="shared" si="28"/>
        <v>rg:None</v>
      </c>
      <c r="M257" s="4" t="str">
        <f t="shared" si="29"/>
        <v>rg:[]</v>
      </c>
      <c r="N257" t="s">
        <v>6517</v>
      </c>
      <c r="O257" t="s">
        <v>6517</v>
      </c>
      <c r="P257" t="s">
        <v>6517</v>
      </c>
    </row>
    <row r="258" spans="1:16" x14ac:dyDescent="0.3">
      <c r="A258" t="s">
        <v>5388</v>
      </c>
      <c r="B258">
        <f ca="1">INDEX(LocalAreas.csv!G:G,RANDBETWEEN(2,88))</f>
        <v>200031</v>
      </c>
      <c r="C258" t="str">
        <f t="shared" ca="1" si="24"/>
        <v>rg{'id': '200031'}'</v>
      </c>
      <c r="D258" s="1" t="str">
        <f ca="1">MID(Names!G140,FIND(" ",Names!G140)+1,LEN(Names!G140)-FIND(" ", Names!G140))&amp;" "&amp;INDEX(PROJ_EXT_Name,RANDBETWEEN(2,12))</f>
        <v>Blind Bay Road Expressway</v>
      </c>
      <c r="E258" s="1" t="s">
        <v>7019</v>
      </c>
      <c r="F258">
        <f t="shared" si="25"/>
        <v>40002</v>
      </c>
      <c r="G258">
        <f t="shared" si="26"/>
        <v>500002</v>
      </c>
      <c r="H258" t="s">
        <v>6694</v>
      </c>
      <c r="I258" s="8">
        <f t="shared" si="27"/>
        <v>600002</v>
      </c>
      <c r="J258" t="s">
        <v>6517</v>
      </c>
      <c r="K258" t="str">
        <f>IFERROR(VLOOKUP(E258,Contacts.csv!C:D,2,FALSE),"")</f>
        <v/>
      </c>
      <c r="L258" t="str">
        <f t="shared" si="28"/>
        <v>rg:None</v>
      </c>
      <c r="M258" s="4" t="str">
        <f t="shared" si="29"/>
        <v>rg:[]</v>
      </c>
      <c r="N258" t="s">
        <v>6517</v>
      </c>
      <c r="O258" t="s">
        <v>6517</v>
      </c>
      <c r="P258" t="s">
        <v>6517</v>
      </c>
    </row>
    <row r="259" spans="1:16" x14ac:dyDescent="0.3">
      <c r="A259" t="s">
        <v>5388</v>
      </c>
      <c r="B259">
        <f ca="1">INDEX(LocalAreas.csv!G:G,RANDBETWEEN(2,88))</f>
        <v>200064</v>
      </c>
      <c r="C259" t="str">
        <f t="shared" ca="1" si="24"/>
        <v>rg{'id': '200064'}'</v>
      </c>
      <c r="D259" s="1" t="str">
        <f ca="1">MID(Names!G141,FIND(" ",Names!G141)+1,LEN(Names!G141)-FIND(" ", Names!G141))&amp;" "&amp;INDEX(PROJ_EXT_Name,RANDBETWEEN(2,12))</f>
        <v>Shaughnessy St Bridge Replacement</v>
      </c>
      <c r="E259" s="1" t="s">
        <v>7083</v>
      </c>
      <c r="F259">
        <f t="shared" si="25"/>
        <v>40003</v>
      </c>
      <c r="G259">
        <f t="shared" si="26"/>
        <v>500003</v>
      </c>
      <c r="H259" t="s">
        <v>6694</v>
      </c>
      <c r="I259" s="8">
        <f t="shared" si="27"/>
        <v>600003</v>
      </c>
      <c r="J259" t="s">
        <v>6517</v>
      </c>
      <c r="K259" t="str">
        <f>IFERROR(VLOOKUP(E259,Contacts.csv!C:D,2,FALSE),"")</f>
        <v/>
      </c>
      <c r="L259" t="str">
        <f t="shared" si="28"/>
        <v>rg:None</v>
      </c>
      <c r="M259" s="4" t="str">
        <f t="shared" si="29"/>
        <v>rg:[]</v>
      </c>
      <c r="N259" t="s">
        <v>6517</v>
      </c>
      <c r="O259" t="s">
        <v>6517</v>
      </c>
      <c r="P259" t="s">
        <v>6517</v>
      </c>
    </row>
    <row r="260" spans="1:16" x14ac:dyDescent="0.3">
      <c r="A260" t="s">
        <v>5388</v>
      </c>
      <c r="B260">
        <f ca="1">INDEX(LocalAreas.csv!G:G,RANDBETWEEN(2,88))</f>
        <v>200064</v>
      </c>
      <c r="C260" t="str">
        <f t="shared" ca="1" si="24"/>
        <v>rg{'id': '200064'}'</v>
      </c>
      <c r="D260" s="1" t="str">
        <f ca="1">MID(Names!G142,FIND(" ",Names!G142)+1,LEN(Names!G142)-FIND(" ", Names!G142))&amp;" "&amp;INDEX(PROJ_EXT_Name,RANDBETWEEN(2,12))</f>
        <v>King George Hwy Building</v>
      </c>
      <c r="E260" s="1" t="s">
        <v>7108</v>
      </c>
      <c r="F260">
        <f t="shared" si="25"/>
        <v>40004</v>
      </c>
      <c r="G260">
        <f t="shared" si="26"/>
        <v>500004</v>
      </c>
      <c r="H260" t="s">
        <v>6694</v>
      </c>
      <c r="I260" s="8">
        <f t="shared" si="27"/>
        <v>600004</v>
      </c>
      <c r="J260" t="s">
        <v>6517</v>
      </c>
      <c r="K260" t="str">
        <f>IFERROR(VLOOKUP(E260,Contacts.csv!C:D,2,FALSE),"")</f>
        <v/>
      </c>
      <c r="L260" t="str">
        <f t="shared" si="28"/>
        <v>rg:None</v>
      </c>
      <c r="M260" s="4" t="str">
        <f t="shared" si="29"/>
        <v>rg:[]</v>
      </c>
      <c r="N260" t="s">
        <v>6517</v>
      </c>
      <c r="O260" t="s">
        <v>6517</v>
      </c>
      <c r="P260" t="s">
        <v>6517</v>
      </c>
    </row>
    <row r="261" spans="1:16" x14ac:dyDescent="0.3">
      <c r="A261" t="s">
        <v>5388</v>
      </c>
      <c r="B261">
        <f ca="1">INDEX(LocalAreas.csv!G:G,RANDBETWEEN(2,88))</f>
        <v>200014</v>
      </c>
      <c r="C261" t="str">
        <f t="shared" ca="1" si="24"/>
        <v>rg{'id': '200014'}'</v>
      </c>
      <c r="D261" s="1" t="str">
        <f ca="1">MID(Names!G143,FIND(" ",Names!G143)+1,LEN(Names!G143)-FIND(" ", Names!G143))&amp;" "&amp;INDEX(PROJ_EXT_Name,RANDBETWEEN(2,12))</f>
        <v>Brew Creek Rd Expressway</v>
      </c>
      <c r="E261" s="1" t="s">
        <v>6914</v>
      </c>
      <c r="F261">
        <f t="shared" si="25"/>
        <v>40005</v>
      </c>
      <c r="G261">
        <f t="shared" si="26"/>
        <v>500005</v>
      </c>
      <c r="H261" t="s">
        <v>6694</v>
      </c>
      <c r="I261" s="8">
        <f t="shared" si="27"/>
        <v>600005</v>
      </c>
      <c r="J261" t="s">
        <v>6517</v>
      </c>
      <c r="K261" t="str">
        <f>IFERROR(VLOOKUP(E261,Contacts.csv!C:D,2,FALSE),"")</f>
        <v/>
      </c>
      <c r="L261" t="str">
        <f t="shared" si="28"/>
        <v>rg:None</v>
      </c>
      <c r="M261" s="4" t="str">
        <f t="shared" si="29"/>
        <v>rg:[]</v>
      </c>
      <c r="N261" t="s">
        <v>6517</v>
      </c>
      <c r="O261" t="s">
        <v>6517</v>
      </c>
      <c r="P261" t="s">
        <v>6517</v>
      </c>
    </row>
    <row r="262" spans="1:16" x14ac:dyDescent="0.3">
      <c r="A262" t="s">
        <v>5388</v>
      </c>
      <c r="B262">
        <f ca="1">INDEX(LocalAreas.csv!G:G,RANDBETWEEN(2,88))</f>
        <v>200012</v>
      </c>
      <c r="C262" t="str">
        <f t="shared" ca="1" si="24"/>
        <v>rg{'id': '200012'}'</v>
      </c>
      <c r="D262" s="1" t="str">
        <f ca="1">MID(Names!G144,FIND(" ",Names!G144)+1,LEN(Names!G144)-FIND(" ", Names!G144))&amp;" "&amp;INDEX(PROJ_EXT_Name,RANDBETWEEN(2,12))</f>
        <v>Burdett Avenue Bypass</v>
      </c>
      <c r="E262" s="1" t="s">
        <v>6917</v>
      </c>
      <c r="F262">
        <f t="shared" si="25"/>
        <v>40006</v>
      </c>
      <c r="G262">
        <f t="shared" si="26"/>
        <v>500006</v>
      </c>
      <c r="H262" t="s">
        <v>6694</v>
      </c>
      <c r="I262" s="8">
        <f t="shared" si="27"/>
        <v>600006</v>
      </c>
      <c r="J262" t="s">
        <v>6517</v>
      </c>
      <c r="K262" t="str">
        <f>IFERROR(VLOOKUP(E262,Contacts.csv!C:D,2,FALSE),"")</f>
        <v/>
      </c>
      <c r="L262" t="str">
        <f t="shared" si="28"/>
        <v>rg:None</v>
      </c>
      <c r="M262" s="4" t="str">
        <f t="shared" si="29"/>
        <v>rg:[]</v>
      </c>
      <c r="N262" t="s">
        <v>6517</v>
      </c>
      <c r="O262" t="s">
        <v>6517</v>
      </c>
      <c r="P262" t="s">
        <v>6517</v>
      </c>
    </row>
    <row r="263" spans="1:16" x14ac:dyDescent="0.3">
      <c r="A263" t="s">
        <v>5388</v>
      </c>
      <c r="B263">
        <f ca="1">INDEX(LocalAreas.csv!G:G,RANDBETWEEN(2,88))</f>
        <v>200075</v>
      </c>
      <c r="C263" t="str">
        <f t="shared" ca="1" si="24"/>
        <v>rg{'id': '200075'}'</v>
      </c>
      <c r="D263" s="1" t="str">
        <f ca="1">MID(Names!G145,FIND(" ",Names!G145)+1,LEN(Names!G145)-FIND(" ", Names!G145))&amp;" "&amp;INDEX(PROJ_EXT_Name,RANDBETWEEN(2,12))</f>
        <v>Yoho Valley Road Bridge</v>
      </c>
      <c r="E263" s="1" t="s">
        <v>7061</v>
      </c>
      <c r="F263">
        <f t="shared" si="25"/>
        <v>40007</v>
      </c>
      <c r="G263">
        <f t="shared" si="26"/>
        <v>500007</v>
      </c>
      <c r="H263" t="s">
        <v>6694</v>
      </c>
      <c r="I263" s="8">
        <f t="shared" si="27"/>
        <v>600007</v>
      </c>
      <c r="J263" t="s">
        <v>6517</v>
      </c>
      <c r="K263" t="str">
        <f>IFERROR(VLOOKUP(E263,Contacts.csv!C:D,2,FALSE),"")</f>
        <v/>
      </c>
      <c r="L263" t="str">
        <f t="shared" si="28"/>
        <v>rg:None</v>
      </c>
      <c r="M263" s="4" t="str">
        <f t="shared" si="29"/>
        <v>rg:[]</v>
      </c>
      <c r="N263" t="s">
        <v>6517</v>
      </c>
      <c r="O263" t="s">
        <v>6517</v>
      </c>
      <c r="P263" t="s">
        <v>6517</v>
      </c>
    </row>
    <row r="264" spans="1:16" x14ac:dyDescent="0.3">
      <c r="A264" t="s">
        <v>5388</v>
      </c>
      <c r="B264">
        <f ca="1">INDEX(LocalAreas.csv!G:G,RANDBETWEEN(2,88))</f>
        <v>200017</v>
      </c>
      <c r="C264" t="str">
        <f t="shared" ca="1" si="24"/>
        <v>rg{'id': '200017'}'</v>
      </c>
      <c r="D264" s="1" t="str">
        <f ca="1">MID(Names!G146,FIND(" ",Names!G146)+1,LEN(Names!G146)-FIND(" ", Names!G146))&amp;" "&amp;INDEX(PROJ_EXT_Name,RANDBETWEEN(2,12))</f>
        <v>Hastings Street Cloverleaf</v>
      </c>
      <c r="E264" s="1" t="s">
        <v>6940</v>
      </c>
      <c r="F264">
        <f t="shared" si="25"/>
        <v>40008</v>
      </c>
      <c r="G264">
        <f t="shared" si="26"/>
        <v>500008</v>
      </c>
      <c r="H264" t="s">
        <v>6694</v>
      </c>
      <c r="I264" s="8">
        <f t="shared" si="27"/>
        <v>600008</v>
      </c>
      <c r="J264" t="s">
        <v>6517</v>
      </c>
      <c r="K264" t="str">
        <f>IFERROR(VLOOKUP(E264,Contacts.csv!C:D,2,FALSE),"")</f>
        <v/>
      </c>
      <c r="L264" t="str">
        <f t="shared" si="28"/>
        <v>rg:None</v>
      </c>
      <c r="M264" s="4" t="str">
        <f t="shared" si="29"/>
        <v>rg:[]</v>
      </c>
      <c r="N264" t="s">
        <v>6517</v>
      </c>
      <c r="O264" t="s">
        <v>6517</v>
      </c>
      <c r="P264" t="s">
        <v>6517</v>
      </c>
    </row>
    <row r="265" spans="1:16" x14ac:dyDescent="0.3">
      <c r="A265" t="s">
        <v>5388</v>
      </c>
      <c r="B265">
        <f ca="1">INDEX(LocalAreas.csv!G:G,RANDBETWEEN(2,88))</f>
        <v>200083</v>
      </c>
      <c r="C265" t="str">
        <f t="shared" ca="1" si="24"/>
        <v>rg{'id': '200083'}'</v>
      </c>
      <c r="D265" s="1" t="str">
        <f ca="1">MID(Names!G147,FIND(" ",Names!G147)+1,LEN(Names!G147)-FIND(" ", Names!G147))&amp;" "&amp;INDEX(PROJ_EXT_Name,RANDBETWEEN(2,12))</f>
        <v>Old Spallumcheen Rd Express Lane</v>
      </c>
      <c r="E265" s="1" t="s">
        <v>7109</v>
      </c>
      <c r="F265">
        <f t="shared" si="25"/>
        <v>40009</v>
      </c>
      <c r="G265">
        <f t="shared" si="26"/>
        <v>500009</v>
      </c>
      <c r="H265" t="s">
        <v>6694</v>
      </c>
      <c r="I265" s="8">
        <f t="shared" si="27"/>
        <v>600009</v>
      </c>
      <c r="J265" t="s">
        <v>6517</v>
      </c>
      <c r="K265" t="str">
        <f>IFERROR(VLOOKUP(E265,Contacts.csv!C:D,2,FALSE),"")</f>
        <v/>
      </c>
      <c r="L265" t="str">
        <f t="shared" si="28"/>
        <v>rg:None</v>
      </c>
      <c r="M265" s="4" t="str">
        <f t="shared" si="29"/>
        <v>rg:[]</v>
      </c>
      <c r="N265" t="s">
        <v>6517</v>
      </c>
      <c r="O265" t="s">
        <v>6517</v>
      </c>
      <c r="P265" t="s">
        <v>6517</v>
      </c>
    </row>
    <row r="266" spans="1:16" x14ac:dyDescent="0.3">
      <c r="A266" t="s">
        <v>5388</v>
      </c>
      <c r="B266">
        <f ca="1">INDEX(LocalAreas.csv!G:G,RANDBETWEEN(2,88))</f>
        <v>200075</v>
      </c>
      <c r="C266" t="str">
        <f t="shared" ca="1" si="24"/>
        <v>rg{'id': '200075'}'</v>
      </c>
      <c r="D266" s="1" t="str">
        <f ca="1">MID(Names!G148,FIND(" ",Names!G148)+1,LEN(Names!G148)-FIND(" ", Names!G148))&amp;" "&amp;INDEX(PROJ_EXT_Name,RANDBETWEEN(2,12))</f>
        <v>Glover Road Upgrade</v>
      </c>
      <c r="E266" s="1" t="s">
        <v>6932</v>
      </c>
      <c r="F266">
        <f t="shared" si="25"/>
        <v>40010</v>
      </c>
      <c r="G266">
        <f t="shared" si="26"/>
        <v>500010</v>
      </c>
      <c r="H266" t="s">
        <v>6694</v>
      </c>
      <c r="I266" s="8">
        <f t="shared" si="27"/>
        <v>600010</v>
      </c>
      <c r="J266" t="s">
        <v>6517</v>
      </c>
      <c r="K266" t="str">
        <f>IFERROR(VLOOKUP(E266,Contacts.csv!C:D,2,FALSE),"")</f>
        <v/>
      </c>
      <c r="L266" t="str">
        <f t="shared" si="28"/>
        <v>rg:None</v>
      </c>
      <c r="M266" s="4" t="str">
        <f t="shared" si="29"/>
        <v>rg:[]</v>
      </c>
      <c r="N266" t="s">
        <v>6517</v>
      </c>
      <c r="O266" t="s">
        <v>6517</v>
      </c>
      <c r="P266" t="s">
        <v>6517</v>
      </c>
    </row>
    <row r="267" spans="1:16" x14ac:dyDescent="0.3">
      <c r="A267" t="s">
        <v>5388</v>
      </c>
      <c r="B267">
        <f ca="1">INDEX(LocalAreas.csv!G:G,RANDBETWEEN(2,88))</f>
        <v>200085</v>
      </c>
      <c r="C267" t="str">
        <f t="shared" ca="1" si="24"/>
        <v>rg{'id': '200085'}'</v>
      </c>
      <c r="D267" s="1" t="str">
        <f ca="1">MID(Names!G149,FIND(" ",Names!G149)+1,LEN(Names!G149)-FIND(" ", Names!G149))&amp;" "&amp;INDEX(PROJ_EXT_Name,RANDBETWEEN(2,12))</f>
        <v>Coldstream Avenue HOV Lane</v>
      </c>
      <c r="E267" s="1" t="s">
        <v>7110</v>
      </c>
      <c r="F267">
        <f t="shared" si="25"/>
        <v>40011</v>
      </c>
      <c r="G267">
        <f t="shared" si="26"/>
        <v>500011</v>
      </c>
      <c r="H267" t="s">
        <v>6694</v>
      </c>
      <c r="I267" s="8">
        <f t="shared" si="27"/>
        <v>600011</v>
      </c>
      <c r="J267" t="s">
        <v>6517</v>
      </c>
      <c r="K267" t="str">
        <f>IFERROR(VLOOKUP(E267,Contacts.csv!C:D,2,FALSE),"")</f>
        <v/>
      </c>
      <c r="L267" t="str">
        <f t="shared" si="28"/>
        <v>rg:None</v>
      </c>
      <c r="M267" s="4" t="str">
        <f t="shared" si="29"/>
        <v>rg:[]</v>
      </c>
      <c r="N267" t="s">
        <v>6517</v>
      </c>
      <c r="O267" t="s">
        <v>6517</v>
      </c>
      <c r="P267" t="s">
        <v>6517</v>
      </c>
    </row>
    <row r="268" spans="1:16" x14ac:dyDescent="0.3">
      <c r="A268" t="s">
        <v>5388</v>
      </c>
      <c r="B268">
        <f ca="1">INDEX(LocalAreas.csv!G:G,RANDBETWEEN(2,88))</f>
        <v>200035</v>
      </c>
      <c r="C268" t="str">
        <f t="shared" ca="1" si="24"/>
        <v>rg{'id': '200035'}'</v>
      </c>
      <c r="D268" s="1" t="str">
        <f ca="1">MID(Names!G150,FIND(" ",Names!G150)+1,LEN(Names!G150)-FIND(" ", Names!G150))&amp;" "&amp;INDEX(PROJ_EXT_Name,RANDBETWEEN(2,12))</f>
        <v>Kinchant St Express Lane</v>
      </c>
      <c r="E268" s="1" t="s">
        <v>7065</v>
      </c>
      <c r="F268">
        <f t="shared" si="25"/>
        <v>40012</v>
      </c>
      <c r="G268">
        <f t="shared" si="26"/>
        <v>500012</v>
      </c>
      <c r="H268" t="s">
        <v>6694</v>
      </c>
      <c r="I268" s="8">
        <f t="shared" si="27"/>
        <v>600012</v>
      </c>
      <c r="J268" t="s">
        <v>6517</v>
      </c>
      <c r="K268" t="str">
        <f>IFERROR(VLOOKUP(E268,Contacts.csv!C:D,2,FALSE),"")</f>
        <v/>
      </c>
      <c r="L268" t="str">
        <f t="shared" si="28"/>
        <v>rg:None</v>
      </c>
      <c r="M268" s="4" t="str">
        <f t="shared" si="29"/>
        <v>rg:[]</v>
      </c>
      <c r="N268" t="s">
        <v>6517</v>
      </c>
      <c r="O268" t="s">
        <v>6517</v>
      </c>
      <c r="P268" t="s">
        <v>6517</v>
      </c>
    </row>
    <row r="269" spans="1:16" x14ac:dyDescent="0.3">
      <c r="A269" t="s">
        <v>5388</v>
      </c>
      <c r="B269">
        <f ca="1">INDEX(LocalAreas.csv!G:G,RANDBETWEEN(2,88))</f>
        <v>200041</v>
      </c>
      <c r="C269" t="str">
        <f t="shared" ca="1" si="24"/>
        <v>rg{'id': '200041'}'</v>
      </c>
      <c r="D269" s="1" t="str">
        <f ca="1">MID(Names!G101,FIND(" ",Names!G101)+1,LEN(Names!G101)-FIND(" ", Names!G101))&amp;" "&amp;INDEX(PROJ_EXT_Name,RANDBETWEEN(2,12))</f>
        <v>Robson St Overpass</v>
      </c>
      <c r="E269" s="1" t="s">
        <v>7111</v>
      </c>
      <c r="F269">
        <f t="shared" si="25"/>
        <v>40013</v>
      </c>
      <c r="G269">
        <f t="shared" si="26"/>
        <v>500013</v>
      </c>
      <c r="H269" t="s">
        <v>6694</v>
      </c>
      <c r="I269" s="8">
        <f t="shared" si="27"/>
        <v>600013</v>
      </c>
      <c r="J269" t="s">
        <v>6517</v>
      </c>
      <c r="K269" t="str">
        <f>IFERROR(VLOOKUP(E269,Contacts.csv!C:D,2,FALSE),"")</f>
        <v/>
      </c>
      <c r="L269" t="str">
        <f t="shared" si="28"/>
        <v>rg:None</v>
      </c>
      <c r="M269" s="4" t="str">
        <f t="shared" si="29"/>
        <v>rg:[]</v>
      </c>
      <c r="N269" t="s">
        <v>6517</v>
      </c>
      <c r="O269" t="s">
        <v>6517</v>
      </c>
      <c r="P269" t="s">
        <v>6517</v>
      </c>
    </row>
    <row r="270" spans="1:16" x14ac:dyDescent="0.3">
      <c r="A270" t="s">
        <v>5388</v>
      </c>
      <c r="B270">
        <f ca="1">INDEX(LocalAreas.csv!G:G,RANDBETWEEN(2,88))</f>
        <v>200018</v>
      </c>
      <c r="C270" t="str">
        <f t="shared" ca="1" si="24"/>
        <v>rg{'id': '200018'}'</v>
      </c>
      <c r="D270" s="1" t="str">
        <f ca="1">MID(Names!G102,FIND(" ",Names!G102)+1,LEN(Names!G102)-FIND(" ", Names!G102))&amp;" "&amp;INDEX(PROJ_EXT_Name,RANDBETWEEN(2,12))</f>
        <v>Kinchant St Extension</v>
      </c>
      <c r="E270" s="1" t="s">
        <v>6936</v>
      </c>
      <c r="F270">
        <f t="shared" si="25"/>
        <v>40014</v>
      </c>
      <c r="G270">
        <f t="shared" si="26"/>
        <v>500014</v>
      </c>
      <c r="H270" t="s">
        <v>6694</v>
      </c>
      <c r="I270" s="8">
        <f t="shared" si="27"/>
        <v>600014</v>
      </c>
      <c r="J270" t="s">
        <v>6517</v>
      </c>
      <c r="K270" t="str">
        <f>IFERROR(VLOOKUP(E270,Contacts.csv!C:D,2,FALSE),"")</f>
        <v/>
      </c>
      <c r="L270" t="str">
        <f t="shared" si="28"/>
        <v>rg:None</v>
      </c>
      <c r="M270" s="4" t="str">
        <f t="shared" si="29"/>
        <v>rg:[]</v>
      </c>
      <c r="N270" t="s">
        <v>6517</v>
      </c>
      <c r="O270" t="s">
        <v>6517</v>
      </c>
      <c r="P270" t="s">
        <v>6517</v>
      </c>
    </row>
    <row r="271" spans="1:16" x14ac:dyDescent="0.3">
      <c r="A271" t="s">
        <v>5388</v>
      </c>
      <c r="B271">
        <f ca="1">INDEX(LocalAreas.csv!G:G,RANDBETWEEN(2,88))</f>
        <v>200069</v>
      </c>
      <c r="C271" t="str">
        <f t="shared" ca="1" si="24"/>
        <v>rg{'id': '200069'}'</v>
      </c>
      <c r="D271" s="1" t="str">
        <f ca="1">MID(Names!G103,FIND(" ",Names!G103)+1,LEN(Names!G103)-FIND(" ", Names!G103))&amp;" "&amp;INDEX(PROJ_EXT_Name,RANDBETWEEN(2,12))</f>
        <v>Alaska Hwy Upgrade</v>
      </c>
      <c r="E271" s="1" t="s">
        <v>7092</v>
      </c>
      <c r="F271">
        <f t="shared" si="25"/>
        <v>40015</v>
      </c>
      <c r="G271">
        <f t="shared" si="26"/>
        <v>500015</v>
      </c>
      <c r="H271" t="s">
        <v>6694</v>
      </c>
      <c r="I271" s="8">
        <f t="shared" si="27"/>
        <v>600015</v>
      </c>
      <c r="J271" t="s">
        <v>6517</v>
      </c>
      <c r="K271" t="str">
        <f>IFERROR(VLOOKUP(E271,Contacts.csv!C:D,2,FALSE),"")</f>
        <v/>
      </c>
      <c r="L271" t="str">
        <f t="shared" si="28"/>
        <v>rg:None</v>
      </c>
      <c r="M271" s="4" t="str">
        <f t="shared" si="29"/>
        <v>rg:[]</v>
      </c>
      <c r="N271" t="s">
        <v>6517</v>
      </c>
      <c r="O271" t="s">
        <v>6517</v>
      </c>
      <c r="P271" t="s">
        <v>6517</v>
      </c>
    </row>
    <row r="272" spans="1:16" x14ac:dyDescent="0.3">
      <c r="A272" t="s">
        <v>5388</v>
      </c>
      <c r="B272">
        <f ca="1">INDEX(LocalAreas.csv!G:G,RANDBETWEEN(2,88))</f>
        <v>200010</v>
      </c>
      <c r="C272" t="str">
        <f t="shared" ca="1" si="24"/>
        <v>rg{'id': '200010'}'</v>
      </c>
      <c r="D272" s="1" t="str">
        <f ca="1">MID(Names!G104,FIND(" ",Names!G104)+1,LEN(Names!G104)-FIND(" ", Names!G104))&amp;" "&amp;INDEX(PROJ_EXT_Name,RANDBETWEEN(2,12))</f>
        <v>Carlson Road Express Lane</v>
      </c>
      <c r="E272" s="1" t="s">
        <v>7112</v>
      </c>
      <c r="F272">
        <f t="shared" si="25"/>
        <v>40016</v>
      </c>
      <c r="G272">
        <f t="shared" si="26"/>
        <v>500016</v>
      </c>
      <c r="H272" t="s">
        <v>6694</v>
      </c>
      <c r="I272" s="8">
        <f t="shared" si="27"/>
        <v>600016</v>
      </c>
      <c r="J272" t="s">
        <v>6517</v>
      </c>
      <c r="K272" t="str">
        <f>IFERROR(VLOOKUP(E272,Contacts.csv!C:D,2,FALSE),"")</f>
        <v/>
      </c>
      <c r="L272" t="str">
        <f t="shared" si="28"/>
        <v>rg:None</v>
      </c>
      <c r="M272" s="4" t="str">
        <f t="shared" si="29"/>
        <v>rg:[]</v>
      </c>
      <c r="N272" t="s">
        <v>6517</v>
      </c>
      <c r="O272" t="s">
        <v>6517</v>
      </c>
      <c r="P272" t="s">
        <v>6517</v>
      </c>
    </row>
    <row r="273" spans="1:16" x14ac:dyDescent="0.3">
      <c r="A273" t="s">
        <v>5388</v>
      </c>
      <c r="B273">
        <f ca="1">INDEX(LocalAreas.csv!G:G,RANDBETWEEN(2,88))</f>
        <v>200065</v>
      </c>
      <c r="C273" t="str">
        <f t="shared" ca="1" si="24"/>
        <v>rg{'id': '200065'}'</v>
      </c>
      <c r="D273" s="1" t="str">
        <f ca="1">MID(Names!G105,FIND(" ",Names!G105)+1,LEN(Names!G105)-FIND(" ", Names!G105))&amp;" "&amp;INDEX(PROJ_EXT_Name,RANDBETWEEN(2,12))</f>
        <v>102nd Avenue HOV Lane</v>
      </c>
      <c r="E273" s="1" t="s">
        <v>7113</v>
      </c>
      <c r="F273">
        <f t="shared" si="25"/>
        <v>40017</v>
      </c>
      <c r="G273">
        <f t="shared" si="26"/>
        <v>500017</v>
      </c>
      <c r="H273" t="s">
        <v>6694</v>
      </c>
      <c r="I273" s="8">
        <f t="shared" si="27"/>
        <v>600017</v>
      </c>
      <c r="J273" t="s">
        <v>6517</v>
      </c>
      <c r="K273" t="str">
        <f>IFERROR(VLOOKUP(E273,Contacts.csv!C:D,2,FALSE),"")</f>
        <v/>
      </c>
      <c r="L273" t="str">
        <f t="shared" si="28"/>
        <v>rg:None</v>
      </c>
      <c r="M273" s="4" t="str">
        <f t="shared" si="29"/>
        <v>rg:[]</v>
      </c>
      <c r="N273" t="s">
        <v>6517</v>
      </c>
      <c r="O273" t="s">
        <v>6517</v>
      </c>
      <c r="P273" t="s">
        <v>6517</v>
      </c>
    </row>
    <row r="274" spans="1:16" x14ac:dyDescent="0.3">
      <c r="A274" t="s">
        <v>5388</v>
      </c>
      <c r="B274">
        <f ca="1">INDEX(LocalAreas.csv!G:G,RANDBETWEEN(2,88))</f>
        <v>200058</v>
      </c>
      <c r="C274" t="str">
        <f t="shared" ca="1" si="24"/>
        <v>rg{'id': '200058'}'</v>
      </c>
      <c r="D274" s="1" t="str">
        <f ca="1">MID(Names!G106,FIND(" ",Names!G106)+1,LEN(Names!G106)-FIND(" ", Names!G106))&amp;" "&amp;INDEX(PROJ_EXT_Name,RANDBETWEEN(2,12))</f>
        <v>Roger Street Expressway</v>
      </c>
      <c r="E274" s="1" t="s">
        <v>6941</v>
      </c>
      <c r="F274">
        <f t="shared" si="25"/>
        <v>40018</v>
      </c>
      <c r="G274">
        <f t="shared" si="26"/>
        <v>500018</v>
      </c>
      <c r="H274" t="s">
        <v>6694</v>
      </c>
      <c r="I274" s="8">
        <f t="shared" si="27"/>
        <v>600018</v>
      </c>
      <c r="J274" t="s">
        <v>6517</v>
      </c>
      <c r="K274" t="str">
        <f>IFERROR(VLOOKUP(E274,Contacts.csv!C:D,2,FALSE),"")</f>
        <v/>
      </c>
      <c r="L274" t="str">
        <f t="shared" si="28"/>
        <v>rg:None</v>
      </c>
      <c r="M274" s="4" t="str">
        <f t="shared" si="29"/>
        <v>rg:[]</v>
      </c>
      <c r="N274" t="s">
        <v>6517</v>
      </c>
      <c r="O274" t="s">
        <v>6517</v>
      </c>
      <c r="P274" t="s">
        <v>6517</v>
      </c>
    </row>
    <row r="275" spans="1:16" x14ac:dyDescent="0.3">
      <c r="A275" t="s">
        <v>5388</v>
      </c>
      <c r="B275">
        <f ca="1">INDEX(LocalAreas.csv!G:G,RANDBETWEEN(2,88))</f>
        <v>200067</v>
      </c>
      <c r="C275" t="str">
        <f t="shared" ca="1" si="24"/>
        <v>rg{'id': '200067'}'</v>
      </c>
      <c r="D275" s="1" t="str">
        <f ca="1">MID(Names!G107,FIND(" ",Names!G107)+1,LEN(Names!G107)-FIND(" ", Names!G107))&amp;" "&amp;INDEX(PROJ_EXT_Name,RANDBETWEEN(2,12))</f>
        <v>McGill Road Express Lane</v>
      </c>
      <c r="E275" s="1" t="s">
        <v>7114</v>
      </c>
      <c r="F275">
        <f t="shared" si="25"/>
        <v>40019</v>
      </c>
      <c r="G275">
        <f t="shared" si="26"/>
        <v>500019</v>
      </c>
      <c r="H275" t="s">
        <v>6694</v>
      </c>
      <c r="I275" s="8">
        <f t="shared" si="27"/>
        <v>600019</v>
      </c>
      <c r="J275" t="s">
        <v>6517</v>
      </c>
      <c r="K275" t="str">
        <f>IFERROR(VLOOKUP(E275,Contacts.csv!C:D,2,FALSE),"")</f>
        <v/>
      </c>
      <c r="L275" t="str">
        <f t="shared" si="28"/>
        <v>rg:None</v>
      </c>
      <c r="M275" s="4" t="str">
        <f t="shared" si="29"/>
        <v>rg:[]</v>
      </c>
      <c r="N275" t="s">
        <v>6517</v>
      </c>
      <c r="O275" t="s">
        <v>6517</v>
      </c>
      <c r="P275" t="s">
        <v>6517</v>
      </c>
    </row>
    <row r="276" spans="1:16" x14ac:dyDescent="0.3">
      <c r="A276" t="s">
        <v>5388</v>
      </c>
      <c r="B276">
        <f ca="1">INDEX(LocalAreas.csv!G:G,RANDBETWEEN(2,88))</f>
        <v>200028</v>
      </c>
      <c r="C276" t="str">
        <f t="shared" ca="1" si="24"/>
        <v>rg{'id': '200028'}'</v>
      </c>
      <c r="D276" s="1" t="str">
        <f ca="1">MID(Names!G108,FIND(" ",Names!G108)+1,LEN(Names!G108)-FIND(" ", Names!G108))&amp;" "&amp;INDEX(PROJ_EXT_Name,RANDBETWEEN(2,12))</f>
        <v>Russell Avenue Overpass</v>
      </c>
      <c r="E276" s="1" t="s">
        <v>7115</v>
      </c>
      <c r="F276">
        <f t="shared" si="25"/>
        <v>40020</v>
      </c>
      <c r="G276">
        <f t="shared" si="26"/>
        <v>500020</v>
      </c>
      <c r="H276" t="s">
        <v>6694</v>
      </c>
      <c r="I276" s="8">
        <f t="shared" si="27"/>
        <v>600020</v>
      </c>
      <c r="J276" t="s">
        <v>6517</v>
      </c>
      <c r="K276" t="str">
        <f>IFERROR(VLOOKUP(E276,Contacts.csv!C:D,2,FALSE),"")</f>
        <v/>
      </c>
      <c r="L276" t="str">
        <f t="shared" si="28"/>
        <v>rg:None</v>
      </c>
      <c r="M276" s="4" t="str">
        <f t="shared" si="29"/>
        <v>rg:[]</v>
      </c>
      <c r="N276" t="s">
        <v>6517</v>
      </c>
      <c r="O276" t="s">
        <v>6517</v>
      </c>
      <c r="P276" t="s">
        <v>6517</v>
      </c>
    </row>
    <row r="277" spans="1:16" x14ac:dyDescent="0.3">
      <c r="A277" t="s">
        <v>5388</v>
      </c>
      <c r="B277">
        <f ca="1">INDEX(LocalAreas.csv!G:G,RANDBETWEEN(2,88))</f>
        <v>200017</v>
      </c>
      <c r="C277" t="str">
        <f t="shared" ca="1" si="24"/>
        <v>rg{'id': '200017'}'</v>
      </c>
      <c r="D277" s="1" t="str">
        <f ca="1">MID(Names!G109,FIND(" ",Names!G109)+1,LEN(Names!G109)-FIND(" ", Names!G109))&amp;" "&amp;INDEX(PROJ_EXT_Name,RANDBETWEEN(2,12))</f>
        <v>Cardero St Overpass</v>
      </c>
      <c r="E277" s="1" t="s">
        <v>7116</v>
      </c>
      <c r="F277">
        <f t="shared" si="25"/>
        <v>40021</v>
      </c>
      <c r="G277">
        <f t="shared" si="26"/>
        <v>500021</v>
      </c>
      <c r="H277" t="s">
        <v>6694</v>
      </c>
      <c r="I277" s="8">
        <f t="shared" si="27"/>
        <v>600021</v>
      </c>
      <c r="J277" t="s">
        <v>6517</v>
      </c>
      <c r="K277" t="str">
        <f>IFERROR(VLOOKUP(E277,Contacts.csv!C:D,2,FALSE),"")</f>
        <v/>
      </c>
      <c r="L277" t="str">
        <f t="shared" si="28"/>
        <v>rg:None</v>
      </c>
      <c r="M277" s="4" t="str">
        <f t="shared" si="29"/>
        <v>rg:[]</v>
      </c>
      <c r="N277" t="s">
        <v>6517</v>
      </c>
      <c r="O277" t="s">
        <v>6517</v>
      </c>
      <c r="P277" t="s">
        <v>6517</v>
      </c>
    </row>
    <row r="278" spans="1:16" x14ac:dyDescent="0.3">
      <c r="A278" t="s">
        <v>5388</v>
      </c>
      <c r="B278">
        <f ca="1">INDEX(LocalAreas.csv!G:G,RANDBETWEEN(2,88))</f>
        <v>200075</v>
      </c>
      <c r="C278" t="str">
        <f t="shared" ca="1" si="24"/>
        <v>rg{'id': '200075'}'</v>
      </c>
      <c r="D278" s="1" t="str">
        <f ca="1">MID(Names!G110,FIND(" ",Names!G110)+1,LEN(Names!G110)-FIND(" ", Names!G110))&amp;" "&amp;INDEX(PROJ_EXT_Name,RANDBETWEEN(2,12))</f>
        <v>Findlay Creek Road Building</v>
      </c>
      <c r="E278" s="1" t="s">
        <v>6956</v>
      </c>
      <c r="F278">
        <f t="shared" si="25"/>
        <v>40022</v>
      </c>
      <c r="G278">
        <f t="shared" si="26"/>
        <v>500022</v>
      </c>
      <c r="H278" t="s">
        <v>6694</v>
      </c>
      <c r="I278" s="8">
        <f t="shared" si="27"/>
        <v>600022</v>
      </c>
      <c r="J278" t="s">
        <v>6517</v>
      </c>
      <c r="K278" t="str">
        <f>IFERROR(VLOOKUP(E278,Contacts.csv!C:D,2,FALSE),"")</f>
        <v/>
      </c>
      <c r="L278" t="str">
        <f t="shared" si="28"/>
        <v>rg:None</v>
      </c>
      <c r="M278" s="4" t="str">
        <f t="shared" si="29"/>
        <v>rg:[]</v>
      </c>
      <c r="N278" t="s">
        <v>6517</v>
      </c>
      <c r="O278" t="s">
        <v>6517</v>
      </c>
      <c r="P278" t="s">
        <v>6517</v>
      </c>
    </row>
    <row r="279" spans="1:16" x14ac:dyDescent="0.3">
      <c r="A279" t="s">
        <v>5388</v>
      </c>
      <c r="B279">
        <f ca="1">INDEX(LocalAreas.csv!G:G,RANDBETWEEN(2,88))</f>
        <v>200067</v>
      </c>
      <c r="C279" t="str">
        <f t="shared" ca="1" si="24"/>
        <v>rg{'id': '200067'}'</v>
      </c>
      <c r="D279" s="1" t="str">
        <f ca="1">MID(Names!G111,FIND(" ",Names!G111)+1,LEN(Names!G111)-FIND(" ", Names!G111))&amp;" "&amp;INDEX(PROJ_EXT_Name,RANDBETWEEN(2,12))</f>
        <v>Queens Bay Cloverleaf</v>
      </c>
      <c r="E279" s="1" t="s">
        <v>7117</v>
      </c>
      <c r="F279">
        <f t="shared" si="25"/>
        <v>40023</v>
      </c>
      <c r="G279">
        <f t="shared" si="26"/>
        <v>500023</v>
      </c>
      <c r="H279" t="s">
        <v>6694</v>
      </c>
      <c r="I279" s="8">
        <f t="shared" si="27"/>
        <v>600023</v>
      </c>
      <c r="J279" t="s">
        <v>6517</v>
      </c>
      <c r="K279" t="str">
        <f>IFERROR(VLOOKUP(E279,Contacts.csv!C:D,2,FALSE),"")</f>
        <v/>
      </c>
      <c r="L279" t="str">
        <f t="shared" si="28"/>
        <v>rg:None</v>
      </c>
      <c r="M279" s="4" t="str">
        <f t="shared" si="29"/>
        <v>rg:[]</v>
      </c>
      <c r="N279" t="s">
        <v>6517</v>
      </c>
      <c r="O279" t="s">
        <v>6517</v>
      </c>
      <c r="P279" t="s">
        <v>6517</v>
      </c>
    </row>
    <row r="280" spans="1:16" x14ac:dyDescent="0.3">
      <c r="A280" t="s">
        <v>5388</v>
      </c>
      <c r="B280">
        <f ca="1">INDEX(LocalAreas.csv!G:G,RANDBETWEEN(2,88))</f>
        <v>200058</v>
      </c>
      <c r="C280" t="str">
        <f t="shared" ca="1" si="24"/>
        <v>rg{'id': '200058'}'</v>
      </c>
      <c r="D280" s="1" t="str">
        <f ca="1">MID(Names!G112,FIND(" ",Names!G112)+1,LEN(Names!G112)-FIND(" ", Names!G112))&amp;" "&amp;INDEX(PROJ_EXT_Name,RANDBETWEEN(2,12))</f>
        <v>Brew Creek Rd Upgrade</v>
      </c>
      <c r="E280" s="1" t="s">
        <v>6916</v>
      </c>
      <c r="F280">
        <f t="shared" si="25"/>
        <v>40024</v>
      </c>
      <c r="G280">
        <f t="shared" si="26"/>
        <v>500024</v>
      </c>
      <c r="H280" t="s">
        <v>6694</v>
      </c>
      <c r="I280" s="8">
        <f t="shared" si="27"/>
        <v>600024</v>
      </c>
      <c r="J280" t="s">
        <v>6517</v>
      </c>
      <c r="K280" t="str">
        <f>IFERROR(VLOOKUP(E280,Contacts.csv!C:D,2,FALSE),"")</f>
        <v/>
      </c>
      <c r="L280" t="str">
        <f t="shared" si="28"/>
        <v>rg:None</v>
      </c>
      <c r="M280" s="4" t="str">
        <f t="shared" si="29"/>
        <v>rg:[]</v>
      </c>
      <c r="N280" t="s">
        <v>6517</v>
      </c>
      <c r="O280" t="s">
        <v>6517</v>
      </c>
      <c r="P280" t="s">
        <v>6517</v>
      </c>
    </row>
    <row r="281" spans="1:16" x14ac:dyDescent="0.3">
      <c r="A281" t="s">
        <v>5388</v>
      </c>
      <c r="B281">
        <f ca="1">INDEX(LocalAreas.csv!G:G,RANDBETWEEN(2,88))</f>
        <v>200086</v>
      </c>
      <c r="C281" t="str">
        <f t="shared" ca="1" si="24"/>
        <v>rg{'id': '200086'}'</v>
      </c>
      <c r="D281" s="1" t="str">
        <f ca="1">MID(Names!G113,FIND(" ",Names!G113)+1,LEN(Names!G113)-FIND(" ", Names!G113))&amp;" "&amp;INDEX(PROJ_EXT_Name,RANDBETWEEN(2,12))</f>
        <v>Robson St Overpass</v>
      </c>
      <c r="E281" s="1" t="s">
        <v>7031</v>
      </c>
      <c r="F281">
        <f t="shared" si="25"/>
        <v>40025</v>
      </c>
      <c r="G281">
        <f t="shared" si="26"/>
        <v>500025</v>
      </c>
      <c r="H281" t="s">
        <v>6694</v>
      </c>
      <c r="I281" s="8">
        <f t="shared" si="27"/>
        <v>600025</v>
      </c>
      <c r="J281" t="s">
        <v>6517</v>
      </c>
      <c r="K281" t="str">
        <f>IFERROR(VLOOKUP(E281,Contacts.csv!C:D,2,FALSE),"")</f>
        <v/>
      </c>
      <c r="L281" t="str">
        <f t="shared" si="28"/>
        <v>rg:None</v>
      </c>
      <c r="M281" s="4" t="str">
        <f t="shared" si="29"/>
        <v>rg:[]</v>
      </c>
      <c r="N281" t="s">
        <v>6517</v>
      </c>
      <c r="O281" t="s">
        <v>6517</v>
      </c>
      <c r="P281" t="s">
        <v>6517</v>
      </c>
    </row>
    <row r="282" spans="1:16" x14ac:dyDescent="0.3">
      <c r="A282" t="s">
        <v>5388</v>
      </c>
      <c r="B282">
        <f ca="1">INDEX(LocalAreas.csv!G:G,RANDBETWEEN(2,88))</f>
        <v>200051</v>
      </c>
      <c r="C282" t="str">
        <f t="shared" ca="1" si="24"/>
        <v>rg{'id': '200051'}'</v>
      </c>
      <c r="D282" s="1" t="str">
        <f ca="1">MID(Names!G114,FIND(" ",Names!G114)+1,LEN(Names!G114)-FIND(" ", Names!G114))&amp;" "&amp;INDEX(PROJ_EXT_Name,RANDBETWEEN(2,12))</f>
        <v>Roger Street Building</v>
      </c>
      <c r="E282" s="1" t="s">
        <v>6996</v>
      </c>
      <c r="F282">
        <f t="shared" si="25"/>
        <v>40026</v>
      </c>
      <c r="G282">
        <f t="shared" si="26"/>
        <v>500026</v>
      </c>
      <c r="H282" t="s">
        <v>6694</v>
      </c>
      <c r="I282" s="8">
        <f t="shared" si="27"/>
        <v>600026</v>
      </c>
      <c r="J282" t="s">
        <v>6517</v>
      </c>
      <c r="K282" t="str">
        <f>IFERROR(VLOOKUP(E282,Contacts.csv!C:D,2,FALSE),"")</f>
        <v/>
      </c>
      <c r="L282" t="str">
        <f t="shared" si="28"/>
        <v>rg:None</v>
      </c>
      <c r="M282" s="4" t="str">
        <f t="shared" si="29"/>
        <v>rg:[]</v>
      </c>
      <c r="N282" t="s">
        <v>6517</v>
      </c>
      <c r="O282" t="s">
        <v>6517</v>
      </c>
      <c r="P282" t="s">
        <v>6517</v>
      </c>
    </row>
    <row r="283" spans="1:16" x14ac:dyDescent="0.3">
      <c r="A283" t="s">
        <v>5388</v>
      </c>
      <c r="B283">
        <f ca="1">INDEX(LocalAreas.csv!G:G,RANDBETWEEN(2,88))</f>
        <v>200053</v>
      </c>
      <c r="C283" t="str">
        <f t="shared" ca="1" si="24"/>
        <v>rg{'id': '200053'}'</v>
      </c>
      <c r="D283" s="1" t="str">
        <f ca="1">MID(Names!G115,FIND(" ",Names!G115)+1,LEN(Names!G115)-FIND(" ", Names!G115))&amp;" "&amp;INDEX(PROJ_EXT_Name,RANDBETWEEN(2,12))</f>
        <v>Queens Bay Expressway</v>
      </c>
      <c r="E283" s="1" t="s">
        <v>7036</v>
      </c>
      <c r="F283">
        <f t="shared" si="25"/>
        <v>40027</v>
      </c>
      <c r="G283">
        <f t="shared" si="26"/>
        <v>500027</v>
      </c>
      <c r="H283" t="s">
        <v>6694</v>
      </c>
      <c r="I283" s="8">
        <f t="shared" si="27"/>
        <v>600027</v>
      </c>
      <c r="J283" t="s">
        <v>6517</v>
      </c>
      <c r="K283" t="str">
        <f>IFERROR(VLOOKUP(E283,Contacts.csv!C:D,2,FALSE),"")</f>
        <v/>
      </c>
      <c r="L283" t="str">
        <f t="shared" si="28"/>
        <v>rg:None</v>
      </c>
      <c r="M283" s="4" t="str">
        <f t="shared" si="29"/>
        <v>rg:[]</v>
      </c>
      <c r="N283" t="s">
        <v>6517</v>
      </c>
      <c r="O283" t="s">
        <v>6517</v>
      </c>
      <c r="P283" t="s">
        <v>6517</v>
      </c>
    </row>
    <row r="284" spans="1:16" x14ac:dyDescent="0.3">
      <c r="A284" t="s">
        <v>5388</v>
      </c>
      <c r="B284">
        <f ca="1">INDEX(LocalAreas.csv!G:G,RANDBETWEEN(2,88))</f>
        <v>200022</v>
      </c>
      <c r="C284" t="str">
        <f t="shared" ca="1" si="24"/>
        <v>rg{'id': '200022'}'</v>
      </c>
      <c r="D284" s="1" t="str">
        <f ca="1">MID(Names!G116,FIND(" ",Names!G116)+1,LEN(Names!G116)-FIND(" ", Names!G116))&amp;" "&amp;INDEX(PROJ_EXT_Name,RANDBETWEEN(2,12))</f>
        <v>Jade St Bridge Replacement</v>
      </c>
      <c r="E284" s="1" t="s">
        <v>6904</v>
      </c>
      <c r="F284">
        <f t="shared" si="25"/>
        <v>40028</v>
      </c>
      <c r="G284">
        <f t="shared" si="26"/>
        <v>500028</v>
      </c>
      <c r="H284" t="s">
        <v>6694</v>
      </c>
      <c r="I284" s="8">
        <f t="shared" si="27"/>
        <v>600028</v>
      </c>
      <c r="J284" t="s">
        <v>6517</v>
      </c>
      <c r="K284" t="str">
        <f>IFERROR(VLOOKUP(E284,Contacts.csv!C:D,2,FALSE),"")</f>
        <v/>
      </c>
      <c r="L284" t="str">
        <f t="shared" si="28"/>
        <v>rg:None</v>
      </c>
      <c r="M284" s="4" t="str">
        <f t="shared" si="29"/>
        <v>rg:[]</v>
      </c>
      <c r="N284" t="s">
        <v>6517</v>
      </c>
      <c r="O284" t="s">
        <v>6517</v>
      </c>
      <c r="P284" t="s">
        <v>6517</v>
      </c>
    </row>
  </sheetData>
  <autoFilter ref="A1:P284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:A139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8080</v>
      </c>
      <c r="C1" t="s">
        <v>6967</v>
      </c>
      <c r="D1" t="s">
        <v>5327</v>
      </c>
      <c r="E1" t="s">
        <v>8068</v>
      </c>
      <c r="F1" t="s">
        <v>8069</v>
      </c>
      <c r="G1" t="s">
        <v>6505</v>
      </c>
      <c r="H1" t="s">
        <v>8070</v>
      </c>
      <c r="I1" t="s">
        <v>5329</v>
      </c>
      <c r="J1" t="s">
        <v>8071</v>
      </c>
      <c r="K1" t="s">
        <v>8072</v>
      </c>
      <c r="L1" t="s">
        <v>8073</v>
      </c>
      <c r="M1" t="s">
        <v>8074</v>
      </c>
      <c r="N1" t="s">
        <v>8075</v>
      </c>
      <c r="O1" t="s">
        <v>8076</v>
      </c>
      <c r="P1" t="s">
        <v>8077</v>
      </c>
      <c r="Q1" t="s">
        <v>8078</v>
      </c>
      <c r="R1" t="s">
        <v>8079</v>
      </c>
      <c r="S1" t="s">
        <v>8618</v>
      </c>
      <c r="T1" t="s">
        <v>8619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8081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8081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8081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8081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8081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8081</v>
      </c>
      <c r="I7" t="s">
        <v>76</v>
      </c>
      <c r="J7" t="str">
        <f>Names!M7</f>
        <v>BrianBHealey@jourrapide.com</v>
      </c>
      <c r="K7" t="str">
        <f ca="1">IF(RANDBETWEEN(1,2) &gt; 1, "rg:None", Names!P7)</f>
        <v>604-850-1074</v>
      </c>
      <c r="L7" t="str">
        <f ca="1">IF(K7="rg:None",Names!P7,"rg:None")</f>
        <v>rg:None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8081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8081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8081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8081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8081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8081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8081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8081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8081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8081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8081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8081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8081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8081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8081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8081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8081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8081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8081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8081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8081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8081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8081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8081</v>
      </c>
      <c r="I31" t="s">
        <v>76</v>
      </c>
      <c r="J31" t="str">
        <f>Names!M31</f>
        <v>RickyFNestor@rhyta.com</v>
      </c>
      <c r="K31" t="str">
        <f ca="1">IF(RANDBETWEEN(1,2) &gt; 1, "rg:None", Names!P31)</f>
        <v>778-228-2363</v>
      </c>
      <c r="L31" t="str">
        <f ca="1">IF(K31="rg:None",Names!P31,"rg:None")</f>
        <v>rg:None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8081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8081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8081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8081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8081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8081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rg:None</v>
      </c>
      <c r="L37" t="str">
        <f ca="1">IF(K37="rg:None",Names!P37,"rg:None")</f>
        <v>250-360-5236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8081</v>
      </c>
      <c r="I38" t="s">
        <v>76</v>
      </c>
      <c r="J38" t="str">
        <f>Names!M38</f>
        <v>KeliHWarren@rhyta.com</v>
      </c>
      <c r="K38" t="str">
        <f ca="1">IF(RANDBETWEEN(1,2) &gt; 1, "rg:None", Names!P38)</f>
        <v>rg:None</v>
      </c>
      <c r="L38" t="str">
        <f ca="1">IF(K38="rg:None",Names!P38,"rg:None")</f>
        <v>604-646-2730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8081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8081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8081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8081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8081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8081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8081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8081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8081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8081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8081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8081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8081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8081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604-720-7885</v>
      </c>
      <c r="L52" t="str">
        <f ca="1">IF(K52="rg:None",Names!P52,"rg:None")</f>
        <v>rg:None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8081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8081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8081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8081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8081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8081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8081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8081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8081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8081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8081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8081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604-862-3218</v>
      </c>
      <c r="L64" t="str">
        <f ca="1">IF(K64="rg:None",Names!P64,"rg:None")</f>
        <v>rg:None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8081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8081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8081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8081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8081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8081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8081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8081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8081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8081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8081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8081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8081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8081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8081</v>
      </c>
      <c r="I79" t="s">
        <v>76</v>
      </c>
      <c r="J79" t="str">
        <f>Names!M79</f>
        <v>JosephVJones@cuvox.de</v>
      </c>
      <c r="K79" t="str">
        <f ca="1">IF(RANDBETWEEN(1,2) &gt; 1, "rg:None", Names!P79)</f>
        <v>rg:None</v>
      </c>
      <c r="L79" t="str">
        <f ca="1">IF(K79="rg:None",Names!P79,"rg:None")</f>
        <v>250-631-4643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8081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8081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8081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8081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8081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8081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8081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8081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8081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8081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8081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8081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8081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8081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8081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8081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8081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8081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8081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778-688-4239</v>
      </c>
      <c r="L98" t="str">
        <f ca="1">IF(K98="rg:None",Names!P98,"rg:None")</f>
        <v>rg:None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8081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8081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8081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604-974-7099</v>
      </c>
      <c r="L101" t="str">
        <f ca="1">IF(K101="rg:None",Names!P101,"rg:None")</f>
        <v>rg:None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8081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rg:None</v>
      </c>
      <c r="L102" t="str">
        <f ca="1">IF(K102="rg:None",Names!P102,"rg:None")</f>
        <v>250-572-2948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8081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8081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250-617-8892</v>
      </c>
      <c r="L104" t="str">
        <f ca="1">IF(K104="rg:None",Names!P104,"rg:None")</f>
        <v>rg:None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8081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8081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rg:None</v>
      </c>
      <c r="L106" t="str">
        <f ca="1">IF(K106="rg:None",Names!P106,"rg:None")</f>
        <v>250-797-4938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5388</v>
      </c>
      <c r="C107" s="1" t="s">
        <v>6968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8081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5388</v>
      </c>
      <c r="C108" s="1" t="s">
        <v>6963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8081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5388</v>
      </c>
      <c r="C109" s="1" t="s">
        <v>6969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8081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5388</v>
      </c>
      <c r="C110" s="1" t="s">
        <v>6970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8081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5388</v>
      </c>
      <c r="C111" s="1" t="s">
        <v>6971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8081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5388</v>
      </c>
      <c r="C112" s="1" t="s">
        <v>6972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8081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5388</v>
      </c>
      <c r="C113" s="1" t="s">
        <v>6973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8081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rg:None</v>
      </c>
      <c r="L113" t="str">
        <f ca="1">IF(K113="rg:None",Names!P119,"rg:None")</f>
        <v>604-617-9493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5388</v>
      </c>
      <c r="C114" s="1" t="s">
        <v>6947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8081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5388</v>
      </c>
      <c r="C115" s="1" t="s">
        <v>6974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8081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5388</v>
      </c>
      <c r="C116" s="1" t="s">
        <v>6915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8081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5388</v>
      </c>
      <c r="C117" s="1" t="s">
        <v>6975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8081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5388</v>
      </c>
      <c r="C118" s="1" t="s">
        <v>6976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8081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5388</v>
      </c>
      <c r="C119" s="1" t="s">
        <v>6977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8081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rg:None</v>
      </c>
      <c r="L119" t="str">
        <f ca="1">IF(K119="rg:None",Names!P125,"rg:None")</f>
        <v>250-365-2113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5388</v>
      </c>
      <c r="C120" s="1" t="s">
        <v>6978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8081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5388</v>
      </c>
      <c r="C121" s="1" t="s">
        <v>6965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8081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5388</v>
      </c>
      <c r="C122" s="1" t="s">
        <v>6979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8081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5388</v>
      </c>
      <c r="C123" s="1" t="s">
        <v>6939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8081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5388</v>
      </c>
      <c r="C124" s="1" t="s">
        <v>6980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8081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250-458-2169</v>
      </c>
      <c r="L124" t="str">
        <f ca="1">IF(K124="rg:None",Names!P130,"rg:None")</f>
        <v>rg:None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5388</v>
      </c>
      <c r="C125" s="1" t="s">
        <v>6907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8081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5388</v>
      </c>
      <c r="C126" s="1" t="s">
        <v>6981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8081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5388</v>
      </c>
      <c r="C127" s="1" t="s">
        <v>6918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8081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5388</v>
      </c>
      <c r="C128" s="1" t="s">
        <v>6982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8081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5388</v>
      </c>
      <c r="C129" s="1" t="s">
        <v>6905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8081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rg:None</v>
      </c>
      <c r="L129" t="str">
        <f ca="1">IF(K129="rg:None",Names!P135,"rg:None")</f>
        <v>250-356-1413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5388</v>
      </c>
      <c r="C130" s="1" t="s">
        <v>6983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8081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604-875-9413</v>
      </c>
      <c r="L130" t="str">
        <f ca="1">IF(K130="rg:None",Names!P136,"rg:None")</f>
        <v>rg:None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5388</v>
      </c>
      <c r="C131" s="1" t="s">
        <v>6984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8081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5388</v>
      </c>
      <c r="C132" s="1" t="s">
        <v>6933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8081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5388</v>
      </c>
      <c r="C133" s="1" t="s">
        <v>6985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8081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5388</v>
      </c>
      <c r="C134" s="1" t="s">
        <v>6955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8081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rg:None</v>
      </c>
      <c r="L134" t="str">
        <f ca="1">IF(K134="rg:None",Names!P140,"rg:None")</f>
        <v>250-676-7685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5388</v>
      </c>
      <c r="C135" s="1" t="s">
        <v>6986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8081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5388</v>
      </c>
      <c r="C136" s="1" t="s">
        <v>6987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8081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5388</v>
      </c>
      <c r="C137" s="1" t="s">
        <v>6988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8081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5388</v>
      </c>
      <c r="C138" s="1" t="s">
        <v>6989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8081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5388</v>
      </c>
      <c r="C139" s="1" t="s">
        <v>6990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8081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63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5327</v>
      </c>
      <c r="C1" s="8" t="s">
        <v>6897</v>
      </c>
      <c r="D1" s="8" t="s">
        <v>6501</v>
      </c>
      <c r="E1" s="8" t="s">
        <v>5636</v>
      </c>
      <c r="F1" s="8" t="s">
        <v>333</v>
      </c>
      <c r="G1" s="9" t="s">
        <v>5651</v>
      </c>
      <c r="H1" s="9" t="s">
        <v>5650</v>
      </c>
      <c r="I1" s="8" t="s">
        <v>6898</v>
      </c>
      <c r="J1" s="8" t="s">
        <v>6899</v>
      </c>
      <c r="K1" s="8" t="s">
        <v>6900</v>
      </c>
      <c r="L1" s="8" t="s">
        <v>6901</v>
      </c>
      <c r="M1" s="9" t="s">
        <v>7122</v>
      </c>
      <c r="N1" s="9" t="s">
        <v>6902</v>
      </c>
      <c r="O1" s="8" t="s">
        <v>5329</v>
      </c>
      <c r="P1" s="8" t="s">
        <v>5376</v>
      </c>
      <c r="Q1" s="8" t="s">
        <v>5377</v>
      </c>
      <c r="R1" s="8" t="s">
        <v>6903</v>
      </c>
    </row>
    <row r="2" spans="1:18" x14ac:dyDescent="0.3">
      <c r="A2" s="8" t="s">
        <v>5675</v>
      </c>
      <c r="B2" s="8">
        <f>IF(ISNUMBER(B1),B1+1,600000)</f>
        <v>600000</v>
      </c>
      <c r="C2" s="1" t="s">
        <v>6968</v>
      </c>
      <c r="D2" s="9" t="e">
        <f>VLOOKUP(C2,Project.csv!E:P,13,FALSE)</f>
        <v>#REF!</v>
      </c>
      <c r="E2" s="8" t="e">
        <f xml:space="preserve"> "rg:{'id':'" &amp; D2 &amp; "'}"</f>
        <v>#REF!</v>
      </c>
      <c r="F2" s="9" t="s">
        <v>7118</v>
      </c>
      <c r="G2" s="9">
        <f ca="1">INDEX(EquipmentTypes.csv!C:C,RANDBETWEEN(2,COUNTA(EquipmentTypes.csv!B:B)),1)</f>
        <v>200029</v>
      </c>
      <c r="H2" s="8" t="str">
        <f ca="1">"rg:{ 'id': '"&amp;G2&amp;"'}"</f>
        <v>rg:{ 'id': '200029'}</v>
      </c>
      <c r="I2" s="8">
        <f ca="1">IF(RANDBETWEEN(1,5)&gt;1,1,RANDBETWEEN(2,5))</f>
        <v>1</v>
      </c>
      <c r="J2" s="8">
        <f ca="1">RANDBETWEEN(4,100)</f>
        <v>50</v>
      </c>
      <c r="K2" s="8" t="str">
        <f ca="1">TEXT(TODAY()+RANDBETWEEN(1,56),"YYYY-MM-DD")</f>
        <v>2017-04-11</v>
      </c>
      <c r="L2" s="8" t="str">
        <f ca="1">TEXT(K2+(I2*J2)/8,"YYYY-MM-DD")</f>
        <v>2017-04-17</v>
      </c>
    </row>
    <row r="3" spans="1:18" x14ac:dyDescent="0.3">
      <c r="A3" s="8" t="s">
        <v>5675</v>
      </c>
      <c r="B3" s="8">
        <f t="shared" ref="B3:B66" si="0">IF(ISNUMBER(B2),B2+1,600000)</f>
        <v>600001</v>
      </c>
      <c r="C3" s="1" t="s">
        <v>6963</v>
      </c>
      <c r="D3" s="9" t="e">
        <f>VLOOKUP(C3,Project.csv!E:P,13,FALSE)</f>
        <v>#REF!</v>
      </c>
      <c r="E3" s="8" t="e">
        <f t="shared" ref="E3:E66" si="1" xml:space="preserve"> "rg:{'id':'" &amp; D3 &amp; "'}"</f>
        <v>#REF!</v>
      </c>
      <c r="F3" s="9" t="s">
        <v>7119</v>
      </c>
      <c r="G3" s="9">
        <f ca="1">INDEX(EquipmentTypes.csv!C:C,RANDBETWEEN(2,COUNTA(EquipmentTypes.csv!B:B)),1)</f>
        <v>200084</v>
      </c>
      <c r="H3" s="8" t="str">
        <f t="shared" ref="H3:H66" ca="1" si="2">"rg:{ 'id': '"&amp;G3&amp;"'}"</f>
        <v>rg:{ 'id': '200084'}</v>
      </c>
      <c r="I3" s="8">
        <f t="shared" ref="I3:I66" ca="1" si="3">IF(RANDBETWEEN(1,5)&gt;1,1,RANDBETWEEN(2,5))</f>
        <v>1</v>
      </c>
      <c r="J3" s="8">
        <f t="shared" ref="J3:J66" ca="1" si="4">RANDBETWEEN(4,100)</f>
        <v>76</v>
      </c>
      <c r="K3" s="8" t="str">
        <f t="shared" ref="K3:K66" ca="1" si="5">TEXT(TODAY()+RANDBETWEEN(1,56),"YYYY-MM-DD")</f>
        <v>2017-03-16</v>
      </c>
      <c r="L3" s="8" t="str">
        <f t="shared" ref="L3:L66" ca="1" si="6">TEXT(K3+(I3*J3)/8,"YYYY-MM-DD")</f>
        <v>2017-03-25</v>
      </c>
    </row>
    <row r="4" spans="1:18" x14ac:dyDescent="0.3">
      <c r="A4" s="8" t="s">
        <v>5675</v>
      </c>
      <c r="B4" s="8">
        <f t="shared" si="0"/>
        <v>600002</v>
      </c>
      <c r="C4" s="1" t="s">
        <v>6969</v>
      </c>
      <c r="D4" s="9" t="e">
        <f>VLOOKUP(C4,Project.csv!E:P,13,FALSE)</f>
        <v>#REF!</v>
      </c>
      <c r="E4" s="8" t="e">
        <f t="shared" si="1"/>
        <v>#REF!</v>
      </c>
      <c r="F4" s="9" t="s">
        <v>7118</v>
      </c>
      <c r="G4" s="9">
        <f ca="1">INDEX(EquipmentTypes.csv!C:C,RANDBETWEEN(2,COUNTA(EquipmentTypes.csv!B:B)),1)</f>
        <v>200018</v>
      </c>
      <c r="H4" s="8" t="str">
        <f t="shared" ca="1" si="2"/>
        <v>rg:{ 'id': '200018'}</v>
      </c>
      <c r="I4" s="8">
        <f t="shared" ca="1" si="3"/>
        <v>1</v>
      </c>
      <c r="J4" s="8">
        <f t="shared" ca="1" si="4"/>
        <v>61</v>
      </c>
      <c r="K4" s="8" t="str">
        <f t="shared" ca="1" si="5"/>
        <v>2017-04-15</v>
      </c>
      <c r="L4" s="8" t="str">
        <f t="shared" ca="1" si="6"/>
        <v>2017-04-22</v>
      </c>
    </row>
    <row r="5" spans="1:18" x14ac:dyDescent="0.3">
      <c r="A5" s="8" t="s">
        <v>5675</v>
      </c>
      <c r="B5" s="8">
        <f t="shared" si="0"/>
        <v>600003</v>
      </c>
      <c r="C5" s="1" t="s">
        <v>6970</v>
      </c>
      <c r="D5" s="9" t="e">
        <f>VLOOKUP(C5,Project.csv!E:P,13,FALSE)</f>
        <v>#REF!</v>
      </c>
      <c r="E5" s="8" t="e">
        <f t="shared" si="1"/>
        <v>#REF!</v>
      </c>
      <c r="F5" s="9" t="s">
        <v>7118</v>
      </c>
      <c r="G5" s="9">
        <f ca="1">INDEX(EquipmentTypes.csv!C:C,RANDBETWEEN(2,COUNTA(EquipmentTypes.csv!B:B)),1)</f>
        <v>200072</v>
      </c>
      <c r="H5" s="8" t="str">
        <f t="shared" ca="1" si="2"/>
        <v>rg:{ 'id': '200072'}</v>
      </c>
      <c r="I5" s="8">
        <f t="shared" ca="1" si="3"/>
        <v>1</v>
      </c>
      <c r="J5" s="8">
        <f t="shared" ca="1" si="4"/>
        <v>40</v>
      </c>
      <c r="K5" s="8" t="str">
        <f t="shared" ca="1" si="5"/>
        <v>2017-04-10</v>
      </c>
      <c r="L5" s="8" t="str">
        <f t="shared" ca="1" si="6"/>
        <v>2017-04-15</v>
      </c>
    </row>
    <row r="6" spans="1:18" x14ac:dyDescent="0.3">
      <c r="A6" s="8" t="s">
        <v>5675</v>
      </c>
      <c r="B6" s="8">
        <f t="shared" si="0"/>
        <v>600004</v>
      </c>
      <c r="C6" s="1" t="s">
        <v>6971</v>
      </c>
      <c r="D6" s="9" t="e">
        <f>VLOOKUP(C6,Project.csv!E:P,13,FALSE)</f>
        <v>#REF!</v>
      </c>
      <c r="E6" s="8" t="e">
        <f t="shared" si="1"/>
        <v>#REF!</v>
      </c>
      <c r="F6" s="9" t="s">
        <v>7118</v>
      </c>
      <c r="G6" s="9">
        <f ca="1">INDEX(EquipmentTypes.csv!C:C,RANDBETWEEN(2,COUNTA(EquipmentTypes.csv!B:B)),1)</f>
        <v>200048</v>
      </c>
      <c r="H6" s="8" t="str">
        <f t="shared" ca="1" si="2"/>
        <v>rg:{ 'id': '200048'}</v>
      </c>
      <c r="I6" s="8">
        <f t="shared" ca="1" si="3"/>
        <v>1</v>
      </c>
      <c r="J6" s="8">
        <f t="shared" ca="1" si="4"/>
        <v>62</v>
      </c>
      <c r="K6" s="8" t="str">
        <f t="shared" ca="1" si="5"/>
        <v>2017-04-13</v>
      </c>
      <c r="L6" s="8" t="str">
        <f t="shared" ca="1" si="6"/>
        <v>2017-04-20</v>
      </c>
    </row>
    <row r="7" spans="1:18" x14ac:dyDescent="0.3">
      <c r="A7" s="8" t="s">
        <v>5675</v>
      </c>
      <c r="B7" s="8">
        <f t="shared" si="0"/>
        <v>600005</v>
      </c>
      <c r="C7" s="1" t="s">
        <v>6972</v>
      </c>
      <c r="D7" s="9" t="e">
        <f>VLOOKUP(C7,Project.csv!E:P,13,FALSE)</f>
        <v>#REF!</v>
      </c>
      <c r="E7" s="8" t="e">
        <f t="shared" si="1"/>
        <v>#REF!</v>
      </c>
      <c r="F7" s="9" t="s">
        <v>7119</v>
      </c>
      <c r="G7" s="9">
        <f ca="1">INDEX(EquipmentTypes.csv!C:C,RANDBETWEEN(2,COUNTA(EquipmentTypes.csv!B:B)),1)</f>
        <v>200005</v>
      </c>
      <c r="H7" s="8" t="str">
        <f t="shared" ca="1" si="2"/>
        <v>rg:{ 'id': '200005'}</v>
      </c>
      <c r="I7" s="8">
        <f t="shared" ca="1" si="3"/>
        <v>1</v>
      </c>
      <c r="J7" s="8">
        <f t="shared" ca="1" si="4"/>
        <v>44</v>
      </c>
      <c r="K7" s="8" t="str">
        <f t="shared" ca="1" si="5"/>
        <v>2017-03-05</v>
      </c>
      <c r="L7" s="8" t="str">
        <f t="shared" ca="1" si="6"/>
        <v>2017-03-10</v>
      </c>
    </row>
    <row r="8" spans="1:18" x14ac:dyDescent="0.3">
      <c r="A8" s="8" t="s">
        <v>5675</v>
      </c>
      <c r="B8" s="8">
        <f t="shared" si="0"/>
        <v>600006</v>
      </c>
      <c r="C8" s="1" t="s">
        <v>6973</v>
      </c>
      <c r="D8" s="9" t="e">
        <f>VLOOKUP(C8,Project.csv!E:P,13,FALSE)</f>
        <v>#REF!</v>
      </c>
      <c r="E8" s="8" t="e">
        <f t="shared" si="1"/>
        <v>#REF!</v>
      </c>
      <c r="F8" s="9" t="s">
        <v>7119</v>
      </c>
      <c r="G8" s="9">
        <f ca="1">INDEX(EquipmentTypes.csv!C:C,RANDBETWEEN(2,COUNTA(EquipmentTypes.csv!B:B)),1)</f>
        <v>200083</v>
      </c>
      <c r="H8" s="8" t="str">
        <f t="shared" ca="1" si="2"/>
        <v>rg:{ 'id': '200083'}</v>
      </c>
      <c r="I8" s="8">
        <f t="shared" ca="1" si="3"/>
        <v>1</v>
      </c>
      <c r="J8" s="8">
        <f t="shared" ca="1" si="4"/>
        <v>17</v>
      </c>
      <c r="K8" s="8" t="str">
        <f t="shared" ca="1" si="5"/>
        <v>2017-04-23</v>
      </c>
      <c r="L8" s="8" t="str">
        <f t="shared" ca="1" si="6"/>
        <v>2017-04-25</v>
      </c>
    </row>
    <row r="9" spans="1:18" x14ac:dyDescent="0.3">
      <c r="A9" s="8" t="s">
        <v>5675</v>
      </c>
      <c r="B9" s="8">
        <f t="shared" si="0"/>
        <v>600007</v>
      </c>
      <c r="C9" s="1" t="s">
        <v>6947</v>
      </c>
      <c r="D9" s="9" t="e">
        <f>VLOOKUP(C9,Project.csv!E:P,13,FALSE)</f>
        <v>#REF!</v>
      </c>
      <c r="E9" s="8" t="e">
        <f t="shared" si="1"/>
        <v>#REF!</v>
      </c>
      <c r="F9" s="9" t="s">
        <v>7119</v>
      </c>
      <c r="G9" s="9">
        <f ca="1">INDEX(EquipmentTypes.csv!C:C,RANDBETWEEN(2,COUNTA(EquipmentTypes.csv!B:B)),1)</f>
        <v>200060</v>
      </c>
      <c r="H9" s="8" t="str">
        <f t="shared" ca="1" si="2"/>
        <v>rg:{ 'id': '200060'}</v>
      </c>
      <c r="I9" s="8">
        <f t="shared" ca="1" si="3"/>
        <v>1</v>
      </c>
      <c r="J9" s="8">
        <f t="shared" ca="1" si="4"/>
        <v>82</v>
      </c>
      <c r="K9" s="8" t="str">
        <f t="shared" ca="1" si="5"/>
        <v>2017-04-24</v>
      </c>
      <c r="L9" s="8" t="str">
        <f t="shared" ca="1" si="6"/>
        <v>2017-05-04</v>
      </c>
    </row>
    <row r="10" spans="1:18" x14ac:dyDescent="0.3">
      <c r="A10" s="8" t="s">
        <v>5675</v>
      </c>
      <c r="B10" s="8">
        <f t="shared" si="0"/>
        <v>600008</v>
      </c>
      <c r="C10" s="1" t="s">
        <v>6974</v>
      </c>
      <c r="D10" s="9" t="e">
        <f>VLOOKUP(C10,Project.csv!E:P,13,FALSE)</f>
        <v>#REF!</v>
      </c>
      <c r="E10" s="8" t="e">
        <f t="shared" si="1"/>
        <v>#REF!</v>
      </c>
      <c r="F10" s="9" t="s">
        <v>7119</v>
      </c>
      <c r="G10" s="9">
        <f ca="1">INDEX(EquipmentTypes.csv!C:C,RANDBETWEEN(2,COUNTA(EquipmentTypes.csv!B:B)),1)</f>
        <v>200029</v>
      </c>
      <c r="H10" s="8" t="str">
        <f t="shared" ca="1" si="2"/>
        <v>rg:{ 'id': '200029'}</v>
      </c>
      <c r="I10" s="8">
        <f t="shared" ca="1" si="3"/>
        <v>1</v>
      </c>
      <c r="J10" s="8">
        <f t="shared" ca="1" si="4"/>
        <v>72</v>
      </c>
      <c r="K10" s="8" t="str">
        <f t="shared" ca="1" si="5"/>
        <v>2017-04-02</v>
      </c>
      <c r="L10" s="8" t="str">
        <f t="shared" ca="1" si="6"/>
        <v>2017-04-11</v>
      </c>
    </row>
    <row r="11" spans="1:18" x14ac:dyDescent="0.3">
      <c r="A11" s="8" t="s">
        <v>5675</v>
      </c>
      <c r="B11" s="8">
        <f t="shared" si="0"/>
        <v>600009</v>
      </c>
      <c r="C11" s="1" t="s">
        <v>6915</v>
      </c>
      <c r="D11" s="9" t="e">
        <f>VLOOKUP(C11,Project.csv!E:P,13,FALSE)</f>
        <v>#REF!</v>
      </c>
      <c r="E11" s="8" t="e">
        <f t="shared" si="1"/>
        <v>#REF!</v>
      </c>
      <c r="F11" s="9" t="s">
        <v>7118</v>
      </c>
      <c r="G11" s="9">
        <f ca="1">INDEX(EquipmentTypes.csv!C:C,RANDBETWEEN(2,COUNTA(EquipmentTypes.csv!B:B)),1)</f>
        <v>200086</v>
      </c>
      <c r="H11" s="8" t="str">
        <f t="shared" ca="1" si="2"/>
        <v>rg:{ 'id': '200086'}</v>
      </c>
      <c r="I11" s="8">
        <f t="shared" ca="1" si="3"/>
        <v>1</v>
      </c>
      <c r="J11" s="8">
        <f t="shared" ca="1" si="4"/>
        <v>20</v>
      </c>
      <c r="K11" s="8" t="str">
        <f t="shared" ca="1" si="5"/>
        <v>2017-03-12</v>
      </c>
      <c r="L11" s="8" t="str">
        <f t="shared" ca="1" si="6"/>
        <v>2017-03-14</v>
      </c>
    </row>
    <row r="12" spans="1:18" x14ac:dyDescent="0.3">
      <c r="A12" s="8" t="s">
        <v>5675</v>
      </c>
      <c r="B12" s="8">
        <f t="shared" si="0"/>
        <v>600010</v>
      </c>
      <c r="C12" s="1" t="s">
        <v>6975</v>
      </c>
      <c r="D12" s="9" t="e">
        <f>VLOOKUP(C12,Project.csv!E:P,13,FALSE)</f>
        <v>#REF!</v>
      </c>
      <c r="E12" s="8" t="e">
        <f t="shared" si="1"/>
        <v>#REF!</v>
      </c>
      <c r="F12" s="9" t="s">
        <v>7118</v>
      </c>
      <c r="G12" s="9">
        <f ca="1">INDEX(EquipmentTypes.csv!C:C,RANDBETWEEN(2,COUNTA(EquipmentTypes.csv!B:B)),1)</f>
        <v>200024</v>
      </c>
      <c r="H12" s="8" t="str">
        <f t="shared" ca="1" si="2"/>
        <v>rg:{ 'id': '200024'}</v>
      </c>
      <c r="I12" s="8">
        <f t="shared" ca="1" si="3"/>
        <v>1</v>
      </c>
      <c r="J12" s="8">
        <f t="shared" ca="1" si="4"/>
        <v>71</v>
      </c>
      <c r="K12" s="8" t="str">
        <f t="shared" ca="1" si="5"/>
        <v>2017-03-10</v>
      </c>
      <c r="L12" s="8" t="str">
        <f t="shared" ca="1" si="6"/>
        <v>2017-03-18</v>
      </c>
    </row>
    <row r="13" spans="1:18" x14ac:dyDescent="0.3">
      <c r="A13" s="8" t="s">
        <v>5675</v>
      </c>
      <c r="B13" s="8">
        <f t="shared" si="0"/>
        <v>600011</v>
      </c>
      <c r="C13" s="1" t="s">
        <v>6976</v>
      </c>
      <c r="D13" s="9" t="e">
        <f>VLOOKUP(C13,Project.csv!E:P,13,FALSE)</f>
        <v>#REF!</v>
      </c>
      <c r="E13" s="8" t="e">
        <f t="shared" si="1"/>
        <v>#REF!</v>
      </c>
      <c r="F13" s="9" t="s">
        <v>7118</v>
      </c>
      <c r="G13" s="9">
        <f ca="1">INDEX(EquipmentTypes.csv!C:C,RANDBETWEEN(2,COUNTA(EquipmentTypes.csv!B:B)),1)</f>
        <v>200072</v>
      </c>
      <c r="H13" s="8" t="str">
        <f t="shared" ca="1" si="2"/>
        <v>rg:{ 'id': '200072'}</v>
      </c>
      <c r="I13" s="8">
        <f t="shared" ca="1" si="3"/>
        <v>1</v>
      </c>
      <c r="J13" s="8">
        <f t="shared" ca="1" si="4"/>
        <v>52</v>
      </c>
      <c r="K13" s="8" t="str">
        <f t="shared" ca="1" si="5"/>
        <v>2017-04-04</v>
      </c>
      <c r="L13" s="8" t="str">
        <f t="shared" ca="1" si="6"/>
        <v>2017-04-10</v>
      </c>
    </row>
    <row r="14" spans="1:18" x14ac:dyDescent="0.3">
      <c r="A14" s="8" t="s">
        <v>5675</v>
      </c>
      <c r="B14" s="8">
        <f t="shared" si="0"/>
        <v>600012</v>
      </c>
      <c r="C14" s="1" t="s">
        <v>6977</v>
      </c>
      <c r="D14" s="9" t="e">
        <f>VLOOKUP(C14,Project.csv!E:P,13,FALSE)</f>
        <v>#REF!</v>
      </c>
      <c r="E14" s="8" t="e">
        <f t="shared" si="1"/>
        <v>#REF!</v>
      </c>
      <c r="F14" s="9" t="s">
        <v>7118</v>
      </c>
      <c r="G14" s="9">
        <f ca="1">INDEX(EquipmentTypes.csv!C:C,RANDBETWEEN(2,COUNTA(EquipmentTypes.csv!B:B)),1)</f>
        <v>200028</v>
      </c>
      <c r="H14" s="8" t="str">
        <f t="shared" ca="1" si="2"/>
        <v>rg:{ 'id': '200028'}</v>
      </c>
      <c r="I14" s="8">
        <f t="shared" ca="1" si="3"/>
        <v>1</v>
      </c>
      <c r="J14" s="8">
        <f t="shared" ca="1" si="4"/>
        <v>96</v>
      </c>
      <c r="K14" s="8" t="str">
        <f t="shared" ca="1" si="5"/>
        <v>2017-03-25</v>
      </c>
      <c r="L14" s="8" t="str">
        <f t="shared" ca="1" si="6"/>
        <v>2017-04-06</v>
      </c>
    </row>
    <row r="15" spans="1:18" x14ac:dyDescent="0.3">
      <c r="A15" s="8" t="s">
        <v>5675</v>
      </c>
      <c r="B15" s="8">
        <f t="shared" si="0"/>
        <v>600013</v>
      </c>
      <c r="C15" s="1" t="s">
        <v>6978</v>
      </c>
      <c r="D15" s="9" t="e">
        <f>VLOOKUP(C15,Project.csv!E:P,13,FALSE)</f>
        <v>#REF!</v>
      </c>
      <c r="E15" s="8" t="e">
        <f t="shared" si="1"/>
        <v>#REF!</v>
      </c>
      <c r="F15" s="9" t="s">
        <v>7118</v>
      </c>
      <c r="G15" s="9">
        <f ca="1">INDEX(EquipmentTypes.csv!C:C,RANDBETWEEN(2,COUNTA(EquipmentTypes.csv!B:B)),1)</f>
        <v>200006</v>
      </c>
      <c r="H15" s="8" t="str">
        <f t="shared" ca="1" si="2"/>
        <v>rg:{ 'id': '200006'}</v>
      </c>
      <c r="I15" s="8">
        <f t="shared" ca="1" si="3"/>
        <v>1</v>
      </c>
      <c r="J15" s="8">
        <f t="shared" ca="1" si="4"/>
        <v>88</v>
      </c>
      <c r="K15" s="8" t="str">
        <f t="shared" ca="1" si="5"/>
        <v>2017-03-31</v>
      </c>
      <c r="L15" s="8" t="str">
        <f t="shared" ca="1" si="6"/>
        <v>2017-04-11</v>
      </c>
    </row>
    <row r="16" spans="1:18" x14ac:dyDescent="0.3">
      <c r="A16" s="8" t="s">
        <v>5675</v>
      </c>
      <c r="B16" s="8">
        <f t="shared" si="0"/>
        <v>600014</v>
      </c>
      <c r="C16" s="1" t="s">
        <v>6965</v>
      </c>
      <c r="D16" s="9" t="e">
        <f>VLOOKUP(C16,Project.csv!E:P,13,FALSE)</f>
        <v>#REF!</v>
      </c>
      <c r="E16" s="8" t="e">
        <f t="shared" si="1"/>
        <v>#REF!</v>
      </c>
      <c r="F16" s="9" t="s">
        <v>7118</v>
      </c>
      <c r="G16" s="9">
        <f ca="1">INDEX(EquipmentTypes.csv!C:C,RANDBETWEEN(2,COUNTA(EquipmentTypes.csv!B:B)),1)</f>
        <v>200012</v>
      </c>
      <c r="H16" s="8" t="str">
        <f t="shared" ca="1" si="2"/>
        <v>rg:{ 'id': '200012'}</v>
      </c>
      <c r="I16" s="8">
        <f t="shared" ca="1" si="3"/>
        <v>1</v>
      </c>
      <c r="J16" s="8">
        <f t="shared" ca="1" si="4"/>
        <v>31</v>
      </c>
      <c r="K16" s="8" t="str">
        <f t="shared" ca="1" si="5"/>
        <v>2017-03-17</v>
      </c>
      <c r="L16" s="8" t="str">
        <f t="shared" ca="1" si="6"/>
        <v>2017-03-20</v>
      </c>
    </row>
    <row r="17" spans="1:12" x14ac:dyDescent="0.3">
      <c r="A17" s="8" t="s">
        <v>5675</v>
      </c>
      <c r="B17" s="8">
        <f t="shared" si="0"/>
        <v>600015</v>
      </c>
      <c r="C17" s="1" t="s">
        <v>6979</v>
      </c>
      <c r="D17" s="9" t="e">
        <f>VLOOKUP(C17,Project.csv!E:P,13,FALSE)</f>
        <v>#REF!</v>
      </c>
      <c r="E17" s="8" t="e">
        <f t="shared" si="1"/>
        <v>#REF!</v>
      </c>
      <c r="F17" s="9" t="s">
        <v>7118</v>
      </c>
      <c r="G17" s="9">
        <f ca="1">INDEX(EquipmentTypes.csv!C:C,RANDBETWEEN(2,COUNTA(EquipmentTypes.csv!B:B)),1)</f>
        <v>200012</v>
      </c>
      <c r="H17" s="8" t="str">
        <f t="shared" ca="1" si="2"/>
        <v>rg:{ 'id': '200012'}</v>
      </c>
      <c r="I17" s="8">
        <f t="shared" ca="1" si="3"/>
        <v>1</v>
      </c>
      <c r="J17" s="8">
        <f t="shared" ca="1" si="4"/>
        <v>84</v>
      </c>
      <c r="K17" s="8" t="str">
        <f t="shared" ca="1" si="5"/>
        <v>2017-03-05</v>
      </c>
      <c r="L17" s="8" t="str">
        <f t="shared" ca="1" si="6"/>
        <v>2017-03-15</v>
      </c>
    </row>
    <row r="18" spans="1:12" x14ac:dyDescent="0.3">
      <c r="A18" s="8" t="s">
        <v>5675</v>
      </c>
      <c r="B18" s="8">
        <f t="shared" si="0"/>
        <v>600016</v>
      </c>
      <c r="C18" s="1" t="s">
        <v>6939</v>
      </c>
      <c r="D18" s="9" t="e">
        <f>VLOOKUP(C18,Project.csv!E:P,13,FALSE)</f>
        <v>#REF!</v>
      </c>
      <c r="E18" s="8" t="e">
        <f t="shared" si="1"/>
        <v>#REF!</v>
      </c>
      <c r="F18" s="9" t="s">
        <v>7118</v>
      </c>
      <c r="G18" s="9">
        <f ca="1">INDEX(EquipmentTypes.csv!C:C,RANDBETWEEN(2,COUNTA(EquipmentTypes.csv!B:B)),1)</f>
        <v>200083</v>
      </c>
      <c r="H18" s="8" t="str">
        <f t="shared" ca="1" si="2"/>
        <v>rg:{ 'id': '200083'}</v>
      </c>
      <c r="I18" s="8">
        <f t="shared" ca="1" si="3"/>
        <v>1</v>
      </c>
      <c r="J18" s="8">
        <f t="shared" ca="1" si="4"/>
        <v>53</v>
      </c>
      <c r="K18" s="8" t="str">
        <f t="shared" ca="1" si="5"/>
        <v>2017-04-12</v>
      </c>
      <c r="L18" s="8" t="str">
        <f t="shared" ca="1" si="6"/>
        <v>2017-04-18</v>
      </c>
    </row>
    <row r="19" spans="1:12" x14ac:dyDescent="0.3">
      <c r="A19" s="8" t="s">
        <v>5675</v>
      </c>
      <c r="B19" s="8">
        <f t="shared" si="0"/>
        <v>600017</v>
      </c>
      <c r="C19" s="1" t="s">
        <v>6980</v>
      </c>
      <c r="D19" s="9" t="e">
        <f>VLOOKUP(C19,Project.csv!E:P,13,FALSE)</f>
        <v>#REF!</v>
      </c>
      <c r="E19" s="8" t="e">
        <f t="shared" si="1"/>
        <v>#REF!</v>
      </c>
      <c r="F19" s="9" t="s">
        <v>7118</v>
      </c>
      <c r="G19" s="9">
        <f ca="1">INDEX(EquipmentTypes.csv!C:C,RANDBETWEEN(2,COUNTA(EquipmentTypes.csv!B:B)),1)</f>
        <v>200060</v>
      </c>
      <c r="H19" s="8" t="str">
        <f t="shared" ca="1" si="2"/>
        <v>rg:{ 'id': '200060'}</v>
      </c>
      <c r="I19" s="8">
        <f t="shared" ca="1" si="3"/>
        <v>1</v>
      </c>
      <c r="J19" s="8">
        <f t="shared" ca="1" si="4"/>
        <v>45</v>
      </c>
      <c r="K19" s="8" t="str">
        <f t="shared" ca="1" si="5"/>
        <v>2017-04-20</v>
      </c>
      <c r="L19" s="8" t="str">
        <f t="shared" ca="1" si="6"/>
        <v>2017-04-25</v>
      </c>
    </row>
    <row r="20" spans="1:12" x14ac:dyDescent="0.3">
      <c r="A20" s="8" t="s">
        <v>5675</v>
      </c>
      <c r="B20" s="8">
        <f t="shared" si="0"/>
        <v>600018</v>
      </c>
      <c r="C20" s="1" t="s">
        <v>6907</v>
      </c>
      <c r="D20" s="9" t="e">
        <f>VLOOKUP(C20,Project.csv!E:P,13,FALSE)</f>
        <v>#REF!</v>
      </c>
      <c r="E20" s="8" t="e">
        <f t="shared" si="1"/>
        <v>#REF!</v>
      </c>
      <c r="F20" s="9" t="s">
        <v>7118</v>
      </c>
      <c r="G20" s="9">
        <f ca="1">INDEX(EquipmentTypes.csv!C:C,RANDBETWEEN(2,COUNTA(EquipmentTypes.csv!B:B)),1)</f>
        <v>200051</v>
      </c>
      <c r="H20" s="8" t="str">
        <f t="shared" ca="1" si="2"/>
        <v>rg:{ 'id': '200051'}</v>
      </c>
      <c r="I20" s="8">
        <f t="shared" ca="1" si="3"/>
        <v>1</v>
      </c>
      <c r="J20" s="8">
        <f t="shared" ca="1" si="4"/>
        <v>30</v>
      </c>
      <c r="K20" s="8" t="str">
        <f t="shared" ca="1" si="5"/>
        <v>2017-04-07</v>
      </c>
      <c r="L20" s="8" t="str">
        <f t="shared" ca="1" si="6"/>
        <v>2017-04-10</v>
      </c>
    </row>
    <row r="21" spans="1:12" x14ac:dyDescent="0.3">
      <c r="A21" s="8" t="s">
        <v>5675</v>
      </c>
      <c r="B21" s="8">
        <f t="shared" si="0"/>
        <v>600019</v>
      </c>
      <c r="C21" s="1" t="s">
        <v>6981</v>
      </c>
      <c r="D21" s="9" t="e">
        <f>VLOOKUP(C21,Project.csv!E:P,13,FALSE)</f>
        <v>#REF!</v>
      </c>
      <c r="E21" s="8" t="e">
        <f t="shared" si="1"/>
        <v>#REF!</v>
      </c>
      <c r="F21" s="9" t="s">
        <v>7118</v>
      </c>
      <c r="G21" s="9">
        <f ca="1">INDEX(EquipmentTypes.csv!C:C,RANDBETWEEN(2,COUNTA(EquipmentTypes.csv!B:B)),1)</f>
        <v>200024</v>
      </c>
      <c r="H21" s="8" t="str">
        <f t="shared" ca="1" si="2"/>
        <v>rg:{ 'id': '200024'}</v>
      </c>
      <c r="I21" s="8">
        <f t="shared" ca="1" si="3"/>
        <v>1</v>
      </c>
      <c r="J21" s="8">
        <f t="shared" ca="1" si="4"/>
        <v>34</v>
      </c>
      <c r="K21" s="8" t="str">
        <f t="shared" ca="1" si="5"/>
        <v>2017-03-06</v>
      </c>
      <c r="L21" s="8" t="str">
        <f t="shared" ca="1" si="6"/>
        <v>2017-03-10</v>
      </c>
    </row>
    <row r="22" spans="1:12" x14ac:dyDescent="0.3">
      <c r="A22" s="8" t="s">
        <v>5675</v>
      </c>
      <c r="B22" s="8">
        <f t="shared" si="0"/>
        <v>600020</v>
      </c>
      <c r="C22" s="1" t="s">
        <v>6918</v>
      </c>
      <c r="D22" s="9" t="e">
        <f>VLOOKUP(C22,Project.csv!E:P,13,FALSE)</f>
        <v>#REF!</v>
      </c>
      <c r="E22" s="8" t="e">
        <f t="shared" si="1"/>
        <v>#REF!</v>
      </c>
      <c r="F22" s="9" t="s">
        <v>7118</v>
      </c>
      <c r="G22" s="9">
        <f ca="1">INDEX(EquipmentTypes.csv!C:C,RANDBETWEEN(2,COUNTA(EquipmentTypes.csv!B:B)),1)</f>
        <v>200025</v>
      </c>
      <c r="H22" s="8" t="str">
        <f t="shared" ca="1" si="2"/>
        <v>rg:{ 'id': '200025'}</v>
      </c>
      <c r="I22" s="8">
        <f t="shared" ca="1" si="3"/>
        <v>1</v>
      </c>
      <c r="J22" s="8">
        <f t="shared" ca="1" si="4"/>
        <v>93</v>
      </c>
      <c r="K22" s="8" t="str">
        <f t="shared" ca="1" si="5"/>
        <v>2017-04-09</v>
      </c>
      <c r="L22" s="8" t="str">
        <f t="shared" ca="1" si="6"/>
        <v>2017-04-20</v>
      </c>
    </row>
    <row r="23" spans="1:12" x14ac:dyDescent="0.3">
      <c r="A23" s="8" t="s">
        <v>5675</v>
      </c>
      <c r="B23" s="8">
        <f t="shared" si="0"/>
        <v>600021</v>
      </c>
      <c r="C23" s="1" t="s">
        <v>6982</v>
      </c>
      <c r="D23" s="9" t="e">
        <f>VLOOKUP(C23,Project.csv!E:P,13,FALSE)</f>
        <v>#REF!</v>
      </c>
      <c r="E23" s="8" t="e">
        <f t="shared" si="1"/>
        <v>#REF!</v>
      </c>
      <c r="F23" s="9" t="s">
        <v>7118</v>
      </c>
      <c r="G23" s="9">
        <f ca="1">INDEX(EquipmentTypes.csv!C:C,RANDBETWEEN(2,COUNTA(EquipmentTypes.csv!B:B)),1)</f>
        <v>200017</v>
      </c>
      <c r="H23" s="8" t="str">
        <f t="shared" ca="1" si="2"/>
        <v>rg:{ 'id': '200017'}</v>
      </c>
      <c r="I23" s="8">
        <f t="shared" ca="1" si="3"/>
        <v>1</v>
      </c>
      <c r="J23" s="8">
        <f t="shared" ca="1" si="4"/>
        <v>48</v>
      </c>
      <c r="K23" s="8" t="str">
        <f t="shared" ca="1" si="5"/>
        <v>2017-04-08</v>
      </c>
      <c r="L23" s="8" t="str">
        <f t="shared" ca="1" si="6"/>
        <v>2017-04-14</v>
      </c>
    </row>
    <row r="24" spans="1:12" x14ac:dyDescent="0.3">
      <c r="A24" s="8" t="s">
        <v>5675</v>
      </c>
      <c r="B24" s="8">
        <f t="shared" si="0"/>
        <v>600022</v>
      </c>
      <c r="C24" s="1" t="s">
        <v>6905</v>
      </c>
      <c r="D24" s="9" t="e">
        <f>VLOOKUP(C24,Project.csv!E:P,13,FALSE)</f>
        <v>#REF!</v>
      </c>
      <c r="E24" s="8" t="e">
        <f t="shared" si="1"/>
        <v>#REF!</v>
      </c>
      <c r="F24" s="9" t="s">
        <v>7118</v>
      </c>
      <c r="G24" s="9">
        <f ca="1">INDEX(EquipmentTypes.csv!C:C,RANDBETWEEN(2,COUNTA(EquipmentTypes.csv!B:B)),1)</f>
        <v>200017</v>
      </c>
      <c r="H24" s="8" t="str">
        <f t="shared" ca="1" si="2"/>
        <v>rg:{ 'id': '200017'}</v>
      </c>
      <c r="I24" s="8">
        <f t="shared" ca="1" si="3"/>
        <v>1</v>
      </c>
      <c r="J24" s="8">
        <f t="shared" ca="1" si="4"/>
        <v>21</v>
      </c>
      <c r="K24" s="8" t="str">
        <f t="shared" ca="1" si="5"/>
        <v>2017-04-12</v>
      </c>
      <c r="L24" s="8" t="str">
        <f t="shared" ca="1" si="6"/>
        <v>2017-04-14</v>
      </c>
    </row>
    <row r="25" spans="1:12" x14ac:dyDescent="0.3">
      <c r="A25" s="8" t="s">
        <v>5675</v>
      </c>
      <c r="B25" s="8">
        <f t="shared" si="0"/>
        <v>600023</v>
      </c>
      <c r="C25" s="1" t="s">
        <v>6983</v>
      </c>
      <c r="D25" s="9" t="e">
        <f>VLOOKUP(C25,Project.csv!E:P,13,FALSE)</f>
        <v>#REF!</v>
      </c>
      <c r="E25" s="8" t="e">
        <f t="shared" si="1"/>
        <v>#REF!</v>
      </c>
      <c r="F25" s="9" t="s">
        <v>7118</v>
      </c>
      <c r="G25" s="9">
        <f ca="1">INDEX(EquipmentTypes.csv!C:C,RANDBETWEEN(2,COUNTA(EquipmentTypes.csv!B:B)),1)</f>
        <v>200085</v>
      </c>
      <c r="H25" s="8" t="str">
        <f t="shared" ca="1" si="2"/>
        <v>rg:{ 'id': '200085'}</v>
      </c>
      <c r="I25" s="8">
        <f t="shared" ca="1" si="3"/>
        <v>1</v>
      </c>
      <c r="J25" s="8">
        <f t="shared" ca="1" si="4"/>
        <v>81</v>
      </c>
      <c r="K25" s="8" t="str">
        <f t="shared" ca="1" si="5"/>
        <v>2017-03-25</v>
      </c>
      <c r="L25" s="8" t="str">
        <f t="shared" ca="1" si="6"/>
        <v>2017-04-04</v>
      </c>
    </row>
    <row r="26" spans="1:12" x14ac:dyDescent="0.3">
      <c r="A26" s="8" t="s">
        <v>5675</v>
      </c>
      <c r="B26" s="8">
        <f t="shared" si="0"/>
        <v>600024</v>
      </c>
      <c r="C26" s="1" t="s">
        <v>6984</v>
      </c>
      <c r="D26" s="9" t="e">
        <f>VLOOKUP(C26,Project.csv!E:P,13,FALSE)</f>
        <v>#REF!</v>
      </c>
      <c r="E26" s="8" t="e">
        <f t="shared" si="1"/>
        <v>#REF!</v>
      </c>
      <c r="F26" s="9" t="s">
        <v>7118</v>
      </c>
      <c r="G26" s="9">
        <f ca="1">INDEX(EquipmentTypes.csv!C:C,RANDBETWEEN(2,COUNTA(EquipmentTypes.csv!B:B)),1)</f>
        <v>200072</v>
      </c>
      <c r="H26" s="8" t="str">
        <f t="shared" ca="1" si="2"/>
        <v>rg:{ 'id': '200072'}</v>
      </c>
      <c r="I26" s="8">
        <f t="shared" ca="1" si="3"/>
        <v>1</v>
      </c>
      <c r="J26" s="8">
        <f t="shared" ca="1" si="4"/>
        <v>27</v>
      </c>
      <c r="K26" s="8" t="str">
        <f t="shared" ca="1" si="5"/>
        <v>2017-04-10</v>
      </c>
      <c r="L26" s="8" t="str">
        <f t="shared" ca="1" si="6"/>
        <v>2017-04-13</v>
      </c>
    </row>
    <row r="27" spans="1:12" x14ac:dyDescent="0.3">
      <c r="A27" s="8" t="s">
        <v>5675</v>
      </c>
      <c r="B27" s="8">
        <f t="shared" si="0"/>
        <v>600025</v>
      </c>
      <c r="C27" s="1" t="s">
        <v>6933</v>
      </c>
      <c r="D27" s="9" t="e">
        <f>VLOOKUP(C27,Project.csv!E:P,13,FALSE)</f>
        <v>#REF!</v>
      </c>
      <c r="E27" s="8" t="e">
        <f t="shared" si="1"/>
        <v>#REF!</v>
      </c>
      <c r="F27" s="9" t="s">
        <v>7118</v>
      </c>
      <c r="G27" s="9">
        <f ca="1">INDEX(EquipmentTypes.csv!C:C,RANDBETWEEN(2,COUNTA(EquipmentTypes.csv!B:B)),1)</f>
        <v>200017</v>
      </c>
      <c r="H27" s="8" t="str">
        <f t="shared" ca="1" si="2"/>
        <v>rg:{ 'id': '200017'}</v>
      </c>
      <c r="I27" s="8">
        <f t="shared" ca="1" si="3"/>
        <v>1</v>
      </c>
      <c r="J27" s="8">
        <f t="shared" ca="1" si="4"/>
        <v>54</v>
      </c>
      <c r="K27" s="8" t="str">
        <f t="shared" ca="1" si="5"/>
        <v>2017-03-21</v>
      </c>
      <c r="L27" s="8" t="str">
        <f t="shared" ca="1" si="6"/>
        <v>2017-03-27</v>
      </c>
    </row>
    <row r="28" spans="1:12" x14ac:dyDescent="0.3">
      <c r="A28" s="8" t="s">
        <v>5675</v>
      </c>
      <c r="B28" s="8">
        <f t="shared" si="0"/>
        <v>600026</v>
      </c>
      <c r="C28" s="1" t="s">
        <v>6985</v>
      </c>
      <c r="D28" s="9" t="e">
        <f>VLOOKUP(C28,Project.csv!E:P,13,FALSE)</f>
        <v>#REF!</v>
      </c>
      <c r="E28" s="8" t="e">
        <f t="shared" si="1"/>
        <v>#REF!</v>
      </c>
      <c r="F28" s="9" t="s">
        <v>7118</v>
      </c>
      <c r="G28" s="9">
        <f ca="1">INDEX(EquipmentTypes.csv!C:C,RANDBETWEEN(2,COUNTA(EquipmentTypes.csv!B:B)),1)</f>
        <v>200018</v>
      </c>
      <c r="H28" s="8" t="str">
        <f t="shared" ca="1" si="2"/>
        <v>rg:{ 'id': '200018'}</v>
      </c>
      <c r="I28" s="8">
        <f t="shared" ca="1" si="3"/>
        <v>1</v>
      </c>
      <c r="J28" s="8">
        <f t="shared" ca="1" si="4"/>
        <v>7</v>
      </c>
      <c r="K28" s="8" t="str">
        <f t="shared" ca="1" si="5"/>
        <v>2017-04-02</v>
      </c>
      <c r="L28" s="8" t="str">
        <f t="shared" ca="1" si="6"/>
        <v>2017-04-02</v>
      </c>
    </row>
    <row r="29" spans="1:12" x14ac:dyDescent="0.3">
      <c r="A29" s="8" t="s">
        <v>5675</v>
      </c>
      <c r="B29" s="8">
        <f t="shared" si="0"/>
        <v>600027</v>
      </c>
      <c r="C29" s="1" t="s">
        <v>6955</v>
      </c>
      <c r="D29" s="9" t="e">
        <f>VLOOKUP(C29,Project.csv!E:P,13,FALSE)</f>
        <v>#REF!</v>
      </c>
      <c r="E29" s="8" t="e">
        <f t="shared" si="1"/>
        <v>#REF!</v>
      </c>
      <c r="F29" s="9" t="s">
        <v>7118</v>
      </c>
      <c r="G29" s="9">
        <f ca="1">INDEX(EquipmentTypes.csv!C:C,RANDBETWEEN(2,COUNTA(EquipmentTypes.csv!B:B)),1)</f>
        <v>200017</v>
      </c>
      <c r="H29" s="8" t="str">
        <f t="shared" ca="1" si="2"/>
        <v>rg:{ 'id': '200017'}</v>
      </c>
      <c r="I29" s="8">
        <f t="shared" ca="1" si="3"/>
        <v>1</v>
      </c>
      <c r="J29" s="8">
        <f t="shared" ca="1" si="4"/>
        <v>40</v>
      </c>
      <c r="K29" s="8" t="str">
        <f t="shared" ca="1" si="5"/>
        <v>2017-04-03</v>
      </c>
      <c r="L29" s="8" t="str">
        <f t="shared" ca="1" si="6"/>
        <v>2017-04-08</v>
      </c>
    </row>
    <row r="30" spans="1:12" x14ac:dyDescent="0.3">
      <c r="A30" s="8" t="s">
        <v>5675</v>
      </c>
      <c r="B30" s="8">
        <f t="shared" si="0"/>
        <v>600028</v>
      </c>
      <c r="C30" s="1" t="s">
        <v>6986</v>
      </c>
      <c r="D30" s="9" t="e">
        <f>VLOOKUP(C30,Project.csv!E:P,13,FALSE)</f>
        <v>#REF!</v>
      </c>
      <c r="E30" s="8" t="e">
        <f t="shared" si="1"/>
        <v>#REF!</v>
      </c>
      <c r="F30" s="9" t="s">
        <v>7118</v>
      </c>
      <c r="G30" s="9">
        <f ca="1">INDEX(EquipmentTypes.csv!C:C,RANDBETWEEN(2,COUNTA(EquipmentTypes.csv!B:B)),1)</f>
        <v>200036</v>
      </c>
      <c r="H30" s="8" t="str">
        <f t="shared" ca="1" si="2"/>
        <v>rg:{ 'id': '200036'}</v>
      </c>
      <c r="I30" s="8">
        <f t="shared" ca="1" si="3"/>
        <v>5</v>
      </c>
      <c r="J30" s="8">
        <f t="shared" ca="1" si="4"/>
        <v>49</v>
      </c>
      <c r="K30" s="8" t="str">
        <f t="shared" ca="1" si="5"/>
        <v>2017-04-17</v>
      </c>
      <c r="L30" s="8" t="str">
        <f t="shared" ca="1" si="6"/>
        <v>2017-05-17</v>
      </c>
    </row>
    <row r="31" spans="1:12" x14ac:dyDescent="0.3">
      <c r="A31" s="8" t="s">
        <v>5675</v>
      </c>
      <c r="B31" s="8">
        <f t="shared" si="0"/>
        <v>600029</v>
      </c>
      <c r="C31" s="1" t="s">
        <v>6987</v>
      </c>
      <c r="D31" s="9" t="e">
        <f>VLOOKUP(C31,Project.csv!E:P,13,FALSE)</f>
        <v>#REF!</v>
      </c>
      <c r="E31" s="8" t="e">
        <f t="shared" si="1"/>
        <v>#REF!</v>
      </c>
      <c r="F31" s="9" t="s">
        <v>7118</v>
      </c>
      <c r="G31" s="9">
        <f ca="1">INDEX(EquipmentTypes.csv!C:C,RANDBETWEEN(2,COUNTA(EquipmentTypes.csv!B:B)),1)</f>
        <v>200005</v>
      </c>
      <c r="H31" s="8" t="str">
        <f t="shared" ca="1" si="2"/>
        <v>rg:{ 'id': '200005'}</v>
      </c>
      <c r="I31" s="8">
        <f t="shared" ca="1" si="3"/>
        <v>1</v>
      </c>
      <c r="J31" s="8">
        <f t="shared" ca="1" si="4"/>
        <v>88</v>
      </c>
      <c r="K31" s="8" t="str">
        <f t="shared" ca="1" si="5"/>
        <v>2017-04-16</v>
      </c>
      <c r="L31" s="8" t="str">
        <f t="shared" ca="1" si="6"/>
        <v>2017-04-27</v>
      </c>
    </row>
    <row r="32" spans="1:12" x14ac:dyDescent="0.3">
      <c r="A32" s="8" t="s">
        <v>5675</v>
      </c>
      <c r="B32" s="8">
        <f t="shared" si="0"/>
        <v>600030</v>
      </c>
      <c r="C32" s="1" t="s">
        <v>6988</v>
      </c>
      <c r="D32" s="9" t="e">
        <f>VLOOKUP(C32,Project.csv!E:P,13,FALSE)</f>
        <v>#REF!</v>
      </c>
      <c r="E32" s="8" t="e">
        <f t="shared" si="1"/>
        <v>#REF!</v>
      </c>
      <c r="F32" s="9" t="s">
        <v>7118</v>
      </c>
      <c r="G32" s="9">
        <f ca="1">INDEX(EquipmentTypes.csv!C:C,RANDBETWEEN(2,COUNTA(EquipmentTypes.csv!B:B)),1)</f>
        <v>200064</v>
      </c>
      <c r="H32" s="8" t="str">
        <f t="shared" ca="1" si="2"/>
        <v>rg:{ 'id': '200064'}</v>
      </c>
      <c r="I32" s="8">
        <f t="shared" ca="1" si="3"/>
        <v>1</v>
      </c>
      <c r="J32" s="8">
        <f t="shared" ca="1" si="4"/>
        <v>8</v>
      </c>
      <c r="K32" s="8" t="str">
        <f t="shared" ca="1" si="5"/>
        <v>2017-04-17</v>
      </c>
      <c r="L32" s="8" t="str">
        <f t="shared" ca="1" si="6"/>
        <v>2017-04-18</v>
      </c>
    </row>
    <row r="33" spans="1:12" x14ac:dyDescent="0.3">
      <c r="A33" s="8" t="s">
        <v>5675</v>
      </c>
      <c r="B33" s="8">
        <f t="shared" si="0"/>
        <v>600031</v>
      </c>
      <c r="C33" s="1" t="s">
        <v>6989</v>
      </c>
      <c r="D33" s="9" t="e">
        <f>VLOOKUP(C33,Project.csv!E:P,13,FALSE)</f>
        <v>#REF!</v>
      </c>
      <c r="E33" s="8" t="e">
        <f t="shared" si="1"/>
        <v>#REF!</v>
      </c>
      <c r="F33" s="9" t="s">
        <v>7118</v>
      </c>
      <c r="G33" s="9">
        <f ca="1">INDEX(EquipmentTypes.csv!C:C,RANDBETWEEN(2,COUNTA(EquipmentTypes.csv!B:B)),1)</f>
        <v>200012</v>
      </c>
      <c r="H33" s="8" t="str">
        <f t="shared" ca="1" si="2"/>
        <v>rg:{ 'id': '200012'}</v>
      </c>
      <c r="I33" s="8">
        <f t="shared" ca="1" si="3"/>
        <v>1</v>
      </c>
      <c r="J33" s="8">
        <f t="shared" ca="1" si="4"/>
        <v>40</v>
      </c>
      <c r="K33" s="8" t="str">
        <f t="shared" ca="1" si="5"/>
        <v>2017-03-08</v>
      </c>
      <c r="L33" s="8" t="str">
        <f t="shared" ca="1" si="6"/>
        <v>2017-03-13</v>
      </c>
    </row>
    <row r="34" spans="1:12" x14ac:dyDescent="0.3">
      <c r="A34" s="8" t="s">
        <v>5675</v>
      </c>
      <c r="B34" s="8">
        <f t="shared" si="0"/>
        <v>600032</v>
      </c>
      <c r="C34" s="1" t="s">
        <v>6990</v>
      </c>
      <c r="D34" s="9" t="e">
        <f>VLOOKUP(C34,Project.csv!E:P,13,FALSE)</f>
        <v>#REF!</v>
      </c>
      <c r="E34" s="8" t="e">
        <f t="shared" si="1"/>
        <v>#REF!</v>
      </c>
      <c r="F34" s="9" t="s">
        <v>7118</v>
      </c>
      <c r="G34" s="9">
        <f ca="1">INDEX(EquipmentTypes.csv!C:C,RANDBETWEEN(2,COUNTA(EquipmentTypes.csv!B:B)),1)</f>
        <v>200051</v>
      </c>
      <c r="H34" s="8" t="str">
        <f t="shared" ca="1" si="2"/>
        <v>rg:{ 'id': '200051'}</v>
      </c>
      <c r="I34" s="8">
        <f t="shared" ca="1" si="3"/>
        <v>1</v>
      </c>
      <c r="J34" s="8">
        <f t="shared" ca="1" si="4"/>
        <v>84</v>
      </c>
      <c r="K34" s="8" t="str">
        <f t="shared" ca="1" si="5"/>
        <v>2017-04-18</v>
      </c>
      <c r="L34" s="8" t="str">
        <f t="shared" ca="1" si="6"/>
        <v>2017-04-28</v>
      </c>
    </row>
    <row r="35" spans="1:12" x14ac:dyDescent="0.3">
      <c r="A35" s="8" t="s">
        <v>5675</v>
      </c>
      <c r="B35" s="8">
        <f t="shared" si="0"/>
        <v>600033</v>
      </c>
      <c r="C35" s="1" t="s">
        <v>6923</v>
      </c>
      <c r="D35" s="9" t="e">
        <f>VLOOKUP(C35,Project.csv!E:P,13,FALSE)</f>
        <v>#REF!</v>
      </c>
      <c r="E35" s="8" t="e">
        <f t="shared" si="1"/>
        <v>#REF!</v>
      </c>
      <c r="F35" s="9" t="s">
        <v>7118</v>
      </c>
      <c r="G35" s="9">
        <f ca="1">INDEX(EquipmentTypes.csv!C:C,RANDBETWEEN(2,COUNTA(EquipmentTypes.csv!B:B)),1)</f>
        <v>200082</v>
      </c>
      <c r="H35" s="8" t="str">
        <f t="shared" ca="1" si="2"/>
        <v>rg:{ 'id': '200082'}</v>
      </c>
      <c r="I35" s="8">
        <f t="shared" ca="1" si="3"/>
        <v>1</v>
      </c>
      <c r="J35" s="8">
        <f t="shared" ca="1" si="4"/>
        <v>25</v>
      </c>
      <c r="K35" s="8" t="str">
        <f t="shared" ca="1" si="5"/>
        <v>2017-03-04</v>
      </c>
      <c r="L35" s="8" t="str">
        <f t="shared" ca="1" si="6"/>
        <v>2017-03-07</v>
      </c>
    </row>
    <row r="36" spans="1:12" x14ac:dyDescent="0.3">
      <c r="A36" s="8" t="s">
        <v>5675</v>
      </c>
      <c r="B36" s="8">
        <f t="shared" si="0"/>
        <v>600034</v>
      </c>
      <c r="C36" s="1" t="s">
        <v>6991</v>
      </c>
      <c r="D36" s="9" t="e">
        <f>VLOOKUP(C36,Project.csv!E:P,13,FALSE)</f>
        <v>#REF!</v>
      </c>
      <c r="E36" s="8" t="e">
        <f t="shared" si="1"/>
        <v>#REF!</v>
      </c>
      <c r="F36" s="9" t="s">
        <v>7119</v>
      </c>
      <c r="G36" s="9">
        <f ca="1">INDEX(EquipmentTypes.csv!C:C,RANDBETWEEN(2,COUNTA(EquipmentTypes.csv!B:B)),1)</f>
        <v>200072</v>
      </c>
      <c r="H36" s="8" t="str">
        <f t="shared" ca="1" si="2"/>
        <v>rg:{ 'id': '200072'}</v>
      </c>
      <c r="I36" s="8">
        <f t="shared" ca="1" si="3"/>
        <v>1</v>
      </c>
      <c r="J36" s="8">
        <f t="shared" ca="1" si="4"/>
        <v>99</v>
      </c>
      <c r="K36" s="8" t="str">
        <f t="shared" ca="1" si="5"/>
        <v>2017-04-19</v>
      </c>
      <c r="L36" s="8" t="str">
        <f t="shared" ca="1" si="6"/>
        <v>2017-05-01</v>
      </c>
    </row>
    <row r="37" spans="1:12" x14ac:dyDescent="0.3">
      <c r="A37" s="8" t="s">
        <v>5675</v>
      </c>
      <c r="B37" s="8">
        <f t="shared" si="0"/>
        <v>600035</v>
      </c>
      <c r="C37" s="1" t="s">
        <v>6929</v>
      </c>
      <c r="D37" s="9" t="e">
        <f>VLOOKUP(C37,Project.csv!E:P,13,FALSE)</f>
        <v>#REF!</v>
      </c>
      <c r="E37" s="8" t="e">
        <f t="shared" si="1"/>
        <v>#REF!</v>
      </c>
      <c r="F37" s="9" t="s">
        <v>7119</v>
      </c>
      <c r="G37" s="9">
        <f ca="1">INDEX(EquipmentTypes.csv!C:C,RANDBETWEEN(2,COUNTA(EquipmentTypes.csv!B:B)),1)</f>
        <v>200082</v>
      </c>
      <c r="H37" s="8" t="str">
        <f t="shared" ca="1" si="2"/>
        <v>rg:{ 'id': '200082'}</v>
      </c>
      <c r="I37" s="8">
        <f t="shared" ca="1" si="3"/>
        <v>1</v>
      </c>
      <c r="J37" s="8">
        <f t="shared" ca="1" si="4"/>
        <v>11</v>
      </c>
      <c r="K37" s="8" t="str">
        <f t="shared" ca="1" si="5"/>
        <v>2017-03-05</v>
      </c>
      <c r="L37" s="8" t="str">
        <f t="shared" ca="1" si="6"/>
        <v>2017-03-06</v>
      </c>
    </row>
    <row r="38" spans="1:12" x14ac:dyDescent="0.3">
      <c r="A38" s="8" t="s">
        <v>5675</v>
      </c>
      <c r="B38" s="8">
        <f t="shared" si="0"/>
        <v>600036</v>
      </c>
      <c r="C38" s="1" t="s">
        <v>6992</v>
      </c>
      <c r="D38" s="9" t="e">
        <f>VLOOKUP(C38,Project.csv!E:P,13,FALSE)</f>
        <v>#REF!</v>
      </c>
      <c r="E38" s="8" t="e">
        <f t="shared" si="1"/>
        <v>#REF!</v>
      </c>
      <c r="F38" s="9" t="s">
        <v>7118</v>
      </c>
      <c r="G38" s="9">
        <f ca="1">INDEX(EquipmentTypes.csv!C:C,RANDBETWEEN(2,COUNTA(EquipmentTypes.csv!B:B)),1)</f>
        <v>200067</v>
      </c>
      <c r="H38" s="8" t="str">
        <f t="shared" ca="1" si="2"/>
        <v>rg:{ 'id': '200067'}</v>
      </c>
      <c r="I38" s="8">
        <f t="shared" ca="1" si="3"/>
        <v>1</v>
      </c>
      <c r="J38" s="8">
        <f t="shared" ca="1" si="4"/>
        <v>72</v>
      </c>
      <c r="K38" s="8" t="str">
        <f t="shared" ca="1" si="5"/>
        <v>2017-03-27</v>
      </c>
      <c r="L38" s="8" t="str">
        <f t="shared" ca="1" si="6"/>
        <v>2017-04-05</v>
      </c>
    </row>
    <row r="39" spans="1:12" x14ac:dyDescent="0.3">
      <c r="A39" s="8" t="s">
        <v>5675</v>
      </c>
      <c r="B39" s="8">
        <f t="shared" si="0"/>
        <v>600037</v>
      </c>
      <c r="C39" s="1" t="s">
        <v>6993</v>
      </c>
      <c r="D39" s="9" t="e">
        <f>VLOOKUP(C39,Project.csv!E:P,13,FALSE)</f>
        <v>#REF!</v>
      </c>
      <c r="E39" s="8" t="e">
        <f t="shared" si="1"/>
        <v>#REF!</v>
      </c>
      <c r="F39" s="9" t="s">
        <v>7118</v>
      </c>
      <c r="G39" s="9">
        <f ca="1">INDEX(EquipmentTypes.csv!C:C,RANDBETWEEN(2,COUNTA(EquipmentTypes.csv!B:B)),1)</f>
        <v>200043</v>
      </c>
      <c r="H39" s="8" t="str">
        <f t="shared" ca="1" si="2"/>
        <v>rg:{ 'id': '200043'}</v>
      </c>
      <c r="I39" s="8">
        <f t="shared" ca="1" si="3"/>
        <v>1</v>
      </c>
      <c r="J39" s="8">
        <f t="shared" ca="1" si="4"/>
        <v>31</v>
      </c>
      <c r="K39" s="8" t="str">
        <f t="shared" ca="1" si="5"/>
        <v>2017-04-24</v>
      </c>
      <c r="L39" s="8" t="str">
        <f t="shared" ca="1" si="6"/>
        <v>2017-04-27</v>
      </c>
    </row>
    <row r="40" spans="1:12" x14ac:dyDescent="0.3">
      <c r="A40" s="8" t="s">
        <v>5675</v>
      </c>
      <c r="B40" s="8">
        <f t="shared" si="0"/>
        <v>600038</v>
      </c>
      <c r="C40" s="1" t="s">
        <v>6941</v>
      </c>
      <c r="D40" s="9" t="e">
        <f>VLOOKUP(C40,Project.csv!E:P,13,FALSE)</f>
        <v>#REF!</v>
      </c>
      <c r="E40" s="8" t="e">
        <f t="shared" si="1"/>
        <v>#REF!</v>
      </c>
      <c r="F40" s="9" t="s">
        <v>7118</v>
      </c>
      <c r="G40" s="9">
        <f ca="1">INDEX(EquipmentTypes.csv!C:C,RANDBETWEEN(2,COUNTA(EquipmentTypes.csv!B:B)),1)</f>
        <v>200036</v>
      </c>
      <c r="H40" s="8" t="str">
        <f t="shared" ca="1" si="2"/>
        <v>rg:{ 'id': '200036'}</v>
      </c>
      <c r="I40" s="8">
        <f t="shared" ca="1" si="3"/>
        <v>1</v>
      </c>
      <c r="J40" s="8">
        <f t="shared" ca="1" si="4"/>
        <v>16</v>
      </c>
      <c r="K40" s="8" t="str">
        <f t="shared" ca="1" si="5"/>
        <v>2017-03-21</v>
      </c>
      <c r="L40" s="8" t="str">
        <f t="shared" ca="1" si="6"/>
        <v>2017-03-23</v>
      </c>
    </row>
    <row r="41" spans="1:12" x14ac:dyDescent="0.3">
      <c r="A41" s="8" t="s">
        <v>5675</v>
      </c>
      <c r="B41" s="8">
        <f t="shared" si="0"/>
        <v>600039</v>
      </c>
      <c r="C41" s="1" t="s">
        <v>6994</v>
      </c>
      <c r="D41" s="9" t="e">
        <f>VLOOKUP(C41,Project.csv!E:P,13,FALSE)</f>
        <v>#REF!</v>
      </c>
      <c r="E41" s="8" t="e">
        <f t="shared" si="1"/>
        <v>#REF!</v>
      </c>
      <c r="F41" s="9" t="s">
        <v>7118</v>
      </c>
      <c r="G41" s="9">
        <f ca="1">INDEX(EquipmentTypes.csv!C:C,RANDBETWEEN(2,COUNTA(EquipmentTypes.csv!B:B)),1)</f>
        <v>200028</v>
      </c>
      <c r="H41" s="8" t="str">
        <f t="shared" ca="1" si="2"/>
        <v>rg:{ 'id': '200028'}</v>
      </c>
      <c r="I41" s="8">
        <f t="shared" ca="1" si="3"/>
        <v>5</v>
      </c>
      <c r="J41" s="8">
        <f t="shared" ca="1" si="4"/>
        <v>6</v>
      </c>
      <c r="K41" s="8" t="str">
        <f t="shared" ca="1" si="5"/>
        <v>2017-03-11</v>
      </c>
      <c r="L41" s="8" t="str">
        <f t="shared" ca="1" si="6"/>
        <v>2017-03-14</v>
      </c>
    </row>
    <row r="42" spans="1:12" x14ac:dyDescent="0.3">
      <c r="A42" s="8" t="s">
        <v>5675</v>
      </c>
      <c r="B42" s="8">
        <f t="shared" si="0"/>
        <v>600040</v>
      </c>
      <c r="C42" s="1" t="s">
        <v>6959</v>
      </c>
      <c r="D42" s="9" t="e">
        <f>VLOOKUP(C42,Project.csv!E:P,13,FALSE)</f>
        <v>#REF!</v>
      </c>
      <c r="E42" s="8" t="e">
        <f t="shared" si="1"/>
        <v>#REF!</v>
      </c>
      <c r="F42" s="9" t="s">
        <v>7118</v>
      </c>
      <c r="G42" s="9">
        <f ca="1">INDEX(EquipmentTypes.csv!C:C,RANDBETWEEN(2,COUNTA(EquipmentTypes.csv!B:B)),1)</f>
        <v>200084</v>
      </c>
      <c r="H42" s="8" t="str">
        <f t="shared" ca="1" si="2"/>
        <v>rg:{ 'id': '200084'}</v>
      </c>
      <c r="I42" s="8">
        <f t="shared" ca="1" si="3"/>
        <v>1</v>
      </c>
      <c r="J42" s="8">
        <f t="shared" ca="1" si="4"/>
        <v>91</v>
      </c>
      <c r="K42" s="8" t="str">
        <f t="shared" ca="1" si="5"/>
        <v>2017-04-18</v>
      </c>
      <c r="L42" s="8" t="str">
        <f t="shared" ca="1" si="6"/>
        <v>2017-04-29</v>
      </c>
    </row>
    <row r="43" spans="1:12" x14ac:dyDescent="0.3">
      <c r="A43" s="8" t="s">
        <v>5675</v>
      </c>
      <c r="B43" s="8">
        <f t="shared" si="0"/>
        <v>600041</v>
      </c>
      <c r="C43" s="1" t="s">
        <v>6995</v>
      </c>
      <c r="D43" s="9" t="e">
        <f>VLOOKUP(C43,Project.csv!E:P,13,FALSE)</f>
        <v>#REF!</v>
      </c>
      <c r="E43" s="8" t="e">
        <f t="shared" si="1"/>
        <v>#REF!</v>
      </c>
      <c r="F43" s="9" t="s">
        <v>7118</v>
      </c>
      <c r="G43" s="9">
        <f ca="1">INDEX(EquipmentTypes.csv!C:C,RANDBETWEEN(2,COUNTA(EquipmentTypes.csv!B:B)),1)</f>
        <v>200086</v>
      </c>
      <c r="H43" s="8" t="str">
        <f t="shared" ca="1" si="2"/>
        <v>rg:{ 'id': '200086'}</v>
      </c>
      <c r="I43" s="8">
        <f t="shared" ca="1" si="3"/>
        <v>1</v>
      </c>
      <c r="J43" s="8">
        <f t="shared" ca="1" si="4"/>
        <v>39</v>
      </c>
      <c r="K43" s="8" t="str">
        <f t="shared" ca="1" si="5"/>
        <v>2017-04-13</v>
      </c>
      <c r="L43" s="8" t="str">
        <f t="shared" ca="1" si="6"/>
        <v>2017-04-17</v>
      </c>
    </row>
    <row r="44" spans="1:12" x14ac:dyDescent="0.3">
      <c r="A44" s="8" t="s">
        <v>5675</v>
      </c>
      <c r="B44" s="8">
        <f t="shared" si="0"/>
        <v>600042</v>
      </c>
      <c r="C44" s="1" t="s">
        <v>6996</v>
      </c>
      <c r="D44" s="9" t="e">
        <f>VLOOKUP(C44,Project.csv!E:P,13,FALSE)</f>
        <v>#REF!</v>
      </c>
      <c r="E44" s="8" t="e">
        <f t="shared" si="1"/>
        <v>#REF!</v>
      </c>
      <c r="F44" s="9" t="s">
        <v>7119</v>
      </c>
      <c r="G44" s="9">
        <f ca="1">INDEX(EquipmentTypes.csv!C:C,RANDBETWEEN(2,COUNTA(EquipmentTypes.csv!B:B)),1)</f>
        <v>200005</v>
      </c>
      <c r="H44" s="8" t="str">
        <f t="shared" ca="1" si="2"/>
        <v>rg:{ 'id': '200005'}</v>
      </c>
      <c r="I44" s="8">
        <f t="shared" ca="1" si="3"/>
        <v>4</v>
      </c>
      <c r="J44" s="8">
        <f t="shared" ca="1" si="4"/>
        <v>81</v>
      </c>
      <c r="K44" s="8" t="str">
        <f t="shared" ca="1" si="5"/>
        <v>2017-03-25</v>
      </c>
      <c r="L44" s="8" t="str">
        <f t="shared" ca="1" si="6"/>
        <v>2017-05-04</v>
      </c>
    </row>
    <row r="45" spans="1:12" x14ac:dyDescent="0.3">
      <c r="A45" s="8" t="s">
        <v>5675</v>
      </c>
      <c r="B45" s="8">
        <f t="shared" si="0"/>
        <v>600043</v>
      </c>
      <c r="C45" s="1" t="s">
        <v>6997</v>
      </c>
      <c r="D45" s="9" t="e">
        <f>VLOOKUP(C45,Project.csv!E:P,13,FALSE)</f>
        <v>#REF!</v>
      </c>
      <c r="E45" s="8" t="e">
        <f t="shared" si="1"/>
        <v>#REF!</v>
      </c>
      <c r="F45" s="9" t="s">
        <v>7118</v>
      </c>
      <c r="G45" s="9">
        <f ca="1">INDEX(EquipmentTypes.csv!C:C,RANDBETWEEN(2,COUNTA(EquipmentTypes.csv!B:B)),1)</f>
        <v>200006</v>
      </c>
      <c r="H45" s="8" t="str">
        <f t="shared" ca="1" si="2"/>
        <v>rg:{ 'id': '200006'}</v>
      </c>
      <c r="I45" s="8">
        <f t="shared" ca="1" si="3"/>
        <v>1</v>
      </c>
      <c r="J45" s="8">
        <f t="shared" ca="1" si="4"/>
        <v>63</v>
      </c>
      <c r="K45" s="8" t="str">
        <f t="shared" ca="1" si="5"/>
        <v>2017-03-09</v>
      </c>
      <c r="L45" s="8" t="str">
        <f t="shared" ca="1" si="6"/>
        <v>2017-03-16</v>
      </c>
    </row>
    <row r="46" spans="1:12" x14ac:dyDescent="0.3">
      <c r="A46" s="8" t="s">
        <v>5675</v>
      </c>
      <c r="B46" s="8">
        <f t="shared" si="0"/>
        <v>600044</v>
      </c>
      <c r="C46" s="1" t="s">
        <v>6958</v>
      </c>
      <c r="D46" s="9" t="e">
        <f>VLOOKUP(C46,Project.csv!E:P,13,FALSE)</f>
        <v>#REF!</v>
      </c>
      <c r="E46" s="8" t="e">
        <f t="shared" si="1"/>
        <v>#REF!</v>
      </c>
      <c r="F46" s="9" t="s">
        <v>7118</v>
      </c>
      <c r="G46" s="9">
        <f ca="1">INDEX(EquipmentTypes.csv!C:C,RANDBETWEEN(2,COUNTA(EquipmentTypes.csv!B:B)),1)</f>
        <v>200035</v>
      </c>
      <c r="H46" s="8" t="str">
        <f t="shared" ca="1" si="2"/>
        <v>rg:{ 'id': '200035'}</v>
      </c>
      <c r="I46" s="8">
        <f t="shared" ca="1" si="3"/>
        <v>1</v>
      </c>
      <c r="J46" s="8">
        <f t="shared" ca="1" si="4"/>
        <v>76</v>
      </c>
      <c r="K46" s="8" t="str">
        <f t="shared" ca="1" si="5"/>
        <v>2017-03-19</v>
      </c>
      <c r="L46" s="8" t="str">
        <f t="shared" ca="1" si="6"/>
        <v>2017-03-28</v>
      </c>
    </row>
    <row r="47" spans="1:12" x14ac:dyDescent="0.3">
      <c r="A47" s="8" t="s">
        <v>5675</v>
      </c>
      <c r="B47" s="8">
        <f t="shared" si="0"/>
        <v>600045</v>
      </c>
      <c r="C47" s="1" t="s">
        <v>6998</v>
      </c>
      <c r="D47" s="9" t="e">
        <f>VLOOKUP(C47,Project.csv!E:P,13,FALSE)</f>
        <v>#REF!</v>
      </c>
      <c r="E47" s="8" t="e">
        <f t="shared" si="1"/>
        <v>#REF!</v>
      </c>
      <c r="F47" s="9" t="s">
        <v>7118</v>
      </c>
      <c r="G47" s="9">
        <f ca="1">INDEX(EquipmentTypes.csv!C:C,RANDBETWEEN(2,COUNTA(EquipmentTypes.csv!B:B)),1)</f>
        <v>200067</v>
      </c>
      <c r="H47" s="8" t="str">
        <f t="shared" ca="1" si="2"/>
        <v>rg:{ 'id': '200067'}</v>
      </c>
      <c r="I47" s="8">
        <f t="shared" ca="1" si="3"/>
        <v>1</v>
      </c>
      <c r="J47" s="8">
        <f t="shared" ca="1" si="4"/>
        <v>65</v>
      </c>
      <c r="K47" s="8" t="str">
        <f t="shared" ca="1" si="5"/>
        <v>2017-04-25</v>
      </c>
      <c r="L47" s="8" t="str">
        <f t="shared" ca="1" si="6"/>
        <v>2017-05-03</v>
      </c>
    </row>
    <row r="48" spans="1:12" x14ac:dyDescent="0.3">
      <c r="A48" s="8" t="s">
        <v>5675</v>
      </c>
      <c r="B48" s="8">
        <f t="shared" si="0"/>
        <v>600046</v>
      </c>
      <c r="C48" s="1" t="s">
        <v>6950</v>
      </c>
      <c r="D48" s="9" t="e">
        <f>VLOOKUP(C48,Project.csv!E:P,13,FALSE)</f>
        <v>#REF!</v>
      </c>
      <c r="E48" s="8" t="e">
        <f t="shared" si="1"/>
        <v>#REF!</v>
      </c>
      <c r="F48" s="9" t="s">
        <v>7118</v>
      </c>
      <c r="G48" s="9">
        <f ca="1">INDEX(EquipmentTypes.csv!C:C,RANDBETWEEN(2,COUNTA(EquipmentTypes.csv!B:B)),1)</f>
        <v>200072</v>
      </c>
      <c r="H48" s="8" t="str">
        <f t="shared" ca="1" si="2"/>
        <v>rg:{ 'id': '200072'}</v>
      </c>
      <c r="I48" s="8">
        <f t="shared" ca="1" si="3"/>
        <v>4</v>
      </c>
      <c r="J48" s="8">
        <f t="shared" ca="1" si="4"/>
        <v>5</v>
      </c>
      <c r="K48" s="8" t="str">
        <f t="shared" ca="1" si="5"/>
        <v>2017-03-07</v>
      </c>
      <c r="L48" s="8" t="str">
        <f t="shared" ca="1" si="6"/>
        <v>2017-03-09</v>
      </c>
    </row>
    <row r="49" spans="1:12" x14ac:dyDescent="0.3">
      <c r="A49" s="8" t="s">
        <v>5675</v>
      </c>
      <c r="B49" s="8">
        <f t="shared" si="0"/>
        <v>600047</v>
      </c>
      <c r="C49" s="1" t="s">
        <v>6999</v>
      </c>
      <c r="D49" s="9" t="e">
        <f>VLOOKUP(C49,Project.csv!E:P,13,FALSE)</f>
        <v>#REF!</v>
      </c>
      <c r="E49" s="8" t="e">
        <f t="shared" si="1"/>
        <v>#REF!</v>
      </c>
      <c r="F49" s="9" t="s">
        <v>7118</v>
      </c>
      <c r="G49" s="9">
        <f ca="1">INDEX(EquipmentTypes.csv!C:C,RANDBETWEEN(2,COUNTA(EquipmentTypes.csv!B:B)),1)</f>
        <v>200072</v>
      </c>
      <c r="H49" s="8" t="str">
        <f t="shared" ca="1" si="2"/>
        <v>rg:{ 'id': '200072'}</v>
      </c>
      <c r="I49" s="8">
        <f t="shared" ca="1" si="3"/>
        <v>1</v>
      </c>
      <c r="J49" s="8">
        <f t="shared" ca="1" si="4"/>
        <v>22</v>
      </c>
      <c r="K49" s="8" t="str">
        <f t="shared" ca="1" si="5"/>
        <v>2017-03-27</v>
      </c>
      <c r="L49" s="8" t="str">
        <f t="shared" ca="1" si="6"/>
        <v>2017-03-29</v>
      </c>
    </row>
    <row r="50" spans="1:12" x14ac:dyDescent="0.3">
      <c r="A50" s="8" t="s">
        <v>5675</v>
      </c>
      <c r="B50" s="8">
        <f t="shared" si="0"/>
        <v>600048</v>
      </c>
      <c r="C50" s="1" t="s">
        <v>6915</v>
      </c>
      <c r="D50" s="9" t="e">
        <f>VLOOKUP(C50,Project.csv!E:P,13,FALSE)</f>
        <v>#REF!</v>
      </c>
      <c r="E50" s="8" t="e">
        <f t="shared" si="1"/>
        <v>#REF!</v>
      </c>
      <c r="F50" s="9" t="s">
        <v>7118</v>
      </c>
      <c r="G50" s="9">
        <f ca="1">INDEX(EquipmentTypes.csv!C:C,RANDBETWEEN(2,COUNTA(EquipmentTypes.csv!B:B)),1)</f>
        <v>200048</v>
      </c>
      <c r="H50" s="8" t="str">
        <f t="shared" ca="1" si="2"/>
        <v>rg:{ 'id': '200048'}</v>
      </c>
      <c r="I50" s="8">
        <f t="shared" ca="1" si="3"/>
        <v>1</v>
      </c>
      <c r="J50" s="8">
        <f t="shared" ca="1" si="4"/>
        <v>36</v>
      </c>
      <c r="K50" s="8" t="str">
        <f t="shared" ca="1" si="5"/>
        <v>2017-03-07</v>
      </c>
      <c r="L50" s="8" t="str">
        <f t="shared" ca="1" si="6"/>
        <v>2017-03-11</v>
      </c>
    </row>
    <row r="51" spans="1:12" x14ac:dyDescent="0.3">
      <c r="A51" s="8" t="s">
        <v>5675</v>
      </c>
      <c r="B51" s="8">
        <f t="shared" si="0"/>
        <v>600049</v>
      </c>
      <c r="C51" s="1" t="s">
        <v>6961</v>
      </c>
      <c r="D51" s="9" t="e">
        <f>VLOOKUP(C51,Project.csv!E:P,13,FALSE)</f>
        <v>#REF!</v>
      </c>
      <c r="E51" s="8" t="e">
        <f t="shared" si="1"/>
        <v>#REF!</v>
      </c>
      <c r="F51" s="9" t="s">
        <v>7119</v>
      </c>
      <c r="G51" s="9">
        <f ca="1">INDEX(EquipmentTypes.csv!C:C,RANDBETWEEN(2,COUNTA(EquipmentTypes.csv!B:B)),1)</f>
        <v>200048</v>
      </c>
      <c r="H51" s="8" t="str">
        <f t="shared" ca="1" si="2"/>
        <v>rg:{ 'id': '200048'}</v>
      </c>
      <c r="I51" s="8">
        <f t="shared" ca="1" si="3"/>
        <v>3</v>
      </c>
      <c r="J51" s="8">
        <f t="shared" ca="1" si="4"/>
        <v>43</v>
      </c>
      <c r="K51" s="8" t="str">
        <f t="shared" ca="1" si="5"/>
        <v>2017-03-11</v>
      </c>
      <c r="L51" s="8" t="str">
        <f t="shared" ca="1" si="6"/>
        <v>2017-03-27</v>
      </c>
    </row>
    <row r="52" spans="1:12" x14ac:dyDescent="0.3">
      <c r="A52" s="8" t="s">
        <v>5675</v>
      </c>
      <c r="B52" s="8">
        <f t="shared" si="0"/>
        <v>600050</v>
      </c>
      <c r="C52" s="1" t="s">
        <v>7000</v>
      </c>
      <c r="D52" s="9" t="e">
        <f>VLOOKUP(C52,Project.csv!E:P,13,FALSE)</f>
        <v>#REF!</v>
      </c>
      <c r="E52" s="8" t="e">
        <f t="shared" si="1"/>
        <v>#REF!</v>
      </c>
      <c r="F52" s="9" t="s">
        <v>7118</v>
      </c>
      <c r="G52" s="9">
        <f ca="1">INDEX(EquipmentTypes.csv!C:C,RANDBETWEEN(2,COUNTA(EquipmentTypes.csv!B:B)),1)</f>
        <v>200072</v>
      </c>
      <c r="H52" s="8" t="str">
        <f t="shared" ca="1" si="2"/>
        <v>rg:{ 'id': '200072'}</v>
      </c>
      <c r="I52" s="8">
        <f t="shared" ca="1" si="3"/>
        <v>1</v>
      </c>
      <c r="J52" s="8">
        <f t="shared" ca="1" si="4"/>
        <v>60</v>
      </c>
      <c r="K52" s="8" t="str">
        <f t="shared" ca="1" si="5"/>
        <v>2017-04-08</v>
      </c>
      <c r="L52" s="8" t="str">
        <f t="shared" ca="1" si="6"/>
        <v>2017-04-15</v>
      </c>
    </row>
    <row r="53" spans="1:12" x14ac:dyDescent="0.3">
      <c r="A53" s="8" t="s">
        <v>5675</v>
      </c>
      <c r="B53" s="8">
        <f t="shared" si="0"/>
        <v>600051</v>
      </c>
      <c r="C53" s="1" t="s">
        <v>7001</v>
      </c>
      <c r="D53" s="9" t="e">
        <f>VLOOKUP(C53,Project.csv!E:P,13,FALSE)</f>
        <v>#REF!</v>
      </c>
      <c r="E53" s="8" t="e">
        <f t="shared" si="1"/>
        <v>#REF!</v>
      </c>
      <c r="F53" s="9" t="s">
        <v>7118</v>
      </c>
      <c r="G53" s="9">
        <f ca="1">INDEX(EquipmentTypes.csv!C:C,RANDBETWEEN(2,COUNTA(EquipmentTypes.csv!B:B)),1)</f>
        <v>200072</v>
      </c>
      <c r="H53" s="8" t="str">
        <f t="shared" ca="1" si="2"/>
        <v>rg:{ 'id': '200072'}</v>
      </c>
      <c r="I53" s="8">
        <f t="shared" ca="1" si="3"/>
        <v>3</v>
      </c>
      <c r="J53" s="8">
        <f t="shared" ca="1" si="4"/>
        <v>61</v>
      </c>
      <c r="K53" s="8" t="str">
        <f t="shared" ca="1" si="5"/>
        <v>2017-03-24</v>
      </c>
      <c r="L53" s="8" t="str">
        <f t="shared" ca="1" si="6"/>
        <v>2017-04-15</v>
      </c>
    </row>
    <row r="54" spans="1:12" x14ac:dyDescent="0.3">
      <c r="A54" s="8" t="s">
        <v>5675</v>
      </c>
      <c r="B54" s="8">
        <f t="shared" si="0"/>
        <v>600052</v>
      </c>
      <c r="C54" s="1" t="s">
        <v>7002</v>
      </c>
      <c r="D54" s="9" t="e">
        <f>VLOOKUP(C54,Project.csv!E:P,13,FALSE)</f>
        <v>#REF!</v>
      </c>
      <c r="E54" s="8" t="e">
        <f t="shared" si="1"/>
        <v>#REF!</v>
      </c>
      <c r="F54" s="9" t="s">
        <v>7118</v>
      </c>
      <c r="G54" s="9">
        <f ca="1">INDEX(EquipmentTypes.csv!C:C,RANDBETWEEN(2,COUNTA(EquipmentTypes.csv!B:B)),1)</f>
        <v>200072</v>
      </c>
      <c r="H54" s="8" t="str">
        <f t="shared" ca="1" si="2"/>
        <v>rg:{ 'id': '200072'}</v>
      </c>
      <c r="I54" s="8">
        <f t="shared" ca="1" si="3"/>
        <v>1</v>
      </c>
      <c r="J54" s="8">
        <f t="shared" ca="1" si="4"/>
        <v>7</v>
      </c>
      <c r="K54" s="8" t="str">
        <f t="shared" ca="1" si="5"/>
        <v>2017-04-19</v>
      </c>
      <c r="L54" s="8" t="str">
        <f t="shared" ca="1" si="6"/>
        <v>2017-04-19</v>
      </c>
    </row>
    <row r="55" spans="1:12" x14ac:dyDescent="0.3">
      <c r="A55" s="8" t="s">
        <v>5675</v>
      </c>
      <c r="B55" s="8">
        <f t="shared" si="0"/>
        <v>600053</v>
      </c>
      <c r="C55" s="1" t="s">
        <v>6952</v>
      </c>
      <c r="D55" s="9" t="e">
        <f>VLOOKUP(C55,Project.csv!E:P,13,FALSE)</f>
        <v>#REF!</v>
      </c>
      <c r="E55" s="8" t="e">
        <f t="shared" si="1"/>
        <v>#REF!</v>
      </c>
      <c r="F55" s="9" t="s">
        <v>7118</v>
      </c>
      <c r="G55" s="9">
        <f ca="1">INDEX(EquipmentTypes.csv!C:C,RANDBETWEEN(2,COUNTA(EquipmentTypes.csv!B:B)),1)</f>
        <v>200025</v>
      </c>
      <c r="H55" s="8" t="str">
        <f t="shared" ca="1" si="2"/>
        <v>rg:{ 'id': '200025'}</v>
      </c>
      <c r="I55" s="8">
        <f t="shared" ca="1" si="3"/>
        <v>1</v>
      </c>
      <c r="J55" s="8">
        <f t="shared" ca="1" si="4"/>
        <v>49</v>
      </c>
      <c r="K55" s="8" t="str">
        <f t="shared" ca="1" si="5"/>
        <v>2017-03-30</v>
      </c>
      <c r="L55" s="8" t="str">
        <f t="shared" ca="1" si="6"/>
        <v>2017-04-05</v>
      </c>
    </row>
    <row r="56" spans="1:12" x14ac:dyDescent="0.3">
      <c r="A56" s="8" t="s">
        <v>5675</v>
      </c>
      <c r="B56" s="8">
        <f t="shared" si="0"/>
        <v>600054</v>
      </c>
      <c r="C56" s="1" t="s">
        <v>6906</v>
      </c>
      <c r="D56" s="9" t="e">
        <f>VLOOKUP(C56,Project.csv!E:P,13,FALSE)</f>
        <v>#REF!</v>
      </c>
      <c r="E56" s="8" t="e">
        <f t="shared" si="1"/>
        <v>#REF!</v>
      </c>
      <c r="F56" s="9" t="s">
        <v>7120</v>
      </c>
      <c r="G56" s="9">
        <f ca="1">INDEX(EquipmentTypes.csv!C:C,RANDBETWEEN(2,COUNTA(EquipmentTypes.csv!B:B)),1)</f>
        <v>200067</v>
      </c>
      <c r="H56" s="8" t="str">
        <f t="shared" ca="1" si="2"/>
        <v>rg:{ 'id': '200067'}</v>
      </c>
      <c r="I56" s="8">
        <f t="shared" ca="1" si="3"/>
        <v>1</v>
      </c>
      <c r="J56" s="8">
        <f t="shared" ca="1" si="4"/>
        <v>5</v>
      </c>
      <c r="K56" s="8" t="str">
        <f t="shared" ca="1" si="5"/>
        <v>2017-04-01</v>
      </c>
      <c r="L56" s="8" t="str">
        <f t="shared" ca="1" si="6"/>
        <v>2017-04-01</v>
      </c>
    </row>
    <row r="57" spans="1:12" x14ac:dyDescent="0.3">
      <c r="A57" s="8" t="s">
        <v>5675</v>
      </c>
      <c r="B57" s="8">
        <f t="shared" si="0"/>
        <v>600055</v>
      </c>
      <c r="C57" s="1" t="s">
        <v>6935</v>
      </c>
      <c r="D57" s="9" t="e">
        <f>VLOOKUP(C57,Project.csv!E:P,13,FALSE)</f>
        <v>#REF!</v>
      </c>
      <c r="E57" s="8" t="e">
        <f t="shared" si="1"/>
        <v>#REF!</v>
      </c>
      <c r="F57" s="9" t="s">
        <v>7120</v>
      </c>
      <c r="G57" s="9">
        <f ca="1">INDEX(EquipmentTypes.csv!C:C,RANDBETWEEN(2,COUNTA(EquipmentTypes.csv!B:B)),1)</f>
        <v>200048</v>
      </c>
      <c r="H57" s="8" t="str">
        <f t="shared" ca="1" si="2"/>
        <v>rg:{ 'id': '200048'}</v>
      </c>
      <c r="I57" s="8">
        <f t="shared" ca="1" si="3"/>
        <v>1</v>
      </c>
      <c r="J57" s="8">
        <f t="shared" ca="1" si="4"/>
        <v>17</v>
      </c>
      <c r="K57" s="8" t="str">
        <f t="shared" ca="1" si="5"/>
        <v>2017-03-11</v>
      </c>
      <c r="L57" s="8" t="str">
        <f t="shared" ca="1" si="6"/>
        <v>2017-03-13</v>
      </c>
    </row>
    <row r="58" spans="1:12" x14ac:dyDescent="0.3">
      <c r="A58" s="8" t="s">
        <v>5675</v>
      </c>
      <c r="B58" s="8">
        <f t="shared" si="0"/>
        <v>600056</v>
      </c>
      <c r="C58" s="1" t="s">
        <v>7003</v>
      </c>
      <c r="D58" s="9" t="e">
        <f>VLOOKUP(C58,Project.csv!E:P,13,FALSE)</f>
        <v>#REF!</v>
      </c>
      <c r="E58" s="8" t="e">
        <f t="shared" si="1"/>
        <v>#REF!</v>
      </c>
      <c r="F58" s="9" t="s">
        <v>7118</v>
      </c>
      <c r="G58" s="9">
        <f ca="1">INDEX(EquipmentTypes.csv!C:C,RANDBETWEEN(2,COUNTA(EquipmentTypes.csv!B:B)),1)</f>
        <v>200043</v>
      </c>
      <c r="H58" s="8" t="str">
        <f t="shared" ca="1" si="2"/>
        <v>rg:{ 'id': '200043'}</v>
      </c>
      <c r="I58" s="8">
        <f t="shared" ca="1" si="3"/>
        <v>1</v>
      </c>
      <c r="J58" s="8">
        <f t="shared" ca="1" si="4"/>
        <v>85</v>
      </c>
      <c r="K58" s="8" t="str">
        <f t="shared" ca="1" si="5"/>
        <v>2017-03-24</v>
      </c>
      <c r="L58" s="8" t="str">
        <f t="shared" ca="1" si="6"/>
        <v>2017-04-03</v>
      </c>
    </row>
    <row r="59" spans="1:12" x14ac:dyDescent="0.3">
      <c r="A59" s="8" t="s">
        <v>5675</v>
      </c>
      <c r="B59" s="8">
        <f t="shared" si="0"/>
        <v>600057</v>
      </c>
      <c r="C59" s="1" t="s">
        <v>7004</v>
      </c>
      <c r="D59" s="9" t="e">
        <f>VLOOKUP(C59,Project.csv!E:P,13,FALSE)</f>
        <v>#REF!</v>
      </c>
      <c r="E59" s="8" t="e">
        <f t="shared" si="1"/>
        <v>#REF!</v>
      </c>
      <c r="F59" s="9" t="s">
        <v>7118</v>
      </c>
      <c r="G59" s="9">
        <f ca="1">INDEX(EquipmentTypes.csv!C:C,RANDBETWEEN(2,COUNTA(EquipmentTypes.csv!B:B)),1)</f>
        <v>200072</v>
      </c>
      <c r="H59" s="8" t="str">
        <f t="shared" ca="1" si="2"/>
        <v>rg:{ 'id': '200072'}</v>
      </c>
      <c r="I59" s="8">
        <f t="shared" ca="1" si="3"/>
        <v>5</v>
      </c>
      <c r="J59" s="8">
        <f t="shared" ca="1" si="4"/>
        <v>8</v>
      </c>
      <c r="K59" s="8" t="str">
        <f t="shared" ca="1" si="5"/>
        <v>2017-04-25</v>
      </c>
      <c r="L59" s="8" t="str">
        <f t="shared" ca="1" si="6"/>
        <v>2017-04-30</v>
      </c>
    </row>
    <row r="60" spans="1:12" x14ac:dyDescent="0.3">
      <c r="A60" s="8" t="s">
        <v>5675</v>
      </c>
      <c r="B60" s="8">
        <f t="shared" si="0"/>
        <v>600058</v>
      </c>
      <c r="C60" s="1" t="s">
        <v>7005</v>
      </c>
      <c r="D60" s="9" t="e">
        <f>VLOOKUP(C60,Project.csv!E:P,13,FALSE)</f>
        <v>#REF!</v>
      </c>
      <c r="E60" s="8" t="e">
        <f t="shared" si="1"/>
        <v>#REF!</v>
      </c>
      <c r="F60" s="9" t="s">
        <v>7118</v>
      </c>
      <c r="G60" s="9">
        <f ca="1">INDEX(EquipmentTypes.csv!C:C,RANDBETWEEN(2,COUNTA(EquipmentTypes.csv!B:B)),1)</f>
        <v>200017</v>
      </c>
      <c r="H60" s="8" t="str">
        <f t="shared" ca="1" si="2"/>
        <v>rg:{ 'id': '200017'}</v>
      </c>
      <c r="I60" s="8">
        <f t="shared" ca="1" si="3"/>
        <v>1</v>
      </c>
      <c r="J60" s="8">
        <f t="shared" ca="1" si="4"/>
        <v>11</v>
      </c>
      <c r="K60" s="8" t="str">
        <f t="shared" ca="1" si="5"/>
        <v>2017-03-09</v>
      </c>
      <c r="L60" s="8" t="str">
        <f t="shared" ca="1" si="6"/>
        <v>2017-03-10</v>
      </c>
    </row>
    <row r="61" spans="1:12" x14ac:dyDescent="0.3">
      <c r="A61" s="8" t="s">
        <v>5675</v>
      </c>
      <c r="B61" s="8">
        <f t="shared" si="0"/>
        <v>600059</v>
      </c>
      <c r="C61" s="1" t="s">
        <v>7006</v>
      </c>
      <c r="D61" s="9" t="e">
        <f>VLOOKUP(C61,Project.csv!E:P,13,FALSE)</f>
        <v>#REF!</v>
      </c>
      <c r="E61" s="8" t="e">
        <f t="shared" si="1"/>
        <v>#REF!</v>
      </c>
      <c r="F61" s="9" t="s">
        <v>7120</v>
      </c>
      <c r="G61" s="9">
        <f ca="1">INDEX(EquipmentTypes.csv!C:C,RANDBETWEEN(2,COUNTA(EquipmentTypes.csv!B:B)),1)</f>
        <v>200048</v>
      </c>
      <c r="H61" s="8" t="str">
        <f t="shared" ca="1" si="2"/>
        <v>rg:{ 'id': '200048'}</v>
      </c>
      <c r="I61" s="8">
        <f t="shared" ca="1" si="3"/>
        <v>1</v>
      </c>
      <c r="J61" s="8">
        <f t="shared" ca="1" si="4"/>
        <v>78</v>
      </c>
      <c r="K61" s="8" t="str">
        <f t="shared" ca="1" si="5"/>
        <v>2017-03-28</v>
      </c>
      <c r="L61" s="8" t="str">
        <f t="shared" ca="1" si="6"/>
        <v>2017-04-06</v>
      </c>
    </row>
    <row r="62" spans="1:12" x14ac:dyDescent="0.3">
      <c r="A62" s="8" t="s">
        <v>5675</v>
      </c>
      <c r="B62" s="8">
        <f t="shared" si="0"/>
        <v>600060</v>
      </c>
      <c r="C62" s="1" t="s">
        <v>7007</v>
      </c>
      <c r="D62" s="9" t="e">
        <f>VLOOKUP(C62,Project.csv!E:P,13,FALSE)</f>
        <v>#REF!</v>
      </c>
      <c r="E62" s="8" t="e">
        <f t="shared" si="1"/>
        <v>#REF!</v>
      </c>
      <c r="F62" s="9" t="s">
        <v>7118</v>
      </c>
      <c r="G62" s="9">
        <f ca="1">INDEX(EquipmentTypes.csv!C:C,RANDBETWEEN(2,COUNTA(EquipmentTypes.csv!B:B)),1)</f>
        <v>200082</v>
      </c>
      <c r="H62" s="8" t="str">
        <f t="shared" ca="1" si="2"/>
        <v>rg:{ 'id': '200082'}</v>
      </c>
      <c r="I62" s="8">
        <f t="shared" ca="1" si="3"/>
        <v>1</v>
      </c>
      <c r="J62" s="8">
        <f t="shared" ca="1" si="4"/>
        <v>65</v>
      </c>
      <c r="K62" s="8" t="str">
        <f t="shared" ca="1" si="5"/>
        <v>2017-03-14</v>
      </c>
      <c r="L62" s="8" t="str">
        <f t="shared" ca="1" si="6"/>
        <v>2017-03-22</v>
      </c>
    </row>
    <row r="63" spans="1:12" x14ac:dyDescent="0.3">
      <c r="A63" s="8" t="s">
        <v>5675</v>
      </c>
      <c r="B63" s="8">
        <f t="shared" si="0"/>
        <v>600061</v>
      </c>
      <c r="C63" s="1" t="s">
        <v>7008</v>
      </c>
      <c r="D63" s="9" t="e">
        <f>VLOOKUP(C63,Project.csv!E:P,13,FALSE)</f>
        <v>#REF!</v>
      </c>
      <c r="E63" s="8" t="e">
        <f t="shared" si="1"/>
        <v>#REF!</v>
      </c>
      <c r="F63" s="9" t="s">
        <v>7118</v>
      </c>
      <c r="G63" s="9">
        <f ca="1">INDEX(EquipmentTypes.csv!C:C,RANDBETWEEN(2,COUNTA(EquipmentTypes.csv!B:B)),1)</f>
        <v>200035</v>
      </c>
      <c r="H63" s="8" t="str">
        <f t="shared" ca="1" si="2"/>
        <v>rg:{ 'id': '200035'}</v>
      </c>
      <c r="I63" s="8">
        <f t="shared" ca="1" si="3"/>
        <v>4</v>
      </c>
      <c r="J63" s="8">
        <f t="shared" ca="1" si="4"/>
        <v>7</v>
      </c>
      <c r="K63" s="8" t="str">
        <f t="shared" ca="1" si="5"/>
        <v>2017-04-04</v>
      </c>
      <c r="L63" s="8" t="str">
        <f t="shared" ca="1" si="6"/>
        <v>2017-04-07</v>
      </c>
    </row>
    <row r="64" spans="1:12" x14ac:dyDescent="0.3">
      <c r="A64" s="8" t="s">
        <v>5675</v>
      </c>
      <c r="B64" s="8">
        <f t="shared" si="0"/>
        <v>600062</v>
      </c>
      <c r="C64" s="1" t="s">
        <v>7009</v>
      </c>
      <c r="D64" s="9" t="e">
        <f>VLOOKUP(C64,Project.csv!E:P,13,FALSE)</f>
        <v>#REF!</v>
      </c>
      <c r="E64" s="8" t="e">
        <f t="shared" si="1"/>
        <v>#REF!</v>
      </c>
      <c r="F64" s="9" t="s">
        <v>7120</v>
      </c>
      <c r="G64" s="9">
        <f ca="1">INDEX(EquipmentTypes.csv!C:C,RANDBETWEEN(2,COUNTA(EquipmentTypes.csv!B:B)),1)</f>
        <v>200019</v>
      </c>
      <c r="H64" s="8" t="str">
        <f t="shared" ca="1" si="2"/>
        <v>rg:{ 'id': '200019'}</v>
      </c>
      <c r="I64" s="8">
        <f t="shared" ca="1" si="3"/>
        <v>1</v>
      </c>
      <c r="J64" s="8">
        <f t="shared" ca="1" si="4"/>
        <v>90</v>
      </c>
      <c r="K64" s="8" t="str">
        <f t="shared" ca="1" si="5"/>
        <v>2017-03-25</v>
      </c>
      <c r="L64" s="8" t="str">
        <f t="shared" ca="1" si="6"/>
        <v>2017-04-05</v>
      </c>
    </row>
    <row r="65" spans="1:12" x14ac:dyDescent="0.3">
      <c r="A65" s="8" t="s">
        <v>5675</v>
      </c>
      <c r="B65" s="8">
        <f t="shared" si="0"/>
        <v>600063</v>
      </c>
      <c r="C65" s="1" t="s">
        <v>6926</v>
      </c>
      <c r="D65" s="9" t="e">
        <f>VLOOKUP(C65,Project.csv!E:P,13,FALSE)</f>
        <v>#REF!</v>
      </c>
      <c r="E65" s="8" t="e">
        <f t="shared" si="1"/>
        <v>#REF!</v>
      </c>
      <c r="F65" s="9" t="s">
        <v>7118</v>
      </c>
      <c r="G65" s="9">
        <f ca="1">INDEX(EquipmentTypes.csv!C:C,RANDBETWEEN(2,COUNTA(EquipmentTypes.csv!B:B)),1)</f>
        <v>200043</v>
      </c>
      <c r="H65" s="8" t="str">
        <f t="shared" ca="1" si="2"/>
        <v>rg:{ 'id': '200043'}</v>
      </c>
      <c r="I65" s="8">
        <f t="shared" ca="1" si="3"/>
        <v>1</v>
      </c>
      <c r="J65" s="8">
        <f t="shared" ca="1" si="4"/>
        <v>10</v>
      </c>
      <c r="K65" s="8" t="str">
        <f t="shared" ca="1" si="5"/>
        <v>2017-03-20</v>
      </c>
      <c r="L65" s="8" t="str">
        <f t="shared" ca="1" si="6"/>
        <v>2017-03-21</v>
      </c>
    </row>
    <row r="66" spans="1:12" x14ac:dyDescent="0.3">
      <c r="A66" s="8" t="s">
        <v>5675</v>
      </c>
      <c r="B66" s="8">
        <f t="shared" si="0"/>
        <v>600064</v>
      </c>
      <c r="C66" s="1" t="s">
        <v>6908</v>
      </c>
      <c r="D66" s="9" t="e">
        <f>VLOOKUP(C66,Project.csv!E:P,13,FALSE)</f>
        <v>#REF!</v>
      </c>
      <c r="E66" s="8" t="e">
        <f t="shared" si="1"/>
        <v>#REF!</v>
      </c>
      <c r="F66" s="9" t="s">
        <v>7118</v>
      </c>
      <c r="G66" s="9">
        <f ca="1">INDEX(EquipmentTypes.csv!C:C,RANDBETWEEN(2,COUNTA(EquipmentTypes.csv!B:B)),1)</f>
        <v>200072</v>
      </c>
      <c r="H66" s="8" t="str">
        <f t="shared" ca="1" si="2"/>
        <v>rg:{ 'id': '200072'}</v>
      </c>
      <c r="I66" s="8">
        <f t="shared" ca="1" si="3"/>
        <v>1</v>
      </c>
      <c r="J66" s="8">
        <f t="shared" ca="1" si="4"/>
        <v>31</v>
      </c>
      <c r="K66" s="8" t="str">
        <f t="shared" ca="1" si="5"/>
        <v>2017-04-03</v>
      </c>
      <c r="L66" s="8" t="str">
        <f t="shared" ca="1" si="6"/>
        <v>2017-04-06</v>
      </c>
    </row>
    <row r="67" spans="1:12" x14ac:dyDescent="0.3">
      <c r="A67" s="8" t="s">
        <v>5675</v>
      </c>
      <c r="B67" s="8">
        <f t="shared" ref="B67:B130" si="7">IF(ISNUMBER(B66),B66+1,600000)</f>
        <v>600065</v>
      </c>
      <c r="C67" s="1" t="s">
        <v>7010</v>
      </c>
      <c r="D67" s="9" t="e">
        <f>VLOOKUP(C67,Project.csv!E:P,13,FALSE)</f>
        <v>#REF!</v>
      </c>
      <c r="E67" s="8" t="e">
        <f t="shared" ref="E67:E130" si="8" xml:space="preserve"> "rg:{'id':'" &amp; D67 &amp; "'}"</f>
        <v>#REF!</v>
      </c>
      <c r="F67" s="9" t="s">
        <v>7118</v>
      </c>
      <c r="G67" s="9">
        <f ca="1">INDEX(EquipmentTypes.csv!C:C,RANDBETWEEN(2,COUNTA(EquipmentTypes.csv!B:B)),1)</f>
        <v>200019</v>
      </c>
      <c r="H67" s="8" t="str">
        <f t="shared" ref="H67:H130" ca="1" si="9">"rg:{ 'id': '"&amp;G67&amp;"'}"</f>
        <v>rg:{ 'id': '200019'}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69</v>
      </c>
      <c r="K67" s="8" t="str">
        <f t="shared" ref="K67:K130" ca="1" si="12">TEXT(TODAY()+RANDBETWEEN(1,56),"YYYY-MM-DD")</f>
        <v>2017-03-12</v>
      </c>
      <c r="L67" s="8" t="str">
        <f t="shared" ref="L67:L130" ca="1" si="13">TEXT(K67+(I67*J67)/8,"YYYY-MM-DD")</f>
        <v>2017-03-20</v>
      </c>
    </row>
    <row r="68" spans="1:12" x14ac:dyDescent="0.3">
      <c r="A68" s="8" t="s">
        <v>5675</v>
      </c>
      <c r="B68" s="8">
        <f t="shared" si="7"/>
        <v>600066</v>
      </c>
      <c r="C68" s="1" t="s">
        <v>7011</v>
      </c>
      <c r="D68" s="9" t="e">
        <f>VLOOKUP(C68,Project.csv!E:P,13,FALSE)</f>
        <v>#REF!</v>
      </c>
      <c r="E68" s="8" t="e">
        <f t="shared" si="8"/>
        <v>#REF!</v>
      </c>
      <c r="F68" s="9" t="s">
        <v>7118</v>
      </c>
      <c r="G68" s="9">
        <f ca="1">INDEX(EquipmentTypes.csv!C:C,RANDBETWEEN(2,COUNTA(EquipmentTypes.csv!B:B)),1)</f>
        <v>200083</v>
      </c>
      <c r="H68" s="8" t="str">
        <f t="shared" ca="1" si="9"/>
        <v>rg:{ 'id': '200083'}</v>
      </c>
      <c r="I68" s="8">
        <f t="shared" ca="1" si="10"/>
        <v>1</v>
      </c>
      <c r="J68" s="8">
        <f t="shared" ca="1" si="11"/>
        <v>31</v>
      </c>
      <c r="K68" s="8" t="str">
        <f t="shared" ca="1" si="12"/>
        <v>2017-03-16</v>
      </c>
      <c r="L68" s="8" t="str">
        <f t="shared" ca="1" si="13"/>
        <v>2017-03-19</v>
      </c>
    </row>
    <row r="69" spans="1:12" x14ac:dyDescent="0.3">
      <c r="A69" s="8" t="s">
        <v>5675</v>
      </c>
      <c r="B69" s="8">
        <f t="shared" si="7"/>
        <v>600067</v>
      </c>
      <c r="C69" s="1" t="s">
        <v>7012</v>
      </c>
      <c r="D69" s="9" t="e">
        <f>VLOOKUP(C69,Project.csv!E:P,13,FALSE)</f>
        <v>#REF!</v>
      </c>
      <c r="E69" s="8" t="e">
        <f t="shared" si="8"/>
        <v>#REF!</v>
      </c>
      <c r="F69" s="9" t="s">
        <v>7120</v>
      </c>
      <c r="G69" s="9">
        <f ca="1">INDEX(EquipmentTypes.csv!C:C,RANDBETWEEN(2,COUNTA(EquipmentTypes.csv!B:B)),1)</f>
        <v>200036</v>
      </c>
      <c r="H69" s="8" t="str">
        <f t="shared" ca="1" si="9"/>
        <v>rg:{ 'id': '200036'}</v>
      </c>
      <c r="I69" s="8">
        <f t="shared" ca="1" si="10"/>
        <v>1</v>
      </c>
      <c r="J69" s="8">
        <f t="shared" ca="1" si="11"/>
        <v>97</v>
      </c>
      <c r="K69" s="8" t="str">
        <f t="shared" ca="1" si="12"/>
        <v>2017-03-13</v>
      </c>
      <c r="L69" s="8" t="str">
        <f t="shared" ca="1" si="13"/>
        <v>2017-03-25</v>
      </c>
    </row>
    <row r="70" spans="1:12" x14ac:dyDescent="0.3">
      <c r="A70" s="8" t="s">
        <v>5675</v>
      </c>
      <c r="B70" s="8">
        <f t="shared" si="7"/>
        <v>600068</v>
      </c>
      <c r="C70" s="1" t="s">
        <v>7013</v>
      </c>
      <c r="D70" s="9" t="e">
        <f>VLOOKUP(C70,Project.csv!E:P,13,FALSE)</f>
        <v>#REF!</v>
      </c>
      <c r="E70" s="8" t="e">
        <f t="shared" si="8"/>
        <v>#REF!</v>
      </c>
      <c r="F70" s="9" t="s">
        <v>7118</v>
      </c>
      <c r="G70" s="9">
        <f ca="1">INDEX(EquipmentTypes.csv!C:C,RANDBETWEEN(2,COUNTA(EquipmentTypes.csv!B:B)),1)</f>
        <v>200072</v>
      </c>
      <c r="H70" s="8" t="str">
        <f t="shared" ca="1" si="9"/>
        <v>rg:{ 'id': '200072'}</v>
      </c>
      <c r="I70" s="8">
        <f t="shared" ca="1" si="10"/>
        <v>1</v>
      </c>
      <c r="J70" s="8">
        <f t="shared" ca="1" si="11"/>
        <v>52</v>
      </c>
      <c r="K70" s="8" t="str">
        <f t="shared" ca="1" si="12"/>
        <v>2017-03-12</v>
      </c>
      <c r="L70" s="8" t="str">
        <f t="shared" ca="1" si="13"/>
        <v>2017-03-18</v>
      </c>
    </row>
    <row r="71" spans="1:12" x14ac:dyDescent="0.3">
      <c r="A71" s="8" t="s">
        <v>5675</v>
      </c>
      <c r="B71" s="8">
        <f t="shared" si="7"/>
        <v>600069</v>
      </c>
      <c r="C71" s="1" t="s">
        <v>6955</v>
      </c>
      <c r="D71" s="9" t="e">
        <f>VLOOKUP(C71,Project.csv!E:P,13,FALSE)</f>
        <v>#REF!</v>
      </c>
      <c r="E71" s="8" t="e">
        <f t="shared" si="8"/>
        <v>#REF!</v>
      </c>
      <c r="F71" s="9" t="s">
        <v>7118</v>
      </c>
      <c r="G71" s="9">
        <f ca="1">INDEX(EquipmentTypes.csv!C:C,RANDBETWEEN(2,COUNTA(EquipmentTypes.csv!B:B)),1)</f>
        <v>200072</v>
      </c>
      <c r="H71" s="8" t="str">
        <f t="shared" ca="1" si="9"/>
        <v>rg:{ 'id': '200072'}</v>
      </c>
      <c r="I71" s="8">
        <f t="shared" ca="1" si="10"/>
        <v>1</v>
      </c>
      <c r="J71" s="8">
        <f t="shared" ca="1" si="11"/>
        <v>78</v>
      </c>
      <c r="K71" s="8" t="str">
        <f t="shared" ca="1" si="12"/>
        <v>2017-04-13</v>
      </c>
      <c r="L71" s="8" t="str">
        <f t="shared" ca="1" si="13"/>
        <v>2017-04-22</v>
      </c>
    </row>
    <row r="72" spans="1:12" x14ac:dyDescent="0.3">
      <c r="A72" s="8" t="s">
        <v>5675</v>
      </c>
      <c r="B72" s="8">
        <f t="shared" si="7"/>
        <v>600070</v>
      </c>
      <c r="C72" s="1" t="s">
        <v>7014</v>
      </c>
      <c r="D72" s="9" t="e">
        <f>VLOOKUP(C72,Project.csv!E:P,13,FALSE)</f>
        <v>#REF!</v>
      </c>
      <c r="E72" s="8" t="e">
        <f t="shared" si="8"/>
        <v>#REF!</v>
      </c>
      <c r="F72" s="9" t="s">
        <v>7118</v>
      </c>
      <c r="G72" s="9">
        <f ca="1">INDEX(EquipmentTypes.csv!C:C,RANDBETWEEN(2,COUNTA(EquipmentTypes.csv!B:B)),1)</f>
        <v>200082</v>
      </c>
      <c r="H72" s="8" t="str">
        <f t="shared" ca="1" si="9"/>
        <v>rg:{ 'id': '200082'}</v>
      </c>
      <c r="I72" s="8">
        <f t="shared" ca="1" si="10"/>
        <v>1</v>
      </c>
      <c r="J72" s="8">
        <f t="shared" ca="1" si="11"/>
        <v>74</v>
      </c>
      <c r="K72" s="8" t="str">
        <f t="shared" ca="1" si="12"/>
        <v>2017-04-15</v>
      </c>
      <c r="L72" s="8" t="str">
        <f t="shared" ca="1" si="13"/>
        <v>2017-04-24</v>
      </c>
    </row>
    <row r="73" spans="1:12" x14ac:dyDescent="0.3">
      <c r="A73" s="8" t="s">
        <v>5675</v>
      </c>
      <c r="B73" s="8">
        <f t="shared" si="7"/>
        <v>600071</v>
      </c>
      <c r="C73" s="1" t="s">
        <v>6931</v>
      </c>
      <c r="D73" s="9" t="e">
        <f>VLOOKUP(C73,Project.csv!E:P,13,FALSE)</f>
        <v>#REF!</v>
      </c>
      <c r="E73" s="8" t="e">
        <f t="shared" si="8"/>
        <v>#REF!</v>
      </c>
      <c r="F73" s="9" t="s">
        <v>7120</v>
      </c>
      <c r="G73" s="9">
        <f ca="1">INDEX(EquipmentTypes.csv!C:C,RANDBETWEEN(2,COUNTA(EquipmentTypes.csv!B:B)),1)</f>
        <v>200006</v>
      </c>
      <c r="H73" s="8" t="str">
        <f t="shared" ca="1" si="9"/>
        <v>rg:{ 'id': '200006'}</v>
      </c>
      <c r="I73" s="8">
        <f t="shared" ca="1" si="10"/>
        <v>1</v>
      </c>
      <c r="J73" s="8">
        <f t="shared" ca="1" si="11"/>
        <v>100</v>
      </c>
      <c r="K73" s="8" t="str">
        <f t="shared" ca="1" si="12"/>
        <v>2017-04-25</v>
      </c>
      <c r="L73" s="8" t="str">
        <f t="shared" ca="1" si="13"/>
        <v>2017-05-07</v>
      </c>
    </row>
    <row r="74" spans="1:12" x14ac:dyDescent="0.3">
      <c r="A74" s="8" t="s">
        <v>5675</v>
      </c>
      <c r="B74" s="8">
        <f t="shared" si="7"/>
        <v>600072</v>
      </c>
      <c r="C74" s="1" t="s">
        <v>6954</v>
      </c>
      <c r="D74" s="9" t="e">
        <f>VLOOKUP(C74,Project.csv!E:P,13,FALSE)</f>
        <v>#REF!</v>
      </c>
      <c r="E74" s="8" t="e">
        <f t="shared" si="8"/>
        <v>#REF!</v>
      </c>
      <c r="F74" s="9" t="s">
        <v>7118</v>
      </c>
      <c r="G74" s="9">
        <f ca="1">INDEX(EquipmentTypes.csv!C:C,RANDBETWEEN(2,COUNTA(EquipmentTypes.csv!B:B)),1)</f>
        <v>200084</v>
      </c>
      <c r="H74" s="8" t="str">
        <f t="shared" ca="1" si="9"/>
        <v>rg:{ 'id': '200084'}</v>
      </c>
      <c r="I74" s="8">
        <f t="shared" ca="1" si="10"/>
        <v>1</v>
      </c>
      <c r="J74" s="8">
        <f t="shared" ca="1" si="11"/>
        <v>48</v>
      </c>
      <c r="K74" s="8" t="str">
        <f t="shared" ca="1" si="12"/>
        <v>2017-03-16</v>
      </c>
      <c r="L74" s="8" t="str">
        <f t="shared" ca="1" si="13"/>
        <v>2017-03-22</v>
      </c>
    </row>
    <row r="75" spans="1:12" x14ac:dyDescent="0.3">
      <c r="A75" s="8" t="s">
        <v>5675</v>
      </c>
      <c r="B75" s="8">
        <f t="shared" si="7"/>
        <v>600073</v>
      </c>
      <c r="C75" s="1" t="s">
        <v>6930</v>
      </c>
      <c r="D75" s="9" t="e">
        <f>VLOOKUP(C75,Project.csv!E:P,13,FALSE)</f>
        <v>#REF!</v>
      </c>
      <c r="E75" s="8" t="e">
        <f t="shared" si="8"/>
        <v>#REF!</v>
      </c>
      <c r="F75" s="9" t="s">
        <v>7118</v>
      </c>
      <c r="G75" s="9">
        <f ca="1">INDEX(EquipmentTypes.csv!C:C,RANDBETWEEN(2,COUNTA(EquipmentTypes.csv!B:B)),1)</f>
        <v>200021</v>
      </c>
      <c r="H75" s="8" t="str">
        <f t="shared" ca="1" si="9"/>
        <v>rg:{ 'id': '200021'}</v>
      </c>
      <c r="I75" s="8">
        <f t="shared" ca="1" si="10"/>
        <v>1</v>
      </c>
      <c r="J75" s="8">
        <f t="shared" ca="1" si="11"/>
        <v>76</v>
      </c>
      <c r="K75" s="8" t="str">
        <f t="shared" ca="1" si="12"/>
        <v>2017-04-20</v>
      </c>
      <c r="L75" s="8" t="str">
        <f t="shared" ca="1" si="13"/>
        <v>2017-04-29</v>
      </c>
    </row>
    <row r="76" spans="1:12" x14ac:dyDescent="0.3">
      <c r="A76" s="8" t="s">
        <v>5675</v>
      </c>
      <c r="B76" s="8">
        <f t="shared" si="7"/>
        <v>600074</v>
      </c>
      <c r="C76" s="1" t="s">
        <v>6957</v>
      </c>
      <c r="D76" s="9" t="e">
        <f>VLOOKUP(C76,Project.csv!E:P,13,FALSE)</f>
        <v>#REF!</v>
      </c>
      <c r="E76" s="8" t="e">
        <f t="shared" si="8"/>
        <v>#REF!</v>
      </c>
      <c r="F76" s="9" t="s">
        <v>7118</v>
      </c>
      <c r="G76" s="9">
        <f ca="1">INDEX(EquipmentTypes.csv!C:C,RANDBETWEEN(2,COUNTA(EquipmentTypes.csv!B:B)),1)</f>
        <v>200085</v>
      </c>
      <c r="H76" s="8" t="str">
        <f t="shared" ca="1" si="9"/>
        <v>rg:{ 'id': '200085'}</v>
      </c>
      <c r="I76" s="8">
        <f t="shared" ca="1" si="10"/>
        <v>3</v>
      </c>
      <c r="J76" s="8">
        <f t="shared" ca="1" si="11"/>
        <v>9</v>
      </c>
      <c r="K76" s="8" t="str">
        <f t="shared" ca="1" si="12"/>
        <v>2017-03-17</v>
      </c>
      <c r="L76" s="8" t="str">
        <f t="shared" ca="1" si="13"/>
        <v>2017-03-20</v>
      </c>
    </row>
    <row r="77" spans="1:12" x14ac:dyDescent="0.3">
      <c r="A77" s="8" t="s">
        <v>5675</v>
      </c>
      <c r="B77" s="8">
        <f t="shared" si="7"/>
        <v>600075</v>
      </c>
      <c r="C77" s="1" t="s">
        <v>7015</v>
      </c>
      <c r="D77" s="9" t="e">
        <f>VLOOKUP(C77,Project.csv!E:P,13,FALSE)</f>
        <v>#REF!</v>
      </c>
      <c r="E77" s="8" t="e">
        <f t="shared" si="8"/>
        <v>#REF!</v>
      </c>
      <c r="F77" s="9" t="s">
        <v>7118</v>
      </c>
      <c r="G77" s="9">
        <f ca="1">INDEX(EquipmentTypes.csv!C:C,RANDBETWEEN(2,COUNTA(EquipmentTypes.csv!B:B)),1)</f>
        <v>200043</v>
      </c>
      <c r="H77" s="8" t="str">
        <f t="shared" ca="1" si="9"/>
        <v>rg:{ 'id': '200043'}</v>
      </c>
      <c r="I77" s="8">
        <f t="shared" ca="1" si="10"/>
        <v>1</v>
      </c>
      <c r="J77" s="8">
        <f t="shared" ca="1" si="11"/>
        <v>88</v>
      </c>
      <c r="K77" s="8" t="str">
        <f t="shared" ca="1" si="12"/>
        <v>2017-04-25</v>
      </c>
      <c r="L77" s="8" t="str">
        <f t="shared" ca="1" si="13"/>
        <v>2017-05-06</v>
      </c>
    </row>
    <row r="78" spans="1:12" x14ac:dyDescent="0.3">
      <c r="A78" s="8" t="s">
        <v>5675</v>
      </c>
      <c r="B78" s="8">
        <f t="shared" si="7"/>
        <v>600076</v>
      </c>
      <c r="C78" s="1" t="s">
        <v>6932</v>
      </c>
      <c r="D78" s="9" t="e">
        <f>VLOOKUP(C78,Project.csv!E:P,13,FALSE)</f>
        <v>#REF!</v>
      </c>
      <c r="E78" s="8" t="e">
        <f t="shared" si="8"/>
        <v>#REF!</v>
      </c>
      <c r="F78" s="9" t="s">
        <v>7118</v>
      </c>
      <c r="G78" s="9">
        <f ca="1">INDEX(EquipmentTypes.csv!C:C,RANDBETWEEN(2,COUNTA(EquipmentTypes.csv!B:B)),1)</f>
        <v>200072</v>
      </c>
      <c r="H78" s="8" t="str">
        <f t="shared" ca="1" si="9"/>
        <v>rg:{ 'id': '200072'}</v>
      </c>
      <c r="I78" s="8">
        <f t="shared" ca="1" si="10"/>
        <v>3</v>
      </c>
      <c r="J78" s="8">
        <f t="shared" ca="1" si="11"/>
        <v>97</v>
      </c>
      <c r="K78" s="8" t="str">
        <f t="shared" ca="1" si="12"/>
        <v>2017-04-08</v>
      </c>
      <c r="L78" s="8" t="str">
        <f t="shared" ca="1" si="13"/>
        <v>2017-05-14</v>
      </c>
    </row>
    <row r="79" spans="1:12" x14ac:dyDescent="0.3">
      <c r="A79" s="8" t="s">
        <v>5675</v>
      </c>
      <c r="B79" s="8">
        <f t="shared" si="7"/>
        <v>600077</v>
      </c>
      <c r="C79" s="1" t="s">
        <v>6908</v>
      </c>
      <c r="D79" s="9" t="e">
        <f>VLOOKUP(C79,Project.csv!E:P,13,FALSE)</f>
        <v>#REF!</v>
      </c>
      <c r="E79" s="8" t="e">
        <f t="shared" si="8"/>
        <v>#REF!</v>
      </c>
      <c r="F79" s="9" t="s">
        <v>7120</v>
      </c>
      <c r="G79" s="9">
        <f ca="1">INDEX(EquipmentTypes.csv!C:C,RANDBETWEEN(2,COUNTA(EquipmentTypes.csv!B:B)),1)</f>
        <v>200059</v>
      </c>
      <c r="H79" s="8" t="str">
        <f t="shared" ca="1" si="9"/>
        <v>rg:{ 'id': '200059'}</v>
      </c>
      <c r="I79" s="8">
        <f t="shared" ca="1" si="10"/>
        <v>2</v>
      </c>
      <c r="J79" s="8">
        <f t="shared" ca="1" si="11"/>
        <v>14</v>
      </c>
      <c r="K79" s="8" t="str">
        <f t="shared" ca="1" si="12"/>
        <v>2017-03-10</v>
      </c>
      <c r="L79" s="8" t="str">
        <f t="shared" ca="1" si="13"/>
        <v>2017-03-13</v>
      </c>
    </row>
    <row r="80" spans="1:12" x14ac:dyDescent="0.3">
      <c r="A80" s="8" t="s">
        <v>5675</v>
      </c>
      <c r="B80" s="8">
        <f t="shared" si="7"/>
        <v>600078</v>
      </c>
      <c r="C80" s="1" t="s">
        <v>6968</v>
      </c>
      <c r="D80" s="9" t="e">
        <f>VLOOKUP(C80,Project.csv!E:P,13,FALSE)</f>
        <v>#REF!</v>
      </c>
      <c r="E80" s="8" t="e">
        <f t="shared" si="8"/>
        <v>#REF!</v>
      </c>
      <c r="F80" s="9" t="s">
        <v>7118</v>
      </c>
      <c r="G80" s="9">
        <f ca="1">INDEX(EquipmentTypes.csv!C:C,RANDBETWEEN(2,COUNTA(EquipmentTypes.csv!B:B)),1)</f>
        <v>200059</v>
      </c>
      <c r="H80" s="8" t="str">
        <f t="shared" ca="1" si="9"/>
        <v>rg:{ 'id': '200059'}</v>
      </c>
      <c r="I80" s="8">
        <f t="shared" ca="1" si="10"/>
        <v>1</v>
      </c>
      <c r="J80" s="8">
        <f t="shared" ca="1" si="11"/>
        <v>30</v>
      </c>
      <c r="K80" s="8" t="str">
        <f t="shared" ca="1" si="12"/>
        <v>2017-03-27</v>
      </c>
      <c r="L80" s="8" t="str">
        <f t="shared" ca="1" si="13"/>
        <v>2017-03-30</v>
      </c>
    </row>
    <row r="81" spans="1:12" x14ac:dyDescent="0.3">
      <c r="A81" s="8" t="s">
        <v>5675</v>
      </c>
      <c r="B81" s="8">
        <f t="shared" si="7"/>
        <v>600079</v>
      </c>
      <c r="C81" s="1" t="s">
        <v>7016</v>
      </c>
      <c r="D81" s="9" t="e">
        <f>VLOOKUP(C81,Project.csv!E:P,13,FALSE)</f>
        <v>#REF!</v>
      </c>
      <c r="E81" s="8" t="e">
        <f t="shared" si="8"/>
        <v>#REF!</v>
      </c>
      <c r="F81" s="9" t="s">
        <v>7118</v>
      </c>
      <c r="G81" s="9">
        <f ca="1">INDEX(EquipmentTypes.csv!C:C,RANDBETWEEN(2,COUNTA(EquipmentTypes.csv!B:B)),1)</f>
        <v>200043</v>
      </c>
      <c r="H81" s="8" t="str">
        <f t="shared" ca="1" si="9"/>
        <v>rg:{ 'id': '200043'}</v>
      </c>
      <c r="I81" s="8">
        <f t="shared" ca="1" si="10"/>
        <v>5</v>
      </c>
      <c r="J81" s="8">
        <f t="shared" ca="1" si="11"/>
        <v>91</v>
      </c>
      <c r="K81" s="8" t="str">
        <f t="shared" ca="1" si="12"/>
        <v>2017-03-28</v>
      </c>
      <c r="L81" s="8" t="str">
        <f t="shared" ca="1" si="13"/>
        <v>2017-05-23</v>
      </c>
    </row>
    <row r="82" spans="1:12" x14ac:dyDescent="0.3">
      <c r="A82" s="8" t="s">
        <v>5675</v>
      </c>
      <c r="B82" s="8">
        <f t="shared" si="7"/>
        <v>600080</v>
      </c>
      <c r="C82" s="1" t="s">
        <v>7017</v>
      </c>
      <c r="D82" s="9" t="e">
        <f>VLOOKUP(C82,Project.csv!E:P,13,FALSE)</f>
        <v>#REF!</v>
      </c>
      <c r="E82" s="8" t="e">
        <f t="shared" si="8"/>
        <v>#REF!</v>
      </c>
      <c r="F82" s="9" t="s">
        <v>7118</v>
      </c>
      <c r="G82" s="9">
        <f ca="1">INDEX(EquipmentTypes.csv!C:C,RANDBETWEEN(2,COUNTA(EquipmentTypes.csv!B:B)),1)</f>
        <v>200021</v>
      </c>
      <c r="H82" s="8" t="str">
        <f t="shared" ca="1" si="9"/>
        <v>rg:{ 'id': '200021'}</v>
      </c>
      <c r="I82" s="8">
        <f t="shared" ca="1" si="10"/>
        <v>2</v>
      </c>
      <c r="J82" s="8">
        <f t="shared" ca="1" si="11"/>
        <v>62</v>
      </c>
      <c r="K82" s="8" t="str">
        <f t="shared" ca="1" si="12"/>
        <v>2017-04-26</v>
      </c>
      <c r="L82" s="8" t="str">
        <f t="shared" ca="1" si="13"/>
        <v>2017-05-11</v>
      </c>
    </row>
    <row r="83" spans="1:12" x14ac:dyDescent="0.3">
      <c r="A83" s="8" t="s">
        <v>5675</v>
      </c>
      <c r="B83" s="8">
        <f t="shared" si="7"/>
        <v>600081</v>
      </c>
      <c r="C83" s="1" t="s">
        <v>7018</v>
      </c>
      <c r="D83" s="9" t="e">
        <f>VLOOKUP(C83,Project.csv!E:P,13,FALSE)</f>
        <v>#REF!</v>
      </c>
      <c r="E83" s="8" t="e">
        <f t="shared" si="8"/>
        <v>#REF!</v>
      </c>
      <c r="F83" s="9" t="s">
        <v>7120</v>
      </c>
      <c r="G83" s="9">
        <f ca="1">INDEX(EquipmentTypes.csv!C:C,RANDBETWEEN(2,COUNTA(EquipmentTypes.csv!B:B)),1)</f>
        <v>200036</v>
      </c>
      <c r="H83" s="8" t="str">
        <f t="shared" ca="1" si="9"/>
        <v>rg:{ 'id': '200036'}</v>
      </c>
      <c r="I83" s="8">
        <f t="shared" ca="1" si="10"/>
        <v>1</v>
      </c>
      <c r="J83" s="8">
        <f t="shared" ca="1" si="11"/>
        <v>5</v>
      </c>
      <c r="K83" s="8" t="str">
        <f t="shared" ca="1" si="12"/>
        <v>2017-03-10</v>
      </c>
      <c r="L83" s="8" t="str">
        <f t="shared" ca="1" si="13"/>
        <v>2017-03-10</v>
      </c>
    </row>
    <row r="84" spans="1:12" x14ac:dyDescent="0.3">
      <c r="A84" s="8" t="s">
        <v>5675</v>
      </c>
      <c r="B84" s="8">
        <f t="shared" si="7"/>
        <v>600082</v>
      </c>
      <c r="C84" s="1" t="s">
        <v>7019</v>
      </c>
      <c r="D84" s="9" t="e">
        <f>VLOOKUP(C84,Project.csv!E:P,13,FALSE)</f>
        <v>#REF!</v>
      </c>
      <c r="E84" s="8" t="e">
        <f t="shared" si="8"/>
        <v>#REF!</v>
      </c>
      <c r="F84" s="9" t="s">
        <v>7119</v>
      </c>
      <c r="G84" s="9">
        <f ca="1">INDEX(EquipmentTypes.csv!C:C,RANDBETWEEN(2,COUNTA(EquipmentTypes.csv!B:B)),1)</f>
        <v>200028</v>
      </c>
      <c r="H84" s="8" t="str">
        <f t="shared" ca="1" si="9"/>
        <v>rg:{ 'id': '200028'}</v>
      </c>
      <c r="I84" s="8">
        <f t="shared" ca="1" si="10"/>
        <v>1</v>
      </c>
      <c r="J84" s="8">
        <f t="shared" ca="1" si="11"/>
        <v>65</v>
      </c>
      <c r="K84" s="8" t="str">
        <f t="shared" ca="1" si="12"/>
        <v>2017-03-27</v>
      </c>
      <c r="L84" s="8" t="str">
        <f t="shared" ca="1" si="13"/>
        <v>2017-04-04</v>
      </c>
    </row>
    <row r="85" spans="1:12" x14ac:dyDescent="0.3">
      <c r="A85" s="8" t="s">
        <v>5675</v>
      </c>
      <c r="B85" s="8">
        <f t="shared" si="7"/>
        <v>600083</v>
      </c>
      <c r="C85" s="1" t="s">
        <v>7011</v>
      </c>
      <c r="D85" s="9" t="e">
        <f>VLOOKUP(C85,Project.csv!E:P,13,FALSE)</f>
        <v>#REF!</v>
      </c>
      <c r="E85" s="8" t="e">
        <f t="shared" si="8"/>
        <v>#REF!</v>
      </c>
      <c r="F85" s="9" t="s">
        <v>7119</v>
      </c>
      <c r="G85" s="9">
        <f ca="1">INDEX(EquipmentTypes.csv!C:C,RANDBETWEEN(2,COUNTA(EquipmentTypes.csv!B:B)),1)</f>
        <v>200043</v>
      </c>
      <c r="H85" s="8" t="str">
        <f t="shared" ca="1" si="9"/>
        <v>rg:{ 'id': '200043'}</v>
      </c>
      <c r="I85" s="8">
        <f t="shared" ca="1" si="10"/>
        <v>5</v>
      </c>
      <c r="J85" s="8">
        <f t="shared" ca="1" si="11"/>
        <v>26</v>
      </c>
      <c r="K85" s="8" t="str">
        <f t="shared" ca="1" si="12"/>
        <v>2017-03-19</v>
      </c>
      <c r="L85" s="8" t="str">
        <f t="shared" ca="1" si="13"/>
        <v>2017-04-04</v>
      </c>
    </row>
    <row r="86" spans="1:12" x14ac:dyDescent="0.3">
      <c r="A86" s="8" t="s">
        <v>5675</v>
      </c>
      <c r="B86" s="8">
        <f t="shared" si="7"/>
        <v>600084</v>
      </c>
      <c r="C86" s="1" t="s">
        <v>7020</v>
      </c>
      <c r="D86" s="9" t="e">
        <f>VLOOKUP(C86,Project.csv!E:P,13,FALSE)</f>
        <v>#REF!</v>
      </c>
      <c r="E86" s="8" t="e">
        <f t="shared" si="8"/>
        <v>#REF!</v>
      </c>
      <c r="F86" s="9" t="s">
        <v>7118</v>
      </c>
      <c r="G86" s="9">
        <f ca="1">INDEX(EquipmentTypes.csv!C:C,RANDBETWEEN(2,COUNTA(EquipmentTypes.csv!B:B)),1)</f>
        <v>200043</v>
      </c>
      <c r="H86" s="8" t="str">
        <f t="shared" ca="1" si="9"/>
        <v>rg:{ 'id': '200043'}</v>
      </c>
      <c r="I86" s="8">
        <f t="shared" ca="1" si="10"/>
        <v>1</v>
      </c>
      <c r="J86" s="8">
        <f t="shared" ca="1" si="11"/>
        <v>23</v>
      </c>
      <c r="K86" s="8" t="str">
        <f t="shared" ca="1" si="12"/>
        <v>2017-03-23</v>
      </c>
      <c r="L86" s="8" t="str">
        <f t="shared" ca="1" si="13"/>
        <v>2017-03-25</v>
      </c>
    </row>
    <row r="87" spans="1:12" x14ac:dyDescent="0.3">
      <c r="A87" s="8" t="s">
        <v>5675</v>
      </c>
      <c r="B87" s="8">
        <f t="shared" si="7"/>
        <v>600085</v>
      </c>
      <c r="C87" s="1" t="s">
        <v>7021</v>
      </c>
      <c r="D87" s="9" t="e">
        <f>VLOOKUP(C87,Project.csv!E:P,13,FALSE)</f>
        <v>#REF!</v>
      </c>
      <c r="E87" s="8" t="e">
        <f t="shared" si="8"/>
        <v>#REF!</v>
      </c>
      <c r="F87" s="9" t="s">
        <v>7120</v>
      </c>
      <c r="G87" s="9">
        <f ca="1">INDEX(EquipmentTypes.csv!C:C,RANDBETWEEN(2,COUNTA(EquipmentTypes.csv!B:B)),1)</f>
        <v>200060</v>
      </c>
      <c r="H87" s="8" t="str">
        <f t="shared" ca="1" si="9"/>
        <v>rg:{ 'id': '200060'}</v>
      </c>
      <c r="I87" s="8">
        <f t="shared" ca="1" si="10"/>
        <v>1</v>
      </c>
      <c r="J87" s="8">
        <f t="shared" ca="1" si="11"/>
        <v>5</v>
      </c>
      <c r="K87" s="8" t="str">
        <f t="shared" ca="1" si="12"/>
        <v>2017-03-24</v>
      </c>
      <c r="L87" s="8" t="str">
        <f t="shared" ca="1" si="13"/>
        <v>2017-03-24</v>
      </c>
    </row>
    <row r="88" spans="1:12" x14ac:dyDescent="0.3">
      <c r="A88" s="8" t="s">
        <v>5675</v>
      </c>
      <c r="B88" s="8">
        <f t="shared" si="7"/>
        <v>600086</v>
      </c>
      <c r="C88" s="1" t="s">
        <v>6962</v>
      </c>
      <c r="D88" s="9" t="e">
        <f>VLOOKUP(C88,Project.csv!E:P,13,FALSE)</f>
        <v>#REF!</v>
      </c>
      <c r="E88" s="8" t="e">
        <f t="shared" si="8"/>
        <v>#REF!</v>
      </c>
      <c r="F88" s="9" t="s">
        <v>7120</v>
      </c>
      <c r="G88" s="9">
        <f ca="1">INDEX(EquipmentTypes.csv!C:C,RANDBETWEEN(2,COUNTA(EquipmentTypes.csv!B:B)),1)</f>
        <v>200036</v>
      </c>
      <c r="H88" s="8" t="str">
        <f t="shared" ca="1" si="9"/>
        <v>rg:{ 'id': '200036'}</v>
      </c>
      <c r="I88" s="8">
        <f t="shared" ca="1" si="10"/>
        <v>1</v>
      </c>
      <c r="J88" s="8">
        <f t="shared" ca="1" si="11"/>
        <v>80</v>
      </c>
      <c r="K88" s="8" t="str">
        <f t="shared" ca="1" si="12"/>
        <v>2017-03-26</v>
      </c>
      <c r="L88" s="8" t="str">
        <f t="shared" ca="1" si="13"/>
        <v>2017-04-05</v>
      </c>
    </row>
    <row r="89" spans="1:12" x14ac:dyDescent="0.3">
      <c r="A89" s="8" t="s">
        <v>5675</v>
      </c>
      <c r="B89" s="8">
        <f t="shared" si="7"/>
        <v>600087</v>
      </c>
      <c r="C89" s="1" t="s">
        <v>7022</v>
      </c>
      <c r="D89" s="9" t="e">
        <f>VLOOKUP(C89,Project.csv!E:P,13,FALSE)</f>
        <v>#REF!</v>
      </c>
      <c r="E89" s="8" t="e">
        <f t="shared" si="8"/>
        <v>#REF!</v>
      </c>
      <c r="F89" s="9" t="s">
        <v>7118</v>
      </c>
      <c r="G89" s="9">
        <f ca="1">INDEX(EquipmentTypes.csv!C:C,RANDBETWEEN(2,COUNTA(EquipmentTypes.csv!B:B)),1)</f>
        <v>200019</v>
      </c>
      <c r="H89" s="8" t="str">
        <f t="shared" ca="1" si="9"/>
        <v>rg:{ 'id': '200019'}</v>
      </c>
      <c r="I89" s="8">
        <f t="shared" ca="1" si="10"/>
        <v>1</v>
      </c>
      <c r="J89" s="8">
        <f t="shared" ca="1" si="11"/>
        <v>76</v>
      </c>
      <c r="K89" s="8" t="str">
        <f t="shared" ca="1" si="12"/>
        <v>2017-03-25</v>
      </c>
      <c r="L89" s="8" t="str">
        <f t="shared" ca="1" si="13"/>
        <v>2017-04-03</v>
      </c>
    </row>
    <row r="90" spans="1:12" x14ac:dyDescent="0.3">
      <c r="A90" s="8" t="s">
        <v>5675</v>
      </c>
      <c r="B90" s="8">
        <f t="shared" si="7"/>
        <v>600088</v>
      </c>
      <c r="C90" s="1" t="s">
        <v>7023</v>
      </c>
      <c r="D90" s="9" t="e">
        <f>VLOOKUP(C90,Project.csv!E:P,13,FALSE)</f>
        <v>#REF!</v>
      </c>
      <c r="E90" s="8" t="e">
        <f t="shared" si="8"/>
        <v>#REF!</v>
      </c>
      <c r="F90" s="9" t="s">
        <v>7118</v>
      </c>
      <c r="G90" s="9">
        <f ca="1">INDEX(EquipmentTypes.csv!C:C,RANDBETWEEN(2,COUNTA(EquipmentTypes.csv!B:B)),1)</f>
        <v>200086</v>
      </c>
      <c r="H90" s="8" t="str">
        <f t="shared" ca="1" si="9"/>
        <v>rg:{ 'id': '200086'}</v>
      </c>
      <c r="I90" s="8">
        <f t="shared" ca="1" si="10"/>
        <v>1</v>
      </c>
      <c r="J90" s="8">
        <f t="shared" ca="1" si="11"/>
        <v>39</v>
      </c>
      <c r="K90" s="8" t="str">
        <f t="shared" ca="1" si="12"/>
        <v>2017-03-20</v>
      </c>
      <c r="L90" s="8" t="str">
        <f t="shared" ca="1" si="13"/>
        <v>2017-03-24</v>
      </c>
    </row>
    <row r="91" spans="1:12" x14ac:dyDescent="0.3">
      <c r="A91" s="8" t="s">
        <v>5675</v>
      </c>
      <c r="B91" s="8">
        <f t="shared" si="7"/>
        <v>600089</v>
      </c>
      <c r="C91" s="1" t="s">
        <v>7024</v>
      </c>
      <c r="D91" s="9" t="e">
        <f>VLOOKUP(C91,Project.csv!E:P,13,FALSE)</f>
        <v>#REF!</v>
      </c>
      <c r="E91" s="8" t="e">
        <f t="shared" si="8"/>
        <v>#REF!</v>
      </c>
      <c r="F91" s="9" t="s">
        <v>7118</v>
      </c>
      <c r="G91" s="9">
        <f ca="1">INDEX(EquipmentTypes.csv!C:C,RANDBETWEEN(2,COUNTA(EquipmentTypes.csv!B:B)),1)</f>
        <v>200067</v>
      </c>
      <c r="H91" s="8" t="str">
        <f t="shared" ca="1" si="9"/>
        <v>rg:{ 'id': '200067'}</v>
      </c>
      <c r="I91" s="8">
        <f t="shared" ca="1" si="10"/>
        <v>1</v>
      </c>
      <c r="J91" s="8">
        <f t="shared" ca="1" si="11"/>
        <v>29</v>
      </c>
      <c r="K91" s="8" t="str">
        <f t="shared" ca="1" si="12"/>
        <v>2017-04-02</v>
      </c>
      <c r="L91" s="8" t="str">
        <f t="shared" ca="1" si="13"/>
        <v>2017-04-05</v>
      </c>
    </row>
    <row r="92" spans="1:12" x14ac:dyDescent="0.3">
      <c r="A92" s="8" t="s">
        <v>5675</v>
      </c>
      <c r="B92" s="8">
        <f t="shared" si="7"/>
        <v>600090</v>
      </c>
      <c r="C92" s="1" t="s">
        <v>7025</v>
      </c>
      <c r="D92" s="9" t="e">
        <f>VLOOKUP(C92,Project.csv!E:P,13,FALSE)</f>
        <v>#REF!</v>
      </c>
      <c r="E92" s="8" t="e">
        <f t="shared" si="8"/>
        <v>#REF!</v>
      </c>
      <c r="F92" s="9" t="s">
        <v>7119</v>
      </c>
      <c r="G92" s="9">
        <f ca="1">INDEX(EquipmentTypes.csv!C:C,RANDBETWEEN(2,COUNTA(EquipmentTypes.csv!B:B)),1)</f>
        <v>200036</v>
      </c>
      <c r="H92" s="8" t="str">
        <f t="shared" ca="1" si="9"/>
        <v>rg:{ 'id': '200036'}</v>
      </c>
      <c r="I92" s="8">
        <f t="shared" ca="1" si="10"/>
        <v>1</v>
      </c>
      <c r="J92" s="8">
        <f t="shared" ca="1" si="11"/>
        <v>99</v>
      </c>
      <c r="K92" s="8" t="str">
        <f t="shared" ca="1" si="12"/>
        <v>2017-04-22</v>
      </c>
      <c r="L92" s="8" t="str">
        <f t="shared" ca="1" si="13"/>
        <v>2017-05-04</v>
      </c>
    </row>
    <row r="93" spans="1:12" x14ac:dyDescent="0.3">
      <c r="A93" s="8" t="s">
        <v>5675</v>
      </c>
      <c r="B93" s="8">
        <f t="shared" si="7"/>
        <v>600091</v>
      </c>
      <c r="C93" s="1" t="s">
        <v>7026</v>
      </c>
      <c r="D93" s="9" t="e">
        <f>VLOOKUP(C93,Project.csv!E:P,13,FALSE)</f>
        <v>#REF!</v>
      </c>
      <c r="E93" s="8" t="e">
        <f t="shared" si="8"/>
        <v>#REF!</v>
      </c>
      <c r="F93" s="9" t="s">
        <v>7118</v>
      </c>
      <c r="G93" s="9">
        <f ca="1">INDEX(EquipmentTypes.csv!C:C,RANDBETWEEN(2,COUNTA(EquipmentTypes.csv!B:B)),1)</f>
        <v>200017</v>
      </c>
      <c r="H93" s="8" t="str">
        <f t="shared" ca="1" si="9"/>
        <v>rg:{ 'id': '200017'}</v>
      </c>
      <c r="I93" s="8">
        <f t="shared" ca="1" si="10"/>
        <v>3</v>
      </c>
      <c r="J93" s="8">
        <f t="shared" ca="1" si="11"/>
        <v>19</v>
      </c>
      <c r="K93" s="8" t="str">
        <f t="shared" ca="1" si="12"/>
        <v>2017-03-16</v>
      </c>
      <c r="L93" s="8" t="str">
        <f t="shared" ca="1" si="13"/>
        <v>2017-03-23</v>
      </c>
    </row>
    <row r="94" spans="1:12" x14ac:dyDescent="0.3">
      <c r="A94" s="8" t="s">
        <v>5675</v>
      </c>
      <c r="B94" s="8">
        <f t="shared" si="7"/>
        <v>600092</v>
      </c>
      <c r="C94" s="1" t="s">
        <v>7027</v>
      </c>
      <c r="D94" s="9" t="e">
        <f>VLOOKUP(C94,Project.csv!E:P,13,FALSE)</f>
        <v>#REF!</v>
      </c>
      <c r="E94" s="8" t="e">
        <f t="shared" si="8"/>
        <v>#REF!</v>
      </c>
      <c r="F94" s="9" t="s">
        <v>7119</v>
      </c>
      <c r="G94" s="9">
        <f ca="1">INDEX(EquipmentTypes.csv!C:C,RANDBETWEEN(2,COUNTA(EquipmentTypes.csv!B:B)),1)</f>
        <v>200036</v>
      </c>
      <c r="H94" s="8" t="str">
        <f t="shared" ca="1" si="9"/>
        <v>rg:{ 'id': '200036'}</v>
      </c>
      <c r="I94" s="8">
        <f t="shared" ca="1" si="10"/>
        <v>1</v>
      </c>
      <c r="J94" s="8">
        <f t="shared" ca="1" si="11"/>
        <v>69</v>
      </c>
      <c r="K94" s="8" t="str">
        <f t="shared" ca="1" si="12"/>
        <v>2017-03-28</v>
      </c>
      <c r="L94" s="8" t="str">
        <f t="shared" ca="1" si="13"/>
        <v>2017-04-05</v>
      </c>
    </row>
    <row r="95" spans="1:12" x14ac:dyDescent="0.3">
      <c r="A95" s="8" t="s">
        <v>5675</v>
      </c>
      <c r="B95" s="8">
        <f t="shared" si="7"/>
        <v>600093</v>
      </c>
      <c r="C95" s="1" t="s">
        <v>7028</v>
      </c>
      <c r="D95" s="9" t="e">
        <f>VLOOKUP(C95,Project.csv!E:P,13,FALSE)</f>
        <v>#REF!</v>
      </c>
      <c r="E95" s="8" t="e">
        <f t="shared" si="8"/>
        <v>#REF!</v>
      </c>
      <c r="F95" s="9" t="s">
        <v>7118</v>
      </c>
      <c r="G95" s="9">
        <f ca="1">INDEX(EquipmentTypes.csv!C:C,RANDBETWEEN(2,COUNTA(EquipmentTypes.csv!B:B)),1)</f>
        <v>200036</v>
      </c>
      <c r="H95" s="8" t="str">
        <f t="shared" ca="1" si="9"/>
        <v>rg:{ 'id': '200036'}</v>
      </c>
      <c r="I95" s="8">
        <f t="shared" ca="1" si="10"/>
        <v>1</v>
      </c>
      <c r="J95" s="8">
        <f t="shared" ca="1" si="11"/>
        <v>5</v>
      </c>
      <c r="K95" s="8" t="str">
        <f t="shared" ca="1" si="12"/>
        <v>2017-04-14</v>
      </c>
      <c r="L95" s="8" t="str">
        <f t="shared" ca="1" si="13"/>
        <v>2017-04-14</v>
      </c>
    </row>
    <row r="96" spans="1:12" x14ac:dyDescent="0.3">
      <c r="A96" s="8" t="s">
        <v>5675</v>
      </c>
      <c r="B96" s="8">
        <f t="shared" si="7"/>
        <v>600094</v>
      </c>
      <c r="C96" s="1" t="s">
        <v>6908</v>
      </c>
      <c r="D96" s="9" t="e">
        <f>VLOOKUP(C96,Project.csv!E:P,13,FALSE)</f>
        <v>#REF!</v>
      </c>
      <c r="E96" s="8" t="e">
        <f t="shared" si="8"/>
        <v>#REF!</v>
      </c>
      <c r="F96" s="9" t="s">
        <v>7120</v>
      </c>
      <c r="G96" s="9">
        <f ca="1">INDEX(EquipmentTypes.csv!C:C,RANDBETWEEN(2,COUNTA(EquipmentTypes.csv!B:B)),1)</f>
        <v>200064</v>
      </c>
      <c r="H96" s="8" t="str">
        <f t="shared" ca="1" si="9"/>
        <v>rg:{ 'id': '200064'}</v>
      </c>
      <c r="I96" s="8">
        <f t="shared" ca="1" si="10"/>
        <v>1</v>
      </c>
      <c r="J96" s="8">
        <f t="shared" ca="1" si="11"/>
        <v>93</v>
      </c>
      <c r="K96" s="8" t="str">
        <f t="shared" ca="1" si="12"/>
        <v>2017-03-21</v>
      </c>
      <c r="L96" s="8" t="str">
        <f t="shared" ca="1" si="13"/>
        <v>2017-04-01</v>
      </c>
    </row>
    <row r="97" spans="1:12" x14ac:dyDescent="0.3">
      <c r="A97" s="8" t="s">
        <v>5675</v>
      </c>
      <c r="B97" s="8">
        <f t="shared" si="7"/>
        <v>600095</v>
      </c>
      <c r="C97" s="1" t="s">
        <v>7013</v>
      </c>
      <c r="D97" s="9" t="e">
        <f>VLOOKUP(C97,Project.csv!E:P,13,FALSE)</f>
        <v>#REF!</v>
      </c>
      <c r="E97" s="8" t="e">
        <f t="shared" si="8"/>
        <v>#REF!</v>
      </c>
      <c r="F97" s="9" t="s">
        <v>7118</v>
      </c>
      <c r="G97" s="9">
        <f ca="1">INDEX(EquipmentTypes.csv!C:C,RANDBETWEEN(2,COUNTA(EquipmentTypes.csv!B:B)),1)</f>
        <v>200067</v>
      </c>
      <c r="H97" s="8" t="str">
        <f t="shared" ca="1" si="9"/>
        <v>rg:{ 'id': '200067'}</v>
      </c>
      <c r="I97" s="8">
        <f t="shared" ca="1" si="10"/>
        <v>1</v>
      </c>
      <c r="J97" s="8">
        <f t="shared" ca="1" si="11"/>
        <v>53</v>
      </c>
      <c r="K97" s="8" t="str">
        <f t="shared" ca="1" si="12"/>
        <v>2017-04-03</v>
      </c>
      <c r="L97" s="8" t="str">
        <f t="shared" ca="1" si="13"/>
        <v>2017-04-09</v>
      </c>
    </row>
    <row r="98" spans="1:12" x14ac:dyDescent="0.3">
      <c r="A98" s="8" t="s">
        <v>5675</v>
      </c>
      <c r="B98" s="8">
        <f t="shared" si="7"/>
        <v>600096</v>
      </c>
      <c r="C98" s="1" t="s">
        <v>7029</v>
      </c>
      <c r="D98" s="9" t="e">
        <f>VLOOKUP(C98,Project.csv!E:P,13,FALSE)</f>
        <v>#REF!</v>
      </c>
      <c r="E98" s="8" t="e">
        <f t="shared" si="8"/>
        <v>#REF!</v>
      </c>
      <c r="F98" s="9" t="s">
        <v>7120</v>
      </c>
      <c r="G98" s="9">
        <f ca="1">INDEX(EquipmentTypes.csv!C:C,RANDBETWEEN(2,COUNTA(EquipmentTypes.csv!B:B)),1)</f>
        <v>200005</v>
      </c>
      <c r="H98" s="8" t="str">
        <f t="shared" ca="1" si="9"/>
        <v>rg:{ 'id': '200005'}</v>
      </c>
      <c r="I98" s="8">
        <f t="shared" ca="1" si="10"/>
        <v>1</v>
      </c>
      <c r="J98" s="8">
        <f t="shared" ca="1" si="11"/>
        <v>20</v>
      </c>
      <c r="K98" s="8" t="str">
        <f t="shared" ca="1" si="12"/>
        <v>2017-03-26</v>
      </c>
      <c r="L98" s="8" t="str">
        <f t="shared" ca="1" si="13"/>
        <v>2017-03-28</v>
      </c>
    </row>
    <row r="99" spans="1:12" x14ac:dyDescent="0.3">
      <c r="A99" s="8" t="s">
        <v>5675</v>
      </c>
      <c r="B99" s="8">
        <f t="shared" si="7"/>
        <v>600097</v>
      </c>
      <c r="C99" s="1" t="s">
        <v>7030</v>
      </c>
      <c r="D99" s="9" t="e">
        <f>VLOOKUP(C99,Project.csv!E:P,13,FALSE)</f>
        <v>#REF!</v>
      </c>
      <c r="E99" s="8" t="e">
        <f t="shared" si="8"/>
        <v>#REF!</v>
      </c>
      <c r="F99" s="9" t="s">
        <v>7118</v>
      </c>
      <c r="G99" s="9">
        <f ca="1">INDEX(EquipmentTypes.csv!C:C,RANDBETWEEN(2,COUNTA(EquipmentTypes.csv!B:B)),1)</f>
        <v>200018</v>
      </c>
      <c r="H99" s="8" t="str">
        <f t="shared" ca="1" si="9"/>
        <v>rg:{ 'id': '200018'}</v>
      </c>
      <c r="I99" s="8">
        <f t="shared" ca="1" si="10"/>
        <v>1</v>
      </c>
      <c r="J99" s="8">
        <f t="shared" ca="1" si="11"/>
        <v>80</v>
      </c>
      <c r="K99" s="8" t="str">
        <f t="shared" ca="1" si="12"/>
        <v>2017-04-10</v>
      </c>
      <c r="L99" s="8" t="str">
        <f t="shared" ca="1" si="13"/>
        <v>2017-04-20</v>
      </c>
    </row>
    <row r="100" spans="1:12" x14ac:dyDescent="0.3">
      <c r="A100" s="8" t="s">
        <v>5675</v>
      </c>
      <c r="B100" s="8">
        <f t="shared" si="7"/>
        <v>600098</v>
      </c>
      <c r="C100" s="1" t="s">
        <v>7031</v>
      </c>
      <c r="D100" s="9" t="e">
        <f>VLOOKUP(C100,Project.csv!E:P,13,FALSE)</f>
        <v>#REF!</v>
      </c>
      <c r="E100" s="8" t="e">
        <f t="shared" si="8"/>
        <v>#REF!</v>
      </c>
      <c r="F100" s="9" t="s">
        <v>7118</v>
      </c>
      <c r="G100" s="9">
        <f ca="1">INDEX(EquipmentTypes.csv!C:C,RANDBETWEEN(2,COUNTA(EquipmentTypes.csv!B:B)),1)</f>
        <v>200072</v>
      </c>
      <c r="H100" s="8" t="str">
        <f t="shared" ca="1" si="9"/>
        <v>rg:{ 'id': '200072'}</v>
      </c>
      <c r="I100" s="8">
        <f t="shared" ca="1" si="10"/>
        <v>1</v>
      </c>
      <c r="J100" s="8">
        <f t="shared" ca="1" si="11"/>
        <v>94</v>
      </c>
      <c r="K100" s="8" t="str">
        <f t="shared" ca="1" si="12"/>
        <v>2017-04-16</v>
      </c>
      <c r="L100" s="8" t="str">
        <f t="shared" ca="1" si="13"/>
        <v>2017-04-27</v>
      </c>
    </row>
    <row r="101" spans="1:12" x14ac:dyDescent="0.3">
      <c r="A101" s="8" t="s">
        <v>5675</v>
      </c>
      <c r="B101" s="8">
        <f t="shared" si="7"/>
        <v>600099</v>
      </c>
      <c r="C101" s="1" t="s">
        <v>6938</v>
      </c>
      <c r="D101" s="9" t="e">
        <f>VLOOKUP(C101,Project.csv!E:P,13,FALSE)</f>
        <v>#REF!</v>
      </c>
      <c r="E101" s="8" t="e">
        <f t="shared" si="8"/>
        <v>#REF!</v>
      </c>
      <c r="F101" s="9" t="s">
        <v>7118</v>
      </c>
      <c r="G101" s="9">
        <f ca="1">INDEX(EquipmentTypes.csv!C:C,RANDBETWEEN(2,COUNTA(EquipmentTypes.csv!B:B)),1)</f>
        <v>200043</v>
      </c>
      <c r="H101" s="8" t="str">
        <f t="shared" ca="1" si="9"/>
        <v>rg:{ 'id': '200043'}</v>
      </c>
      <c r="I101" s="8">
        <f t="shared" ca="1" si="10"/>
        <v>1</v>
      </c>
      <c r="J101" s="8">
        <f t="shared" ca="1" si="11"/>
        <v>4</v>
      </c>
      <c r="K101" s="8" t="str">
        <f t="shared" ca="1" si="12"/>
        <v>2017-03-19</v>
      </c>
      <c r="L101" s="8" t="str">
        <f t="shared" ca="1" si="13"/>
        <v>2017-03-19</v>
      </c>
    </row>
    <row r="102" spans="1:12" x14ac:dyDescent="0.3">
      <c r="A102" s="8" t="s">
        <v>5675</v>
      </c>
      <c r="B102" s="8">
        <f t="shared" si="7"/>
        <v>600100</v>
      </c>
      <c r="C102" s="1" t="s">
        <v>6936</v>
      </c>
      <c r="D102" s="9" t="e">
        <f>VLOOKUP(C102,Project.csv!E:P,13,FALSE)</f>
        <v>#REF!</v>
      </c>
      <c r="E102" s="8" t="e">
        <f t="shared" si="8"/>
        <v>#REF!</v>
      </c>
      <c r="F102" s="9" t="s">
        <v>7118</v>
      </c>
      <c r="G102" s="9">
        <f ca="1">INDEX(EquipmentTypes.csv!C:C,RANDBETWEEN(2,COUNTA(EquipmentTypes.csv!B:B)),1)</f>
        <v>200017</v>
      </c>
      <c r="H102" s="8" t="str">
        <f t="shared" ca="1" si="9"/>
        <v>rg:{ 'id': '200017'}</v>
      </c>
      <c r="I102" s="8">
        <f t="shared" ca="1" si="10"/>
        <v>1</v>
      </c>
      <c r="J102" s="8">
        <f t="shared" ca="1" si="11"/>
        <v>58</v>
      </c>
      <c r="K102" s="8" t="str">
        <f t="shared" ca="1" si="12"/>
        <v>2017-04-25</v>
      </c>
      <c r="L102" s="8" t="str">
        <f t="shared" ca="1" si="13"/>
        <v>2017-05-02</v>
      </c>
    </row>
    <row r="103" spans="1:12" x14ac:dyDescent="0.3">
      <c r="A103" s="8" t="s">
        <v>5675</v>
      </c>
      <c r="B103" s="8">
        <f t="shared" si="7"/>
        <v>600101</v>
      </c>
      <c r="C103" s="1" t="s">
        <v>7008</v>
      </c>
      <c r="D103" s="9" t="e">
        <f>VLOOKUP(C103,Project.csv!E:P,13,FALSE)</f>
        <v>#REF!</v>
      </c>
      <c r="E103" s="8" t="e">
        <f t="shared" si="8"/>
        <v>#REF!</v>
      </c>
      <c r="F103" s="9" t="s">
        <v>7118</v>
      </c>
      <c r="G103" s="9">
        <f ca="1">INDEX(EquipmentTypes.csv!C:C,RANDBETWEEN(2,COUNTA(EquipmentTypes.csv!B:B)),1)</f>
        <v>200005</v>
      </c>
      <c r="H103" s="8" t="str">
        <f t="shared" ca="1" si="9"/>
        <v>rg:{ 'id': '200005'}</v>
      </c>
      <c r="I103" s="8">
        <f t="shared" ca="1" si="10"/>
        <v>1</v>
      </c>
      <c r="J103" s="8">
        <f t="shared" ca="1" si="11"/>
        <v>7</v>
      </c>
      <c r="K103" s="8" t="str">
        <f t="shared" ca="1" si="12"/>
        <v>2017-03-22</v>
      </c>
      <c r="L103" s="8" t="str">
        <f t="shared" ca="1" si="13"/>
        <v>2017-03-22</v>
      </c>
    </row>
    <row r="104" spans="1:12" x14ac:dyDescent="0.3">
      <c r="A104" s="8" t="s">
        <v>5675</v>
      </c>
      <c r="B104" s="8">
        <f t="shared" si="7"/>
        <v>600102</v>
      </c>
      <c r="C104" s="1" t="s">
        <v>7032</v>
      </c>
      <c r="D104" s="9" t="e">
        <f>VLOOKUP(C104,Project.csv!E:P,13,FALSE)</f>
        <v>#REF!</v>
      </c>
      <c r="E104" s="8" t="e">
        <f t="shared" si="8"/>
        <v>#REF!</v>
      </c>
      <c r="F104" s="9" t="s">
        <v>7118</v>
      </c>
      <c r="G104" s="9">
        <f ca="1">INDEX(EquipmentTypes.csv!C:C,RANDBETWEEN(2,COUNTA(EquipmentTypes.csv!B:B)),1)</f>
        <v>200072</v>
      </c>
      <c r="H104" s="8" t="str">
        <f t="shared" ca="1" si="9"/>
        <v>rg:{ 'id': '200072'}</v>
      </c>
      <c r="I104" s="8">
        <f t="shared" ca="1" si="10"/>
        <v>1</v>
      </c>
      <c r="J104" s="8">
        <f t="shared" ca="1" si="11"/>
        <v>36</v>
      </c>
      <c r="K104" s="8" t="str">
        <f t="shared" ca="1" si="12"/>
        <v>2017-04-09</v>
      </c>
      <c r="L104" s="8" t="str">
        <f t="shared" ca="1" si="13"/>
        <v>2017-04-13</v>
      </c>
    </row>
    <row r="105" spans="1:12" x14ac:dyDescent="0.3">
      <c r="A105" s="8" t="s">
        <v>5675</v>
      </c>
      <c r="B105" s="8">
        <f t="shared" si="7"/>
        <v>600103</v>
      </c>
      <c r="C105" s="1" t="s">
        <v>6919</v>
      </c>
      <c r="D105" s="9" t="e">
        <f>VLOOKUP(C105,Project.csv!E:P,13,FALSE)</f>
        <v>#REF!</v>
      </c>
      <c r="E105" s="8" t="e">
        <f t="shared" si="8"/>
        <v>#REF!</v>
      </c>
      <c r="F105" s="9" t="s">
        <v>7118</v>
      </c>
      <c r="G105" s="9">
        <f ca="1">INDEX(EquipmentTypes.csv!C:C,RANDBETWEEN(2,COUNTA(EquipmentTypes.csv!B:B)),1)</f>
        <v>200086</v>
      </c>
      <c r="H105" s="8" t="str">
        <f t="shared" ca="1" si="9"/>
        <v>rg:{ 'id': '200086'}</v>
      </c>
      <c r="I105" s="8">
        <f t="shared" ca="1" si="10"/>
        <v>1</v>
      </c>
      <c r="J105" s="8">
        <f t="shared" ca="1" si="11"/>
        <v>32</v>
      </c>
      <c r="K105" s="8" t="str">
        <f t="shared" ca="1" si="12"/>
        <v>2017-04-17</v>
      </c>
      <c r="L105" s="8" t="str">
        <f t="shared" ca="1" si="13"/>
        <v>2017-04-21</v>
      </c>
    </row>
    <row r="106" spans="1:12" x14ac:dyDescent="0.3">
      <c r="A106" s="8" t="s">
        <v>5675</v>
      </c>
      <c r="B106" s="8">
        <f t="shared" si="7"/>
        <v>600104</v>
      </c>
      <c r="C106" s="1" t="s">
        <v>6942</v>
      </c>
      <c r="D106" s="9" t="e">
        <f>VLOOKUP(C106,Project.csv!E:P,13,FALSE)</f>
        <v>#REF!</v>
      </c>
      <c r="E106" s="8" t="e">
        <f t="shared" si="8"/>
        <v>#REF!</v>
      </c>
      <c r="F106" s="9" t="s">
        <v>7118</v>
      </c>
      <c r="G106" s="9">
        <f ca="1">INDEX(EquipmentTypes.csv!C:C,RANDBETWEEN(2,COUNTA(EquipmentTypes.csv!B:B)),1)</f>
        <v>200082</v>
      </c>
      <c r="H106" s="8" t="str">
        <f t="shared" ca="1" si="9"/>
        <v>rg:{ 'id': '200082'}</v>
      </c>
      <c r="I106" s="8">
        <f t="shared" ca="1" si="10"/>
        <v>1</v>
      </c>
      <c r="J106" s="8">
        <f t="shared" ca="1" si="11"/>
        <v>36</v>
      </c>
      <c r="K106" s="8" t="str">
        <f t="shared" ca="1" si="12"/>
        <v>2017-04-20</v>
      </c>
      <c r="L106" s="8" t="str">
        <f t="shared" ca="1" si="13"/>
        <v>2017-04-24</v>
      </c>
    </row>
    <row r="107" spans="1:12" x14ac:dyDescent="0.3">
      <c r="A107" s="8" t="s">
        <v>5675</v>
      </c>
      <c r="B107" s="8">
        <f t="shared" si="7"/>
        <v>600105</v>
      </c>
      <c r="C107" s="1" t="s">
        <v>7033</v>
      </c>
      <c r="D107" s="9" t="e">
        <f>VLOOKUP(C107,Project.csv!E:P,13,FALSE)</f>
        <v>#REF!</v>
      </c>
      <c r="E107" s="8" t="e">
        <f t="shared" si="8"/>
        <v>#REF!</v>
      </c>
      <c r="F107" s="9" t="s">
        <v>7118</v>
      </c>
      <c r="G107" s="9">
        <f ca="1">INDEX(EquipmentTypes.csv!C:C,RANDBETWEEN(2,COUNTA(EquipmentTypes.csv!B:B)),1)</f>
        <v>200060</v>
      </c>
      <c r="H107" s="8" t="str">
        <f t="shared" ca="1" si="9"/>
        <v>rg:{ 'id': '200060'}</v>
      </c>
      <c r="I107" s="8">
        <f t="shared" ca="1" si="10"/>
        <v>1</v>
      </c>
      <c r="J107" s="8">
        <f t="shared" ca="1" si="11"/>
        <v>71</v>
      </c>
      <c r="K107" s="8" t="str">
        <f t="shared" ca="1" si="12"/>
        <v>2017-03-10</v>
      </c>
      <c r="L107" s="8" t="str">
        <f t="shared" ca="1" si="13"/>
        <v>2017-03-18</v>
      </c>
    </row>
    <row r="108" spans="1:12" x14ac:dyDescent="0.3">
      <c r="A108" s="8" t="s">
        <v>5675</v>
      </c>
      <c r="B108" s="8">
        <f t="shared" si="7"/>
        <v>600106</v>
      </c>
      <c r="C108" s="1" t="s">
        <v>7034</v>
      </c>
      <c r="D108" s="9" t="e">
        <f>VLOOKUP(C108,Project.csv!E:P,13,FALSE)</f>
        <v>#REF!</v>
      </c>
      <c r="E108" s="8" t="e">
        <f t="shared" si="8"/>
        <v>#REF!</v>
      </c>
      <c r="F108" s="9" t="s">
        <v>7118</v>
      </c>
      <c r="G108" s="9">
        <f ca="1">INDEX(EquipmentTypes.csv!C:C,RANDBETWEEN(2,COUNTA(EquipmentTypes.csv!B:B)),1)</f>
        <v>200043</v>
      </c>
      <c r="H108" s="8" t="str">
        <f t="shared" ca="1" si="9"/>
        <v>rg:{ 'id': '200043'}</v>
      </c>
      <c r="I108" s="8">
        <f t="shared" ca="1" si="10"/>
        <v>1</v>
      </c>
      <c r="J108" s="8">
        <f t="shared" ca="1" si="11"/>
        <v>22</v>
      </c>
      <c r="K108" s="8" t="str">
        <f t="shared" ca="1" si="12"/>
        <v>2017-03-09</v>
      </c>
      <c r="L108" s="8" t="str">
        <f t="shared" ca="1" si="13"/>
        <v>2017-03-11</v>
      </c>
    </row>
    <row r="109" spans="1:12" x14ac:dyDescent="0.3">
      <c r="A109" s="8" t="s">
        <v>5675</v>
      </c>
      <c r="B109" s="8">
        <f t="shared" si="7"/>
        <v>600107</v>
      </c>
      <c r="C109" s="1" t="s">
        <v>6922</v>
      </c>
      <c r="D109" s="9" t="e">
        <f>VLOOKUP(C109,Project.csv!E:P,13,FALSE)</f>
        <v>#REF!</v>
      </c>
      <c r="E109" s="8" t="e">
        <f t="shared" si="8"/>
        <v>#REF!</v>
      </c>
      <c r="F109" s="9" t="s">
        <v>7118</v>
      </c>
      <c r="G109" s="9">
        <f ca="1">INDEX(EquipmentTypes.csv!C:C,RANDBETWEEN(2,COUNTA(EquipmentTypes.csv!B:B)),1)</f>
        <v>200043</v>
      </c>
      <c r="H109" s="8" t="str">
        <f t="shared" ca="1" si="9"/>
        <v>rg:{ 'id': '200043'}</v>
      </c>
      <c r="I109" s="8">
        <f t="shared" ca="1" si="10"/>
        <v>1</v>
      </c>
      <c r="J109" s="8">
        <f t="shared" ca="1" si="11"/>
        <v>56</v>
      </c>
      <c r="K109" s="8" t="str">
        <f t="shared" ca="1" si="12"/>
        <v>2017-03-07</v>
      </c>
      <c r="L109" s="8" t="str">
        <f t="shared" ca="1" si="13"/>
        <v>2017-03-14</v>
      </c>
    </row>
    <row r="110" spans="1:12" x14ac:dyDescent="0.3">
      <c r="A110" s="8" t="s">
        <v>5675</v>
      </c>
      <c r="B110" s="8">
        <f t="shared" si="7"/>
        <v>600108</v>
      </c>
      <c r="C110" s="1" t="s">
        <v>6993</v>
      </c>
      <c r="D110" s="9" t="e">
        <f>VLOOKUP(C110,Project.csv!E:P,13,FALSE)</f>
        <v>#REF!</v>
      </c>
      <c r="E110" s="8" t="e">
        <f t="shared" si="8"/>
        <v>#REF!</v>
      </c>
      <c r="F110" s="9" t="s">
        <v>7118</v>
      </c>
      <c r="G110" s="9">
        <f ca="1">INDEX(EquipmentTypes.csv!C:C,RANDBETWEEN(2,COUNTA(EquipmentTypes.csv!B:B)),1)</f>
        <v>200012</v>
      </c>
      <c r="H110" s="8" t="str">
        <f t="shared" ca="1" si="9"/>
        <v>rg:{ 'id': '200012'}</v>
      </c>
      <c r="I110" s="8">
        <f t="shared" ca="1" si="10"/>
        <v>1</v>
      </c>
      <c r="J110" s="8">
        <f t="shared" ca="1" si="11"/>
        <v>79</v>
      </c>
      <c r="K110" s="8" t="str">
        <f t="shared" ca="1" si="12"/>
        <v>2017-04-24</v>
      </c>
      <c r="L110" s="8" t="str">
        <f t="shared" ca="1" si="13"/>
        <v>2017-05-03</v>
      </c>
    </row>
    <row r="111" spans="1:12" x14ac:dyDescent="0.3">
      <c r="A111" s="8" t="s">
        <v>5675</v>
      </c>
      <c r="B111" s="8">
        <f t="shared" si="7"/>
        <v>600109</v>
      </c>
      <c r="C111" s="1" t="s">
        <v>6990</v>
      </c>
      <c r="D111" s="9" t="e">
        <f>VLOOKUP(C111,Project.csv!E:P,13,FALSE)</f>
        <v>#REF!</v>
      </c>
      <c r="E111" s="8" t="e">
        <f t="shared" si="8"/>
        <v>#REF!</v>
      </c>
      <c r="F111" s="9" t="s">
        <v>7118</v>
      </c>
      <c r="G111" s="9">
        <f ca="1">INDEX(EquipmentTypes.csv!C:C,RANDBETWEEN(2,COUNTA(EquipmentTypes.csv!B:B)),1)</f>
        <v>200005</v>
      </c>
      <c r="H111" s="8" t="str">
        <f t="shared" ca="1" si="9"/>
        <v>rg:{ 'id': '200005'}</v>
      </c>
      <c r="I111" s="8">
        <f t="shared" ca="1" si="10"/>
        <v>1</v>
      </c>
      <c r="J111" s="8">
        <f t="shared" ca="1" si="11"/>
        <v>4</v>
      </c>
      <c r="K111" s="8" t="str">
        <f t="shared" ca="1" si="12"/>
        <v>2017-04-23</v>
      </c>
      <c r="L111" s="8" t="str">
        <f t="shared" ca="1" si="13"/>
        <v>2017-04-23</v>
      </c>
    </row>
    <row r="112" spans="1:12" x14ac:dyDescent="0.3">
      <c r="A112" s="8" t="s">
        <v>5675</v>
      </c>
      <c r="B112" s="8">
        <f t="shared" si="7"/>
        <v>600110</v>
      </c>
      <c r="C112" s="1" t="s">
        <v>7035</v>
      </c>
      <c r="D112" s="9" t="e">
        <f>VLOOKUP(C112,Project.csv!E:P,13,FALSE)</f>
        <v>#REF!</v>
      </c>
      <c r="E112" s="8" t="e">
        <f t="shared" si="8"/>
        <v>#REF!</v>
      </c>
      <c r="F112" s="9" t="s">
        <v>7118</v>
      </c>
      <c r="G112" s="9">
        <f ca="1">INDEX(EquipmentTypes.csv!C:C,RANDBETWEEN(2,COUNTA(EquipmentTypes.csv!B:B)),1)</f>
        <v>200083</v>
      </c>
      <c r="H112" s="8" t="str">
        <f t="shared" ca="1" si="9"/>
        <v>rg:{ 'id': '200083'}</v>
      </c>
      <c r="I112" s="8">
        <f t="shared" ca="1" si="10"/>
        <v>1</v>
      </c>
      <c r="J112" s="8">
        <f t="shared" ca="1" si="11"/>
        <v>58</v>
      </c>
      <c r="K112" s="8" t="str">
        <f t="shared" ca="1" si="12"/>
        <v>2017-04-02</v>
      </c>
      <c r="L112" s="8" t="str">
        <f t="shared" ca="1" si="13"/>
        <v>2017-04-09</v>
      </c>
    </row>
    <row r="113" spans="1:12" x14ac:dyDescent="0.3">
      <c r="A113" s="8" t="s">
        <v>5675</v>
      </c>
      <c r="B113" s="8">
        <f t="shared" si="7"/>
        <v>600111</v>
      </c>
      <c r="C113" s="1" t="s">
        <v>6948</v>
      </c>
      <c r="D113" s="9" t="e">
        <f>VLOOKUP(C113,Project.csv!E:P,13,FALSE)</f>
        <v>#REF!</v>
      </c>
      <c r="E113" s="8" t="e">
        <f t="shared" si="8"/>
        <v>#REF!</v>
      </c>
      <c r="F113" s="9" t="s">
        <v>7118</v>
      </c>
      <c r="G113" s="9">
        <f ca="1">INDEX(EquipmentTypes.csv!C:C,RANDBETWEEN(2,COUNTA(EquipmentTypes.csv!B:B)),1)</f>
        <v>200036</v>
      </c>
      <c r="H113" s="8" t="str">
        <f t="shared" ca="1" si="9"/>
        <v>rg:{ 'id': '200036'}</v>
      </c>
      <c r="I113" s="8">
        <f t="shared" ca="1" si="10"/>
        <v>1</v>
      </c>
      <c r="J113" s="8">
        <f t="shared" ca="1" si="11"/>
        <v>99</v>
      </c>
      <c r="K113" s="8" t="str">
        <f t="shared" ca="1" si="12"/>
        <v>2017-04-17</v>
      </c>
      <c r="L113" s="8" t="str">
        <f t="shared" ca="1" si="13"/>
        <v>2017-04-29</v>
      </c>
    </row>
    <row r="114" spans="1:12" x14ac:dyDescent="0.3">
      <c r="A114" s="8" t="s">
        <v>5675</v>
      </c>
      <c r="B114" s="8">
        <f t="shared" si="7"/>
        <v>600112</v>
      </c>
      <c r="C114" s="1" t="s">
        <v>6942</v>
      </c>
      <c r="D114" s="9" t="e">
        <f>VLOOKUP(C114,Project.csv!E:P,13,FALSE)</f>
        <v>#REF!</v>
      </c>
      <c r="E114" s="8" t="e">
        <f t="shared" si="8"/>
        <v>#REF!</v>
      </c>
      <c r="F114" s="9" t="s">
        <v>7118</v>
      </c>
      <c r="G114" s="9">
        <f ca="1">INDEX(EquipmentTypes.csv!C:C,RANDBETWEEN(2,COUNTA(EquipmentTypes.csv!B:B)),1)</f>
        <v>200035</v>
      </c>
      <c r="H114" s="8" t="str">
        <f t="shared" ca="1" si="9"/>
        <v>rg:{ 'id': '200035'}</v>
      </c>
      <c r="I114" s="8">
        <f t="shared" ca="1" si="10"/>
        <v>1</v>
      </c>
      <c r="J114" s="8">
        <f t="shared" ca="1" si="11"/>
        <v>100</v>
      </c>
      <c r="K114" s="8" t="str">
        <f t="shared" ca="1" si="12"/>
        <v>2017-03-15</v>
      </c>
      <c r="L114" s="8" t="str">
        <f t="shared" ca="1" si="13"/>
        <v>2017-03-27</v>
      </c>
    </row>
    <row r="115" spans="1:12" x14ac:dyDescent="0.3">
      <c r="A115" s="8" t="s">
        <v>5675</v>
      </c>
      <c r="B115" s="8">
        <f t="shared" si="7"/>
        <v>600113</v>
      </c>
      <c r="C115" s="1" t="s">
        <v>7036</v>
      </c>
      <c r="D115" s="9" t="e">
        <f>VLOOKUP(C115,Project.csv!E:P,13,FALSE)</f>
        <v>#REF!</v>
      </c>
      <c r="E115" s="8" t="e">
        <f t="shared" si="8"/>
        <v>#REF!</v>
      </c>
      <c r="F115" s="9" t="s">
        <v>7118</v>
      </c>
      <c r="G115" s="9">
        <f ca="1">INDEX(EquipmentTypes.csv!C:C,RANDBETWEEN(2,COUNTA(EquipmentTypes.csv!B:B)),1)</f>
        <v>200021</v>
      </c>
      <c r="H115" s="8" t="str">
        <f t="shared" ca="1" si="9"/>
        <v>rg:{ 'id': '200021'}</v>
      </c>
      <c r="I115" s="8">
        <f t="shared" ca="1" si="10"/>
        <v>1</v>
      </c>
      <c r="J115" s="8">
        <f t="shared" ca="1" si="11"/>
        <v>78</v>
      </c>
      <c r="K115" s="8" t="str">
        <f t="shared" ca="1" si="12"/>
        <v>2017-04-26</v>
      </c>
      <c r="L115" s="8" t="str">
        <f t="shared" ca="1" si="13"/>
        <v>2017-05-05</v>
      </c>
    </row>
    <row r="116" spans="1:12" x14ac:dyDescent="0.3">
      <c r="A116" s="8" t="s">
        <v>5675</v>
      </c>
      <c r="B116" s="8">
        <f t="shared" si="7"/>
        <v>600114</v>
      </c>
      <c r="C116" s="1" t="s">
        <v>7007</v>
      </c>
      <c r="D116" s="9" t="e">
        <f>VLOOKUP(C116,Project.csv!E:P,13,FALSE)</f>
        <v>#REF!</v>
      </c>
      <c r="E116" s="8" t="e">
        <f t="shared" si="8"/>
        <v>#REF!</v>
      </c>
      <c r="F116" s="9" t="s">
        <v>7118</v>
      </c>
      <c r="G116" s="9">
        <f ca="1">INDEX(EquipmentTypes.csv!C:C,RANDBETWEEN(2,COUNTA(EquipmentTypes.csv!B:B)),1)</f>
        <v>200082</v>
      </c>
      <c r="H116" s="8" t="str">
        <f t="shared" ca="1" si="9"/>
        <v>rg:{ 'id': '200082'}</v>
      </c>
      <c r="I116" s="8">
        <f t="shared" ca="1" si="10"/>
        <v>1</v>
      </c>
      <c r="J116" s="8">
        <f t="shared" ca="1" si="11"/>
        <v>54</v>
      </c>
      <c r="K116" s="8" t="str">
        <f t="shared" ca="1" si="12"/>
        <v>2017-03-04</v>
      </c>
      <c r="L116" s="8" t="str">
        <f t="shared" ca="1" si="13"/>
        <v>2017-03-10</v>
      </c>
    </row>
    <row r="117" spans="1:12" x14ac:dyDescent="0.3">
      <c r="A117" s="8" t="s">
        <v>5675</v>
      </c>
      <c r="B117" s="8">
        <f t="shared" si="7"/>
        <v>600115</v>
      </c>
      <c r="C117" s="1" t="s">
        <v>6914</v>
      </c>
      <c r="D117" s="9" t="e">
        <f>VLOOKUP(C117,Project.csv!E:P,13,FALSE)</f>
        <v>#REF!</v>
      </c>
      <c r="E117" s="8" t="e">
        <f t="shared" si="8"/>
        <v>#REF!</v>
      </c>
      <c r="F117" s="9" t="s">
        <v>7118</v>
      </c>
      <c r="G117" s="9">
        <f ca="1">INDEX(EquipmentTypes.csv!C:C,RANDBETWEEN(2,COUNTA(EquipmentTypes.csv!B:B)),1)</f>
        <v>200043</v>
      </c>
      <c r="H117" s="8" t="str">
        <f t="shared" ca="1" si="9"/>
        <v>rg:{ 'id': '200043'}</v>
      </c>
      <c r="I117" s="8">
        <f t="shared" ca="1" si="10"/>
        <v>1</v>
      </c>
      <c r="J117" s="8">
        <f t="shared" ca="1" si="11"/>
        <v>98</v>
      </c>
      <c r="K117" s="8" t="str">
        <f t="shared" ca="1" si="12"/>
        <v>2017-03-16</v>
      </c>
      <c r="L117" s="8" t="str">
        <f t="shared" ca="1" si="13"/>
        <v>2017-03-28</v>
      </c>
    </row>
    <row r="118" spans="1:12" x14ac:dyDescent="0.3">
      <c r="A118" s="8" t="s">
        <v>5675</v>
      </c>
      <c r="B118" s="8">
        <f t="shared" si="7"/>
        <v>600116</v>
      </c>
      <c r="C118" s="1" t="s">
        <v>6913</v>
      </c>
      <c r="D118" s="9" t="e">
        <f>VLOOKUP(C118,Project.csv!E:P,13,FALSE)</f>
        <v>#REF!</v>
      </c>
      <c r="E118" s="8" t="e">
        <f t="shared" si="8"/>
        <v>#REF!</v>
      </c>
      <c r="F118" s="9" t="s">
        <v>7118</v>
      </c>
      <c r="G118" s="9">
        <f ca="1">INDEX(EquipmentTypes.csv!C:C,RANDBETWEEN(2,COUNTA(EquipmentTypes.csv!B:B)),1)</f>
        <v>200035</v>
      </c>
      <c r="H118" s="8" t="str">
        <f t="shared" ca="1" si="9"/>
        <v>rg:{ 'id': '200035'}</v>
      </c>
      <c r="I118" s="8">
        <f t="shared" ca="1" si="10"/>
        <v>1</v>
      </c>
      <c r="J118" s="8">
        <f t="shared" ca="1" si="11"/>
        <v>12</v>
      </c>
      <c r="K118" s="8" t="str">
        <f t="shared" ca="1" si="12"/>
        <v>2017-03-21</v>
      </c>
      <c r="L118" s="8" t="str">
        <f t="shared" ca="1" si="13"/>
        <v>2017-03-22</v>
      </c>
    </row>
    <row r="119" spans="1:12" x14ac:dyDescent="0.3">
      <c r="A119" s="8" t="s">
        <v>5675</v>
      </c>
      <c r="B119" s="8">
        <f t="shared" si="7"/>
        <v>600117</v>
      </c>
      <c r="C119" s="1" t="s">
        <v>7006</v>
      </c>
      <c r="D119" s="9" t="e">
        <f>VLOOKUP(C119,Project.csv!E:P,13,FALSE)</f>
        <v>#REF!</v>
      </c>
      <c r="E119" s="8" t="e">
        <f t="shared" si="8"/>
        <v>#REF!</v>
      </c>
      <c r="F119" s="9" t="s">
        <v>7118</v>
      </c>
      <c r="G119" s="9">
        <f ca="1">INDEX(EquipmentTypes.csv!C:C,RANDBETWEEN(2,COUNTA(EquipmentTypes.csv!B:B)),1)</f>
        <v>200083</v>
      </c>
      <c r="H119" s="8" t="str">
        <f t="shared" ca="1" si="9"/>
        <v>rg:{ 'id': '200083'}</v>
      </c>
      <c r="I119" s="8">
        <f t="shared" ca="1" si="10"/>
        <v>1</v>
      </c>
      <c r="J119" s="8">
        <f t="shared" ca="1" si="11"/>
        <v>45</v>
      </c>
      <c r="K119" s="8" t="str">
        <f t="shared" ca="1" si="12"/>
        <v>2017-03-16</v>
      </c>
      <c r="L119" s="8" t="str">
        <f t="shared" ca="1" si="13"/>
        <v>2017-03-21</v>
      </c>
    </row>
    <row r="120" spans="1:12" x14ac:dyDescent="0.3">
      <c r="A120" s="8" t="s">
        <v>5675</v>
      </c>
      <c r="B120" s="8">
        <f t="shared" si="7"/>
        <v>600118</v>
      </c>
      <c r="C120" s="1" t="s">
        <v>7037</v>
      </c>
      <c r="D120" s="9" t="e">
        <f>VLOOKUP(C120,Project.csv!E:P,13,FALSE)</f>
        <v>#REF!</v>
      </c>
      <c r="E120" s="8" t="e">
        <f t="shared" si="8"/>
        <v>#REF!</v>
      </c>
      <c r="F120" s="9" t="s">
        <v>7118</v>
      </c>
      <c r="G120" s="9">
        <f ca="1">INDEX(EquipmentTypes.csv!C:C,RANDBETWEEN(2,COUNTA(EquipmentTypes.csv!B:B)),1)</f>
        <v>200072</v>
      </c>
      <c r="H120" s="8" t="str">
        <f t="shared" ca="1" si="9"/>
        <v>rg:{ 'id': '200072'}</v>
      </c>
      <c r="I120" s="8">
        <f t="shared" ca="1" si="10"/>
        <v>5</v>
      </c>
      <c r="J120" s="8">
        <f t="shared" ca="1" si="11"/>
        <v>57</v>
      </c>
      <c r="K120" s="8" t="str">
        <f t="shared" ca="1" si="12"/>
        <v>2017-04-04</v>
      </c>
      <c r="L120" s="8" t="str">
        <f t="shared" ca="1" si="13"/>
        <v>2017-05-09</v>
      </c>
    </row>
    <row r="121" spans="1:12" x14ac:dyDescent="0.3">
      <c r="A121" s="8" t="s">
        <v>5675</v>
      </c>
      <c r="B121" s="8">
        <f t="shared" si="7"/>
        <v>600119</v>
      </c>
      <c r="C121" s="1" t="s">
        <v>7038</v>
      </c>
      <c r="D121" s="9" t="e">
        <f>VLOOKUP(C121,Project.csv!E:P,13,FALSE)</f>
        <v>#REF!</v>
      </c>
      <c r="E121" s="8" t="e">
        <f t="shared" si="8"/>
        <v>#REF!</v>
      </c>
      <c r="F121" s="9" t="s">
        <v>7118</v>
      </c>
      <c r="G121" s="9">
        <f ca="1">INDEX(EquipmentTypes.csv!C:C,RANDBETWEEN(2,COUNTA(EquipmentTypes.csv!B:B)),1)</f>
        <v>200006</v>
      </c>
      <c r="H121" s="8" t="str">
        <f t="shared" ca="1" si="9"/>
        <v>rg:{ 'id': '200006'}</v>
      </c>
      <c r="I121" s="8">
        <f t="shared" ca="1" si="10"/>
        <v>1</v>
      </c>
      <c r="J121" s="8">
        <f t="shared" ca="1" si="11"/>
        <v>67</v>
      </c>
      <c r="K121" s="8" t="str">
        <f t="shared" ca="1" si="12"/>
        <v>2017-04-07</v>
      </c>
      <c r="L121" s="8" t="str">
        <f t="shared" ca="1" si="13"/>
        <v>2017-04-15</v>
      </c>
    </row>
    <row r="122" spans="1:12" x14ac:dyDescent="0.3">
      <c r="A122" s="8" t="s">
        <v>5675</v>
      </c>
      <c r="B122" s="8">
        <f t="shared" si="7"/>
        <v>600120</v>
      </c>
      <c r="C122" s="1" t="s">
        <v>6913</v>
      </c>
      <c r="D122" s="9" t="e">
        <f>VLOOKUP(C122,Project.csv!E:P,13,FALSE)</f>
        <v>#REF!</v>
      </c>
      <c r="E122" s="8" t="e">
        <f t="shared" si="8"/>
        <v>#REF!</v>
      </c>
      <c r="F122" s="9" t="s">
        <v>7118</v>
      </c>
      <c r="G122" s="9">
        <f ca="1">INDEX(EquipmentTypes.csv!C:C,RANDBETWEEN(2,COUNTA(EquipmentTypes.csv!B:B)),1)</f>
        <v>200083</v>
      </c>
      <c r="H122" s="8" t="str">
        <f t="shared" ca="1" si="9"/>
        <v>rg:{ 'id': '200083'}</v>
      </c>
      <c r="I122" s="8">
        <f t="shared" ca="1" si="10"/>
        <v>4</v>
      </c>
      <c r="J122" s="8">
        <f t="shared" ca="1" si="11"/>
        <v>44</v>
      </c>
      <c r="K122" s="8" t="str">
        <f t="shared" ca="1" si="12"/>
        <v>2017-04-27</v>
      </c>
      <c r="L122" s="8" t="str">
        <f t="shared" ca="1" si="13"/>
        <v>2017-05-19</v>
      </c>
    </row>
    <row r="123" spans="1:12" x14ac:dyDescent="0.3">
      <c r="A123" s="8" t="s">
        <v>5675</v>
      </c>
      <c r="B123" s="8">
        <f t="shared" si="7"/>
        <v>600121</v>
      </c>
      <c r="C123" s="1" t="s">
        <v>7039</v>
      </c>
      <c r="D123" s="9" t="e">
        <f>VLOOKUP(C123,Project.csv!E:P,13,FALSE)</f>
        <v>#REF!</v>
      </c>
      <c r="E123" s="8" t="e">
        <f t="shared" si="8"/>
        <v>#REF!</v>
      </c>
      <c r="F123" s="9" t="s">
        <v>7118</v>
      </c>
      <c r="G123" s="9">
        <f ca="1">INDEX(EquipmentTypes.csv!C:C,RANDBETWEEN(2,COUNTA(EquipmentTypes.csv!B:B)),1)</f>
        <v>200024</v>
      </c>
      <c r="H123" s="8" t="str">
        <f t="shared" ca="1" si="9"/>
        <v>rg:{ 'id': '200024'}</v>
      </c>
      <c r="I123" s="8">
        <f t="shared" ca="1" si="10"/>
        <v>1</v>
      </c>
      <c r="J123" s="8">
        <f t="shared" ca="1" si="11"/>
        <v>96</v>
      </c>
      <c r="K123" s="8" t="str">
        <f t="shared" ca="1" si="12"/>
        <v>2017-04-03</v>
      </c>
      <c r="L123" s="8" t="str">
        <f t="shared" ca="1" si="13"/>
        <v>2017-04-15</v>
      </c>
    </row>
    <row r="124" spans="1:12" x14ac:dyDescent="0.3">
      <c r="A124" s="8" t="s">
        <v>5675</v>
      </c>
      <c r="B124" s="8">
        <f t="shared" si="7"/>
        <v>600122</v>
      </c>
      <c r="C124" s="1" t="s">
        <v>7040</v>
      </c>
      <c r="D124" s="9" t="e">
        <f>VLOOKUP(C124,Project.csv!E:P,13,FALSE)</f>
        <v>#REF!</v>
      </c>
      <c r="E124" s="8" t="e">
        <f t="shared" si="8"/>
        <v>#REF!</v>
      </c>
      <c r="F124" s="9" t="s">
        <v>7118</v>
      </c>
      <c r="G124" s="9">
        <f ca="1">INDEX(EquipmentTypes.csv!C:C,RANDBETWEEN(2,COUNTA(EquipmentTypes.csv!B:B)),1)</f>
        <v>200028</v>
      </c>
      <c r="H124" s="8" t="str">
        <f t="shared" ca="1" si="9"/>
        <v>rg:{ 'id': '200028'}</v>
      </c>
      <c r="I124" s="8">
        <f t="shared" ca="1" si="10"/>
        <v>1</v>
      </c>
      <c r="J124" s="8">
        <f t="shared" ca="1" si="11"/>
        <v>25</v>
      </c>
      <c r="K124" s="8" t="str">
        <f t="shared" ca="1" si="12"/>
        <v>2017-03-26</v>
      </c>
      <c r="L124" s="8" t="str">
        <f t="shared" ca="1" si="13"/>
        <v>2017-03-29</v>
      </c>
    </row>
    <row r="125" spans="1:12" x14ac:dyDescent="0.3">
      <c r="A125" s="8" t="s">
        <v>5675</v>
      </c>
      <c r="B125" s="8">
        <f t="shared" si="7"/>
        <v>600123</v>
      </c>
      <c r="C125" s="1" t="s">
        <v>6946</v>
      </c>
      <c r="D125" s="9" t="e">
        <f>VLOOKUP(C125,Project.csv!E:P,13,FALSE)</f>
        <v>#REF!</v>
      </c>
      <c r="E125" s="8" t="e">
        <f t="shared" si="8"/>
        <v>#REF!</v>
      </c>
      <c r="F125" s="9" t="s">
        <v>7118</v>
      </c>
      <c r="G125" s="9">
        <f ca="1">INDEX(EquipmentTypes.csv!C:C,RANDBETWEEN(2,COUNTA(EquipmentTypes.csv!B:B)),1)</f>
        <v>200059</v>
      </c>
      <c r="H125" s="8" t="str">
        <f t="shared" ca="1" si="9"/>
        <v>rg:{ 'id': '200059'}</v>
      </c>
      <c r="I125" s="8">
        <f t="shared" ca="1" si="10"/>
        <v>1</v>
      </c>
      <c r="J125" s="8">
        <f t="shared" ca="1" si="11"/>
        <v>26</v>
      </c>
      <c r="K125" s="8" t="str">
        <f t="shared" ca="1" si="12"/>
        <v>2017-03-04</v>
      </c>
      <c r="L125" s="8" t="str">
        <f t="shared" ca="1" si="13"/>
        <v>2017-03-07</v>
      </c>
    </row>
    <row r="126" spans="1:12" x14ac:dyDescent="0.3">
      <c r="A126" s="8" t="s">
        <v>5675</v>
      </c>
      <c r="B126" s="8">
        <f t="shared" si="7"/>
        <v>600124</v>
      </c>
      <c r="C126" s="1" t="s">
        <v>7041</v>
      </c>
      <c r="D126" s="9" t="e">
        <f>VLOOKUP(C126,Project.csv!E:P,13,FALSE)</f>
        <v>#REF!</v>
      </c>
      <c r="E126" s="8" t="e">
        <f t="shared" si="8"/>
        <v>#REF!</v>
      </c>
      <c r="F126" s="9" t="s">
        <v>7119</v>
      </c>
      <c r="G126" s="9">
        <f ca="1">INDEX(EquipmentTypes.csv!C:C,RANDBETWEEN(2,COUNTA(EquipmentTypes.csv!B:B)),1)</f>
        <v>200012</v>
      </c>
      <c r="H126" s="8" t="str">
        <f t="shared" ca="1" si="9"/>
        <v>rg:{ 'id': '200012'}</v>
      </c>
      <c r="I126" s="8">
        <f t="shared" ca="1" si="10"/>
        <v>1</v>
      </c>
      <c r="J126" s="8">
        <f t="shared" ca="1" si="11"/>
        <v>93</v>
      </c>
      <c r="K126" s="8" t="str">
        <f t="shared" ca="1" si="12"/>
        <v>2017-04-08</v>
      </c>
      <c r="L126" s="8" t="str">
        <f t="shared" ca="1" si="13"/>
        <v>2017-04-19</v>
      </c>
    </row>
    <row r="127" spans="1:12" x14ac:dyDescent="0.3">
      <c r="A127" s="8" t="s">
        <v>5675</v>
      </c>
      <c r="B127" s="8">
        <f t="shared" si="7"/>
        <v>600125</v>
      </c>
      <c r="C127" s="1" t="s">
        <v>6906</v>
      </c>
      <c r="D127" s="9" t="e">
        <f>VLOOKUP(C127,Project.csv!E:P,13,FALSE)</f>
        <v>#REF!</v>
      </c>
      <c r="E127" s="8" t="e">
        <f t="shared" si="8"/>
        <v>#REF!</v>
      </c>
      <c r="F127" s="9" t="s">
        <v>7119</v>
      </c>
      <c r="G127" s="9">
        <f ca="1">INDEX(EquipmentTypes.csv!C:C,RANDBETWEEN(2,COUNTA(EquipmentTypes.csv!B:B)),1)</f>
        <v>200019</v>
      </c>
      <c r="H127" s="8" t="str">
        <f t="shared" ca="1" si="9"/>
        <v>rg:{ 'id': '200019'}</v>
      </c>
      <c r="I127" s="8">
        <f t="shared" ca="1" si="10"/>
        <v>2</v>
      </c>
      <c r="J127" s="8">
        <f t="shared" ca="1" si="11"/>
        <v>52</v>
      </c>
      <c r="K127" s="8" t="str">
        <f t="shared" ca="1" si="12"/>
        <v>2017-04-17</v>
      </c>
      <c r="L127" s="8" t="str">
        <f t="shared" ca="1" si="13"/>
        <v>2017-04-30</v>
      </c>
    </row>
    <row r="128" spans="1:12" x14ac:dyDescent="0.3">
      <c r="A128" s="8" t="s">
        <v>5675</v>
      </c>
      <c r="B128" s="8">
        <f t="shared" si="7"/>
        <v>600126</v>
      </c>
      <c r="C128" s="1" t="s">
        <v>7042</v>
      </c>
      <c r="D128" s="9" t="e">
        <f>VLOOKUP(C128,Project.csv!E:P,13,FALSE)</f>
        <v>#REF!</v>
      </c>
      <c r="E128" s="8" t="e">
        <f t="shared" si="8"/>
        <v>#REF!</v>
      </c>
      <c r="F128" s="9" t="s">
        <v>7119</v>
      </c>
      <c r="G128" s="9">
        <f ca="1">INDEX(EquipmentTypes.csv!C:C,RANDBETWEEN(2,COUNTA(EquipmentTypes.csv!B:B)),1)</f>
        <v>200072</v>
      </c>
      <c r="H128" s="8" t="str">
        <f t="shared" ca="1" si="9"/>
        <v>rg:{ 'id': '200072'}</v>
      </c>
      <c r="I128" s="8">
        <f t="shared" ca="1" si="10"/>
        <v>1</v>
      </c>
      <c r="J128" s="8">
        <f t="shared" ca="1" si="11"/>
        <v>100</v>
      </c>
      <c r="K128" s="8" t="str">
        <f t="shared" ca="1" si="12"/>
        <v>2017-03-14</v>
      </c>
      <c r="L128" s="8" t="str">
        <f t="shared" ca="1" si="13"/>
        <v>2017-03-26</v>
      </c>
    </row>
    <row r="129" spans="1:12" x14ac:dyDescent="0.3">
      <c r="A129" s="8" t="s">
        <v>5675</v>
      </c>
      <c r="B129" s="8">
        <f t="shared" si="7"/>
        <v>600127</v>
      </c>
      <c r="C129" s="1" t="s">
        <v>6920</v>
      </c>
      <c r="D129" s="9" t="e">
        <f>VLOOKUP(C129,Project.csv!E:P,13,FALSE)</f>
        <v>#REF!</v>
      </c>
      <c r="E129" s="8" t="e">
        <f t="shared" si="8"/>
        <v>#REF!</v>
      </c>
      <c r="F129" s="9" t="s">
        <v>7118</v>
      </c>
      <c r="G129" s="9">
        <f ca="1">INDEX(EquipmentTypes.csv!C:C,RANDBETWEEN(2,COUNTA(EquipmentTypes.csv!B:B)),1)</f>
        <v>200005</v>
      </c>
      <c r="H129" s="8" t="str">
        <f t="shared" ca="1" si="9"/>
        <v>rg:{ 'id': '200005'}</v>
      </c>
      <c r="I129" s="8">
        <f t="shared" ca="1" si="10"/>
        <v>1</v>
      </c>
      <c r="J129" s="8">
        <f t="shared" ca="1" si="11"/>
        <v>57</v>
      </c>
      <c r="K129" s="8" t="str">
        <f t="shared" ca="1" si="12"/>
        <v>2017-04-02</v>
      </c>
      <c r="L129" s="8" t="str">
        <f t="shared" ca="1" si="13"/>
        <v>2017-04-09</v>
      </c>
    </row>
    <row r="130" spans="1:12" x14ac:dyDescent="0.3">
      <c r="A130" s="8" t="s">
        <v>5675</v>
      </c>
      <c r="B130" s="8">
        <f t="shared" si="7"/>
        <v>600128</v>
      </c>
      <c r="C130" s="1" t="s">
        <v>7043</v>
      </c>
      <c r="D130" s="9" t="e">
        <f>VLOOKUP(C130,Project.csv!E:P,13,FALSE)</f>
        <v>#REF!</v>
      </c>
      <c r="E130" s="8" t="e">
        <f t="shared" si="8"/>
        <v>#REF!</v>
      </c>
      <c r="F130" s="9" t="s">
        <v>7118</v>
      </c>
      <c r="G130" s="9">
        <f ca="1">INDEX(EquipmentTypes.csv!C:C,RANDBETWEEN(2,COUNTA(EquipmentTypes.csv!B:B)),1)</f>
        <v>200085</v>
      </c>
      <c r="H130" s="8" t="str">
        <f t="shared" ca="1" si="9"/>
        <v>rg:{ 'id': '200085'}</v>
      </c>
      <c r="I130" s="8">
        <f t="shared" ca="1" si="10"/>
        <v>1</v>
      </c>
      <c r="J130" s="8">
        <f t="shared" ca="1" si="11"/>
        <v>7</v>
      </c>
      <c r="K130" s="8" t="str">
        <f t="shared" ca="1" si="12"/>
        <v>2017-03-27</v>
      </c>
      <c r="L130" s="8" t="str">
        <f t="shared" ca="1" si="13"/>
        <v>2017-03-27</v>
      </c>
    </row>
    <row r="131" spans="1:12" x14ac:dyDescent="0.3">
      <c r="A131" s="8" t="s">
        <v>5675</v>
      </c>
      <c r="B131" s="8">
        <f t="shared" ref="B131:B194" si="14">IF(ISNUMBER(B130),B130+1,600000)</f>
        <v>600129</v>
      </c>
      <c r="C131" s="1" t="s">
        <v>7044</v>
      </c>
      <c r="D131" s="9" t="e">
        <f>VLOOKUP(C131,Project.csv!E:P,13,FALSE)</f>
        <v>#REF!</v>
      </c>
      <c r="E131" s="8" t="e">
        <f t="shared" ref="E131:E194" si="15" xml:space="preserve"> "rg:{'id':'" &amp; D131 &amp; "'}"</f>
        <v>#REF!</v>
      </c>
      <c r="F131" s="9" t="s">
        <v>7118</v>
      </c>
      <c r="G131" s="9">
        <f ca="1">INDEX(EquipmentTypes.csv!C:C,RANDBETWEEN(2,COUNTA(EquipmentTypes.csv!B:B)),1)</f>
        <v>200005</v>
      </c>
      <c r="H131" s="8" t="str">
        <f t="shared" ref="H131:H194" ca="1" si="16">"rg:{ 'id': '"&amp;G131&amp;"'}"</f>
        <v>rg:{ 'id': '200005'}</v>
      </c>
      <c r="I131" s="8">
        <f t="shared" ref="I131:I194" ca="1" si="17">IF(RANDBETWEEN(1,5)&gt;1,1,RANDBETWEEN(2,5))</f>
        <v>4</v>
      </c>
      <c r="J131" s="8">
        <f t="shared" ref="J131:J194" ca="1" si="18">RANDBETWEEN(4,100)</f>
        <v>61</v>
      </c>
      <c r="K131" s="8" t="str">
        <f t="shared" ref="K131:K194" ca="1" si="19">TEXT(TODAY()+RANDBETWEEN(1,56),"YYYY-MM-DD")</f>
        <v>2017-04-27</v>
      </c>
      <c r="L131" s="8" t="str">
        <f t="shared" ref="L131:L194" ca="1" si="20">TEXT(K131+(I131*J131)/8,"YYYY-MM-DD")</f>
        <v>2017-05-27</v>
      </c>
    </row>
    <row r="132" spans="1:12" x14ac:dyDescent="0.3">
      <c r="A132" s="8" t="s">
        <v>5675</v>
      </c>
      <c r="B132" s="8">
        <f t="shared" si="14"/>
        <v>600130</v>
      </c>
      <c r="C132" s="1" t="s">
        <v>6921</v>
      </c>
      <c r="D132" s="9" t="e">
        <f>VLOOKUP(C132,Project.csv!E:P,13,FALSE)</f>
        <v>#REF!</v>
      </c>
      <c r="E132" s="8" t="e">
        <f t="shared" si="15"/>
        <v>#REF!</v>
      </c>
      <c r="F132" s="9" t="s">
        <v>7118</v>
      </c>
      <c r="G132" s="9">
        <f ca="1">INDEX(EquipmentTypes.csv!C:C,RANDBETWEEN(2,COUNTA(EquipmentTypes.csv!B:B)),1)</f>
        <v>200021</v>
      </c>
      <c r="H132" s="8" t="str">
        <f t="shared" ca="1" si="16"/>
        <v>rg:{ 'id': '200021'}</v>
      </c>
      <c r="I132" s="8">
        <f t="shared" ca="1" si="17"/>
        <v>1</v>
      </c>
      <c r="J132" s="8">
        <f t="shared" ca="1" si="18"/>
        <v>63</v>
      </c>
      <c r="K132" s="8" t="str">
        <f t="shared" ca="1" si="19"/>
        <v>2017-04-13</v>
      </c>
      <c r="L132" s="8" t="str">
        <f t="shared" ca="1" si="20"/>
        <v>2017-04-20</v>
      </c>
    </row>
    <row r="133" spans="1:12" x14ac:dyDescent="0.3">
      <c r="A133" s="8" t="s">
        <v>5675</v>
      </c>
      <c r="B133" s="8">
        <f t="shared" si="14"/>
        <v>600131</v>
      </c>
      <c r="C133" s="1" t="s">
        <v>6920</v>
      </c>
      <c r="D133" s="9" t="e">
        <f>VLOOKUP(C133,Project.csv!E:P,13,FALSE)</f>
        <v>#REF!</v>
      </c>
      <c r="E133" s="8" t="e">
        <f t="shared" si="15"/>
        <v>#REF!</v>
      </c>
      <c r="F133" s="9" t="s">
        <v>7118</v>
      </c>
      <c r="G133" s="9">
        <f ca="1">INDEX(EquipmentTypes.csv!C:C,RANDBETWEEN(2,COUNTA(EquipmentTypes.csv!B:B)),1)</f>
        <v>200018</v>
      </c>
      <c r="H133" s="8" t="str">
        <f t="shared" ca="1" si="16"/>
        <v>rg:{ 'id': '200018'}</v>
      </c>
      <c r="I133" s="8">
        <f t="shared" ca="1" si="17"/>
        <v>1</v>
      </c>
      <c r="J133" s="8">
        <f t="shared" ca="1" si="18"/>
        <v>68</v>
      </c>
      <c r="K133" s="8" t="str">
        <f t="shared" ca="1" si="19"/>
        <v>2017-04-03</v>
      </c>
      <c r="L133" s="8" t="str">
        <f t="shared" ca="1" si="20"/>
        <v>2017-04-11</v>
      </c>
    </row>
    <row r="134" spans="1:12" x14ac:dyDescent="0.3">
      <c r="A134" s="8" t="s">
        <v>5675</v>
      </c>
      <c r="B134" s="8">
        <f t="shared" si="14"/>
        <v>600132</v>
      </c>
      <c r="C134" s="1" t="s">
        <v>7045</v>
      </c>
      <c r="D134" s="9" t="e">
        <f>VLOOKUP(C134,Project.csv!E:P,13,FALSE)</f>
        <v>#REF!</v>
      </c>
      <c r="E134" s="8" t="e">
        <f t="shared" si="15"/>
        <v>#REF!</v>
      </c>
      <c r="F134" s="9" t="s">
        <v>7118</v>
      </c>
      <c r="G134" s="9">
        <f ca="1">INDEX(EquipmentTypes.csv!C:C,RANDBETWEEN(2,COUNTA(EquipmentTypes.csv!B:B)),1)</f>
        <v>200017</v>
      </c>
      <c r="H134" s="8" t="str">
        <f t="shared" ca="1" si="16"/>
        <v>rg:{ 'id': '200017'}</v>
      </c>
      <c r="I134" s="8">
        <f t="shared" ca="1" si="17"/>
        <v>1</v>
      </c>
      <c r="J134" s="8">
        <f t="shared" ca="1" si="18"/>
        <v>20</v>
      </c>
      <c r="K134" s="8" t="str">
        <f t="shared" ca="1" si="19"/>
        <v>2017-03-19</v>
      </c>
      <c r="L134" s="8" t="str">
        <f t="shared" ca="1" si="20"/>
        <v>2017-03-21</v>
      </c>
    </row>
    <row r="135" spans="1:12" x14ac:dyDescent="0.3">
      <c r="A135" s="8" t="s">
        <v>5675</v>
      </c>
      <c r="B135" s="8">
        <f t="shared" si="14"/>
        <v>600133</v>
      </c>
      <c r="C135" s="1" t="s">
        <v>7013</v>
      </c>
      <c r="D135" s="9" t="e">
        <f>VLOOKUP(C135,Project.csv!E:P,13,FALSE)</f>
        <v>#REF!</v>
      </c>
      <c r="E135" s="8" t="e">
        <f t="shared" si="15"/>
        <v>#REF!</v>
      </c>
      <c r="F135" s="9" t="s">
        <v>7118</v>
      </c>
      <c r="G135" s="9">
        <f ca="1">INDEX(EquipmentTypes.csv!C:C,RANDBETWEEN(2,COUNTA(EquipmentTypes.csv!B:B)),1)</f>
        <v>200029</v>
      </c>
      <c r="H135" s="8" t="str">
        <f t="shared" ca="1" si="16"/>
        <v>rg:{ 'id': '200029'}</v>
      </c>
      <c r="I135" s="8">
        <f t="shared" ca="1" si="17"/>
        <v>1</v>
      </c>
      <c r="J135" s="8">
        <f t="shared" ca="1" si="18"/>
        <v>19</v>
      </c>
      <c r="K135" s="8" t="str">
        <f t="shared" ca="1" si="19"/>
        <v>2017-03-31</v>
      </c>
      <c r="L135" s="8" t="str">
        <f t="shared" ca="1" si="20"/>
        <v>2017-04-02</v>
      </c>
    </row>
    <row r="136" spans="1:12" x14ac:dyDescent="0.3">
      <c r="A136" s="8" t="s">
        <v>5675</v>
      </c>
      <c r="B136" s="8">
        <f t="shared" si="14"/>
        <v>600134</v>
      </c>
      <c r="C136" s="1" t="s">
        <v>7046</v>
      </c>
      <c r="D136" s="9" t="e">
        <f>VLOOKUP(C136,Project.csv!E:P,13,FALSE)</f>
        <v>#REF!</v>
      </c>
      <c r="E136" s="8" t="e">
        <f t="shared" si="15"/>
        <v>#REF!</v>
      </c>
      <c r="F136" s="9" t="s">
        <v>7118</v>
      </c>
      <c r="G136" s="9">
        <f ca="1">INDEX(EquipmentTypes.csv!C:C,RANDBETWEEN(2,COUNTA(EquipmentTypes.csv!B:B)),1)</f>
        <v>200067</v>
      </c>
      <c r="H136" s="8" t="str">
        <f t="shared" ca="1" si="16"/>
        <v>rg:{ 'id': '200067'}</v>
      </c>
      <c r="I136" s="8">
        <f t="shared" ca="1" si="17"/>
        <v>5</v>
      </c>
      <c r="J136" s="8">
        <f t="shared" ca="1" si="18"/>
        <v>48</v>
      </c>
      <c r="K136" s="8" t="str">
        <f t="shared" ca="1" si="19"/>
        <v>2017-04-18</v>
      </c>
      <c r="L136" s="8" t="str">
        <f t="shared" ca="1" si="20"/>
        <v>2017-05-18</v>
      </c>
    </row>
    <row r="137" spans="1:12" x14ac:dyDescent="0.3">
      <c r="A137" s="8" t="s">
        <v>5675</v>
      </c>
      <c r="B137" s="8">
        <f t="shared" si="14"/>
        <v>600135</v>
      </c>
      <c r="C137" s="1" t="s">
        <v>6998</v>
      </c>
      <c r="D137" s="9" t="e">
        <f>VLOOKUP(C137,Project.csv!E:P,13,FALSE)</f>
        <v>#REF!</v>
      </c>
      <c r="E137" s="8" t="e">
        <f t="shared" si="15"/>
        <v>#REF!</v>
      </c>
      <c r="F137" s="9" t="s">
        <v>7118</v>
      </c>
      <c r="G137" s="9">
        <f ca="1">INDEX(EquipmentTypes.csv!C:C,RANDBETWEEN(2,COUNTA(EquipmentTypes.csv!B:B)),1)</f>
        <v>200029</v>
      </c>
      <c r="H137" s="8" t="str">
        <f t="shared" ca="1" si="16"/>
        <v>rg:{ 'id': '200029'}</v>
      </c>
      <c r="I137" s="8">
        <f t="shared" ca="1" si="17"/>
        <v>1</v>
      </c>
      <c r="J137" s="8">
        <f t="shared" ca="1" si="18"/>
        <v>93</v>
      </c>
      <c r="K137" s="8" t="str">
        <f t="shared" ca="1" si="19"/>
        <v>2017-03-14</v>
      </c>
      <c r="L137" s="8" t="str">
        <f t="shared" ca="1" si="20"/>
        <v>2017-03-25</v>
      </c>
    </row>
    <row r="138" spans="1:12" x14ac:dyDescent="0.3">
      <c r="A138" s="8" t="s">
        <v>5675</v>
      </c>
      <c r="B138" s="8">
        <f t="shared" si="14"/>
        <v>600136</v>
      </c>
      <c r="C138" s="1" t="s">
        <v>7047</v>
      </c>
      <c r="D138" s="9" t="e">
        <f>VLOOKUP(C138,Project.csv!E:P,13,FALSE)</f>
        <v>#REF!</v>
      </c>
      <c r="E138" s="8" t="e">
        <f t="shared" si="15"/>
        <v>#REF!</v>
      </c>
      <c r="F138" s="9" t="s">
        <v>7118</v>
      </c>
      <c r="G138" s="9">
        <f ca="1">INDEX(EquipmentTypes.csv!C:C,RANDBETWEEN(2,COUNTA(EquipmentTypes.csv!B:B)),1)</f>
        <v>200086</v>
      </c>
      <c r="H138" s="8" t="str">
        <f t="shared" ca="1" si="16"/>
        <v>rg:{ 'id': '200086'}</v>
      </c>
      <c r="I138" s="8">
        <f t="shared" ca="1" si="17"/>
        <v>1</v>
      </c>
      <c r="J138" s="8">
        <f t="shared" ca="1" si="18"/>
        <v>56</v>
      </c>
      <c r="K138" s="8" t="str">
        <f t="shared" ca="1" si="19"/>
        <v>2017-04-17</v>
      </c>
      <c r="L138" s="8" t="str">
        <f t="shared" ca="1" si="20"/>
        <v>2017-04-24</v>
      </c>
    </row>
    <row r="139" spans="1:12" x14ac:dyDescent="0.3">
      <c r="A139" s="8" t="s">
        <v>5675</v>
      </c>
      <c r="B139" s="8">
        <f t="shared" si="14"/>
        <v>600137</v>
      </c>
      <c r="C139" s="1" t="s">
        <v>6911</v>
      </c>
      <c r="D139" s="9" t="e">
        <f>VLOOKUP(C139,Project.csv!E:P,13,FALSE)</f>
        <v>#REF!</v>
      </c>
      <c r="E139" s="8" t="e">
        <f t="shared" si="15"/>
        <v>#REF!</v>
      </c>
      <c r="F139" s="9" t="s">
        <v>7118</v>
      </c>
      <c r="G139" s="9">
        <f ca="1">INDEX(EquipmentTypes.csv!C:C,RANDBETWEEN(2,COUNTA(EquipmentTypes.csv!B:B)),1)</f>
        <v>200018</v>
      </c>
      <c r="H139" s="8" t="str">
        <f t="shared" ca="1" si="16"/>
        <v>rg:{ 'id': '200018'}</v>
      </c>
      <c r="I139" s="8">
        <f t="shared" ca="1" si="17"/>
        <v>5</v>
      </c>
      <c r="J139" s="8">
        <f t="shared" ca="1" si="18"/>
        <v>51</v>
      </c>
      <c r="K139" s="8" t="str">
        <f t="shared" ca="1" si="19"/>
        <v>2017-03-18</v>
      </c>
      <c r="L139" s="8" t="str">
        <f t="shared" ca="1" si="20"/>
        <v>2017-04-18</v>
      </c>
    </row>
    <row r="140" spans="1:12" x14ac:dyDescent="0.3">
      <c r="A140" s="8" t="s">
        <v>5675</v>
      </c>
      <c r="B140" s="8">
        <f t="shared" si="14"/>
        <v>600138</v>
      </c>
      <c r="C140" s="1" t="s">
        <v>7048</v>
      </c>
      <c r="D140" s="9" t="e">
        <f>VLOOKUP(C140,Project.csv!E:P,13,FALSE)</f>
        <v>#REF!</v>
      </c>
      <c r="E140" s="8" t="e">
        <f t="shared" si="15"/>
        <v>#REF!</v>
      </c>
      <c r="F140" s="9" t="s">
        <v>7118</v>
      </c>
      <c r="G140" s="9">
        <f ca="1">INDEX(EquipmentTypes.csv!C:C,RANDBETWEEN(2,COUNTA(EquipmentTypes.csv!B:B)),1)</f>
        <v>200036</v>
      </c>
      <c r="H140" s="8" t="str">
        <f t="shared" ca="1" si="16"/>
        <v>rg:{ 'id': '200036'}</v>
      </c>
      <c r="I140" s="8">
        <f t="shared" ca="1" si="17"/>
        <v>1</v>
      </c>
      <c r="J140" s="8">
        <f t="shared" ca="1" si="18"/>
        <v>96</v>
      </c>
      <c r="K140" s="8" t="str">
        <f t="shared" ca="1" si="19"/>
        <v>2017-03-15</v>
      </c>
      <c r="L140" s="8" t="str">
        <f t="shared" ca="1" si="20"/>
        <v>2017-03-27</v>
      </c>
    </row>
    <row r="141" spans="1:12" x14ac:dyDescent="0.3">
      <c r="A141" s="8" t="s">
        <v>5675</v>
      </c>
      <c r="B141" s="8">
        <f t="shared" si="14"/>
        <v>600139</v>
      </c>
      <c r="C141" s="1" t="s">
        <v>7049</v>
      </c>
      <c r="D141" s="9" t="e">
        <f>VLOOKUP(C141,Project.csv!E:P,13,FALSE)</f>
        <v>#REF!</v>
      </c>
      <c r="E141" s="8" t="e">
        <f t="shared" si="15"/>
        <v>#REF!</v>
      </c>
      <c r="F141" s="9" t="s">
        <v>7118</v>
      </c>
      <c r="G141" s="9">
        <f ca="1">INDEX(EquipmentTypes.csv!C:C,RANDBETWEEN(2,COUNTA(EquipmentTypes.csv!B:B)),1)</f>
        <v>200064</v>
      </c>
      <c r="H141" s="8" t="str">
        <f t="shared" ca="1" si="16"/>
        <v>rg:{ 'id': '200064'}</v>
      </c>
      <c r="I141" s="8">
        <f t="shared" ca="1" si="17"/>
        <v>4</v>
      </c>
      <c r="J141" s="8">
        <f t="shared" ca="1" si="18"/>
        <v>30</v>
      </c>
      <c r="K141" s="8" t="str">
        <f t="shared" ca="1" si="19"/>
        <v>2017-03-26</v>
      </c>
      <c r="L141" s="8" t="str">
        <f t="shared" ca="1" si="20"/>
        <v>2017-04-10</v>
      </c>
    </row>
    <row r="142" spans="1:12" x14ac:dyDescent="0.3">
      <c r="A142" s="8" t="s">
        <v>5675</v>
      </c>
      <c r="B142" s="8">
        <f t="shared" si="14"/>
        <v>600140</v>
      </c>
      <c r="C142" s="1" t="s">
        <v>7050</v>
      </c>
      <c r="D142" s="9" t="e">
        <f>VLOOKUP(C142,Project.csv!E:P,13,FALSE)</f>
        <v>#REF!</v>
      </c>
      <c r="E142" s="8" t="e">
        <f t="shared" si="15"/>
        <v>#REF!</v>
      </c>
      <c r="F142" s="9" t="s">
        <v>7118</v>
      </c>
      <c r="G142" s="9">
        <f ca="1">INDEX(EquipmentTypes.csv!C:C,RANDBETWEEN(2,COUNTA(EquipmentTypes.csv!B:B)),1)</f>
        <v>200028</v>
      </c>
      <c r="H142" s="8" t="str">
        <f t="shared" ca="1" si="16"/>
        <v>rg:{ 'id': '200028'}</v>
      </c>
      <c r="I142" s="8">
        <f t="shared" ca="1" si="17"/>
        <v>1</v>
      </c>
      <c r="J142" s="8">
        <f t="shared" ca="1" si="18"/>
        <v>39</v>
      </c>
      <c r="K142" s="8" t="str">
        <f t="shared" ca="1" si="19"/>
        <v>2017-04-13</v>
      </c>
      <c r="L142" s="8" t="str">
        <f t="shared" ca="1" si="20"/>
        <v>2017-04-17</v>
      </c>
    </row>
    <row r="143" spans="1:12" x14ac:dyDescent="0.3">
      <c r="A143" s="8" t="s">
        <v>5675</v>
      </c>
      <c r="B143" s="8">
        <f t="shared" si="14"/>
        <v>600141</v>
      </c>
      <c r="C143" s="1" t="s">
        <v>7035</v>
      </c>
      <c r="D143" s="9" t="e">
        <f>VLOOKUP(C143,Project.csv!E:P,13,FALSE)</f>
        <v>#REF!</v>
      </c>
      <c r="E143" s="8" t="e">
        <f t="shared" si="15"/>
        <v>#REF!</v>
      </c>
      <c r="F143" s="9" t="s">
        <v>7118</v>
      </c>
      <c r="G143" s="9">
        <f ca="1">INDEX(EquipmentTypes.csv!C:C,RANDBETWEEN(2,COUNTA(EquipmentTypes.csv!B:B)),1)</f>
        <v>200018</v>
      </c>
      <c r="H143" s="8" t="str">
        <f t="shared" ca="1" si="16"/>
        <v>rg:{ 'id': '200018'}</v>
      </c>
      <c r="I143" s="8">
        <f t="shared" ca="1" si="17"/>
        <v>1</v>
      </c>
      <c r="J143" s="8">
        <f t="shared" ca="1" si="18"/>
        <v>80</v>
      </c>
      <c r="K143" s="8" t="str">
        <f t="shared" ca="1" si="19"/>
        <v>2017-04-17</v>
      </c>
      <c r="L143" s="8" t="str">
        <f t="shared" ca="1" si="20"/>
        <v>2017-04-27</v>
      </c>
    </row>
    <row r="144" spans="1:12" x14ac:dyDescent="0.3">
      <c r="A144" s="8" t="s">
        <v>5675</v>
      </c>
      <c r="B144" s="8">
        <f t="shared" si="14"/>
        <v>600142</v>
      </c>
      <c r="C144" s="1" t="s">
        <v>6968</v>
      </c>
      <c r="D144" s="9" t="e">
        <f>VLOOKUP(C144,Project.csv!E:P,13,FALSE)</f>
        <v>#REF!</v>
      </c>
      <c r="E144" s="8" t="e">
        <f t="shared" si="15"/>
        <v>#REF!</v>
      </c>
      <c r="F144" s="9" t="s">
        <v>7119</v>
      </c>
      <c r="G144" s="9">
        <f ca="1">INDEX(EquipmentTypes.csv!C:C,RANDBETWEEN(2,COUNTA(EquipmentTypes.csv!B:B)),1)</f>
        <v>200082</v>
      </c>
      <c r="H144" s="8" t="str">
        <f t="shared" ca="1" si="16"/>
        <v>rg:{ 'id': '200082'}</v>
      </c>
      <c r="I144" s="8">
        <f t="shared" ca="1" si="17"/>
        <v>1</v>
      </c>
      <c r="J144" s="8">
        <f t="shared" ca="1" si="18"/>
        <v>61</v>
      </c>
      <c r="K144" s="8" t="str">
        <f t="shared" ca="1" si="19"/>
        <v>2017-04-16</v>
      </c>
      <c r="L144" s="8" t="str">
        <f t="shared" ca="1" si="20"/>
        <v>2017-04-23</v>
      </c>
    </row>
    <row r="145" spans="1:12" x14ac:dyDescent="0.3">
      <c r="A145" s="8" t="s">
        <v>5675</v>
      </c>
      <c r="B145" s="8">
        <f t="shared" si="14"/>
        <v>600143</v>
      </c>
      <c r="C145" s="1" t="s">
        <v>7051</v>
      </c>
      <c r="D145" s="9" t="e">
        <f>VLOOKUP(C145,Project.csv!E:P,13,FALSE)</f>
        <v>#REF!</v>
      </c>
      <c r="E145" s="8" t="e">
        <f t="shared" si="15"/>
        <v>#REF!</v>
      </c>
      <c r="F145" s="9" t="s">
        <v>7119</v>
      </c>
      <c r="G145" s="9">
        <f ca="1">INDEX(EquipmentTypes.csv!C:C,RANDBETWEEN(2,COUNTA(EquipmentTypes.csv!B:B)),1)</f>
        <v>200012</v>
      </c>
      <c r="H145" s="8" t="str">
        <f t="shared" ca="1" si="16"/>
        <v>rg:{ 'id': '200012'}</v>
      </c>
      <c r="I145" s="8">
        <f t="shared" ca="1" si="17"/>
        <v>1</v>
      </c>
      <c r="J145" s="8">
        <f t="shared" ca="1" si="18"/>
        <v>40</v>
      </c>
      <c r="K145" s="8" t="str">
        <f t="shared" ca="1" si="19"/>
        <v>2017-03-27</v>
      </c>
      <c r="L145" s="8" t="str">
        <f t="shared" ca="1" si="20"/>
        <v>2017-04-01</v>
      </c>
    </row>
    <row r="146" spans="1:12" x14ac:dyDescent="0.3">
      <c r="A146" s="8" t="s">
        <v>5675</v>
      </c>
      <c r="B146" s="8">
        <f t="shared" si="14"/>
        <v>600144</v>
      </c>
      <c r="C146" s="1" t="s">
        <v>7052</v>
      </c>
      <c r="D146" s="9" t="e">
        <f>VLOOKUP(C146,Project.csv!E:P,13,FALSE)</f>
        <v>#REF!</v>
      </c>
      <c r="E146" s="8" t="e">
        <f t="shared" si="15"/>
        <v>#REF!</v>
      </c>
      <c r="F146" s="9" t="s">
        <v>7119</v>
      </c>
      <c r="G146" s="9">
        <f ca="1">INDEX(EquipmentTypes.csv!C:C,RANDBETWEEN(2,COUNTA(EquipmentTypes.csv!B:B)),1)</f>
        <v>200043</v>
      </c>
      <c r="H146" s="8" t="str">
        <f t="shared" ca="1" si="16"/>
        <v>rg:{ 'id': '200043'}</v>
      </c>
      <c r="I146" s="8">
        <f t="shared" ca="1" si="17"/>
        <v>1</v>
      </c>
      <c r="J146" s="8">
        <f t="shared" ca="1" si="18"/>
        <v>65</v>
      </c>
      <c r="K146" s="8" t="str">
        <f t="shared" ca="1" si="19"/>
        <v>2017-04-11</v>
      </c>
      <c r="L146" s="8" t="str">
        <f t="shared" ca="1" si="20"/>
        <v>2017-04-19</v>
      </c>
    </row>
    <row r="147" spans="1:12" x14ac:dyDescent="0.3">
      <c r="A147" s="8" t="s">
        <v>5675</v>
      </c>
      <c r="B147" s="8">
        <f t="shared" si="14"/>
        <v>600145</v>
      </c>
      <c r="C147" s="1" t="s">
        <v>7053</v>
      </c>
      <c r="D147" s="9" t="e">
        <f>VLOOKUP(C147,Project.csv!E:P,13,FALSE)</f>
        <v>#REF!</v>
      </c>
      <c r="E147" s="8" t="e">
        <f t="shared" si="15"/>
        <v>#REF!</v>
      </c>
      <c r="F147" s="9" t="s">
        <v>7119</v>
      </c>
      <c r="G147" s="9">
        <f ca="1">INDEX(EquipmentTypes.csv!C:C,RANDBETWEEN(2,COUNTA(EquipmentTypes.csv!B:B)),1)</f>
        <v>200051</v>
      </c>
      <c r="H147" s="8" t="str">
        <f t="shared" ca="1" si="16"/>
        <v>rg:{ 'id': '200051'}</v>
      </c>
      <c r="I147" s="8">
        <f t="shared" ca="1" si="17"/>
        <v>5</v>
      </c>
      <c r="J147" s="8">
        <f t="shared" ca="1" si="18"/>
        <v>5</v>
      </c>
      <c r="K147" s="8" t="str">
        <f t="shared" ca="1" si="19"/>
        <v>2017-03-15</v>
      </c>
      <c r="L147" s="8" t="str">
        <f t="shared" ca="1" si="20"/>
        <v>2017-03-18</v>
      </c>
    </row>
    <row r="148" spans="1:12" x14ac:dyDescent="0.3">
      <c r="A148" s="8" t="s">
        <v>5675</v>
      </c>
      <c r="B148" s="8">
        <f t="shared" si="14"/>
        <v>600146</v>
      </c>
      <c r="C148" s="1" t="s">
        <v>6910</v>
      </c>
      <c r="D148" s="9" t="e">
        <f>VLOOKUP(C148,Project.csv!E:P,13,FALSE)</f>
        <v>#REF!</v>
      </c>
      <c r="E148" s="8" t="e">
        <f t="shared" si="15"/>
        <v>#REF!</v>
      </c>
      <c r="F148" s="9" t="s">
        <v>7118</v>
      </c>
      <c r="G148" s="9">
        <f ca="1">INDEX(EquipmentTypes.csv!C:C,RANDBETWEEN(2,COUNTA(EquipmentTypes.csv!B:B)),1)</f>
        <v>200084</v>
      </c>
      <c r="H148" s="8" t="str">
        <f t="shared" ca="1" si="16"/>
        <v>rg:{ 'id': '200084'}</v>
      </c>
      <c r="I148" s="8">
        <f t="shared" ca="1" si="17"/>
        <v>1</v>
      </c>
      <c r="J148" s="8">
        <f t="shared" ca="1" si="18"/>
        <v>8</v>
      </c>
      <c r="K148" s="8" t="str">
        <f t="shared" ca="1" si="19"/>
        <v>2017-03-11</v>
      </c>
      <c r="L148" s="8" t="str">
        <f t="shared" ca="1" si="20"/>
        <v>2017-03-12</v>
      </c>
    </row>
    <row r="149" spans="1:12" x14ac:dyDescent="0.3">
      <c r="A149" s="8" t="s">
        <v>5675</v>
      </c>
      <c r="B149" s="8">
        <f t="shared" si="14"/>
        <v>600147</v>
      </c>
      <c r="C149" s="1" t="s">
        <v>7054</v>
      </c>
      <c r="D149" s="9" t="e">
        <f>VLOOKUP(C149,Project.csv!E:P,13,FALSE)</f>
        <v>#REF!</v>
      </c>
      <c r="E149" s="8" t="e">
        <f t="shared" si="15"/>
        <v>#REF!</v>
      </c>
      <c r="F149" s="9" t="s">
        <v>7119</v>
      </c>
      <c r="G149" s="9">
        <f ca="1">INDEX(EquipmentTypes.csv!C:C,RANDBETWEEN(2,COUNTA(EquipmentTypes.csv!B:B)),1)</f>
        <v>200051</v>
      </c>
      <c r="H149" s="8" t="str">
        <f t="shared" ca="1" si="16"/>
        <v>rg:{ 'id': '200051'}</v>
      </c>
      <c r="I149" s="8">
        <f t="shared" ca="1" si="17"/>
        <v>3</v>
      </c>
      <c r="J149" s="8">
        <f t="shared" ca="1" si="18"/>
        <v>13</v>
      </c>
      <c r="K149" s="8" t="str">
        <f t="shared" ca="1" si="19"/>
        <v>2017-03-20</v>
      </c>
      <c r="L149" s="8" t="str">
        <f t="shared" ca="1" si="20"/>
        <v>2017-03-24</v>
      </c>
    </row>
    <row r="150" spans="1:12" x14ac:dyDescent="0.3">
      <c r="A150" s="8" t="s">
        <v>5675</v>
      </c>
      <c r="B150" s="8">
        <f t="shared" si="14"/>
        <v>600148</v>
      </c>
      <c r="C150" s="1" t="s">
        <v>6991</v>
      </c>
      <c r="D150" s="9" t="e">
        <f>VLOOKUP(C150,Project.csv!E:P,13,FALSE)</f>
        <v>#REF!</v>
      </c>
      <c r="E150" s="8" t="e">
        <f t="shared" si="15"/>
        <v>#REF!</v>
      </c>
      <c r="F150" s="9" t="s">
        <v>7119</v>
      </c>
      <c r="G150" s="9">
        <f ca="1">INDEX(EquipmentTypes.csv!C:C,RANDBETWEEN(2,COUNTA(EquipmentTypes.csv!B:B)),1)</f>
        <v>200072</v>
      </c>
      <c r="H150" s="8" t="str">
        <f t="shared" ca="1" si="16"/>
        <v>rg:{ 'id': '200072'}</v>
      </c>
      <c r="I150" s="8">
        <f t="shared" ca="1" si="17"/>
        <v>1</v>
      </c>
      <c r="J150" s="8">
        <f t="shared" ca="1" si="18"/>
        <v>70</v>
      </c>
      <c r="K150" s="8" t="str">
        <f t="shared" ca="1" si="19"/>
        <v>2017-03-25</v>
      </c>
      <c r="L150" s="8" t="str">
        <f t="shared" ca="1" si="20"/>
        <v>2017-04-02</v>
      </c>
    </row>
    <row r="151" spans="1:12" x14ac:dyDescent="0.3">
      <c r="A151" s="8" t="s">
        <v>5675</v>
      </c>
      <c r="B151" s="8">
        <f t="shared" si="14"/>
        <v>600149</v>
      </c>
      <c r="C151" s="1" t="s">
        <v>7055</v>
      </c>
      <c r="D151" s="9" t="e">
        <f>VLOOKUP(C151,Project.csv!E:P,13,FALSE)</f>
        <v>#REF!</v>
      </c>
      <c r="E151" s="8" t="e">
        <f t="shared" si="15"/>
        <v>#REF!</v>
      </c>
      <c r="F151" s="9" t="s">
        <v>7118</v>
      </c>
      <c r="G151" s="9">
        <f ca="1">INDEX(EquipmentTypes.csv!C:C,RANDBETWEEN(2,COUNTA(EquipmentTypes.csv!B:B)),1)</f>
        <v>200084</v>
      </c>
      <c r="H151" s="8" t="str">
        <f t="shared" ca="1" si="16"/>
        <v>rg:{ 'id': '200084'}</v>
      </c>
      <c r="I151" s="8">
        <f t="shared" ca="1" si="17"/>
        <v>1</v>
      </c>
      <c r="J151" s="8">
        <f t="shared" ca="1" si="18"/>
        <v>99</v>
      </c>
      <c r="K151" s="8" t="str">
        <f t="shared" ca="1" si="19"/>
        <v>2017-04-14</v>
      </c>
      <c r="L151" s="8" t="str">
        <f t="shared" ca="1" si="20"/>
        <v>2017-04-26</v>
      </c>
    </row>
    <row r="152" spans="1:12" x14ac:dyDescent="0.3">
      <c r="A152" s="8" t="s">
        <v>5675</v>
      </c>
      <c r="B152" s="8">
        <f t="shared" si="14"/>
        <v>600150</v>
      </c>
      <c r="C152" s="1" t="s">
        <v>6942</v>
      </c>
      <c r="D152" s="9" t="e">
        <f>VLOOKUP(C152,Project.csv!E:P,13,FALSE)</f>
        <v>#REF!</v>
      </c>
      <c r="E152" s="8" t="e">
        <f t="shared" si="15"/>
        <v>#REF!</v>
      </c>
      <c r="F152" s="9" t="s">
        <v>7118</v>
      </c>
      <c r="G152" s="9">
        <f ca="1">INDEX(EquipmentTypes.csv!C:C,RANDBETWEEN(2,COUNTA(EquipmentTypes.csv!B:B)),1)</f>
        <v>200051</v>
      </c>
      <c r="H152" s="8" t="str">
        <f t="shared" ca="1" si="16"/>
        <v>rg:{ 'id': '200051'}</v>
      </c>
      <c r="I152" s="8">
        <f t="shared" ca="1" si="17"/>
        <v>1</v>
      </c>
      <c r="J152" s="8">
        <f t="shared" ca="1" si="18"/>
        <v>94</v>
      </c>
      <c r="K152" s="8" t="str">
        <f t="shared" ca="1" si="19"/>
        <v>2017-04-13</v>
      </c>
      <c r="L152" s="8" t="str">
        <f t="shared" ca="1" si="20"/>
        <v>2017-04-24</v>
      </c>
    </row>
    <row r="153" spans="1:12" x14ac:dyDescent="0.3">
      <c r="A153" s="8" t="s">
        <v>5675</v>
      </c>
      <c r="B153" s="8">
        <f t="shared" si="14"/>
        <v>600151</v>
      </c>
      <c r="C153" s="1" t="s">
        <v>7056</v>
      </c>
      <c r="D153" s="9" t="e">
        <f>VLOOKUP(C153,Project.csv!E:P,13,FALSE)</f>
        <v>#REF!</v>
      </c>
      <c r="E153" s="8" t="e">
        <f t="shared" si="15"/>
        <v>#REF!</v>
      </c>
      <c r="F153" s="9" t="s">
        <v>7118</v>
      </c>
      <c r="G153" s="9">
        <f ca="1">INDEX(EquipmentTypes.csv!C:C,RANDBETWEEN(2,COUNTA(EquipmentTypes.csv!B:B)),1)</f>
        <v>200082</v>
      </c>
      <c r="H153" s="8" t="str">
        <f t="shared" ca="1" si="16"/>
        <v>rg:{ 'id': '200082'}</v>
      </c>
      <c r="I153" s="8">
        <f t="shared" ca="1" si="17"/>
        <v>1</v>
      </c>
      <c r="J153" s="8">
        <f t="shared" ca="1" si="18"/>
        <v>91</v>
      </c>
      <c r="K153" s="8" t="str">
        <f t="shared" ca="1" si="19"/>
        <v>2017-03-23</v>
      </c>
      <c r="L153" s="8" t="str">
        <f t="shared" ca="1" si="20"/>
        <v>2017-04-03</v>
      </c>
    </row>
    <row r="154" spans="1:12" x14ac:dyDescent="0.3">
      <c r="A154" s="8" t="s">
        <v>5675</v>
      </c>
      <c r="B154" s="8">
        <f t="shared" si="14"/>
        <v>600152</v>
      </c>
      <c r="C154" s="1" t="s">
        <v>6928</v>
      </c>
      <c r="D154" s="9" t="e">
        <f>VLOOKUP(C154,Project.csv!E:P,13,FALSE)</f>
        <v>#REF!</v>
      </c>
      <c r="E154" s="8" t="e">
        <f t="shared" si="15"/>
        <v>#REF!</v>
      </c>
      <c r="F154" s="9" t="s">
        <v>7118</v>
      </c>
      <c r="G154" s="9">
        <f ca="1">INDEX(EquipmentTypes.csv!C:C,RANDBETWEEN(2,COUNTA(EquipmentTypes.csv!B:B)),1)</f>
        <v>200043</v>
      </c>
      <c r="H154" s="8" t="str">
        <f t="shared" ca="1" si="16"/>
        <v>rg:{ 'id': '200043'}</v>
      </c>
      <c r="I154" s="8">
        <f t="shared" ca="1" si="17"/>
        <v>1</v>
      </c>
      <c r="J154" s="8">
        <f t="shared" ca="1" si="18"/>
        <v>55</v>
      </c>
      <c r="K154" s="8" t="str">
        <f t="shared" ca="1" si="19"/>
        <v>2017-04-19</v>
      </c>
      <c r="L154" s="8" t="str">
        <f t="shared" ca="1" si="20"/>
        <v>2017-04-25</v>
      </c>
    </row>
    <row r="155" spans="1:12" x14ac:dyDescent="0.3">
      <c r="A155" s="8" t="s">
        <v>5675</v>
      </c>
      <c r="B155" s="8">
        <f t="shared" si="14"/>
        <v>600153</v>
      </c>
      <c r="C155" s="1" t="s">
        <v>7057</v>
      </c>
      <c r="D155" s="9" t="e">
        <f>VLOOKUP(C155,Project.csv!E:P,13,FALSE)</f>
        <v>#REF!</v>
      </c>
      <c r="E155" s="8" t="e">
        <f t="shared" si="15"/>
        <v>#REF!</v>
      </c>
      <c r="F155" s="9" t="s">
        <v>7118</v>
      </c>
      <c r="G155" s="9">
        <f ca="1">INDEX(EquipmentTypes.csv!C:C,RANDBETWEEN(2,COUNTA(EquipmentTypes.csv!B:B)),1)</f>
        <v>200072</v>
      </c>
      <c r="H155" s="8" t="str">
        <f t="shared" ca="1" si="16"/>
        <v>rg:{ 'id': '200072'}</v>
      </c>
      <c r="I155" s="8">
        <f t="shared" ca="1" si="17"/>
        <v>1</v>
      </c>
      <c r="J155" s="8">
        <f t="shared" ca="1" si="18"/>
        <v>67</v>
      </c>
      <c r="K155" s="8" t="str">
        <f t="shared" ca="1" si="19"/>
        <v>2017-03-08</v>
      </c>
      <c r="L155" s="8" t="str">
        <f t="shared" ca="1" si="20"/>
        <v>2017-03-16</v>
      </c>
    </row>
    <row r="156" spans="1:12" x14ac:dyDescent="0.3">
      <c r="A156" s="8" t="s">
        <v>5675</v>
      </c>
      <c r="B156" s="8">
        <f t="shared" si="14"/>
        <v>600154</v>
      </c>
      <c r="C156" s="1" t="s">
        <v>6957</v>
      </c>
      <c r="D156" s="9" t="e">
        <f>VLOOKUP(C156,Project.csv!E:P,13,FALSE)</f>
        <v>#REF!</v>
      </c>
      <c r="E156" s="8" t="e">
        <f t="shared" si="15"/>
        <v>#REF!</v>
      </c>
      <c r="F156" s="9" t="s">
        <v>7118</v>
      </c>
      <c r="G156" s="9">
        <f ca="1">INDEX(EquipmentTypes.csv!C:C,RANDBETWEEN(2,COUNTA(EquipmentTypes.csv!B:B)),1)</f>
        <v>200043</v>
      </c>
      <c r="H156" s="8" t="str">
        <f t="shared" ca="1" si="16"/>
        <v>rg:{ 'id': '200043'}</v>
      </c>
      <c r="I156" s="8">
        <f t="shared" ca="1" si="17"/>
        <v>1</v>
      </c>
      <c r="J156" s="8">
        <f t="shared" ca="1" si="18"/>
        <v>5</v>
      </c>
      <c r="K156" s="8" t="str">
        <f t="shared" ca="1" si="19"/>
        <v>2017-03-14</v>
      </c>
      <c r="L156" s="8" t="str">
        <f t="shared" ca="1" si="20"/>
        <v>2017-03-14</v>
      </c>
    </row>
    <row r="157" spans="1:12" x14ac:dyDescent="0.3">
      <c r="A157" s="8" t="s">
        <v>5675</v>
      </c>
      <c r="B157" s="8">
        <f t="shared" si="14"/>
        <v>600155</v>
      </c>
      <c r="C157" s="1" t="s">
        <v>7058</v>
      </c>
      <c r="D157" s="9" t="e">
        <f>VLOOKUP(C157,Project.csv!E:P,13,FALSE)</f>
        <v>#REF!</v>
      </c>
      <c r="E157" s="8" t="e">
        <f t="shared" si="15"/>
        <v>#REF!</v>
      </c>
      <c r="F157" s="9" t="s">
        <v>7118</v>
      </c>
      <c r="G157" s="9">
        <f ca="1">INDEX(EquipmentTypes.csv!C:C,RANDBETWEEN(2,COUNTA(EquipmentTypes.csv!B:B)),1)</f>
        <v>200043</v>
      </c>
      <c r="H157" s="8" t="str">
        <f t="shared" ca="1" si="16"/>
        <v>rg:{ 'id': '200043'}</v>
      </c>
      <c r="I157" s="8">
        <f t="shared" ca="1" si="17"/>
        <v>1</v>
      </c>
      <c r="J157" s="8">
        <f t="shared" ca="1" si="18"/>
        <v>39</v>
      </c>
      <c r="K157" s="8" t="str">
        <f t="shared" ca="1" si="19"/>
        <v>2017-04-08</v>
      </c>
      <c r="L157" s="8" t="str">
        <f t="shared" ca="1" si="20"/>
        <v>2017-04-12</v>
      </c>
    </row>
    <row r="158" spans="1:12" x14ac:dyDescent="0.3">
      <c r="A158" s="8" t="s">
        <v>5675</v>
      </c>
      <c r="B158" s="8">
        <f t="shared" si="14"/>
        <v>600156</v>
      </c>
      <c r="C158" s="1" t="s">
        <v>7059</v>
      </c>
      <c r="D158" s="9" t="e">
        <f>VLOOKUP(C158,Project.csv!E:P,13,FALSE)</f>
        <v>#REF!</v>
      </c>
      <c r="E158" s="8" t="e">
        <f t="shared" si="15"/>
        <v>#REF!</v>
      </c>
      <c r="F158" s="9" t="s">
        <v>7118</v>
      </c>
      <c r="G158" s="9">
        <f ca="1">INDEX(EquipmentTypes.csv!C:C,RANDBETWEEN(2,COUNTA(EquipmentTypes.csv!B:B)),1)</f>
        <v>200036</v>
      </c>
      <c r="H158" s="8" t="str">
        <f t="shared" ca="1" si="16"/>
        <v>rg:{ 'id': '200036'}</v>
      </c>
      <c r="I158" s="8">
        <f t="shared" ca="1" si="17"/>
        <v>1</v>
      </c>
      <c r="J158" s="8">
        <f t="shared" ca="1" si="18"/>
        <v>89</v>
      </c>
      <c r="K158" s="8" t="str">
        <f t="shared" ca="1" si="19"/>
        <v>2017-04-09</v>
      </c>
      <c r="L158" s="8" t="str">
        <f t="shared" ca="1" si="20"/>
        <v>2017-04-20</v>
      </c>
    </row>
    <row r="159" spans="1:12" x14ac:dyDescent="0.3">
      <c r="A159" s="8" t="s">
        <v>5675</v>
      </c>
      <c r="B159" s="8">
        <f t="shared" si="14"/>
        <v>600157</v>
      </c>
      <c r="C159" s="1" t="s">
        <v>7060</v>
      </c>
      <c r="D159" s="9" t="e">
        <f>VLOOKUP(C159,Project.csv!E:P,13,FALSE)</f>
        <v>#REF!</v>
      </c>
      <c r="E159" s="8" t="e">
        <f t="shared" si="15"/>
        <v>#REF!</v>
      </c>
      <c r="F159" s="9" t="s">
        <v>7119</v>
      </c>
      <c r="G159" s="9">
        <f ca="1">INDEX(EquipmentTypes.csv!C:C,RANDBETWEEN(2,COUNTA(EquipmentTypes.csv!B:B)),1)</f>
        <v>200072</v>
      </c>
      <c r="H159" s="8" t="str">
        <f t="shared" ca="1" si="16"/>
        <v>rg:{ 'id': '200072'}</v>
      </c>
      <c r="I159" s="8">
        <f t="shared" ca="1" si="17"/>
        <v>1</v>
      </c>
      <c r="J159" s="8">
        <f t="shared" ca="1" si="18"/>
        <v>67</v>
      </c>
      <c r="K159" s="8" t="str">
        <f t="shared" ca="1" si="19"/>
        <v>2017-04-16</v>
      </c>
      <c r="L159" s="8" t="str">
        <f t="shared" ca="1" si="20"/>
        <v>2017-04-24</v>
      </c>
    </row>
    <row r="160" spans="1:12" x14ac:dyDescent="0.3">
      <c r="A160" s="8" t="s">
        <v>5675</v>
      </c>
      <c r="B160" s="8">
        <f t="shared" si="14"/>
        <v>600158</v>
      </c>
      <c r="C160" s="1" t="s">
        <v>7061</v>
      </c>
      <c r="D160" s="9" t="e">
        <f>VLOOKUP(C160,Project.csv!E:P,13,FALSE)</f>
        <v>#REF!</v>
      </c>
      <c r="E160" s="8" t="e">
        <f t="shared" si="15"/>
        <v>#REF!</v>
      </c>
      <c r="F160" s="9" t="s">
        <v>7118</v>
      </c>
      <c r="G160" s="9">
        <f ca="1">INDEX(EquipmentTypes.csv!C:C,RANDBETWEEN(2,COUNTA(EquipmentTypes.csv!B:B)),1)</f>
        <v>200048</v>
      </c>
      <c r="H160" s="8" t="str">
        <f t="shared" ca="1" si="16"/>
        <v>rg:{ 'id': '200048'}</v>
      </c>
      <c r="I160" s="8">
        <f t="shared" ca="1" si="17"/>
        <v>2</v>
      </c>
      <c r="J160" s="8">
        <f t="shared" ca="1" si="18"/>
        <v>32</v>
      </c>
      <c r="K160" s="8" t="str">
        <f t="shared" ca="1" si="19"/>
        <v>2017-03-13</v>
      </c>
      <c r="L160" s="8" t="str">
        <f t="shared" ca="1" si="20"/>
        <v>2017-03-21</v>
      </c>
    </row>
    <row r="161" spans="1:12" x14ac:dyDescent="0.3">
      <c r="A161" s="8" t="s">
        <v>5675</v>
      </c>
      <c r="B161" s="8">
        <f t="shared" si="14"/>
        <v>600159</v>
      </c>
      <c r="C161" s="1" t="s">
        <v>6970</v>
      </c>
      <c r="D161" s="9" t="e">
        <f>VLOOKUP(C161,Project.csv!E:P,13,FALSE)</f>
        <v>#REF!</v>
      </c>
      <c r="E161" s="8" t="e">
        <f t="shared" si="15"/>
        <v>#REF!</v>
      </c>
      <c r="F161" s="9" t="s">
        <v>7118</v>
      </c>
      <c r="G161" s="9">
        <f ca="1">INDEX(EquipmentTypes.csv!C:C,RANDBETWEEN(2,COUNTA(EquipmentTypes.csv!B:B)),1)</f>
        <v>200064</v>
      </c>
      <c r="H161" s="8" t="str">
        <f t="shared" ca="1" si="16"/>
        <v>rg:{ 'id': '200064'}</v>
      </c>
      <c r="I161" s="8">
        <f t="shared" ca="1" si="17"/>
        <v>1</v>
      </c>
      <c r="J161" s="8">
        <f t="shared" ca="1" si="18"/>
        <v>32</v>
      </c>
      <c r="K161" s="8" t="str">
        <f t="shared" ca="1" si="19"/>
        <v>2017-03-04</v>
      </c>
      <c r="L161" s="8" t="str">
        <f t="shared" ca="1" si="20"/>
        <v>2017-03-08</v>
      </c>
    </row>
    <row r="162" spans="1:12" x14ac:dyDescent="0.3">
      <c r="A162" s="8" t="s">
        <v>5675</v>
      </c>
      <c r="B162" s="8">
        <f t="shared" si="14"/>
        <v>600160</v>
      </c>
      <c r="C162" s="1" t="s">
        <v>6920</v>
      </c>
      <c r="D162" s="9" t="e">
        <f>VLOOKUP(C162,Project.csv!E:P,13,FALSE)</f>
        <v>#REF!</v>
      </c>
      <c r="E162" s="8" t="e">
        <f t="shared" si="15"/>
        <v>#REF!</v>
      </c>
      <c r="F162" s="9" t="s">
        <v>7118</v>
      </c>
      <c r="G162" s="9">
        <f ca="1">INDEX(EquipmentTypes.csv!C:C,RANDBETWEEN(2,COUNTA(EquipmentTypes.csv!B:B)),1)</f>
        <v>200072</v>
      </c>
      <c r="H162" s="8" t="str">
        <f t="shared" ca="1" si="16"/>
        <v>rg:{ 'id': '200072'}</v>
      </c>
      <c r="I162" s="8">
        <f t="shared" ca="1" si="17"/>
        <v>1</v>
      </c>
      <c r="J162" s="8">
        <f t="shared" ca="1" si="18"/>
        <v>88</v>
      </c>
      <c r="K162" s="8" t="str">
        <f t="shared" ca="1" si="19"/>
        <v>2017-03-23</v>
      </c>
      <c r="L162" s="8" t="str">
        <f t="shared" ca="1" si="20"/>
        <v>2017-04-03</v>
      </c>
    </row>
    <row r="163" spans="1:12" x14ac:dyDescent="0.3">
      <c r="A163" s="8" t="s">
        <v>5675</v>
      </c>
      <c r="B163" s="8">
        <f t="shared" si="14"/>
        <v>600161</v>
      </c>
      <c r="C163" s="1" t="s">
        <v>6955</v>
      </c>
      <c r="D163" s="9" t="e">
        <f>VLOOKUP(C163,Project.csv!E:P,13,FALSE)</f>
        <v>#REF!</v>
      </c>
      <c r="E163" s="8" t="e">
        <f t="shared" si="15"/>
        <v>#REF!</v>
      </c>
      <c r="F163" s="9" t="s">
        <v>7119</v>
      </c>
      <c r="G163" s="9">
        <f ca="1">INDEX(EquipmentTypes.csv!C:C,RANDBETWEEN(2,COUNTA(EquipmentTypes.csv!B:B)),1)</f>
        <v>200059</v>
      </c>
      <c r="H163" s="8" t="str">
        <f t="shared" ca="1" si="16"/>
        <v>rg:{ 'id': '200059'}</v>
      </c>
      <c r="I163" s="8">
        <f t="shared" ca="1" si="17"/>
        <v>1</v>
      </c>
      <c r="J163" s="8">
        <f t="shared" ca="1" si="18"/>
        <v>94</v>
      </c>
      <c r="K163" s="8" t="str">
        <f t="shared" ca="1" si="19"/>
        <v>2017-03-28</v>
      </c>
      <c r="L163" s="8" t="str">
        <f t="shared" ca="1" si="20"/>
        <v>2017-04-08</v>
      </c>
    </row>
    <row r="164" spans="1:12" x14ac:dyDescent="0.3">
      <c r="A164" s="8" t="s">
        <v>5675</v>
      </c>
      <c r="B164" s="8">
        <f t="shared" si="14"/>
        <v>600162</v>
      </c>
      <c r="C164" s="1" t="s">
        <v>7062</v>
      </c>
      <c r="D164" s="9" t="e">
        <f>VLOOKUP(C164,Project.csv!E:P,13,FALSE)</f>
        <v>#REF!</v>
      </c>
      <c r="E164" s="8" t="e">
        <f t="shared" si="15"/>
        <v>#REF!</v>
      </c>
      <c r="F164" s="9" t="s">
        <v>7118</v>
      </c>
      <c r="G164" s="9">
        <f ca="1">INDEX(EquipmentTypes.csv!C:C,RANDBETWEEN(2,COUNTA(EquipmentTypes.csv!B:B)),1)</f>
        <v>200043</v>
      </c>
      <c r="H164" s="8" t="str">
        <f t="shared" ca="1" si="16"/>
        <v>rg:{ 'id': '200043'}</v>
      </c>
      <c r="I164" s="8">
        <f t="shared" ca="1" si="17"/>
        <v>3</v>
      </c>
      <c r="J164" s="8">
        <f t="shared" ca="1" si="18"/>
        <v>16</v>
      </c>
      <c r="K164" s="8" t="str">
        <f t="shared" ca="1" si="19"/>
        <v>2017-04-11</v>
      </c>
      <c r="L164" s="8" t="str">
        <f t="shared" ca="1" si="20"/>
        <v>2017-04-17</v>
      </c>
    </row>
    <row r="165" spans="1:12" x14ac:dyDescent="0.3">
      <c r="A165" s="8" t="s">
        <v>5675</v>
      </c>
      <c r="B165" s="8">
        <f t="shared" si="14"/>
        <v>600163</v>
      </c>
      <c r="C165" s="1" t="s">
        <v>7063</v>
      </c>
      <c r="D165" s="9" t="e">
        <f>VLOOKUP(C165,Project.csv!E:P,13,FALSE)</f>
        <v>#REF!</v>
      </c>
      <c r="E165" s="8" t="e">
        <f t="shared" si="15"/>
        <v>#REF!</v>
      </c>
      <c r="F165" s="9" t="s">
        <v>7118</v>
      </c>
      <c r="G165" s="9">
        <f ca="1">INDEX(EquipmentTypes.csv!C:C,RANDBETWEEN(2,COUNTA(EquipmentTypes.csv!B:B)),1)</f>
        <v>200024</v>
      </c>
      <c r="H165" s="8" t="str">
        <f t="shared" ca="1" si="16"/>
        <v>rg:{ 'id': '200024'}</v>
      </c>
      <c r="I165" s="8">
        <f t="shared" ca="1" si="17"/>
        <v>1</v>
      </c>
      <c r="J165" s="8">
        <f t="shared" ca="1" si="18"/>
        <v>37</v>
      </c>
      <c r="K165" s="8" t="str">
        <f t="shared" ca="1" si="19"/>
        <v>2017-03-29</v>
      </c>
      <c r="L165" s="8" t="str">
        <f t="shared" ca="1" si="20"/>
        <v>2017-04-02</v>
      </c>
    </row>
    <row r="166" spans="1:12" x14ac:dyDescent="0.3">
      <c r="A166" s="8" t="s">
        <v>5675</v>
      </c>
      <c r="B166" s="8">
        <f t="shared" si="14"/>
        <v>600164</v>
      </c>
      <c r="C166" s="1" t="s">
        <v>6934</v>
      </c>
      <c r="D166" s="9" t="e">
        <f>VLOOKUP(C166,Project.csv!E:P,13,FALSE)</f>
        <v>#REF!</v>
      </c>
      <c r="E166" s="8" t="e">
        <f t="shared" si="15"/>
        <v>#REF!</v>
      </c>
      <c r="F166" s="9" t="s">
        <v>7119</v>
      </c>
      <c r="G166" s="9">
        <f ca="1">INDEX(EquipmentTypes.csv!C:C,RANDBETWEEN(2,COUNTA(EquipmentTypes.csv!B:B)),1)</f>
        <v>200029</v>
      </c>
      <c r="H166" s="8" t="str">
        <f t="shared" ca="1" si="16"/>
        <v>rg:{ 'id': '200029'}</v>
      </c>
      <c r="I166" s="8">
        <f t="shared" ca="1" si="17"/>
        <v>1</v>
      </c>
      <c r="J166" s="8">
        <f t="shared" ca="1" si="18"/>
        <v>29</v>
      </c>
      <c r="K166" s="8" t="str">
        <f t="shared" ca="1" si="19"/>
        <v>2017-03-14</v>
      </c>
      <c r="L166" s="8" t="str">
        <f t="shared" ca="1" si="20"/>
        <v>2017-03-17</v>
      </c>
    </row>
    <row r="167" spans="1:12" x14ac:dyDescent="0.3">
      <c r="A167" s="8" t="s">
        <v>5675</v>
      </c>
      <c r="B167" s="8">
        <f t="shared" si="14"/>
        <v>600165</v>
      </c>
      <c r="C167" s="1" t="s">
        <v>7045</v>
      </c>
      <c r="D167" s="9" t="e">
        <f>VLOOKUP(C167,Project.csv!E:P,13,FALSE)</f>
        <v>#REF!</v>
      </c>
      <c r="E167" s="8" t="e">
        <f t="shared" si="15"/>
        <v>#REF!</v>
      </c>
      <c r="F167" s="9" t="s">
        <v>7118</v>
      </c>
      <c r="G167" s="9">
        <f ca="1">INDEX(EquipmentTypes.csv!C:C,RANDBETWEEN(2,COUNTA(EquipmentTypes.csv!B:B)),1)</f>
        <v>200024</v>
      </c>
      <c r="H167" s="8" t="str">
        <f t="shared" ca="1" si="16"/>
        <v>rg:{ 'id': '200024'}</v>
      </c>
      <c r="I167" s="8">
        <f t="shared" ca="1" si="17"/>
        <v>1</v>
      </c>
      <c r="J167" s="8">
        <f t="shared" ca="1" si="18"/>
        <v>59</v>
      </c>
      <c r="K167" s="8" t="str">
        <f t="shared" ca="1" si="19"/>
        <v>2017-04-07</v>
      </c>
      <c r="L167" s="8" t="str">
        <f t="shared" ca="1" si="20"/>
        <v>2017-04-14</v>
      </c>
    </row>
    <row r="168" spans="1:12" x14ac:dyDescent="0.3">
      <c r="A168" s="8" t="s">
        <v>5675</v>
      </c>
      <c r="B168" s="8">
        <f t="shared" si="14"/>
        <v>600166</v>
      </c>
      <c r="C168" s="1" t="s">
        <v>7001</v>
      </c>
      <c r="D168" s="9" t="e">
        <f>VLOOKUP(C168,Project.csv!E:P,13,FALSE)</f>
        <v>#REF!</v>
      </c>
      <c r="E168" s="8" t="e">
        <f t="shared" si="15"/>
        <v>#REF!</v>
      </c>
      <c r="F168" s="9" t="s">
        <v>7118</v>
      </c>
      <c r="G168" s="9">
        <f ca="1">INDEX(EquipmentTypes.csv!C:C,RANDBETWEEN(2,COUNTA(EquipmentTypes.csv!B:B)),1)</f>
        <v>200084</v>
      </c>
      <c r="H168" s="8" t="str">
        <f t="shared" ca="1" si="16"/>
        <v>rg:{ 'id': '200084'}</v>
      </c>
      <c r="I168" s="8">
        <f t="shared" ca="1" si="17"/>
        <v>1</v>
      </c>
      <c r="J168" s="8">
        <f t="shared" ca="1" si="18"/>
        <v>42</v>
      </c>
      <c r="K168" s="8" t="str">
        <f t="shared" ca="1" si="19"/>
        <v>2017-04-19</v>
      </c>
      <c r="L168" s="8" t="str">
        <f t="shared" ca="1" si="20"/>
        <v>2017-04-24</v>
      </c>
    </row>
    <row r="169" spans="1:12" x14ac:dyDescent="0.3">
      <c r="A169" s="8" t="s">
        <v>5675</v>
      </c>
      <c r="B169" s="8">
        <f t="shared" si="14"/>
        <v>600167</v>
      </c>
      <c r="C169" s="1" t="s">
        <v>7064</v>
      </c>
      <c r="D169" s="9" t="e">
        <f>VLOOKUP(C169,Project.csv!E:P,13,FALSE)</f>
        <v>#REF!</v>
      </c>
      <c r="E169" s="8" t="e">
        <f t="shared" si="15"/>
        <v>#REF!</v>
      </c>
      <c r="F169" s="9" t="s">
        <v>7118</v>
      </c>
      <c r="G169" s="9">
        <f ca="1">INDEX(EquipmentTypes.csv!C:C,RANDBETWEEN(2,COUNTA(EquipmentTypes.csv!B:B)),1)</f>
        <v>200072</v>
      </c>
      <c r="H169" s="8" t="str">
        <f t="shared" ca="1" si="16"/>
        <v>rg:{ 'id': '200072'}</v>
      </c>
      <c r="I169" s="8">
        <f t="shared" ca="1" si="17"/>
        <v>3</v>
      </c>
      <c r="J169" s="8">
        <f t="shared" ca="1" si="18"/>
        <v>40</v>
      </c>
      <c r="K169" s="8" t="str">
        <f t="shared" ca="1" si="19"/>
        <v>2017-04-12</v>
      </c>
      <c r="L169" s="8" t="str">
        <f t="shared" ca="1" si="20"/>
        <v>2017-04-27</v>
      </c>
    </row>
    <row r="170" spans="1:12" x14ac:dyDescent="0.3">
      <c r="A170" s="8" t="s">
        <v>5675</v>
      </c>
      <c r="B170" s="8">
        <f t="shared" si="14"/>
        <v>600168</v>
      </c>
      <c r="C170" s="1" t="s">
        <v>7065</v>
      </c>
      <c r="D170" s="9" t="e">
        <f>VLOOKUP(C170,Project.csv!E:P,13,FALSE)</f>
        <v>#REF!</v>
      </c>
      <c r="E170" s="8" t="e">
        <f t="shared" si="15"/>
        <v>#REF!</v>
      </c>
      <c r="F170" s="9" t="s">
        <v>7119</v>
      </c>
      <c r="G170" s="9">
        <f ca="1">INDEX(EquipmentTypes.csv!C:C,RANDBETWEEN(2,COUNTA(EquipmentTypes.csv!B:B)),1)</f>
        <v>200028</v>
      </c>
      <c r="H170" s="8" t="str">
        <f t="shared" ca="1" si="16"/>
        <v>rg:{ 'id': '200028'}</v>
      </c>
      <c r="I170" s="8">
        <f t="shared" ca="1" si="17"/>
        <v>1</v>
      </c>
      <c r="J170" s="8">
        <f t="shared" ca="1" si="18"/>
        <v>18</v>
      </c>
      <c r="K170" s="8" t="str">
        <f t="shared" ca="1" si="19"/>
        <v>2017-03-09</v>
      </c>
      <c r="L170" s="8" t="str">
        <f t="shared" ca="1" si="20"/>
        <v>2017-03-11</v>
      </c>
    </row>
    <row r="171" spans="1:12" x14ac:dyDescent="0.3">
      <c r="A171" s="8" t="s">
        <v>5675</v>
      </c>
      <c r="B171" s="8">
        <f t="shared" si="14"/>
        <v>600169</v>
      </c>
      <c r="C171" s="1" t="s">
        <v>7024</v>
      </c>
      <c r="D171" s="9" t="e">
        <f>VLOOKUP(C171,Project.csv!E:P,13,FALSE)</f>
        <v>#REF!</v>
      </c>
      <c r="E171" s="8" t="e">
        <f t="shared" si="15"/>
        <v>#REF!</v>
      </c>
      <c r="F171" s="9" t="s">
        <v>7118</v>
      </c>
      <c r="G171" s="9">
        <f ca="1">INDEX(EquipmentTypes.csv!C:C,RANDBETWEEN(2,COUNTA(EquipmentTypes.csv!B:B)),1)</f>
        <v>200051</v>
      </c>
      <c r="H171" s="8" t="str">
        <f t="shared" ca="1" si="16"/>
        <v>rg:{ 'id': '200051'}</v>
      </c>
      <c r="I171" s="8">
        <f t="shared" ca="1" si="17"/>
        <v>1</v>
      </c>
      <c r="J171" s="8">
        <f t="shared" ca="1" si="18"/>
        <v>45</v>
      </c>
      <c r="K171" s="8" t="str">
        <f t="shared" ca="1" si="19"/>
        <v>2017-04-11</v>
      </c>
      <c r="L171" s="8" t="str">
        <f t="shared" ca="1" si="20"/>
        <v>2017-04-16</v>
      </c>
    </row>
    <row r="172" spans="1:12" x14ac:dyDescent="0.3">
      <c r="A172" s="8" t="s">
        <v>5675</v>
      </c>
      <c r="B172" s="8">
        <f t="shared" si="14"/>
        <v>600170</v>
      </c>
      <c r="C172" s="1" t="s">
        <v>7031</v>
      </c>
      <c r="D172" s="9" t="e">
        <f>VLOOKUP(C172,Project.csv!E:P,13,FALSE)</f>
        <v>#REF!</v>
      </c>
      <c r="E172" s="8" t="e">
        <f t="shared" si="15"/>
        <v>#REF!</v>
      </c>
      <c r="F172" s="9" t="s">
        <v>7118</v>
      </c>
      <c r="G172" s="9">
        <f ca="1">INDEX(EquipmentTypes.csv!C:C,RANDBETWEEN(2,COUNTA(EquipmentTypes.csv!B:B)),1)</f>
        <v>200043</v>
      </c>
      <c r="H172" s="8" t="str">
        <f t="shared" ca="1" si="16"/>
        <v>rg:{ 'id': '200043'}</v>
      </c>
      <c r="I172" s="8">
        <f t="shared" ca="1" si="17"/>
        <v>1</v>
      </c>
      <c r="J172" s="8">
        <f t="shared" ca="1" si="18"/>
        <v>76</v>
      </c>
      <c r="K172" s="8" t="str">
        <f t="shared" ca="1" si="19"/>
        <v>2017-03-30</v>
      </c>
      <c r="L172" s="8" t="str">
        <f t="shared" ca="1" si="20"/>
        <v>2017-04-08</v>
      </c>
    </row>
    <row r="173" spans="1:12" x14ac:dyDescent="0.3">
      <c r="A173" s="8" t="s">
        <v>5675</v>
      </c>
      <c r="B173" s="8">
        <f t="shared" si="14"/>
        <v>600171</v>
      </c>
      <c r="C173" s="1" t="s">
        <v>6952</v>
      </c>
      <c r="D173" s="9" t="e">
        <f>VLOOKUP(C173,Project.csv!E:P,13,FALSE)</f>
        <v>#REF!</v>
      </c>
      <c r="E173" s="8" t="e">
        <f t="shared" si="15"/>
        <v>#REF!</v>
      </c>
      <c r="F173" s="9" t="s">
        <v>7118</v>
      </c>
      <c r="G173" s="9">
        <f ca="1">INDEX(EquipmentTypes.csv!C:C,RANDBETWEEN(2,COUNTA(EquipmentTypes.csv!B:B)),1)</f>
        <v>200085</v>
      </c>
      <c r="H173" s="8" t="str">
        <f t="shared" ca="1" si="16"/>
        <v>rg:{ 'id': '200085'}</v>
      </c>
      <c r="I173" s="8">
        <f t="shared" ca="1" si="17"/>
        <v>1</v>
      </c>
      <c r="J173" s="8">
        <f t="shared" ca="1" si="18"/>
        <v>75</v>
      </c>
      <c r="K173" s="8" t="str">
        <f t="shared" ca="1" si="19"/>
        <v>2017-04-13</v>
      </c>
      <c r="L173" s="8" t="str">
        <f t="shared" ca="1" si="20"/>
        <v>2017-04-22</v>
      </c>
    </row>
    <row r="174" spans="1:12" x14ac:dyDescent="0.3">
      <c r="A174" s="8" t="s">
        <v>5675</v>
      </c>
      <c r="B174" s="8">
        <f t="shared" si="14"/>
        <v>600172</v>
      </c>
      <c r="C174" s="1" t="s">
        <v>6941</v>
      </c>
      <c r="D174" s="9" t="e">
        <f>VLOOKUP(C174,Project.csv!E:P,13,FALSE)</f>
        <v>#REF!</v>
      </c>
      <c r="E174" s="8" t="e">
        <f t="shared" si="15"/>
        <v>#REF!</v>
      </c>
      <c r="F174" s="9" t="s">
        <v>7118</v>
      </c>
      <c r="G174" s="9">
        <f ca="1">INDEX(EquipmentTypes.csv!C:C,RANDBETWEEN(2,COUNTA(EquipmentTypes.csv!B:B)),1)</f>
        <v>200018</v>
      </c>
      <c r="H174" s="8" t="str">
        <f t="shared" ca="1" si="16"/>
        <v>rg:{ 'id': '200018'}</v>
      </c>
      <c r="I174" s="8">
        <f t="shared" ca="1" si="17"/>
        <v>1</v>
      </c>
      <c r="J174" s="8">
        <f t="shared" ca="1" si="18"/>
        <v>40</v>
      </c>
      <c r="K174" s="8" t="str">
        <f t="shared" ca="1" si="19"/>
        <v>2017-03-04</v>
      </c>
      <c r="L174" s="8" t="str">
        <f t="shared" ca="1" si="20"/>
        <v>2017-03-09</v>
      </c>
    </row>
    <row r="175" spans="1:12" x14ac:dyDescent="0.3">
      <c r="A175" s="8" t="s">
        <v>5675</v>
      </c>
      <c r="B175" s="8">
        <f t="shared" si="14"/>
        <v>600173</v>
      </c>
      <c r="C175" s="1" t="s">
        <v>7066</v>
      </c>
      <c r="D175" s="9" t="e">
        <f>VLOOKUP(C175,Project.csv!E:P,13,FALSE)</f>
        <v>#REF!</v>
      </c>
      <c r="E175" s="8" t="e">
        <f t="shared" si="15"/>
        <v>#REF!</v>
      </c>
      <c r="F175" s="9" t="s">
        <v>7118</v>
      </c>
      <c r="G175" s="9">
        <f ca="1">INDEX(EquipmentTypes.csv!C:C,RANDBETWEEN(2,COUNTA(EquipmentTypes.csv!B:B)),1)</f>
        <v>200084</v>
      </c>
      <c r="H175" s="8" t="str">
        <f t="shared" ca="1" si="16"/>
        <v>rg:{ 'id': '200084'}</v>
      </c>
      <c r="I175" s="8">
        <f t="shared" ca="1" si="17"/>
        <v>1</v>
      </c>
      <c r="J175" s="8">
        <f t="shared" ca="1" si="18"/>
        <v>37</v>
      </c>
      <c r="K175" s="8" t="str">
        <f t="shared" ca="1" si="19"/>
        <v>2017-03-26</v>
      </c>
      <c r="L175" s="8" t="str">
        <f t="shared" ca="1" si="20"/>
        <v>2017-03-30</v>
      </c>
    </row>
    <row r="176" spans="1:12" x14ac:dyDescent="0.3">
      <c r="A176" s="8" t="s">
        <v>5675</v>
      </c>
      <c r="B176" s="8">
        <f t="shared" si="14"/>
        <v>600174</v>
      </c>
      <c r="C176" s="1" t="s">
        <v>7067</v>
      </c>
      <c r="D176" s="9" t="e">
        <f>VLOOKUP(C176,Project.csv!E:P,13,FALSE)</f>
        <v>#REF!</v>
      </c>
      <c r="E176" s="8" t="e">
        <f t="shared" si="15"/>
        <v>#REF!</v>
      </c>
      <c r="F176" s="9" t="s">
        <v>7118</v>
      </c>
      <c r="G176" s="9">
        <f ca="1">INDEX(EquipmentTypes.csv!C:C,RANDBETWEEN(2,COUNTA(EquipmentTypes.csv!B:B)),1)</f>
        <v>200043</v>
      </c>
      <c r="H176" s="8" t="str">
        <f t="shared" ca="1" si="16"/>
        <v>rg:{ 'id': '200043'}</v>
      </c>
      <c r="I176" s="8">
        <f t="shared" ca="1" si="17"/>
        <v>1</v>
      </c>
      <c r="J176" s="8">
        <f t="shared" ca="1" si="18"/>
        <v>61</v>
      </c>
      <c r="K176" s="8" t="str">
        <f t="shared" ca="1" si="19"/>
        <v>2017-03-25</v>
      </c>
      <c r="L176" s="8" t="str">
        <f t="shared" ca="1" si="20"/>
        <v>2017-04-01</v>
      </c>
    </row>
    <row r="177" spans="1:12" x14ac:dyDescent="0.3">
      <c r="A177" s="8" t="s">
        <v>5675</v>
      </c>
      <c r="B177" s="8">
        <f t="shared" si="14"/>
        <v>600175</v>
      </c>
      <c r="C177" s="1" t="s">
        <v>7068</v>
      </c>
      <c r="D177" s="9" t="e">
        <f>VLOOKUP(C177,Project.csv!E:P,13,FALSE)</f>
        <v>#REF!</v>
      </c>
      <c r="E177" s="8" t="e">
        <f t="shared" si="15"/>
        <v>#REF!</v>
      </c>
      <c r="F177" s="9" t="s">
        <v>7118</v>
      </c>
      <c r="G177" s="9">
        <f ca="1">INDEX(EquipmentTypes.csv!C:C,RANDBETWEEN(2,COUNTA(EquipmentTypes.csv!B:B)),1)</f>
        <v>200018</v>
      </c>
      <c r="H177" s="8" t="str">
        <f t="shared" ca="1" si="16"/>
        <v>rg:{ 'id': '200018'}</v>
      </c>
      <c r="I177" s="8">
        <f t="shared" ca="1" si="17"/>
        <v>1</v>
      </c>
      <c r="J177" s="8">
        <f t="shared" ca="1" si="18"/>
        <v>38</v>
      </c>
      <c r="K177" s="8" t="str">
        <f t="shared" ca="1" si="19"/>
        <v>2017-03-18</v>
      </c>
      <c r="L177" s="8" t="str">
        <f t="shared" ca="1" si="20"/>
        <v>2017-03-22</v>
      </c>
    </row>
    <row r="178" spans="1:12" x14ac:dyDescent="0.3">
      <c r="A178" s="8" t="s">
        <v>5675</v>
      </c>
      <c r="B178" s="8">
        <f t="shared" si="14"/>
        <v>600176</v>
      </c>
      <c r="C178" s="1" t="s">
        <v>6941</v>
      </c>
      <c r="D178" s="9" t="e">
        <f>VLOOKUP(C178,Project.csv!E:P,13,FALSE)</f>
        <v>#REF!</v>
      </c>
      <c r="E178" s="8" t="e">
        <f t="shared" si="15"/>
        <v>#REF!</v>
      </c>
      <c r="F178" s="9" t="s">
        <v>7118</v>
      </c>
      <c r="G178" s="9">
        <f ca="1">INDEX(EquipmentTypes.csv!C:C,RANDBETWEEN(2,COUNTA(EquipmentTypes.csv!B:B)),1)</f>
        <v>200012</v>
      </c>
      <c r="H178" s="8" t="str">
        <f t="shared" ca="1" si="16"/>
        <v>rg:{ 'id': '200012'}</v>
      </c>
      <c r="I178" s="8">
        <f t="shared" ca="1" si="17"/>
        <v>4</v>
      </c>
      <c r="J178" s="8">
        <f t="shared" ca="1" si="18"/>
        <v>97</v>
      </c>
      <c r="K178" s="8" t="str">
        <f t="shared" ca="1" si="19"/>
        <v>2017-04-23</v>
      </c>
      <c r="L178" s="8" t="str">
        <f t="shared" ca="1" si="20"/>
        <v>2017-06-10</v>
      </c>
    </row>
    <row r="179" spans="1:12" x14ac:dyDescent="0.3">
      <c r="A179" s="8" t="s">
        <v>5675</v>
      </c>
      <c r="B179" s="8">
        <f t="shared" si="14"/>
        <v>600177</v>
      </c>
      <c r="C179" s="1" t="s">
        <v>7069</v>
      </c>
      <c r="D179" s="9" t="e">
        <f>VLOOKUP(C179,Project.csv!E:P,13,FALSE)</f>
        <v>#REF!</v>
      </c>
      <c r="E179" s="8" t="e">
        <f t="shared" si="15"/>
        <v>#REF!</v>
      </c>
      <c r="F179" s="9" t="s">
        <v>7118</v>
      </c>
      <c r="G179" s="9">
        <f ca="1">INDEX(EquipmentTypes.csv!C:C,RANDBETWEEN(2,COUNTA(EquipmentTypes.csv!B:B)),1)</f>
        <v>200059</v>
      </c>
      <c r="H179" s="8" t="str">
        <f t="shared" ca="1" si="16"/>
        <v>rg:{ 'id': '200059'}</v>
      </c>
      <c r="I179" s="8">
        <f t="shared" ca="1" si="17"/>
        <v>3</v>
      </c>
      <c r="J179" s="8">
        <f t="shared" ca="1" si="18"/>
        <v>27</v>
      </c>
      <c r="K179" s="8" t="str">
        <f t="shared" ca="1" si="19"/>
        <v>2017-04-07</v>
      </c>
      <c r="L179" s="8" t="str">
        <f t="shared" ca="1" si="20"/>
        <v>2017-04-17</v>
      </c>
    </row>
    <row r="180" spans="1:12" x14ac:dyDescent="0.3">
      <c r="A180" s="8" t="s">
        <v>5675</v>
      </c>
      <c r="B180" s="8">
        <f t="shared" si="14"/>
        <v>600178</v>
      </c>
      <c r="C180" s="1" t="s">
        <v>6933</v>
      </c>
      <c r="D180" s="9" t="e">
        <f>VLOOKUP(C180,Project.csv!E:P,13,FALSE)</f>
        <v>#REF!</v>
      </c>
      <c r="E180" s="8" t="e">
        <f t="shared" si="15"/>
        <v>#REF!</v>
      </c>
      <c r="F180" s="9" t="s">
        <v>7118</v>
      </c>
      <c r="G180" s="9">
        <f ca="1">INDEX(EquipmentTypes.csv!C:C,RANDBETWEEN(2,COUNTA(EquipmentTypes.csv!B:B)),1)</f>
        <v>200072</v>
      </c>
      <c r="H180" s="8" t="str">
        <f t="shared" ca="1" si="16"/>
        <v>rg:{ 'id': '200072'}</v>
      </c>
      <c r="I180" s="8">
        <f t="shared" ca="1" si="17"/>
        <v>4</v>
      </c>
      <c r="J180" s="8">
        <f t="shared" ca="1" si="18"/>
        <v>89</v>
      </c>
      <c r="K180" s="8" t="str">
        <f t="shared" ca="1" si="19"/>
        <v>2017-04-08</v>
      </c>
      <c r="L180" s="8" t="str">
        <f t="shared" ca="1" si="20"/>
        <v>2017-05-22</v>
      </c>
    </row>
    <row r="181" spans="1:12" x14ac:dyDescent="0.3">
      <c r="A181" s="8" t="s">
        <v>5675</v>
      </c>
      <c r="B181" s="8">
        <f t="shared" si="14"/>
        <v>600179</v>
      </c>
      <c r="C181" s="1" t="s">
        <v>6944</v>
      </c>
      <c r="D181" s="9" t="e">
        <f>VLOOKUP(C181,Project.csv!E:P,13,FALSE)</f>
        <v>#REF!</v>
      </c>
      <c r="E181" s="8" t="e">
        <f t="shared" si="15"/>
        <v>#REF!</v>
      </c>
      <c r="F181" s="9" t="s">
        <v>7118</v>
      </c>
      <c r="G181" s="9">
        <f ca="1">INDEX(EquipmentTypes.csv!C:C,RANDBETWEEN(2,COUNTA(EquipmentTypes.csv!B:B)),1)</f>
        <v>200084</v>
      </c>
      <c r="H181" s="8" t="str">
        <f t="shared" ca="1" si="16"/>
        <v>rg:{ 'id': '200084'}</v>
      </c>
      <c r="I181" s="8">
        <f t="shared" ca="1" si="17"/>
        <v>3</v>
      </c>
      <c r="J181" s="8">
        <f t="shared" ca="1" si="18"/>
        <v>55</v>
      </c>
      <c r="K181" s="8" t="str">
        <f t="shared" ca="1" si="19"/>
        <v>2017-03-30</v>
      </c>
      <c r="L181" s="8" t="str">
        <f t="shared" ca="1" si="20"/>
        <v>2017-04-19</v>
      </c>
    </row>
    <row r="182" spans="1:12" x14ac:dyDescent="0.3">
      <c r="A182" s="8" t="s">
        <v>5675</v>
      </c>
      <c r="B182" s="8">
        <f t="shared" si="14"/>
        <v>600180</v>
      </c>
      <c r="C182" s="1" t="s">
        <v>7070</v>
      </c>
      <c r="D182" s="9" t="e">
        <f>VLOOKUP(C182,Project.csv!E:P,13,FALSE)</f>
        <v>#REF!</v>
      </c>
      <c r="E182" s="8" t="e">
        <f t="shared" si="15"/>
        <v>#REF!</v>
      </c>
      <c r="F182" s="9" t="s">
        <v>7118</v>
      </c>
      <c r="G182" s="9">
        <f ca="1">INDEX(EquipmentTypes.csv!C:C,RANDBETWEEN(2,COUNTA(EquipmentTypes.csv!B:B)),1)</f>
        <v>200051</v>
      </c>
      <c r="H182" s="8" t="str">
        <f t="shared" ca="1" si="16"/>
        <v>rg:{ 'id': '200051'}</v>
      </c>
      <c r="I182" s="8">
        <f t="shared" ca="1" si="17"/>
        <v>1</v>
      </c>
      <c r="J182" s="8">
        <f t="shared" ca="1" si="18"/>
        <v>21</v>
      </c>
      <c r="K182" s="8" t="str">
        <f t="shared" ca="1" si="19"/>
        <v>2017-03-09</v>
      </c>
      <c r="L182" s="8" t="str">
        <f t="shared" ca="1" si="20"/>
        <v>2017-03-11</v>
      </c>
    </row>
    <row r="183" spans="1:12" x14ac:dyDescent="0.3">
      <c r="A183" s="8" t="s">
        <v>5675</v>
      </c>
      <c r="B183" s="8">
        <f t="shared" si="14"/>
        <v>600181</v>
      </c>
      <c r="C183" s="1" t="s">
        <v>6999</v>
      </c>
      <c r="D183" s="9" t="e">
        <f>VLOOKUP(C183,Project.csv!E:P,13,FALSE)</f>
        <v>#REF!</v>
      </c>
      <c r="E183" s="8" t="e">
        <f t="shared" si="15"/>
        <v>#REF!</v>
      </c>
      <c r="F183" s="9" t="s">
        <v>7118</v>
      </c>
      <c r="G183" s="9">
        <f ca="1">INDEX(EquipmentTypes.csv!C:C,RANDBETWEEN(2,COUNTA(EquipmentTypes.csv!B:B)),1)</f>
        <v>200035</v>
      </c>
      <c r="H183" s="8" t="str">
        <f t="shared" ca="1" si="16"/>
        <v>rg:{ 'id': '200035'}</v>
      </c>
      <c r="I183" s="8">
        <f t="shared" ca="1" si="17"/>
        <v>4</v>
      </c>
      <c r="J183" s="8">
        <f t="shared" ca="1" si="18"/>
        <v>33</v>
      </c>
      <c r="K183" s="8" t="str">
        <f t="shared" ca="1" si="19"/>
        <v>2017-04-05</v>
      </c>
      <c r="L183" s="8" t="str">
        <f t="shared" ca="1" si="20"/>
        <v>2017-04-21</v>
      </c>
    </row>
    <row r="184" spans="1:12" x14ac:dyDescent="0.3">
      <c r="A184" s="8" t="s">
        <v>5675</v>
      </c>
      <c r="B184" s="8">
        <f t="shared" si="14"/>
        <v>600182</v>
      </c>
      <c r="C184" s="1" t="s">
        <v>6924</v>
      </c>
      <c r="D184" s="9" t="e">
        <f>VLOOKUP(C184,Project.csv!E:P,13,FALSE)</f>
        <v>#REF!</v>
      </c>
      <c r="E184" s="8" t="e">
        <f t="shared" si="15"/>
        <v>#REF!</v>
      </c>
      <c r="F184" s="9" t="s">
        <v>7118</v>
      </c>
      <c r="G184" s="9">
        <f ca="1">INDEX(EquipmentTypes.csv!C:C,RANDBETWEEN(2,COUNTA(EquipmentTypes.csv!B:B)),1)</f>
        <v>200083</v>
      </c>
      <c r="H184" s="8" t="str">
        <f t="shared" ca="1" si="16"/>
        <v>rg:{ 'id': '200083'}</v>
      </c>
      <c r="I184" s="8">
        <f t="shared" ca="1" si="17"/>
        <v>3</v>
      </c>
      <c r="J184" s="8">
        <f t="shared" ca="1" si="18"/>
        <v>14</v>
      </c>
      <c r="K184" s="8" t="str">
        <f t="shared" ca="1" si="19"/>
        <v>2017-04-28</v>
      </c>
      <c r="L184" s="8" t="str">
        <f t="shared" ca="1" si="20"/>
        <v>2017-05-03</v>
      </c>
    </row>
    <row r="185" spans="1:12" x14ac:dyDescent="0.3">
      <c r="A185" s="8" t="s">
        <v>5675</v>
      </c>
      <c r="B185" s="8">
        <f t="shared" si="14"/>
        <v>600183</v>
      </c>
      <c r="C185" s="1" t="s">
        <v>7071</v>
      </c>
      <c r="D185" s="9" t="e">
        <f>VLOOKUP(C185,Project.csv!E:P,13,FALSE)</f>
        <v>#REF!</v>
      </c>
      <c r="E185" s="8" t="e">
        <f t="shared" si="15"/>
        <v>#REF!</v>
      </c>
      <c r="F185" s="9" t="s">
        <v>7118</v>
      </c>
      <c r="G185" s="9">
        <f ca="1">INDEX(EquipmentTypes.csv!C:C,RANDBETWEEN(2,COUNTA(EquipmentTypes.csv!B:B)),1)</f>
        <v>200028</v>
      </c>
      <c r="H185" s="8" t="str">
        <f t="shared" ca="1" si="16"/>
        <v>rg:{ 'id': '200028'}</v>
      </c>
      <c r="I185" s="8">
        <f t="shared" ca="1" si="17"/>
        <v>3</v>
      </c>
      <c r="J185" s="8">
        <f t="shared" ca="1" si="18"/>
        <v>40</v>
      </c>
      <c r="K185" s="8" t="str">
        <f t="shared" ca="1" si="19"/>
        <v>2017-04-19</v>
      </c>
      <c r="L185" s="8" t="str">
        <f t="shared" ca="1" si="20"/>
        <v>2017-05-04</v>
      </c>
    </row>
    <row r="186" spans="1:12" x14ac:dyDescent="0.3">
      <c r="A186" s="8" t="s">
        <v>5675</v>
      </c>
      <c r="B186" s="8">
        <f t="shared" si="14"/>
        <v>600184</v>
      </c>
      <c r="C186" s="1" t="s">
        <v>7072</v>
      </c>
      <c r="D186" s="9" t="e">
        <f>VLOOKUP(C186,Project.csv!E:P,13,FALSE)</f>
        <v>#REF!</v>
      </c>
      <c r="E186" s="8" t="e">
        <f t="shared" si="15"/>
        <v>#REF!</v>
      </c>
      <c r="F186" s="9" t="s">
        <v>7118</v>
      </c>
      <c r="G186" s="9">
        <f ca="1">INDEX(EquipmentTypes.csv!C:C,RANDBETWEEN(2,COUNTA(EquipmentTypes.csv!B:B)),1)</f>
        <v>200025</v>
      </c>
      <c r="H186" s="8" t="str">
        <f t="shared" ca="1" si="16"/>
        <v>rg:{ 'id': '200025'}</v>
      </c>
      <c r="I186" s="8">
        <f t="shared" ca="1" si="17"/>
        <v>1</v>
      </c>
      <c r="J186" s="8">
        <f t="shared" ca="1" si="18"/>
        <v>58</v>
      </c>
      <c r="K186" s="8" t="str">
        <f t="shared" ca="1" si="19"/>
        <v>2017-04-08</v>
      </c>
      <c r="L186" s="8" t="str">
        <f t="shared" ca="1" si="20"/>
        <v>2017-04-15</v>
      </c>
    </row>
    <row r="187" spans="1:12" x14ac:dyDescent="0.3">
      <c r="A187" s="8" t="s">
        <v>5675</v>
      </c>
      <c r="B187" s="8">
        <f t="shared" si="14"/>
        <v>600185</v>
      </c>
      <c r="C187" s="1" t="s">
        <v>6990</v>
      </c>
      <c r="D187" s="9" t="e">
        <f>VLOOKUP(C187,Project.csv!E:P,13,FALSE)</f>
        <v>#REF!</v>
      </c>
      <c r="E187" s="8" t="e">
        <f t="shared" si="15"/>
        <v>#REF!</v>
      </c>
      <c r="F187" s="9" t="s">
        <v>7118</v>
      </c>
      <c r="G187" s="9">
        <f ca="1">INDEX(EquipmentTypes.csv!C:C,RANDBETWEEN(2,COUNTA(EquipmentTypes.csv!B:B)),1)</f>
        <v>200085</v>
      </c>
      <c r="H187" s="8" t="str">
        <f t="shared" ca="1" si="16"/>
        <v>rg:{ 'id': '200085'}</v>
      </c>
      <c r="I187" s="8">
        <f t="shared" ca="1" si="17"/>
        <v>1</v>
      </c>
      <c r="J187" s="8">
        <f t="shared" ca="1" si="18"/>
        <v>74</v>
      </c>
      <c r="K187" s="8" t="str">
        <f t="shared" ca="1" si="19"/>
        <v>2017-03-10</v>
      </c>
      <c r="L187" s="8" t="str">
        <f t="shared" ca="1" si="20"/>
        <v>2017-03-19</v>
      </c>
    </row>
    <row r="188" spans="1:12" x14ac:dyDescent="0.3">
      <c r="A188" s="8" t="s">
        <v>5675</v>
      </c>
      <c r="B188" s="8">
        <f t="shared" si="14"/>
        <v>600186</v>
      </c>
      <c r="C188" s="1" t="s">
        <v>7000</v>
      </c>
      <c r="D188" s="9" t="e">
        <f>VLOOKUP(C188,Project.csv!E:P,13,FALSE)</f>
        <v>#REF!</v>
      </c>
      <c r="E188" s="8" t="e">
        <f t="shared" si="15"/>
        <v>#REF!</v>
      </c>
      <c r="F188" s="9" t="s">
        <v>7118</v>
      </c>
      <c r="G188" s="9">
        <f ca="1">INDEX(EquipmentTypes.csv!C:C,RANDBETWEEN(2,COUNTA(EquipmentTypes.csv!B:B)),1)</f>
        <v>200084</v>
      </c>
      <c r="H188" s="8" t="str">
        <f t="shared" ca="1" si="16"/>
        <v>rg:{ 'id': '200084'}</v>
      </c>
      <c r="I188" s="8">
        <f t="shared" ca="1" si="17"/>
        <v>1</v>
      </c>
      <c r="J188" s="8">
        <f t="shared" ca="1" si="18"/>
        <v>56</v>
      </c>
      <c r="K188" s="8" t="str">
        <f t="shared" ca="1" si="19"/>
        <v>2017-04-03</v>
      </c>
      <c r="L188" s="8" t="str">
        <f t="shared" ca="1" si="20"/>
        <v>2017-04-10</v>
      </c>
    </row>
    <row r="189" spans="1:12" x14ac:dyDescent="0.3">
      <c r="A189" s="8" t="s">
        <v>5675</v>
      </c>
      <c r="B189" s="8">
        <f t="shared" si="14"/>
        <v>600187</v>
      </c>
      <c r="C189" s="1" t="s">
        <v>6966</v>
      </c>
      <c r="D189" s="9" t="e">
        <f>VLOOKUP(C189,Project.csv!E:P,13,FALSE)</f>
        <v>#REF!</v>
      </c>
      <c r="E189" s="8" t="e">
        <f t="shared" si="15"/>
        <v>#REF!</v>
      </c>
      <c r="F189" s="9" t="s">
        <v>7118</v>
      </c>
      <c r="G189" s="9">
        <f ca="1">INDEX(EquipmentTypes.csv!C:C,RANDBETWEEN(2,COUNTA(EquipmentTypes.csv!B:B)),1)</f>
        <v>200059</v>
      </c>
      <c r="H189" s="8" t="str">
        <f t="shared" ca="1" si="16"/>
        <v>rg:{ 'id': '200059'}</v>
      </c>
      <c r="I189" s="8">
        <f t="shared" ca="1" si="17"/>
        <v>1</v>
      </c>
      <c r="J189" s="8">
        <f t="shared" ca="1" si="18"/>
        <v>80</v>
      </c>
      <c r="K189" s="8" t="str">
        <f t="shared" ca="1" si="19"/>
        <v>2017-03-31</v>
      </c>
      <c r="L189" s="8" t="str">
        <f t="shared" ca="1" si="20"/>
        <v>2017-04-10</v>
      </c>
    </row>
    <row r="190" spans="1:12" x14ac:dyDescent="0.3">
      <c r="A190" s="8" t="s">
        <v>5675</v>
      </c>
      <c r="B190" s="8">
        <f t="shared" si="14"/>
        <v>600188</v>
      </c>
      <c r="C190" s="1" t="s">
        <v>6925</v>
      </c>
      <c r="D190" s="9" t="e">
        <f>VLOOKUP(C190,Project.csv!E:P,13,FALSE)</f>
        <v>#REF!</v>
      </c>
      <c r="E190" s="8" t="e">
        <f t="shared" si="15"/>
        <v>#REF!</v>
      </c>
      <c r="F190" s="9" t="s">
        <v>7118</v>
      </c>
      <c r="G190" s="9">
        <f ca="1">INDEX(EquipmentTypes.csv!C:C,RANDBETWEEN(2,COUNTA(EquipmentTypes.csv!B:B)),1)</f>
        <v>200006</v>
      </c>
      <c r="H190" s="8" t="str">
        <f t="shared" ca="1" si="16"/>
        <v>rg:{ 'id': '200006'}</v>
      </c>
      <c r="I190" s="8">
        <f t="shared" ca="1" si="17"/>
        <v>1</v>
      </c>
      <c r="J190" s="8">
        <f t="shared" ca="1" si="18"/>
        <v>68</v>
      </c>
      <c r="K190" s="8" t="str">
        <f t="shared" ca="1" si="19"/>
        <v>2017-04-06</v>
      </c>
      <c r="L190" s="8" t="str">
        <f t="shared" ca="1" si="20"/>
        <v>2017-04-14</v>
      </c>
    </row>
    <row r="191" spans="1:12" x14ac:dyDescent="0.3">
      <c r="A191" s="8" t="s">
        <v>5675</v>
      </c>
      <c r="B191" s="8">
        <f t="shared" si="14"/>
        <v>600189</v>
      </c>
      <c r="C191" s="1" t="s">
        <v>7047</v>
      </c>
      <c r="D191" s="9" t="e">
        <f>VLOOKUP(C191,Project.csv!E:P,13,FALSE)</f>
        <v>#REF!</v>
      </c>
      <c r="E191" s="8" t="e">
        <f t="shared" si="15"/>
        <v>#REF!</v>
      </c>
      <c r="F191" s="9" t="s">
        <v>7118</v>
      </c>
      <c r="G191" s="9">
        <f ca="1">INDEX(EquipmentTypes.csv!C:C,RANDBETWEEN(2,COUNTA(EquipmentTypes.csv!B:B)),1)</f>
        <v>200083</v>
      </c>
      <c r="H191" s="8" t="str">
        <f t="shared" ca="1" si="16"/>
        <v>rg:{ 'id': '200083'}</v>
      </c>
      <c r="I191" s="8">
        <f t="shared" ca="1" si="17"/>
        <v>1</v>
      </c>
      <c r="J191" s="8">
        <f t="shared" ca="1" si="18"/>
        <v>71</v>
      </c>
      <c r="K191" s="8" t="str">
        <f t="shared" ca="1" si="19"/>
        <v>2017-04-25</v>
      </c>
      <c r="L191" s="8" t="str">
        <f t="shared" ca="1" si="20"/>
        <v>2017-05-03</v>
      </c>
    </row>
    <row r="192" spans="1:12" x14ac:dyDescent="0.3">
      <c r="A192" s="8" t="s">
        <v>5675</v>
      </c>
      <c r="B192" s="8">
        <f t="shared" si="14"/>
        <v>600190</v>
      </c>
      <c r="C192" s="1" t="s">
        <v>6908</v>
      </c>
      <c r="D192" s="9" t="e">
        <f>VLOOKUP(C192,Project.csv!E:P,13,FALSE)</f>
        <v>#REF!</v>
      </c>
      <c r="E192" s="8" t="e">
        <f t="shared" si="15"/>
        <v>#REF!</v>
      </c>
      <c r="F192" s="9" t="s">
        <v>7118</v>
      </c>
      <c r="G192" s="9">
        <f ca="1">INDEX(EquipmentTypes.csv!C:C,RANDBETWEEN(2,COUNTA(EquipmentTypes.csv!B:B)),1)</f>
        <v>200072</v>
      </c>
      <c r="H192" s="8" t="str">
        <f t="shared" ca="1" si="16"/>
        <v>rg:{ 'id': '200072'}</v>
      </c>
      <c r="I192" s="8">
        <f t="shared" ca="1" si="17"/>
        <v>1</v>
      </c>
      <c r="J192" s="8">
        <f t="shared" ca="1" si="18"/>
        <v>63</v>
      </c>
      <c r="K192" s="8" t="str">
        <f t="shared" ca="1" si="19"/>
        <v>2017-04-09</v>
      </c>
      <c r="L192" s="8" t="str">
        <f t="shared" ca="1" si="20"/>
        <v>2017-04-16</v>
      </c>
    </row>
    <row r="193" spans="1:12" x14ac:dyDescent="0.3">
      <c r="A193" s="8" t="s">
        <v>5675</v>
      </c>
      <c r="B193" s="8">
        <f t="shared" si="14"/>
        <v>600191</v>
      </c>
      <c r="C193" s="1" t="s">
        <v>6945</v>
      </c>
      <c r="D193" s="9" t="e">
        <f>VLOOKUP(C193,Project.csv!E:P,13,FALSE)</f>
        <v>#REF!</v>
      </c>
      <c r="E193" s="8" t="e">
        <f t="shared" si="15"/>
        <v>#REF!</v>
      </c>
      <c r="F193" s="9" t="s">
        <v>7118</v>
      </c>
      <c r="G193" s="9">
        <f ca="1">INDEX(EquipmentTypes.csv!C:C,RANDBETWEEN(2,COUNTA(EquipmentTypes.csv!B:B)),1)</f>
        <v>200028</v>
      </c>
      <c r="H193" s="8" t="str">
        <f t="shared" ca="1" si="16"/>
        <v>rg:{ 'id': '200028'}</v>
      </c>
      <c r="I193" s="8">
        <f t="shared" ca="1" si="17"/>
        <v>3</v>
      </c>
      <c r="J193" s="8">
        <f t="shared" ca="1" si="18"/>
        <v>17</v>
      </c>
      <c r="K193" s="8" t="str">
        <f t="shared" ca="1" si="19"/>
        <v>2017-03-18</v>
      </c>
      <c r="L193" s="8" t="str">
        <f t="shared" ca="1" si="20"/>
        <v>2017-03-24</v>
      </c>
    </row>
    <row r="194" spans="1:12" x14ac:dyDescent="0.3">
      <c r="A194" s="8" t="s">
        <v>5675</v>
      </c>
      <c r="B194" s="8">
        <f t="shared" si="14"/>
        <v>600192</v>
      </c>
      <c r="C194" s="1" t="s">
        <v>7073</v>
      </c>
      <c r="D194" s="9" t="e">
        <f>VLOOKUP(C194,Project.csv!E:P,13,FALSE)</f>
        <v>#REF!</v>
      </c>
      <c r="E194" s="8" t="e">
        <f t="shared" si="15"/>
        <v>#REF!</v>
      </c>
      <c r="F194" s="9" t="s">
        <v>7118</v>
      </c>
      <c r="G194" s="9">
        <f ca="1">INDEX(EquipmentTypes.csv!C:C,RANDBETWEEN(2,COUNTA(EquipmentTypes.csv!B:B)),1)</f>
        <v>200025</v>
      </c>
      <c r="H194" s="8" t="str">
        <f t="shared" ca="1" si="16"/>
        <v>rg:{ 'id': '200025'}</v>
      </c>
      <c r="I194" s="8">
        <f t="shared" ca="1" si="17"/>
        <v>1</v>
      </c>
      <c r="J194" s="8">
        <f t="shared" ca="1" si="18"/>
        <v>17</v>
      </c>
      <c r="K194" s="8" t="str">
        <f t="shared" ca="1" si="19"/>
        <v>2017-03-28</v>
      </c>
      <c r="L194" s="8" t="str">
        <f t="shared" ca="1" si="20"/>
        <v>2017-03-30</v>
      </c>
    </row>
    <row r="195" spans="1:12" x14ac:dyDescent="0.3">
      <c r="A195" s="8" t="s">
        <v>5675</v>
      </c>
      <c r="B195" s="8">
        <f t="shared" ref="B195:B258" si="21">IF(ISNUMBER(B194),B194+1,600000)</f>
        <v>600193</v>
      </c>
      <c r="C195" s="1" t="s">
        <v>7074</v>
      </c>
      <c r="D195" s="9" t="e">
        <f>VLOOKUP(C195,Project.csv!E:P,13,FALSE)</f>
        <v>#REF!</v>
      </c>
      <c r="E195" s="8" t="e">
        <f t="shared" ref="E195:E258" si="22" xml:space="preserve"> "rg:{'id':'" &amp; D195 &amp; "'}"</f>
        <v>#REF!</v>
      </c>
      <c r="F195" s="9" t="s">
        <v>7118</v>
      </c>
      <c r="G195" s="9">
        <f ca="1">INDEX(EquipmentTypes.csv!C:C,RANDBETWEEN(2,COUNTA(EquipmentTypes.csv!B:B)),1)</f>
        <v>200036</v>
      </c>
      <c r="H195" s="8" t="str">
        <f t="shared" ref="H195:H258" ca="1" si="23">"rg:{ 'id': '"&amp;G195&amp;"'}"</f>
        <v>rg:{ 'id': '200036'}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31</v>
      </c>
      <c r="K195" s="8" t="str">
        <f t="shared" ref="K195:K258" ca="1" si="26">TEXT(TODAY()+RANDBETWEEN(1,56),"YYYY-MM-DD")</f>
        <v>2017-03-15</v>
      </c>
      <c r="L195" s="8" t="str">
        <f t="shared" ref="L195:L258" ca="1" si="27">TEXT(K195+(I195*J195)/8,"YYYY-MM-DD")</f>
        <v>2017-03-18</v>
      </c>
    </row>
    <row r="196" spans="1:12" x14ac:dyDescent="0.3">
      <c r="A196" s="8" t="s">
        <v>5675</v>
      </c>
      <c r="B196" s="8">
        <f t="shared" si="21"/>
        <v>600194</v>
      </c>
      <c r="C196" s="1" t="s">
        <v>6977</v>
      </c>
      <c r="D196" s="9" t="e">
        <f>VLOOKUP(C196,Project.csv!E:P,13,FALSE)</f>
        <v>#REF!</v>
      </c>
      <c r="E196" s="8" t="e">
        <f t="shared" si="22"/>
        <v>#REF!</v>
      </c>
      <c r="F196" s="9" t="s">
        <v>7118</v>
      </c>
      <c r="G196" s="9">
        <f ca="1">INDEX(EquipmentTypes.csv!C:C,RANDBETWEEN(2,COUNTA(EquipmentTypes.csv!B:B)),1)</f>
        <v>200083</v>
      </c>
      <c r="H196" s="8" t="str">
        <f t="shared" ca="1" si="23"/>
        <v>rg:{ 'id': '200083'}</v>
      </c>
      <c r="I196" s="8">
        <f t="shared" ca="1" si="24"/>
        <v>2</v>
      </c>
      <c r="J196" s="8">
        <f t="shared" ca="1" si="25"/>
        <v>7</v>
      </c>
      <c r="K196" s="8" t="str">
        <f t="shared" ca="1" si="26"/>
        <v>2017-04-28</v>
      </c>
      <c r="L196" s="8" t="str">
        <f t="shared" ca="1" si="27"/>
        <v>2017-04-29</v>
      </c>
    </row>
    <row r="197" spans="1:12" x14ac:dyDescent="0.3">
      <c r="A197" s="8" t="s">
        <v>5675</v>
      </c>
      <c r="B197" s="8">
        <f t="shared" si="21"/>
        <v>600195</v>
      </c>
      <c r="C197" s="1" t="s">
        <v>7047</v>
      </c>
      <c r="D197" s="9" t="e">
        <f>VLOOKUP(C197,Project.csv!E:P,13,FALSE)</f>
        <v>#REF!</v>
      </c>
      <c r="E197" s="8" t="e">
        <f t="shared" si="22"/>
        <v>#REF!</v>
      </c>
      <c r="F197" s="9" t="s">
        <v>7118</v>
      </c>
      <c r="G197" s="9">
        <f ca="1">INDEX(EquipmentTypes.csv!C:C,RANDBETWEEN(2,COUNTA(EquipmentTypes.csv!B:B)),1)</f>
        <v>200005</v>
      </c>
      <c r="H197" s="8" t="str">
        <f t="shared" ca="1" si="23"/>
        <v>rg:{ 'id': '200005'}</v>
      </c>
      <c r="I197" s="8">
        <f t="shared" ca="1" si="24"/>
        <v>1</v>
      </c>
      <c r="J197" s="8">
        <f t="shared" ca="1" si="25"/>
        <v>5</v>
      </c>
      <c r="K197" s="8" t="str">
        <f t="shared" ca="1" si="26"/>
        <v>2017-04-21</v>
      </c>
      <c r="L197" s="8" t="str">
        <f t="shared" ca="1" si="27"/>
        <v>2017-04-21</v>
      </c>
    </row>
    <row r="198" spans="1:12" x14ac:dyDescent="0.3">
      <c r="A198" s="8" t="s">
        <v>5675</v>
      </c>
      <c r="B198" s="8">
        <f t="shared" si="21"/>
        <v>600196</v>
      </c>
      <c r="C198" s="1" t="s">
        <v>7075</v>
      </c>
      <c r="D198" s="9" t="e">
        <f>VLOOKUP(C198,Project.csv!E:P,13,FALSE)</f>
        <v>#REF!</v>
      </c>
      <c r="E198" s="8" t="e">
        <f t="shared" si="22"/>
        <v>#REF!</v>
      </c>
      <c r="F198" s="9" t="s">
        <v>7118</v>
      </c>
      <c r="G198" s="9">
        <f ca="1">INDEX(EquipmentTypes.csv!C:C,RANDBETWEEN(2,COUNTA(EquipmentTypes.csv!B:B)),1)</f>
        <v>200043</v>
      </c>
      <c r="H198" s="8" t="str">
        <f t="shared" ca="1" si="23"/>
        <v>rg:{ 'id': '200043'}</v>
      </c>
      <c r="I198" s="8">
        <f t="shared" ca="1" si="24"/>
        <v>1</v>
      </c>
      <c r="J198" s="8">
        <f t="shared" ca="1" si="25"/>
        <v>15</v>
      </c>
      <c r="K198" s="8" t="str">
        <f t="shared" ca="1" si="26"/>
        <v>2017-04-20</v>
      </c>
      <c r="L198" s="8" t="str">
        <f t="shared" ca="1" si="27"/>
        <v>2017-04-21</v>
      </c>
    </row>
    <row r="199" spans="1:12" x14ac:dyDescent="0.3">
      <c r="A199" s="8" t="s">
        <v>5675</v>
      </c>
      <c r="B199" s="8">
        <f t="shared" si="21"/>
        <v>600197</v>
      </c>
      <c r="C199" s="1" t="s">
        <v>7050</v>
      </c>
      <c r="D199" s="9" t="e">
        <f>VLOOKUP(C199,Project.csv!E:P,13,FALSE)</f>
        <v>#REF!</v>
      </c>
      <c r="E199" s="8" t="e">
        <f t="shared" si="22"/>
        <v>#REF!</v>
      </c>
      <c r="F199" s="9" t="s">
        <v>7118</v>
      </c>
      <c r="G199" s="9">
        <f ca="1">INDEX(EquipmentTypes.csv!C:C,RANDBETWEEN(2,COUNTA(EquipmentTypes.csv!B:B)),1)</f>
        <v>200029</v>
      </c>
      <c r="H199" s="8" t="str">
        <f t="shared" ca="1" si="23"/>
        <v>rg:{ 'id': '200029'}</v>
      </c>
      <c r="I199" s="8">
        <f t="shared" ca="1" si="24"/>
        <v>2</v>
      </c>
      <c r="J199" s="8">
        <f t="shared" ca="1" si="25"/>
        <v>71</v>
      </c>
      <c r="K199" s="8" t="str">
        <f t="shared" ca="1" si="26"/>
        <v>2017-03-24</v>
      </c>
      <c r="L199" s="8" t="str">
        <f t="shared" ca="1" si="27"/>
        <v>2017-04-10</v>
      </c>
    </row>
    <row r="200" spans="1:12" x14ac:dyDescent="0.3">
      <c r="A200" s="8" t="s">
        <v>5675</v>
      </c>
      <c r="B200" s="8">
        <f t="shared" si="21"/>
        <v>600198</v>
      </c>
      <c r="C200" s="1" t="s">
        <v>6908</v>
      </c>
      <c r="D200" s="9" t="e">
        <f>VLOOKUP(C200,Project.csv!E:P,13,FALSE)</f>
        <v>#REF!</v>
      </c>
      <c r="E200" s="8" t="e">
        <f t="shared" si="22"/>
        <v>#REF!</v>
      </c>
      <c r="F200" s="9" t="s">
        <v>7118</v>
      </c>
      <c r="G200" s="9">
        <f ca="1">INDEX(EquipmentTypes.csv!C:C,RANDBETWEEN(2,COUNTA(EquipmentTypes.csv!B:B)),1)</f>
        <v>200036</v>
      </c>
      <c r="H200" s="8" t="str">
        <f t="shared" ca="1" si="23"/>
        <v>rg:{ 'id': '200036'}</v>
      </c>
      <c r="I200" s="8">
        <f t="shared" ca="1" si="24"/>
        <v>1</v>
      </c>
      <c r="J200" s="8">
        <f t="shared" ca="1" si="25"/>
        <v>60</v>
      </c>
      <c r="K200" s="8" t="str">
        <f t="shared" ca="1" si="26"/>
        <v>2017-04-07</v>
      </c>
      <c r="L200" s="8" t="str">
        <f t="shared" ca="1" si="27"/>
        <v>2017-04-14</v>
      </c>
    </row>
    <row r="201" spans="1:12" x14ac:dyDescent="0.3">
      <c r="A201" s="8" t="s">
        <v>5675</v>
      </c>
      <c r="B201" s="8">
        <f t="shared" si="21"/>
        <v>600199</v>
      </c>
      <c r="C201" s="1" t="s">
        <v>7026</v>
      </c>
      <c r="D201" s="9" t="e">
        <f>VLOOKUP(C201,Project.csv!E:P,13,FALSE)</f>
        <v>#REF!</v>
      </c>
      <c r="E201" s="8" t="e">
        <f t="shared" si="22"/>
        <v>#REF!</v>
      </c>
      <c r="F201" s="9" t="s">
        <v>7118</v>
      </c>
      <c r="G201" s="9">
        <f ca="1">INDEX(EquipmentTypes.csv!C:C,RANDBETWEEN(2,COUNTA(EquipmentTypes.csv!B:B)),1)</f>
        <v>200018</v>
      </c>
      <c r="H201" s="8" t="str">
        <f t="shared" ca="1" si="23"/>
        <v>rg:{ 'id': '200018'}</v>
      </c>
      <c r="I201" s="8">
        <f t="shared" ca="1" si="24"/>
        <v>1</v>
      </c>
      <c r="J201" s="8">
        <f t="shared" ca="1" si="25"/>
        <v>96</v>
      </c>
      <c r="K201" s="8" t="str">
        <f t="shared" ca="1" si="26"/>
        <v>2017-03-27</v>
      </c>
      <c r="L201" s="8" t="str">
        <f t="shared" ca="1" si="27"/>
        <v>2017-04-08</v>
      </c>
    </row>
    <row r="202" spans="1:12" x14ac:dyDescent="0.3">
      <c r="A202" s="8" t="s">
        <v>5675</v>
      </c>
      <c r="B202" s="8">
        <f t="shared" si="21"/>
        <v>600200</v>
      </c>
      <c r="C202" s="1" t="s">
        <v>7076</v>
      </c>
      <c r="D202" s="9" t="e">
        <f>VLOOKUP(C202,Project.csv!E:P,13,FALSE)</f>
        <v>#REF!</v>
      </c>
      <c r="E202" s="8" t="e">
        <f t="shared" si="22"/>
        <v>#REF!</v>
      </c>
      <c r="F202" s="9" t="s">
        <v>7118</v>
      </c>
      <c r="G202" s="9">
        <f ca="1">INDEX(EquipmentTypes.csv!C:C,RANDBETWEEN(2,COUNTA(EquipmentTypes.csv!B:B)),1)</f>
        <v>200072</v>
      </c>
      <c r="H202" s="8" t="str">
        <f t="shared" ca="1" si="23"/>
        <v>rg:{ 'id': '200072'}</v>
      </c>
      <c r="I202" s="8">
        <f t="shared" ca="1" si="24"/>
        <v>1</v>
      </c>
      <c r="J202" s="8">
        <f t="shared" ca="1" si="25"/>
        <v>68</v>
      </c>
      <c r="K202" s="8" t="str">
        <f t="shared" ca="1" si="26"/>
        <v>2017-03-05</v>
      </c>
      <c r="L202" s="8" t="str">
        <f t="shared" ca="1" si="27"/>
        <v>2017-03-13</v>
      </c>
    </row>
    <row r="203" spans="1:12" x14ac:dyDescent="0.3">
      <c r="A203" s="8" t="s">
        <v>5675</v>
      </c>
      <c r="B203" s="8">
        <f t="shared" si="21"/>
        <v>600201</v>
      </c>
      <c r="C203" s="1" t="s">
        <v>7077</v>
      </c>
      <c r="D203" s="9" t="e">
        <f>VLOOKUP(C203,Project.csv!E:P,13,FALSE)</f>
        <v>#REF!</v>
      </c>
      <c r="E203" s="8" t="e">
        <f t="shared" si="22"/>
        <v>#REF!</v>
      </c>
      <c r="F203" s="9" t="s">
        <v>7118</v>
      </c>
      <c r="G203" s="9">
        <f ca="1">INDEX(EquipmentTypes.csv!C:C,RANDBETWEEN(2,COUNTA(EquipmentTypes.csv!B:B)),1)</f>
        <v>200051</v>
      </c>
      <c r="H203" s="8" t="str">
        <f t="shared" ca="1" si="23"/>
        <v>rg:{ 'id': '200051'}</v>
      </c>
      <c r="I203" s="8">
        <f t="shared" ca="1" si="24"/>
        <v>1</v>
      </c>
      <c r="J203" s="8">
        <f t="shared" ca="1" si="25"/>
        <v>97</v>
      </c>
      <c r="K203" s="8" t="str">
        <f t="shared" ca="1" si="26"/>
        <v>2017-03-08</v>
      </c>
      <c r="L203" s="8" t="str">
        <f t="shared" ca="1" si="27"/>
        <v>2017-03-20</v>
      </c>
    </row>
    <row r="204" spans="1:12" x14ac:dyDescent="0.3">
      <c r="A204" s="8" t="s">
        <v>5675</v>
      </c>
      <c r="B204" s="8">
        <f t="shared" si="21"/>
        <v>600202</v>
      </c>
      <c r="C204" s="1" t="s">
        <v>7013</v>
      </c>
      <c r="D204" s="9" t="e">
        <f>VLOOKUP(C204,Project.csv!E:P,13,FALSE)</f>
        <v>#REF!</v>
      </c>
      <c r="E204" s="8" t="e">
        <f t="shared" si="22"/>
        <v>#REF!</v>
      </c>
      <c r="F204" s="9" t="s">
        <v>7118</v>
      </c>
      <c r="G204" s="9">
        <f ca="1">INDEX(EquipmentTypes.csv!C:C,RANDBETWEEN(2,COUNTA(EquipmentTypes.csv!B:B)),1)</f>
        <v>200028</v>
      </c>
      <c r="H204" s="8" t="str">
        <f t="shared" ca="1" si="23"/>
        <v>rg:{ 'id': '200028'}</v>
      </c>
      <c r="I204" s="8">
        <f t="shared" ca="1" si="24"/>
        <v>1</v>
      </c>
      <c r="J204" s="8">
        <f t="shared" ca="1" si="25"/>
        <v>76</v>
      </c>
      <c r="K204" s="8" t="str">
        <f t="shared" ca="1" si="26"/>
        <v>2017-04-18</v>
      </c>
      <c r="L204" s="8" t="str">
        <f t="shared" ca="1" si="27"/>
        <v>2017-04-27</v>
      </c>
    </row>
    <row r="205" spans="1:12" x14ac:dyDescent="0.3">
      <c r="A205" s="8" t="s">
        <v>5675</v>
      </c>
      <c r="B205" s="8">
        <f t="shared" si="21"/>
        <v>600203</v>
      </c>
      <c r="C205" s="1" t="s">
        <v>6932</v>
      </c>
      <c r="D205" s="9" t="e">
        <f>VLOOKUP(C205,Project.csv!E:P,13,FALSE)</f>
        <v>#REF!</v>
      </c>
      <c r="E205" s="8" t="e">
        <f t="shared" si="22"/>
        <v>#REF!</v>
      </c>
      <c r="F205" s="9" t="s">
        <v>7118</v>
      </c>
      <c r="G205" s="9">
        <f ca="1">INDEX(EquipmentTypes.csv!C:C,RANDBETWEEN(2,COUNTA(EquipmentTypes.csv!B:B)),1)</f>
        <v>200072</v>
      </c>
      <c r="H205" s="8" t="str">
        <f t="shared" ca="1" si="23"/>
        <v>rg:{ 'id': '200072'}</v>
      </c>
      <c r="I205" s="8">
        <f t="shared" ca="1" si="24"/>
        <v>1</v>
      </c>
      <c r="J205" s="8">
        <f t="shared" ca="1" si="25"/>
        <v>66</v>
      </c>
      <c r="K205" s="8" t="str">
        <f t="shared" ca="1" si="26"/>
        <v>2017-04-01</v>
      </c>
      <c r="L205" s="8" t="str">
        <f t="shared" ca="1" si="27"/>
        <v>2017-04-09</v>
      </c>
    </row>
    <row r="206" spans="1:12" x14ac:dyDescent="0.3">
      <c r="A206" s="8" t="s">
        <v>5675</v>
      </c>
      <c r="B206" s="8">
        <f t="shared" si="21"/>
        <v>600204</v>
      </c>
      <c r="C206" s="1" t="s">
        <v>7078</v>
      </c>
      <c r="D206" s="9" t="e">
        <f>VLOOKUP(C206,Project.csv!E:P,13,FALSE)</f>
        <v>#REF!</v>
      </c>
      <c r="E206" s="8" t="e">
        <f t="shared" si="22"/>
        <v>#REF!</v>
      </c>
      <c r="F206" s="9" t="s">
        <v>7118</v>
      </c>
      <c r="G206" s="9">
        <f ca="1">INDEX(EquipmentTypes.csv!C:C,RANDBETWEEN(2,COUNTA(EquipmentTypes.csv!B:B)),1)</f>
        <v>200021</v>
      </c>
      <c r="H206" s="8" t="str">
        <f t="shared" ca="1" si="23"/>
        <v>rg:{ 'id': '200021'}</v>
      </c>
      <c r="I206" s="8">
        <f t="shared" ca="1" si="24"/>
        <v>5</v>
      </c>
      <c r="J206" s="8">
        <f t="shared" ca="1" si="25"/>
        <v>21</v>
      </c>
      <c r="K206" s="8" t="str">
        <f t="shared" ca="1" si="26"/>
        <v>2017-03-31</v>
      </c>
      <c r="L206" s="8" t="str">
        <f t="shared" ca="1" si="27"/>
        <v>2017-04-13</v>
      </c>
    </row>
    <row r="207" spans="1:12" x14ac:dyDescent="0.3">
      <c r="A207" s="8" t="s">
        <v>5675</v>
      </c>
      <c r="B207" s="8">
        <f t="shared" si="21"/>
        <v>600205</v>
      </c>
      <c r="C207" s="1" t="s">
        <v>7079</v>
      </c>
      <c r="D207" s="9" t="e">
        <f>VLOOKUP(C207,Project.csv!E:P,13,FALSE)</f>
        <v>#REF!</v>
      </c>
      <c r="E207" s="8" t="e">
        <f t="shared" si="22"/>
        <v>#REF!</v>
      </c>
      <c r="F207" s="9" t="s">
        <v>7118</v>
      </c>
      <c r="G207" s="9">
        <f ca="1">INDEX(EquipmentTypes.csv!C:C,RANDBETWEEN(2,COUNTA(EquipmentTypes.csv!B:B)),1)</f>
        <v>200036</v>
      </c>
      <c r="H207" s="8" t="str">
        <f t="shared" ca="1" si="23"/>
        <v>rg:{ 'id': '200036'}</v>
      </c>
      <c r="I207" s="8">
        <f t="shared" ca="1" si="24"/>
        <v>1</v>
      </c>
      <c r="J207" s="8">
        <f t="shared" ca="1" si="25"/>
        <v>37</v>
      </c>
      <c r="K207" s="8" t="str">
        <f t="shared" ca="1" si="26"/>
        <v>2017-03-24</v>
      </c>
      <c r="L207" s="8" t="str">
        <f t="shared" ca="1" si="27"/>
        <v>2017-03-28</v>
      </c>
    </row>
    <row r="208" spans="1:12" x14ac:dyDescent="0.3">
      <c r="A208" s="8" t="s">
        <v>5675</v>
      </c>
      <c r="B208" s="8">
        <f t="shared" si="21"/>
        <v>600206</v>
      </c>
      <c r="C208" s="1" t="s">
        <v>7078</v>
      </c>
      <c r="D208" s="9" t="e">
        <f>VLOOKUP(C208,Project.csv!E:P,13,FALSE)</f>
        <v>#REF!</v>
      </c>
      <c r="E208" s="8" t="e">
        <f t="shared" si="22"/>
        <v>#REF!</v>
      </c>
      <c r="F208" s="9" t="s">
        <v>7118</v>
      </c>
      <c r="G208" s="9">
        <f ca="1">INDEX(EquipmentTypes.csv!C:C,RANDBETWEEN(2,COUNTA(EquipmentTypes.csv!B:B)),1)</f>
        <v>200043</v>
      </c>
      <c r="H208" s="8" t="str">
        <f t="shared" ca="1" si="23"/>
        <v>rg:{ 'id': '200043'}</v>
      </c>
      <c r="I208" s="8">
        <f t="shared" ca="1" si="24"/>
        <v>1</v>
      </c>
      <c r="J208" s="8">
        <f t="shared" ca="1" si="25"/>
        <v>21</v>
      </c>
      <c r="K208" s="8" t="str">
        <f t="shared" ca="1" si="26"/>
        <v>2017-04-02</v>
      </c>
      <c r="L208" s="8" t="str">
        <f t="shared" ca="1" si="27"/>
        <v>2017-04-04</v>
      </c>
    </row>
    <row r="209" spans="1:12" x14ac:dyDescent="0.3">
      <c r="A209" s="8" t="s">
        <v>5675</v>
      </c>
      <c r="B209" s="8">
        <f t="shared" si="21"/>
        <v>600207</v>
      </c>
      <c r="C209" s="1" t="s">
        <v>7079</v>
      </c>
      <c r="D209" s="9" t="e">
        <f>VLOOKUP(C209,Project.csv!E:P,13,FALSE)</f>
        <v>#REF!</v>
      </c>
      <c r="E209" s="8" t="e">
        <f t="shared" si="22"/>
        <v>#REF!</v>
      </c>
      <c r="F209" s="9" t="s">
        <v>7118</v>
      </c>
      <c r="G209" s="9">
        <f ca="1">INDEX(EquipmentTypes.csv!C:C,RANDBETWEEN(2,COUNTA(EquipmentTypes.csv!B:B)),1)</f>
        <v>200017</v>
      </c>
      <c r="H209" s="8" t="str">
        <f t="shared" ca="1" si="23"/>
        <v>rg:{ 'id': '200017'}</v>
      </c>
      <c r="I209" s="8">
        <f t="shared" ca="1" si="24"/>
        <v>1</v>
      </c>
      <c r="J209" s="8">
        <f t="shared" ca="1" si="25"/>
        <v>8</v>
      </c>
      <c r="K209" s="8" t="str">
        <f t="shared" ca="1" si="26"/>
        <v>2017-04-08</v>
      </c>
      <c r="L209" s="8" t="str">
        <f t="shared" ca="1" si="27"/>
        <v>2017-04-09</v>
      </c>
    </row>
    <row r="210" spans="1:12" x14ac:dyDescent="0.3">
      <c r="A210" s="8" t="s">
        <v>5675</v>
      </c>
      <c r="B210" s="8">
        <f t="shared" si="21"/>
        <v>600208</v>
      </c>
      <c r="C210" s="1" t="s">
        <v>6912</v>
      </c>
      <c r="D210" s="9" t="e">
        <f>VLOOKUP(C210,Project.csv!E:P,13,FALSE)</f>
        <v>#REF!</v>
      </c>
      <c r="E210" s="8" t="e">
        <f t="shared" si="22"/>
        <v>#REF!</v>
      </c>
      <c r="F210" s="9" t="s">
        <v>7118</v>
      </c>
      <c r="G210" s="9">
        <f ca="1">INDEX(EquipmentTypes.csv!C:C,RANDBETWEEN(2,COUNTA(EquipmentTypes.csv!B:B)),1)</f>
        <v>200051</v>
      </c>
      <c r="H210" s="8" t="str">
        <f t="shared" ca="1" si="23"/>
        <v>rg:{ 'id': '200051'}</v>
      </c>
      <c r="I210" s="8">
        <f t="shared" ca="1" si="24"/>
        <v>1</v>
      </c>
      <c r="J210" s="8">
        <f t="shared" ca="1" si="25"/>
        <v>75</v>
      </c>
      <c r="K210" s="8" t="str">
        <f t="shared" ca="1" si="26"/>
        <v>2017-04-24</v>
      </c>
      <c r="L210" s="8" t="str">
        <f t="shared" ca="1" si="27"/>
        <v>2017-05-03</v>
      </c>
    </row>
    <row r="211" spans="1:12" x14ac:dyDescent="0.3">
      <c r="A211" s="8" t="s">
        <v>5675</v>
      </c>
      <c r="B211" s="8">
        <f t="shared" si="21"/>
        <v>600209</v>
      </c>
      <c r="C211" s="1" t="s">
        <v>7080</v>
      </c>
      <c r="D211" s="9" t="e">
        <f>VLOOKUP(C211,Project.csv!E:P,13,FALSE)</f>
        <v>#REF!</v>
      </c>
      <c r="E211" s="8" t="e">
        <f t="shared" si="22"/>
        <v>#REF!</v>
      </c>
      <c r="F211" s="9" t="s">
        <v>7118</v>
      </c>
      <c r="G211" s="9">
        <f ca="1">INDEX(EquipmentTypes.csv!C:C,RANDBETWEEN(2,COUNTA(EquipmentTypes.csv!B:B)),1)</f>
        <v>200017</v>
      </c>
      <c r="H211" s="8" t="str">
        <f t="shared" ca="1" si="23"/>
        <v>rg:{ 'id': '200017'}</v>
      </c>
      <c r="I211" s="8">
        <f t="shared" ca="1" si="24"/>
        <v>1</v>
      </c>
      <c r="J211" s="8">
        <f t="shared" ca="1" si="25"/>
        <v>81</v>
      </c>
      <c r="K211" s="8" t="str">
        <f t="shared" ca="1" si="26"/>
        <v>2017-04-22</v>
      </c>
      <c r="L211" s="8" t="str">
        <f t="shared" ca="1" si="27"/>
        <v>2017-05-02</v>
      </c>
    </row>
    <row r="212" spans="1:12" x14ac:dyDescent="0.3">
      <c r="A212" s="8" t="s">
        <v>5675</v>
      </c>
      <c r="B212" s="8">
        <f t="shared" si="21"/>
        <v>600210</v>
      </c>
      <c r="C212" s="1" t="s">
        <v>6951</v>
      </c>
      <c r="D212" s="9" t="e">
        <f>VLOOKUP(C212,Project.csv!E:P,13,FALSE)</f>
        <v>#REF!</v>
      </c>
      <c r="E212" s="8" t="e">
        <f t="shared" si="22"/>
        <v>#REF!</v>
      </c>
      <c r="F212" s="9" t="s">
        <v>7118</v>
      </c>
      <c r="G212" s="9">
        <f ca="1">INDEX(EquipmentTypes.csv!C:C,RANDBETWEEN(2,COUNTA(EquipmentTypes.csv!B:B)),1)</f>
        <v>200048</v>
      </c>
      <c r="H212" s="8" t="str">
        <f t="shared" ca="1" si="23"/>
        <v>rg:{ 'id': '200048'}</v>
      </c>
      <c r="I212" s="8">
        <f t="shared" ca="1" si="24"/>
        <v>1</v>
      </c>
      <c r="J212" s="8">
        <f t="shared" ca="1" si="25"/>
        <v>22</v>
      </c>
      <c r="K212" s="8" t="str">
        <f t="shared" ca="1" si="26"/>
        <v>2017-03-27</v>
      </c>
      <c r="L212" s="8" t="str">
        <f t="shared" ca="1" si="27"/>
        <v>2017-03-29</v>
      </c>
    </row>
    <row r="213" spans="1:12" x14ac:dyDescent="0.3">
      <c r="A213" s="8" t="s">
        <v>5675</v>
      </c>
      <c r="B213" s="8">
        <f t="shared" si="21"/>
        <v>600211</v>
      </c>
      <c r="C213" s="1" t="s">
        <v>6943</v>
      </c>
      <c r="D213" s="9" t="e">
        <f>VLOOKUP(C213,Project.csv!E:P,13,FALSE)</f>
        <v>#REF!</v>
      </c>
      <c r="E213" s="8" t="e">
        <f t="shared" si="22"/>
        <v>#REF!</v>
      </c>
      <c r="F213" s="9" t="s">
        <v>7118</v>
      </c>
      <c r="G213" s="9">
        <f ca="1">INDEX(EquipmentTypes.csv!C:C,RANDBETWEEN(2,COUNTA(EquipmentTypes.csv!B:B)),1)</f>
        <v>200060</v>
      </c>
      <c r="H213" s="8" t="str">
        <f t="shared" ca="1" si="23"/>
        <v>rg:{ 'id': '200060'}</v>
      </c>
      <c r="I213" s="8">
        <f t="shared" ca="1" si="24"/>
        <v>1</v>
      </c>
      <c r="J213" s="8">
        <f t="shared" ca="1" si="25"/>
        <v>75</v>
      </c>
      <c r="K213" s="8" t="str">
        <f t="shared" ca="1" si="26"/>
        <v>2017-04-04</v>
      </c>
      <c r="L213" s="8" t="str">
        <f t="shared" ca="1" si="27"/>
        <v>2017-04-13</v>
      </c>
    </row>
    <row r="214" spans="1:12" x14ac:dyDescent="0.3">
      <c r="A214" s="8" t="s">
        <v>5675</v>
      </c>
      <c r="B214" s="8">
        <f t="shared" si="21"/>
        <v>600212</v>
      </c>
      <c r="C214" s="1" t="s">
        <v>7081</v>
      </c>
      <c r="D214" s="9" t="e">
        <f>VLOOKUP(C214,Project.csv!E:P,13,FALSE)</f>
        <v>#REF!</v>
      </c>
      <c r="E214" s="8" t="e">
        <f t="shared" si="22"/>
        <v>#REF!</v>
      </c>
      <c r="F214" s="9" t="s">
        <v>7118</v>
      </c>
      <c r="G214" s="9">
        <f ca="1">INDEX(EquipmentTypes.csv!C:C,RANDBETWEEN(2,COUNTA(EquipmentTypes.csv!B:B)),1)</f>
        <v>200043</v>
      </c>
      <c r="H214" s="8" t="str">
        <f t="shared" ca="1" si="23"/>
        <v>rg:{ 'id': '200043'}</v>
      </c>
      <c r="I214" s="8">
        <f t="shared" ca="1" si="24"/>
        <v>3</v>
      </c>
      <c r="J214" s="8">
        <f t="shared" ca="1" si="25"/>
        <v>33</v>
      </c>
      <c r="K214" s="8" t="str">
        <f t="shared" ca="1" si="26"/>
        <v>2017-03-08</v>
      </c>
      <c r="L214" s="8" t="str">
        <f t="shared" ca="1" si="27"/>
        <v>2017-03-20</v>
      </c>
    </row>
    <row r="215" spans="1:12" x14ac:dyDescent="0.3">
      <c r="A215" s="8" t="s">
        <v>5675</v>
      </c>
      <c r="B215" s="8">
        <f t="shared" si="21"/>
        <v>600213</v>
      </c>
      <c r="C215" s="1" t="s">
        <v>6933</v>
      </c>
      <c r="D215" s="9" t="e">
        <f>VLOOKUP(C215,Project.csv!E:P,13,FALSE)</f>
        <v>#REF!</v>
      </c>
      <c r="E215" s="8" t="e">
        <f t="shared" si="22"/>
        <v>#REF!</v>
      </c>
      <c r="F215" s="9" t="s">
        <v>7118</v>
      </c>
      <c r="G215" s="9">
        <f ca="1">INDEX(EquipmentTypes.csv!C:C,RANDBETWEEN(2,COUNTA(EquipmentTypes.csv!B:B)),1)</f>
        <v>200021</v>
      </c>
      <c r="H215" s="8" t="str">
        <f t="shared" ca="1" si="23"/>
        <v>rg:{ 'id': '200021'}</v>
      </c>
      <c r="I215" s="8">
        <f t="shared" ca="1" si="24"/>
        <v>4</v>
      </c>
      <c r="J215" s="8">
        <f t="shared" ca="1" si="25"/>
        <v>100</v>
      </c>
      <c r="K215" s="8" t="str">
        <f t="shared" ca="1" si="26"/>
        <v>2017-03-31</v>
      </c>
      <c r="L215" s="8" t="str">
        <f t="shared" ca="1" si="27"/>
        <v>2017-05-20</v>
      </c>
    </row>
    <row r="216" spans="1:12" x14ac:dyDescent="0.3">
      <c r="A216" s="8" t="s">
        <v>5675</v>
      </c>
      <c r="B216" s="8">
        <f t="shared" si="21"/>
        <v>600214</v>
      </c>
      <c r="C216" s="1" t="s">
        <v>7082</v>
      </c>
      <c r="D216" s="9" t="e">
        <f>VLOOKUP(C216,Project.csv!E:P,13,FALSE)</f>
        <v>#REF!</v>
      </c>
      <c r="E216" s="8" t="e">
        <f t="shared" si="22"/>
        <v>#REF!</v>
      </c>
      <c r="F216" s="9" t="s">
        <v>7118</v>
      </c>
      <c r="G216" s="9">
        <f ca="1">INDEX(EquipmentTypes.csv!C:C,RANDBETWEEN(2,COUNTA(EquipmentTypes.csv!B:B)),1)</f>
        <v>200084</v>
      </c>
      <c r="H216" s="8" t="str">
        <f t="shared" ca="1" si="23"/>
        <v>rg:{ 'id': '200084'}</v>
      </c>
      <c r="I216" s="8">
        <f t="shared" ca="1" si="24"/>
        <v>1</v>
      </c>
      <c r="J216" s="8">
        <f t="shared" ca="1" si="25"/>
        <v>59</v>
      </c>
      <c r="K216" s="8" t="str">
        <f t="shared" ca="1" si="26"/>
        <v>2017-04-13</v>
      </c>
      <c r="L216" s="8" t="str">
        <f t="shared" ca="1" si="27"/>
        <v>2017-04-20</v>
      </c>
    </row>
    <row r="217" spans="1:12" x14ac:dyDescent="0.3">
      <c r="A217" s="8" t="s">
        <v>5675</v>
      </c>
      <c r="B217" s="8">
        <f t="shared" si="21"/>
        <v>600215</v>
      </c>
      <c r="C217" s="1" t="s">
        <v>7083</v>
      </c>
      <c r="D217" s="9" t="e">
        <f>VLOOKUP(C217,Project.csv!E:P,13,FALSE)</f>
        <v>#REF!</v>
      </c>
      <c r="E217" s="8" t="e">
        <f t="shared" si="22"/>
        <v>#REF!</v>
      </c>
      <c r="F217" s="9" t="s">
        <v>7118</v>
      </c>
      <c r="G217" s="9">
        <f ca="1">INDEX(EquipmentTypes.csv!C:C,RANDBETWEEN(2,COUNTA(EquipmentTypes.csv!B:B)),1)</f>
        <v>200036</v>
      </c>
      <c r="H217" s="8" t="str">
        <f t="shared" ca="1" si="23"/>
        <v>rg:{ 'id': '200036'}</v>
      </c>
      <c r="I217" s="8">
        <f t="shared" ca="1" si="24"/>
        <v>2</v>
      </c>
      <c r="J217" s="8">
        <f t="shared" ca="1" si="25"/>
        <v>37</v>
      </c>
      <c r="K217" s="8" t="str">
        <f t="shared" ca="1" si="26"/>
        <v>2017-03-05</v>
      </c>
      <c r="L217" s="8" t="str">
        <f t="shared" ca="1" si="27"/>
        <v>2017-03-14</v>
      </c>
    </row>
    <row r="218" spans="1:12" x14ac:dyDescent="0.3">
      <c r="A218" s="8" t="s">
        <v>5675</v>
      </c>
      <c r="B218" s="8">
        <f t="shared" si="21"/>
        <v>600216</v>
      </c>
      <c r="C218" s="1" t="s">
        <v>7084</v>
      </c>
      <c r="D218" s="9" t="e">
        <f>VLOOKUP(C218,Project.csv!E:P,13,FALSE)</f>
        <v>#REF!</v>
      </c>
      <c r="E218" s="8" t="e">
        <f t="shared" si="22"/>
        <v>#REF!</v>
      </c>
      <c r="F218" s="9" t="s">
        <v>7118</v>
      </c>
      <c r="G218" s="9">
        <f ca="1">INDEX(EquipmentTypes.csv!C:C,RANDBETWEEN(2,COUNTA(EquipmentTypes.csv!B:B)),1)</f>
        <v>200024</v>
      </c>
      <c r="H218" s="8" t="str">
        <f t="shared" ca="1" si="23"/>
        <v>rg:{ 'id': '200024'}</v>
      </c>
      <c r="I218" s="8">
        <f t="shared" ca="1" si="24"/>
        <v>1</v>
      </c>
      <c r="J218" s="8">
        <f t="shared" ca="1" si="25"/>
        <v>26</v>
      </c>
      <c r="K218" s="8" t="str">
        <f t="shared" ca="1" si="26"/>
        <v>2017-03-04</v>
      </c>
      <c r="L218" s="8" t="str">
        <f t="shared" ca="1" si="27"/>
        <v>2017-03-07</v>
      </c>
    </row>
    <row r="219" spans="1:12" x14ac:dyDescent="0.3">
      <c r="A219" s="8" t="s">
        <v>5675</v>
      </c>
      <c r="B219" s="8">
        <f t="shared" si="21"/>
        <v>600217</v>
      </c>
      <c r="C219" s="1" t="s">
        <v>6927</v>
      </c>
      <c r="D219" s="9" t="e">
        <f>VLOOKUP(C219,Project.csv!E:P,13,FALSE)</f>
        <v>#REF!</v>
      </c>
      <c r="E219" s="8" t="e">
        <f t="shared" si="22"/>
        <v>#REF!</v>
      </c>
      <c r="F219" s="9" t="s">
        <v>7118</v>
      </c>
      <c r="G219" s="9">
        <f ca="1">INDEX(EquipmentTypes.csv!C:C,RANDBETWEEN(2,COUNTA(EquipmentTypes.csv!B:B)),1)</f>
        <v>200072</v>
      </c>
      <c r="H219" s="8" t="str">
        <f t="shared" ca="1" si="23"/>
        <v>rg:{ 'id': '200072'}</v>
      </c>
      <c r="I219" s="8">
        <f t="shared" ca="1" si="24"/>
        <v>1</v>
      </c>
      <c r="J219" s="8">
        <f t="shared" ca="1" si="25"/>
        <v>83</v>
      </c>
      <c r="K219" s="8" t="str">
        <f t="shared" ca="1" si="26"/>
        <v>2017-04-03</v>
      </c>
      <c r="L219" s="8" t="str">
        <f t="shared" ca="1" si="27"/>
        <v>2017-04-13</v>
      </c>
    </row>
    <row r="220" spans="1:12" x14ac:dyDescent="0.3">
      <c r="A220" s="8" t="s">
        <v>5675</v>
      </c>
      <c r="B220" s="8">
        <f t="shared" si="21"/>
        <v>600218</v>
      </c>
      <c r="C220" s="1" t="s">
        <v>6959</v>
      </c>
      <c r="D220" s="9" t="e">
        <f>VLOOKUP(C220,Project.csv!E:P,13,FALSE)</f>
        <v>#REF!</v>
      </c>
      <c r="E220" s="8" t="e">
        <f t="shared" si="22"/>
        <v>#REF!</v>
      </c>
      <c r="F220" s="9" t="s">
        <v>7118</v>
      </c>
      <c r="G220" s="9">
        <f ca="1">INDEX(EquipmentTypes.csv!C:C,RANDBETWEEN(2,COUNTA(EquipmentTypes.csv!B:B)),1)</f>
        <v>200006</v>
      </c>
      <c r="H220" s="8" t="str">
        <f t="shared" ca="1" si="23"/>
        <v>rg:{ 'id': '200006'}</v>
      </c>
      <c r="I220" s="8">
        <f t="shared" ca="1" si="24"/>
        <v>1</v>
      </c>
      <c r="J220" s="8">
        <f t="shared" ca="1" si="25"/>
        <v>34</v>
      </c>
      <c r="K220" s="8" t="str">
        <f t="shared" ca="1" si="26"/>
        <v>2017-04-20</v>
      </c>
      <c r="L220" s="8" t="str">
        <f t="shared" ca="1" si="27"/>
        <v>2017-04-24</v>
      </c>
    </row>
    <row r="221" spans="1:12" x14ac:dyDescent="0.3">
      <c r="A221" s="8" t="s">
        <v>5675</v>
      </c>
      <c r="B221" s="8">
        <f t="shared" si="21"/>
        <v>600219</v>
      </c>
      <c r="C221" s="1" t="s">
        <v>6945</v>
      </c>
      <c r="D221" s="9" t="e">
        <f>VLOOKUP(C221,Project.csv!E:P,13,FALSE)</f>
        <v>#REF!</v>
      </c>
      <c r="E221" s="8" t="e">
        <f t="shared" si="22"/>
        <v>#REF!</v>
      </c>
      <c r="F221" s="9" t="s">
        <v>7118</v>
      </c>
      <c r="G221" s="9">
        <f ca="1">INDEX(EquipmentTypes.csv!C:C,RANDBETWEEN(2,COUNTA(EquipmentTypes.csv!B:B)),1)</f>
        <v>200017</v>
      </c>
      <c r="H221" s="8" t="str">
        <f t="shared" ca="1" si="23"/>
        <v>rg:{ 'id': '200017'}</v>
      </c>
      <c r="I221" s="8">
        <f t="shared" ca="1" si="24"/>
        <v>1</v>
      </c>
      <c r="J221" s="8">
        <f t="shared" ca="1" si="25"/>
        <v>5</v>
      </c>
      <c r="K221" s="8" t="str">
        <f t="shared" ca="1" si="26"/>
        <v>2017-04-16</v>
      </c>
      <c r="L221" s="8" t="str">
        <f t="shared" ca="1" si="27"/>
        <v>2017-04-16</v>
      </c>
    </row>
    <row r="222" spans="1:12" x14ac:dyDescent="0.3">
      <c r="A222" s="8" t="s">
        <v>5675</v>
      </c>
      <c r="B222" s="8">
        <f t="shared" si="21"/>
        <v>600220</v>
      </c>
      <c r="C222" s="1" t="s">
        <v>7059</v>
      </c>
      <c r="D222" s="9" t="e">
        <f>VLOOKUP(C222,Project.csv!E:P,13,FALSE)</f>
        <v>#REF!</v>
      </c>
      <c r="E222" s="8" t="e">
        <f t="shared" si="22"/>
        <v>#REF!</v>
      </c>
      <c r="F222" s="9" t="s">
        <v>7118</v>
      </c>
      <c r="G222" s="9">
        <f ca="1">INDEX(EquipmentTypes.csv!C:C,RANDBETWEEN(2,COUNTA(EquipmentTypes.csv!B:B)),1)</f>
        <v>200036</v>
      </c>
      <c r="H222" s="8" t="str">
        <f t="shared" ca="1" si="23"/>
        <v>rg:{ 'id': '200036'}</v>
      </c>
      <c r="I222" s="8">
        <f t="shared" ca="1" si="24"/>
        <v>1</v>
      </c>
      <c r="J222" s="8">
        <f t="shared" ca="1" si="25"/>
        <v>9</v>
      </c>
      <c r="K222" s="8" t="str">
        <f t="shared" ca="1" si="26"/>
        <v>2017-03-15</v>
      </c>
      <c r="L222" s="8" t="str">
        <f t="shared" ca="1" si="27"/>
        <v>2017-03-16</v>
      </c>
    </row>
    <row r="223" spans="1:12" x14ac:dyDescent="0.3">
      <c r="A223" s="8" t="s">
        <v>5675</v>
      </c>
      <c r="B223" s="8">
        <f t="shared" si="21"/>
        <v>600221</v>
      </c>
      <c r="C223" s="1" t="s">
        <v>6915</v>
      </c>
      <c r="D223" s="9" t="e">
        <f>VLOOKUP(C223,Project.csv!E:P,13,FALSE)</f>
        <v>#REF!</v>
      </c>
      <c r="E223" s="8" t="e">
        <f t="shared" si="22"/>
        <v>#REF!</v>
      </c>
      <c r="F223" s="9" t="s">
        <v>7118</v>
      </c>
      <c r="G223" s="9">
        <f ca="1">INDEX(EquipmentTypes.csv!C:C,RANDBETWEEN(2,COUNTA(EquipmentTypes.csv!B:B)),1)</f>
        <v>200043</v>
      </c>
      <c r="H223" s="8" t="str">
        <f t="shared" ca="1" si="23"/>
        <v>rg:{ 'id': '200043'}</v>
      </c>
      <c r="I223" s="8">
        <f t="shared" ca="1" si="24"/>
        <v>1</v>
      </c>
      <c r="J223" s="8">
        <f t="shared" ca="1" si="25"/>
        <v>26</v>
      </c>
      <c r="K223" s="8" t="str">
        <f t="shared" ca="1" si="26"/>
        <v>2017-03-31</v>
      </c>
      <c r="L223" s="8" t="str">
        <f t="shared" ca="1" si="27"/>
        <v>2017-04-03</v>
      </c>
    </row>
    <row r="224" spans="1:12" x14ac:dyDescent="0.3">
      <c r="A224" s="8" t="s">
        <v>5675</v>
      </c>
      <c r="B224" s="8">
        <f t="shared" si="21"/>
        <v>600222</v>
      </c>
      <c r="C224" s="1" t="s">
        <v>6962</v>
      </c>
      <c r="D224" s="9" t="e">
        <f>VLOOKUP(C224,Project.csv!E:P,13,FALSE)</f>
        <v>#REF!</v>
      </c>
      <c r="E224" s="8" t="e">
        <f t="shared" si="22"/>
        <v>#REF!</v>
      </c>
      <c r="F224" s="9" t="s">
        <v>7118</v>
      </c>
      <c r="G224" s="9">
        <f ca="1">INDEX(EquipmentTypes.csv!C:C,RANDBETWEEN(2,COUNTA(EquipmentTypes.csv!B:B)),1)</f>
        <v>200043</v>
      </c>
      <c r="H224" s="8" t="str">
        <f t="shared" ca="1" si="23"/>
        <v>rg:{ 'id': '200043'}</v>
      </c>
      <c r="I224" s="8">
        <f t="shared" ca="1" si="24"/>
        <v>1</v>
      </c>
      <c r="J224" s="8">
        <f t="shared" ca="1" si="25"/>
        <v>30</v>
      </c>
      <c r="K224" s="8" t="str">
        <f t="shared" ca="1" si="26"/>
        <v>2017-03-08</v>
      </c>
      <c r="L224" s="8" t="str">
        <f t="shared" ca="1" si="27"/>
        <v>2017-03-11</v>
      </c>
    </row>
    <row r="225" spans="1:12" x14ac:dyDescent="0.3">
      <c r="A225" s="8" t="s">
        <v>5675</v>
      </c>
      <c r="B225" s="8">
        <f t="shared" si="21"/>
        <v>600223</v>
      </c>
      <c r="C225" s="1" t="s">
        <v>7052</v>
      </c>
      <c r="D225" s="9" t="e">
        <f>VLOOKUP(C225,Project.csv!E:P,13,FALSE)</f>
        <v>#REF!</v>
      </c>
      <c r="E225" s="8" t="e">
        <f t="shared" si="22"/>
        <v>#REF!</v>
      </c>
      <c r="F225" s="9" t="s">
        <v>7118</v>
      </c>
      <c r="G225" s="9">
        <f ca="1">INDEX(EquipmentTypes.csv!C:C,RANDBETWEEN(2,COUNTA(EquipmentTypes.csv!B:B)),1)</f>
        <v>200060</v>
      </c>
      <c r="H225" s="8" t="str">
        <f t="shared" ca="1" si="23"/>
        <v>rg:{ 'id': '200060'}</v>
      </c>
      <c r="I225" s="8">
        <f t="shared" ca="1" si="24"/>
        <v>1</v>
      </c>
      <c r="J225" s="8">
        <f t="shared" ca="1" si="25"/>
        <v>37</v>
      </c>
      <c r="K225" s="8" t="str">
        <f t="shared" ca="1" si="26"/>
        <v>2017-03-19</v>
      </c>
      <c r="L225" s="8" t="str">
        <f t="shared" ca="1" si="27"/>
        <v>2017-03-23</v>
      </c>
    </row>
    <row r="226" spans="1:12" x14ac:dyDescent="0.3">
      <c r="A226" s="8" t="s">
        <v>5675</v>
      </c>
      <c r="B226" s="8">
        <f t="shared" si="21"/>
        <v>600224</v>
      </c>
      <c r="C226" s="1" t="s">
        <v>7085</v>
      </c>
      <c r="D226" s="9" t="e">
        <f>VLOOKUP(C226,Project.csv!E:P,13,FALSE)</f>
        <v>#REF!</v>
      </c>
      <c r="E226" s="8" t="e">
        <f t="shared" si="22"/>
        <v>#REF!</v>
      </c>
      <c r="F226" s="9" t="s">
        <v>7118</v>
      </c>
      <c r="G226" s="9">
        <f ca="1">INDEX(EquipmentTypes.csv!C:C,RANDBETWEEN(2,COUNTA(EquipmentTypes.csv!B:B)),1)</f>
        <v>200021</v>
      </c>
      <c r="H226" s="8" t="str">
        <f t="shared" ca="1" si="23"/>
        <v>rg:{ 'id': '200021'}</v>
      </c>
      <c r="I226" s="8">
        <f t="shared" ca="1" si="24"/>
        <v>1</v>
      </c>
      <c r="J226" s="8">
        <f t="shared" ca="1" si="25"/>
        <v>57</v>
      </c>
      <c r="K226" s="8" t="str">
        <f t="shared" ca="1" si="26"/>
        <v>2017-04-28</v>
      </c>
      <c r="L226" s="8" t="str">
        <f t="shared" ca="1" si="27"/>
        <v>2017-05-05</v>
      </c>
    </row>
    <row r="227" spans="1:12" x14ac:dyDescent="0.3">
      <c r="A227" s="8" t="s">
        <v>5675</v>
      </c>
      <c r="B227" s="8">
        <f t="shared" si="21"/>
        <v>600225</v>
      </c>
      <c r="C227" s="1" t="s">
        <v>7044</v>
      </c>
      <c r="D227" s="9" t="e">
        <f>VLOOKUP(C227,Project.csv!E:P,13,FALSE)</f>
        <v>#REF!</v>
      </c>
      <c r="E227" s="8" t="e">
        <f t="shared" si="22"/>
        <v>#REF!</v>
      </c>
      <c r="F227" s="9" t="s">
        <v>7118</v>
      </c>
      <c r="G227" s="9">
        <f ca="1">INDEX(EquipmentTypes.csv!C:C,RANDBETWEEN(2,COUNTA(EquipmentTypes.csv!B:B)),1)</f>
        <v>200025</v>
      </c>
      <c r="H227" s="8" t="str">
        <f t="shared" ca="1" si="23"/>
        <v>rg:{ 'id': '200025'}</v>
      </c>
      <c r="I227" s="8">
        <f t="shared" ca="1" si="24"/>
        <v>1</v>
      </c>
      <c r="J227" s="8">
        <f t="shared" ca="1" si="25"/>
        <v>38</v>
      </c>
      <c r="K227" s="8" t="str">
        <f t="shared" ca="1" si="26"/>
        <v>2017-03-04</v>
      </c>
      <c r="L227" s="8" t="str">
        <f t="shared" ca="1" si="27"/>
        <v>2017-03-08</v>
      </c>
    </row>
    <row r="228" spans="1:12" x14ac:dyDescent="0.3">
      <c r="A228" s="8" t="s">
        <v>5675</v>
      </c>
      <c r="B228" s="8">
        <f t="shared" si="21"/>
        <v>600226</v>
      </c>
      <c r="C228" s="1" t="s">
        <v>7025</v>
      </c>
      <c r="D228" s="9" t="e">
        <f>VLOOKUP(C228,Project.csv!E:P,13,FALSE)</f>
        <v>#REF!</v>
      </c>
      <c r="E228" s="8" t="e">
        <f t="shared" si="22"/>
        <v>#REF!</v>
      </c>
      <c r="F228" s="9" t="s">
        <v>7118</v>
      </c>
      <c r="G228" s="9">
        <f ca="1">INDEX(EquipmentTypes.csv!C:C,RANDBETWEEN(2,COUNTA(EquipmentTypes.csv!B:B)),1)</f>
        <v>200043</v>
      </c>
      <c r="H228" s="8" t="str">
        <f t="shared" ca="1" si="23"/>
        <v>rg:{ 'id': '200043'}</v>
      </c>
      <c r="I228" s="8">
        <f t="shared" ca="1" si="24"/>
        <v>5</v>
      </c>
      <c r="J228" s="8">
        <f t="shared" ca="1" si="25"/>
        <v>21</v>
      </c>
      <c r="K228" s="8" t="str">
        <f t="shared" ca="1" si="26"/>
        <v>2017-04-08</v>
      </c>
      <c r="L228" s="8" t="str">
        <f t="shared" ca="1" si="27"/>
        <v>2017-04-21</v>
      </c>
    </row>
    <row r="229" spans="1:12" x14ac:dyDescent="0.3">
      <c r="A229" s="8" t="s">
        <v>5675</v>
      </c>
      <c r="B229" s="8">
        <f t="shared" si="21"/>
        <v>600227</v>
      </c>
      <c r="C229" s="1" t="s">
        <v>7086</v>
      </c>
      <c r="D229" s="9" t="e">
        <f>VLOOKUP(C229,Project.csv!E:P,13,FALSE)</f>
        <v>#REF!</v>
      </c>
      <c r="E229" s="8" t="e">
        <f t="shared" si="22"/>
        <v>#REF!</v>
      </c>
      <c r="F229" s="9" t="s">
        <v>7118</v>
      </c>
      <c r="G229" s="9">
        <f ca="1">INDEX(EquipmentTypes.csv!C:C,RANDBETWEEN(2,COUNTA(EquipmentTypes.csv!B:B)),1)</f>
        <v>200036</v>
      </c>
      <c r="H229" s="8" t="str">
        <f t="shared" ca="1" si="23"/>
        <v>rg:{ 'id': '200036'}</v>
      </c>
      <c r="I229" s="8">
        <f t="shared" ca="1" si="24"/>
        <v>1</v>
      </c>
      <c r="J229" s="8">
        <f t="shared" ca="1" si="25"/>
        <v>51</v>
      </c>
      <c r="K229" s="8" t="str">
        <f t="shared" ca="1" si="26"/>
        <v>2017-04-08</v>
      </c>
      <c r="L229" s="8" t="str">
        <f t="shared" ca="1" si="27"/>
        <v>2017-04-14</v>
      </c>
    </row>
    <row r="230" spans="1:12" x14ac:dyDescent="0.3">
      <c r="A230" s="8" t="s">
        <v>5675</v>
      </c>
      <c r="B230" s="8">
        <f t="shared" si="21"/>
        <v>600228</v>
      </c>
      <c r="C230" s="1" t="s">
        <v>7087</v>
      </c>
      <c r="D230" s="9" t="e">
        <f>VLOOKUP(C230,Project.csv!E:P,13,FALSE)</f>
        <v>#REF!</v>
      </c>
      <c r="E230" s="8" t="e">
        <f t="shared" si="22"/>
        <v>#REF!</v>
      </c>
      <c r="F230" s="9" t="s">
        <v>7118</v>
      </c>
      <c r="G230" s="9">
        <f ca="1">INDEX(EquipmentTypes.csv!C:C,RANDBETWEEN(2,COUNTA(EquipmentTypes.csv!B:B)),1)</f>
        <v>200029</v>
      </c>
      <c r="H230" s="8" t="str">
        <f t="shared" ca="1" si="23"/>
        <v>rg:{ 'id': '200029'}</v>
      </c>
      <c r="I230" s="8">
        <f t="shared" ca="1" si="24"/>
        <v>1</v>
      </c>
      <c r="J230" s="8">
        <f t="shared" ca="1" si="25"/>
        <v>93</v>
      </c>
      <c r="K230" s="8" t="str">
        <f t="shared" ca="1" si="26"/>
        <v>2017-04-13</v>
      </c>
      <c r="L230" s="8" t="str">
        <f t="shared" ca="1" si="27"/>
        <v>2017-04-24</v>
      </c>
    </row>
    <row r="231" spans="1:12" x14ac:dyDescent="0.3">
      <c r="A231" s="8" t="s">
        <v>5675</v>
      </c>
      <c r="B231" s="8">
        <f t="shared" si="21"/>
        <v>600229</v>
      </c>
      <c r="C231" s="1" t="s">
        <v>6949</v>
      </c>
      <c r="D231" s="9" t="e">
        <f>VLOOKUP(C231,Project.csv!E:P,13,FALSE)</f>
        <v>#REF!</v>
      </c>
      <c r="E231" s="8" t="e">
        <f t="shared" si="22"/>
        <v>#REF!</v>
      </c>
      <c r="F231" s="9" t="s">
        <v>7118</v>
      </c>
      <c r="G231" s="9">
        <f ca="1">INDEX(EquipmentTypes.csv!C:C,RANDBETWEEN(2,COUNTA(EquipmentTypes.csv!B:B)),1)</f>
        <v>200051</v>
      </c>
      <c r="H231" s="8" t="str">
        <f t="shared" ca="1" si="23"/>
        <v>rg:{ 'id': '200051'}</v>
      </c>
      <c r="I231" s="8">
        <f t="shared" ca="1" si="24"/>
        <v>1</v>
      </c>
      <c r="J231" s="8">
        <f t="shared" ca="1" si="25"/>
        <v>15</v>
      </c>
      <c r="K231" s="8" t="str">
        <f t="shared" ca="1" si="26"/>
        <v>2017-03-15</v>
      </c>
      <c r="L231" s="8" t="str">
        <f t="shared" ca="1" si="27"/>
        <v>2017-03-16</v>
      </c>
    </row>
    <row r="232" spans="1:12" x14ac:dyDescent="0.3">
      <c r="A232" s="8" t="s">
        <v>5675</v>
      </c>
      <c r="B232" s="8">
        <f t="shared" si="21"/>
        <v>600230</v>
      </c>
      <c r="C232" s="1" t="s">
        <v>7088</v>
      </c>
      <c r="D232" s="9" t="e">
        <f>VLOOKUP(C232,Project.csv!E:P,13,FALSE)</f>
        <v>#REF!</v>
      </c>
      <c r="E232" s="8" t="e">
        <f t="shared" si="22"/>
        <v>#REF!</v>
      </c>
      <c r="F232" s="9" t="s">
        <v>7118</v>
      </c>
      <c r="G232" s="9">
        <f ca="1">INDEX(EquipmentTypes.csv!C:C,RANDBETWEEN(2,COUNTA(EquipmentTypes.csv!B:B)),1)</f>
        <v>200067</v>
      </c>
      <c r="H232" s="8" t="str">
        <f t="shared" ca="1" si="23"/>
        <v>rg:{ 'id': '200067'}</v>
      </c>
      <c r="I232" s="8">
        <f t="shared" ca="1" si="24"/>
        <v>1</v>
      </c>
      <c r="J232" s="8">
        <f t="shared" ca="1" si="25"/>
        <v>55</v>
      </c>
      <c r="K232" s="8" t="str">
        <f t="shared" ca="1" si="26"/>
        <v>2017-03-19</v>
      </c>
      <c r="L232" s="8" t="str">
        <f t="shared" ca="1" si="27"/>
        <v>2017-03-25</v>
      </c>
    </row>
    <row r="233" spans="1:12" x14ac:dyDescent="0.3">
      <c r="A233" s="8" t="s">
        <v>5675</v>
      </c>
      <c r="B233" s="8">
        <f t="shared" si="21"/>
        <v>600231</v>
      </c>
      <c r="C233" s="1" t="s">
        <v>7013</v>
      </c>
      <c r="D233" s="9" t="e">
        <f>VLOOKUP(C233,Project.csv!E:P,13,FALSE)</f>
        <v>#REF!</v>
      </c>
      <c r="E233" s="8" t="e">
        <f t="shared" si="22"/>
        <v>#REF!</v>
      </c>
      <c r="F233" s="9" t="s">
        <v>7118</v>
      </c>
      <c r="G233" s="9">
        <f ca="1">INDEX(EquipmentTypes.csv!C:C,RANDBETWEEN(2,COUNTA(EquipmentTypes.csv!B:B)),1)</f>
        <v>200036</v>
      </c>
      <c r="H233" s="8" t="str">
        <f t="shared" ca="1" si="23"/>
        <v>rg:{ 'id': '200036'}</v>
      </c>
      <c r="I233" s="8">
        <f t="shared" ca="1" si="24"/>
        <v>1</v>
      </c>
      <c r="J233" s="8">
        <f t="shared" ca="1" si="25"/>
        <v>28</v>
      </c>
      <c r="K233" s="8" t="str">
        <f t="shared" ca="1" si="26"/>
        <v>2017-04-04</v>
      </c>
      <c r="L233" s="8" t="str">
        <f t="shared" ca="1" si="27"/>
        <v>2017-04-07</v>
      </c>
    </row>
    <row r="234" spans="1:12" x14ac:dyDescent="0.3">
      <c r="A234" s="8" t="s">
        <v>5675</v>
      </c>
      <c r="B234" s="8">
        <f t="shared" si="21"/>
        <v>600232</v>
      </c>
      <c r="C234" s="1" t="s">
        <v>7089</v>
      </c>
      <c r="D234" s="9" t="e">
        <f>VLOOKUP(C234,Project.csv!E:P,13,FALSE)</f>
        <v>#REF!</v>
      </c>
      <c r="E234" s="8" t="e">
        <f t="shared" si="22"/>
        <v>#REF!</v>
      </c>
      <c r="F234" s="9" t="s">
        <v>7118</v>
      </c>
      <c r="G234" s="9">
        <f ca="1">INDEX(EquipmentTypes.csv!C:C,RANDBETWEEN(2,COUNTA(EquipmentTypes.csv!B:B)),1)</f>
        <v>200064</v>
      </c>
      <c r="H234" s="8" t="str">
        <f t="shared" ca="1" si="23"/>
        <v>rg:{ 'id': '200064'}</v>
      </c>
      <c r="I234" s="8">
        <f t="shared" ca="1" si="24"/>
        <v>1</v>
      </c>
      <c r="J234" s="8">
        <f t="shared" ca="1" si="25"/>
        <v>53</v>
      </c>
      <c r="K234" s="8" t="str">
        <f t="shared" ca="1" si="26"/>
        <v>2017-03-16</v>
      </c>
      <c r="L234" s="8" t="str">
        <f t="shared" ca="1" si="27"/>
        <v>2017-03-22</v>
      </c>
    </row>
    <row r="235" spans="1:12" x14ac:dyDescent="0.3">
      <c r="A235" s="8" t="s">
        <v>5675</v>
      </c>
      <c r="B235" s="8">
        <f t="shared" si="21"/>
        <v>600233</v>
      </c>
      <c r="C235" s="1" t="s">
        <v>6960</v>
      </c>
      <c r="D235" s="9" t="e">
        <f>VLOOKUP(C235,Project.csv!E:P,13,FALSE)</f>
        <v>#REF!</v>
      </c>
      <c r="E235" s="8" t="e">
        <f t="shared" si="22"/>
        <v>#REF!</v>
      </c>
      <c r="F235" s="9" t="s">
        <v>7118</v>
      </c>
      <c r="G235" s="9">
        <f ca="1">INDEX(EquipmentTypes.csv!C:C,RANDBETWEEN(2,COUNTA(EquipmentTypes.csv!B:B)),1)</f>
        <v>200005</v>
      </c>
      <c r="H235" s="8" t="str">
        <f t="shared" ca="1" si="23"/>
        <v>rg:{ 'id': '200005'}</v>
      </c>
      <c r="I235" s="8">
        <f t="shared" ca="1" si="24"/>
        <v>4</v>
      </c>
      <c r="J235" s="8">
        <f t="shared" ca="1" si="25"/>
        <v>28</v>
      </c>
      <c r="K235" s="8" t="str">
        <f t="shared" ca="1" si="26"/>
        <v>2017-04-07</v>
      </c>
      <c r="L235" s="8" t="str">
        <f t="shared" ca="1" si="27"/>
        <v>2017-04-21</v>
      </c>
    </row>
    <row r="236" spans="1:12" x14ac:dyDescent="0.3">
      <c r="A236" s="8" t="s">
        <v>5675</v>
      </c>
      <c r="B236" s="8">
        <f t="shared" si="21"/>
        <v>600234</v>
      </c>
      <c r="C236" s="1" t="s">
        <v>7090</v>
      </c>
      <c r="D236" s="9" t="e">
        <f>VLOOKUP(C236,Project.csv!E:P,13,FALSE)</f>
        <v>#REF!</v>
      </c>
      <c r="E236" s="8" t="e">
        <f t="shared" si="22"/>
        <v>#REF!</v>
      </c>
      <c r="F236" s="9" t="s">
        <v>7118</v>
      </c>
      <c r="G236" s="9">
        <f ca="1">INDEX(EquipmentTypes.csv!C:C,RANDBETWEEN(2,COUNTA(EquipmentTypes.csv!B:B)),1)</f>
        <v>200028</v>
      </c>
      <c r="H236" s="8" t="str">
        <f t="shared" ca="1" si="23"/>
        <v>rg:{ 'id': '200028'}</v>
      </c>
      <c r="I236" s="8">
        <f t="shared" ca="1" si="24"/>
        <v>1</v>
      </c>
      <c r="J236" s="8">
        <f t="shared" ca="1" si="25"/>
        <v>7</v>
      </c>
      <c r="K236" s="8" t="str">
        <f t="shared" ca="1" si="26"/>
        <v>2017-04-22</v>
      </c>
      <c r="L236" s="8" t="str">
        <f t="shared" ca="1" si="27"/>
        <v>2017-04-22</v>
      </c>
    </row>
    <row r="237" spans="1:12" x14ac:dyDescent="0.3">
      <c r="A237" s="8" t="s">
        <v>5675</v>
      </c>
      <c r="B237" s="8">
        <f t="shared" si="21"/>
        <v>600235</v>
      </c>
      <c r="C237" s="1" t="s">
        <v>7091</v>
      </c>
      <c r="D237" s="9" t="e">
        <f>VLOOKUP(C237,Project.csv!E:P,13,FALSE)</f>
        <v>#REF!</v>
      </c>
      <c r="E237" s="8" t="e">
        <f t="shared" si="22"/>
        <v>#REF!</v>
      </c>
      <c r="F237" s="9" t="s">
        <v>7118</v>
      </c>
      <c r="G237" s="9">
        <f ca="1">INDEX(EquipmentTypes.csv!C:C,RANDBETWEEN(2,COUNTA(EquipmentTypes.csv!B:B)),1)</f>
        <v>200051</v>
      </c>
      <c r="H237" s="8" t="str">
        <f t="shared" ca="1" si="23"/>
        <v>rg:{ 'id': '200051'}</v>
      </c>
      <c r="I237" s="8">
        <f t="shared" ca="1" si="24"/>
        <v>1</v>
      </c>
      <c r="J237" s="8">
        <f t="shared" ca="1" si="25"/>
        <v>14</v>
      </c>
      <c r="K237" s="8" t="str">
        <f t="shared" ca="1" si="26"/>
        <v>2017-03-24</v>
      </c>
      <c r="L237" s="8" t="str">
        <f t="shared" ca="1" si="27"/>
        <v>2017-03-25</v>
      </c>
    </row>
    <row r="238" spans="1:12" x14ac:dyDescent="0.3">
      <c r="A238" s="8" t="s">
        <v>5675</v>
      </c>
      <c r="B238" s="8">
        <f t="shared" si="21"/>
        <v>600236</v>
      </c>
      <c r="C238" s="1" t="s">
        <v>6936</v>
      </c>
      <c r="D238" s="9" t="e">
        <f>VLOOKUP(C238,Project.csv!E:P,13,FALSE)</f>
        <v>#REF!</v>
      </c>
      <c r="E238" s="8" t="e">
        <f t="shared" si="22"/>
        <v>#REF!</v>
      </c>
      <c r="F238" s="9" t="s">
        <v>7118</v>
      </c>
      <c r="G238" s="9">
        <f ca="1">INDEX(EquipmentTypes.csv!C:C,RANDBETWEEN(2,COUNTA(EquipmentTypes.csv!B:B)),1)</f>
        <v>200043</v>
      </c>
      <c r="H238" s="8" t="str">
        <f t="shared" ca="1" si="23"/>
        <v>rg:{ 'id': '200043'}</v>
      </c>
      <c r="I238" s="8">
        <f t="shared" ca="1" si="24"/>
        <v>1</v>
      </c>
      <c r="J238" s="8">
        <f t="shared" ca="1" si="25"/>
        <v>11</v>
      </c>
      <c r="K238" s="8" t="str">
        <f t="shared" ca="1" si="26"/>
        <v>2017-03-18</v>
      </c>
      <c r="L238" s="8" t="str">
        <f t="shared" ca="1" si="27"/>
        <v>2017-03-19</v>
      </c>
    </row>
    <row r="239" spans="1:12" x14ac:dyDescent="0.3">
      <c r="A239" s="8" t="s">
        <v>5675</v>
      </c>
      <c r="B239" s="8">
        <f t="shared" si="21"/>
        <v>600237</v>
      </c>
      <c r="C239" s="1" t="s">
        <v>7092</v>
      </c>
      <c r="D239" s="9" t="e">
        <f>VLOOKUP(C239,Project.csv!E:P,13,FALSE)</f>
        <v>#REF!</v>
      </c>
      <c r="E239" s="8" t="e">
        <f t="shared" si="22"/>
        <v>#REF!</v>
      </c>
      <c r="F239" s="9" t="s">
        <v>7118</v>
      </c>
      <c r="G239" s="9">
        <f ca="1">INDEX(EquipmentTypes.csv!C:C,RANDBETWEEN(2,COUNTA(EquipmentTypes.csv!B:B)),1)</f>
        <v>200012</v>
      </c>
      <c r="H239" s="8" t="str">
        <f t="shared" ca="1" si="23"/>
        <v>rg:{ 'id': '200012'}</v>
      </c>
      <c r="I239" s="8">
        <f t="shared" ca="1" si="24"/>
        <v>5</v>
      </c>
      <c r="J239" s="8">
        <f t="shared" ca="1" si="25"/>
        <v>86</v>
      </c>
      <c r="K239" s="8" t="str">
        <f t="shared" ca="1" si="26"/>
        <v>2017-04-02</v>
      </c>
      <c r="L239" s="8" t="str">
        <f t="shared" ca="1" si="27"/>
        <v>2017-05-25</v>
      </c>
    </row>
    <row r="240" spans="1:12" x14ac:dyDescent="0.3">
      <c r="A240" s="8" t="s">
        <v>5675</v>
      </c>
      <c r="B240" s="8">
        <f t="shared" si="21"/>
        <v>600238</v>
      </c>
      <c r="C240" s="1" t="s">
        <v>7093</v>
      </c>
      <c r="D240" s="9" t="e">
        <f>VLOOKUP(C240,Project.csv!E:P,13,FALSE)</f>
        <v>#REF!</v>
      </c>
      <c r="E240" s="8" t="e">
        <f t="shared" si="22"/>
        <v>#REF!</v>
      </c>
      <c r="F240" s="9" t="s">
        <v>7118</v>
      </c>
      <c r="G240" s="9">
        <f ca="1">INDEX(EquipmentTypes.csv!C:C,RANDBETWEEN(2,COUNTA(EquipmentTypes.csv!B:B)),1)</f>
        <v>200043</v>
      </c>
      <c r="H240" s="8" t="str">
        <f t="shared" ca="1" si="23"/>
        <v>rg:{ 'id': '200043'}</v>
      </c>
      <c r="I240" s="8">
        <f t="shared" ca="1" si="24"/>
        <v>5</v>
      </c>
      <c r="J240" s="8">
        <f t="shared" ca="1" si="25"/>
        <v>30</v>
      </c>
      <c r="K240" s="8" t="str">
        <f t="shared" ca="1" si="26"/>
        <v>2017-04-08</v>
      </c>
      <c r="L240" s="8" t="str">
        <f t="shared" ca="1" si="27"/>
        <v>2017-04-26</v>
      </c>
    </row>
    <row r="241" spans="1:12" x14ac:dyDescent="0.3">
      <c r="A241" s="8" t="s">
        <v>5675</v>
      </c>
      <c r="B241" s="8">
        <f t="shared" si="21"/>
        <v>600239</v>
      </c>
      <c r="C241" s="1" t="s">
        <v>6919</v>
      </c>
      <c r="D241" s="9" t="e">
        <f>VLOOKUP(C241,Project.csv!E:P,13,FALSE)</f>
        <v>#REF!</v>
      </c>
      <c r="E241" s="8" t="e">
        <f t="shared" si="22"/>
        <v>#REF!</v>
      </c>
      <c r="F241" s="9" t="s">
        <v>7118</v>
      </c>
      <c r="G241" s="9">
        <f ca="1">INDEX(EquipmentTypes.csv!C:C,RANDBETWEEN(2,COUNTA(EquipmentTypes.csv!B:B)),1)</f>
        <v>200072</v>
      </c>
      <c r="H241" s="8" t="str">
        <f t="shared" ca="1" si="23"/>
        <v>rg:{ 'id': '200072'}</v>
      </c>
      <c r="I241" s="8">
        <f t="shared" ca="1" si="24"/>
        <v>3</v>
      </c>
      <c r="J241" s="8">
        <f t="shared" ca="1" si="25"/>
        <v>4</v>
      </c>
      <c r="K241" s="8" t="str">
        <f t="shared" ca="1" si="26"/>
        <v>2017-03-28</v>
      </c>
      <c r="L241" s="8" t="str">
        <f t="shared" ca="1" si="27"/>
        <v>2017-03-29</v>
      </c>
    </row>
    <row r="242" spans="1:12" x14ac:dyDescent="0.3">
      <c r="A242" s="8" t="s">
        <v>5675</v>
      </c>
      <c r="B242" s="8">
        <f t="shared" si="21"/>
        <v>600240</v>
      </c>
      <c r="C242" s="1" t="s">
        <v>6939</v>
      </c>
      <c r="D242" s="9" t="e">
        <f>VLOOKUP(C242,Project.csv!E:P,13,FALSE)</f>
        <v>#REF!</v>
      </c>
      <c r="E242" s="8" t="e">
        <f t="shared" si="22"/>
        <v>#REF!</v>
      </c>
      <c r="F242" s="9" t="s">
        <v>7118</v>
      </c>
      <c r="G242" s="9">
        <f ca="1">INDEX(EquipmentTypes.csv!C:C,RANDBETWEEN(2,COUNTA(EquipmentTypes.csv!B:B)),1)</f>
        <v>200048</v>
      </c>
      <c r="H242" s="8" t="str">
        <f t="shared" ca="1" si="23"/>
        <v>rg:{ 'id': '200048'}</v>
      </c>
      <c r="I242" s="8">
        <f t="shared" ca="1" si="24"/>
        <v>1</v>
      </c>
      <c r="J242" s="8">
        <f t="shared" ca="1" si="25"/>
        <v>35</v>
      </c>
      <c r="K242" s="8" t="str">
        <f t="shared" ca="1" si="26"/>
        <v>2017-03-20</v>
      </c>
      <c r="L242" s="8" t="str">
        <f t="shared" ca="1" si="27"/>
        <v>2017-03-24</v>
      </c>
    </row>
    <row r="243" spans="1:12" x14ac:dyDescent="0.3">
      <c r="A243" s="8" t="s">
        <v>5675</v>
      </c>
      <c r="B243" s="8">
        <f t="shared" si="21"/>
        <v>600241</v>
      </c>
      <c r="C243" s="1" t="s">
        <v>7094</v>
      </c>
      <c r="D243" s="9" t="e">
        <f>VLOOKUP(C243,Project.csv!E:P,13,FALSE)</f>
        <v>#REF!</v>
      </c>
      <c r="E243" s="8" t="e">
        <f t="shared" si="22"/>
        <v>#REF!</v>
      </c>
      <c r="F243" s="9" t="s">
        <v>7118</v>
      </c>
      <c r="G243" s="9">
        <f ca="1">INDEX(EquipmentTypes.csv!C:C,RANDBETWEEN(2,COUNTA(EquipmentTypes.csv!B:B)),1)</f>
        <v>200083</v>
      </c>
      <c r="H243" s="8" t="str">
        <f t="shared" ca="1" si="23"/>
        <v>rg:{ 'id': '200083'}</v>
      </c>
      <c r="I243" s="8">
        <f t="shared" ca="1" si="24"/>
        <v>3</v>
      </c>
      <c r="J243" s="8">
        <f t="shared" ca="1" si="25"/>
        <v>73</v>
      </c>
      <c r="K243" s="8" t="str">
        <f t="shared" ca="1" si="26"/>
        <v>2017-04-17</v>
      </c>
      <c r="L243" s="8" t="str">
        <f t="shared" ca="1" si="27"/>
        <v>2017-05-14</v>
      </c>
    </row>
    <row r="244" spans="1:12" x14ac:dyDescent="0.3">
      <c r="A244" s="8" t="s">
        <v>5675</v>
      </c>
      <c r="B244" s="8">
        <f t="shared" si="21"/>
        <v>600242</v>
      </c>
      <c r="C244" s="1" t="s">
        <v>7095</v>
      </c>
      <c r="D244" s="9" t="e">
        <f>VLOOKUP(C244,Project.csv!E:P,13,FALSE)</f>
        <v>#REF!</v>
      </c>
      <c r="E244" s="8" t="e">
        <f t="shared" si="22"/>
        <v>#REF!</v>
      </c>
      <c r="F244" s="9" t="s">
        <v>7118</v>
      </c>
      <c r="G244" s="9">
        <f ca="1">INDEX(EquipmentTypes.csv!C:C,RANDBETWEEN(2,COUNTA(EquipmentTypes.csv!B:B)),1)</f>
        <v>200051</v>
      </c>
      <c r="H244" s="8" t="str">
        <f t="shared" ca="1" si="23"/>
        <v>rg:{ 'id': '200051'}</v>
      </c>
      <c r="I244" s="8">
        <f t="shared" ca="1" si="24"/>
        <v>3</v>
      </c>
      <c r="J244" s="8">
        <f t="shared" ca="1" si="25"/>
        <v>62</v>
      </c>
      <c r="K244" s="8" t="str">
        <f t="shared" ca="1" si="26"/>
        <v>2017-03-05</v>
      </c>
      <c r="L244" s="8" t="str">
        <f t="shared" ca="1" si="27"/>
        <v>2017-03-28</v>
      </c>
    </row>
    <row r="245" spans="1:12" x14ac:dyDescent="0.3">
      <c r="A245" s="8" t="s">
        <v>5675</v>
      </c>
      <c r="B245" s="8">
        <f t="shared" si="21"/>
        <v>600243</v>
      </c>
      <c r="C245" s="1" t="s">
        <v>6922</v>
      </c>
      <c r="D245" s="9" t="e">
        <f>VLOOKUP(C245,Project.csv!E:P,13,FALSE)</f>
        <v>#REF!</v>
      </c>
      <c r="E245" s="8" t="e">
        <f t="shared" si="22"/>
        <v>#REF!</v>
      </c>
      <c r="F245" s="9" t="s">
        <v>7118</v>
      </c>
      <c r="G245" s="9">
        <f ca="1">INDEX(EquipmentTypes.csv!C:C,RANDBETWEEN(2,COUNTA(EquipmentTypes.csv!B:B)),1)</f>
        <v>200018</v>
      </c>
      <c r="H245" s="8" t="str">
        <f t="shared" ca="1" si="23"/>
        <v>rg:{ 'id': '200018'}</v>
      </c>
      <c r="I245" s="8">
        <f t="shared" ca="1" si="24"/>
        <v>1</v>
      </c>
      <c r="J245" s="8">
        <f t="shared" ca="1" si="25"/>
        <v>93</v>
      </c>
      <c r="K245" s="8" t="str">
        <f t="shared" ca="1" si="26"/>
        <v>2017-03-22</v>
      </c>
      <c r="L245" s="8" t="str">
        <f t="shared" ca="1" si="27"/>
        <v>2017-04-02</v>
      </c>
    </row>
    <row r="246" spans="1:12" x14ac:dyDescent="0.3">
      <c r="A246" s="8" t="s">
        <v>5675</v>
      </c>
      <c r="B246" s="8">
        <f t="shared" si="21"/>
        <v>600244</v>
      </c>
      <c r="C246" s="1" t="s">
        <v>7096</v>
      </c>
      <c r="D246" s="9" t="e">
        <f>VLOOKUP(C246,Project.csv!E:P,13,FALSE)</f>
        <v>#REF!</v>
      </c>
      <c r="E246" s="8" t="e">
        <f t="shared" si="22"/>
        <v>#REF!</v>
      </c>
      <c r="F246" s="9" t="s">
        <v>7118</v>
      </c>
      <c r="G246" s="9">
        <f ca="1">INDEX(EquipmentTypes.csv!C:C,RANDBETWEEN(2,COUNTA(EquipmentTypes.csv!B:B)),1)</f>
        <v>200067</v>
      </c>
      <c r="H246" s="8" t="str">
        <f t="shared" ca="1" si="23"/>
        <v>rg:{ 'id': '200067'}</v>
      </c>
      <c r="I246" s="8">
        <f t="shared" ca="1" si="24"/>
        <v>1</v>
      </c>
      <c r="J246" s="8">
        <f t="shared" ca="1" si="25"/>
        <v>12</v>
      </c>
      <c r="K246" s="8" t="str">
        <f t="shared" ca="1" si="26"/>
        <v>2017-03-08</v>
      </c>
      <c r="L246" s="8" t="str">
        <f t="shared" ca="1" si="27"/>
        <v>2017-03-09</v>
      </c>
    </row>
    <row r="247" spans="1:12" x14ac:dyDescent="0.3">
      <c r="A247" s="8" t="s">
        <v>5675</v>
      </c>
      <c r="B247" s="8">
        <f t="shared" si="21"/>
        <v>600245</v>
      </c>
      <c r="C247" s="1" t="s">
        <v>7036</v>
      </c>
      <c r="D247" s="9" t="e">
        <f>VLOOKUP(C247,Project.csv!E:P,13,FALSE)</f>
        <v>#REF!</v>
      </c>
      <c r="E247" s="8" t="e">
        <f t="shared" si="22"/>
        <v>#REF!</v>
      </c>
      <c r="F247" s="9" t="s">
        <v>7118</v>
      </c>
      <c r="G247" s="9">
        <f ca="1">INDEX(EquipmentTypes.csv!C:C,RANDBETWEEN(2,COUNTA(EquipmentTypes.csv!B:B)),1)</f>
        <v>200021</v>
      </c>
      <c r="H247" s="8" t="str">
        <f t="shared" ca="1" si="23"/>
        <v>rg:{ 'id': '200021'}</v>
      </c>
      <c r="I247" s="8">
        <f t="shared" ca="1" si="24"/>
        <v>1</v>
      </c>
      <c r="J247" s="8">
        <f t="shared" ca="1" si="25"/>
        <v>21</v>
      </c>
      <c r="K247" s="8" t="str">
        <f t="shared" ca="1" si="26"/>
        <v>2017-03-22</v>
      </c>
      <c r="L247" s="8" t="str">
        <f t="shared" ca="1" si="27"/>
        <v>2017-03-24</v>
      </c>
    </row>
    <row r="248" spans="1:12" x14ac:dyDescent="0.3">
      <c r="A248" s="8" t="s">
        <v>5675</v>
      </c>
      <c r="B248" s="8">
        <f t="shared" si="21"/>
        <v>600246</v>
      </c>
      <c r="C248" s="1" t="s">
        <v>6916</v>
      </c>
      <c r="D248" s="9" t="e">
        <f>VLOOKUP(C248,Project.csv!E:P,13,FALSE)</f>
        <v>#REF!</v>
      </c>
      <c r="E248" s="8" t="e">
        <f t="shared" si="22"/>
        <v>#REF!</v>
      </c>
      <c r="F248" s="9" t="s">
        <v>7118</v>
      </c>
      <c r="G248" s="9">
        <f ca="1">INDEX(EquipmentTypes.csv!C:C,RANDBETWEEN(2,COUNTA(EquipmentTypes.csv!B:B)),1)</f>
        <v>200012</v>
      </c>
      <c r="H248" s="8" t="str">
        <f t="shared" ca="1" si="23"/>
        <v>rg:{ 'id': '200012'}</v>
      </c>
      <c r="I248" s="8">
        <f t="shared" ca="1" si="24"/>
        <v>2</v>
      </c>
      <c r="J248" s="8">
        <f t="shared" ca="1" si="25"/>
        <v>19</v>
      </c>
      <c r="K248" s="8" t="str">
        <f t="shared" ca="1" si="26"/>
        <v>2017-03-16</v>
      </c>
      <c r="L248" s="8" t="str">
        <f t="shared" ca="1" si="27"/>
        <v>2017-03-20</v>
      </c>
    </row>
    <row r="249" spans="1:12" x14ac:dyDescent="0.3">
      <c r="A249" s="8" t="s">
        <v>5675</v>
      </c>
      <c r="B249" s="8">
        <f t="shared" si="21"/>
        <v>600247</v>
      </c>
      <c r="C249" s="1" t="s">
        <v>6992</v>
      </c>
      <c r="D249" s="9" t="e">
        <f>VLOOKUP(C249,Project.csv!E:P,13,FALSE)</f>
        <v>#REF!</v>
      </c>
      <c r="E249" s="8" t="e">
        <f t="shared" si="22"/>
        <v>#REF!</v>
      </c>
      <c r="F249" s="9" t="s">
        <v>7118</v>
      </c>
      <c r="G249" s="9">
        <f ca="1">INDEX(EquipmentTypes.csv!C:C,RANDBETWEEN(2,COUNTA(EquipmentTypes.csv!B:B)),1)</f>
        <v>200019</v>
      </c>
      <c r="H249" s="8" t="str">
        <f t="shared" ca="1" si="23"/>
        <v>rg:{ 'id': '200019'}</v>
      </c>
      <c r="I249" s="8">
        <f t="shared" ca="1" si="24"/>
        <v>1</v>
      </c>
      <c r="J249" s="8">
        <f t="shared" ca="1" si="25"/>
        <v>89</v>
      </c>
      <c r="K249" s="8" t="str">
        <f t="shared" ca="1" si="26"/>
        <v>2017-03-26</v>
      </c>
      <c r="L249" s="8" t="str">
        <f t="shared" ca="1" si="27"/>
        <v>2017-04-06</v>
      </c>
    </row>
    <row r="250" spans="1:12" x14ac:dyDescent="0.3">
      <c r="A250" s="8" t="s">
        <v>5675</v>
      </c>
      <c r="B250" s="8">
        <f t="shared" si="21"/>
        <v>600248</v>
      </c>
      <c r="C250" s="1" t="s">
        <v>6941</v>
      </c>
      <c r="D250" s="9" t="e">
        <f>VLOOKUP(C250,Project.csv!E:P,13,FALSE)</f>
        <v>#REF!</v>
      </c>
      <c r="E250" s="8" t="e">
        <f t="shared" si="22"/>
        <v>#REF!</v>
      </c>
      <c r="F250" s="9" t="s">
        <v>7118</v>
      </c>
      <c r="G250" s="9">
        <f ca="1">INDEX(EquipmentTypes.csv!C:C,RANDBETWEEN(2,COUNTA(EquipmentTypes.csv!B:B)),1)</f>
        <v>200018</v>
      </c>
      <c r="H250" s="8" t="str">
        <f t="shared" ca="1" si="23"/>
        <v>rg:{ 'id': '200018'}</v>
      </c>
      <c r="I250" s="8">
        <f t="shared" ca="1" si="24"/>
        <v>3</v>
      </c>
      <c r="J250" s="8">
        <f t="shared" ca="1" si="25"/>
        <v>64</v>
      </c>
      <c r="K250" s="8" t="str">
        <f t="shared" ca="1" si="26"/>
        <v>2017-03-12</v>
      </c>
      <c r="L250" s="8" t="str">
        <f t="shared" ca="1" si="27"/>
        <v>2017-04-05</v>
      </c>
    </row>
    <row r="251" spans="1:12" x14ac:dyDescent="0.3">
      <c r="A251" s="8" t="s">
        <v>5675</v>
      </c>
      <c r="B251" s="8">
        <f t="shared" si="21"/>
        <v>600249</v>
      </c>
      <c r="C251" s="1" t="s">
        <v>6946</v>
      </c>
      <c r="D251" s="9" t="e">
        <f>VLOOKUP(C251,Project.csv!E:P,13,FALSE)</f>
        <v>#REF!</v>
      </c>
      <c r="E251" s="8" t="e">
        <f t="shared" si="22"/>
        <v>#REF!</v>
      </c>
      <c r="F251" s="9" t="s">
        <v>7118</v>
      </c>
      <c r="G251" s="9">
        <f ca="1">INDEX(EquipmentTypes.csv!C:C,RANDBETWEEN(2,COUNTA(EquipmentTypes.csv!B:B)),1)</f>
        <v>200060</v>
      </c>
      <c r="H251" s="8" t="str">
        <f t="shared" ca="1" si="23"/>
        <v>rg:{ 'id': '200060'}</v>
      </c>
      <c r="I251" s="8">
        <f t="shared" ca="1" si="24"/>
        <v>1</v>
      </c>
      <c r="J251" s="8">
        <f t="shared" ca="1" si="25"/>
        <v>48</v>
      </c>
      <c r="K251" s="8" t="str">
        <f t="shared" ca="1" si="26"/>
        <v>2017-04-11</v>
      </c>
      <c r="L251" s="8" t="str">
        <f t="shared" ca="1" si="27"/>
        <v>2017-04-17</v>
      </c>
    </row>
    <row r="252" spans="1:12" x14ac:dyDescent="0.3">
      <c r="A252" s="8" t="s">
        <v>5675</v>
      </c>
      <c r="B252" s="8">
        <f t="shared" si="21"/>
        <v>600250</v>
      </c>
      <c r="C252" s="1" t="s">
        <v>6977</v>
      </c>
      <c r="D252" s="9" t="e">
        <f>VLOOKUP(C252,Project.csv!E:P,13,FALSE)</f>
        <v>#REF!</v>
      </c>
      <c r="E252" s="8" t="e">
        <f t="shared" si="22"/>
        <v>#REF!</v>
      </c>
      <c r="F252" s="9" t="s">
        <v>7118</v>
      </c>
      <c r="G252" s="9">
        <f ca="1">INDEX(EquipmentTypes.csv!C:C,RANDBETWEEN(2,COUNTA(EquipmentTypes.csv!B:B)),1)</f>
        <v>200072</v>
      </c>
      <c r="H252" s="8" t="str">
        <f t="shared" ca="1" si="23"/>
        <v>rg:{ 'id': '200072'}</v>
      </c>
      <c r="I252" s="8">
        <f t="shared" ca="1" si="24"/>
        <v>1</v>
      </c>
      <c r="J252" s="8">
        <f t="shared" ca="1" si="25"/>
        <v>43</v>
      </c>
      <c r="K252" s="8" t="str">
        <f t="shared" ca="1" si="26"/>
        <v>2017-04-20</v>
      </c>
      <c r="L252" s="8" t="str">
        <f t="shared" ca="1" si="27"/>
        <v>2017-04-25</v>
      </c>
    </row>
    <row r="253" spans="1:12" x14ac:dyDescent="0.3">
      <c r="A253" s="8" t="s">
        <v>5675</v>
      </c>
      <c r="B253" s="8">
        <f t="shared" si="21"/>
        <v>600251</v>
      </c>
      <c r="C253" s="1" t="s">
        <v>7097</v>
      </c>
      <c r="D253" s="9" t="e">
        <f>VLOOKUP(C253,Project.csv!E:P,13,FALSE)</f>
        <v>#REF!</v>
      </c>
      <c r="E253" s="8" t="e">
        <f t="shared" si="22"/>
        <v>#REF!</v>
      </c>
      <c r="F253" s="9" t="s">
        <v>7118</v>
      </c>
      <c r="G253" s="9">
        <f ca="1">INDEX(EquipmentTypes.csv!C:C,RANDBETWEEN(2,COUNTA(EquipmentTypes.csv!B:B)),1)</f>
        <v>200085</v>
      </c>
      <c r="H253" s="8" t="str">
        <f t="shared" ca="1" si="23"/>
        <v>rg:{ 'id': '200085'}</v>
      </c>
      <c r="I253" s="8">
        <f t="shared" ca="1" si="24"/>
        <v>2</v>
      </c>
      <c r="J253" s="8">
        <f t="shared" ca="1" si="25"/>
        <v>54</v>
      </c>
      <c r="K253" s="8" t="str">
        <f t="shared" ca="1" si="26"/>
        <v>2017-03-23</v>
      </c>
      <c r="L253" s="8" t="str">
        <f t="shared" ca="1" si="27"/>
        <v>2017-04-05</v>
      </c>
    </row>
    <row r="254" spans="1:12" x14ac:dyDescent="0.3">
      <c r="A254" s="8" t="s">
        <v>5675</v>
      </c>
      <c r="B254" s="8">
        <f t="shared" si="21"/>
        <v>600252</v>
      </c>
      <c r="C254" s="1" t="s">
        <v>6909</v>
      </c>
      <c r="D254" s="9" t="e">
        <f>VLOOKUP(C254,Project.csv!E:P,13,FALSE)</f>
        <v>#REF!</v>
      </c>
      <c r="E254" s="8" t="e">
        <f t="shared" si="22"/>
        <v>#REF!</v>
      </c>
      <c r="F254" s="9" t="s">
        <v>7118</v>
      </c>
      <c r="G254" s="9">
        <f ca="1">INDEX(EquipmentTypes.csv!C:C,RANDBETWEEN(2,COUNTA(EquipmentTypes.csv!B:B)),1)</f>
        <v>200082</v>
      </c>
      <c r="H254" s="8" t="str">
        <f t="shared" ca="1" si="23"/>
        <v>rg:{ 'id': '200082'}</v>
      </c>
      <c r="I254" s="8">
        <f t="shared" ca="1" si="24"/>
        <v>1</v>
      </c>
      <c r="J254" s="8">
        <f t="shared" ca="1" si="25"/>
        <v>38</v>
      </c>
      <c r="K254" s="8" t="str">
        <f t="shared" ca="1" si="26"/>
        <v>2017-03-25</v>
      </c>
      <c r="L254" s="8" t="str">
        <f t="shared" ca="1" si="27"/>
        <v>2017-03-29</v>
      </c>
    </row>
    <row r="255" spans="1:12" x14ac:dyDescent="0.3">
      <c r="A255" s="8" t="s">
        <v>5675</v>
      </c>
      <c r="B255" s="8">
        <f t="shared" si="21"/>
        <v>600253</v>
      </c>
      <c r="C255" s="1" t="s">
        <v>7098</v>
      </c>
      <c r="D255" s="9" t="e">
        <f>VLOOKUP(C255,Project.csv!E:P,13,FALSE)</f>
        <v>#REF!</v>
      </c>
      <c r="E255" s="8" t="e">
        <f t="shared" si="22"/>
        <v>#REF!</v>
      </c>
      <c r="F255" s="9" t="s">
        <v>7118</v>
      </c>
      <c r="G255" s="9">
        <f ca="1">INDEX(EquipmentTypes.csv!C:C,RANDBETWEEN(2,COUNTA(EquipmentTypes.csv!B:B)),1)</f>
        <v>200067</v>
      </c>
      <c r="H255" s="8" t="str">
        <f t="shared" ca="1" si="23"/>
        <v>rg:{ 'id': '200067'}</v>
      </c>
      <c r="I255" s="8">
        <f t="shared" ca="1" si="24"/>
        <v>1</v>
      </c>
      <c r="J255" s="8">
        <f t="shared" ca="1" si="25"/>
        <v>81</v>
      </c>
      <c r="K255" s="8" t="str">
        <f t="shared" ca="1" si="26"/>
        <v>2017-04-09</v>
      </c>
      <c r="L255" s="8" t="str">
        <f t="shared" ca="1" si="27"/>
        <v>2017-04-19</v>
      </c>
    </row>
    <row r="256" spans="1:12" x14ac:dyDescent="0.3">
      <c r="A256" s="8" t="s">
        <v>5675</v>
      </c>
      <c r="B256" s="8">
        <f t="shared" si="21"/>
        <v>600254</v>
      </c>
      <c r="C256" s="1" t="s">
        <v>6964</v>
      </c>
      <c r="D256" s="9" t="e">
        <f>VLOOKUP(C256,Project.csv!E:P,13,FALSE)</f>
        <v>#REF!</v>
      </c>
      <c r="E256" s="8" t="e">
        <f t="shared" si="22"/>
        <v>#REF!</v>
      </c>
      <c r="F256" s="9" t="s">
        <v>7118</v>
      </c>
      <c r="G256" s="9">
        <f ca="1">INDEX(EquipmentTypes.csv!C:C,RANDBETWEEN(2,COUNTA(EquipmentTypes.csv!B:B)),1)</f>
        <v>200048</v>
      </c>
      <c r="H256" s="8" t="str">
        <f t="shared" ca="1" si="23"/>
        <v>rg:{ 'id': '200048'}</v>
      </c>
      <c r="I256" s="8">
        <f t="shared" ca="1" si="24"/>
        <v>1</v>
      </c>
      <c r="J256" s="8">
        <f t="shared" ca="1" si="25"/>
        <v>76</v>
      </c>
      <c r="K256" s="8" t="str">
        <f t="shared" ca="1" si="26"/>
        <v>2017-03-22</v>
      </c>
      <c r="L256" s="8" t="str">
        <f t="shared" ca="1" si="27"/>
        <v>2017-03-31</v>
      </c>
    </row>
    <row r="257" spans="1:12" x14ac:dyDescent="0.3">
      <c r="A257" s="8" t="s">
        <v>5675</v>
      </c>
      <c r="B257" s="8">
        <f t="shared" si="21"/>
        <v>600255</v>
      </c>
      <c r="C257" s="1" t="s">
        <v>7099</v>
      </c>
      <c r="D257" s="9" t="e">
        <f>VLOOKUP(C257,Project.csv!E:P,13,FALSE)</f>
        <v>#REF!</v>
      </c>
      <c r="E257" s="8" t="e">
        <f t="shared" si="22"/>
        <v>#REF!</v>
      </c>
      <c r="F257" s="9" t="s">
        <v>7118</v>
      </c>
      <c r="G257" s="9">
        <f ca="1">INDEX(EquipmentTypes.csv!C:C,RANDBETWEEN(2,COUNTA(EquipmentTypes.csv!B:B)),1)</f>
        <v>200067</v>
      </c>
      <c r="H257" s="8" t="str">
        <f t="shared" ca="1" si="23"/>
        <v>rg:{ 'id': '200067'}</v>
      </c>
      <c r="I257" s="8">
        <f t="shared" ca="1" si="24"/>
        <v>5</v>
      </c>
      <c r="J257" s="8">
        <f t="shared" ca="1" si="25"/>
        <v>44</v>
      </c>
      <c r="K257" s="8" t="str">
        <f t="shared" ca="1" si="26"/>
        <v>2017-04-22</v>
      </c>
      <c r="L257" s="8" t="str">
        <f t="shared" ca="1" si="27"/>
        <v>2017-05-19</v>
      </c>
    </row>
    <row r="258" spans="1:12" x14ac:dyDescent="0.3">
      <c r="A258" s="8" t="s">
        <v>5675</v>
      </c>
      <c r="B258" s="8">
        <f t="shared" si="21"/>
        <v>600256</v>
      </c>
      <c r="C258" s="1" t="s">
        <v>6954</v>
      </c>
      <c r="D258" s="9" t="e">
        <f>VLOOKUP(C258,Project.csv!E:P,13,FALSE)</f>
        <v>#REF!</v>
      </c>
      <c r="E258" s="8" t="e">
        <f t="shared" si="22"/>
        <v>#REF!</v>
      </c>
      <c r="F258" s="9" t="s">
        <v>7118</v>
      </c>
      <c r="G258" s="9">
        <f ca="1">INDEX(EquipmentTypes.csv!C:C,RANDBETWEEN(2,COUNTA(EquipmentTypes.csv!B:B)),1)</f>
        <v>200019</v>
      </c>
      <c r="H258" s="8" t="str">
        <f t="shared" ca="1" si="23"/>
        <v>rg:{ 'id': '200019'}</v>
      </c>
      <c r="I258" s="8">
        <f t="shared" ca="1" si="24"/>
        <v>1</v>
      </c>
      <c r="J258" s="8">
        <f t="shared" ca="1" si="25"/>
        <v>99</v>
      </c>
      <c r="K258" s="8" t="str">
        <f t="shared" ca="1" si="26"/>
        <v>2017-03-19</v>
      </c>
      <c r="L258" s="8" t="str">
        <f t="shared" ca="1" si="27"/>
        <v>2017-03-31</v>
      </c>
    </row>
    <row r="259" spans="1:12" x14ac:dyDescent="0.3">
      <c r="A259" s="8" t="s">
        <v>5675</v>
      </c>
      <c r="B259" s="8">
        <f t="shared" ref="B259:B322" si="28">IF(ISNUMBER(B258),B258+1,600000)</f>
        <v>600257</v>
      </c>
      <c r="C259" s="1" t="s">
        <v>7081</v>
      </c>
      <c r="D259" s="9" t="e">
        <f>VLOOKUP(C259,Project.csv!E:P,13,FALSE)</f>
        <v>#REF!</v>
      </c>
      <c r="E259" s="8" t="e">
        <f t="shared" ref="E259:E322" si="29" xml:space="preserve"> "rg:{'id':'" &amp; D259 &amp; "'}"</f>
        <v>#REF!</v>
      </c>
      <c r="F259" s="9" t="s">
        <v>7118</v>
      </c>
      <c r="G259" s="9">
        <f ca="1">INDEX(EquipmentTypes.csv!C:C,RANDBETWEEN(2,COUNTA(EquipmentTypes.csv!B:B)),1)</f>
        <v>200084</v>
      </c>
      <c r="H259" s="8" t="str">
        <f t="shared" ref="H259:H322" ca="1" si="30">"rg:{ 'id': '"&amp;G259&amp;"'}"</f>
        <v>rg:{ 'id': '200084'}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28</v>
      </c>
      <c r="K259" s="8" t="str">
        <f t="shared" ref="K259:K322" ca="1" si="33">TEXT(TODAY()+RANDBETWEEN(1,56),"YYYY-MM-DD")</f>
        <v>2017-03-22</v>
      </c>
      <c r="L259" s="8" t="str">
        <f t="shared" ref="L259:L322" ca="1" si="34">TEXT(K259+(I259*J259)/8,"YYYY-MM-DD")</f>
        <v>2017-03-25</v>
      </c>
    </row>
    <row r="260" spans="1:12" x14ac:dyDescent="0.3">
      <c r="A260" s="8" t="s">
        <v>5675</v>
      </c>
      <c r="B260" s="8">
        <f t="shared" si="28"/>
        <v>600258</v>
      </c>
      <c r="C260" s="1" t="s">
        <v>7100</v>
      </c>
      <c r="D260" s="9" t="e">
        <f>VLOOKUP(C260,Project.csv!E:P,13,FALSE)</f>
        <v>#REF!</v>
      </c>
      <c r="E260" s="8" t="e">
        <f t="shared" si="29"/>
        <v>#REF!</v>
      </c>
      <c r="F260" s="9" t="s">
        <v>7118</v>
      </c>
      <c r="G260" s="9">
        <f ca="1">INDEX(EquipmentTypes.csv!C:C,RANDBETWEEN(2,COUNTA(EquipmentTypes.csv!B:B)),1)</f>
        <v>200084</v>
      </c>
      <c r="H260" s="8" t="str">
        <f t="shared" ca="1" si="30"/>
        <v>rg:{ 'id': '200084'}</v>
      </c>
      <c r="I260" s="8">
        <f t="shared" ca="1" si="31"/>
        <v>1</v>
      </c>
      <c r="J260" s="8">
        <f t="shared" ca="1" si="32"/>
        <v>59</v>
      </c>
      <c r="K260" s="8" t="str">
        <f t="shared" ca="1" si="33"/>
        <v>2017-04-12</v>
      </c>
      <c r="L260" s="8" t="str">
        <f t="shared" ca="1" si="34"/>
        <v>2017-04-19</v>
      </c>
    </row>
    <row r="261" spans="1:12" x14ac:dyDescent="0.3">
      <c r="A261" s="8" t="s">
        <v>5675</v>
      </c>
      <c r="B261" s="8">
        <f t="shared" si="28"/>
        <v>600259</v>
      </c>
      <c r="C261" s="1" t="s">
        <v>7001</v>
      </c>
      <c r="D261" s="9" t="e">
        <f>VLOOKUP(C261,Project.csv!E:P,13,FALSE)</f>
        <v>#REF!</v>
      </c>
      <c r="E261" s="8" t="e">
        <f t="shared" si="29"/>
        <v>#REF!</v>
      </c>
      <c r="F261" s="9" t="s">
        <v>7118</v>
      </c>
      <c r="G261" s="9">
        <f ca="1">INDEX(EquipmentTypes.csv!C:C,RANDBETWEEN(2,COUNTA(EquipmentTypes.csv!B:B)),1)</f>
        <v>200043</v>
      </c>
      <c r="H261" s="8" t="str">
        <f t="shared" ca="1" si="30"/>
        <v>rg:{ 'id': '200043'}</v>
      </c>
      <c r="I261" s="8">
        <f t="shared" ca="1" si="31"/>
        <v>1</v>
      </c>
      <c r="J261" s="8">
        <f t="shared" ca="1" si="32"/>
        <v>78</v>
      </c>
      <c r="K261" s="8" t="str">
        <f t="shared" ca="1" si="33"/>
        <v>2017-04-13</v>
      </c>
      <c r="L261" s="8" t="str">
        <f t="shared" ca="1" si="34"/>
        <v>2017-04-22</v>
      </c>
    </row>
    <row r="262" spans="1:12" x14ac:dyDescent="0.3">
      <c r="A262" s="8" t="s">
        <v>5675</v>
      </c>
      <c r="B262" s="8">
        <f t="shared" si="28"/>
        <v>600260</v>
      </c>
      <c r="C262" s="1" t="s">
        <v>7101</v>
      </c>
      <c r="D262" s="9" t="e">
        <f>VLOOKUP(C262,Project.csv!E:P,13,FALSE)</f>
        <v>#REF!</v>
      </c>
      <c r="E262" s="8" t="e">
        <f t="shared" si="29"/>
        <v>#REF!</v>
      </c>
      <c r="F262" s="9" t="s">
        <v>7118</v>
      </c>
      <c r="G262" s="9">
        <f ca="1">INDEX(EquipmentTypes.csv!C:C,RANDBETWEEN(2,COUNTA(EquipmentTypes.csv!B:B)),1)</f>
        <v>200036</v>
      </c>
      <c r="H262" s="8" t="str">
        <f t="shared" ca="1" si="30"/>
        <v>rg:{ 'id': '200036'}</v>
      </c>
      <c r="I262" s="8">
        <f t="shared" ca="1" si="31"/>
        <v>1</v>
      </c>
      <c r="J262" s="8">
        <f t="shared" ca="1" si="32"/>
        <v>44</v>
      </c>
      <c r="K262" s="8" t="str">
        <f t="shared" ca="1" si="33"/>
        <v>2017-03-21</v>
      </c>
      <c r="L262" s="8" t="str">
        <f t="shared" ca="1" si="34"/>
        <v>2017-03-26</v>
      </c>
    </row>
    <row r="263" spans="1:12" x14ac:dyDescent="0.3">
      <c r="A263" s="8" t="s">
        <v>5675</v>
      </c>
      <c r="B263" s="8">
        <f t="shared" si="28"/>
        <v>600261</v>
      </c>
      <c r="C263" s="1" t="s">
        <v>6933</v>
      </c>
      <c r="D263" s="9" t="e">
        <f>VLOOKUP(C263,Project.csv!E:P,13,FALSE)</f>
        <v>#REF!</v>
      </c>
      <c r="E263" s="8" t="e">
        <f t="shared" si="29"/>
        <v>#REF!</v>
      </c>
      <c r="F263" s="9" t="s">
        <v>7118</v>
      </c>
      <c r="G263" s="9">
        <f ca="1">INDEX(EquipmentTypes.csv!C:C,RANDBETWEEN(2,COUNTA(EquipmentTypes.csv!B:B)),1)</f>
        <v>200059</v>
      </c>
      <c r="H263" s="8" t="str">
        <f t="shared" ca="1" si="30"/>
        <v>rg:{ 'id': '200059'}</v>
      </c>
      <c r="I263" s="8">
        <f t="shared" ca="1" si="31"/>
        <v>1</v>
      </c>
      <c r="J263" s="8">
        <f t="shared" ca="1" si="32"/>
        <v>90</v>
      </c>
      <c r="K263" s="8" t="str">
        <f t="shared" ca="1" si="33"/>
        <v>2017-04-10</v>
      </c>
      <c r="L263" s="8" t="str">
        <f t="shared" ca="1" si="34"/>
        <v>2017-04-21</v>
      </c>
    </row>
    <row r="264" spans="1:12" x14ac:dyDescent="0.3">
      <c r="A264" s="8" t="s">
        <v>5675</v>
      </c>
      <c r="B264" s="8">
        <f t="shared" si="28"/>
        <v>600262</v>
      </c>
      <c r="C264" s="1" t="s">
        <v>6953</v>
      </c>
      <c r="D264" s="9" t="e">
        <f>VLOOKUP(C264,Project.csv!E:P,13,FALSE)</f>
        <v>#REF!</v>
      </c>
      <c r="E264" s="8" t="e">
        <f t="shared" si="29"/>
        <v>#REF!</v>
      </c>
      <c r="F264" s="9" t="s">
        <v>7118</v>
      </c>
      <c r="G264" s="9">
        <f ca="1">INDEX(EquipmentTypes.csv!C:C,RANDBETWEEN(2,COUNTA(EquipmentTypes.csv!B:B)),1)</f>
        <v>200006</v>
      </c>
      <c r="H264" s="8" t="str">
        <f t="shared" ca="1" si="30"/>
        <v>rg:{ 'id': '200006'}</v>
      </c>
      <c r="I264" s="8">
        <f t="shared" ca="1" si="31"/>
        <v>1</v>
      </c>
      <c r="J264" s="8">
        <f t="shared" ca="1" si="32"/>
        <v>82</v>
      </c>
      <c r="K264" s="8" t="str">
        <f t="shared" ca="1" si="33"/>
        <v>2017-03-21</v>
      </c>
      <c r="L264" s="8" t="str">
        <f t="shared" ca="1" si="34"/>
        <v>2017-03-31</v>
      </c>
    </row>
    <row r="265" spans="1:12" x14ac:dyDescent="0.3">
      <c r="A265" s="8" t="s">
        <v>5675</v>
      </c>
      <c r="B265" s="8">
        <f t="shared" si="28"/>
        <v>600263</v>
      </c>
      <c r="C265" s="1" t="s">
        <v>7102</v>
      </c>
      <c r="D265" s="9" t="e">
        <f>VLOOKUP(C265,Project.csv!E:P,13,FALSE)</f>
        <v>#REF!</v>
      </c>
      <c r="E265" s="8" t="e">
        <f t="shared" si="29"/>
        <v>#REF!</v>
      </c>
      <c r="F265" s="9" t="s">
        <v>7118</v>
      </c>
      <c r="G265" s="9">
        <f ca="1">INDEX(EquipmentTypes.csv!C:C,RANDBETWEEN(2,COUNTA(EquipmentTypes.csv!B:B)),1)</f>
        <v>200083</v>
      </c>
      <c r="H265" s="8" t="str">
        <f t="shared" ca="1" si="30"/>
        <v>rg:{ 'id': '200083'}</v>
      </c>
      <c r="I265" s="8">
        <f t="shared" ca="1" si="31"/>
        <v>1</v>
      </c>
      <c r="J265" s="8">
        <f t="shared" ca="1" si="32"/>
        <v>4</v>
      </c>
      <c r="K265" s="8" t="str">
        <f t="shared" ca="1" si="33"/>
        <v>2017-04-27</v>
      </c>
      <c r="L265" s="8" t="str">
        <f t="shared" ca="1" si="34"/>
        <v>2017-04-27</v>
      </c>
    </row>
    <row r="266" spans="1:12" x14ac:dyDescent="0.3">
      <c r="A266" s="8" t="s">
        <v>5675</v>
      </c>
      <c r="B266" s="8">
        <f t="shared" si="28"/>
        <v>600264</v>
      </c>
      <c r="C266" s="1" t="s">
        <v>7103</v>
      </c>
      <c r="D266" s="9" t="e">
        <f>VLOOKUP(C266,Project.csv!E:P,13,FALSE)</f>
        <v>#REF!</v>
      </c>
      <c r="E266" s="8" t="e">
        <f t="shared" si="29"/>
        <v>#REF!</v>
      </c>
      <c r="F266" s="9" t="s">
        <v>7118</v>
      </c>
      <c r="G266" s="9">
        <f ca="1">INDEX(EquipmentTypes.csv!C:C,RANDBETWEEN(2,COUNTA(EquipmentTypes.csv!B:B)),1)</f>
        <v>200019</v>
      </c>
      <c r="H266" s="8" t="str">
        <f t="shared" ca="1" si="30"/>
        <v>rg:{ 'id': '200019'}</v>
      </c>
      <c r="I266" s="8">
        <f t="shared" ca="1" si="31"/>
        <v>1</v>
      </c>
      <c r="J266" s="8">
        <f t="shared" ca="1" si="32"/>
        <v>49</v>
      </c>
      <c r="K266" s="8" t="str">
        <f t="shared" ca="1" si="33"/>
        <v>2017-03-28</v>
      </c>
      <c r="L266" s="8" t="str">
        <f t="shared" ca="1" si="34"/>
        <v>2017-04-03</v>
      </c>
    </row>
    <row r="267" spans="1:12" x14ac:dyDescent="0.3">
      <c r="A267" s="8" t="s">
        <v>5675</v>
      </c>
      <c r="B267" s="8">
        <f t="shared" si="28"/>
        <v>600265</v>
      </c>
      <c r="C267" s="1" t="s">
        <v>7104</v>
      </c>
      <c r="D267" s="9" t="e">
        <f>VLOOKUP(C267,Project.csv!E:P,13,FALSE)</f>
        <v>#REF!</v>
      </c>
      <c r="E267" s="8" t="e">
        <f t="shared" si="29"/>
        <v>#REF!</v>
      </c>
      <c r="F267" s="9" t="s">
        <v>7118</v>
      </c>
      <c r="G267" s="9">
        <f ca="1">INDEX(EquipmentTypes.csv!C:C,RANDBETWEEN(2,COUNTA(EquipmentTypes.csv!B:B)),1)</f>
        <v>200067</v>
      </c>
      <c r="H267" s="8" t="str">
        <f t="shared" ca="1" si="30"/>
        <v>rg:{ 'id': '200067'}</v>
      </c>
      <c r="I267" s="8">
        <f t="shared" ca="1" si="31"/>
        <v>1</v>
      </c>
      <c r="J267" s="8">
        <f t="shared" ca="1" si="32"/>
        <v>13</v>
      </c>
      <c r="K267" s="8" t="str">
        <f t="shared" ca="1" si="33"/>
        <v>2017-03-08</v>
      </c>
      <c r="L267" s="8" t="str">
        <f t="shared" ca="1" si="34"/>
        <v>2017-03-09</v>
      </c>
    </row>
    <row r="268" spans="1:12" x14ac:dyDescent="0.3">
      <c r="A268" s="8" t="s">
        <v>5675</v>
      </c>
      <c r="B268" s="8">
        <f t="shared" si="28"/>
        <v>600266</v>
      </c>
      <c r="C268" s="1" t="s">
        <v>6942</v>
      </c>
      <c r="D268" s="9" t="e">
        <f>VLOOKUP(C268,Project.csv!E:P,13,FALSE)</f>
        <v>#REF!</v>
      </c>
      <c r="E268" s="8" t="e">
        <f t="shared" si="29"/>
        <v>#REF!</v>
      </c>
      <c r="F268" s="9" t="s">
        <v>7118</v>
      </c>
      <c r="G268" s="9">
        <f ca="1">INDEX(EquipmentTypes.csv!C:C,RANDBETWEEN(2,COUNTA(EquipmentTypes.csv!B:B)),1)</f>
        <v>200025</v>
      </c>
      <c r="H268" s="8" t="str">
        <f t="shared" ca="1" si="30"/>
        <v>rg:{ 'id': '200025'}</v>
      </c>
      <c r="I268" s="8">
        <f t="shared" ca="1" si="31"/>
        <v>1</v>
      </c>
      <c r="J268" s="8">
        <f t="shared" ca="1" si="32"/>
        <v>48</v>
      </c>
      <c r="K268" s="8" t="str">
        <f t="shared" ca="1" si="33"/>
        <v>2017-03-13</v>
      </c>
      <c r="L268" s="8" t="str">
        <f t="shared" ca="1" si="34"/>
        <v>2017-03-19</v>
      </c>
    </row>
    <row r="269" spans="1:12" x14ac:dyDescent="0.3">
      <c r="A269" s="8" t="s">
        <v>5675</v>
      </c>
      <c r="B269" s="8">
        <f t="shared" si="28"/>
        <v>600267</v>
      </c>
      <c r="C269" s="1" t="s">
        <v>7105</v>
      </c>
      <c r="D269" s="9" t="e">
        <f>VLOOKUP(C269,Project.csv!E:P,13,FALSE)</f>
        <v>#REF!</v>
      </c>
      <c r="E269" s="8" t="e">
        <f t="shared" si="29"/>
        <v>#REF!</v>
      </c>
      <c r="F269" s="9" t="s">
        <v>7118</v>
      </c>
      <c r="G269" s="9">
        <f ca="1">INDEX(EquipmentTypes.csv!C:C,RANDBETWEEN(2,COUNTA(EquipmentTypes.csv!B:B)),1)</f>
        <v>200067</v>
      </c>
      <c r="H269" s="8" t="str">
        <f t="shared" ca="1" si="30"/>
        <v>rg:{ 'id': '200067'}</v>
      </c>
      <c r="I269" s="8">
        <f t="shared" ca="1" si="31"/>
        <v>1</v>
      </c>
      <c r="J269" s="8">
        <f t="shared" ca="1" si="32"/>
        <v>61</v>
      </c>
      <c r="K269" s="8" t="str">
        <f t="shared" ca="1" si="33"/>
        <v>2017-03-08</v>
      </c>
      <c r="L269" s="8" t="str">
        <f t="shared" ca="1" si="34"/>
        <v>2017-03-15</v>
      </c>
    </row>
    <row r="270" spans="1:12" x14ac:dyDescent="0.3">
      <c r="A270" s="8" t="s">
        <v>5675</v>
      </c>
      <c r="B270" s="8">
        <f t="shared" si="28"/>
        <v>600268</v>
      </c>
      <c r="C270" s="1" t="s">
        <v>7106</v>
      </c>
      <c r="D270" s="9" t="e">
        <f>VLOOKUP(C270,Project.csv!E:P,13,FALSE)</f>
        <v>#REF!</v>
      </c>
      <c r="E270" s="8" t="e">
        <f t="shared" si="29"/>
        <v>#REF!</v>
      </c>
      <c r="F270" s="9" t="s">
        <v>7118</v>
      </c>
      <c r="G270" s="9">
        <f ca="1">INDEX(EquipmentTypes.csv!C:C,RANDBETWEEN(2,COUNTA(EquipmentTypes.csv!B:B)),1)</f>
        <v>200029</v>
      </c>
      <c r="H270" s="8" t="str">
        <f t="shared" ca="1" si="30"/>
        <v>rg:{ 'id': '200029'}</v>
      </c>
      <c r="I270" s="8">
        <f t="shared" ca="1" si="31"/>
        <v>1</v>
      </c>
      <c r="J270" s="8">
        <f t="shared" ca="1" si="32"/>
        <v>79</v>
      </c>
      <c r="K270" s="8" t="str">
        <f t="shared" ca="1" si="33"/>
        <v>2017-03-07</v>
      </c>
      <c r="L270" s="8" t="str">
        <f t="shared" ca="1" si="34"/>
        <v>2017-03-16</v>
      </c>
    </row>
    <row r="271" spans="1:12" x14ac:dyDescent="0.3">
      <c r="A271" s="8" t="s">
        <v>5675</v>
      </c>
      <c r="B271" s="8">
        <f t="shared" si="28"/>
        <v>600269</v>
      </c>
      <c r="C271" s="1" t="s">
        <v>7013</v>
      </c>
      <c r="D271" s="9" t="e">
        <f>VLOOKUP(C271,Project.csv!E:P,13,FALSE)</f>
        <v>#REF!</v>
      </c>
      <c r="E271" s="8" t="e">
        <f t="shared" si="29"/>
        <v>#REF!</v>
      </c>
      <c r="F271" s="9" t="s">
        <v>7118</v>
      </c>
      <c r="G271" s="9">
        <f ca="1">INDEX(EquipmentTypes.csv!C:C,RANDBETWEEN(2,COUNTA(EquipmentTypes.csv!B:B)),1)</f>
        <v>200086</v>
      </c>
      <c r="H271" s="8" t="str">
        <f t="shared" ca="1" si="30"/>
        <v>rg:{ 'id': '200086'}</v>
      </c>
      <c r="I271" s="8">
        <f t="shared" ca="1" si="31"/>
        <v>3</v>
      </c>
      <c r="J271" s="8">
        <f t="shared" ca="1" si="32"/>
        <v>88</v>
      </c>
      <c r="K271" s="8" t="str">
        <f t="shared" ca="1" si="33"/>
        <v>2017-04-22</v>
      </c>
      <c r="L271" s="8" t="str">
        <f t="shared" ca="1" si="34"/>
        <v>2017-05-25</v>
      </c>
    </row>
    <row r="272" spans="1:12" x14ac:dyDescent="0.3">
      <c r="A272" s="8" t="s">
        <v>5675</v>
      </c>
      <c r="B272" s="8">
        <f t="shared" si="28"/>
        <v>600270</v>
      </c>
      <c r="C272" s="1" t="s">
        <v>7046</v>
      </c>
      <c r="D272" s="9" t="e">
        <f>VLOOKUP(C272,Project.csv!E:P,13,FALSE)</f>
        <v>#REF!</v>
      </c>
      <c r="E272" s="8" t="e">
        <f t="shared" si="29"/>
        <v>#REF!</v>
      </c>
      <c r="F272" s="9" t="s">
        <v>7118</v>
      </c>
      <c r="G272" s="9">
        <f ca="1">INDEX(EquipmentTypes.csv!C:C,RANDBETWEEN(2,COUNTA(EquipmentTypes.csv!B:B)),1)</f>
        <v>200067</v>
      </c>
      <c r="H272" s="8" t="str">
        <f t="shared" ca="1" si="30"/>
        <v>rg:{ 'id': '200067'}</v>
      </c>
      <c r="I272" s="8">
        <f t="shared" ca="1" si="31"/>
        <v>1</v>
      </c>
      <c r="J272" s="8">
        <f t="shared" ca="1" si="32"/>
        <v>41</v>
      </c>
      <c r="K272" s="8" t="str">
        <f t="shared" ca="1" si="33"/>
        <v>2017-03-17</v>
      </c>
      <c r="L272" s="8" t="str">
        <f t="shared" ca="1" si="34"/>
        <v>2017-03-22</v>
      </c>
    </row>
    <row r="273" spans="1:12" x14ac:dyDescent="0.3">
      <c r="A273" s="8" t="s">
        <v>5675</v>
      </c>
      <c r="B273" s="8">
        <f t="shared" si="28"/>
        <v>600271</v>
      </c>
      <c r="C273" s="1" t="s">
        <v>6963</v>
      </c>
      <c r="D273" s="9" t="e">
        <f>VLOOKUP(C273,Project.csv!E:P,13,FALSE)</f>
        <v>#REF!</v>
      </c>
      <c r="E273" s="8" t="e">
        <f t="shared" si="29"/>
        <v>#REF!</v>
      </c>
      <c r="F273" s="9" t="s">
        <v>7118</v>
      </c>
      <c r="G273" s="9">
        <f ca="1">INDEX(EquipmentTypes.csv!C:C,RANDBETWEEN(2,COUNTA(EquipmentTypes.csv!B:B)),1)</f>
        <v>200028</v>
      </c>
      <c r="H273" s="8" t="str">
        <f t="shared" ca="1" si="30"/>
        <v>rg:{ 'id': '200028'}</v>
      </c>
      <c r="I273" s="8">
        <f t="shared" ca="1" si="31"/>
        <v>1</v>
      </c>
      <c r="J273" s="8">
        <f t="shared" ca="1" si="32"/>
        <v>79</v>
      </c>
      <c r="K273" s="8" t="str">
        <f t="shared" ca="1" si="33"/>
        <v>2017-03-28</v>
      </c>
      <c r="L273" s="8" t="str">
        <f t="shared" ca="1" si="34"/>
        <v>2017-04-06</v>
      </c>
    </row>
    <row r="274" spans="1:12" x14ac:dyDescent="0.3">
      <c r="A274" s="8" t="s">
        <v>5675</v>
      </c>
      <c r="B274" s="8">
        <f t="shared" si="28"/>
        <v>600272</v>
      </c>
      <c r="C274" s="1" t="s">
        <v>7107</v>
      </c>
      <c r="D274" s="9" t="e">
        <f>VLOOKUP(C274,Project.csv!E:P,13,FALSE)</f>
        <v>#REF!</v>
      </c>
      <c r="E274" s="8" t="e">
        <f t="shared" si="29"/>
        <v>#REF!</v>
      </c>
      <c r="F274" s="9" t="s">
        <v>7118</v>
      </c>
      <c r="G274" s="9">
        <f ca="1">INDEX(EquipmentTypes.csv!C:C,RANDBETWEEN(2,COUNTA(EquipmentTypes.csv!B:B)),1)</f>
        <v>200084</v>
      </c>
      <c r="H274" s="8" t="str">
        <f t="shared" ca="1" si="30"/>
        <v>rg:{ 'id': '200084'}</v>
      </c>
      <c r="I274" s="8">
        <f t="shared" ca="1" si="31"/>
        <v>1</v>
      </c>
      <c r="J274" s="8">
        <f t="shared" ca="1" si="32"/>
        <v>77</v>
      </c>
      <c r="K274" s="8" t="str">
        <f t="shared" ca="1" si="33"/>
        <v>2017-04-20</v>
      </c>
      <c r="L274" s="8" t="str">
        <f t="shared" ca="1" si="34"/>
        <v>2017-04-29</v>
      </c>
    </row>
    <row r="275" spans="1:12" x14ac:dyDescent="0.3">
      <c r="A275" s="8" t="s">
        <v>5675</v>
      </c>
      <c r="B275" s="8">
        <f t="shared" si="28"/>
        <v>600273</v>
      </c>
      <c r="C275" s="1" t="s">
        <v>6937</v>
      </c>
      <c r="D275" s="9" t="e">
        <f>VLOOKUP(C275,Project.csv!E:P,13,FALSE)</f>
        <v>#REF!</v>
      </c>
      <c r="E275" s="8" t="e">
        <f t="shared" si="29"/>
        <v>#REF!</v>
      </c>
      <c r="F275" s="9" t="s">
        <v>7118</v>
      </c>
      <c r="G275" s="9">
        <f ca="1">INDEX(EquipmentTypes.csv!C:C,RANDBETWEEN(2,COUNTA(EquipmentTypes.csv!B:B)),1)</f>
        <v>200024</v>
      </c>
      <c r="H275" s="8" t="str">
        <f t="shared" ca="1" si="30"/>
        <v>rg:{ 'id': '200024'}</v>
      </c>
      <c r="I275" s="8">
        <f t="shared" ca="1" si="31"/>
        <v>1</v>
      </c>
      <c r="J275" s="8">
        <f t="shared" ca="1" si="32"/>
        <v>96</v>
      </c>
      <c r="K275" s="8" t="str">
        <f t="shared" ca="1" si="33"/>
        <v>2017-04-24</v>
      </c>
      <c r="L275" s="8" t="str">
        <f t="shared" ca="1" si="34"/>
        <v>2017-05-06</v>
      </c>
    </row>
    <row r="276" spans="1:12" x14ac:dyDescent="0.3">
      <c r="A276" s="8" t="s">
        <v>5675</v>
      </c>
      <c r="B276" s="8">
        <f t="shared" si="28"/>
        <v>600274</v>
      </c>
      <c r="C276" s="1" t="s">
        <v>7019</v>
      </c>
      <c r="D276" s="9" t="e">
        <f>VLOOKUP(C276,Project.csv!E:P,13,FALSE)</f>
        <v>#REF!</v>
      </c>
      <c r="E276" s="8" t="e">
        <f t="shared" si="29"/>
        <v>#REF!</v>
      </c>
      <c r="F276" s="9" t="s">
        <v>7118</v>
      </c>
      <c r="G276" s="9">
        <f ca="1">INDEX(EquipmentTypes.csv!C:C,RANDBETWEEN(2,COUNTA(EquipmentTypes.csv!B:B)),1)</f>
        <v>200025</v>
      </c>
      <c r="H276" s="8" t="str">
        <f t="shared" ca="1" si="30"/>
        <v>rg:{ 'id': '200025'}</v>
      </c>
      <c r="I276" s="8">
        <f t="shared" ca="1" si="31"/>
        <v>1</v>
      </c>
      <c r="J276" s="8">
        <f t="shared" ca="1" si="32"/>
        <v>60</v>
      </c>
      <c r="K276" s="8" t="str">
        <f t="shared" ca="1" si="33"/>
        <v>2017-04-22</v>
      </c>
      <c r="L276" s="8" t="str">
        <f t="shared" ca="1" si="34"/>
        <v>2017-04-29</v>
      </c>
    </row>
    <row r="277" spans="1:12" x14ac:dyDescent="0.3">
      <c r="A277" s="8" t="s">
        <v>5675</v>
      </c>
      <c r="B277" s="8">
        <f t="shared" si="28"/>
        <v>600275</v>
      </c>
      <c r="C277" s="1" t="s">
        <v>7083</v>
      </c>
      <c r="D277" s="9" t="e">
        <f>VLOOKUP(C277,Project.csv!E:P,13,FALSE)</f>
        <v>#REF!</v>
      </c>
      <c r="E277" s="8" t="e">
        <f t="shared" si="29"/>
        <v>#REF!</v>
      </c>
      <c r="F277" s="9" t="s">
        <v>7118</v>
      </c>
      <c r="G277" s="9">
        <f ca="1">INDEX(EquipmentTypes.csv!C:C,RANDBETWEEN(2,COUNTA(EquipmentTypes.csv!B:B)),1)</f>
        <v>200018</v>
      </c>
      <c r="H277" s="8" t="str">
        <f t="shared" ca="1" si="30"/>
        <v>rg:{ 'id': '200018'}</v>
      </c>
      <c r="I277" s="8">
        <f t="shared" ca="1" si="31"/>
        <v>1</v>
      </c>
      <c r="J277" s="8">
        <f t="shared" ca="1" si="32"/>
        <v>61</v>
      </c>
      <c r="K277" s="8" t="str">
        <f t="shared" ca="1" si="33"/>
        <v>2017-03-27</v>
      </c>
      <c r="L277" s="8" t="str">
        <f t="shared" ca="1" si="34"/>
        <v>2017-04-03</v>
      </c>
    </row>
    <row r="278" spans="1:12" x14ac:dyDescent="0.3">
      <c r="A278" s="8" t="s">
        <v>5675</v>
      </c>
      <c r="B278" s="8">
        <f t="shared" si="28"/>
        <v>600276</v>
      </c>
      <c r="C278" s="1" t="s">
        <v>7108</v>
      </c>
      <c r="D278" s="9" t="e">
        <f>VLOOKUP(C278,Project.csv!E:P,13,FALSE)</f>
        <v>#REF!</v>
      </c>
      <c r="E278" s="8" t="e">
        <f t="shared" si="29"/>
        <v>#REF!</v>
      </c>
      <c r="F278" s="9" t="s">
        <v>7118</v>
      </c>
      <c r="G278" s="9">
        <f ca="1">INDEX(EquipmentTypes.csv!C:C,RANDBETWEEN(2,COUNTA(EquipmentTypes.csv!B:B)),1)</f>
        <v>200035</v>
      </c>
      <c r="H278" s="8" t="str">
        <f t="shared" ca="1" si="30"/>
        <v>rg:{ 'id': '200035'}</v>
      </c>
      <c r="I278" s="8">
        <f t="shared" ca="1" si="31"/>
        <v>1</v>
      </c>
      <c r="J278" s="8">
        <f t="shared" ca="1" si="32"/>
        <v>13</v>
      </c>
      <c r="K278" s="8" t="str">
        <f t="shared" ca="1" si="33"/>
        <v>2017-03-28</v>
      </c>
      <c r="L278" s="8" t="str">
        <f t="shared" ca="1" si="34"/>
        <v>2017-03-29</v>
      </c>
    </row>
    <row r="279" spans="1:12" x14ac:dyDescent="0.3">
      <c r="A279" s="8" t="s">
        <v>5675</v>
      </c>
      <c r="B279" s="8">
        <f t="shared" si="28"/>
        <v>600277</v>
      </c>
      <c r="C279" s="1" t="s">
        <v>6914</v>
      </c>
      <c r="D279" s="9" t="e">
        <f>VLOOKUP(C279,Project.csv!E:P,13,FALSE)</f>
        <v>#REF!</v>
      </c>
      <c r="E279" s="8" t="e">
        <f t="shared" si="29"/>
        <v>#REF!</v>
      </c>
      <c r="F279" s="9" t="s">
        <v>7118</v>
      </c>
      <c r="G279" s="9">
        <f ca="1">INDEX(EquipmentTypes.csv!C:C,RANDBETWEEN(2,COUNTA(EquipmentTypes.csv!B:B)),1)</f>
        <v>200064</v>
      </c>
      <c r="H279" s="8" t="str">
        <f t="shared" ca="1" si="30"/>
        <v>rg:{ 'id': '200064'}</v>
      </c>
      <c r="I279" s="8">
        <f t="shared" ca="1" si="31"/>
        <v>1</v>
      </c>
      <c r="J279" s="8">
        <f t="shared" ca="1" si="32"/>
        <v>81</v>
      </c>
      <c r="K279" s="8" t="str">
        <f t="shared" ca="1" si="33"/>
        <v>2017-04-17</v>
      </c>
      <c r="L279" s="8" t="str">
        <f t="shared" ca="1" si="34"/>
        <v>2017-04-27</v>
      </c>
    </row>
    <row r="280" spans="1:12" x14ac:dyDescent="0.3">
      <c r="A280" s="8" t="s">
        <v>5675</v>
      </c>
      <c r="B280" s="8">
        <f t="shared" si="28"/>
        <v>600278</v>
      </c>
      <c r="C280" s="1" t="s">
        <v>6917</v>
      </c>
      <c r="D280" s="9" t="e">
        <f>VLOOKUP(C280,Project.csv!E:P,13,FALSE)</f>
        <v>#REF!</v>
      </c>
      <c r="E280" s="8" t="e">
        <f t="shared" si="29"/>
        <v>#REF!</v>
      </c>
      <c r="F280" s="9" t="s">
        <v>7118</v>
      </c>
      <c r="G280" s="9">
        <f ca="1">INDEX(EquipmentTypes.csv!C:C,RANDBETWEEN(2,COUNTA(EquipmentTypes.csv!B:B)),1)</f>
        <v>200060</v>
      </c>
      <c r="H280" s="8" t="str">
        <f t="shared" ca="1" si="30"/>
        <v>rg:{ 'id': '200060'}</v>
      </c>
      <c r="I280" s="8">
        <f t="shared" ca="1" si="31"/>
        <v>1</v>
      </c>
      <c r="J280" s="8">
        <f t="shared" ca="1" si="32"/>
        <v>20</v>
      </c>
      <c r="K280" s="8" t="str">
        <f t="shared" ca="1" si="33"/>
        <v>2017-03-04</v>
      </c>
      <c r="L280" s="8" t="str">
        <f t="shared" ca="1" si="34"/>
        <v>2017-03-06</v>
      </c>
    </row>
    <row r="281" spans="1:12" x14ac:dyDescent="0.3">
      <c r="A281" s="8" t="s">
        <v>5675</v>
      </c>
      <c r="B281" s="8">
        <f t="shared" si="28"/>
        <v>600279</v>
      </c>
      <c r="C281" s="1" t="s">
        <v>7061</v>
      </c>
      <c r="D281" s="9" t="e">
        <f>VLOOKUP(C281,Project.csv!E:P,13,FALSE)</f>
        <v>#REF!</v>
      </c>
      <c r="E281" s="8" t="e">
        <f t="shared" si="29"/>
        <v>#REF!</v>
      </c>
      <c r="F281" s="9" t="s">
        <v>7118</v>
      </c>
      <c r="G281" s="9">
        <f ca="1">INDEX(EquipmentTypes.csv!C:C,RANDBETWEEN(2,COUNTA(EquipmentTypes.csv!B:B)),1)</f>
        <v>200036</v>
      </c>
      <c r="H281" s="8" t="str">
        <f t="shared" ca="1" si="30"/>
        <v>rg:{ 'id': '200036'}</v>
      </c>
      <c r="I281" s="8">
        <f t="shared" ca="1" si="31"/>
        <v>1</v>
      </c>
      <c r="J281" s="8">
        <f t="shared" ca="1" si="32"/>
        <v>32</v>
      </c>
      <c r="K281" s="8" t="str">
        <f t="shared" ca="1" si="33"/>
        <v>2017-04-17</v>
      </c>
      <c r="L281" s="8" t="str">
        <f t="shared" ca="1" si="34"/>
        <v>2017-04-21</v>
      </c>
    </row>
    <row r="282" spans="1:12" x14ac:dyDescent="0.3">
      <c r="A282" s="8" t="s">
        <v>5675</v>
      </c>
      <c r="B282" s="8">
        <f t="shared" si="28"/>
        <v>600280</v>
      </c>
      <c r="C282" s="1" t="s">
        <v>6940</v>
      </c>
      <c r="D282" s="9" t="e">
        <f>VLOOKUP(C282,Project.csv!E:P,13,FALSE)</f>
        <v>#REF!</v>
      </c>
      <c r="E282" s="8" t="e">
        <f t="shared" si="29"/>
        <v>#REF!</v>
      </c>
      <c r="F282" s="9" t="s">
        <v>7118</v>
      </c>
      <c r="G282" s="9">
        <f ca="1">INDEX(EquipmentTypes.csv!C:C,RANDBETWEEN(2,COUNTA(EquipmentTypes.csv!B:B)),1)</f>
        <v>200019</v>
      </c>
      <c r="H282" s="8" t="str">
        <f t="shared" ca="1" si="30"/>
        <v>rg:{ 'id': '200019'}</v>
      </c>
      <c r="I282" s="8">
        <f t="shared" ca="1" si="31"/>
        <v>1</v>
      </c>
      <c r="J282" s="8">
        <f t="shared" ca="1" si="32"/>
        <v>65</v>
      </c>
      <c r="K282" s="8" t="str">
        <f t="shared" ca="1" si="33"/>
        <v>2017-03-09</v>
      </c>
      <c r="L282" s="8" t="str">
        <f t="shared" ca="1" si="34"/>
        <v>2017-03-17</v>
      </c>
    </row>
    <row r="283" spans="1:12" x14ac:dyDescent="0.3">
      <c r="A283" s="8" t="s">
        <v>5675</v>
      </c>
      <c r="B283" s="8">
        <f t="shared" si="28"/>
        <v>600281</v>
      </c>
      <c r="C283" s="1" t="s">
        <v>7109</v>
      </c>
      <c r="D283" s="9" t="e">
        <f>VLOOKUP(C283,Project.csv!E:P,13,FALSE)</f>
        <v>#REF!</v>
      </c>
      <c r="E283" s="8" t="e">
        <f t="shared" si="29"/>
        <v>#REF!</v>
      </c>
      <c r="F283" s="9" t="s">
        <v>7118</v>
      </c>
      <c r="G283" s="9">
        <f ca="1">INDEX(EquipmentTypes.csv!C:C,RANDBETWEEN(2,COUNTA(EquipmentTypes.csv!B:B)),1)</f>
        <v>200084</v>
      </c>
      <c r="H283" s="8" t="str">
        <f t="shared" ca="1" si="30"/>
        <v>rg:{ 'id': '200084'}</v>
      </c>
      <c r="I283" s="8">
        <f t="shared" ca="1" si="31"/>
        <v>1</v>
      </c>
      <c r="J283" s="8">
        <f t="shared" ca="1" si="32"/>
        <v>7</v>
      </c>
      <c r="K283" s="8" t="str">
        <f t="shared" ca="1" si="33"/>
        <v>2017-03-21</v>
      </c>
      <c r="L283" s="8" t="str">
        <f t="shared" ca="1" si="34"/>
        <v>2017-03-21</v>
      </c>
    </row>
    <row r="284" spans="1:12" x14ac:dyDescent="0.3">
      <c r="A284" s="8" t="s">
        <v>5675</v>
      </c>
      <c r="B284" s="8">
        <f t="shared" si="28"/>
        <v>600282</v>
      </c>
      <c r="C284" s="1" t="s">
        <v>6932</v>
      </c>
      <c r="D284" s="9" t="e">
        <f>VLOOKUP(C284,Project.csv!E:P,13,FALSE)</f>
        <v>#REF!</v>
      </c>
      <c r="E284" s="8" t="e">
        <f t="shared" si="29"/>
        <v>#REF!</v>
      </c>
      <c r="F284" s="9" t="s">
        <v>7118</v>
      </c>
      <c r="G284" s="9">
        <f ca="1">INDEX(EquipmentTypes.csv!C:C,RANDBETWEEN(2,COUNTA(EquipmentTypes.csv!B:B)),1)</f>
        <v>200072</v>
      </c>
      <c r="H284" s="8" t="str">
        <f t="shared" ca="1" si="30"/>
        <v>rg:{ 'id': '200072'}</v>
      </c>
      <c r="I284" s="8">
        <f t="shared" ca="1" si="31"/>
        <v>1</v>
      </c>
      <c r="J284" s="8">
        <f t="shared" ca="1" si="32"/>
        <v>36</v>
      </c>
      <c r="K284" s="8" t="str">
        <f t="shared" ca="1" si="33"/>
        <v>2017-04-16</v>
      </c>
      <c r="L284" s="8" t="str">
        <f t="shared" ca="1" si="34"/>
        <v>2017-04-20</v>
      </c>
    </row>
    <row r="285" spans="1:12" x14ac:dyDescent="0.3">
      <c r="A285" s="8" t="s">
        <v>5675</v>
      </c>
      <c r="B285" s="8">
        <f t="shared" si="28"/>
        <v>600283</v>
      </c>
      <c r="C285" s="1" t="s">
        <v>7110</v>
      </c>
      <c r="D285" s="9" t="e">
        <f>VLOOKUP(C285,Project.csv!E:P,13,FALSE)</f>
        <v>#REF!</v>
      </c>
      <c r="E285" s="8" t="e">
        <f t="shared" si="29"/>
        <v>#REF!</v>
      </c>
      <c r="F285" s="9" t="s">
        <v>7118</v>
      </c>
      <c r="G285" s="9">
        <f ca="1">INDEX(EquipmentTypes.csv!C:C,RANDBETWEEN(2,COUNTA(EquipmentTypes.csv!B:B)),1)</f>
        <v>200036</v>
      </c>
      <c r="H285" s="8" t="str">
        <f t="shared" ca="1" si="30"/>
        <v>rg:{ 'id': '200036'}</v>
      </c>
      <c r="I285" s="8">
        <f t="shared" ca="1" si="31"/>
        <v>5</v>
      </c>
      <c r="J285" s="8">
        <f t="shared" ca="1" si="32"/>
        <v>62</v>
      </c>
      <c r="K285" s="8" t="str">
        <f t="shared" ca="1" si="33"/>
        <v>2017-04-20</v>
      </c>
      <c r="L285" s="8" t="str">
        <f t="shared" ca="1" si="34"/>
        <v>2017-05-28</v>
      </c>
    </row>
    <row r="286" spans="1:12" x14ac:dyDescent="0.3">
      <c r="A286" s="8" t="s">
        <v>5675</v>
      </c>
      <c r="B286" s="8">
        <f t="shared" si="28"/>
        <v>600284</v>
      </c>
      <c r="C286" s="1" t="s">
        <v>7065</v>
      </c>
      <c r="D286" s="9" t="e">
        <f>VLOOKUP(C286,Project.csv!E:P,13,FALSE)</f>
        <v>#REF!</v>
      </c>
      <c r="E286" s="8" t="e">
        <f t="shared" si="29"/>
        <v>#REF!</v>
      </c>
      <c r="F286" s="9" t="s">
        <v>7118</v>
      </c>
      <c r="G286" s="9">
        <f ca="1">INDEX(EquipmentTypes.csv!C:C,RANDBETWEEN(2,COUNTA(EquipmentTypes.csv!B:B)),1)</f>
        <v>200064</v>
      </c>
      <c r="H286" s="8" t="str">
        <f t="shared" ca="1" si="30"/>
        <v>rg:{ 'id': '200064'}</v>
      </c>
      <c r="I286" s="8">
        <f t="shared" ca="1" si="31"/>
        <v>1</v>
      </c>
      <c r="J286" s="8">
        <f t="shared" ca="1" si="32"/>
        <v>21</v>
      </c>
      <c r="K286" s="8" t="str">
        <f t="shared" ca="1" si="33"/>
        <v>2017-04-09</v>
      </c>
      <c r="L286" s="8" t="str">
        <f t="shared" ca="1" si="34"/>
        <v>2017-04-11</v>
      </c>
    </row>
    <row r="287" spans="1:12" x14ac:dyDescent="0.3">
      <c r="A287" s="8" t="s">
        <v>5675</v>
      </c>
      <c r="B287" s="8">
        <f t="shared" si="28"/>
        <v>600285</v>
      </c>
      <c r="C287" s="1" t="s">
        <v>7111</v>
      </c>
      <c r="D287" s="9" t="e">
        <f>VLOOKUP(C287,Project.csv!E:P,13,FALSE)</f>
        <v>#REF!</v>
      </c>
      <c r="E287" s="8" t="e">
        <f t="shared" si="29"/>
        <v>#REF!</v>
      </c>
      <c r="F287" s="9" t="s">
        <v>7118</v>
      </c>
      <c r="G287" s="9">
        <f ca="1">INDEX(EquipmentTypes.csv!C:C,RANDBETWEEN(2,COUNTA(EquipmentTypes.csv!B:B)),1)</f>
        <v>200082</v>
      </c>
      <c r="H287" s="8" t="str">
        <f t="shared" ca="1" si="30"/>
        <v>rg:{ 'id': '200082'}</v>
      </c>
      <c r="I287" s="8">
        <f t="shared" ca="1" si="31"/>
        <v>1</v>
      </c>
      <c r="J287" s="8">
        <f t="shared" ca="1" si="32"/>
        <v>31</v>
      </c>
      <c r="K287" s="8" t="str">
        <f t="shared" ca="1" si="33"/>
        <v>2017-03-23</v>
      </c>
      <c r="L287" s="8" t="str">
        <f t="shared" ca="1" si="34"/>
        <v>2017-03-26</v>
      </c>
    </row>
    <row r="288" spans="1:12" x14ac:dyDescent="0.3">
      <c r="A288" s="8" t="s">
        <v>5675</v>
      </c>
      <c r="B288" s="8">
        <f t="shared" si="28"/>
        <v>600286</v>
      </c>
      <c r="C288" s="1" t="s">
        <v>6936</v>
      </c>
      <c r="D288" s="9" t="e">
        <f>VLOOKUP(C288,Project.csv!E:P,13,FALSE)</f>
        <v>#REF!</v>
      </c>
      <c r="E288" s="8" t="e">
        <f t="shared" si="29"/>
        <v>#REF!</v>
      </c>
      <c r="F288" s="9" t="s">
        <v>7118</v>
      </c>
      <c r="G288" s="9">
        <f ca="1">INDEX(EquipmentTypes.csv!C:C,RANDBETWEEN(2,COUNTA(EquipmentTypes.csv!B:B)),1)</f>
        <v>200067</v>
      </c>
      <c r="H288" s="8" t="str">
        <f t="shared" ca="1" si="30"/>
        <v>rg:{ 'id': '200067'}</v>
      </c>
      <c r="I288" s="8">
        <f t="shared" ca="1" si="31"/>
        <v>4</v>
      </c>
      <c r="J288" s="8">
        <f t="shared" ca="1" si="32"/>
        <v>14</v>
      </c>
      <c r="K288" s="8" t="str">
        <f t="shared" ca="1" si="33"/>
        <v>2017-03-25</v>
      </c>
      <c r="L288" s="8" t="str">
        <f t="shared" ca="1" si="34"/>
        <v>2017-04-01</v>
      </c>
    </row>
    <row r="289" spans="1:12" x14ac:dyDescent="0.3">
      <c r="A289" s="8" t="s">
        <v>5675</v>
      </c>
      <c r="B289" s="8">
        <f t="shared" si="28"/>
        <v>600287</v>
      </c>
      <c r="C289" s="1" t="s">
        <v>7092</v>
      </c>
      <c r="D289" s="9" t="e">
        <f>VLOOKUP(C289,Project.csv!E:P,13,FALSE)</f>
        <v>#REF!</v>
      </c>
      <c r="E289" s="8" t="e">
        <f t="shared" si="29"/>
        <v>#REF!</v>
      </c>
      <c r="F289" s="9" t="s">
        <v>7118</v>
      </c>
      <c r="G289" s="9">
        <f ca="1">INDEX(EquipmentTypes.csv!C:C,RANDBETWEEN(2,COUNTA(EquipmentTypes.csv!B:B)),1)</f>
        <v>200021</v>
      </c>
      <c r="H289" s="8" t="str">
        <f t="shared" ca="1" si="30"/>
        <v>rg:{ 'id': '200021'}</v>
      </c>
      <c r="I289" s="8">
        <f t="shared" ca="1" si="31"/>
        <v>1</v>
      </c>
      <c r="J289" s="8">
        <f t="shared" ca="1" si="32"/>
        <v>35</v>
      </c>
      <c r="K289" s="8" t="str">
        <f t="shared" ca="1" si="33"/>
        <v>2017-04-12</v>
      </c>
      <c r="L289" s="8" t="str">
        <f t="shared" ca="1" si="34"/>
        <v>2017-04-16</v>
      </c>
    </row>
    <row r="290" spans="1:12" x14ac:dyDescent="0.3">
      <c r="A290" s="8" t="s">
        <v>5675</v>
      </c>
      <c r="B290" s="8">
        <f t="shared" si="28"/>
        <v>600288</v>
      </c>
      <c r="C290" s="1" t="s">
        <v>7112</v>
      </c>
      <c r="D290" s="9" t="e">
        <f>VLOOKUP(C290,Project.csv!E:P,13,FALSE)</f>
        <v>#REF!</v>
      </c>
      <c r="E290" s="8" t="e">
        <f t="shared" si="29"/>
        <v>#REF!</v>
      </c>
      <c r="F290" s="9" t="s">
        <v>7118</v>
      </c>
      <c r="G290" s="9">
        <f ca="1">INDEX(EquipmentTypes.csv!C:C,RANDBETWEEN(2,COUNTA(EquipmentTypes.csv!B:B)),1)</f>
        <v>200021</v>
      </c>
      <c r="H290" s="8" t="str">
        <f t="shared" ca="1" si="30"/>
        <v>rg:{ 'id': '200021'}</v>
      </c>
      <c r="I290" s="8">
        <f t="shared" ca="1" si="31"/>
        <v>1</v>
      </c>
      <c r="J290" s="8">
        <f t="shared" ca="1" si="32"/>
        <v>48</v>
      </c>
      <c r="K290" s="8" t="str">
        <f t="shared" ca="1" si="33"/>
        <v>2017-03-19</v>
      </c>
      <c r="L290" s="8" t="str">
        <f t="shared" ca="1" si="34"/>
        <v>2017-03-25</v>
      </c>
    </row>
    <row r="291" spans="1:12" x14ac:dyDescent="0.3">
      <c r="A291" s="8" t="s">
        <v>5675</v>
      </c>
      <c r="B291" s="8">
        <f t="shared" si="28"/>
        <v>600289</v>
      </c>
      <c r="C291" s="1" t="s">
        <v>7113</v>
      </c>
      <c r="D291" s="9" t="e">
        <f>VLOOKUP(C291,Project.csv!E:P,13,FALSE)</f>
        <v>#REF!</v>
      </c>
      <c r="E291" s="8" t="e">
        <f t="shared" si="29"/>
        <v>#REF!</v>
      </c>
      <c r="F291" s="9" t="s">
        <v>7118</v>
      </c>
      <c r="G291" s="9">
        <f ca="1">INDEX(EquipmentTypes.csv!C:C,RANDBETWEEN(2,COUNTA(EquipmentTypes.csv!B:B)),1)</f>
        <v>200051</v>
      </c>
      <c r="H291" s="8" t="str">
        <f t="shared" ca="1" si="30"/>
        <v>rg:{ 'id': '200051'}</v>
      </c>
      <c r="I291" s="8">
        <f t="shared" ca="1" si="31"/>
        <v>1</v>
      </c>
      <c r="J291" s="8">
        <f t="shared" ca="1" si="32"/>
        <v>4</v>
      </c>
      <c r="K291" s="8" t="str">
        <f t="shared" ca="1" si="33"/>
        <v>2017-04-02</v>
      </c>
      <c r="L291" s="8" t="str">
        <f t="shared" ca="1" si="34"/>
        <v>2017-04-02</v>
      </c>
    </row>
    <row r="292" spans="1:12" x14ac:dyDescent="0.3">
      <c r="A292" s="8" t="s">
        <v>5675</v>
      </c>
      <c r="B292" s="8">
        <f t="shared" si="28"/>
        <v>600290</v>
      </c>
      <c r="C292" s="1" t="s">
        <v>6941</v>
      </c>
      <c r="D292" s="9" t="e">
        <f>VLOOKUP(C292,Project.csv!E:P,13,FALSE)</f>
        <v>#REF!</v>
      </c>
      <c r="E292" s="8" t="e">
        <f t="shared" si="29"/>
        <v>#REF!</v>
      </c>
      <c r="F292" s="9" t="s">
        <v>7118</v>
      </c>
      <c r="G292" s="9">
        <f ca="1">INDEX(EquipmentTypes.csv!C:C,RANDBETWEEN(2,COUNTA(EquipmentTypes.csv!B:B)),1)</f>
        <v>200048</v>
      </c>
      <c r="H292" s="8" t="str">
        <f t="shared" ca="1" si="30"/>
        <v>rg:{ 'id': '200048'}</v>
      </c>
      <c r="I292" s="8">
        <f t="shared" ca="1" si="31"/>
        <v>1</v>
      </c>
      <c r="J292" s="8">
        <f t="shared" ca="1" si="32"/>
        <v>38</v>
      </c>
      <c r="K292" s="8" t="str">
        <f t="shared" ca="1" si="33"/>
        <v>2017-04-02</v>
      </c>
      <c r="L292" s="8" t="str">
        <f t="shared" ca="1" si="34"/>
        <v>2017-04-06</v>
      </c>
    </row>
    <row r="293" spans="1:12" x14ac:dyDescent="0.3">
      <c r="A293" s="8" t="s">
        <v>5675</v>
      </c>
      <c r="B293" s="8">
        <f t="shared" si="28"/>
        <v>600291</v>
      </c>
      <c r="C293" s="1" t="s">
        <v>7114</v>
      </c>
      <c r="D293" s="9" t="e">
        <f>VLOOKUP(C293,Project.csv!E:P,13,FALSE)</f>
        <v>#REF!</v>
      </c>
      <c r="E293" s="8" t="e">
        <f t="shared" si="29"/>
        <v>#REF!</v>
      </c>
      <c r="F293" s="9" t="s">
        <v>7118</v>
      </c>
      <c r="G293" s="9">
        <f ca="1">INDEX(EquipmentTypes.csv!C:C,RANDBETWEEN(2,COUNTA(EquipmentTypes.csv!B:B)),1)</f>
        <v>200019</v>
      </c>
      <c r="H293" s="8" t="str">
        <f t="shared" ca="1" si="30"/>
        <v>rg:{ 'id': '200019'}</v>
      </c>
      <c r="I293" s="8">
        <f t="shared" ca="1" si="31"/>
        <v>1</v>
      </c>
      <c r="J293" s="8">
        <f t="shared" ca="1" si="32"/>
        <v>34</v>
      </c>
      <c r="K293" s="8" t="str">
        <f t="shared" ca="1" si="33"/>
        <v>2017-04-27</v>
      </c>
      <c r="L293" s="8" t="str">
        <f t="shared" ca="1" si="34"/>
        <v>2017-05-01</v>
      </c>
    </row>
    <row r="294" spans="1:12" x14ac:dyDescent="0.3">
      <c r="A294" s="8" t="s">
        <v>5675</v>
      </c>
      <c r="B294" s="8">
        <f t="shared" si="28"/>
        <v>600292</v>
      </c>
      <c r="C294" s="1" t="s">
        <v>7115</v>
      </c>
      <c r="D294" s="9" t="e">
        <f>VLOOKUP(C294,Project.csv!E:P,13,FALSE)</f>
        <v>#REF!</v>
      </c>
      <c r="E294" s="8" t="e">
        <f t="shared" si="29"/>
        <v>#REF!</v>
      </c>
      <c r="F294" s="9" t="s">
        <v>7118</v>
      </c>
      <c r="G294" s="9">
        <f ca="1">INDEX(EquipmentTypes.csv!C:C,RANDBETWEEN(2,COUNTA(EquipmentTypes.csv!B:B)),1)</f>
        <v>200060</v>
      </c>
      <c r="H294" s="8" t="str">
        <f t="shared" ca="1" si="30"/>
        <v>rg:{ 'id': '200060'}</v>
      </c>
      <c r="I294" s="8">
        <f t="shared" ca="1" si="31"/>
        <v>1</v>
      </c>
      <c r="J294" s="8">
        <f t="shared" ca="1" si="32"/>
        <v>69</v>
      </c>
      <c r="K294" s="8" t="str">
        <f t="shared" ca="1" si="33"/>
        <v>2017-04-14</v>
      </c>
      <c r="L294" s="8" t="str">
        <f t="shared" ca="1" si="34"/>
        <v>2017-04-22</v>
      </c>
    </row>
    <row r="295" spans="1:12" x14ac:dyDescent="0.3">
      <c r="A295" s="8" t="s">
        <v>5675</v>
      </c>
      <c r="B295" s="8">
        <f t="shared" si="28"/>
        <v>600293</v>
      </c>
      <c r="C295" s="1" t="s">
        <v>7116</v>
      </c>
      <c r="D295" s="9" t="e">
        <f>VLOOKUP(C295,Project.csv!E:P,13,FALSE)</f>
        <v>#REF!</v>
      </c>
      <c r="E295" s="8" t="e">
        <f t="shared" si="29"/>
        <v>#REF!</v>
      </c>
      <c r="F295" s="9" t="s">
        <v>7118</v>
      </c>
      <c r="G295" s="9">
        <f ca="1">INDEX(EquipmentTypes.csv!C:C,RANDBETWEEN(2,COUNTA(EquipmentTypes.csv!B:B)),1)</f>
        <v>200060</v>
      </c>
      <c r="H295" s="8" t="str">
        <f t="shared" ca="1" si="30"/>
        <v>rg:{ 'id': '200060'}</v>
      </c>
      <c r="I295" s="8">
        <f t="shared" ca="1" si="31"/>
        <v>1</v>
      </c>
      <c r="J295" s="8">
        <f t="shared" ca="1" si="32"/>
        <v>24</v>
      </c>
      <c r="K295" s="8" t="str">
        <f t="shared" ca="1" si="33"/>
        <v>2017-04-28</v>
      </c>
      <c r="L295" s="8" t="str">
        <f t="shared" ca="1" si="34"/>
        <v>2017-05-01</v>
      </c>
    </row>
    <row r="296" spans="1:12" x14ac:dyDescent="0.3">
      <c r="A296" s="8" t="s">
        <v>5675</v>
      </c>
      <c r="B296" s="8">
        <f t="shared" si="28"/>
        <v>600294</v>
      </c>
      <c r="C296" s="1" t="s">
        <v>6956</v>
      </c>
      <c r="D296" s="9" t="e">
        <f>VLOOKUP(C296,Project.csv!E:P,13,FALSE)</f>
        <v>#REF!</v>
      </c>
      <c r="E296" s="8" t="e">
        <f t="shared" si="29"/>
        <v>#REF!</v>
      </c>
      <c r="F296" s="9" t="s">
        <v>7118</v>
      </c>
      <c r="G296" s="9">
        <f ca="1">INDEX(EquipmentTypes.csv!C:C,RANDBETWEEN(2,COUNTA(EquipmentTypes.csv!B:B)),1)</f>
        <v>200059</v>
      </c>
      <c r="H296" s="8" t="str">
        <f t="shared" ca="1" si="30"/>
        <v>rg:{ 'id': '200059'}</v>
      </c>
      <c r="I296" s="8">
        <f t="shared" ca="1" si="31"/>
        <v>1</v>
      </c>
      <c r="J296" s="8">
        <f t="shared" ca="1" si="32"/>
        <v>12</v>
      </c>
      <c r="K296" s="8" t="str">
        <f t="shared" ca="1" si="33"/>
        <v>2017-04-22</v>
      </c>
      <c r="L296" s="8" t="str">
        <f t="shared" ca="1" si="34"/>
        <v>2017-04-23</v>
      </c>
    </row>
    <row r="297" spans="1:12" x14ac:dyDescent="0.3">
      <c r="A297" s="8" t="s">
        <v>5675</v>
      </c>
      <c r="B297" s="8">
        <f t="shared" si="28"/>
        <v>600295</v>
      </c>
      <c r="C297" s="1" t="s">
        <v>7117</v>
      </c>
      <c r="D297" s="9" t="e">
        <f>VLOOKUP(C297,Project.csv!E:P,13,FALSE)</f>
        <v>#REF!</v>
      </c>
      <c r="E297" s="8" t="e">
        <f t="shared" si="29"/>
        <v>#REF!</v>
      </c>
      <c r="F297" s="9" t="s">
        <v>7118</v>
      </c>
      <c r="G297" s="9">
        <f ca="1">INDEX(EquipmentTypes.csv!C:C,RANDBETWEEN(2,COUNTA(EquipmentTypes.csv!B:B)),1)</f>
        <v>200064</v>
      </c>
      <c r="H297" s="8" t="str">
        <f t="shared" ca="1" si="30"/>
        <v>rg:{ 'id': '200064'}</v>
      </c>
      <c r="I297" s="8">
        <f t="shared" ca="1" si="31"/>
        <v>1</v>
      </c>
      <c r="J297" s="8">
        <f t="shared" ca="1" si="32"/>
        <v>46</v>
      </c>
      <c r="K297" s="8" t="str">
        <f t="shared" ca="1" si="33"/>
        <v>2017-04-20</v>
      </c>
      <c r="L297" s="8" t="str">
        <f t="shared" ca="1" si="34"/>
        <v>2017-04-25</v>
      </c>
    </row>
    <row r="298" spans="1:12" x14ac:dyDescent="0.3">
      <c r="A298" s="8" t="s">
        <v>5675</v>
      </c>
      <c r="B298" s="8">
        <f t="shared" si="28"/>
        <v>600296</v>
      </c>
      <c r="C298" s="1" t="s">
        <v>6916</v>
      </c>
      <c r="D298" s="9" t="e">
        <f>VLOOKUP(C298,Project.csv!E:P,13,FALSE)</f>
        <v>#REF!</v>
      </c>
      <c r="E298" s="8" t="e">
        <f t="shared" si="29"/>
        <v>#REF!</v>
      </c>
      <c r="F298" s="9" t="s">
        <v>7118</v>
      </c>
      <c r="G298" s="9">
        <f ca="1">INDEX(EquipmentTypes.csv!C:C,RANDBETWEEN(2,COUNTA(EquipmentTypes.csv!B:B)),1)</f>
        <v>200035</v>
      </c>
      <c r="H298" s="8" t="str">
        <f t="shared" ca="1" si="30"/>
        <v>rg:{ 'id': '200035'}</v>
      </c>
      <c r="I298" s="8">
        <f t="shared" ca="1" si="31"/>
        <v>1</v>
      </c>
      <c r="J298" s="8">
        <f t="shared" ca="1" si="32"/>
        <v>65</v>
      </c>
      <c r="K298" s="8" t="str">
        <f t="shared" ca="1" si="33"/>
        <v>2017-04-27</v>
      </c>
      <c r="L298" s="8" t="str">
        <f t="shared" ca="1" si="34"/>
        <v>2017-05-05</v>
      </c>
    </row>
    <row r="299" spans="1:12" x14ac:dyDescent="0.3">
      <c r="A299" s="8" t="s">
        <v>5675</v>
      </c>
      <c r="B299" s="8">
        <f t="shared" si="28"/>
        <v>600297</v>
      </c>
      <c r="C299" s="1" t="s">
        <v>7031</v>
      </c>
      <c r="D299" s="9" t="e">
        <f>VLOOKUP(C299,Project.csv!E:P,13,FALSE)</f>
        <v>#REF!</v>
      </c>
      <c r="E299" s="8" t="e">
        <f t="shared" si="29"/>
        <v>#REF!</v>
      </c>
      <c r="F299" s="9" t="s">
        <v>7118</v>
      </c>
      <c r="G299" s="9">
        <f ca="1">INDEX(EquipmentTypes.csv!C:C,RANDBETWEEN(2,COUNTA(EquipmentTypes.csv!B:B)),1)</f>
        <v>200072</v>
      </c>
      <c r="H299" s="8" t="str">
        <f t="shared" ca="1" si="30"/>
        <v>rg:{ 'id': '200072'}</v>
      </c>
      <c r="I299" s="8">
        <f t="shared" ca="1" si="31"/>
        <v>1</v>
      </c>
      <c r="J299" s="8">
        <f t="shared" ca="1" si="32"/>
        <v>54</v>
      </c>
      <c r="K299" s="8" t="str">
        <f t="shared" ca="1" si="33"/>
        <v>2017-03-29</v>
      </c>
      <c r="L299" s="8" t="str">
        <f t="shared" ca="1" si="34"/>
        <v>2017-04-04</v>
      </c>
    </row>
    <row r="300" spans="1:12" x14ac:dyDescent="0.3">
      <c r="A300" s="8" t="s">
        <v>5675</v>
      </c>
      <c r="B300" s="8">
        <f t="shared" si="28"/>
        <v>600298</v>
      </c>
      <c r="C300" s="1" t="s">
        <v>6996</v>
      </c>
      <c r="D300" s="9" t="e">
        <f>VLOOKUP(C300,Project.csv!E:P,13,FALSE)</f>
        <v>#REF!</v>
      </c>
      <c r="E300" s="8" t="e">
        <f t="shared" si="29"/>
        <v>#REF!</v>
      </c>
      <c r="F300" s="9" t="s">
        <v>7118</v>
      </c>
      <c r="G300" s="9">
        <f ca="1">INDEX(EquipmentTypes.csv!C:C,RANDBETWEEN(2,COUNTA(EquipmentTypes.csv!B:B)),1)</f>
        <v>200043</v>
      </c>
      <c r="H300" s="8" t="str">
        <f t="shared" ca="1" si="30"/>
        <v>rg:{ 'id': '200043'}</v>
      </c>
      <c r="I300" s="8">
        <f t="shared" ca="1" si="31"/>
        <v>2</v>
      </c>
      <c r="J300" s="8">
        <f t="shared" ca="1" si="32"/>
        <v>58</v>
      </c>
      <c r="K300" s="8" t="str">
        <f t="shared" ca="1" si="33"/>
        <v>2017-03-11</v>
      </c>
      <c r="L300" s="8" t="str">
        <f t="shared" ca="1" si="34"/>
        <v>2017-03-25</v>
      </c>
    </row>
    <row r="301" spans="1:12" x14ac:dyDescent="0.3">
      <c r="A301" s="8" t="s">
        <v>5675</v>
      </c>
      <c r="B301" s="8">
        <f t="shared" si="28"/>
        <v>600299</v>
      </c>
      <c r="C301" s="1" t="s">
        <v>7036</v>
      </c>
      <c r="D301" s="9" t="e">
        <f>VLOOKUP(C301,Project.csv!E:P,13,FALSE)</f>
        <v>#REF!</v>
      </c>
      <c r="E301" s="8" t="e">
        <f t="shared" si="29"/>
        <v>#REF!</v>
      </c>
      <c r="F301" s="9" t="s">
        <v>7118</v>
      </c>
      <c r="G301" s="9">
        <f ca="1">INDEX(EquipmentTypes.csv!C:C,RANDBETWEEN(2,COUNTA(EquipmentTypes.csv!B:B)),1)</f>
        <v>200021</v>
      </c>
      <c r="H301" s="8" t="str">
        <f t="shared" ca="1" si="30"/>
        <v>rg:{ 'id': '200021'}</v>
      </c>
      <c r="I301" s="8">
        <f t="shared" ca="1" si="31"/>
        <v>4</v>
      </c>
      <c r="J301" s="8">
        <f t="shared" ca="1" si="32"/>
        <v>19</v>
      </c>
      <c r="K301" s="8" t="str">
        <f t="shared" ca="1" si="33"/>
        <v>2017-03-09</v>
      </c>
      <c r="L301" s="8" t="str">
        <f t="shared" ca="1" si="34"/>
        <v>2017-03-18</v>
      </c>
    </row>
    <row r="302" spans="1:12" x14ac:dyDescent="0.3">
      <c r="A302" s="8" t="s">
        <v>5675</v>
      </c>
      <c r="B302" s="8">
        <f t="shared" si="28"/>
        <v>600300</v>
      </c>
      <c r="C302" s="1" t="s">
        <v>6904</v>
      </c>
      <c r="D302" s="9" t="e">
        <f>VLOOKUP(C302,Project.csv!E:P,13,FALSE)</f>
        <v>#REF!</v>
      </c>
      <c r="E302" s="8" t="e">
        <f t="shared" si="29"/>
        <v>#REF!</v>
      </c>
      <c r="F302" s="9" t="s">
        <v>7118</v>
      </c>
      <c r="G302" s="9">
        <f ca="1">INDEX(EquipmentTypes.csv!C:C,RANDBETWEEN(2,COUNTA(EquipmentTypes.csv!B:B)),1)</f>
        <v>200072</v>
      </c>
      <c r="H302" s="8" t="str">
        <f t="shared" ca="1" si="30"/>
        <v>rg:{ 'id': '200072'}</v>
      </c>
      <c r="I302" s="8">
        <f t="shared" ca="1" si="31"/>
        <v>1</v>
      </c>
      <c r="J302" s="8">
        <f t="shared" ca="1" si="32"/>
        <v>10</v>
      </c>
      <c r="K302" s="8" t="str">
        <f t="shared" ca="1" si="33"/>
        <v>2017-03-04</v>
      </c>
      <c r="L302" s="8" t="str">
        <f t="shared" ca="1" si="34"/>
        <v>2017-03-05</v>
      </c>
    </row>
    <row r="303" spans="1:12" x14ac:dyDescent="0.3">
      <c r="A303" s="8" t="s">
        <v>5675</v>
      </c>
      <c r="B303" s="8">
        <f t="shared" si="28"/>
        <v>600301</v>
      </c>
      <c r="C303" s="1" t="s">
        <v>6959</v>
      </c>
      <c r="D303" s="9" t="e">
        <f>VLOOKUP(C303,Project.csv!E:P,13,FALSE)</f>
        <v>#REF!</v>
      </c>
      <c r="E303" s="8" t="e">
        <f t="shared" si="29"/>
        <v>#REF!</v>
      </c>
      <c r="F303" s="9" t="s">
        <v>7118</v>
      </c>
      <c r="G303" s="9">
        <f ca="1">INDEX(EquipmentTypes.csv!C:C,RANDBETWEEN(2,COUNTA(EquipmentTypes.csv!B:B)),1)</f>
        <v>200043</v>
      </c>
      <c r="H303" s="8" t="str">
        <f t="shared" ca="1" si="30"/>
        <v>rg:{ 'id': '200043'}</v>
      </c>
      <c r="I303" s="8">
        <f t="shared" ca="1" si="31"/>
        <v>1</v>
      </c>
      <c r="J303" s="8">
        <f t="shared" ca="1" si="32"/>
        <v>87</v>
      </c>
      <c r="K303" s="8" t="str">
        <f t="shared" ca="1" si="33"/>
        <v>2017-03-11</v>
      </c>
      <c r="L303" s="8" t="str">
        <f t="shared" ca="1" si="34"/>
        <v>2017-03-21</v>
      </c>
    </row>
    <row r="304" spans="1:12" x14ac:dyDescent="0.3">
      <c r="A304" s="8" t="s">
        <v>5675</v>
      </c>
      <c r="B304" s="8">
        <f t="shared" si="28"/>
        <v>600302</v>
      </c>
      <c r="C304" s="1" t="s">
        <v>6995</v>
      </c>
      <c r="D304" s="9" t="e">
        <f>VLOOKUP(C304,Project.csv!E:P,13,FALSE)</f>
        <v>#REF!</v>
      </c>
      <c r="E304" s="8" t="e">
        <f t="shared" si="29"/>
        <v>#REF!</v>
      </c>
      <c r="F304" s="9" t="s">
        <v>7118</v>
      </c>
      <c r="G304" s="9">
        <f ca="1">INDEX(EquipmentTypes.csv!C:C,RANDBETWEEN(2,COUNTA(EquipmentTypes.csv!B:B)),1)</f>
        <v>200019</v>
      </c>
      <c r="H304" s="8" t="str">
        <f t="shared" ca="1" si="30"/>
        <v>rg:{ 'id': '200019'}</v>
      </c>
      <c r="I304" s="8">
        <f t="shared" ca="1" si="31"/>
        <v>1</v>
      </c>
      <c r="J304" s="8">
        <f t="shared" ca="1" si="32"/>
        <v>47</v>
      </c>
      <c r="K304" s="8" t="str">
        <f t="shared" ca="1" si="33"/>
        <v>2017-03-20</v>
      </c>
      <c r="L304" s="8" t="str">
        <f t="shared" ca="1" si="34"/>
        <v>2017-03-25</v>
      </c>
    </row>
    <row r="305" spans="1:12" x14ac:dyDescent="0.3">
      <c r="A305" s="8" t="s">
        <v>5675</v>
      </c>
      <c r="B305" s="8">
        <f t="shared" si="28"/>
        <v>600303</v>
      </c>
      <c r="C305" s="1" t="s">
        <v>6996</v>
      </c>
      <c r="D305" s="9" t="e">
        <f>VLOOKUP(C305,Project.csv!E:P,13,FALSE)</f>
        <v>#REF!</v>
      </c>
      <c r="E305" s="8" t="e">
        <f t="shared" si="29"/>
        <v>#REF!</v>
      </c>
      <c r="F305" s="9" t="s">
        <v>7118</v>
      </c>
      <c r="G305" s="9">
        <f ca="1">INDEX(EquipmentTypes.csv!C:C,RANDBETWEEN(2,COUNTA(EquipmentTypes.csv!B:B)),1)</f>
        <v>200085</v>
      </c>
      <c r="H305" s="8" t="str">
        <f t="shared" ca="1" si="30"/>
        <v>rg:{ 'id': '200085'}</v>
      </c>
      <c r="I305" s="8">
        <f t="shared" ca="1" si="31"/>
        <v>1</v>
      </c>
      <c r="J305" s="8">
        <f t="shared" ca="1" si="32"/>
        <v>14</v>
      </c>
      <c r="K305" s="8" t="str">
        <f t="shared" ca="1" si="33"/>
        <v>2017-03-29</v>
      </c>
      <c r="L305" s="8" t="str">
        <f t="shared" ca="1" si="34"/>
        <v>2017-03-30</v>
      </c>
    </row>
    <row r="306" spans="1:12" x14ac:dyDescent="0.3">
      <c r="A306" s="8" t="s">
        <v>5675</v>
      </c>
      <c r="B306" s="8">
        <f t="shared" si="28"/>
        <v>600304</v>
      </c>
      <c r="C306" s="1" t="s">
        <v>6997</v>
      </c>
      <c r="D306" s="9" t="e">
        <f>VLOOKUP(C306,Project.csv!E:P,13,FALSE)</f>
        <v>#REF!</v>
      </c>
      <c r="E306" s="8" t="e">
        <f t="shared" si="29"/>
        <v>#REF!</v>
      </c>
      <c r="F306" s="9" t="s">
        <v>7118</v>
      </c>
      <c r="G306" s="9">
        <f ca="1">INDEX(EquipmentTypes.csv!C:C,RANDBETWEEN(2,COUNTA(EquipmentTypes.csv!B:B)),1)</f>
        <v>200029</v>
      </c>
      <c r="H306" s="8" t="str">
        <f t="shared" ca="1" si="30"/>
        <v>rg:{ 'id': '200029'}</v>
      </c>
      <c r="I306" s="8">
        <f t="shared" ca="1" si="31"/>
        <v>1</v>
      </c>
      <c r="J306" s="8">
        <f t="shared" ca="1" si="32"/>
        <v>61</v>
      </c>
      <c r="K306" s="8" t="str">
        <f t="shared" ca="1" si="33"/>
        <v>2017-03-19</v>
      </c>
      <c r="L306" s="8" t="str">
        <f t="shared" ca="1" si="34"/>
        <v>2017-03-26</v>
      </c>
    </row>
    <row r="307" spans="1:12" x14ac:dyDescent="0.3">
      <c r="A307" s="8" t="s">
        <v>5675</v>
      </c>
      <c r="B307" s="8">
        <f t="shared" si="28"/>
        <v>600305</v>
      </c>
      <c r="C307" s="1" t="s">
        <v>6958</v>
      </c>
      <c r="D307" s="9" t="e">
        <f>VLOOKUP(C307,Project.csv!E:P,13,FALSE)</f>
        <v>#REF!</v>
      </c>
      <c r="E307" s="8" t="e">
        <f t="shared" si="29"/>
        <v>#REF!</v>
      </c>
      <c r="F307" s="9" t="s">
        <v>7118</v>
      </c>
      <c r="G307" s="9">
        <f ca="1">INDEX(EquipmentTypes.csv!C:C,RANDBETWEEN(2,COUNTA(EquipmentTypes.csv!B:B)),1)</f>
        <v>200085</v>
      </c>
      <c r="H307" s="8" t="str">
        <f t="shared" ca="1" si="30"/>
        <v>rg:{ 'id': '200085'}</v>
      </c>
      <c r="I307" s="8">
        <f t="shared" ca="1" si="31"/>
        <v>1</v>
      </c>
      <c r="J307" s="8">
        <f t="shared" ca="1" si="32"/>
        <v>85</v>
      </c>
      <c r="K307" s="8" t="str">
        <f t="shared" ca="1" si="33"/>
        <v>2017-03-14</v>
      </c>
      <c r="L307" s="8" t="str">
        <f t="shared" ca="1" si="34"/>
        <v>2017-03-24</v>
      </c>
    </row>
    <row r="308" spans="1:12" x14ac:dyDescent="0.3">
      <c r="A308" s="8" t="s">
        <v>5675</v>
      </c>
      <c r="B308" s="8">
        <f t="shared" si="28"/>
        <v>600306</v>
      </c>
      <c r="C308" s="1" t="s">
        <v>6998</v>
      </c>
      <c r="D308" s="9" t="e">
        <f>VLOOKUP(C308,Project.csv!E:P,13,FALSE)</f>
        <v>#REF!</v>
      </c>
      <c r="E308" s="8" t="e">
        <f t="shared" si="29"/>
        <v>#REF!</v>
      </c>
      <c r="F308" s="9" t="s">
        <v>7118</v>
      </c>
      <c r="G308" s="9">
        <f ca="1">INDEX(EquipmentTypes.csv!C:C,RANDBETWEEN(2,COUNTA(EquipmentTypes.csv!B:B)),1)</f>
        <v>200021</v>
      </c>
      <c r="H308" s="8" t="str">
        <f t="shared" ca="1" si="30"/>
        <v>rg:{ 'id': '200021'}</v>
      </c>
      <c r="I308" s="8">
        <f t="shared" ca="1" si="31"/>
        <v>3</v>
      </c>
      <c r="J308" s="8">
        <f t="shared" ca="1" si="32"/>
        <v>77</v>
      </c>
      <c r="K308" s="8" t="str">
        <f t="shared" ca="1" si="33"/>
        <v>2017-03-16</v>
      </c>
      <c r="L308" s="8" t="str">
        <f t="shared" ca="1" si="34"/>
        <v>2017-04-13</v>
      </c>
    </row>
    <row r="309" spans="1:12" x14ac:dyDescent="0.3">
      <c r="A309" s="8" t="s">
        <v>5675</v>
      </c>
      <c r="B309" s="8">
        <f t="shared" si="28"/>
        <v>600307</v>
      </c>
      <c r="C309" s="1" t="s">
        <v>6950</v>
      </c>
      <c r="D309" s="9" t="e">
        <f>VLOOKUP(C309,Project.csv!E:P,13,FALSE)</f>
        <v>#REF!</v>
      </c>
      <c r="E309" s="8" t="e">
        <f t="shared" si="29"/>
        <v>#REF!</v>
      </c>
      <c r="F309" s="9" t="s">
        <v>7118</v>
      </c>
      <c r="G309" s="9">
        <f ca="1">INDEX(EquipmentTypes.csv!C:C,RANDBETWEEN(2,COUNTA(EquipmentTypes.csv!B:B)),1)</f>
        <v>200025</v>
      </c>
      <c r="H309" s="8" t="str">
        <f t="shared" ca="1" si="30"/>
        <v>rg:{ 'id': '200025'}</v>
      </c>
      <c r="I309" s="8">
        <f t="shared" ca="1" si="31"/>
        <v>1</v>
      </c>
      <c r="J309" s="8">
        <f t="shared" ca="1" si="32"/>
        <v>7</v>
      </c>
      <c r="K309" s="8" t="str">
        <f t="shared" ca="1" si="33"/>
        <v>2017-03-06</v>
      </c>
      <c r="L309" s="8" t="str">
        <f t="shared" ca="1" si="34"/>
        <v>2017-03-06</v>
      </c>
    </row>
    <row r="310" spans="1:12" x14ac:dyDescent="0.3">
      <c r="A310" s="8" t="s">
        <v>5675</v>
      </c>
      <c r="B310" s="8">
        <f t="shared" si="28"/>
        <v>600308</v>
      </c>
      <c r="C310" s="1" t="s">
        <v>6999</v>
      </c>
      <c r="D310" s="9" t="e">
        <f>VLOOKUP(C310,Project.csv!E:P,13,FALSE)</f>
        <v>#REF!</v>
      </c>
      <c r="E310" s="8" t="e">
        <f t="shared" si="29"/>
        <v>#REF!</v>
      </c>
      <c r="F310" s="9" t="s">
        <v>7118</v>
      </c>
      <c r="G310" s="9">
        <f ca="1">INDEX(EquipmentTypes.csv!C:C,RANDBETWEEN(2,COUNTA(EquipmentTypes.csv!B:B)),1)</f>
        <v>200017</v>
      </c>
      <c r="H310" s="8" t="str">
        <f t="shared" ca="1" si="30"/>
        <v>rg:{ 'id': '200017'}</v>
      </c>
      <c r="I310" s="8">
        <f t="shared" ca="1" si="31"/>
        <v>1</v>
      </c>
      <c r="J310" s="8">
        <f t="shared" ca="1" si="32"/>
        <v>57</v>
      </c>
      <c r="K310" s="8" t="str">
        <f t="shared" ca="1" si="33"/>
        <v>2017-04-18</v>
      </c>
      <c r="L310" s="8" t="str">
        <f t="shared" ca="1" si="34"/>
        <v>2017-04-25</v>
      </c>
    </row>
    <row r="311" spans="1:12" x14ac:dyDescent="0.3">
      <c r="A311" s="8" t="s">
        <v>5675</v>
      </c>
      <c r="B311" s="8">
        <f t="shared" si="28"/>
        <v>600309</v>
      </c>
      <c r="C311" s="1" t="s">
        <v>6915</v>
      </c>
      <c r="D311" s="9" t="e">
        <f>VLOOKUP(C311,Project.csv!E:P,13,FALSE)</f>
        <v>#REF!</v>
      </c>
      <c r="E311" s="8" t="e">
        <f t="shared" si="29"/>
        <v>#REF!</v>
      </c>
      <c r="F311" s="9" t="s">
        <v>7118</v>
      </c>
      <c r="G311" s="9">
        <f ca="1">INDEX(EquipmentTypes.csv!C:C,RANDBETWEEN(2,COUNTA(EquipmentTypes.csv!B:B)),1)</f>
        <v>200085</v>
      </c>
      <c r="H311" s="8" t="str">
        <f t="shared" ca="1" si="30"/>
        <v>rg:{ 'id': '200085'}</v>
      </c>
      <c r="I311" s="8">
        <f t="shared" ca="1" si="31"/>
        <v>1</v>
      </c>
      <c r="J311" s="8">
        <f t="shared" ca="1" si="32"/>
        <v>53</v>
      </c>
      <c r="K311" s="8" t="str">
        <f t="shared" ca="1" si="33"/>
        <v>2017-04-20</v>
      </c>
      <c r="L311" s="8" t="str">
        <f t="shared" ca="1" si="34"/>
        <v>2017-04-26</v>
      </c>
    </row>
    <row r="312" spans="1:12" x14ac:dyDescent="0.3">
      <c r="A312" s="8" t="s">
        <v>5675</v>
      </c>
      <c r="B312" s="8">
        <f t="shared" si="28"/>
        <v>600310</v>
      </c>
      <c r="C312" s="1" t="s">
        <v>6961</v>
      </c>
      <c r="D312" s="9" t="e">
        <f>VLOOKUP(C312,Project.csv!E:P,13,FALSE)</f>
        <v>#REF!</v>
      </c>
      <c r="E312" s="8" t="e">
        <f t="shared" si="29"/>
        <v>#REF!</v>
      </c>
      <c r="F312" s="9" t="s">
        <v>7118</v>
      </c>
      <c r="G312" s="9">
        <f ca="1">INDEX(EquipmentTypes.csv!C:C,RANDBETWEEN(2,COUNTA(EquipmentTypes.csv!B:B)),1)</f>
        <v>200072</v>
      </c>
      <c r="H312" s="8" t="str">
        <f t="shared" ca="1" si="30"/>
        <v>rg:{ 'id': '200072'}</v>
      </c>
      <c r="I312" s="8">
        <f t="shared" ca="1" si="31"/>
        <v>5</v>
      </c>
      <c r="J312" s="8">
        <f t="shared" ca="1" si="32"/>
        <v>67</v>
      </c>
      <c r="K312" s="8" t="str">
        <f t="shared" ca="1" si="33"/>
        <v>2017-03-29</v>
      </c>
      <c r="L312" s="8" t="str">
        <f t="shared" ca="1" si="34"/>
        <v>2017-05-09</v>
      </c>
    </row>
    <row r="313" spans="1:12" x14ac:dyDescent="0.3">
      <c r="A313" s="8" t="s">
        <v>5675</v>
      </c>
      <c r="B313" s="8">
        <f t="shared" si="28"/>
        <v>600311</v>
      </c>
      <c r="C313" s="1" t="s">
        <v>7000</v>
      </c>
      <c r="D313" s="9" t="e">
        <f>VLOOKUP(C313,Project.csv!E:P,13,FALSE)</f>
        <v>#REF!</v>
      </c>
      <c r="E313" s="8" t="e">
        <f t="shared" si="29"/>
        <v>#REF!</v>
      </c>
      <c r="F313" s="9" t="s">
        <v>7118</v>
      </c>
      <c r="G313" s="9">
        <f ca="1">INDEX(EquipmentTypes.csv!C:C,RANDBETWEEN(2,COUNTA(EquipmentTypes.csv!B:B)),1)</f>
        <v>200035</v>
      </c>
      <c r="H313" s="8" t="str">
        <f t="shared" ca="1" si="30"/>
        <v>rg:{ 'id': '200035'}</v>
      </c>
      <c r="I313" s="8">
        <f t="shared" ca="1" si="31"/>
        <v>1</v>
      </c>
      <c r="J313" s="8">
        <f t="shared" ca="1" si="32"/>
        <v>57</v>
      </c>
      <c r="K313" s="8" t="str">
        <f t="shared" ca="1" si="33"/>
        <v>2017-03-20</v>
      </c>
      <c r="L313" s="8" t="str">
        <f t="shared" ca="1" si="34"/>
        <v>2017-03-27</v>
      </c>
    </row>
    <row r="314" spans="1:12" x14ac:dyDescent="0.3">
      <c r="A314" s="8" t="s">
        <v>5675</v>
      </c>
      <c r="B314" s="8">
        <f t="shared" si="28"/>
        <v>600312</v>
      </c>
      <c r="C314" s="1" t="s">
        <v>7001</v>
      </c>
      <c r="D314" s="9" t="e">
        <f>VLOOKUP(C314,Project.csv!E:P,13,FALSE)</f>
        <v>#REF!</v>
      </c>
      <c r="E314" s="8" t="e">
        <f t="shared" si="29"/>
        <v>#REF!</v>
      </c>
      <c r="F314" s="9" t="s">
        <v>7118</v>
      </c>
      <c r="G314" s="9">
        <f ca="1">INDEX(EquipmentTypes.csv!C:C,RANDBETWEEN(2,COUNTA(EquipmentTypes.csv!B:B)),1)</f>
        <v>200012</v>
      </c>
      <c r="H314" s="8" t="str">
        <f t="shared" ca="1" si="30"/>
        <v>rg:{ 'id': '200012'}</v>
      </c>
      <c r="I314" s="8">
        <f t="shared" ca="1" si="31"/>
        <v>1</v>
      </c>
      <c r="J314" s="8">
        <f t="shared" ca="1" si="32"/>
        <v>30</v>
      </c>
      <c r="K314" s="8" t="str">
        <f t="shared" ca="1" si="33"/>
        <v>2017-03-12</v>
      </c>
      <c r="L314" s="8" t="str">
        <f t="shared" ca="1" si="34"/>
        <v>2017-03-15</v>
      </c>
    </row>
    <row r="315" spans="1:12" x14ac:dyDescent="0.3">
      <c r="A315" s="8" t="s">
        <v>5675</v>
      </c>
      <c r="B315" s="8">
        <f t="shared" si="28"/>
        <v>600313</v>
      </c>
      <c r="C315" s="1" t="s">
        <v>7002</v>
      </c>
      <c r="D315" s="9" t="e">
        <f>VLOOKUP(C315,Project.csv!E:P,13,FALSE)</f>
        <v>#REF!</v>
      </c>
      <c r="E315" s="8" t="e">
        <f t="shared" si="29"/>
        <v>#REF!</v>
      </c>
      <c r="F315" s="9" t="s">
        <v>7118</v>
      </c>
      <c r="G315" s="9">
        <f ca="1">INDEX(EquipmentTypes.csv!C:C,RANDBETWEEN(2,COUNTA(EquipmentTypes.csv!B:B)),1)</f>
        <v>200067</v>
      </c>
      <c r="H315" s="8" t="str">
        <f t="shared" ca="1" si="30"/>
        <v>rg:{ 'id': '200067'}</v>
      </c>
      <c r="I315" s="8">
        <f t="shared" ca="1" si="31"/>
        <v>1</v>
      </c>
      <c r="J315" s="8">
        <f t="shared" ca="1" si="32"/>
        <v>62</v>
      </c>
      <c r="K315" s="8" t="str">
        <f t="shared" ca="1" si="33"/>
        <v>2017-04-21</v>
      </c>
      <c r="L315" s="8" t="str">
        <f t="shared" ca="1" si="34"/>
        <v>2017-04-28</v>
      </c>
    </row>
    <row r="316" spans="1:12" x14ac:dyDescent="0.3">
      <c r="A316" s="8" t="s">
        <v>5675</v>
      </c>
      <c r="B316" s="8">
        <f t="shared" si="28"/>
        <v>600314</v>
      </c>
      <c r="C316" s="1" t="s">
        <v>6952</v>
      </c>
      <c r="D316" s="9" t="e">
        <f>VLOOKUP(C316,Project.csv!E:P,13,FALSE)</f>
        <v>#REF!</v>
      </c>
      <c r="E316" s="8" t="e">
        <f t="shared" si="29"/>
        <v>#REF!</v>
      </c>
      <c r="F316" s="9" t="s">
        <v>7118</v>
      </c>
      <c r="G316" s="9">
        <f ca="1">INDEX(EquipmentTypes.csv!C:C,RANDBETWEEN(2,COUNTA(EquipmentTypes.csv!B:B)),1)</f>
        <v>200060</v>
      </c>
      <c r="H316" s="8" t="str">
        <f t="shared" ca="1" si="30"/>
        <v>rg:{ 'id': '200060'}</v>
      </c>
      <c r="I316" s="8">
        <f t="shared" ca="1" si="31"/>
        <v>1</v>
      </c>
      <c r="J316" s="8">
        <f t="shared" ca="1" si="32"/>
        <v>67</v>
      </c>
      <c r="K316" s="8" t="str">
        <f t="shared" ca="1" si="33"/>
        <v>2017-03-13</v>
      </c>
      <c r="L316" s="8" t="str">
        <f t="shared" ca="1" si="34"/>
        <v>2017-03-21</v>
      </c>
    </row>
    <row r="317" spans="1:12" x14ac:dyDescent="0.3">
      <c r="A317" s="8" t="s">
        <v>5675</v>
      </c>
      <c r="B317" s="8">
        <f t="shared" si="28"/>
        <v>600315</v>
      </c>
      <c r="C317" s="1" t="s">
        <v>6906</v>
      </c>
      <c r="D317" s="9" t="e">
        <f>VLOOKUP(C317,Project.csv!E:P,13,FALSE)</f>
        <v>#REF!</v>
      </c>
      <c r="E317" s="8" t="e">
        <f t="shared" si="29"/>
        <v>#REF!</v>
      </c>
      <c r="F317" s="9" t="s">
        <v>7118</v>
      </c>
      <c r="G317" s="9">
        <f ca="1">INDEX(EquipmentTypes.csv!C:C,RANDBETWEEN(2,COUNTA(EquipmentTypes.csv!B:B)),1)</f>
        <v>200072</v>
      </c>
      <c r="H317" s="8" t="str">
        <f t="shared" ca="1" si="30"/>
        <v>rg:{ 'id': '200072'}</v>
      </c>
      <c r="I317" s="8">
        <f t="shared" ca="1" si="31"/>
        <v>1</v>
      </c>
      <c r="J317" s="8">
        <f t="shared" ca="1" si="32"/>
        <v>67</v>
      </c>
      <c r="K317" s="8" t="str">
        <f t="shared" ca="1" si="33"/>
        <v>2017-04-21</v>
      </c>
      <c r="L317" s="8" t="str">
        <f t="shared" ca="1" si="34"/>
        <v>2017-04-29</v>
      </c>
    </row>
    <row r="318" spans="1:12" x14ac:dyDescent="0.3">
      <c r="A318" s="8" t="s">
        <v>5675</v>
      </c>
      <c r="B318" s="8">
        <f t="shared" si="28"/>
        <v>600316</v>
      </c>
      <c r="C318" s="1" t="s">
        <v>6935</v>
      </c>
      <c r="D318" s="9" t="e">
        <f>VLOOKUP(C318,Project.csv!E:P,13,FALSE)</f>
        <v>#REF!</v>
      </c>
      <c r="E318" s="8" t="e">
        <f t="shared" si="29"/>
        <v>#REF!</v>
      </c>
      <c r="F318" s="9" t="s">
        <v>7118</v>
      </c>
      <c r="G318" s="9">
        <f ca="1">INDEX(EquipmentTypes.csv!C:C,RANDBETWEEN(2,COUNTA(EquipmentTypes.csv!B:B)),1)</f>
        <v>200082</v>
      </c>
      <c r="H318" s="8" t="str">
        <f t="shared" ca="1" si="30"/>
        <v>rg:{ 'id': '200082'}</v>
      </c>
      <c r="I318" s="8">
        <f t="shared" ca="1" si="31"/>
        <v>1</v>
      </c>
      <c r="J318" s="8">
        <f t="shared" ca="1" si="32"/>
        <v>90</v>
      </c>
      <c r="K318" s="8" t="str">
        <f t="shared" ca="1" si="33"/>
        <v>2017-04-08</v>
      </c>
      <c r="L318" s="8" t="str">
        <f t="shared" ca="1" si="34"/>
        <v>2017-04-19</v>
      </c>
    </row>
    <row r="319" spans="1:12" x14ac:dyDescent="0.3">
      <c r="A319" s="8" t="s">
        <v>5675</v>
      </c>
      <c r="B319" s="8">
        <f t="shared" si="28"/>
        <v>600317</v>
      </c>
      <c r="C319" s="1" t="s">
        <v>7003</v>
      </c>
      <c r="D319" s="9" t="e">
        <f>VLOOKUP(C319,Project.csv!E:P,13,FALSE)</f>
        <v>#REF!</v>
      </c>
      <c r="E319" s="8" t="e">
        <f t="shared" si="29"/>
        <v>#REF!</v>
      </c>
      <c r="F319" s="9" t="s">
        <v>7118</v>
      </c>
      <c r="G319" s="9">
        <f ca="1">INDEX(EquipmentTypes.csv!C:C,RANDBETWEEN(2,COUNTA(EquipmentTypes.csv!B:B)),1)</f>
        <v>200060</v>
      </c>
      <c r="H319" s="8" t="str">
        <f t="shared" ca="1" si="30"/>
        <v>rg:{ 'id': '200060'}</v>
      </c>
      <c r="I319" s="8">
        <f t="shared" ca="1" si="31"/>
        <v>1</v>
      </c>
      <c r="J319" s="8">
        <f t="shared" ca="1" si="32"/>
        <v>52</v>
      </c>
      <c r="K319" s="8" t="str">
        <f t="shared" ca="1" si="33"/>
        <v>2017-03-04</v>
      </c>
      <c r="L319" s="8" t="str">
        <f t="shared" ca="1" si="34"/>
        <v>2017-03-10</v>
      </c>
    </row>
    <row r="320" spans="1:12" x14ac:dyDescent="0.3">
      <c r="A320" s="8" t="s">
        <v>5675</v>
      </c>
      <c r="B320" s="8">
        <f t="shared" si="28"/>
        <v>600318</v>
      </c>
      <c r="C320" s="1" t="s">
        <v>7004</v>
      </c>
      <c r="D320" s="9" t="e">
        <f>VLOOKUP(C320,Project.csv!E:P,13,FALSE)</f>
        <v>#REF!</v>
      </c>
      <c r="E320" s="8" t="e">
        <f t="shared" si="29"/>
        <v>#REF!</v>
      </c>
      <c r="F320" s="9" t="s">
        <v>7118</v>
      </c>
      <c r="G320" s="9">
        <f ca="1">INDEX(EquipmentTypes.csv!C:C,RANDBETWEEN(2,COUNTA(EquipmentTypes.csv!B:B)),1)</f>
        <v>200043</v>
      </c>
      <c r="H320" s="8" t="str">
        <f t="shared" ca="1" si="30"/>
        <v>rg:{ 'id': '200043'}</v>
      </c>
      <c r="I320" s="8">
        <f t="shared" ca="1" si="31"/>
        <v>1</v>
      </c>
      <c r="J320" s="8">
        <f t="shared" ca="1" si="32"/>
        <v>50</v>
      </c>
      <c r="K320" s="8" t="str">
        <f t="shared" ca="1" si="33"/>
        <v>2017-04-09</v>
      </c>
      <c r="L320" s="8" t="str">
        <f t="shared" ca="1" si="34"/>
        <v>2017-04-15</v>
      </c>
    </row>
    <row r="321" spans="1:12" x14ac:dyDescent="0.3">
      <c r="A321" s="8" t="s">
        <v>5675</v>
      </c>
      <c r="B321" s="8">
        <f t="shared" si="28"/>
        <v>600319</v>
      </c>
      <c r="C321" s="1" t="s">
        <v>7005</v>
      </c>
      <c r="D321" s="9" t="e">
        <f>VLOOKUP(C321,Project.csv!E:P,13,FALSE)</f>
        <v>#REF!</v>
      </c>
      <c r="E321" s="8" t="e">
        <f t="shared" si="29"/>
        <v>#REF!</v>
      </c>
      <c r="F321" s="9" t="s">
        <v>7118</v>
      </c>
      <c r="G321" s="9">
        <f ca="1">INDEX(EquipmentTypes.csv!C:C,RANDBETWEEN(2,COUNTA(EquipmentTypes.csv!B:B)),1)</f>
        <v>200051</v>
      </c>
      <c r="H321" s="8" t="str">
        <f t="shared" ca="1" si="30"/>
        <v>rg:{ 'id': '200051'}</v>
      </c>
      <c r="I321" s="8">
        <f t="shared" ca="1" si="31"/>
        <v>1</v>
      </c>
      <c r="J321" s="8">
        <f t="shared" ca="1" si="32"/>
        <v>21</v>
      </c>
      <c r="K321" s="8" t="str">
        <f t="shared" ca="1" si="33"/>
        <v>2017-03-29</v>
      </c>
      <c r="L321" s="8" t="str">
        <f t="shared" ca="1" si="34"/>
        <v>2017-03-31</v>
      </c>
    </row>
    <row r="322" spans="1:12" x14ac:dyDescent="0.3">
      <c r="A322" s="8" t="s">
        <v>5675</v>
      </c>
      <c r="B322" s="8">
        <f t="shared" si="28"/>
        <v>600320</v>
      </c>
      <c r="C322" s="1" t="s">
        <v>7006</v>
      </c>
      <c r="D322" s="9" t="e">
        <f>VLOOKUP(C322,Project.csv!E:P,13,FALSE)</f>
        <v>#REF!</v>
      </c>
      <c r="E322" s="8" t="e">
        <f t="shared" si="29"/>
        <v>#REF!</v>
      </c>
      <c r="F322" s="9" t="s">
        <v>7118</v>
      </c>
      <c r="G322" s="9">
        <f ca="1">INDEX(EquipmentTypes.csv!C:C,RANDBETWEEN(2,COUNTA(EquipmentTypes.csv!B:B)),1)</f>
        <v>200067</v>
      </c>
      <c r="H322" s="8" t="str">
        <f t="shared" ca="1" si="30"/>
        <v>rg:{ 'id': '200067'}</v>
      </c>
      <c r="I322" s="8">
        <f t="shared" ca="1" si="31"/>
        <v>1</v>
      </c>
      <c r="J322" s="8">
        <f t="shared" ca="1" si="32"/>
        <v>48</v>
      </c>
      <c r="K322" s="8" t="str">
        <f t="shared" ca="1" si="33"/>
        <v>2017-04-18</v>
      </c>
      <c r="L322" s="8" t="str">
        <f t="shared" ca="1" si="34"/>
        <v>2017-04-24</v>
      </c>
    </row>
    <row r="323" spans="1:12" x14ac:dyDescent="0.3">
      <c r="A323" s="8" t="s">
        <v>5675</v>
      </c>
      <c r="B323" s="8">
        <f t="shared" ref="B323:B330" si="35">IF(ISNUMBER(B322),B322+1,600000)</f>
        <v>600321</v>
      </c>
      <c r="C323" s="1" t="s">
        <v>7007</v>
      </c>
      <c r="D323" s="9" t="e">
        <f>VLOOKUP(C323,Project.csv!E:P,13,FALSE)</f>
        <v>#REF!</v>
      </c>
      <c r="E323" s="8" t="e">
        <f t="shared" ref="E323:E330" si="36" xml:space="preserve"> "rg:{'id':'" &amp; D323 &amp; "'}"</f>
        <v>#REF!</v>
      </c>
      <c r="F323" s="9" t="s">
        <v>7118</v>
      </c>
      <c r="G323" s="9">
        <f ca="1">INDEX(EquipmentTypes.csv!C:C,RANDBETWEEN(2,COUNTA(EquipmentTypes.csv!B:B)),1)</f>
        <v>200085</v>
      </c>
      <c r="H323" s="8" t="str">
        <f t="shared" ref="H323:H330" ca="1" si="37">"rg:{ 'id': '"&amp;G323&amp;"'}"</f>
        <v>rg:{ 'id': '200085'}</v>
      </c>
      <c r="I323" s="8">
        <f t="shared" ref="I323:I330" ca="1" si="38">IF(RANDBETWEEN(1,5)&gt;1,1,RANDBETWEEN(2,5))</f>
        <v>2</v>
      </c>
      <c r="J323" s="8">
        <f t="shared" ref="J323:J330" ca="1" si="39">RANDBETWEEN(4,100)</f>
        <v>73</v>
      </c>
      <c r="K323" s="8" t="str">
        <f t="shared" ref="K323:K330" ca="1" si="40">TEXT(TODAY()+RANDBETWEEN(1,56),"YYYY-MM-DD")</f>
        <v>2017-03-08</v>
      </c>
      <c r="L323" s="8" t="str">
        <f t="shared" ref="L323:L330" ca="1" si="41">TEXT(K323+(I323*J323)/8,"YYYY-MM-DD")</f>
        <v>2017-03-26</v>
      </c>
    </row>
    <row r="324" spans="1:12" x14ac:dyDescent="0.3">
      <c r="A324" s="8" t="s">
        <v>5675</v>
      </c>
      <c r="B324" s="8">
        <f t="shared" si="35"/>
        <v>600322</v>
      </c>
      <c r="C324" s="1" t="s">
        <v>7008</v>
      </c>
      <c r="D324" s="9" t="e">
        <f>VLOOKUP(C324,Project.csv!E:P,13,FALSE)</f>
        <v>#REF!</v>
      </c>
      <c r="E324" s="8" t="e">
        <f t="shared" si="36"/>
        <v>#REF!</v>
      </c>
      <c r="F324" s="9" t="s">
        <v>7118</v>
      </c>
      <c r="G324" s="9">
        <f ca="1">INDEX(EquipmentTypes.csv!C:C,RANDBETWEEN(2,COUNTA(EquipmentTypes.csv!B:B)),1)</f>
        <v>200084</v>
      </c>
      <c r="H324" s="8" t="str">
        <f t="shared" ca="1" si="37"/>
        <v>rg:{ 'id': '200084'}</v>
      </c>
      <c r="I324" s="8">
        <f t="shared" ca="1" si="38"/>
        <v>1</v>
      </c>
      <c r="J324" s="8">
        <f t="shared" ca="1" si="39"/>
        <v>62</v>
      </c>
      <c r="K324" s="8" t="str">
        <f t="shared" ca="1" si="40"/>
        <v>2017-03-09</v>
      </c>
      <c r="L324" s="8" t="str">
        <f t="shared" ca="1" si="41"/>
        <v>2017-03-16</v>
      </c>
    </row>
    <row r="325" spans="1:12" x14ac:dyDescent="0.3">
      <c r="A325" s="8" t="s">
        <v>5675</v>
      </c>
      <c r="B325" s="8">
        <f t="shared" si="35"/>
        <v>600323</v>
      </c>
      <c r="C325" s="1" t="s">
        <v>7009</v>
      </c>
      <c r="D325" s="9" t="e">
        <f>VLOOKUP(C325,Project.csv!E:P,13,FALSE)</f>
        <v>#REF!</v>
      </c>
      <c r="E325" s="8" t="e">
        <f t="shared" si="36"/>
        <v>#REF!</v>
      </c>
      <c r="F325" s="9" t="s">
        <v>7118</v>
      </c>
      <c r="G325" s="9">
        <f ca="1">INDEX(EquipmentTypes.csv!C:C,RANDBETWEEN(2,COUNTA(EquipmentTypes.csv!B:B)),1)</f>
        <v>200043</v>
      </c>
      <c r="H325" s="8" t="str">
        <f t="shared" ca="1" si="37"/>
        <v>rg:{ 'id': '200043'}</v>
      </c>
      <c r="I325" s="8">
        <f t="shared" ca="1" si="38"/>
        <v>5</v>
      </c>
      <c r="J325" s="8">
        <f t="shared" ca="1" si="39"/>
        <v>92</v>
      </c>
      <c r="K325" s="8" t="str">
        <f t="shared" ca="1" si="40"/>
        <v>2017-04-20</v>
      </c>
      <c r="L325" s="8" t="str">
        <f t="shared" ca="1" si="41"/>
        <v>2017-06-16</v>
      </c>
    </row>
    <row r="326" spans="1:12" x14ac:dyDescent="0.3">
      <c r="A326" s="8" t="s">
        <v>5675</v>
      </c>
      <c r="B326" s="8">
        <f t="shared" si="35"/>
        <v>600324</v>
      </c>
      <c r="C326" s="1" t="s">
        <v>6926</v>
      </c>
      <c r="D326" s="9" t="e">
        <f>VLOOKUP(C326,Project.csv!E:P,13,FALSE)</f>
        <v>#REF!</v>
      </c>
      <c r="E326" s="8" t="e">
        <f t="shared" si="36"/>
        <v>#REF!</v>
      </c>
      <c r="F326" s="9" t="s">
        <v>7118</v>
      </c>
      <c r="G326" s="9">
        <f ca="1">INDEX(EquipmentTypes.csv!C:C,RANDBETWEEN(2,COUNTA(EquipmentTypes.csv!B:B)),1)</f>
        <v>200083</v>
      </c>
      <c r="H326" s="8" t="str">
        <f t="shared" ca="1" si="37"/>
        <v>rg:{ 'id': '200083'}</v>
      </c>
      <c r="I326" s="8">
        <f t="shared" ca="1" si="38"/>
        <v>3</v>
      </c>
      <c r="J326" s="8">
        <f t="shared" ca="1" si="39"/>
        <v>29</v>
      </c>
      <c r="K326" s="8" t="str">
        <f t="shared" ca="1" si="40"/>
        <v>2017-04-24</v>
      </c>
      <c r="L326" s="8" t="str">
        <f t="shared" ca="1" si="41"/>
        <v>2017-05-04</v>
      </c>
    </row>
    <row r="327" spans="1:12" x14ac:dyDescent="0.3">
      <c r="A327" s="8" t="s">
        <v>5675</v>
      </c>
      <c r="B327" s="8">
        <f t="shared" si="35"/>
        <v>600325</v>
      </c>
      <c r="C327" s="1" t="s">
        <v>6908</v>
      </c>
      <c r="D327" s="9" t="e">
        <f>VLOOKUP(C327,Project.csv!E:P,13,FALSE)</f>
        <v>#REF!</v>
      </c>
      <c r="E327" s="8" t="e">
        <f t="shared" si="36"/>
        <v>#REF!</v>
      </c>
      <c r="F327" s="9" t="s">
        <v>7118</v>
      </c>
      <c r="G327" s="9">
        <f ca="1">INDEX(EquipmentTypes.csv!C:C,RANDBETWEEN(2,COUNTA(EquipmentTypes.csv!B:B)),1)</f>
        <v>200043</v>
      </c>
      <c r="H327" s="8" t="str">
        <f t="shared" ca="1" si="37"/>
        <v>rg:{ 'id': '200043'}</v>
      </c>
      <c r="I327" s="8">
        <f t="shared" ca="1" si="38"/>
        <v>1</v>
      </c>
      <c r="J327" s="8">
        <f t="shared" ca="1" si="39"/>
        <v>66</v>
      </c>
      <c r="K327" s="8" t="str">
        <f t="shared" ca="1" si="40"/>
        <v>2017-04-13</v>
      </c>
      <c r="L327" s="8" t="str">
        <f t="shared" ca="1" si="41"/>
        <v>2017-04-21</v>
      </c>
    </row>
    <row r="328" spans="1:12" x14ac:dyDescent="0.3">
      <c r="A328" s="8" t="s">
        <v>5675</v>
      </c>
      <c r="B328" s="8">
        <f t="shared" si="35"/>
        <v>600326</v>
      </c>
      <c r="C328" s="1" t="s">
        <v>7010</v>
      </c>
      <c r="D328" s="9" t="e">
        <f>VLOOKUP(C328,Project.csv!E:P,13,FALSE)</f>
        <v>#REF!</v>
      </c>
      <c r="E328" s="8" t="e">
        <f t="shared" si="36"/>
        <v>#REF!</v>
      </c>
      <c r="F328" s="9" t="s">
        <v>7118</v>
      </c>
      <c r="G328" s="9">
        <f ca="1">INDEX(EquipmentTypes.csv!C:C,RANDBETWEEN(2,COUNTA(EquipmentTypes.csv!B:B)),1)</f>
        <v>200005</v>
      </c>
      <c r="H328" s="8" t="str">
        <f t="shared" ca="1" si="37"/>
        <v>rg:{ 'id': '200005'}</v>
      </c>
      <c r="I328" s="8">
        <f t="shared" ca="1" si="38"/>
        <v>1</v>
      </c>
      <c r="J328" s="8">
        <f t="shared" ca="1" si="39"/>
        <v>68</v>
      </c>
      <c r="K328" s="8" t="str">
        <f t="shared" ca="1" si="40"/>
        <v>2017-04-16</v>
      </c>
      <c r="L328" s="8" t="str">
        <f t="shared" ca="1" si="41"/>
        <v>2017-04-24</v>
      </c>
    </row>
    <row r="329" spans="1:12" x14ac:dyDescent="0.3">
      <c r="A329" s="8" t="s">
        <v>5675</v>
      </c>
      <c r="B329" s="8">
        <f t="shared" si="35"/>
        <v>600327</v>
      </c>
      <c r="C329" s="1" t="s">
        <v>7011</v>
      </c>
      <c r="D329" s="9" t="e">
        <f>VLOOKUP(C329,Project.csv!E:P,13,FALSE)</f>
        <v>#REF!</v>
      </c>
      <c r="E329" s="8" t="e">
        <f t="shared" si="36"/>
        <v>#REF!</v>
      </c>
      <c r="F329" s="9" t="s">
        <v>7118</v>
      </c>
      <c r="G329" s="9">
        <f ca="1">INDEX(EquipmentTypes.csv!C:C,RANDBETWEEN(2,COUNTA(EquipmentTypes.csv!B:B)),1)</f>
        <v>200072</v>
      </c>
      <c r="H329" s="8" t="str">
        <f t="shared" ca="1" si="37"/>
        <v>rg:{ 'id': '200072'}</v>
      </c>
      <c r="I329" s="8">
        <f t="shared" ca="1" si="38"/>
        <v>5</v>
      </c>
      <c r="J329" s="8">
        <f t="shared" ca="1" si="39"/>
        <v>67</v>
      </c>
      <c r="K329" s="8" t="str">
        <f t="shared" ca="1" si="40"/>
        <v>2017-03-06</v>
      </c>
      <c r="L329" s="8" t="str">
        <f t="shared" ca="1" si="41"/>
        <v>2017-04-16</v>
      </c>
    </row>
    <row r="330" spans="1:12" x14ac:dyDescent="0.3">
      <c r="A330" s="8" t="s">
        <v>5675</v>
      </c>
      <c r="B330" s="8">
        <f t="shared" si="35"/>
        <v>600328</v>
      </c>
      <c r="C330" s="1" t="s">
        <v>7012</v>
      </c>
      <c r="D330" s="9" t="e">
        <f>VLOOKUP(C330,Project.csv!E:P,13,FALSE)</f>
        <v>#REF!</v>
      </c>
      <c r="E330" s="8" t="e">
        <f t="shared" si="36"/>
        <v>#REF!</v>
      </c>
      <c r="F330" s="9" t="s">
        <v>7118</v>
      </c>
      <c r="G330" s="9">
        <f ca="1">INDEX(EquipmentTypes.csv!C:C,RANDBETWEEN(2,COUNTA(EquipmentTypes.csv!B:B)),1)</f>
        <v>200029</v>
      </c>
      <c r="H330" s="8" t="str">
        <f t="shared" ca="1" si="37"/>
        <v>rg:{ 'id': '200029'}</v>
      </c>
      <c r="I330" s="8">
        <f t="shared" ca="1" si="38"/>
        <v>1</v>
      </c>
      <c r="J330" s="8">
        <f t="shared" ca="1" si="39"/>
        <v>41</v>
      </c>
      <c r="K330" s="8" t="str">
        <f t="shared" ca="1" si="40"/>
        <v>2017-04-21</v>
      </c>
      <c r="L330" s="8" t="str">
        <f t="shared" ca="1" si="41"/>
        <v>2017-04-26</v>
      </c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  <row r="559" spans="3:3" x14ac:dyDescent="0.3">
      <c r="C559" s="1"/>
    </row>
    <row r="560" spans="3:3" x14ac:dyDescent="0.3">
      <c r="C560" s="1"/>
    </row>
    <row r="561" spans="3:3" x14ac:dyDescent="0.3">
      <c r="C561" s="1"/>
    </row>
    <row r="562" spans="3:3" x14ac:dyDescent="0.3">
      <c r="C562" s="1"/>
    </row>
    <row r="563" spans="3:3" x14ac:dyDescent="0.3">
      <c r="C563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6460</v>
      </c>
      <c r="C1" s="5" t="s">
        <v>6459</v>
      </c>
      <c r="D1" s="5" t="s">
        <v>6458</v>
      </c>
      <c r="E1" s="5" t="s">
        <v>6457</v>
      </c>
      <c r="F1" s="5" t="s">
        <v>6456</v>
      </c>
      <c r="G1" s="5" t="s">
        <v>6455</v>
      </c>
      <c r="H1" s="5" t="s">
        <v>6454</v>
      </c>
      <c r="I1" s="5" t="s">
        <v>6453</v>
      </c>
      <c r="J1" s="5" t="s">
        <v>6452</v>
      </c>
      <c r="K1" s="5" t="s">
        <v>6451</v>
      </c>
      <c r="L1" s="5" t="s">
        <v>6450</v>
      </c>
      <c r="M1" s="5" t="s">
        <v>5381</v>
      </c>
      <c r="N1" s="5" t="s">
        <v>281</v>
      </c>
      <c r="O1" s="5" t="s">
        <v>77</v>
      </c>
      <c r="P1" s="5" t="s">
        <v>6449</v>
      </c>
      <c r="Q1" s="5" t="s">
        <v>6448</v>
      </c>
      <c r="R1" s="5" t="s">
        <v>6447</v>
      </c>
      <c r="S1" s="5" t="s">
        <v>6446</v>
      </c>
      <c r="T1" s="5" t="s">
        <v>6445</v>
      </c>
      <c r="U1" s="5" t="s">
        <v>6444</v>
      </c>
      <c r="V1" s="5" t="s">
        <v>6443</v>
      </c>
      <c r="W1" s="5" t="s">
        <v>6442</v>
      </c>
      <c r="X1" s="5" t="s">
        <v>6441</v>
      </c>
      <c r="Y1" s="5" t="s">
        <v>2983</v>
      </c>
      <c r="Z1" s="5" t="s">
        <v>6440</v>
      </c>
      <c r="AA1" s="5" t="s">
        <v>0</v>
      </c>
      <c r="AB1" s="5" t="s">
        <v>6439</v>
      </c>
      <c r="AC1" s="5" t="s">
        <v>56</v>
      </c>
      <c r="AD1" t="s">
        <v>6667</v>
      </c>
      <c r="AE1" t="s">
        <v>6504</v>
      </c>
      <c r="AF1" s="5" t="s">
        <v>6453</v>
      </c>
    </row>
    <row r="2" spans="1:32" x14ac:dyDescent="0.3">
      <c r="A2" t="str">
        <f>Y2</f>
        <v>Western Auto</v>
      </c>
      <c r="B2">
        <v>401</v>
      </c>
      <c r="C2" t="s">
        <v>6383</v>
      </c>
      <c r="D2" t="s">
        <v>6430</v>
      </c>
      <c r="E2" t="s">
        <v>6429</v>
      </c>
      <c r="F2" t="s">
        <v>5497</v>
      </c>
      <c r="G2" t="s">
        <v>5498</v>
      </c>
      <c r="H2">
        <v>7.3</v>
      </c>
      <c r="I2" t="s">
        <v>6438</v>
      </c>
      <c r="J2">
        <v>10.038</v>
      </c>
      <c r="K2" t="s">
        <v>326</v>
      </c>
      <c r="L2" t="s">
        <v>6437</v>
      </c>
      <c r="M2">
        <v>302.47000000000003</v>
      </c>
      <c r="N2" t="s">
        <v>6436</v>
      </c>
      <c r="O2" t="s">
        <v>6435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5696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6549</v>
      </c>
      <c r="AF2" t="s">
        <v>6438</v>
      </c>
    </row>
    <row r="3" spans="1:32" x14ac:dyDescent="0.3">
      <c r="A3" t="str">
        <f t="shared" ref="A3:A66" si="0">Y3</f>
        <v>Parts America</v>
      </c>
      <c r="B3">
        <v>401</v>
      </c>
      <c r="C3" t="s">
        <v>6383</v>
      </c>
      <c r="D3" t="s">
        <v>6430</v>
      </c>
      <c r="E3" t="s">
        <v>6429</v>
      </c>
      <c r="F3" t="s">
        <v>6434</v>
      </c>
      <c r="G3" t="s">
        <v>5521</v>
      </c>
      <c r="H3">
        <v>7.3</v>
      </c>
      <c r="I3" t="s">
        <v>6433</v>
      </c>
      <c r="J3">
        <v>13.055</v>
      </c>
      <c r="K3" t="s">
        <v>326</v>
      </c>
      <c r="L3" t="s">
        <v>5706</v>
      </c>
      <c r="M3">
        <v>427.15</v>
      </c>
      <c r="N3" t="s">
        <v>5724</v>
      </c>
      <c r="O3" t="s">
        <v>6432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6550</v>
      </c>
      <c r="AF3" t="s">
        <v>6433</v>
      </c>
    </row>
    <row r="4" spans="1:32" x14ac:dyDescent="0.3">
      <c r="A4" t="str">
        <f t="shared" si="0"/>
        <v>Allied Radio</v>
      </c>
      <c r="B4">
        <v>401</v>
      </c>
      <c r="C4" t="s">
        <v>6383</v>
      </c>
      <c r="D4" t="s">
        <v>6430</v>
      </c>
      <c r="E4" t="s">
        <v>6429</v>
      </c>
      <c r="F4" t="s">
        <v>5698</v>
      </c>
      <c r="G4" t="s">
        <v>6397</v>
      </c>
      <c r="H4">
        <v>16.100000000000001</v>
      </c>
      <c r="I4" t="s">
        <v>6431</v>
      </c>
      <c r="J4">
        <v>33</v>
      </c>
      <c r="K4" t="s">
        <v>326</v>
      </c>
      <c r="L4" t="s">
        <v>5706</v>
      </c>
      <c r="M4">
        <v>1984.5</v>
      </c>
      <c r="N4" t="s">
        <v>5727</v>
      </c>
      <c r="O4" t="s">
        <v>5713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6551</v>
      </c>
      <c r="AF4" t="s">
        <v>6431</v>
      </c>
    </row>
    <row r="5" spans="1:32" x14ac:dyDescent="0.3">
      <c r="A5" t="str">
        <f t="shared" si="0"/>
        <v>The Wiz</v>
      </c>
      <c r="B5">
        <v>401</v>
      </c>
      <c r="C5" t="s">
        <v>6383</v>
      </c>
      <c r="D5" t="s">
        <v>6430</v>
      </c>
      <c r="E5" t="s">
        <v>6429</v>
      </c>
      <c r="F5" t="s">
        <v>5794</v>
      </c>
      <c r="G5" t="s">
        <v>5627</v>
      </c>
      <c r="H5">
        <v>10.199999999999999</v>
      </c>
      <c r="I5" t="s">
        <v>6428</v>
      </c>
      <c r="J5">
        <v>4.2709999999999999</v>
      </c>
      <c r="K5" t="s">
        <v>326</v>
      </c>
      <c r="L5" t="s">
        <v>6427</v>
      </c>
      <c r="M5">
        <v>129.46299999999999</v>
      </c>
      <c r="N5" t="s">
        <v>6426</v>
      </c>
      <c r="O5" t="s">
        <v>6425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6552</v>
      </c>
      <c r="AF5" t="s">
        <v>6428</v>
      </c>
    </row>
    <row r="6" spans="1:32" x14ac:dyDescent="0.3">
      <c r="A6" t="str">
        <f t="shared" si="0"/>
        <v>Suadela Investment</v>
      </c>
      <c r="B6">
        <v>401</v>
      </c>
      <c r="C6" t="s">
        <v>6383</v>
      </c>
      <c r="D6" t="s">
        <v>6414</v>
      </c>
      <c r="E6" t="s">
        <v>6413</v>
      </c>
      <c r="F6" t="s">
        <v>5541</v>
      </c>
      <c r="G6" t="s">
        <v>5542</v>
      </c>
      <c r="H6">
        <v>7.2</v>
      </c>
      <c r="I6" t="s">
        <v>6424</v>
      </c>
      <c r="J6">
        <v>36</v>
      </c>
      <c r="K6" t="s">
        <v>326</v>
      </c>
      <c r="L6" t="s">
        <v>5706</v>
      </c>
      <c r="M6">
        <v>1085.3330000000001</v>
      </c>
      <c r="N6" t="s">
        <v>5736</v>
      </c>
      <c r="O6" t="s">
        <v>5721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6553</v>
      </c>
      <c r="AF6" t="s">
        <v>6424</v>
      </c>
    </row>
    <row r="7" spans="1:32" x14ac:dyDescent="0.3">
      <c r="A7" t="str">
        <f t="shared" si="0"/>
        <v>Garden Guru</v>
      </c>
      <c r="B7">
        <v>401</v>
      </c>
      <c r="C7" t="s">
        <v>6383</v>
      </c>
      <c r="D7" t="s">
        <v>6414</v>
      </c>
      <c r="E7" t="s">
        <v>6413</v>
      </c>
      <c r="F7" t="s">
        <v>6419</v>
      </c>
      <c r="G7" t="s">
        <v>5546</v>
      </c>
      <c r="H7">
        <v>17.399999999999999</v>
      </c>
      <c r="I7" t="s">
        <v>6423</v>
      </c>
      <c r="J7">
        <v>6.0490000000000004</v>
      </c>
      <c r="K7" t="s">
        <v>326</v>
      </c>
      <c r="L7" t="s">
        <v>6422</v>
      </c>
      <c r="M7">
        <v>218.47</v>
      </c>
      <c r="N7" t="s">
        <v>6421</v>
      </c>
      <c r="O7" t="s">
        <v>6420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6554</v>
      </c>
      <c r="AF7" t="s">
        <v>6423</v>
      </c>
    </row>
    <row r="8" spans="1:32" x14ac:dyDescent="0.3">
      <c r="A8" t="str">
        <f t="shared" si="0"/>
        <v>Garden Guru</v>
      </c>
      <c r="B8">
        <v>401</v>
      </c>
      <c r="C8" t="s">
        <v>6383</v>
      </c>
      <c r="D8" t="s">
        <v>6414</v>
      </c>
      <c r="E8" t="s">
        <v>6413</v>
      </c>
      <c r="F8" t="s">
        <v>6419</v>
      </c>
      <c r="G8" t="s">
        <v>5546</v>
      </c>
      <c r="H8">
        <v>17.399999999999999</v>
      </c>
      <c r="I8" t="s">
        <v>6418</v>
      </c>
      <c r="J8">
        <v>2.3530000000000002</v>
      </c>
      <c r="K8" t="s">
        <v>326</v>
      </c>
      <c r="L8" t="s">
        <v>6417</v>
      </c>
      <c r="M8">
        <v>126.75700000000001</v>
      </c>
      <c r="N8" t="s">
        <v>6416</v>
      </c>
      <c r="O8" t="s">
        <v>6415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6554</v>
      </c>
      <c r="AF8" t="s">
        <v>6418</v>
      </c>
    </row>
    <row r="9" spans="1:32" x14ac:dyDescent="0.3">
      <c r="A9" t="str">
        <f t="shared" si="0"/>
        <v>Red Fox Tavern</v>
      </c>
      <c r="B9">
        <v>401</v>
      </c>
      <c r="C9" t="s">
        <v>6383</v>
      </c>
      <c r="D9" t="s">
        <v>6414</v>
      </c>
      <c r="E9" t="s">
        <v>6413</v>
      </c>
      <c r="F9" t="s">
        <v>5793</v>
      </c>
      <c r="G9" t="s">
        <v>5629</v>
      </c>
      <c r="H9">
        <v>15.2</v>
      </c>
      <c r="I9" t="s">
        <v>6412</v>
      </c>
      <c r="J9">
        <v>7.0819999999999999</v>
      </c>
      <c r="K9" t="s">
        <v>326</v>
      </c>
      <c r="L9" t="s">
        <v>5722</v>
      </c>
      <c r="M9">
        <v>212.46</v>
      </c>
      <c r="N9" t="s">
        <v>5751</v>
      </c>
      <c r="O9" t="s">
        <v>6411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6555</v>
      </c>
      <c r="AF9" t="s">
        <v>6412</v>
      </c>
    </row>
    <row r="10" spans="1:32" x14ac:dyDescent="0.3">
      <c r="A10" t="str">
        <f t="shared" si="0"/>
        <v>Showbiz Pizza Place</v>
      </c>
      <c r="B10">
        <v>401</v>
      </c>
      <c r="C10" t="s">
        <v>6383</v>
      </c>
      <c r="D10" t="s">
        <v>6410</v>
      </c>
      <c r="E10" t="s">
        <v>6409</v>
      </c>
      <c r="F10" t="s">
        <v>6408</v>
      </c>
      <c r="G10" t="s">
        <v>5540</v>
      </c>
      <c r="H10">
        <v>7.1</v>
      </c>
      <c r="I10" t="s">
        <v>6407</v>
      </c>
      <c r="J10">
        <v>7.8769999999999998</v>
      </c>
      <c r="K10" t="s">
        <v>326</v>
      </c>
      <c r="L10" t="s">
        <v>6406</v>
      </c>
      <c r="M10">
        <v>244.31</v>
      </c>
      <c r="N10" t="s">
        <v>6405</v>
      </c>
      <c r="O10" t="s">
        <v>6404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6556</v>
      </c>
      <c r="AF10" t="s">
        <v>6407</v>
      </c>
    </row>
    <row r="11" spans="1:32" x14ac:dyDescent="0.3">
      <c r="A11" t="str">
        <f t="shared" si="0"/>
        <v>Success Is Yours</v>
      </c>
      <c r="B11">
        <v>401</v>
      </c>
      <c r="C11" t="s">
        <v>6383</v>
      </c>
      <c r="D11" t="s">
        <v>6399</v>
      </c>
      <c r="E11" t="s">
        <v>6398</v>
      </c>
      <c r="F11" t="s">
        <v>5735</v>
      </c>
      <c r="G11" t="s">
        <v>5465</v>
      </c>
      <c r="H11">
        <v>15.1</v>
      </c>
      <c r="I11" t="s">
        <v>6403</v>
      </c>
      <c r="J11">
        <v>16.068000000000001</v>
      </c>
      <c r="K11" t="s">
        <v>326</v>
      </c>
      <c r="L11" t="s">
        <v>5706</v>
      </c>
      <c r="M11">
        <v>488.54</v>
      </c>
      <c r="N11" t="s">
        <v>5771</v>
      </c>
      <c r="O11" t="s">
        <v>6402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6557</v>
      </c>
      <c r="AF11" t="s">
        <v>6403</v>
      </c>
    </row>
    <row r="12" spans="1:32" x14ac:dyDescent="0.3">
      <c r="A12" t="str">
        <f t="shared" si="0"/>
        <v>Success Is Yours</v>
      </c>
      <c r="B12">
        <v>401</v>
      </c>
      <c r="C12" t="s">
        <v>6383</v>
      </c>
      <c r="D12" t="s">
        <v>6399</v>
      </c>
      <c r="E12" t="s">
        <v>6398</v>
      </c>
      <c r="F12" t="s">
        <v>5698</v>
      </c>
      <c r="G12" t="s">
        <v>6397</v>
      </c>
      <c r="H12">
        <v>16.100000000000001</v>
      </c>
      <c r="I12" t="s">
        <v>6401</v>
      </c>
      <c r="J12">
        <v>2.3370000000000002</v>
      </c>
      <c r="K12" t="s">
        <v>326</v>
      </c>
      <c r="L12" t="s">
        <v>6395</v>
      </c>
      <c r="M12">
        <v>188.47</v>
      </c>
      <c r="N12" t="s">
        <v>5739</v>
      </c>
      <c r="O12" t="s">
        <v>6400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6557</v>
      </c>
      <c r="AF12" t="s">
        <v>6401</v>
      </c>
    </row>
    <row r="13" spans="1:32" x14ac:dyDescent="0.3">
      <c r="A13" t="str">
        <f t="shared" si="0"/>
        <v>Success Is Yours</v>
      </c>
      <c r="B13">
        <v>401</v>
      </c>
      <c r="C13" t="s">
        <v>6383</v>
      </c>
      <c r="D13" t="s">
        <v>6399</v>
      </c>
      <c r="E13" t="s">
        <v>6398</v>
      </c>
      <c r="F13" t="s">
        <v>5698</v>
      </c>
      <c r="G13" t="s">
        <v>6397</v>
      </c>
      <c r="H13">
        <v>16.100000000000001</v>
      </c>
      <c r="I13" t="s">
        <v>6396</v>
      </c>
      <c r="J13">
        <v>2.3370000000000002</v>
      </c>
      <c r="K13" t="s">
        <v>326</v>
      </c>
      <c r="L13" t="s">
        <v>6395</v>
      </c>
      <c r="M13">
        <v>186.97</v>
      </c>
      <c r="N13" t="s">
        <v>6394</v>
      </c>
      <c r="O13" t="s">
        <v>6393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6557</v>
      </c>
      <c r="AF13" t="s">
        <v>6396</v>
      </c>
    </row>
    <row r="14" spans="1:32" x14ac:dyDescent="0.3">
      <c r="A14" t="str">
        <f t="shared" si="0"/>
        <v>McDuff</v>
      </c>
      <c r="B14">
        <v>401</v>
      </c>
      <c r="C14" t="s">
        <v>6383</v>
      </c>
      <c r="D14" t="s">
        <v>6382</v>
      </c>
      <c r="E14" t="s">
        <v>6381</v>
      </c>
      <c r="F14" t="s">
        <v>5735</v>
      </c>
      <c r="G14" t="s">
        <v>5465</v>
      </c>
      <c r="H14">
        <v>15.1</v>
      </c>
      <c r="I14" t="s">
        <v>6392</v>
      </c>
      <c r="J14">
        <v>7.4660000000000002</v>
      </c>
      <c r="K14" t="s">
        <v>326</v>
      </c>
      <c r="L14" t="s">
        <v>6391</v>
      </c>
      <c r="M14">
        <v>233.98</v>
      </c>
      <c r="N14" t="s">
        <v>5753</v>
      </c>
      <c r="O14" t="s">
        <v>5797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6558</v>
      </c>
      <c r="AF14" t="s">
        <v>6392</v>
      </c>
    </row>
    <row r="15" spans="1:32" x14ac:dyDescent="0.3">
      <c r="A15" t="str">
        <f t="shared" si="0"/>
        <v>Monsource</v>
      </c>
      <c r="B15">
        <v>401</v>
      </c>
      <c r="C15" t="s">
        <v>6383</v>
      </c>
      <c r="D15" t="s">
        <v>6382</v>
      </c>
      <c r="E15" t="s">
        <v>6381</v>
      </c>
      <c r="F15" t="s">
        <v>6390</v>
      </c>
      <c r="G15" t="s">
        <v>5526</v>
      </c>
      <c r="H15">
        <v>7.3</v>
      </c>
      <c r="I15" t="s">
        <v>6389</v>
      </c>
      <c r="J15">
        <v>12</v>
      </c>
      <c r="K15" t="s">
        <v>326</v>
      </c>
      <c r="L15" t="s">
        <v>5706</v>
      </c>
      <c r="M15">
        <v>364</v>
      </c>
      <c r="N15" t="s">
        <v>5724</v>
      </c>
      <c r="O15" t="s">
        <v>6388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6559</v>
      </c>
      <c r="AF15" t="s">
        <v>6389</v>
      </c>
    </row>
    <row r="16" spans="1:32" x14ac:dyDescent="0.3">
      <c r="A16" t="str">
        <f t="shared" si="0"/>
        <v>P. Samuels Men's Clothiers</v>
      </c>
      <c r="B16">
        <v>401</v>
      </c>
      <c r="C16" t="s">
        <v>6383</v>
      </c>
      <c r="D16" t="s">
        <v>6382</v>
      </c>
      <c r="E16" t="s">
        <v>6381</v>
      </c>
      <c r="F16" t="s">
        <v>6387</v>
      </c>
      <c r="G16" t="s">
        <v>5532</v>
      </c>
      <c r="H16">
        <v>7.3</v>
      </c>
      <c r="I16" t="s">
        <v>6386</v>
      </c>
      <c r="J16">
        <v>10.978</v>
      </c>
      <c r="K16" t="s">
        <v>326</v>
      </c>
      <c r="L16" t="s">
        <v>6385</v>
      </c>
      <c r="M16">
        <v>431.00700000000001</v>
      </c>
      <c r="N16" t="s">
        <v>5729</v>
      </c>
      <c r="O16" t="s">
        <v>6384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6560</v>
      </c>
      <c r="AF16" t="s">
        <v>6386</v>
      </c>
    </row>
    <row r="17" spans="1:32" x14ac:dyDescent="0.3">
      <c r="A17" t="str">
        <f t="shared" si="0"/>
        <v>Harold's</v>
      </c>
      <c r="B17">
        <v>401</v>
      </c>
      <c r="C17" t="s">
        <v>6383</v>
      </c>
      <c r="D17" t="s">
        <v>6382</v>
      </c>
      <c r="E17" t="s">
        <v>6381</v>
      </c>
      <c r="F17" t="s">
        <v>5781</v>
      </c>
      <c r="G17" t="s">
        <v>6380</v>
      </c>
      <c r="H17">
        <v>16.2</v>
      </c>
      <c r="I17" t="s">
        <v>6379</v>
      </c>
      <c r="J17">
        <v>10</v>
      </c>
      <c r="K17" t="s">
        <v>326</v>
      </c>
      <c r="L17" t="s">
        <v>5807</v>
      </c>
      <c r="M17">
        <v>308.16699999999997</v>
      </c>
      <c r="N17" t="s">
        <v>6378</v>
      </c>
      <c r="O17" t="s">
        <v>5768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6561</v>
      </c>
      <c r="AF17" t="s">
        <v>6379</v>
      </c>
    </row>
    <row r="18" spans="1:32" x14ac:dyDescent="0.3">
      <c r="A18" t="str">
        <f t="shared" si="0"/>
        <v>Stratacard</v>
      </c>
      <c r="B18">
        <v>402</v>
      </c>
      <c r="C18" t="s">
        <v>6286</v>
      </c>
      <c r="D18" t="s">
        <v>6350</v>
      </c>
      <c r="E18" t="s">
        <v>6349</v>
      </c>
      <c r="F18">
        <v>11.1</v>
      </c>
      <c r="G18" t="s">
        <v>6343</v>
      </c>
      <c r="H18">
        <v>11.1</v>
      </c>
      <c r="I18" t="s">
        <v>6377</v>
      </c>
      <c r="J18">
        <v>30</v>
      </c>
      <c r="K18" t="s">
        <v>326</v>
      </c>
      <c r="L18" t="s">
        <v>5706</v>
      </c>
      <c r="M18">
        <v>902.66700000000003</v>
      </c>
      <c r="N18" t="s">
        <v>6376</v>
      </c>
      <c r="O18" t="s">
        <v>6375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6562</v>
      </c>
      <c r="AF18" t="s">
        <v>6377</v>
      </c>
    </row>
    <row r="19" spans="1:32" x14ac:dyDescent="0.3">
      <c r="A19" t="str">
        <f t="shared" si="0"/>
        <v>Chase Pitkin</v>
      </c>
      <c r="B19">
        <v>402</v>
      </c>
      <c r="C19" t="s">
        <v>6286</v>
      </c>
      <c r="D19" t="s">
        <v>6350</v>
      </c>
      <c r="E19" t="s">
        <v>6349</v>
      </c>
      <c r="F19">
        <v>13.3</v>
      </c>
      <c r="G19" t="s">
        <v>6374</v>
      </c>
      <c r="H19">
        <v>13.3</v>
      </c>
      <c r="I19" t="s">
        <v>6373</v>
      </c>
      <c r="J19">
        <v>28</v>
      </c>
      <c r="K19" t="s">
        <v>326</v>
      </c>
      <c r="L19" t="s">
        <v>5706</v>
      </c>
      <c r="M19">
        <v>842.66700000000003</v>
      </c>
      <c r="N19" t="s">
        <v>6372</v>
      </c>
      <c r="O19" t="s">
        <v>6371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6563</v>
      </c>
      <c r="AF19" t="s">
        <v>6373</v>
      </c>
    </row>
    <row r="20" spans="1:32" x14ac:dyDescent="0.3">
      <c r="A20" t="str">
        <f t="shared" si="0"/>
        <v>Auto Palace</v>
      </c>
      <c r="B20">
        <v>402</v>
      </c>
      <c r="C20" t="s">
        <v>6286</v>
      </c>
      <c r="D20" t="s">
        <v>6350</v>
      </c>
      <c r="E20" t="s">
        <v>6349</v>
      </c>
      <c r="F20">
        <v>15.6</v>
      </c>
      <c r="G20" t="s">
        <v>6340</v>
      </c>
      <c r="H20">
        <v>15.6</v>
      </c>
      <c r="I20" t="s">
        <v>6370</v>
      </c>
      <c r="J20">
        <v>27</v>
      </c>
      <c r="K20" t="s">
        <v>326</v>
      </c>
      <c r="L20" t="s">
        <v>5706</v>
      </c>
      <c r="M20">
        <v>812.66700000000003</v>
      </c>
      <c r="N20" t="s">
        <v>6369</v>
      </c>
      <c r="O20" t="s">
        <v>6367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6564</v>
      </c>
      <c r="AF20" t="s">
        <v>6370</v>
      </c>
    </row>
    <row r="21" spans="1:32" x14ac:dyDescent="0.3">
      <c r="A21" t="str">
        <f t="shared" si="0"/>
        <v>Universo Realtors</v>
      </c>
      <c r="B21">
        <v>402</v>
      </c>
      <c r="C21" t="s">
        <v>6286</v>
      </c>
      <c r="D21" t="s">
        <v>6350</v>
      </c>
      <c r="E21" t="s">
        <v>6349</v>
      </c>
      <c r="F21">
        <v>15.6</v>
      </c>
      <c r="G21" t="s">
        <v>6340</v>
      </c>
      <c r="H21">
        <v>15.6</v>
      </c>
      <c r="I21" t="s">
        <v>6368</v>
      </c>
      <c r="J21">
        <v>26</v>
      </c>
      <c r="K21" t="s">
        <v>326</v>
      </c>
      <c r="L21" t="s">
        <v>5706</v>
      </c>
      <c r="M21">
        <v>782.66700000000003</v>
      </c>
      <c r="N21" t="s">
        <v>6338</v>
      </c>
      <c r="O21" t="s">
        <v>6367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6565</v>
      </c>
      <c r="AF21" t="s">
        <v>6368</v>
      </c>
    </row>
    <row r="22" spans="1:32" x14ac:dyDescent="0.3">
      <c r="A22" t="str">
        <f t="shared" si="0"/>
        <v>Asian Junction</v>
      </c>
      <c r="B22">
        <v>402</v>
      </c>
      <c r="C22" t="s">
        <v>6286</v>
      </c>
      <c r="D22" t="s">
        <v>6350</v>
      </c>
      <c r="E22" t="s">
        <v>6349</v>
      </c>
      <c r="F22">
        <v>16.100000000000001</v>
      </c>
      <c r="G22" t="s">
        <v>5814</v>
      </c>
      <c r="H22">
        <v>16.100000000000001</v>
      </c>
      <c r="I22" t="s">
        <v>6366</v>
      </c>
      <c r="J22">
        <v>24</v>
      </c>
      <c r="K22" t="s">
        <v>326</v>
      </c>
      <c r="L22" t="s">
        <v>5706</v>
      </c>
      <c r="M22">
        <v>1442.6669999999999</v>
      </c>
      <c r="N22" t="s">
        <v>6365</v>
      </c>
      <c r="O22" t="s">
        <v>6364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6566</v>
      </c>
      <c r="AF22" t="s">
        <v>6366</v>
      </c>
    </row>
    <row r="23" spans="1:32" x14ac:dyDescent="0.3">
      <c r="A23" t="str">
        <f t="shared" si="0"/>
        <v>Chase Pitkin</v>
      </c>
      <c r="B23">
        <v>402</v>
      </c>
      <c r="C23" t="s">
        <v>6286</v>
      </c>
      <c r="D23" t="s">
        <v>6350</v>
      </c>
      <c r="E23" t="s">
        <v>6349</v>
      </c>
      <c r="F23">
        <v>16.100000000000001</v>
      </c>
      <c r="G23" t="s">
        <v>5814</v>
      </c>
      <c r="H23">
        <v>16.100000000000001</v>
      </c>
      <c r="I23" t="s">
        <v>6363</v>
      </c>
      <c r="J23">
        <v>26</v>
      </c>
      <c r="K23" t="s">
        <v>326</v>
      </c>
      <c r="L23" t="s">
        <v>5706</v>
      </c>
      <c r="M23">
        <v>1583.4169999999999</v>
      </c>
      <c r="N23" t="s">
        <v>6362</v>
      </c>
      <c r="O23" t="s">
        <v>6361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6563</v>
      </c>
      <c r="AF23" t="s">
        <v>6363</v>
      </c>
    </row>
    <row r="24" spans="1:32" x14ac:dyDescent="0.3">
      <c r="A24" t="str">
        <f t="shared" si="0"/>
        <v>Chase Pitkin</v>
      </c>
      <c r="B24">
        <v>402</v>
      </c>
      <c r="C24" t="s">
        <v>6286</v>
      </c>
      <c r="D24" t="s">
        <v>6350</v>
      </c>
      <c r="E24" t="s">
        <v>6349</v>
      </c>
      <c r="F24">
        <v>2.5</v>
      </c>
      <c r="G24" t="s">
        <v>6360</v>
      </c>
      <c r="H24">
        <v>2.5</v>
      </c>
      <c r="I24" t="s">
        <v>6359</v>
      </c>
      <c r="J24">
        <v>16.082000000000001</v>
      </c>
      <c r="K24" t="s">
        <v>326</v>
      </c>
      <c r="L24" t="s">
        <v>5706</v>
      </c>
      <c r="M24">
        <v>489.79300000000001</v>
      </c>
      <c r="N24" t="s">
        <v>6358</v>
      </c>
      <c r="O24" t="s">
        <v>6357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6563</v>
      </c>
      <c r="AF24" t="s">
        <v>6359</v>
      </c>
    </row>
    <row r="25" spans="1:32" x14ac:dyDescent="0.3">
      <c r="A25" t="str">
        <f t="shared" si="0"/>
        <v>Magik Grey</v>
      </c>
      <c r="B25">
        <v>402</v>
      </c>
      <c r="C25" t="s">
        <v>6286</v>
      </c>
      <c r="D25" t="s">
        <v>6350</v>
      </c>
      <c r="E25" t="s">
        <v>6349</v>
      </c>
      <c r="F25" t="s">
        <v>6325</v>
      </c>
      <c r="G25" t="s">
        <v>6324</v>
      </c>
      <c r="H25">
        <v>7.3</v>
      </c>
      <c r="I25" t="s">
        <v>6356</v>
      </c>
      <c r="J25">
        <v>26</v>
      </c>
      <c r="K25" t="s">
        <v>326</v>
      </c>
      <c r="L25" t="s">
        <v>5706</v>
      </c>
      <c r="M25">
        <v>804</v>
      </c>
      <c r="N25" t="s">
        <v>6355</v>
      </c>
      <c r="O25" t="s">
        <v>6354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5696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6567</v>
      </c>
      <c r="AF25" t="s">
        <v>6356</v>
      </c>
    </row>
    <row r="26" spans="1:32" x14ac:dyDescent="0.3">
      <c r="A26" t="str">
        <f t="shared" si="0"/>
        <v>Magik Grey</v>
      </c>
      <c r="B26">
        <v>402</v>
      </c>
      <c r="C26" t="s">
        <v>6286</v>
      </c>
      <c r="D26" t="s">
        <v>6350</v>
      </c>
      <c r="E26" t="s">
        <v>6349</v>
      </c>
      <c r="F26" t="s">
        <v>6283</v>
      </c>
      <c r="G26" t="s">
        <v>6282</v>
      </c>
      <c r="H26">
        <v>7.3</v>
      </c>
      <c r="I26" t="s">
        <v>6353</v>
      </c>
      <c r="J26">
        <v>33</v>
      </c>
      <c r="K26" t="s">
        <v>326</v>
      </c>
      <c r="L26" t="s">
        <v>5706</v>
      </c>
      <c r="M26">
        <v>1005.83</v>
      </c>
      <c r="N26" t="s">
        <v>6352</v>
      </c>
      <c r="O26" t="s">
        <v>6351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5696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6567</v>
      </c>
      <c r="AF26" t="s">
        <v>6353</v>
      </c>
    </row>
    <row r="27" spans="1:32" x14ac:dyDescent="0.3">
      <c r="A27" t="str">
        <f t="shared" si="0"/>
        <v>Chase Pitkin</v>
      </c>
      <c r="B27">
        <v>402</v>
      </c>
      <c r="C27" t="s">
        <v>6286</v>
      </c>
      <c r="D27" t="s">
        <v>6350</v>
      </c>
      <c r="E27" t="s">
        <v>6349</v>
      </c>
      <c r="F27" t="s">
        <v>6348</v>
      </c>
      <c r="G27" t="s">
        <v>6347</v>
      </c>
      <c r="H27">
        <v>8.1</v>
      </c>
      <c r="I27" t="s">
        <v>6346</v>
      </c>
      <c r="J27">
        <v>15.129</v>
      </c>
      <c r="K27" t="s">
        <v>326</v>
      </c>
      <c r="L27" t="s">
        <v>5706</v>
      </c>
      <c r="M27">
        <v>457.20299999999997</v>
      </c>
      <c r="N27" t="s">
        <v>6345</v>
      </c>
      <c r="O27" t="s">
        <v>6344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6563</v>
      </c>
      <c r="AF27" t="s">
        <v>6346</v>
      </c>
    </row>
    <row r="28" spans="1:32" x14ac:dyDescent="0.3">
      <c r="A28" t="str">
        <f t="shared" si="0"/>
        <v>Henry's Hamburgers</v>
      </c>
      <c r="B28">
        <v>402</v>
      </c>
      <c r="C28" t="s">
        <v>6286</v>
      </c>
      <c r="D28" t="s">
        <v>6320</v>
      </c>
      <c r="E28" t="s">
        <v>6319</v>
      </c>
      <c r="F28">
        <v>11.1</v>
      </c>
      <c r="G28" t="s">
        <v>6343</v>
      </c>
      <c r="H28">
        <v>11.1</v>
      </c>
      <c r="I28" t="s">
        <v>6342</v>
      </c>
      <c r="J28">
        <v>12.016</v>
      </c>
      <c r="K28" t="s">
        <v>326</v>
      </c>
      <c r="L28" t="s">
        <v>5706</v>
      </c>
      <c r="M28">
        <v>389.48</v>
      </c>
      <c r="N28" t="s">
        <v>6341</v>
      </c>
      <c r="O28" t="s">
        <v>5799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6568</v>
      </c>
      <c r="AF28" t="s">
        <v>6342</v>
      </c>
    </row>
    <row r="29" spans="1:32" x14ac:dyDescent="0.3">
      <c r="A29" t="str">
        <f t="shared" si="0"/>
        <v>Childrens Bargain Town</v>
      </c>
      <c r="B29">
        <v>402</v>
      </c>
      <c r="C29" t="s">
        <v>6286</v>
      </c>
      <c r="D29" t="s">
        <v>6320</v>
      </c>
      <c r="E29" t="s">
        <v>6319</v>
      </c>
      <c r="F29">
        <v>15.6</v>
      </c>
      <c r="G29" t="s">
        <v>6340</v>
      </c>
      <c r="H29">
        <v>15.6</v>
      </c>
      <c r="I29" t="s">
        <v>6339</v>
      </c>
      <c r="J29">
        <v>22</v>
      </c>
      <c r="K29" t="s">
        <v>326</v>
      </c>
      <c r="L29" t="s">
        <v>5706</v>
      </c>
      <c r="M29">
        <v>706.08</v>
      </c>
      <c r="N29" t="s">
        <v>6338</v>
      </c>
      <c r="O29" t="s">
        <v>6337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6569</v>
      </c>
      <c r="AF29" t="s">
        <v>6339</v>
      </c>
    </row>
    <row r="30" spans="1:32" x14ac:dyDescent="0.3">
      <c r="A30" t="str">
        <f t="shared" si="0"/>
        <v>Strategy Consulting</v>
      </c>
      <c r="B30">
        <v>402</v>
      </c>
      <c r="C30" t="s">
        <v>6286</v>
      </c>
      <c r="D30" t="s">
        <v>6320</v>
      </c>
      <c r="E30" t="s">
        <v>6319</v>
      </c>
      <c r="F30">
        <v>16.100000000000001</v>
      </c>
      <c r="G30" t="s">
        <v>5814</v>
      </c>
      <c r="H30">
        <v>16.100000000000001</v>
      </c>
      <c r="I30" t="s">
        <v>6336</v>
      </c>
      <c r="J30">
        <v>31</v>
      </c>
      <c r="K30" t="s">
        <v>326</v>
      </c>
      <c r="L30" t="s">
        <v>5706</v>
      </c>
      <c r="M30">
        <v>1878.3330000000001</v>
      </c>
      <c r="N30" t="s">
        <v>6335</v>
      </c>
      <c r="O30" t="s">
        <v>6293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6570</v>
      </c>
      <c r="AF30" t="s">
        <v>6336</v>
      </c>
    </row>
    <row r="31" spans="1:32" x14ac:dyDescent="0.3">
      <c r="A31" t="str">
        <f t="shared" si="0"/>
        <v>Price Savers</v>
      </c>
      <c r="B31">
        <v>402</v>
      </c>
      <c r="C31" t="s">
        <v>6286</v>
      </c>
      <c r="D31" t="s">
        <v>6320</v>
      </c>
      <c r="E31" t="s">
        <v>6319</v>
      </c>
      <c r="F31">
        <v>16.100000000000001</v>
      </c>
      <c r="G31" t="s">
        <v>5814</v>
      </c>
      <c r="H31">
        <v>16.100000000000001</v>
      </c>
      <c r="I31" t="s">
        <v>6334</v>
      </c>
      <c r="J31">
        <v>35</v>
      </c>
      <c r="K31" t="s">
        <v>326</v>
      </c>
      <c r="L31" t="s">
        <v>5706</v>
      </c>
      <c r="M31">
        <v>2142</v>
      </c>
      <c r="N31" t="s">
        <v>6333</v>
      </c>
      <c r="O31" t="s">
        <v>6293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6571</v>
      </c>
      <c r="AF31" t="s">
        <v>6334</v>
      </c>
    </row>
    <row r="32" spans="1:32" x14ac:dyDescent="0.3">
      <c r="A32" t="str">
        <f t="shared" si="0"/>
        <v>Grass Roots Yard Services</v>
      </c>
      <c r="B32">
        <v>402</v>
      </c>
      <c r="C32" t="s">
        <v>6286</v>
      </c>
      <c r="D32" t="s">
        <v>6320</v>
      </c>
      <c r="E32" t="s">
        <v>6319</v>
      </c>
      <c r="F32">
        <v>16.100000000000001</v>
      </c>
      <c r="G32" t="s">
        <v>5814</v>
      </c>
      <c r="H32">
        <v>16.100000000000001</v>
      </c>
      <c r="I32" t="s">
        <v>6332</v>
      </c>
      <c r="J32">
        <v>28</v>
      </c>
      <c r="K32" t="s">
        <v>326</v>
      </c>
      <c r="L32" t="s">
        <v>5706</v>
      </c>
      <c r="M32">
        <v>1686.8330000000001</v>
      </c>
      <c r="N32" t="s">
        <v>6331</v>
      </c>
      <c r="O32" t="s">
        <v>6330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6572</v>
      </c>
      <c r="AF32" t="s">
        <v>6332</v>
      </c>
    </row>
    <row r="33" spans="1:32" x14ac:dyDescent="0.3">
      <c r="A33" t="str">
        <f t="shared" si="0"/>
        <v>Coconut's</v>
      </c>
      <c r="B33">
        <v>402</v>
      </c>
      <c r="C33" t="s">
        <v>6286</v>
      </c>
      <c r="D33" t="s">
        <v>6320</v>
      </c>
      <c r="E33" t="s">
        <v>6319</v>
      </c>
      <c r="F33">
        <v>16.100000000000001</v>
      </c>
      <c r="G33" t="s">
        <v>5814</v>
      </c>
      <c r="H33">
        <v>16.100000000000001</v>
      </c>
      <c r="I33" t="s">
        <v>6329</v>
      </c>
      <c r="J33">
        <v>28</v>
      </c>
      <c r="K33" t="s">
        <v>326</v>
      </c>
      <c r="L33" t="s">
        <v>5706</v>
      </c>
      <c r="M33">
        <v>1690.4169999999999</v>
      </c>
      <c r="N33" t="s">
        <v>6328</v>
      </c>
      <c r="O33" t="s">
        <v>5703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6573</v>
      </c>
      <c r="AF33" t="s">
        <v>6329</v>
      </c>
    </row>
    <row r="34" spans="1:32" x14ac:dyDescent="0.3">
      <c r="A34" t="str">
        <f t="shared" si="0"/>
        <v>Childrens Bargain Town</v>
      </c>
      <c r="B34">
        <v>402</v>
      </c>
      <c r="C34" t="s">
        <v>6286</v>
      </c>
      <c r="D34" t="s">
        <v>6320</v>
      </c>
      <c r="E34" t="s">
        <v>6319</v>
      </c>
      <c r="F34" t="s">
        <v>6325</v>
      </c>
      <c r="G34" t="s">
        <v>6324</v>
      </c>
      <c r="H34">
        <v>7.3</v>
      </c>
      <c r="I34" t="s">
        <v>6327</v>
      </c>
      <c r="J34">
        <v>19.350999999999999</v>
      </c>
      <c r="K34" t="s">
        <v>326</v>
      </c>
      <c r="L34" t="s">
        <v>5706</v>
      </c>
      <c r="M34">
        <v>580.53</v>
      </c>
      <c r="N34" t="s">
        <v>6326</v>
      </c>
      <c r="O34" t="s">
        <v>5746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6569</v>
      </c>
      <c r="AF34" t="s">
        <v>6327</v>
      </c>
    </row>
    <row r="35" spans="1:32" x14ac:dyDescent="0.3">
      <c r="A35" t="str">
        <f t="shared" si="0"/>
        <v>Childrens Bargain Town</v>
      </c>
      <c r="B35">
        <v>402</v>
      </c>
      <c r="C35" t="s">
        <v>6286</v>
      </c>
      <c r="D35" t="s">
        <v>6320</v>
      </c>
      <c r="E35" t="s">
        <v>6319</v>
      </c>
      <c r="F35" t="s">
        <v>6325</v>
      </c>
      <c r="G35" t="s">
        <v>6324</v>
      </c>
      <c r="H35">
        <v>7.3</v>
      </c>
      <c r="I35" t="s">
        <v>6323</v>
      </c>
      <c r="J35">
        <v>12.007999999999999</v>
      </c>
      <c r="K35" t="s">
        <v>326</v>
      </c>
      <c r="L35" t="s">
        <v>5706</v>
      </c>
      <c r="M35">
        <v>404.57</v>
      </c>
      <c r="N35" t="s">
        <v>5804</v>
      </c>
      <c r="O35" t="s">
        <v>6322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6569</v>
      </c>
      <c r="AF35" t="s">
        <v>6323</v>
      </c>
    </row>
    <row r="36" spans="1:32" x14ac:dyDescent="0.3">
      <c r="A36" t="str">
        <f t="shared" si="0"/>
        <v>Childrens Bargain Town</v>
      </c>
      <c r="B36">
        <v>402</v>
      </c>
      <c r="C36" t="s">
        <v>6286</v>
      </c>
      <c r="D36" t="s">
        <v>6320</v>
      </c>
      <c r="E36" t="s">
        <v>6319</v>
      </c>
      <c r="F36" t="s">
        <v>6283</v>
      </c>
      <c r="G36" t="s">
        <v>6282</v>
      </c>
      <c r="H36">
        <v>7.3</v>
      </c>
      <c r="I36" t="s">
        <v>6321</v>
      </c>
      <c r="J36">
        <v>19.350999999999999</v>
      </c>
      <c r="K36" t="s">
        <v>326</v>
      </c>
      <c r="L36" t="s">
        <v>5706</v>
      </c>
      <c r="M36">
        <v>608.20000000000005</v>
      </c>
      <c r="N36" t="s">
        <v>6279</v>
      </c>
      <c r="O36" t="s">
        <v>5748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6569</v>
      </c>
      <c r="AF36" t="s">
        <v>6321</v>
      </c>
    </row>
    <row r="37" spans="1:32" x14ac:dyDescent="0.3">
      <c r="A37" t="str">
        <f t="shared" si="0"/>
        <v>Childrens Bargain Town</v>
      </c>
      <c r="B37">
        <v>402</v>
      </c>
      <c r="C37" t="s">
        <v>6286</v>
      </c>
      <c r="D37" t="s">
        <v>6320</v>
      </c>
      <c r="E37" t="s">
        <v>6319</v>
      </c>
      <c r="F37" t="s">
        <v>6318</v>
      </c>
      <c r="G37" t="s">
        <v>6317</v>
      </c>
      <c r="H37">
        <v>7.3</v>
      </c>
      <c r="I37" t="s">
        <v>6316</v>
      </c>
      <c r="J37">
        <v>7.1529999999999996</v>
      </c>
      <c r="K37" t="s">
        <v>326</v>
      </c>
      <c r="L37" t="s">
        <v>6315</v>
      </c>
      <c r="M37">
        <v>253.42</v>
      </c>
      <c r="N37" t="s">
        <v>5785</v>
      </c>
      <c r="O37" t="s">
        <v>6314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6569</v>
      </c>
      <c r="AF37" t="s">
        <v>6316</v>
      </c>
    </row>
    <row r="38" spans="1:32" x14ac:dyDescent="0.3">
      <c r="A38" t="str">
        <f t="shared" si="0"/>
        <v>Muirhead's</v>
      </c>
      <c r="B38">
        <v>402</v>
      </c>
      <c r="C38" t="s">
        <v>6286</v>
      </c>
      <c r="D38" t="s">
        <v>6304</v>
      </c>
      <c r="E38" t="s">
        <v>6303</v>
      </c>
      <c r="F38">
        <v>16.100000000000001</v>
      </c>
      <c r="G38" t="s">
        <v>5814</v>
      </c>
      <c r="H38">
        <v>16.100000000000001</v>
      </c>
      <c r="I38" t="s">
        <v>6313</v>
      </c>
      <c r="J38">
        <v>32</v>
      </c>
      <c r="K38" t="s">
        <v>326</v>
      </c>
      <c r="L38" t="s">
        <v>5706</v>
      </c>
      <c r="M38">
        <v>2010.3330000000001</v>
      </c>
      <c r="N38" t="s">
        <v>6312</v>
      </c>
      <c r="O38" t="s">
        <v>6311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6574</v>
      </c>
      <c r="AF38" t="s">
        <v>6313</v>
      </c>
    </row>
    <row r="39" spans="1:32" x14ac:dyDescent="0.3">
      <c r="A39" t="str">
        <f t="shared" si="0"/>
        <v>Circuit Design</v>
      </c>
      <c r="B39">
        <v>402</v>
      </c>
      <c r="C39" t="s">
        <v>6286</v>
      </c>
      <c r="D39" t="s">
        <v>6304</v>
      </c>
      <c r="E39" t="s">
        <v>6303</v>
      </c>
      <c r="F39">
        <v>16.100000000000001</v>
      </c>
      <c r="G39" t="s">
        <v>5814</v>
      </c>
      <c r="H39">
        <v>16.100000000000001</v>
      </c>
      <c r="I39" t="s">
        <v>6310</v>
      </c>
      <c r="J39">
        <v>24</v>
      </c>
      <c r="K39" t="s">
        <v>326</v>
      </c>
      <c r="L39" t="s">
        <v>5706</v>
      </c>
      <c r="M39">
        <v>1509.17</v>
      </c>
      <c r="N39" t="s">
        <v>6309</v>
      </c>
      <c r="O39" t="s">
        <v>5758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6575</v>
      </c>
      <c r="AF39" t="s">
        <v>6310</v>
      </c>
    </row>
    <row r="40" spans="1:32" x14ac:dyDescent="0.3">
      <c r="A40" t="str">
        <f t="shared" si="0"/>
        <v>Road Runner Lawn Services</v>
      </c>
      <c r="B40">
        <v>402</v>
      </c>
      <c r="C40" t="s">
        <v>6286</v>
      </c>
      <c r="D40" t="s">
        <v>6304</v>
      </c>
      <c r="E40" t="s">
        <v>6303</v>
      </c>
      <c r="F40">
        <v>16.100000000000001</v>
      </c>
      <c r="G40" t="s">
        <v>5814</v>
      </c>
      <c r="H40">
        <v>16.100000000000001</v>
      </c>
      <c r="I40" t="s">
        <v>6308</v>
      </c>
      <c r="J40">
        <v>28</v>
      </c>
      <c r="K40" t="s">
        <v>326</v>
      </c>
      <c r="L40" t="s">
        <v>5706</v>
      </c>
      <c r="M40">
        <v>1718</v>
      </c>
      <c r="N40" t="s">
        <v>6307</v>
      </c>
      <c r="O40" t="s">
        <v>6293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6576</v>
      </c>
      <c r="AF40" t="s">
        <v>6308</v>
      </c>
    </row>
    <row r="41" spans="1:32" x14ac:dyDescent="0.3">
      <c r="A41" t="str">
        <f t="shared" si="0"/>
        <v>Lionel Playworld</v>
      </c>
      <c r="B41">
        <v>402</v>
      </c>
      <c r="C41" t="s">
        <v>6286</v>
      </c>
      <c r="D41" t="s">
        <v>6304</v>
      </c>
      <c r="E41" t="s">
        <v>6303</v>
      </c>
      <c r="F41">
        <v>16.100000000000001</v>
      </c>
      <c r="G41" t="s">
        <v>5814</v>
      </c>
      <c r="H41">
        <v>16.100000000000001</v>
      </c>
      <c r="I41" t="s">
        <v>6306</v>
      </c>
      <c r="J41">
        <v>34</v>
      </c>
      <c r="K41" t="s">
        <v>326</v>
      </c>
      <c r="L41" t="s">
        <v>5812</v>
      </c>
      <c r="M41">
        <v>2045.6669999999999</v>
      </c>
      <c r="N41" t="s">
        <v>6305</v>
      </c>
      <c r="O41" t="s">
        <v>5802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6577</v>
      </c>
      <c r="AF41" t="s">
        <v>6306</v>
      </c>
    </row>
    <row r="42" spans="1:32" x14ac:dyDescent="0.3">
      <c r="A42" t="str">
        <f t="shared" si="0"/>
        <v>Road Runner Lawn Services</v>
      </c>
      <c r="B42">
        <v>402</v>
      </c>
      <c r="C42" t="s">
        <v>6286</v>
      </c>
      <c r="D42" t="s">
        <v>6304</v>
      </c>
      <c r="E42" t="s">
        <v>6303</v>
      </c>
      <c r="F42" t="s">
        <v>6302</v>
      </c>
      <c r="G42" t="s">
        <v>6301</v>
      </c>
      <c r="H42">
        <v>7.2</v>
      </c>
      <c r="I42" t="s">
        <v>6300</v>
      </c>
      <c r="J42">
        <v>8.1039999999999992</v>
      </c>
      <c r="K42" t="s">
        <v>326</v>
      </c>
      <c r="L42" t="s">
        <v>6299</v>
      </c>
      <c r="M42">
        <v>287.12</v>
      </c>
      <c r="N42" t="s">
        <v>6298</v>
      </c>
      <c r="O42" t="s">
        <v>6297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6576</v>
      </c>
      <c r="AF42" t="s">
        <v>6300</v>
      </c>
    </row>
    <row r="43" spans="1:32" x14ac:dyDescent="0.3">
      <c r="A43" t="str">
        <f t="shared" si="0"/>
        <v>ManCharm</v>
      </c>
      <c r="B43">
        <v>402</v>
      </c>
      <c r="C43" t="s">
        <v>6286</v>
      </c>
      <c r="D43" t="s">
        <v>6296</v>
      </c>
      <c r="E43" t="s">
        <v>6295</v>
      </c>
      <c r="F43">
        <v>16.100000000000001</v>
      </c>
      <c r="G43" t="s">
        <v>5814</v>
      </c>
      <c r="H43">
        <v>16.100000000000001</v>
      </c>
      <c r="I43" t="s">
        <v>6294</v>
      </c>
      <c r="J43">
        <v>23</v>
      </c>
      <c r="K43" t="s">
        <v>326</v>
      </c>
      <c r="L43" t="s">
        <v>5706</v>
      </c>
      <c r="M43">
        <v>1382.5</v>
      </c>
      <c r="N43" t="s">
        <v>5739</v>
      </c>
      <c r="O43" t="s">
        <v>6293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6578</v>
      </c>
      <c r="AF43" t="s">
        <v>6294</v>
      </c>
    </row>
    <row r="44" spans="1:32" x14ac:dyDescent="0.3">
      <c r="A44" t="str">
        <f t="shared" si="0"/>
        <v>J. Brannam</v>
      </c>
      <c r="B44">
        <v>402</v>
      </c>
      <c r="C44" t="s">
        <v>6286</v>
      </c>
      <c r="D44" t="s">
        <v>6285</v>
      </c>
      <c r="E44" t="s">
        <v>6284</v>
      </c>
      <c r="F44">
        <v>16.100000000000001</v>
      </c>
      <c r="G44" t="s">
        <v>5814</v>
      </c>
      <c r="H44">
        <v>16.100000000000001</v>
      </c>
      <c r="I44" t="s">
        <v>6292</v>
      </c>
      <c r="J44">
        <v>1.51</v>
      </c>
      <c r="K44" t="s">
        <v>326</v>
      </c>
      <c r="L44" t="s">
        <v>6291</v>
      </c>
      <c r="M44">
        <v>110.1</v>
      </c>
      <c r="N44" t="s">
        <v>5744</v>
      </c>
      <c r="O44" t="s">
        <v>5741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6579</v>
      </c>
      <c r="AF44" t="s">
        <v>6292</v>
      </c>
    </row>
    <row r="45" spans="1:32" x14ac:dyDescent="0.3">
      <c r="A45" t="str">
        <f t="shared" si="0"/>
        <v>Rossi Auto Parts</v>
      </c>
      <c r="B45">
        <v>402</v>
      </c>
      <c r="C45" t="s">
        <v>6286</v>
      </c>
      <c r="D45" t="s">
        <v>6285</v>
      </c>
      <c r="E45" t="s">
        <v>6284</v>
      </c>
      <c r="F45" t="s">
        <v>6290</v>
      </c>
      <c r="G45" t="s">
        <v>6289</v>
      </c>
      <c r="H45">
        <v>16.100000000000001</v>
      </c>
      <c r="I45" t="s">
        <v>6288</v>
      </c>
      <c r="J45">
        <v>2.7749999999999999</v>
      </c>
      <c r="K45" t="s">
        <v>326</v>
      </c>
      <c r="L45" t="s">
        <v>6287</v>
      </c>
      <c r="M45">
        <v>171.833</v>
      </c>
      <c r="N45" t="s">
        <v>5711</v>
      </c>
      <c r="O45" t="s">
        <v>5703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5696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6580</v>
      </c>
      <c r="AF45" t="s">
        <v>6288</v>
      </c>
    </row>
    <row r="46" spans="1:32" x14ac:dyDescent="0.3">
      <c r="A46" t="str">
        <f t="shared" si="0"/>
        <v>Rossi Auto Parts</v>
      </c>
      <c r="B46">
        <v>402</v>
      </c>
      <c r="C46" t="s">
        <v>6286</v>
      </c>
      <c r="D46" t="s">
        <v>6285</v>
      </c>
      <c r="E46" t="s">
        <v>6284</v>
      </c>
      <c r="F46" t="s">
        <v>6283</v>
      </c>
      <c r="G46" t="s">
        <v>6282</v>
      </c>
      <c r="H46">
        <v>7.3</v>
      </c>
      <c r="I46" t="s">
        <v>6281</v>
      </c>
      <c r="J46">
        <v>2.778</v>
      </c>
      <c r="K46" t="s">
        <v>326</v>
      </c>
      <c r="L46" t="s">
        <v>6280</v>
      </c>
      <c r="M46">
        <v>89.67</v>
      </c>
      <c r="N46" t="s">
        <v>6279</v>
      </c>
      <c r="O46" t="s">
        <v>6278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6580</v>
      </c>
      <c r="AF46" t="s">
        <v>6281</v>
      </c>
    </row>
    <row r="47" spans="1:32" x14ac:dyDescent="0.3">
      <c r="A47" t="str">
        <f t="shared" si="0"/>
        <v>Happy Family</v>
      </c>
      <c r="B47">
        <v>403</v>
      </c>
      <c r="C47" t="s">
        <v>6219</v>
      </c>
      <c r="D47" t="s">
        <v>6254</v>
      </c>
      <c r="E47" t="s">
        <v>6253</v>
      </c>
      <c r="F47" t="s">
        <v>5707</v>
      </c>
      <c r="G47" t="s">
        <v>6216</v>
      </c>
      <c r="H47">
        <v>7.3</v>
      </c>
      <c r="I47" t="s">
        <v>6277</v>
      </c>
      <c r="J47">
        <v>16.027000000000001</v>
      </c>
      <c r="K47" t="s">
        <v>326</v>
      </c>
      <c r="L47" t="s">
        <v>5706</v>
      </c>
      <c r="M47">
        <v>480.81</v>
      </c>
      <c r="N47" t="s">
        <v>5751</v>
      </c>
      <c r="O47" t="s">
        <v>6276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6581</v>
      </c>
      <c r="AF47" t="s">
        <v>6277</v>
      </c>
    </row>
    <row r="48" spans="1:32" x14ac:dyDescent="0.3">
      <c r="A48" t="str">
        <f t="shared" si="0"/>
        <v>Lindsley's Lumber</v>
      </c>
      <c r="B48">
        <v>403</v>
      </c>
      <c r="C48" t="s">
        <v>6219</v>
      </c>
      <c r="D48" t="s">
        <v>6254</v>
      </c>
      <c r="E48" t="s">
        <v>6253</v>
      </c>
      <c r="F48" t="s">
        <v>5707</v>
      </c>
      <c r="G48" t="s">
        <v>6216</v>
      </c>
      <c r="H48">
        <v>7.3</v>
      </c>
      <c r="I48" t="s">
        <v>6275</v>
      </c>
      <c r="J48">
        <v>33</v>
      </c>
      <c r="K48" t="s">
        <v>326</v>
      </c>
      <c r="L48" t="s">
        <v>5706</v>
      </c>
      <c r="M48">
        <v>1024.8330000000001</v>
      </c>
      <c r="N48" t="s">
        <v>5736</v>
      </c>
      <c r="O48" t="s">
        <v>6274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6582</v>
      </c>
      <c r="AF48" t="s">
        <v>6275</v>
      </c>
    </row>
    <row r="49" spans="1:32" x14ac:dyDescent="0.3">
      <c r="A49" t="str">
        <f t="shared" si="0"/>
        <v>Happy Family</v>
      </c>
      <c r="B49">
        <v>403</v>
      </c>
      <c r="C49" t="s">
        <v>6219</v>
      </c>
      <c r="D49" t="s">
        <v>6254</v>
      </c>
      <c r="E49" t="s">
        <v>6253</v>
      </c>
      <c r="F49" t="s">
        <v>5716</v>
      </c>
      <c r="G49" t="s">
        <v>6268</v>
      </c>
      <c r="H49">
        <v>7.3</v>
      </c>
      <c r="I49" t="s">
        <v>6273</v>
      </c>
      <c r="J49">
        <v>30</v>
      </c>
      <c r="K49" t="s">
        <v>326</v>
      </c>
      <c r="L49" t="s">
        <v>5706</v>
      </c>
      <c r="M49">
        <v>910.91700000000003</v>
      </c>
      <c r="N49" t="s">
        <v>6272</v>
      </c>
      <c r="O49" t="s">
        <v>6271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6581</v>
      </c>
      <c r="AF49" t="s">
        <v>6273</v>
      </c>
    </row>
    <row r="50" spans="1:32" x14ac:dyDescent="0.3">
      <c r="A50" t="str">
        <f t="shared" si="0"/>
        <v>Lindsley's Lumber</v>
      </c>
      <c r="B50">
        <v>403</v>
      </c>
      <c r="C50" t="s">
        <v>6219</v>
      </c>
      <c r="D50" t="s">
        <v>6254</v>
      </c>
      <c r="E50" t="s">
        <v>6253</v>
      </c>
      <c r="F50" t="s">
        <v>5716</v>
      </c>
      <c r="G50" t="s">
        <v>6268</v>
      </c>
      <c r="H50">
        <v>7.3</v>
      </c>
      <c r="I50" t="s">
        <v>6270</v>
      </c>
      <c r="J50">
        <v>10.679</v>
      </c>
      <c r="K50" t="s">
        <v>326</v>
      </c>
      <c r="L50" t="s">
        <v>6269</v>
      </c>
      <c r="M50">
        <v>325.70299999999997</v>
      </c>
      <c r="N50" t="s">
        <v>5751</v>
      </c>
      <c r="O50" t="s">
        <v>5813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6582</v>
      </c>
      <c r="AF50" t="s">
        <v>6270</v>
      </c>
    </row>
    <row r="51" spans="1:32" x14ac:dyDescent="0.3">
      <c r="A51" t="str">
        <f t="shared" si="0"/>
        <v>Indiewealth</v>
      </c>
      <c r="B51">
        <v>403</v>
      </c>
      <c r="C51" t="s">
        <v>6219</v>
      </c>
      <c r="D51" t="s">
        <v>6254</v>
      </c>
      <c r="E51" t="s">
        <v>6253</v>
      </c>
      <c r="F51" t="s">
        <v>5716</v>
      </c>
      <c r="G51" t="s">
        <v>6268</v>
      </c>
      <c r="H51">
        <v>7.3</v>
      </c>
      <c r="I51" t="s">
        <v>6267</v>
      </c>
      <c r="J51">
        <v>19</v>
      </c>
      <c r="K51" t="s">
        <v>326</v>
      </c>
      <c r="L51" t="s">
        <v>5706</v>
      </c>
      <c r="M51">
        <v>570</v>
      </c>
      <c r="N51" t="s">
        <v>5785</v>
      </c>
      <c r="O51" t="s">
        <v>6209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6583</v>
      </c>
      <c r="AF51" t="s">
        <v>6267</v>
      </c>
    </row>
    <row r="52" spans="1:32" x14ac:dyDescent="0.3">
      <c r="A52" t="str">
        <f t="shared" si="0"/>
        <v>Lindsley's Lumber</v>
      </c>
      <c r="B52">
        <v>403</v>
      </c>
      <c r="C52" t="s">
        <v>6219</v>
      </c>
      <c r="D52" t="s">
        <v>6254</v>
      </c>
      <c r="E52" t="s">
        <v>6253</v>
      </c>
      <c r="F52" t="s">
        <v>5734</v>
      </c>
      <c r="G52" t="s">
        <v>6266</v>
      </c>
      <c r="H52">
        <v>7.1</v>
      </c>
      <c r="I52" t="s">
        <v>6265</v>
      </c>
      <c r="J52">
        <v>4.1399999999999997</v>
      </c>
      <c r="K52" t="s">
        <v>326</v>
      </c>
      <c r="L52" t="s">
        <v>5775</v>
      </c>
      <c r="M52">
        <v>124.2</v>
      </c>
      <c r="N52" t="s">
        <v>6012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6582</v>
      </c>
      <c r="AF52" t="s">
        <v>6265</v>
      </c>
    </row>
    <row r="53" spans="1:32" x14ac:dyDescent="0.3">
      <c r="A53" t="str">
        <f t="shared" si="0"/>
        <v>Weathervane</v>
      </c>
      <c r="B53">
        <v>403</v>
      </c>
      <c r="C53" t="s">
        <v>6219</v>
      </c>
      <c r="D53" t="s">
        <v>6254</v>
      </c>
      <c r="E53" t="s">
        <v>6253</v>
      </c>
      <c r="F53" t="s">
        <v>6264</v>
      </c>
      <c r="G53" t="s">
        <v>6263</v>
      </c>
      <c r="H53">
        <v>13.3</v>
      </c>
      <c r="I53" t="s">
        <v>6262</v>
      </c>
      <c r="J53">
        <v>3.504</v>
      </c>
      <c r="K53" t="s">
        <v>326</v>
      </c>
      <c r="L53" t="s">
        <v>6261</v>
      </c>
      <c r="M53">
        <v>112.53700000000001</v>
      </c>
      <c r="N53" t="s">
        <v>6260</v>
      </c>
      <c r="O53" t="s">
        <v>6259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6584</v>
      </c>
      <c r="AF53" t="s">
        <v>6262</v>
      </c>
    </row>
    <row r="54" spans="1:32" x14ac:dyDescent="0.3">
      <c r="A54" t="str">
        <f t="shared" si="0"/>
        <v>Lindsley's Lumber</v>
      </c>
      <c r="B54">
        <v>403</v>
      </c>
      <c r="C54" t="s">
        <v>6219</v>
      </c>
      <c r="D54" t="s">
        <v>6254</v>
      </c>
      <c r="E54" t="s">
        <v>6253</v>
      </c>
      <c r="F54" t="s">
        <v>5698</v>
      </c>
      <c r="G54" t="s">
        <v>5697</v>
      </c>
      <c r="H54">
        <v>16.100000000000001</v>
      </c>
      <c r="I54" t="s">
        <v>6258</v>
      </c>
      <c r="J54">
        <v>39</v>
      </c>
      <c r="K54" t="s">
        <v>326</v>
      </c>
      <c r="L54" t="s">
        <v>5706</v>
      </c>
      <c r="M54">
        <v>2340</v>
      </c>
      <c r="N54" t="s">
        <v>5745</v>
      </c>
      <c r="O54" t="s">
        <v>5699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6582</v>
      </c>
      <c r="AF54" t="s">
        <v>6258</v>
      </c>
    </row>
    <row r="55" spans="1:32" x14ac:dyDescent="0.3">
      <c r="A55" t="str">
        <f t="shared" si="0"/>
        <v>Lindsley's Lumber</v>
      </c>
      <c r="B55">
        <v>403</v>
      </c>
      <c r="C55" t="s">
        <v>6219</v>
      </c>
      <c r="D55" t="s">
        <v>6254</v>
      </c>
      <c r="E55" t="s">
        <v>6253</v>
      </c>
      <c r="F55" t="s">
        <v>5698</v>
      </c>
      <c r="G55" t="s">
        <v>5697</v>
      </c>
      <c r="H55">
        <v>16.100000000000001</v>
      </c>
      <c r="I55" t="s">
        <v>6257</v>
      </c>
      <c r="J55">
        <v>23</v>
      </c>
      <c r="K55" t="s">
        <v>326</v>
      </c>
      <c r="L55" t="s">
        <v>5706</v>
      </c>
      <c r="M55">
        <v>1392.5</v>
      </c>
      <c r="N55" t="s">
        <v>6256</v>
      </c>
      <c r="O55" t="s">
        <v>5836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6582</v>
      </c>
      <c r="AF55" t="s">
        <v>6257</v>
      </c>
    </row>
    <row r="56" spans="1:32" x14ac:dyDescent="0.3">
      <c r="A56" t="str">
        <f t="shared" si="0"/>
        <v>Foot Quarters</v>
      </c>
      <c r="B56">
        <v>403</v>
      </c>
      <c r="C56" t="s">
        <v>6219</v>
      </c>
      <c r="D56" t="s">
        <v>6254</v>
      </c>
      <c r="E56" t="s">
        <v>6253</v>
      </c>
      <c r="F56" t="s">
        <v>5698</v>
      </c>
      <c r="G56" t="s">
        <v>5697</v>
      </c>
      <c r="H56">
        <v>16.100000000000001</v>
      </c>
      <c r="I56" t="s">
        <v>6255</v>
      </c>
      <c r="J56">
        <v>40</v>
      </c>
      <c r="K56" t="s">
        <v>326</v>
      </c>
      <c r="L56" t="s">
        <v>5706</v>
      </c>
      <c r="M56">
        <v>2400</v>
      </c>
      <c r="N56" t="s">
        <v>5745</v>
      </c>
      <c r="O56" t="s">
        <v>5836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6583</v>
      </c>
      <c r="AF56" t="s">
        <v>6255</v>
      </c>
    </row>
    <row r="57" spans="1:32" x14ac:dyDescent="0.3">
      <c r="A57" t="str">
        <f t="shared" si="0"/>
        <v>Lindsley's Lumber</v>
      </c>
      <c r="B57">
        <v>403</v>
      </c>
      <c r="C57" t="s">
        <v>6219</v>
      </c>
      <c r="D57" t="s">
        <v>6254</v>
      </c>
      <c r="E57" t="s">
        <v>6253</v>
      </c>
      <c r="F57" t="s">
        <v>6252</v>
      </c>
      <c r="G57" t="s">
        <v>6251</v>
      </c>
      <c r="H57">
        <v>15.4</v>
      </c>
      <c r="I57" t="s">
        <v>6250</v>
      </c>
      <c r="J57">
        <v>31</v>
      </c>
      <c r="K57" t="s">
        <v>326</v>
      </c>
      <c r="L57" t="s">
        <v>5706</v>
      </c>
      <c r="M57">
        <v>933.83</v>
      </c>
      <c r="N57" t="s">
        <v>6249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5696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6582</v>
      </c>
      <c r="AF57" t="s">
        <v>6250</v>
      </c>
    </row>
    <row r="58" spans="1:32" x14ac:dyDescent="0.3">
      <c r="A58" t="str">
        <f t="shared" si="0"/>
        <v>MegaSolutions</v>
      </c>
      <c r="B58">
        <v>403</v>
      </c>
      <c r="C58" t="s">
        <v>6219</v>
      </c>
      <c r="D58" t="s">
        <v>6240</v>
      </c>
      <c r="E58" t="s">
        <v>6239</v>
      </c>
      <c r="F58" t="s">
        <v>5707</v>
      </c>
      <c r="G58" t="s">
        <v>6216</v>
      </c>
      <c r="H58">
        <v>7.3</v>
      </c>
      <c r="I58" t="s">
        <v>6248</v>
      </c>
      <c r="J58">
        <v>1.2250000000000001</v>
      </c>
      <c r="K58" t="s">
        <v>326</v>
      </c>
      <c r="L58" t="s">
        <v>6242</v>
      </c>
      <c r="M58">
        <v>67.582999999999998</v>
      </c>
      <c r="N58" t="s">
        <v>5751</v>
      </c>
      <c r="O58" t="s">
        <v>5803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6585</v>
      </c>
      <c r="AF58" t="s">
        <v>6248</v>
      </c>
    </row>
    <row r="59" spans="1:32" x14ac:dyDescent="0.3">
      <c r="A59" t="str">
        <f t="shared" si="0"/>
        <v>Hughes Markets</v>
      </c>
      <c r="B59">
        <v>403</v>
      </c>
      <c r="C59" t="s">
        <v>6219</v>
      </c>
      <c r="D59" t="s">
        <v>6240</v>
      </c>
      <c r="E59" t="s">
        <v>6239</v>
      </c>
      <c r="F59" t="s">
        <v>5707</v>
      </c>
      <c r="G59" t="s">
        <v>6216</v>
      </c>
      <c r="H59">
        <v>7.3</v>
      </c>
      <c r="I59" t="s">
        <v>6247</v>
      </c>
      <c r="J59">
        <v>31</v>
      </c>
      <c r="K59" t="s">
        <v>326</v>
      </c>
      <c r="L59" t="s">
        <v>5706</v>
      </c>
      <c r="M59">
        <v>934.33299999999997</v>
      </c>
      <c r="N59" t="s">
        <v>5774</v>
      </c>
      <c r="O59" t="s">
        <v>6246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6586</v>
      </c>
      <c r="AF59" t="s">
        <v>6247</v>
      </c>
    </row>
    <row r="60" spans="1:32" x14ac:dyDescent="0.3">
      <c r="A60" t="str">
        <f t="shared" si="0"/>
        <v>Casual Corner</v>
      </c>
      <c r="B60">
        <v>403</v>
      </c>
      <c r="C60" t="s">
        <v>6219</v>
      </c>
      <c r="D60" t="s">
        <v>6240</v>
      </c>
      <c r="E60" t="s">
        <v>6239</v>
      </c>
      <c r="F60" t="s">
        <v>5698</v>
      </c>
      <c r="G60" t="s">
        <v>5697</v>
      </c>
      <c r="H60">
        <v>16.100000000000001</v>
      </c>
      <c r="I60" t="s">
        <v>6245</v>
      </c>
      <c r="J60">
        <v>1.0680000000000001</v>
      </c>
      <c r="K60" t="s">
        <v>326</v>
      </c>
      <c r="L60" t="s">
        <v>6244</v>
      </c>
      <c r="M60">
        <v>86.58</v>
      </c>
      <c r="N60" t="s">
        <v>5739</v>
      </c>
      <c r="O60" t="s">
        <v>5728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6587</v>
      </c>
      <c r="AF60" t="s">
        <v>6245</v>
      </c>
    </row>
    <row r="61" spans="1:32" x14ac:dyDescent="0.3">
      <c r="A61" t="str">
        <f t="shared" si="0"/>
        <v>MegaSolutions</v>
      </c>
      <c r="B61">
        <v>403</v>
      </c>
      <c r="C61" t="s">
        <v>6219</v>
      </c>
      <c r="D61" t="s">
        <v>6240</v>
      </c>
      <c r="E61" t="s">
        <v>6239</v>
      </c>
      <c r="F61" t="s">
        <v>5698</v>
      </c>
      <c r="G61" t="s">
        <v>5697</v>
      </c>
      <c r="H61">
        <v>16.100000000000001</v>
      </c>
      <c r="I61" t="s">
        <v>6243</v>
      </c>
      <c r="J61">
        <v>1.2250000000000001</v>
      </c>
      <c r="K61" t="s">
        <v>326</v>
      </c>
      <c r="L61" t="s">
        <v>6242</v>
      </c>
      <c r="M61">
        <v>93.832999999999998</v>
      </c>
      <c r="N61" t="s">
        <v>6241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6585</v>
      </c>
      <c r="AF61" t="s">
        <v>6243</v>
      </c>
    </row>
    <row r="62" spans="1:32" x14ac:dyDescent="0.3">
      <c r="A62" t="str">
        <f t="shared" si="0"/>
        <v>J. Brannam</v>
      </c>
      <c r="B62">
        <v>403</v>
      </c>
      <c r="C62" t="s">
        <v>6219</v>
      </c>
      <c r="D62" t="s">
        <v>6240</v>
      </c>
      <c r="E62" t="s">
        <v>6239</v>
      </c>
      <c r="F62" t="s">
        <v>5698</v>
      </c>
      <c r="G62" t="s">
        <v>5697</v>
      </c>
      <c r="H62">
        <v>16.100000000000001</v>
      </c>
      <c r="I62" t="s">
        <v>6238</v>
      </c>
      <c r="J62">
        <v>15.06</v>
      </c>
      <c r="K62" t="s">
        <v>326</v>
      </c>
      <c r="L62" t="s">
        <v>5706</v>
      </c>
      <c r="M62">
        <v>913.43299999999999</v>
      </c>
      <c r="N62" t="s">
        <v>5714</v>
      </c>
      <c r="O62" t="s">
        <v>5713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6588</v>
      </c>
      <c r="AF62" t="s">
        <v>6238</v>
      </c>
    </row>
    <row r="63" spans="1:32" x14ac:dyDescent="0.3">
      <c r="A63" t="str">
        <f t="shared" si="0"/>
        <v>Desmonds Formal Wear</v>
      </c>
      <c r="B63">
        <v>403</v>
      </c>
      <c r="C63" t="s">
        <v>6219</v>
      </c>
      <c r="D63" t="s">
        <v>6224</v>
      </c>
      <c r="E63" t="s">
        <v>6223</v>
      </c>
      <c r="F63" t="s">
        <v>5708</v>
      </c>
      <c r="G63" t="s">
        <v>6231</v>
      </c>
      <c r="H63">
        <v>7.3</v>
      </c>
      <c r="I63" t="s">
        <v>6237</v>
      </c>
      <c r="J63">
        <v>15.427</v>
      </c>
      <c r="K63" t="s">
        <v>326</v>
      </c>
      <c r="L63" t="s">
        <v>5706</v>
      </c>
      <c r="M63">
        <v>462.81</v>
      </c>
      <c r="N63" t="s">
        <v>6236</v>
      </c>
      <c r="O63" t="s">
        <v>6235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6589</v>
      </c>
      <c r="AF63" t="s">
        <v>6237</v>
      </c>
    </row>
    <row r="64" spans="1:32" x14ac:dyDescent="0.3">
      <c r="A64" t="str">
        <f t="shared" si="0"/>
        <v>Desmonds Formal Wear</v>
      </c>
      <c r="B64">
        <v>403</v>
      </c>
      <c r="C64" t="s">
        <v>6219</v>
      </c>
      <c r="D64" t="s">
        <v>6224</v>
      </c>
      <c r="E64" t="s">
        <v>6223</v>
      </c>
      <c r="F64" t="s">
        <v>5708</v>
      </c>
      <c r="G64" t="s">
        <v>6231</v>
      </c>
      <c r="H64">
        <v>7.3</v>
      </c>
      <c r="I64" t="s">
        <v>6234</v>
      </c>
      <c r="J64">
        <v>3.1619999999999999</v>
      </c>
      <c r="K64" t="s">
        <v>326</v>
      </c>
      <c r="L64" t="s">
        <v>6233</v>
      </c>
      <c r="M64">
        <v>94.86</v>
      </c>
      <c r="N64" t="s">
        <v>5753</v>
      </c>
      <c r="O64" t="s">
        <v>6232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6589</v>
      </c>
      <c r="AF64" t="s">
        <v>6234</v>
      </c>
    </row>
    <row r="65" spans="1:32" x14ac:dyDescent="0.3">
      <c r="A65" t="str">
        <f t="shared" si="0"/>
        <v>Desmonds Formal Wear</v>
      </c>
      <c r="B65">
        <v>403</v>
      </c>
      <c r="C65" t="s">
        <v>6219</v>
      </c>
      <c r="D65" t="s">
        <v>6224</v>
      </c>
      <c r="E65" t="s">
        <v>6223</v>
      </c>
      <c r="F65" t="s">
        <v>5708</v>
      </c>
      <c r="G65" t="s">
        <v>6231</v>
      </c>
      <c r="H65">
        <v>7.3</v>
      </c>
      <c r="I65" t="s">
        <v>6230</v>
      </c>
      <c r="J65">
        <v>2.1070000000000002</v>
      </c>
      <c r="K65" t="s">
        <v>326</v>
      </c>
      <c r="L65" t="s">
        <v>6229</v>
      </c>
      <c r="M65">
        <v>63.21</v>
      </c>
      <c r="N65" t="s">
        <v>5753</v>
      </c>
      <c r="O65" t="s">
        <v>6228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6589</v>
      </c>
      <c r="AF65" t="s">
        <v>6230</v>
      </c>
    </row>
    <row r="66" spans="1:32" x14ac:dyDescent="0.3">
      <c r="A66" t="str">
        <f t="shared" si="0"/>
        <v>Desmonds Formal Wear</v>
      </c>
      <c r="B66">
        <v>403</v>
      </c>
      <c r="C66" t="s">
        <v>6219</v>
      </c>
      <c r="D66" t="s">
        <v>6224</v>
      </c>
      <c r="E66" t="s">
        <v>6223</v>
      </c>
      <c r="F66" t="s">
        <v>5769</v>
      </c>
      <c r="G66" t="s">
        <v>6222</v>
      </c>
      <c r="H66">
        <v>16.100000000000001</v>
      </c>
      <c r="I66" t="s">
        <v>6227</v>
      </c>
      <c r="J66">
        <v>7.9420000000000002</v>
      </c>
      <c r="K66" t="s">
        <v>326</v>
      </c>
      <c r="L66" t="s">
        <v>5817</v>
      </c>
      <c r="M66">
        <v>476.52</v>
      </c>
      <c r="N66" t="s">
        <v>6226</v>
      </c>
      <c r="O66" t="s">
        <v>6225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6589</v>
      </c>
      <c r="AF66" t="s">
        <v>6227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6219</v>
      </c>
      <c r="D67" t="s">
        <v>6224</v>
      </c>
      <c r="E67" t="s">
        <v>6223</v>
      </c>
      <c r="F67" t="s">
        <v>5769</v>
      </c>
      <c r="G67" t="s">
        <v>6222</v>
      </c>
      <c r="H67">
        <v>16.100000000000001</v>
      </c>
      <c r="I67" t="s">
        <v>6221</v>
      </c>
      <c r="J67">
        <v>6.54</v>
      </c>
      <c r="K67" t="s">
        <v>326</v>
      </c>
      <c r="L67" t="s">
        <v>6220</v>
      </c>
      <c r="M67">
        <v>392.4</v>
      </c>
      <c r="N67" t="s">
        <v>5725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6589</v>
      </c>
      <c r="AF67" t="s">
        <v>6221</v>
      </c>
    </row>
    <row r="68" spans="1:32" x14ac:dyDescent="0.3">
      <c r="A68" t="str">
        <f t="shared" si="5"/>
        <v>The Wall</v>
      </c>
      <c r="B68">
        <v>403</v>
      </c>
      <c r="C68" t="s">
        <v>6219</v>
      </c>
      <c r="D68" t="s">
        <v>6218</v>
      </c>
      <c r="E68" t="s">
        <v>6217</v>
      </c>
      <c r="F68" t="s">
        <v>5707</v>
      </c>
      <c r="G68" t="s">
        <v>6216</v>
      </c>
      <c r="H68">
        <v>7.3</v>
      </c>
      <c r="I68" t="s">
        <v>6215</v>
      </c>
      <c r="J68">
        <v>0.23799999999999999</v>
      </c>
      <c r="K68" t="s">
        <v>326</v>
      </c>
      <c r="L68" t="s">
        <v>6214</v>
      </c>
      <c r="M68">
        <v>7.14</v>
      </c>
      <c r="N68" t="s">
        <v>5754</v>
      </c>
      <c r="O68" t="s">
        <v>6213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6590</v>
      </c>
      <c r="AF68" t="s">
        <v>6215</v>
      </c>
    </row>
    <row r="69" spans="1:32" x14ac:dyDescent="0.3">
      <c r="A69" t="str">
        <f t="shared" si="5"/>
        <v>Highland Appliance</v>
      </c>
      <c r="B69">
        <v>405</v>
      </c>
      <c r="C69" t="s">
        <v>6204</v>
      </c>
      <c r="D69" t="s">
        <v>5806</v>
      </c>
      <c r="E69" t="s">
        <v>6203</v>
      </c>
      <c r="F69" t="s">
        <v>5707</v>
      </c>
      <c r="G69" t="s">
        <v>6212</v>
      </c>
      <c r="H69">
        <v>7.1</v>
      </c>
      <c r="I69" t="s">
        <v>6211</v>
      </c>
      <c r="J69">
        <v>32</v>
      </c>
      <c r="K69" t="s">
        <v>326</v>
      </c>
      <c r="L69" t="s">
        <v>6210</v>
      </c>
      <c r="M69">
        <v>960</v>
      </c>
      <c r="N69" t="s">
        <v>5719</v>
      </c>
      <c r="O69" t="s">
        <v>6209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6591</v>
      </c>
      <c r="AF69" t="s">
        <v>6211</v>
      </c>
    </row>
    <row r="70" spans="1:32" x14ac:dyDescent="0.3">
      <c r="A70" t="str">
        <f t="shared" si="5"/>
        <v>Indiewealth</v>
      </c>
      <c r="B70">
        <v>405</v>
      </c>
      <c r="C70" t="s">
        <v>6204</v>
      </c>
      <c r="D70" t="s">
        <v>5806</v>
      </c>
      <c r="E70" t="s">
        <v>6203</v>
      </c>
      <c r="F70" t="s">
        <v>6208</v>
      </c>
      <c r="G70" t="s">
        <v>6207</v>
      </c>
      <c r="H70">
        <v>16.100000000000001</v>
      </c>
      <c r="I70" t="s">
        <v>6206</v>
      </c>
      <c r="J70">
        <v>1.1100000000000001</v>
      </c>
      <c r="K70" t="s">
        <v>326</v>
      </c>
      <c r="L70" t="s">
        <v>5810</v>
      </c>
      <c r="M70">
        <v>66.599999999999994</v>
      </c>
      <c r="N70" t="s">
        <v>5782</v>
      </c>
      <c r="O70" t="s">
        <v>6205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6592</v>
      </c>
      <c r="AF70" t="s">
        <v>6206</v>
      </c>
    </row>
    <row r="71" spans="1:32" x14ac:dyDescent="0.3">
      <c r="A71" t="str">
        <f t="shared" si="5"/>
        <v>Highland Appliance</v>
      </c>
      <c r="B71">
        <v>405</v>
      </c>
      <c r="C71" t="s">
        <v>6204</v>
      </c>
      <c r="D71" t="s">
        <v>5806</v>
      </c>
      <c r="E71" t="s">
        <v>6203</v>
      </c>
      <c r="F71" t="s">
        <v>5752</v>
      </c>
      <c r="G71" t="s">
        <v>6202</v>
      </c>
      <c r="H71">
        <v>10.199999999999999</v>
      </c>
      <c r="I71" t="s">
        <v>6201</v>
      </c>
      <c r="J71">
        <v>33</v>
      </c>
      <c r="K71" t="s">
        <v>326</v>
      </c>
      <c r="L71" t="s">
        <v>5755</v>
      </c>
      <c r="M71">
        <v>990</v>
      </c>
      <c r="N71" t="s">
        <v>6200</v>
      </c>
      <c r="O71" t="s">
        <v>6199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6591</v>
      </c>
      <c r="AF71" t="s">
        <v>6201</v>
      </c>
    </row>
    <row r="72" spans="1:32" x14ac:dyDescent="0.3">
      <c r="A72" t="str">
        <f t="shared" si="5"/>
        <v>Wells &amp; Wade</v>
      </c>
      <c r="B72">
        <v>406</v>
      </c>
      <c r="C72" t="s">
        <v>5959</v>
      </c>
      <c r="D72" t="s">
        <v>6015</v>
      </c>
      <c r="E72" t="s">
        <v>6014</v>
      </c>
      <c r="F72" t="s">
        <v>5750</v>
      </c>
      <c r="G72" t="s">
        <v>6198</v>
      </c>
      <c r="H72">
        <v>15.1</v>
      </c>
      <c r="I72" t="s">
        <v>6197</v>
      </c>
      <c r="J72">
        <v>14</v>
      </c>
      <c r="K72" t="s">
        <v>326</v>
      </c>
      <c r="L72" t="s">
        <v>6196</v>
      </c>
      <c r="M72">
        <v>425</v>
      </c>
      <c r="N72" t="s">
        <v>5729</v>
      </c>
      <c r="O72" t="s">
        <v>6195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6593</v>
      </c>
      <c r="AF72" t="s">
        <v>6197</v>
      </c>
    </row>
    <row r="73" spans="1:32" x14ac:dyDescent="0.3">
      <c r="A73" t="str">
        <f t="shared" si="5"/>
        <v>Old America Stores</v>
      </c>
      <c r="B73">
        <v>406</v>
      </c>
      <c r="C73" t="s">
        <v>5959</v>
      </c>
      <c r="D73" t="s">
        <v>6015</v>
      </c>
      <c r="E73" t="s">
        <v>6014</v>
      </c>
      <c r="F73" t="s">
        <v>5735</v>
      </c>
      <c r="G73" t="s">
        <v>5974</v>
      </c>
      <c r="H73">
        <v>15.1</v>
      </c>
      <c r="I73" t="s">
        <v>6194</v>
      </c>
      <c r="J73">
        <v>27</v>
      </c>
      <c r="K73" t="s">
        <v>326</v>
      </c>
      <c r="L73" t="s">
        <v>5786</v>
      </c>
      <c r="M73">
        <v>869</v>
      </c>
      <c r="N73" t="s">
        <v>5724</v>
      </c>
      <c r="O73" t="s">
        <v>5809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6594</v>
      </c>
      <c r="AF73" t="s">
        <v>6194</v>
      </c>
    </row>
    <row r="74" spans="1:32" x14ac:dyDescent="0.3">
      <c r="A74" t="str">
        <f t="shared" si="5"/>
        <v>Old America Stores</v>
      </c>
      <c r="B74">
        <v>406</v>
      </c>
      <c r="C74" t="s">
        <v>5959</v>
      </c>
      <c r="D74" t="s">
        <v>6015</v>
      </c>
      <c r="E74" t="s">
        <v>6014</v>
      </c>
      <c r="F74" t="s">
        <v>5735</v>
      </c>
      <c r="G74" t="s">
        <v>5974</v>
      </c>
      <c r="H74">
        <v>15.1</v>
      </c>
      <c r="I74" t="s">
        <v>6193</v>
      </c>
      <c r="J74">
        <v>10.029999999999999</v>
      </c>
      <c r="K74" t="s">
        <v>326</v>
      </c>
      <c r="L74" t="s">
        <v>6159</v>
      </c>
      <c r="M74">
        <v>343.93299999999999</v>
      </c>
      <c r="N74" t="s">
        <v>5729</v>
      </c>
      <c r="O74" t="s">
        <v>6192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6594</v>
      </c>
      <c r="AF74" t="s">
        <v>6193</v>
      </c>
    </row>
    <row r="75" spans="1:32" x14ac:dyDescent="0.3">
      <c r="A75" t="str">
        <f t="shared" si="5"/>
        <v>Wells &amp; Wade</v>
      </c>
      <c r="B75">
        <v>406</v>
      </c>
      <c r="C75" t="s">
        <v>5959</v>
      </c>
      <c r="D75" t="s">
        <v>6015</v>
      </c>
      <c r="E75" t="s">
        <v>6014</v>
      </c>
      <c r="F75" t="s">
        <v>5796</v>
      </c>
      <c r="G75" t="s">
        <v>6185</v>
      </c>
      <c r="H75">
        <v>15.1</v>
      </c>
      <c r="I75" t="s">
        <v>6191</v>
      </c>
      <c r="J75">
        <v>16</v>
      </c>
      <c r="K75" t="s">
        <v>326</v>
      </c>
      <c r="L75" t="s">
        <v>6032</v>
      </c>
      <c r="M75">
        <v>713.33299999999997</v>
      </c>
      <c r="N75" t="s">
        <v>5724</v>
      </c>
      <c r="O75" t="s">
        <v>6190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6593</v>
      </c>
      <c r="AF75" t="s">
        <v>6191</v>
      </c>
    </row>
    <row r="76" spans="1:32" x14ac:dyDescent="0.3">
      <c r="A76" t="str">
        <f t="shared" si="5"/>
        <v>Accord Investments</v>
      </c>
      <c r="B76">
        <v>406</v>
      </c>
      <c r="C76" t="s">
        <v>5959</v>
      </c>
      <c r="D76" t="s">
        <v>6015</v>
      </c>
      <c r="E76" t="s">
        <v>6014</v>
      </c>
      <c r="F76" t="s">
        <v>5796</v>
      </c>
      <c r="G76" t="s">
        <v>6185</v>
      </c>
      <c r="H76">
        <v>15.1</v>
      </c>
      <c r="I76" t="s">
        <v>6189</v>
      </c>
      <c r="J76">
        <v>25</v>
      </c>
      <c r="K76" t="s">
        <v>326</v>
      </c>
      <c r="L76" t="s">
        <v>5706</v>
      </c>
      <c r="M76">
        <v>888.16700000000003</v>
      </c>
      <c r="N76" t="s">
        <v>5736</v>
      </c>
      <c r="O76" t="s">
        <v>5894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6595</v>
      </c>
      <c r="AF76" t="s">
        <v>6189</v>
      </c>
    </row>
    <row r="77" spans="1:32" x14ac:dyDescent="0.3">
      <c r="A77" t="str">
        <f t="shared" si="5"/>
        <v>Lawnscape Garden Maintenance</v>
      </c>
      <c r="B77">
        <v>406</v>
      </c>
      <c r="C77" t="s">
        <v>5959</v>
      </c>
      <c r="D77" t="s">
        <v>6015</v>
      </c>
      <c r="E77" t="s">
        <v>6014</v>
      </c>
      <c r="F77" t="s">
        <v>5796</v>
      </c>
      <c r="G77" t="s">
        <v>6185</v>
      </c>
      <c r="H77">
        <v>15.1</v>
      </c>
      <c r="I77" t="s">
        <v>6188</v>
      </c>
      <c r="J77">
        <v>3.625</v>
      </c>
      <c r="K77" t="s">
        <v>326</v>
      </c>
      <c r="L77" t="s">
        <v>6187</v>
      </c>
      <c r="M77">
        <v>128.75</v>
      </c>
      <c r="N77" t="s">
        <v>5785</v>
      </c>
      <c r="O77" t="s">
        <v>6186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6596</v>
      </c>
      <c r="AF77" t="s">
        <v>6188</v>
      </c>
    </row>
    <row r="78" spans="1:32" x14ac:dyDescent="0.3">
      <c r="A78" t="str">
        <f t="shared" si="5"/>
        <v>Warehouse Club Inc.</v>
      </c>
      <c r="B78">
        <v>406</v>
      </c>
      <c r="C78" t="s">
        <v>5959</v>
      </c>
      <c r="D78" t="s">
        <v>6015</v>
      </c>
      <c r="E78" t="s">
        <v>6014</v>
      </c>
      <c r="F78" t="s">
        <v>5796</v>
      </c>
      <c r="G78" t="s">
        <v>6185</v>
      </c>
      <c r="H78">
        <v>15.1</v>
      </c>
      <c r="I78" t="s">
        <v>6184</v>
      </c>
      <c r="J78">
        <v>14</v>
      </c>
      <c r="K78" t="s">
        <v>326</v>
      </c>
      <c r="L78" t="s">
        <v>5815</v>
      </c>
      <c r="M78">
        <v>612.75</v>
      </c>
      <c r="N78" t="s">
        <v>5751</v>
      </c>
      <c r="O78" t="s">
        <v>5894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6597</v>
      </c>
      <c r="AF78" t="s">
        <v>6184</v>
      </c>
    </row>
    <row r="79" spans="1:32" x14ac:dyDescent="0.3">
      <c r="A79" t="str">
        <f t="shared" si="5"/>
        <v>Accord Investments</v>
      </c>
      <c r="B79">
        <v>406</v>
      </c>
      <c r="C79" t="s">
        <v>5959</v>
      </c>
      <c r="D79" t="s">
        <v>6015</v>
      </c>
      <c r="E79" t="s">
        <v>6014</v>
      </c>
      <c r="F79" t="s">
        <v>5708</v>
      </c>
      <c r="G79" t="s">
        <v>6178</v>
      </c>
      <c r="H79">
        <v>7.1</v>
      </c>
      <c r="I79" t="s">
        <v>6183</v>
      </c>
      <c r="J79">
        <v>22</v>
      </c>
      <c r="K79" t="s">
        <v>326</v>
      </c>
      <c r="L79" t="s">
        <v>5706</v>
      </c>
      <c r="M79">
        <v>712</v>
      </c>
      <c r="N79" t="s">
        <v>5736</v>
      </c>
      <c r="O79" t="s">
        <v>6182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6595</v>
      </c>
      <c r="AF79" t="s">
        <v>6183</v>
      </c>
    </row>
    <row r="80" spans="1:32" x14ac:dyDescent="0.3">
      <c r="A80" t="str">
        <f t="shared" si="5"/>
        <v>First Choice Yard Help</v>
      </c>
      <c r="B80">
        <v>406</v>
      </c>
      <c r="C80" t="s">
        <v>5959</v>
      </c>
      <c r="D80" t="s">
        <v>6015</v>
      </c>
      <c r="E80" t="s">
        <v>6014</v>
      </c>
      <c r="F80" t="s">
        <v>5708</v>
      </c>
      <c r="G80" t="s">
        <v>6178</v>
      </c>
      <c r="H80">
        <v>7.1</v>
      </c>
      <c r="I80" t="s">
        <v>6181</v>
      </c>
      <c r="J80">
        <v>13</v>
      </c>
      <c r="K80" t="s">
        <v>326</v>
      </c>
      <c r="L80" t="s">
        <v>5706</v>
      </c>
      <c r="M80">
        <v>522.16700000000003</v>
      </c>
      <c r="N80" t="s">
        <v>5729</v>
      </c>
      <c r="O80" t="s">
        <v>6180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6598</v>
      </c>
      <c r="AF80" t="s">
        <v>6181</v>
      </c>
    </row>
    <row r="81" spans="1:32" x14ac:dyDescent="0.3">
      <c r="A81" t="str">
        <f t="shared" si="5"/>
        <v>Old America Stores</v>
      </c>
      <c r="B81">
        <v>406</v>
      </c>
      <c r="C81" t="s">
        <v>5959</v>
      </c>
      <c r="D81" t="s">
        <v>6015</v>
      </c>
      <c r="E81" t="s">
        <v>6014</v>
      </c>
      <c r="F81" t="s">
        <v>5708</v>
      </c>
      <c r="G81" t="s">
        <v>6178</v>
      </c>
      <c r="H81">
        <v>7.1</v>
      </c>
      <c r="I81" t="s">
        <v>6179</v>
      </c>
      <c r="J81">
        <v>10.029999999999999</v>
      </c>
      <c r="K81" t="s">
        <v>326</v>
      </c>
      <c r="L81" t="s">
        <v>6159</v>
      </c>
      <c r="M81">
        <v>319.56700000000001</v>
      </c>
      <c r="N81" t="s">
        <v>5729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6594</v>
      </c>
      <c r="AF81" t="s">
        <v>6179</v>
      </c>
    </row>
    <row r="82" spans="1:32" x14ac:dyDescent="0.3">
      <c r="A82" t="str">
        <f t="shared" si="5"/>
        <v>Old America Stores</v>
      </c>
      <c r="B82">
        <v>406</v>
      </c>
      <c r="C82" t="s">
        <v>5959</v>
      </c>
      <c r="D82" t="s">
        <v>6015</v>
      </c>
      <c r="E82" t="s">
        <v>6014</v>
      </c>
      <c r="F82" t="s">
        <v>5708</v>
      </c>
      <c r="G82" t="s">
        <v>6178</v>
      </c>
      <c r="H82">
        <v>7.1</v>
      </c>
      <c r="I82" t="s">
        <v>6177</v>
      </c>
      <c r="J82">
        <v>7.2110000000000003</v>
      </c>
      <c r="K82" t="s">
        <v>326</v>
      </c>
      <c r="L82" t="s">
        <v>6176</v>
      </c>
      <c r="M82">
        <v>314.66300000000001</v>
      </c>
      <c r="N82" t="s">
        <v>5811</v>
      </c>
      <c r="O82" t="s">
        <v>6175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6594</v>
      </c>
      <c r="AF82" t="s">
        <v>6177</v>
      </c>
    </row>
    <row r="83" spans="1:32" x14ac:dyDescent="0.3">
      <c r="A83" t="str">
        <f t="shared" si="5"/>
        <v>Pantry Food Stores</v>
      </c>
      <c r="B83">
        <v>406</v>
      </c>
      <c r="C83" t="s">
        <v>5959</v>
      </c>
      <c r="D83" t="s">
        <v>6015</v>
      </c>
      <c r="E83" t="s">
        <v>6014</v>
      </c>
      <c r="F83" t="s">
        <v>5707</v>
      </c>
      <c r="G83" t="s">
        <v>6154</v>
      </c>
      <c r="H83">
        <v>7.1</v>
      </c>
      <c r="I83" t="s">
        <v>6174</v>
      </c>
      <c r="J83">
        <v>9.0679999999999996</v>
      </c>
      <c r="K83" t="s">
        <v>326</v>
      </c>
      <c r="L83" t="s">
        <v>6173</v>
      </c>
      <c r="M83">
        <v>475.87299999999999</v>
      </c>
      <c r="N83" t="s">
        <v>5754</v>
      </c>
      <c r="O83" t="s">
        <v>5772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6599</v>
      </c>
      <c r="AF83" t="s">
        <v>6174</v>
      </c>
    </row>
    <row r="84" spans="1:32" x14ac:dyDescent="0.3">
      <c r="A84" t="str">
        <f t="shared" si="5"/>
        <v>Pantry Food Stores</v>
      </c>
      <c r="B84">
        <v>406</v>
      </c>
      <c r="C84" t="s">
        <v>5959</v>
      </c>
      <c r="D84" t="s">
        <v>6015</v>
      </c>
      <c r="E84" t="s">
        <v>6014</v>
      </c>
      <c r="F84" t="s">
        <v>5707</v>
      </c>
      <c r="G84" t="s">
        <v>6154</v>
      </c>
      <c r="H84">
        <v>7.1</v>
      </c>
      <c r="I84" t="s">
        <v>6172</v>
      </c>
      <c r="J84">
        <v>7.2709999999999999</v>
      </c>
      <c r="K84" t="s">
        <v>326</v>
      </c>
      <c r="L84" t="s">
        <v>6085</v>
      </c>
      <c r="M84">
        <v>260.79700000000003</v>
      </c>
      <c r="N84" t="s">
        <v>5785</v>
      </c>
      <c r="O84" t="s">
        <v>5748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6599</v>
      </c>
      <c r="AF84" t="s">
        <v>6172</v>
      </c>
    </row>
    <row r="85" spans="1:32" x14ac:dyDescent="0.3">
      <c r="A85" t="str">
        <f t="shared" si="5"/>
        <v>First Choice Yard Help</v>
      </c>
      <c r="B85">
        <v>406</v>
      </c>
      <c r="C85" t="s">
        <v>5959</v>
      </c>
      <c r="D85" t="s">
        <v>6015</v>
      </c>
      <c r="E85" t="s">
        <v>6014</v>
      </c>
      <c r="F85" t="s">
        <v>5707</v>
      </c>
      <c r="G85" t="s">
        <v>6154</v>
      </c>
      <c r="H85">
        <v>7.1</v>
      </c>
      <c r="I85" t="s">
        <v>6171</v>
      </c>
      <c r="J85">
        <v>13</v>
      </c>
      <c r="K85" t="s">
        <v>326</v>
      </c>
      <c r="L85" t="s">
        <v>6170</v>
      </c>
      <c r="M85">
        <v>567.5</v>
      </c>
      <c r="N85" t="s">
        <v>5767</v>
      </c>
      <c r="O85" t="s">
        <v>6169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6598</v>
      </c>
      <c r="AF85" t="s">
        <v>6171</v>
      </c>
    </row>
    <row r="86" spans="1:32" x14ac:dyDescent="0.3">
      <c r="A86" t="str">
        <f t="shared" si="5"/>
        <v>First Choice Yard Help</v>
      </c>
      <c r="B86">
        <v>406</v>
      </c>
      <c r="C86" t="s">
        <v>5959</v>
      </c>
      <c r="D86" t="s">
        <v>6015</v>
      </c>
      <c r="E86" t="s">
        <v>6014</v>
      </c>
      <c r="F86" t="s">
        <v>5707</v>
      </c>
      <c r="G86" t="s">
        <v>6154</v>
      </c>
      <c r="H86">
        <v>7.1</v>
      </c>
      <c r="I86" t="s">
        <v>6168</v>
      </c>
      <c r="J86">
        <v>13</v>
      </c>
      <c r="K86" t="s">
        <v>326</v>
      </c>
      <c r="L86" t="s">
        <v>5706</v>
      </c>
      <c r="M86">
        <v>533.33299999999997</v>
      </c>
      <c r="N86" t="s">
        <v>5767</v>
      </c>
      <c r="O86" t="s">
        <v>6167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6598</v>
      </c>
      <c r="AF86" t="s">
        <v>6168</v>
      </c>
    </row>
    <row r="87" spans="1:32" x14ac:dyDescent="0.3">
      <c r="A87" t="str">
        <f t="shared" si="5"/>
        <v>Newmark &amp; Lewis</v>
      </c>
      <c r="B87">
        <v>406</v>
      </c>
      <c r="C87" t="s">
        <v>5959</v>
      </c>
      <c r="D87" t="s">
        <v>6015</v>
      </c>
      <c r="E87" t="s">
        <v>6014</v>
      </c>
      <c r="F87" t="s">
        <v>5707</v>
      </c>
      <c r="G87" t="s">
        <v>6154</v>
      </c>
      <c r="H87">
        <v>7.1</v>
      </c>
      <c r="I87" t="s">
        <v>6166</v>
      </c>
      <c r="J87">
        <v>22</v>
      </c>
      <c r="K87" t="s">
        <v>326</v>
      </c>
      <c r="L87" t="s">
        <v>6165</v>
      </c>
      <c r="M87">
        <v>768.16700000000003</v>
      </c>
      <c r="N87" t="s">
        <v>5719</v>
      </c>
      <c r="O87" t="s">
        <v>6164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6600</v>
      </c>
      <c r="AF87" t="s">
        <v>6166</v>
      </c>
    </row>
    <row r="88" spans="1:32" x14ac:dyDescent="0.3">
      <c r="A88" t="str">
        <f t="shared" si="5"/>
        <v>Newmark &amp; Lewis</v>
      </c>
      <c r="B88">
        <v>406</v>
      </c>
      <c r="C88" t="s">
        <v>5959</v>
      </c>
      <c r="D88" t="s">
        <v>6015</v>
      </c>
      <c r="E88" t="s">
        <v>6014</v>
      </c>
      <c r="F88" t="s">
        <v>5707</v>
      </c>
      <c r="G88" t="s">
        <v>6154</v>
      </c>
      <c r="H88">
        <v>7.1</v>
      </c>
      <c r="I88" t="s">
        <v>6163</v>
      </c>
      <c r="J88">
        <v>7.71</v>
      </c>
      <c r="K88" t="s">
        <v>326</v>
      </c>
      <c r="L88" t="s">
        <v>6162</v>
      </c>
      <c r="M88">
        <v>231.3</v>
      </c>
      <c r="N88" t="s">
        <v>5785</v>
      </c>
      <c r="O88" t="s">
        <v>5748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5696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6600</v>
      </c>
      <c r="AF88" t="s">
        <v>6163</v>
      </c>
    </row>
    <row r="89" spans="1:32" x14ac:dyDescent="0.3">
      <c r="A89" t="str">
        <f t="shared" si="5"/>
        <v>Old America Stores</v>
      </c>
      <c r="B89">
        <v>406</v>
      </c>
      <c r="C89" t="s">
        <v>5959</v>
      </c>
      <c r="D89" t="s">
        <v>6015</v>
      </c>
      <c r="E89" t="s">
        <v>6014</v>
      </c>
      <c r="F89" t="s">
        <v>5707</v>
      </c>
      <c r="G89" t="s">
        <v>6154</v>
      </c>
      <c r="H89">
        <v>7.1</v>
      </c>
      <c r="I89" t="s">
        <v>6161</v>
      </c>
      <c r="J89">
        <v>10.029999999999999</v>
      </c>
      <c r="K89" t="s">
        <v>326</v>
      </c>
      <c r="L89" t="s">
        <v>6159</v>
      </c>
      <c r="M89">
        <v>465.9</v>
      </c>
      <c r="N89" t="s">
        <v>5729</v>
      </c>
      <c r="O89" t="s">
        <v>6158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6594</v>
      </c>
      <c r="AF89" t="s">
        <v>6161</v>
      </c>
    </row>
    <row r="90" spans="1:32" x14ac:dyDescent="0.3">
      <c r="A90" t="str">
        <f t="shared" si="5"/>
        <v>Old America Stores</v>
      </c>
      <c r="B90">
        <v>406</v>
      </c>
      <c r="C90" t="s">
        <v>5959</v>
      </c>
      <c r="D90" t="s">
        <v>6015</v>
      </c>
      <c r="E90" t="s">
        <v>6014</v>
      </c>
      <c r="F90" t="s">
        <v>5707</v>
      </c>
      <c r="G90" t="s">
        <v>6154</v>
      </c>
      <c r="H90">
        <v>7.1</v>
      </c>
      <c r="I90" t="s">
        <v>6160</v>
      </c>
      <c r="J90">
        <v>10.029999999999999</v>
      </c>
      <c r="K90" t="s">
        <v>326</v>
      </c>
      <c r="L90" t="s">
        <v>6159</v>
      </c>
      <c r="M90">
        <v>309.56700000000001</v>
      </c>
      <c r="N90" t="s">
        <v>5729</v>
      </c>
      <c r="O90" t="s">
        <v>6158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6594</v>
      </c>
      <c r="AF90" t="s">
        <v>6160</v>
      </c>
    </row>
    <row r="91" spans="1:32" x14ac:dyDescent="0.3">
      <c r="A91" t="str">
        <f t="shared" si="5"/>
        <v>Destiny Realty</v>
      </c>
      <c r="B91">
        <v>406</v>
      </c>
      <c r="C91" t="s">
        <v>5959</v>
      </c>
      <c r="D91" t="s">
        <v>6015</v>
      </c>
      <c r="E91" t="s">
        <v>6014</v>
      </c>
      <c r="F91" t="s">
        <v>5707</v>
      </c>
      <c r="G91" t="s">
        <v>6154</v>
      </c>
      <c r="H91">
        <v>7.1</v>
      </c>
      <c r="I91" t="s">
        <v>6157</v>
      </c>
      <c r="J91">
        <v>7.915</v>
      </c>
      <c r="K91" t="s">
        <v>326</v>
      </c>
      <c r="L91" t="s">
        <v>6156</v>
      </c>
      <c r="M91">
        <v>320.11700000000002</v>
      </c>
      <c r="N91" t="s">
        <v>5754</v>
      </c>
      <c r="O91" t="s">
        <v>6155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6601</v>
      </c>
      <c r="AF91" t="s">
        <v>6157</v>
      </c>
    </row>
    <row r="92" spans="1:32" x14ac:dyDescent="0.3">
      <c r="A92" t="str">
        <f t="shared" si="5"/>
        <v>Jeans Unlimited</v>
      </c>
      <c r="B92">
        <v>406</v>
      </c>
      <c r="C92" t="s">
        <v>5959</v>
      </c>
      <c r="D92" t="s">
        <v>6015</v>
      </c>
      <c r="E92" t="s">
        <v>6014</v>
      </c>
      <c r="F92" t="s">
        <v>5707</v>
      </c>
      <c r="G92" t="s">
        <v>6154</v>
      </c>
      <c r="H92">
        <v>7.1</v>
      </c>
      <c r="I92" t="s">
        <v>6153</v>
      </c>
      <c r="J92">
        <v>3.238</v>
      </c>
      <c r="K92" t="s">
        <v>326</v>
      </c>
      <c r="L92" t="s">
        <v>5820</v>
      </c>
      <c r="M92">
        <v>142.47300000000001</v>
      </c>
      <c r="N92" t="s">
        <v>5736</v>
      </c>
      <c r="O92" t="s">
        <v>6152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6602</v>
      </c>
      <c r="AF92" t="s">
        <v>6153</v>
      </c>
    </row>
    <row r="93" spans="1:32" x14ac:dyDescent="0.3">
      <c r="A93" t="str">
        <f t="shared" si="5"/>
        <v>Hugh M. Woods</v>
      </c>
      <c r="B93">
        <v>406</v>
      </c>
      <c r="C93" t="s">
        <v>5959</v>
      </c>
      <c r="D93" t="s">
        <v>6015</v>
      </c>
      <c r="E93" t="s">
        <v>6014</v>
      </c>
      <c r="F93" t="s">
        <v>5716</v>
      </c>
      <c r="G93" t="s">
        <v>6150</v>
      </c>
      <c r="H93">
        <v>7.1</v>
      </c>
      <c r="I93" t="s">
        <v>6151</v>
      </c>
      <c r="J93">
        <v>20</v>
      </c>
      <c r="K93" t="s">
        <v>326</v>
      </c>
      <c r="L93" t="s">
        <v>5706</v>
      </c>
      <c r="M93">
        <v>748.33299999999997</v>
      </c>
      <c r="N93" t="s">
        <v>5730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6603</v>
      </c>
      <c r="AF93" t="s">
        <v>6151</v>
      </c>
    </row>
    <row r="94" spans="1:32" x14ac:dyDescent="0.3">
      <c r="A94" t="str">
        <f t="shared" si="5"/>
        <v>Old America Stores</v>
      </c>
      <c r="B94">
        <v>406</v>
      </c>
      <c r="C94" t="s">
        <v>5959</v>
      </c>
      <c r="D94" t="s">
        <v>6015</v>
      </c>
      <c r="E94" t="s">
        <v>6014</v>
      </c>
      <c r="F94" t="s">
        <v>5716</v>
      </c>
      <c r="G94" t="s">
        <v>6150</v>
      </c>
      <c r="H94">
        <v>7.1</v>
      </c>
      <c r="I94" t="s">
        <v>6149</v>
      </c>
      <c r="J94">
        <v>6</v>
      </c>
      <c r="K94" t="s">
        <v>326</v>
      </c>
      <c r="L94" t="s">
        <v>5792</v>
      </c>
      <c r="M94">
        <v>187.667</v>
      </c>
      <c r="N94" t="s">
        <v>5729</v>
      </c>
      <c r="O94" t="s">
        <v>6148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6594</v>
      </c>
      <c r="AF94" t="s">
        <v>6149</v>
      </c>
    </row>
    <row r="95" spans="1:32" x14ac:dyDescent="0.3">
      <c r="A95" t="str">
        <f t="shared" si="5"/>
        <v>Asian Junction</v>
      </c>
      <c r="B95">
        <v>406</v>
      </c>
      <c r="C95" t="s">
        <v>5959</v>
      </c>
      <c r="D95" t="s">
        <v>6015</v>
      </c>
      <c r="E95" t="s">
        <v>6014</v>
      </c>
      <c r="F95" t="s">
        <v>6147</v>
      </c>
      <c r="G95" t="s">
        <v>6146</v>
      </c>
      <c r="H95">
        <v>7.2</v>
      </c>
      <c r="I95" t="s">
        <v>6145</v>
      </c>
      <c r="J95">
        <v>4.7229999999999999</v>
      </c>
      <c r="K95" t="s">
        <v>326</v>
      </c>
      <c r="L95" t="s">
        <v>5780</v>
      </c>
      <c r="M95">
        <v>290.19</v>
      </c>
      <c r="N95" t="s">
        <v>6144</v>
      </c>
      <c r="O95" t="s">
        <v>6143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6604</v>
      </c>
      <c r="AF95" t="s">
        <v>6145</v>
      </c>
    </row>
    <row r="96" spans="1:32" x14ac:dyDescent="0.3">
      <c r="A96" t="str">
        <f t="shared" si="5"/>
        <v>Strong Life</v>
      </c>
      <c r="B96">
        <v>406</v>
      </c>
      <c r="C96" t="s">
        <v>5959</v>
      </c>
      <c r="D96" t="s">
        <v>6015</v>
      </c>
      <c r="E96" t="s">
        <v>6014</v>
      </c>
      <c r="F96" t="s">
        <v>5704</v>
      </c>
      <c r="G96" t="s">
        <v>5565</v>
      </c>
      <c r="H96">
        <v>0</v>
      </c>
      <c r="I96" t="s">
        <v>6142</v>
      </c>
      <c r="J96">
        <v>4.0659999999999998</v>
      </c>
      <c r="K96" t="s">
        <v>326</v>
      </c>
      <c r="L96" t="s">
        <v>6141</v>
      </c>
      <c r="M96">
        <v>122.813</v>
      </c>
      <c r="N96" t="s">
        <v>6140</v>
      </c>
      <c r="O96" t="s">
        <v>6139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5391</v>
      </c>
      <c r="AF96" t="s">
        <v>6142</v>
      </c>
    </row>
    <row r="97" spans="1:32" x14ac:dyDescent="0.3">
      <c r="A97" t="str">
        <f t="shared" si="5"/>
        <v>Price's Electronics</v>
      </c>
      <c r="B97">
        <v>406</v>
      </c>
      <c r="C97" t="s">
        <v>5959</v>
      </c>
      <c r="D97" t="s">
        <v>6015</v>
      </c>
      <c r="E97" t="s">
        <v>6014</v>
      </c>
      <c r="F97" t="s">
        <v>5971</v>
      </c>
      <c r="G97" t="s">
        <v>5970</v>
      </c>
      <c r="H97">
        <v>15.5</v>
      </c>
      <c r="I97" t="s">
        <v>6138</v>
      </c>
      <c r="J97">
        <v>3.9449999999999998</v>
      </c>
      <c r="K97" t="s">
        <v>326</v>
      </c>
      <c r="L97" t="s">
        <v>6137</v>
      </c>
      <c r="M97">
        <v>130.18299999999999</v>
      </c>
      <c r="N97" t="s">
        <v>6136</v>
      </c>
      <c r="O97" t="s">
        <v>6042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6605</v>
      </c>
      <c r="AF97" t="s">
        <v>6138</v>
      </c>
    </row>
    <row r="98" spans="1:32" x14ac:dyDescent="0.3">
      <c r="A98" t="str">
        <f t="shared" si="5"/>
        <v>Brendle's</v>
      </c>
      <c r="B98">
        <v>406</v>
      </c>
      <c r="C98" t="s">
        <v>5959</v>
      </c>
      <c r="D98" t="s">
        <v>6015</v>
      </c>
      <c r="E98" t="s">
        <v>6014</v>
      </c>
      <c r="F98" t="s">
        <v>5779</v>
      </c>
      <c r="G98" t="s">
        <v>6131</v>
      </c>
      <c r="H98">
        <v>13.1</v>
      </c>
      <c r="I98" t="s">
        <v>6135</v>
      </c>
      <c r="J98">
        <v>5</v>
      </c>
      <c r="K98" t="s">
        <v>326</v>
      </c>
      <c r="L98" t="s">
        <v>6134</v>
      </c>
      <c r="M98">
        <v>286</v>
      </c>
      <c r="N98" t="s">
        <v>6133</v>
      </c>
      <c r="O98" t="s">
        <v>6132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6606</v>
      </c>
      <c r="AF98" t="s">
        <v>6135</v>
      </c>
    </row>
    <row r="99" spans="1:32" x14ac:dyDescent="0.3">
      <c r="A99" t="str">
        <f t="shared" si="5"/>
        <v>Destiny Realty</v>
      </c>
      <c r="B99">
        <v>406</v>
      </c>
      <c r="C99" t="s">
        <v>5959</v>
      </c>
      <c r="D99" t="s">
        <v>6015</v>
      </c>
      <c r="E99" t="s">
        <v>6014</v>
      </c>
      <c r="F99" t="s">
        <v>5779</v>
      </c>
      <c r="G99" t="s">
        <v>6131</v>
      </c>
      <c r="H99">
        <v>13.1</v>
      </c>
      <c r="I99" t="s">
        <v>6130</v>
      </c>
      <c r="J99">
        <v>13</v>
      </c>
      <c r="K99" t="s">
        <v>326</v>
      </c>
      <c r="L99" t="s">
        <v>5706</v>
      </c>
      <c r="M99">
        <v>440.83300000000003</v>
      </c>
      <c r="N99" t="s">
        <v>6129</v>
      </c>
      <c r="O99" t="s">
        <v>5726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6601</v>
      </c>
      <c r="AF99" t="s">
        <v>6130</v>
      </c>
    </row>
    <row r="100" spans="1:32" x14ac:dyDescent="0.3">
      <c r="A100" t="str">
        <f t="shared" si="5"/>
        <v>Wells &amp; Wade</v>
      </c>
      <c r="B100">
        <v>406</v>
      </c>
      <c r="C100" t="s">
        <v>5959</v>
      </c>
      <c r="D100" t="s">
        <v>6015</v>
      </c>
      <c r="E100" t="s">
        <v>6014</v>
      </c>
      <c r="F100" t="s">
        <v>5702</v>
      </c>
      <c r="G100" t="s">
        <v>5701</v>
      </c>
      <c r="H100">
        <v>13.1</v>
      </c>
      <c r="I100" t="s">
        <v>6128</v>
      </c>
      <c r="J100">
        <v>7.11</v>
      </c>
      <c r="K100" t="s">
        <v>326</v>
      </c>
      <c r="L100" t="s">
        <v>6021</v>
      </c>
      <c r="M100">
        <v>818.46699999999998</v>
      </c>
      <c r="N100" t="s">
        <v>6127</v>
      </c>
      <c r="O100" t="s">
        <v>6126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6593</v>
      </c>
      <c r="AF100" t="s">
        <v>6128</v>
      </c>
    </row>
    <row r="101" spans="1:32" x14ac:dyDescent="0.3">
      <c r="A101" t="str">
        <f t="shared" si="5"/>
        <v>Old America Stores</v>
      </c>
      <c r="B101">
        <v>406</v>
      </c>
      <c r="C101" t="s">
        <v>5959</v>
      </c>
      <c r="D101" t="s">
        <v>6015</v>
      </c>
      <c r="E101" t="s">
        <v>6014</v>
      </c>
      <c r="F101" t="s">
        <v>5702</v>
      </c>
      <c r="G101" t="s">
        <v>5701</v>
      </c>
      <c r="H101">
        <v>13.1</v>
      </c>
      <c r="I101" t="s">
        <v>6125</v>
      </c>
      <c r="J101">
        <v>3.879</v>
      </c>
      <c r="K101" t="s">
        <v>326</v>
      </c>
      <c r="L101" t="s">
        <v>6124</v>
      </c>
      <c r="M101">
        <v>152.03700000000001</v>
      </c>
      <c r="N101" t="s">
        <v>6123</v>
      </c>
      <c r="O101" t="s">
        <v>6122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6594</v>
      </c>
      <c r="AF101" t="s">
        <v>6125</v>
      </c>
    </row>
    <row r="102" spans="1:32" x14ac:dyDescent="0.3">
      <c r="A102" t="str">
        <f t="shared" si="5"/>
        <v>Pro Yard Services</v>
      </c>
      <c r="B102">
        <v>406</v>
      </c>
      <c r="C102" t="s">
        <v>5959</v>
      </c>
      <c r="D102" t="s">
        <v>6015</v>
      </c>
      <c r="E102" t="s">
        <v>6014</v>
      </c>
      <c r="F102" t="s">
        <v>6000</v>
      </c>
      <c r="G102" t="s">
        <v>5999</v>
      </c>
      <c r="H102">
        <v>2.5</v>
      </c>
      <c r="I102" t="s">
        <v>6121</v>
      </c>
      <c r="J102">
        <v>7.1070000000000002</v>
      </c>
      <c r="K102" t="s">
        <v>326</v>
      </c>
      <c r="L102" t="s">
        <v>6120</v>
      </c>
      <c r="M102">
        <v>215.21</v>
      </c>
      <c r="N102" t="s">
        <v>6119</v>
      </c>
      <c r="O102" t="s">
        <v>6118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6607</v>
      </c>
      <c r="AF102" t="s">
        <v>6121</v>
      </c>
    </row>
    <row r="103" spans="1:32" x14ac:dyDescent="0.3">
      <c r="A103" t="str">
        <f t="shared" si="5"/>
        <v>Old America Stores</v>
      </c>
      <c r="B103">
        <v>406</v>
      </c>
      <c r="C103" t="s">
        <v>5959</v>
      </c>
      <c r="D103" t="s">
        <v>6015</v>
      </c>
      <c r="E103" t="s">
        <v>6014</v>
      </c>
      <c r="F103" t="s">
        <v>5733</v>
      </c>
      <c r="G103" t="s">
        <v>6114</v>
      </c>
      <c r="H103">
        <v>13.4</v>
      </c>
      <c r="I103" t="s">
        <v>6117</v>
      </c>
      <c r="J103">
        <v>6</v>
      </c>
      <c r="K103" t="s">
        <v>326</v>
      </c>
      <c r="L103" t="s">
        <v>5792</v>
      </c>
      <c r="M103">
        <v>380</v>
      </c>
      <c r="N103" t="s">
        <v>6116</v>
      </c>
      <c r="O103" t="s">
        <v>6115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6594</v>
      </c>
      <c r="AF103" t="s">
        <v>6117</v>
      </c>
    </row>
    <row r="104" spans="1:32" x14ac:dyDescent="0.3">
      <c r="A104" t="str">
        <f t="shared" si="5"/>
        <v>Old America Stores</v>
      </c>
      <c r="B104">
        <v>406</v>
      </c>
      <c r="C104" t="s">
        <v>5959</v>
      </c>
      <c r="D104" t="s">
        <v>6015</v>
      </c>
      <c r="E104" t="s">
        <v>6014</v>
      </c>
      <c r="F104" t="s">
        <v>5742</v>
      </c>
      <c r="G104" t="s">
        <v>6114</v>
      </c>
      <c r="H104">
        <v>13.4</v>
      </c>
      <c r="I104" t="s">
        <v>6113</v>
      </c>
      <c r="J104">
        <v>6</v>
      </c>
      <c r="K104" t="s">
        <v>326</v>
      </c>
      <c r="L104" t="s">
        <v>5792</v>
      </c>
      <c r="M104">
        <v>231</v>
      </c>
      <c r="N104" t="s">
        <v>6112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6594</v>
      </c>
      <c r="AF104" t="s">
        <v>6113</v>
      </c>
    </row>
    <row r="105" spans="1:32" x14ac:dyDescent="0.3">
      <c r="A105" t="str">
        <f t="shared" si="5"/>
        <v>Wells &amp; Wade</v>
      </c>
      <c r="B105">
        <v>406</v>
      </c>
      <c r="C105" t="s">
        <v>5959</v>
      </c>
      <c r="D105" t="s">
        <v>6015</v>
      </c>
      <c r="E105" t="s">
        <v>6014</v>
      </c>
      <c r="F105" t="s">
        <v>6111</v>
      </c>
      <c r="G105" t="s">
        <v>5585</v>
      </c>
      <c r="H105">
        <v>0</v>
      </c>
      <c r="I105" t="s">
        <v>6110</v>
      </c>
      <c r="J105">
        <v>3.3010000000000002</v>
      </c>
      <c r="K105" t="s">
        <v>326</v>
      </c>
      <c r="L105" t="s">
        <v>6109</v>
      </c>
      <c r="M105">
        <v>113.03</v>
      </c>
      <c r="N105" t="s">
        <v>6108</v>
      </c>
      <c r="O105" t="s">
        <v>5966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6593</v>
      </c>
      <c r="AF105" t="s">
        <v>6110</v>
      </c>
    </row>
    <row r="106" spans="1:32" x14ac:dyDescent="0.3">
      <c r="A106" t="str">
        <f t="shared" si="5"/>
        <v>Wells &amp; Wade</v>
      </c>
      <c r="B106">
        <v>406</v>
      </c>
      <c r="C106" t="s">
        <v>5959</v>
      </c>
      <c r="D106" t="s">
        <v>6015</v>
      </c>
      <c r="E106" t="s">
        <v>6014</v>
      </c>
      <c r="F106" t="s">
        <v>6107</v>
      </c>
      <c r="G106" t="s">
        <v>6106</v>
      </c>
      <c r="H106">
        <v>16.8</v>
      </c>
      <c r="I106" t="s">
        <v>6105</v>
      </c>
      <c r="J106">
        <v>9.2140000000000004</v>
      </c>
      <c r="K106" t="s">
        <v>326</v>
      </c>
      <c r="L106" t="s">
        <v>6104</v>
      </c>
      <c r="M106">
        <v>310.42</v>
      </c>
      <c r="N106" t="s">
        <v>6103</v>
      </c>
      <c r="O106" t="s">
        <v>6102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6593</v>
      </c>
      <c r="AF106" t="s">
        <v>6105</v>
      </c>
    </row>
    <row r="107" spans="1:32" x14ac:dyDescent="0.3">
      <c r="A107" t="str">
        <f t="shared" si="5"/>
        <v>Red Food</v>
      </c>
      <c r="B107">
        <v>406</v>
      </c>
      <c r="C107" t="s">
        <v>5959</v>
      </c>
      <c r="D107" t="s">
        <v>6015</v>
      </c>
      <c r="E107" t="s">
        <v>6014</v>
      </c>
      <c r="F107" t="s">
        <v>5698</v>
      </c>
      <c r="G107" t="s">
        <v>5994</v>
      </c>
      <c r="H107">
        <v>16.100000000000001</v>
      </c>
      <c r="I107" t="s">
        <v>6101</v>
      </c>
      <c r="J107">
        <v>22</v>
      </c>
      <c r="K107" t="s">
        <v>326</v>
      </c>
      <c r="L107" t="s">
        <v>6058</v>
      </c>
      <c r="M107">
        <v>1545.5</v>
      </c>
      <c r="N107" t="s">
        <v>5700</v>
      </c>
      <c r="O107" t="s">
        <v>5741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6608</v>
      </c>
      <c r="AF107" t="s">
        <v>6101</v>
      </c>
    </row>
    <row r="108" spans="1:32" x14ac:dyDescent="0.3">
      <c r="A108" t="str">
        <f t="shared" si="5"/>
        <v>Britling Cafeterias</v>
      </c>
      <c r="B108">
        <v>406</v>
      </c>
      <c r="C108" t="s">
        <v>5959</v>
      </c>
      <c r="D108" t="s">
        <v>6015</v>
      </c>
      <c r="E108" t="s">
        <v>6014</v>
      </c>
      <c r="F108" t="s">
        <v>5698</v>
      </c>
      <c r="G108" t="s">
        <v>5994</v>
      </c>
      <c r="H108">
        <v>16.100000000000001</v>
      </c>
      <c r="I108" t="s">
        <v>6100</v>
      </c>
      <c r="J108">
        <v>17</v>
      </c>
      <c r="K108" t="s">
        <v>326</v>
      </c>
      <c r="L108" t="s">
        <v>6058</v>
      </c>
      <c r="M108">
        <v>1438</v>
      </c>
      <c r="N108" t="s">
        <v>6099</v>
      </c>
      <c r="O108" t="s">
        <v>6098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6609</v>
      </c>
      <c r="AF108" t="s">
        <v>6100</v>
      </c>
    </row>
    <row r="109" spans="1:32" x14ac:dyDescent="0.3">
      <c r="A109" t="str">
        <f t="shared" si="5"/>
        <v>Record World</v>
      </c>
      <c r="B109">
        <v>406</v>
      </c>
      <c r="C109" t="s">
        <v>5959</v>
      </c>
      <c r="D109" t="s">
        <v>6015</v>
      </c>
      <c r="E109" t="s">
        <v>6014</v>
      </c>
      <c r="F109" t="s">
        <v>5698</v>
      </c>
      <c r="G109" t="s">
        <v>5994</v>
      </c>
      <c r="H109">
        <v>16.100000000000001</v>
      </c>
      <c r="I109" t="s">
        <v>6097</v>
      </c>
      <c r="J109">
        <v>7.1950000000000003</v>
      </c>
      <c r="K109" t="s">
        <v>326</v>
      </c>
      <c r="L109" t="s">
        <v>5747</v>
      </c>
      <c r="M109">
        <v>541.03300000000002</v>
      </c>
      <c r="N109" t="s">
        <v>5763</v>
      </c>
      <c r="O109" t="s">
        <v>6096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6610</v>
      </c>
      <c r="AF109" t="s">
        <v>6097</v>
      </c>
    </row>
    <row r="110" spans="1:32" x14ac:dyDescent="0.3">
      <c r="A110" t="str">
        <f t="shared" si="5"/>
        <v>Earthworks Garden Kare</v>
      </c>
      <c r="B110">
        <v>406</v>
      </c>
      <c r="C110" t="s">
        <v>5959</v>
      </c>
      <c r="D110" t="s">
        <v>6015</v>
      </c>
      <c r="E110" t="s">
        <v>6014</v>
      </c>
      <c r="F110" t="s">
        <v>5698</v>
      </c>
      <c r="G110" t="s">
        <v>5994</v>
      </c>
      <c r="H110">
        <v>16.100000000000001</v>
      </c>
      <c r="I110" t="s">
        <v>6095</v>
      </c>
      <c r="J110">
        <v>22</v>
      </c>
      <c r="K110" t="s">
        <v>326</v>
      </c>
      <c r="L110" t="s">
        <v>6092</v>
      </c>
      <c r="M110">
        <v>1518.6669999999999</v>
      </c>
      <c r="N110" t="s">
        <v>6094</v>
      </c>
      <c r="O110" t="s">
        <v>5713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6611</v>
      </c>
      <c r="AF110" t="s">
        <v>6095</v>
      </c>
    </row>
    <row r="111" spans="1:32" x14ac:dyDescent="0.3">
      <c r="A111" t="str">
        <f t="shared" si="5"/>
        <v>Earthworks Garden Kare</v>
      </c>
      <c r="B111">
        <v>406</v>
      </c>
      <c r="C111" t="s">
        <v>5959</v>
      </c>
      <c r="D111" t="s">
        <v>6015</v>
      </c>
      <c r="E111" t="s">
        <v>6014</v>
      </c>
      <c r="F111" t="s">
        <v>5698</v>
      </c>
      <c r="G111" t="s">
        <v>5994</v>
      </c>
      <c r="H111">
        <v>16.100000000000001</v>
      </c>
      <c r="I111" t="s">
        <v>6093</v>
      </c>
      <c r="J111">
        <v>12</v>
      </c>
      <c r="K111" t="s">
        <v>326</v>
      </c>
      <c r="L111" t="s">
        <v>6092</v>
      </c>
      <c r="M111">
        <v>723.8</v>
      </c>
      <c r="N111" t="s">
        <v>5714</v>
      </c>
      <c r="O111" t="s">
        <v>5699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6611</v>
      </c>
      <c r="AF111" t="s">
        <v>6093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5959</v>
      </c>
      <c r="D112" t="s">
        <v>6015</v>
      </c>
      <c r="E112" t="s">
        <v>6014</v>
      </c>
      <c r="F112" t="s">
        <v>5698</v>
      </c>
      <c r="G112" t="s">
        <v>5994</v>
      </c>
      <c r="H112">
        <v>16.100000000000001</v>
      </c>
      <c r="I112" t="s">
        <v>6091</v>
      </c>
      <c r="J112">
        <v>7.3070000000000004</v>
      </c>
      <c r="K112" t="s">
        <v>326</v>
      </c>
      <c r="L112" t="s">
        <v>6090</v>
      </c>
      <c r="M112">
        <v>537.41999999999996</v>
      </c>
      <c r="N112" t="s">
        <v>5738</v>
      </c>
      <c r="O112" t="s">
        <v>6079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6612</v>
      </c>
      <c r="AF112" t="s">
        <v>6091</v>
      </c>
    </row>
    <row r="113" spans="1:32" x14ac:dyDescent="0.3">
      <c r="A113" t="str">
        <f t="shared" si="5"/>
        <v>Best Biz Survis</v>
      </c>
      <c r="B113">
        <v>406</v>
      </c>
      <c r="C113" t="s">
        <v>5959</v>
      </c>
      <c r="D113" t="s">
        <v>6015</v>
      </c>
      <c r="E113" t="s">
        <v>6014</v>
      </c>
      <c r="F113" t="s">
        <v>5698</v>
      </c>
      <c r="G113" t="s">
        <v>5994</v>
      </c>
      <c r="H113">
        <v>16.100000000000001</v>
      </c>
      <c r="I113" t="s">
        <v>6089</v>
      </c>
      <c r="J113">
        <v>25</v>
      </c>
      <c r="K113" t="s">
        <v>326</v>
      </c>
      <c r="L113" t="s">
        <v>5789</v>
      </c>
      <c r="M113">
        <v>1696.5</v>
      </c>
      <c r="N113" t="s">
        <v>5700</v>
      </c>
      <c r="O113" t="s">
        <v>6088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6613</v>
      </c>
      <c r="AF113" t="s">
        <v>6089</v>
      </c>
    </row>
    <row r="114" spans="1:32" x14ac:dyDescent="0.3">
      <c r="A114" t="str">
        <f t="shared" si="5"/>
        <v>Monk House Sales</v>
      </c>
      <c r="B114">
        <v>406</v>
      </c>
      <c r="C114" t="s">
        <v>5959</v>
      </c>
      <c r="D114" t="s">
        <v>6015</v>
      </c>
      <c r="E114" t="s">
        <v>6014</v>
      </c>
      <c r="F114" t="s">
        <v>5698</v>
      </c>
      <c r="G114" t="s">
        <v>5994</v>
      </c>
      <c r="H114">
        <v>16.100000000000001</v>
      </c>
      <c r="I114" t="s">
        <v>6087</v>
      </c>
      <c r="J114">
        <v>7.2709999999999999</v>
      </c>
      <c r="K114" t="s">
        <v>326</v>
      </c>
      <c r="L114" t="s">
        <v>6085</v>
      </c>
      <c r="M114">
        <v>629.42700000000002</v>
      </c>
      <c r="N114" t="s">
        <v>5763</v>
      </c>
      <c r="O114" t="s">
        <v>5713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6614</v>
      </c>
      <c r="AF114" t="s">
        <v>6087</v>
      </c>
    </row>
    <row r="115" spans="1:32" x14ac:dyDescent="0.3">
      <c r="A115" t="str">
        <f t="shared" si="5"/>
        <v>Mervyn's</v>
      </c>
      <c r="B115">
        <v>406</v>
      </c>
      <c r="C115" t="s">
        <v>5959</v>
      </c>
      <c r="D115" t="s">
        <v>6015</v>
      </c>
      <c r="E115" t="s">
        <v>6014</v>
      </c>
      <c r="F115" t="s">
        <v>5698</v>
      </c>
      <c r="G115" t="s">
        <v>5994</v>
      </c>
      <c r="H115">
        <v>16.100000000000001</v>
      </c>
      <c r="I115" t="s">
        <v>6086</v>
      </c>
      <c r="J115">
        <v>7.2709999999999999</v>
      </c>
      <c r="K115" t="s">
        <v>326</v>
      </c>
      <c r="L115" t="s">
        <v>6085</v>
      </c>
      <c r="M115">
        <v>646.01</v>
      </c>
      <c r="N115" t="s">
        <v>5727</v>
      </c>
      <c r="O115" t="s">
        <v>5868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6615</v>
      </c>
      <c r="AF115" t="s">
        <v>6086</v>
      </c>
    </row>
    <row r="116" spans="1:32" x14ac:dyDescent="0.3">
      <c r="A116" t="str">
        <f t="shared" si="5"/>
        <v>Strongbod</v>
      </c>
      <c r="B116">
        <v>406</v>
      </c>
      <c r="C116" t="s">
        <v>5959</v>
      </c>
      <c r="D116" t="s">
        <v>6015</v>
      </c>
      <c r="E116" t="s">
        <v>6014</v>
      </c>
      <c r="F116" t="s">
        <v>5698</v>
      </c>
      <c r="G116" t="s">
        <v>5994</v>
      </c>
      <c r="H116">
        <v>16.100000000000001</v>
      </c>
      <c r="I116" t="s">
        <v>6084</v>
      </c>
      <c r="J116">
        <v>7.31</v>
      </c>
      <c r="K116" t="s">
        <v>326</v>
      </c>
      <c r="L116" t="s">
        <v>6083</v>
      </c>
      <c r="M116">
        <v>655.76700000000005</v>
      </c>
      <c r="N116" t="s">
        <v>5711</v>
      </c>
      <c r="O116" t="s">
        <v>5741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6616</v>
      </c>
      <c r="AF116" t="s">
        <v>6084</v>
      </c>
    </row>
    <row r="117" spans="1:32" x14ac:dyDescent="0.3">
      <c r="A117" t="str">
        <f t="shared" si="5"/>
        <v>Record Bar</v>
      </c>
      <c r="B117">
        <v>406</v>
      </c>
      <c r="C117" t="s">
        <v>5959</v>
      </c>
      <c r="D117" t="s">
        <v>6015</v>
      </c>
      <c r="E117" t="s">
        <v>6014</v>
      </c>
      <c r="F117" t="s">
        <v>5698</v>
      </c>
      <c r="G117" t="s">
        <v>5994</v>
      </c>
      <c r="H117">
        <v>16.100000000000001</v>
      </c>
      <c r="I117" t="s">
        <v>6082</v>
      </c>
      <c r="J117">
        <v>7.2220000000000004</v>
      </c>
      <c r="K117" t="s">
        <v>326</v>
      </c>
      <c r="L117" t="s">
        <v>6081</v>
      </c>
      <c r="M117">
        <v>461.48700000000002</v>
      </c>
      <c r="N117" t="s">
        <v>5762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6617</v>
      </c>
      <c r="AF117" t="s">
        <v>6082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5959</v>
      </c>
      <c r="D118" t="s">
        <v>6015</v>
      </c>
      <c r="E118" t="s">
        <v>6014</v>
      </c>
      <c r="F118" t="s">
        <v>5698</v>
      </c>
      <c r="G118" t="s">
        <v>5994</v>
      </c>
      <c r="H118">
        <v>16.100000000000001</v>
      </c>
      <c r="I118" t="s">
        <v>6080</v>
      </c>
      <c r="J118">
        <v>15</v>
      </c>
      <c r="K118" t="s">
        <v>326</v>
      </c>
      <c r="L118" t="s">
        <v>5789</v>
      </c>
      <c r="M118">
        <v>1299.6669999999999</v>
      </c>
      <c r="N118" t="s">
        <v>5727</v>
      </c>
      <c r="O118" t="s">
        <v>6079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6618</v>
      </c>
      <c r="AF118" t="s">
        <v>6080</v>
      </c>
    </row>
    <row r="119" spans="1:32" x14ac:dyDescent="0.3">
      <c r="A119" t="str">
        <f t="shared" si="5"/>
        <v>The Flying Bear</v>
      </c>
      <c r="B119">
        <v>406</v>
      </c>
      <c r="C119" t="s">
        <v>5959</v>
      </c>
      <c r="D119" t="s">
        <v>6015</v>
      </c>
      <c r="E119" t="s">
        <v>6014</v>
      </c>
      <c r="F119" t="s">
        <v>5698</v>
      </c>
      <c r="G119" t="s">
        <v>5994</v>
      </c>
      <c r="H119">
        <v>16.100000000000001</v>
      </c>
      <c r="I119" t="s">
        <v>6078</v>
      </c>
      <c r="J119">
        <v>20</v>
      </c>
      <c r="K119" t="s">
        <v>326</v>
      </c>
      <c r="L119" t="s">
        <v>5818</v>
      </c>
      <c r="M119">
        <v>1405.5</v>
      </c>
      <c r="N119" t="s">
        <v>5711</v>
      </c>
      <c r="O119" t="s">
        <v>6077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6619</v>
      </c>
      <c r="AF119" t="s">
        <v>6078</v>
      </c>
    </row>
    <row r="120" spans="1:32" x14ac:dyDescent="0.3">
      <c r="A120" t="str">
        <f t="shared" si="5"/>
        <v>Great American Music</v>
      </c>
      <c r="B120">
        <v>406</v>
      </c>
      <c r="C120" t="s">
        <v>5959</v>
      </c>
      <c r="D120" t="s">
        <v>6015</v>
      </c>
      <c r="E120" t="s">
        <v>6014</v>
      </c>
      <c r="F120" t="s">
        <v>5698</v>
      </c>
      <c r="G120" t="s">
        <v>5994</v>
      </c>
      <c r="H120">
        <v>16.100000000000001</v>
      </c>
      <c r="I120" t="s">
        <v>6076</v>
      </c>
      <c r="J120">
        <v>22</v>
      </c>
      <c r="K120" t="s">
        <v>326</v>
      </c>
      <c r="L120" t="s">
        <v>5787</v>
      </c>
      <c r="M120">
        <v>1544.6669999999999</v>
      </c>
      <c r="N120" t="s">
        <v>5745</v>
      </c>
      <c r="O120" t="s">
        <v>5788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6620</v>
      </c>
      <c r="AF120" t="s">
        <v>6076</v>
      </c>
    </row>
    <row r="121" spans="1:32" x14ac:dyDescent="0.3">
      <c r="A121" t="str">
        <f t="shared" si="5"/>
        <v>Great American Music</v>
      </c>
      <c r="B121">
        <v>406</v>
      </c>
      <c r="C121" t="s">
        <v>5959</v>
      </c>
      <c r="D121" t="s">
        <v>6015</v>
      </c>
      <c r="E121" t="s">
        <v>6014</v>
      </c>
      <c r="F121" t="s">
        <v>5698</v>
      </c>
      <c r="G121" t="s">
        <v>5994</v>
      </c>
      <c r="H121">
        <v>16.100000000000001</v>
      </c>
      <c r="I121" t="s">
        <v>6075</v>
      </c>
      <c r="J121">
        <v>9.9480000000000004</v>
      </c>
      <c r="K121" t="s">
        <v>326</v>
      </c>
      <c r="L121" t="s">
        <v>5787</v>
      </c>
      <c r="M121">
        <v>769.71299999999997</v>
      </c>
      <c r="N121" t="s">
        <v>5710</v>
      </c>
      <c r="O121" t="s">
        <v>5741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6620</v>
      </c>
      <c r="AF121" t="s">
        <v>6075</v>
      </c>
    </row>
    <row r="122" spans="1:32" x14ac:dyDescent="0.3">
      <c r="A122" t="str">
        <f t="shared" si="5"/>
        <v>Hugh M. Woods</v>
      </c>
      <c r="B122">
        <v>406</v>
      </c>
      <c r="C122" t="s">
        <v>5959</v>
      </c>
      <c r="D122" t="s">
        <v>6015</v>
      </c>
      <c r="E122" t="s">
        <v>6014</v>
      </c>
      <c r="F122" t="s">
        <v>5698</v>
      </c>
      <c r="G122" t="s">
        <v>5994</v>
      </c>
      <c r="H122">
        <v>16.100000000000001</v>
      </c>
      <c r="I122" t="s">
        <v>6074</v>
      </c>
      <c r="J122">
        <v>22</v>
      </c>
      <c r="K122" t="s">
        <v>326</v>
      </c>
      <c r="L122" t="s">
        <v>5706</v>
      </c>
      <c r="M122">
        <v>1558</v>
      </c>
      <c r="N122" t="s">
        <v>5700</v>
      </c>
      <c r="O122" t="s">
        <v>6073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6603</v>
      </c>
      <c r="AF122" t="s">
        <v>6074</v>
      </c>
    </row>
    <row r="123" spans="1:32" x14ac:dyDescent="0.3">
      <c r="A123" t="str">
        <f t="shared" si="5"/>
        <v>Piccolo Mondo</v>
      </c>
      <c r="B123">
        <v>406</v>
      </c>
      <c r="C123" t="s">
        <v>5959</v>
      </c>
      <c r="D123" t="s">
        <v>6015</v>
      </c>
      <c r="E123" t="s">
        <v>6014</v>
      </c>
      <c r="F123" t="s">
        <v>5698</v>
      </c>
      <c r="G123" t="s">
        <v>5994</v>
      </c>
      <c r="H123">
        <v>16.100000000000001</v>
      </c>
      <c r="I123" t="s">
        <v>6072</v>
      </c>
      <c r="J123">
        <v>7.2709999999999999</v>
      </c>
      <c r="K123" t="s">
        <v>326</v>
      </c>
      <c r="L123" t="s">
        <v>6058</v>
      </c>
      <c r="M123">
        <v>612.76</v>
      </c>
      <c r="N123" t="s">
        <v>6071</v>
      </c>
      <c r="O123" t="s">
        <v>5920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6621</v>
      </c>
      <c r="AF123" t="s">
        <v>6072</v>
      </c>
    </row>
    <row r="124" spans="1:32" x14ac:dyDescent="0.3">
      <c r="A124" t="str">
        <f t="shared" si="5"/>
        <v>National Shirt Shop</v>
      </c>
      <c r="B124">
        <v>406</v>
      </c>
      <c r="C124" t="s">
        <v>5959</v>
      </c>
      <c r="D124" t="s">
        <v>6015</v>
      </c>
      <c r="E124" t="s">
        <v>6014</v>
      </c>
      <c r="F124" t="s">
        <v>5698</v>
      </c>
      <c r="G124" t="s">
        <v>5994</v>
      </c>
      <c r="H124">
        <v>16.100000000000001</v>
      </c>
      <c r="I124" t="s">
        <v>6070</v>
      </c>
      <c r="J124">
        <v>5.1369999999999996</v>
      </c>
      <c r="K124" t="s">
        <v>326</v>
      </c>
      <c r="L124" t="s">
        <v>6069</v>
      </c>
      <c r="M124">
        <v>327.387</v>
      </c>
      <c r="N124" t="s">
        <v>5710</v>
      </c>
      <c r="O124" t="s">
        <v>5741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6622</v>
      </c>
      <c r="AF124" t="s">
        <v>6070</v>
      </c>
    </row>
    <row r="125" spans="1:32" x14ac:dyDescent="0.3">
      <c r="A125" t="str">
        <f t="shared" si="5"/>
        <v>Builders Square</v>
      </c>
      <c r="B125">
        <v>406</v>
      </c>
      <c r="C125" t="s">
        <v>5959</v>
      </c>
      <c r="D125" t="s">
        <v>6015</v>
      </c>
      <c r="E125" t="s">
        <v>6014</v>
      </c>
      <c r="F125" t="s">
        <v>5698</v>
      </c>
      <c r="G125" t="s">
        <v>5994</v>
      </c>
      <c r="H125">
        <v>16.100000000000001</v>
      </c>
      <c r="I125" t="s">
        <v>6068</v>
      </c>
      <c r="J125">
        <v>12</v>
      </c>
      <c r="K125" t="s">
        <v>326</v>
      </c>
      <c r="L125" t="s">
        <v>6067</v>
      </c>
      <c r="M125">
        <v>927.66700000000003</v>
      </c>
      <c r="N125" t="s">
        <v>5700</v>
      </c>
      <c r="O125" t="s">
        <v>5741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6623</v>
      </c>
      <c r="AF125" t="s">
        <v>6068</v>
      </c>
    </row>
    <row r="126" spans="1:32" x14ac:dyDescent="0.3">
      <c r="A126" t="str">
        <f t="shared" si="5"/>
        <v>Music Plus</v>
      </c>
      <c r="B126">
        <v>406</v>
      </c>
      <c r="C126" t="s">
        <v>5959</v>
      </c>
      <c r="D126" t="s">
        <v>6015</v>
      </c>
      <c r="E126" t="s">
        <v>6014</v>
      </c>
      <c r="F126" t="s">
        <v>5698</v>
      </c>
      <c r="G126" t="s">
        <v>5994</v>
      </c>
      <c r="H126">
        <v>16.100000000000001</v>
      </c>
      <c r="I126" t="s">
        <v>6066</v>
      </c>
      <c r="J126">
        <v>15</v>
      </c>
      <c r="K126" t="s">
        <v>326</v>
      </c>
      <c r="L126" t="s">
        <v>5801</v>
      </c>
      <c r="M126">
        <v>1021.833</v>
      </c>
      <c r="N126" t="s">
        <v>6065</v>
      </c>
      <c r="O126" t="s">
        <v>6064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6624</v>
      </c>
      <c r="AF126" t="s">
        <v>6066</v>
      </c>
    </row>
    <row r="127" spans="1:32" x14ac:dyDescent="0.3">
      <c r="A127" t="str">
        <f t="shared" si="5"/>
        <v>American Wholesale Club</v>
      </c>
      <c r="B127">
        <v>406</v>
      </c>
      <c r="C127" t="s">
        <v>5959</v>
      </c>
      <c r="D127" t="s">
        <v>6015</v>
      </c>
      <c r="E127" t="s">
        <v>6014</v>
      </c>
      <c r="F127" t="s">
        <v>5698</v>
      </c>
      <c r="G127" t="s">
        <v>5994</v>
      </c>
      <c r="H127">
        <v>16.100000000000001</v>
      </c>
      <c r="I127" t="s">
        <v>6063</v>
      </c>
      <c r="J127">
        <v>12</v>
      </c>
      <c r="K127" t="s">
        <v>326</v>
      </c>
      <c r="L127" t="s">
        <v>5706</v>
      </c>
      <c r="M127">
        <v>829.41700000000003</v>
      </c>
      <c r="N127" t="s">
        <v>5700</v>
      </c>
      <c r="O127" t="s">
        <v>6062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5598</v>
      </c>
      <c r="AF127" t="s">
        <v>6063</v>
      </c>
    </row>
    <row r="128" spans="1:32" x14ac:dyDescent="0.3">
      <c r="A128" t="str">
        <f t="shared" si="5"/>
        <v>Kids Mart</v>
      </c>
      <c r="B128">
        <v>406</v>
      </c>
      <c r="C128" t="s">
        <v>5959</v>
      </c>
      <c r="D128" t="s">
        <v>6015</v>
      </c>
      <c r="E128" t="s">
        <v>6014</v>
      </c>
      <c r="F128" t="s">
        <v>5698</v>
      </c>
      <c r="G128" t="s">
        <v>5994</v>
      </c>
      <c r="H128">
        <v>16.100000000000001</v>
      </c>
      <c r="I128" t="s">
        <v>6061</v>
      </c>
      <c r="J128">
        <v>18</v>
      </c>
      <c r="K128" t="s">
        <v>326</v>
      </c>
      <c r="L128" t="s">
        <v>5789</v>
      </c>
      <c r="M128">
        <v>1283.25</v>
      </c>
      <c r="N128" t="s">
        <v>5739</v>
      </c>
      <c r="O128" t="s">
        <v>6060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6625</v>
      </c>
      <c r="AF128" t="s">
        <v>6061</v>
      </c>
    </row>
    <row r="129" spans="1:32" x14ac:dyDescent="0.3">
      <c r="A129" t="str">
        <f t="shared" si="5"/>
        <v>KB Toys</v>
      </c>
      <c r="B129">
        <v>406</v>
      </c>
      <c r="C129" t="s">
        <v>5959</v>
      </c>
      <c r="D129" t="s">
        <v>6015</v>
      </c>
      <c r="E129" t="s">
        <v>6014</v>
      </c>
      <c r="F129" t="s">
        <v>5698</v>
      </c>
      <c r="G129" t="s">
        <v>5994</v>
      </c>
      <c r="H129">
        <v>16.100000000000001</v>
      </c>
      <c r="I129" t="s">
        <v>6059</v>
      </c>
      <c r="J129">
        <v>27</v>
      </c>
      <c r="K129" t="s">
        <v>326</v>
      </c>
      <c r="L129" t="s">
        <v>6058</v>
      </c>
      <c r="M129">
        <v>1821.5</v>
      </c>
      <c r="N129" t="s">
        <v>5718</v>
      </c>
      <c r="O129" t="s">
        <v>6057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6626</v>
      </c>
      <c r="AF129" t="s">
        <v>6059</v>
      </c>
    </row>
    <row r="130" spans="1:32" x14ac:dyDescent="0.3">
      <c r="A130" t="str">
        <f t="shared" si="5"/>
        <v>Child World</v>
      </c>
      <c r="B130">
        <v>406</v>
      </c>
      <c r="C130" t="s">
        <v>5959</v>
      </c>
      <c r="D130" t="s">
        <v>6015</v>
      </c>
      <c r="E130" t="s">
        <v>6014</v>
      </c>
      <c r="F130" t="s">
        <v>5698</v>
      </c>
      <c r="G130" t="s">
        <v>5994</v>
      </c>
      <c r="H130">
        <v>16.100000000000001</v>
      </c>
      <c r="I130" t="s">
        <v>6056</v>
      </c>
      <c r="J130">
        <v>17</v>
      </c>
      <c r="K130" t="s">
        <v>326</v>
      </c>
      <c r="L130" t="s">
        <v>5819</v>
      </c>
      <c r="M130">
        <v>1228.3330000000001</v>
      </c>
      <c r="N130" t="s">
        <v>6055</v>
      </c>
      <c r="O130" t="s">
        <v>6052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6627</v>
      </c>
      <c r="AF130" t="s">
        <v>6056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5959</v>
      </c>
      <c r="D131" t="s">
        <v>6015</v>
      </c>
      <c r="E131" t="s">
        <v>6014</v>
      </c>
      <c r="F131" t="s">
        <v>5698</v>
      </c>
      <c r="G131" t="s">
        <v>5994</v>
      </c>
      <c r="H131">
        <v>16.100000000000001</v>
      </c>
      <c r="I131" t="s">
        <v>6054</v>
      </c>
      <c r="J131">
        <v>17</v>
      </c>
      <c r="K131" t="s">
        <v>326</v>
      </c>
      <c r="L131" t="s">
        <v>5819</v>
      </c>
      <c r="M131">
        <v>1225.3330000000001</v>
      </c>
      <c r="N131" t="s">
        <v>6053</v>
      </c>
      <c r="O131" t="s">
        <v>6052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6627</v>
      </c>
      <c r="AF131" t="s">
        <v>6054</v>
      </c>
    </row>
    <row r="132" spans="1:32" x14ac:dyDescent="0.3">
      <c r="A132" t="str">
        <f t="shared" si="12"/>
        <v>Reliable Guidance</v>
      </c>
      <c r="B132">
        <v>406</v>
      </c>
      <c r="C132" t="s">
        <v>5959</v>
      </c>
      <c r="D132" t="s">
        <v>6015</v>
      </c>
      <c r="E132" t="s">
        <v>6014</v>
      </c>
      <c r="F132" t="s">
        <v>5965</v>
      </c>
      <c r="G132" t="s">
        <v>5964</v>
      </c>
      <c r="H132">
        <v>16</v>
      </c>
      <c r="I132" t="s">
        <v>6051</v>
      </c>
      <c r="J132">
        <v>4.0110000000000001</v>
      </c>
      <c r="K132" t="s">
        <v>326</v>
      </c>
      <c r="L132" t="s">
        <v>5740</v>
      </c>
      <c r="M132">
        <v>131.66300000000001</v>
      </c>
      <c r="N132" t="s">
        <v>6050</v>
      </c>
      <c r="O132" t="s">
        <v>6049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6628</v>
      </c>
      <c r="AF132" t="s">
        <v>6051</v>
      </c>
    </row>
    <row r="133" spans="1:32" x14ac:dyDescent="0.3">
      <c r="A133" t="str">
        <f t="shared" si="12"/>
        <v>Body Toning</v>
      </c>
      <c r="B133">
        <v>406</v>
      </c>
      <c r="C133" t="s">
        <v>5959</v>
      </c>
      <c r="D133" t="s">
        <v>6015</v>
      </c>
      <c r="E133" t="s">
        <v>6014</v>
      </c>
      <c r="F133" t="s">
        <v>5737</v>
      </c>
      <c r="G133" t="s">
        <v>5601</v>
      </c>
      <c r="H133">
        <v>16.3</v>
      </c>
      <c r="I133" t="s">
        <v>6048</v>
      </c>
      <c r="J133">
        <v>7.1340000000000003</v>
      </c>
      <c r="K133" t="s">
        <v>326</v>
      </c>
      <c r="L133" t="s">
        <v>5777</v>
      </c>
      <c r="M133">
        <v>216.68700000000001</v>
      </c>
      <c r="N133" t="s">
        <v>5765</v>
      </c>
      <c r="O133" t="s">
        <v>5805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6629</v>
      </c>
      <c r="AF133" t="s">
        <v>6048</v>
      </c>
    </row>
    <row r="134" spans="1:32" x14ac:dyDescent="0.3">
      <c r="A134" t="str">
        <f t="shared" si="12"/>
        <v>Knox Lumber</v>
      </c>
      <c r="B134">
        <v>406</v>
      </c>
      <c r="C134" t="s">
        <v>5959</v>
      </c>
      <c r="D134" t="s">
        <v>6015</v>
      </c>
      <c r="E134" t="s">
        <v>6014</v>
      </c>
      <c r="F134" t="s">
        <v>6047</v>
      </c>
      <c r="G134" t="s">
        <v>6046</v>
      </c>
      <c r="H134">
        <v>1</v>
      </c>
      <c r="I134" t="s">
        <v>6045</v>
      </c>
      <c r="J134">
        <v>5.827</v>
      </c>
      <c r="K134" t="s">
        <v>326</v>
      </c>
      <c r="L134" t="s">
        <v>6044</v>
      </c>
      <c r="M134">
        <v>229.81</v>
      </c>
      <c r="N134" t="s">
        <v>6043</v>
      </c>
      <c r="O134" t="s">
        <v>6042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6630</v>
      </c>
      <c r="AF134" t="s">
        <v>6045</v>
      </c>
    </row>
    <row r="135" spans="1:32" x14ac:dyDescent="0.3">
      <c r="A135" t="str">
        <f t="shared" si="12"/>
        <v>Geri's Hamburgers</v>
      </c>
      <c r="B135">
        <v>406</v>
      </c>
      <c r="C135" t="s">
        <v>5959</v>
      </c>
      <c r="D135" t="s">
        <v>6015</v>
      </c>
      <c r="E135" t="s">
        <v>6014</v>
      </c>
      <c r="F135" t="s">
        <v>5981</v>
      </c>
      <c r="G135" t="s">
        <v>5980</v>
      </c>
      <c r="H135">
        <v>16.100000000000001</v>
      </c>
      <c r="I135" t="s">
        <v>6041</v>
      </c>
      <c r="J135">
        <v>3.238</v>
      </c>
      <c r="K135" t="s">
        <v>326</v>
      </c>
      <c r="L135" t="s">
        <v>5820</v>
      </c>
      <c r="M135">
        <v>256.613</v>
      </c>
      <c r="N135" t="s">
        <v>5700</v>
      </c>
      <c r="O135" t="s">
        <v>5699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6631</v>
      </c>
      <c r="AF135" t="s">
        <v>6041</v>
      </c>
    </row>
    <row r="136" spans="1:32" x14ac:dyDescent="0.3">
      <c r="A136" t="str">
        <f t="shared" si="12"/>
        <v>Geri's Hamburgers</v>
      </c>
      <c r="B136">
        <v>406</v>
      </c>
      <c r="C136" t="s">
        <v>5959</v>
      </c>
      <c r="D136" t="s">
        <v>6015</v>
      </c>
      <c r="E136" t="s">
        <v>6014</v>
      </c>
      <c r="F136" t="s">
        <v>5981</v>
      </c>
      <c r="G136" t="s">
        <v>5980</v>
      </c>
      <c r="H136">
        <v>16.100000000000001</v>
      </c>
      <c r="I136" t="s">
        <v>6040</v>
      </c>
      <c r="J136">
        <v>3.238</v>
      </c>
      <c r="K136" t="s">
        <v>326</v>
      </c>
      <c r="L136" t="s">
        <v>5820</v>
      </c>
      <c r="M136">
        <v>259.77999999999997</v>
      </c>
      <c r="N136" t="s">
        <v>6039</v>
      </c>
      <c r="O136" t="s">
        <v>5741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6631</v>
      </c>
      <c r="AF136" t="s">
        <v>6040</v>
      </c>
    </row>
    <row r="137" spans="1:32" x14ac:dyDescent="0.3">
      <c r="A137" t="str">
        <f t="shared" si="12"/>
        <v>Jeans Unlimited</v>
      </c>
      <c r="B137">
        <v>406</v>
      </c>
      <c r="C137" t="s">
        <v>5959</v>
      </c>
      <c r="D137" t="s">
        <v>6015</v>
      </c>
      <c r="E137" t="s">
        <v>6014</v>
      </c>
      <c r="F137" t="s">
        <v>5981</v>
      </c>
      <c r="G137" t="s">
        <v>5980</v>
      </c>
      <c r="H137">
        <v>16.100000000000001</v>
      </c>
      <c r="I137" t="s">
        <v>6038</v>
      </c>
      <c r="J137">
        <v>3.238</v>
      </c>
      <c r="K137" t="s">
        <v>326</v>
      </c>
      <c r="L137" t="s">
        <v>5820</v>
      </c>
      <c r="M137">
        <v>257.113</v>
      </c>
      <c r="N137" t="s">
        <v>5710</v>
      </c>
      <c r="O137" t="s">
        <v>5741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6602</v>
      </c>
      <c r="AF137" t="s">
        <v>6038</v>
      </c>
    </row>
    <row r="138" spans="1:32" x14ac:dyDescent="0.3">
      <c r="A138" t="str">
        <f t="shared" si="12"/>
        <v>Wells &amp; Wade</v>
      </c>
      <c r="B138">
        <v>406</v>
      </c>
      <c r="C138" t="s">
        <v>5959</v>
      </c>
      <c r="D138" t="s">
        <v>6015</v>
      </c>
      <c r="E138" t="s">
        <v>6014</v>
      </c>
      <c r="F138" t="s">
        <v>5766</v>
      </c>
      <c r="G138" t="s">
        <v>6036</v>
      </c>
      <c r="H138">
        <v>16.399999999999999</v>
      </c>
      <c r="I138" t="s">
        <v>6037</v>
      </c>
      <c r="J138">
        <v>7.1120000000000001</v>
      </c>
      <c r="K138" t="s">
        <v>326</v>
      </c>
      <c r="L138" t="s">
        <v>5761</v>
      </c>
      <c r="M138">
        <v>617.52700000000004</v>
      </c>
      <c r="N138" t="s">
        <v>5795</v>
      </c>
      <c r="O138" t="s">
        <v>5757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6593</v>
      </c>
      <c r="AF138" t="s">
        <v>6037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5959</v>
      </c>
      <c r="D139" t="s">
        <v>6015</v>
      </c>
      <c r="E139" t="s">
        <v>6014</v>
      </c>
      <c r="F139" t="s">
        <v>5766</v>
      </c>
      <c r="G139" t="s">
        <v>6036</v>
      </c>
      <c r="H139">
        <v>16.399999999999999</v>
      </c>
      <c r="I139" t="s">
        <v>6035</v>
      </c>
      <c r="J139">
        <v>7.6050000000000004</v>
      </c>
      <c r="K139" t="s">
        <v>326</v>
      </c>
      <c r="L139" t="s">
        <v>5819</v>
      </c>
      <c r="M139">
        <v>574.65</v>
      </c>
      <c r="N139" t="s">
        <v>5762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6632</v>
      </c>
      <c r="AF139" t="s">
        <v>6035</v>
      </c>
    </row>
    <row r="140" spans="1:32" x14ac:dyDescent="0.3">
      <c r="A140" t="str">
        <f t="shared" si="12"/>
        <v>Wells &amp; Wade</v>
      </c>
      <c r="B140">
        <v>406</v>
      </c>
      <c r="C140" t="s">
        <v>5959</v>
      </c>
      <c r="D140" t="s">
        <v>6015</v>
      </c>
      <c r="E140" t="s">
        <v>6014</v>
      </c>
      <c r="F140" t="s">
        <v>6030</v>
      </c>
      <c r="G140" t="s">
        <v>6029</v>
      </c>
      <c r="H140">
        <v>10</v>
      </c>
      <c r="I140" t="s">
        <v>6034</v>
      </c>
      <c r="J140">
        <v>9.2140000000000004</v>
      </c>
      <c r="K140" t="s">
        <v>326</v>
      </c>
      <c r="L140" t="s">
        <v>6032</v>
      </c>
      <c r="M140">
        <v>318.42</v>
      </c>
      <c r="N140" t="s">
        <v>5729</v>
      </c>
      <c r="O140" t="s">
        <v>6031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6593</v>
      </c>
      <c r="AF140" t="s">
        <v>6034</v>
      </c>
    </row>
    <row r="141" spans="1:32" x14ac:dyDescent="0.3">
      <c r="A141" t="str">
        <f t="shared" si="12"/>
        <v>Wells &amp; Wade</v>
      </c>
      <c r="B141">
        <v>406</v>
      </c>
      <c r="C141" t="s">
        <v>5959</v>
      </c>
      <c r="D141" t="s">
        <v>6015</v>
      </c>
      <c r="E141" t="s">
        <v>6014</v>
      </c>
      <c r="F141" t="s">
        <v>6030</v>
      </c>
      <c r="G141" t="s">
        <v>6029</v>
      </c>
      <c r="H141">
        <v>10</v>
      </c>
      <c r="I141" t="s">
        <v>6033</v>
      </c>
      <c r="J141">
        <v>9.2140000000000004</v>
      </c>
      <c r="K141" t="s">
        <v>326</v>
      </c>
      <c r="L141" t="s">
        <v>6032</v>
      </c>
      <c r="M141">
        <v>284.08699999999999</v>
      </c>
      <c r="N141" t="s">
        <v>5729</v>
      </c>
      <c r="O141" t="s">
        <v>6031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6593</v>
      </c>
      <c r="AF141" t="s">
        <v>6033</v>
      </c>
    </row>
    <row r="142" spans="1:32" x14ac:dyDescent="0.3">
      <c r="A142" t="str">
        <f t="shared" si="12"/>
        <v>Alert Alarm Company</v>
      </c>
      <c r="B142">
        <v>406</v>
      </c>
      <c r="C142" t="s">
        <v>5959</v>
      </c>
      <c r="D142" t="s">
        <v>6015</v>
      </c>
      <c r="E142" t="s">
        <v>6014</v>
      </c>
      <c r="F142" t="s">
        <v>6030</v>
      </c>
      <c r="G142" t="s">
        <v>6029</v>
      </c>
      <c r="H142">
        <v>10</v>
      </c>
      <c r="I142" t="s">
        <v>6028</v>
      </c>
      <c r="J142">
        <v>4.66</v>
      </c>
      <c r="K142" t="s">
        <v>326</v>
      </c>
      <c r="L142" t="s">
        <v>5776</v>
      </c>
      <c r="M142">
        <v>160.96700000000001</v>
      </c>
      <c r="N142" t="s">
        <v>5759</v>
      </c>
      <c r="O142" t="s">
        <v>6027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6633</v>
      </c>
      <c r="AF142" t="s">
        <v>6028</v>
      </c>
    </row>
    <row r="143" spans="1:32" x14ac:dyDescent="0.3">
      <c r="A143" t="str">
        <f t="shared" si="12"/>
        <v>Old America Stores</v>
      </c>
      <c r="B143">
        <v>406</v>
      </c>
      <c r="C143" t="s">
        <v>5959</v>
      </c>
      <c r="D143" t="s">
        <v>6015</v>
      </c>
      <c r="E143" t="s">
        <v>6014</v>
      </c>
      <c r="F143" t="s">
        <v>6026</v>
      </c>
      <c r="G143" t="s">
        <v>6025</v>
      </c>
      <c r="H143">
        <v>10.199999999999999</v>
      </c>
      <c r="I143" t="s">
        <v>6024</v>
      </c>
      <c r="J143">
        <v>6</v>
      </c>
      <c r="K143" t="s">
        <v>326</v>
      </c>
      <c r="L143" t="s">
        <v>5792</v>
      </c>
      <c r="M143">
        <v>306.66699999999997</v>
      </c>
      <c r="N143" t="s">
        <v>5724</v>
      </c>
      <c r="O143" t="s">
        <v>6023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6594</v>
      </c>
      <c r="AF143" t="s">
        <v>6024</v>
      </c>
    </row>
    <row r="144" spans="1:32" x14ac:dyDescent="0.3">
      <c r="A144" t="str">
        <f t="shared" si="12"/>
        <v>Wells &amp; Wade</v>
      </c>
      <c r="B144">
        <v>406</v>
      </c>
      <c r="C144" t="s">
        <v>5959</v>
      </c>
      <c r="D144" t="s">
        <v>6015</v>
      </c>
      <c r="E144" t="s">
        <v>6014</v>
      </c>
      <c r="F144" t="s">
        <v>5731</v>
      </c>
      <c r="G144" t="s">
        <v>6019</v>
      </c>
      <c r="H144">
        <v>10.199999999999999</v>
      </c>
      <c r="I144" t="s">
        <v>6022</v>
      </c>
      <c r="J144">
        <v>9.2140000000000004</v>
      </c>
      <c r="K144" t="s">
        <v>326</v>
      </c>
      <c r="L144" t="s">
        <v>6021</v>
      </c>
      <c r="M144">
        <v>530.41999999999996</v>
      </c>
      <c r="N144" t="s">
        <v>5729</v>
      </c>
      <c r="O144" t="s">
        <v>6020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6593</v>
      </c>
      <c r="AF144" t="s">
        <v>6022</v>
      </c>
    </row>
    <row r="145" spans="1:32" x14ac:dyDescent="0.3">
      <c r="A145" t="str">
        <f t="shared" si="12"/>
        <v>Jeans Unlimited</v>
      </c>
      <c r="B145">
        <v>406</v>
      </c>
      <c r="C145" t="s">
        <v>5959</v>
      </c>
      <c r="D145" t="s">
        <v>6015</v>
      </c>
      <c r="E145" t="s">
        <v>6014</v>
      </c>
      <c r="F145" t="s">
        <v>5731</v>
      </c>
      <c r="G145" t="s">
        <v>6019</v>
      </c>
      <c r="H145">
        <v>10.199999999999999</v>
      </c>
      <c r="I145" t="s">
        <v>6018</v>
      </c>
      <c r="J145">
        <v>6.8440000000000003</v>
      </c>
      <c r="K145" t="s">
        <v>326</v>
      </c>
      <c r="L145" t="s">
        <v>6017</v>
      </c>
      <c r="M145">
        <v>303.65300000000002</v>
      </c>
      <c r="N145" t="s">
        <v>5754</v>
      </c>
      <c r="O145" t="s">
        <v>6016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6602</v>
      </c>
      <c r="AF145" t="s">
        <v>6018</v>
      </c>
    </row>
    <row r="146" spans="1:32" x14ac:dyDescent="0.3">
      <c r="A146" t="str">
        <f t="shared" si="12"/>
        <v>Newmark &amp; Lewis</v>
      </c>
      <c r="B146">
        <v>406</v>
      </c>
      <c r="C146" t="s">
        <v>5959</v>
      </c>
      <c r="D146" t="s">
        <v>6015</v>
      </c>
      <c r="E146" t="s">
        <v>6014</v>
      </c>
      <c r="F146" t="s">
        <v>5794</v>
      </c>
      <c r="G146" t="s">
        <v>5956</v>
      </c>
      <c r="H146">
        <v>10.199999999999999</v>
      </c>
      <c r="I146" t="s">
        <v>6013</v>
      </c>
      <c r="J146">
        <v>10.106999999999999</v>
      </c>
      <c r="K146" t="s">
        <v>326</v>
      </c>
      <c r="L146" t="s">
        <v>5720</v>
      </c>
      <c r="M146">
        <v>438.29300000000001</v>
      </c>
      <c r="N146" t="s">
        <v>6012</v>
      </c>
      <c r="O146" t="s">
        <v>6011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6600</v>
      </c>
      <c r="AF146" t="s">
        <v>6013</v>
      </c>
    </row>
    <row r="147" spans="1:32" x14ac:dyDescent="0.3">
      <c r="A147" t="str">
        <f t="shared" si="12"/>
        <v>Little Tavern</v>
      </c>
      <c r="B147">
        <v>406</v>
      </c>
      <c r="C147" t="s">
        <v>5959</v>
      </c>
      <c r="D147" t="s">
        <v>5983</v>
      </c>
      <c r="E147" t="s">
        <v>5982</v>
      </c>
      <c r="F147" t="s">
        <v>6006</v>
      </c>
      <c r="G147" t="s">
        <v>6005</v>
      </c>
      <c r="H147">
        <v>9.1999999999999993</v>
      </c>
      <c r="I147" t="s">
        <v>6010</v>
      </c>
      <c r="J147">
        <v>5.5010000000000003</v>
      </c>
      <c r="K147" t="s">
        <v>326</v>
      </c>
      <c r="L147" t="s">
        <v>6009</v>
      </c>
      <c r="M147">
        <v>166.363</v>
      </c>
      <c r="N147" t="s">
        <v>6008</v>
      </c>
      <c r="O147" t="s">
        <v>6007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6634</v>
      </c>
      <c r="AF147" t="s">
        <v>6010</v>
      </c>
    </row>
    <row r="148" spans="1:32" x14ac:dyDescent="0.3">
      <c r="A148" t="str">
        <f t="shared" si="12"/>
        <v>Little Tavern</v>
      </c>
      <c r="B148">
        <v>406</v>
      </c>
      <c r="C148" t="s">
        <v>5959</v>
      </c>
      <c r="D148" t="s">
        <v>5983</v>
      </c>
      <c r="E148" t="s">
        <v>5982</v>
      </c>
      <c r="F148" t="s">
        <v>6006</v>
      </c>
      <c r="G148" t="s">
        <v>6005</v>
      </c>
      <c r="H148">
        <v>9.1999999999999993</v>
      </c>
      <c r="I148" t="s">
        <v>6004</v>
      </c>
      <c r="J148">
        <v>5</v>
      </c>
      <c r="K148" t="s">
        <v>326</v>
      </c>
      <c r="L148" t="s">
        <v>6003</v>
      </c>
      <c r="M148">
        <v>151.667</v>
      </c>
      <c r="N148" t="s">
        <v>6002</v>
      </c>
      <c r="O148" t="s">
        <v>6001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6634</v>
      </c>
      <c r="AF148" t="s">
        <v>6004</v>
      </c>
    </row>
    <row r="149" spans="1:32" x14ac:dyDescent="0.3">
      <c r="A149" t="str">
        <f t="shared" si="12"/>
        <v>Museum Company</v>
      </c>
      <c r="B149">
        <v>406</v>
      </c>
      <c r="C149" t="s">
        <v>5959</v>
      </c>
      <c r="D149" t="s">
        <v>5983</v>
      </c>
      <c r="E149" t="s">
        <v>5982</v>
      </c>
      <c r="F149" t="s">
        <v>6000</v>
      </c>
      <c r="G149" t="s">
        <v>5999</v>
      </c>
      <c r="H149">
        <v>2.5</v>
      </c>
      <c r="I149" t="s">
        <v>5998</v>
      </c>
      <c r="J149">
        <v>6.1319999999999997</v>
      </c>
      <c r="K149" t="s">
        <v>326</v>
      </c>
      <c r="L149" t="s">
        <v>5997</v>
      </c>
      <c r="M149">
        <v>223.46</v>
      </c>
      <c r="N149" t="s">
        <v>5996</v>
      </c>
      <c r="O149" t="s">
        <v>5995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6635</v>
      </c>
      <c r="AF149" t="s">
        <v>5998</v>
      </c>
    </row>
    <row r="150" spans="1:32" x14ac:dyDescent="0.3">
      <c r="A150" t="str">
        <f t="shared" si="12"/>
        <v>Cardinal Stores</v>
      </c>
      <c r="B150">
        <v>406</v>
      </c>
      <c r="C150" t="s">
        <v>5959</v>
      </c>
      <c r="D150" t="s">
        <v>5983</v>
      </c>
      <c r="E150" t="s">
        <v>5982</v>
      </c>
      <c r="F150" t="s">
        <v>5698</v>
      </c>
      <c r="G150" t="s">
        <v>5994</v>
      </c>
      <c r="H150">
        <v>16.100000000000001</v>
      </c>
      <c r="I150" t="s">
        <v>5993</v>
      </c>
      <c r="J150">
        <v>25</v>
      </c>
      <c r="K150" t="s">
        <v>326</v>
      </c>
      <c r="L150" t="s">
        <v>5706</v>
      </c>
      <c r="M150">
        <v>1500</v>
      </c>
      <c r="N150" t="s">
        <v>5745</v>
      </c>
      <c r="O150" t="s">
        <v>5930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6636</v>
      </c>
      <c r="AF150" t="s">
        <v>5993</v>
      </c>
    </row>
    <row r="151" spans="1:32" x14ac:dyDescent="0.3">
      <c r="A151" t="str">
        <f t="shared" si="12"/>
        <v>Warehouse Club Inc.</v>
      </c>
      <c r="B151">
        <v>406</v>
      </c>
      <c r="C151" t="s">
        <v>5959</v>
      </c>
      <c r="D151" t="s">
        <v>5983</v>
      </c>
      <c r="E151" t="s">
        <v>5982</v>
      </c>
      <c r="F151" t="s">
        <v>5737</v>
      </c>
      <c r="G151" t="s">
        <v>5601</v>
      </c>
      <c r="H151">
        <v>16.3</v>
      </c>
      <c r="I151" t="s">
        <v>5992</v>
      </c>
      <c r="J151">
        <v>7.0739999999999998</v>
      </c>
      <c r="K151" t="s">
        <v>326</v>
      </c>
      <c r="L151" t="s">
        <v>5801</v>
      </c>
      <c r="M151">
        <v>273.887</v>
      </c>
      <c r="N151" t="s">
        <v>5991</v>
      </c>
      <c r="O151" t="s">
        <v>5990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6637</v>
      </c>
      <c r="AF151" t="s">
        <v>5992</v>
      </c>
    </row>
    <row r="152" spans="1:32" x14ac:dyDescent="0.3">
      <c r="A152" t="str">
        <f t="shared" si="12"/>
        <v>Sandy's</v>
      </c>
      <c r="B152">
        <v>406</v>
      </c>
      <c r="C152" t="s">
        <v>5959</v>
      </c>
      <c r="D152" t="s">
        <v>5983</v>
      </c>
      <c r="E152" t="s">
        <v>5982</v>
      </c>
      <c r="F152" t="s">
        <v>5981</v>
      </c>
      <c r="G152" t="s">
        <v>5980</v>
      </c>
      <c r="H152">
        <v>16.100000000000001</v>
      </c>
      <c r="I152" t="s">
        <v>5989</v>
      </c>
      <c r="J152">
        <v>3.238</v>
      </c>
      <c r="K152" t="s">
        <v>326</v>
      </c>
      <c r="L152" t="s">
        <v>5820</v>
      </c>
      <c r="M152">
        <v>254.53</v>
      </c>
      <c r="N152" t="s">
        <v>5739</v>
      </c>
      <c r="O152" t="s">
        <v>5741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6638</v>
      </c>
      <c r="AF152" t="s">
        <v>5989</v>
      </c>
    </row>
    <row r="153" spans="1:32" x14ac:dyDescent="0.3">
      <c r="A153" t="str">
        <f t="shared" si="12"/>
        <v>Sandy's</v>
      </c>
      <c r="B153">
        <v>406</v>
      </c>
      <c r="C153" t="s">
        <v>5959</v>
      </c>
      <c r="D153" t="s">
        <v>5983</v>
      </c>
      <c r="E153" t="s">
        <v>5982</v>
      </c>
      <c r="F153" t="s">
        <v>5981</v>
      </c>
      <c r="G153" t="s">
        <v>5980</v>
      </c>
      <c r="H153">
        <v>16.100000000000001</v>
      </c>
      <c r="I153" t="s">
        <v>5988</v>
      </c>
      <c r="J153">
        <v>3.238</v>
      </c>
      <c r="K153" t="s">
        <v>326</v>
      </c>
      <c r="L153" t="s">
        <v>5820</v>
      </c>
      <c r="M153">
        <v>257.697</v>
      </c>
      <c r="N153" t="s">
        <v>5700</v>
      </c>
      <c r="O153" t="s">
        <v>5741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6638</v>
      </c>
      <c r="AF153" t="s">
        <v>5988</v>
      </c>
    </row>
    <row r="154" spans="1:32" x14ac:dyDescent="0.3">
      <c r="A154" t="str">
        <f t="shared" si="12"/>
        <v>Sandy's</v>
      </c>
      <c r="B154">
        <v>406</v>
      </c>
      <c r="C154" t="s">
        <v>5959</v>
      </c>
      <c r="D154" t="s">
        <v>5983</v>
      </c>
      <c r="E154" t="s">
        <v>5982</v>
      </c>
      <c r="F154" t="s">
        <v>5981</v>
      </c>
      <c r="G154" t="s">
        <v>5980</v>
      </c>
      <c r="H154">
        <v>16.100000000000001</v>
      </c>
      <c r="I154" t="s">
        <v>5987</v>
      </c>
      <c r="J154">
        <v>3.238</v>
      </c>
      <c r="K154" t="s">
        <v>326</v>
      </c>
      <c r="L154" t="s">
        <v>5820</v>
      </c>
      <c r="M154">
        <v>256.02999999999997</v>
      </c>
      <c r="N154" t="s">
        <v>5714</v>
      </c>
      <c r="O154" t="s">
        <v>5741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6638</v>
      </c>
      <c r="AF154" t="s">
        <v>5987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5959</v>
      </c>
      <c r="D155" t="s">
        <v>5983</v>
      </c>
      <c r="E155" t="s">
        <v>5982</v>
      </c>
      <c r="F155" t="s">
        <v>5981</v>
      </c>
      <c r="G155" t="s">
        <v>5980</v>
      </c>
      <c r="H155">
        <v>16.100000000000001</v>
      </c>
      <c r="I155" t="s">
        <v>5986</v>
      </c>
      <c r="J155">
        <v>3.238</v>
      </c>
      <c r="K155" t="s">
        <v>326</v>
      </c>
      <c r="L155" t="s">
        <v>5820</v>
      </c>
      <c r="M155">
        <v>258.447</v>
      </c>
      <c r="N155" t="s">
        <v>5985</v>
      </c>
      <c r="O155" t="s">
        <v>5984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6639</v>
      </c>
      <c r="AF155" t="s">
        <v>5986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5959</v>
      </c>
      <c r="D156" t="s">
        <v>5983</v>
      </c>
      <c r="E156" t="s">
        <v>5982</v>
      </c>
      <c r="F156" t="s">
        <v>5981</v>
      </c>
      <c r="G156" t="s">
        <v>5980</v>
      </c>
      <c r="H156">
        <v>16.100000000000001</v>
      </c>
      <c r="I156" t="s">
        <v>5979</v>
      </c>
      <c r="J156">
        <v>3.238</v>
      </c>
      <c r="K156" t="s">
        <v>326</v>
      </c>
      <c r="L156" t="s">
        <v>5820</v>
      </c>
      <c r="M156">
        <v>259.863</v>
      </c>
      <c r="N156" t="s">
        <v>5745</v>
      </c>
      <c r="O156" t="s">
        <v>5741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6639</v>
      </c>
      <c r="AF156" t="s">
        <v>5979</v>
      </c>
    </row>
    <row r="157" spans="1:32" x14ac:dyDescent="0.3">
      <c r="A157" t="str">
        <f t="shared" si="12"/>
        <v>Service Merchandise</v>
      </c>
      <c r="B157">
        <v>406</v>
      </c>
      <c r="C157" t="s">
        <v>5959</v>
      </c>
      <c r="D157" t="s">
        <v>5958</v>
      </c>
      <c r="E157" t="s">
        <v>5957</v>
      </c>
      <c r="F157" t="s">
        <v>5717</v>
      </c>
      <c r="G157" t="s">
        <v>5976</v>
      </c>
      <c r="H157">
        <v>15.1</v>
      </c>
      <c r="I157" t="s">
        <v>5978</v>
      </c>
      <c r="J157">
        <v>23</v>
      </c>
      <c r="K157" t="s">
        <v>326</v>
      </c>
      <c r="L157" t="s">
        <v>5778</v>
      </c>
      <c r="M157">
        <v>708.66700000000003</v>
      </c>
      <c r="N157" t="s">
        <v>5736</v>
      </c>
      <c r="O157" t="s">
        <v>5977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6640</v>
      </c>
      <c r="AF157" t="s">
        <v>5978</v>
      </c>
    </row>
    <row r="158" spans="1:32" x14ac:dyDescent="0.3">
      <c r="A158" t="str">
        <f t="shared" si="12"/>
        <v>Service Merchandise</v>
      </c>
      <c r="B158">
        <v>406</v>
      </c>
      <c r="C158" t="s">
        <v>5959</v>
      </c>
      <c r="D158" t="s">
        <v>5958</v>
      </c>
      <c r="E158" t="s">
        <v>5957</v>
      </c>
      <c r="F158" t="s">
        <v>5717</v>
      </c>
      <c r="G158" t="s">
        <v>5976</v>
      </c>
      <c r="H158">
        <v>15.1</v>
      </c>
      <c r="I158" t="s">
        <v>5975</v>
      </c>
      <c r="J158">
        <v>23</v>
      </c>
      <c r="K158" t="s">
        <v>326</v>
      </c>
      <c r="L158" t="s">
        <v>5706</v>
      </c>
      <c r="M158">
        <v>702</v>
      </c>
      <c r="N158" t="s">
        <v>5724</v>
      </c>
      <c r="O158" t="s">
        <v>5756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6640</v>
      </c>
      <c r="AF158" t="s">
        <v>5975</v>
      </c>
    </row>
    <row r="159" spans="1:32" x14ac:dyDescent="0.3">
      <c r="A159" t="str">
        <f t="shared" si="12"/>
        <v>Service Merchandise</v>
      </c>
      <c r="B159">
        <v>406</v>
      </c>
      <c r="C159" t="s">
        <v>5959</v>
      </c>
      <c r="D159" t="s">
        <v>5958</v>
      </c>
      <c r="E159" t="s">
        <v>5957</v>
      </c>
      <c r="F159" t="s">
        <v>5735</v>
      </c>
      <c r="G159" t="s">
        <v>5974</v>
      </c>
      <c r="H159">
        <v>15.1</v>
      </c>
      <c r="I159" t="s">
        <v>5973</v>
      </c>
      <c r="J159">
        <v>16</v>
      </c>
      <c r="K159" t="s">
        <v>326</v>
      </c>
      <c r="L159" t="s">
        <v>5706</v>
      </c>
      <c r="M159">
        <v>482.33300000000003</v>
      </c>
      <c r="N159" t="s">
        <v>5724</v>
      </c>
      <c r="O159" t="s">
        <v>5972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6640</v>
      </c>
      <c r="AF159" t="s">
        <v>5973</v>
      </c>
    </row>
    <row r="160" spans="1:32" x14ac:dyDescent="0.3">
      <c r="A160" t="str">
        <f t="shared" si="12"/>
        <v>Service Merchandise</v>
      </c>
      <c r="B160">
        <v>406</v>
      </c>
      <c r="C160" t="s">
        <v>5959</v>
      </c>
      <c r="D160" t="s">
        <v>5958</v>
      </c>
      <c r="E160" t="s">
        <v>5957</v>
      </c>
      <c r="F160" t="s">
        <v>5971</v>
      </c>
      <c r="G160" t="s">
        <v>5970</v>
      </c>
      <c r="H160">
        <v>15.5</v>
      </c>
      <c r="I160" t="s">
        <v>5969</v>
      </c>
      <c r="J160">
        <v>2.5510000000000002</v>
      </c>
      <c r="K160" t="s">
        <v>326</v>
      </c>
      <c r="L160" t="s">
        <v>5968</v>
      </c>
      <c r="M160">
        <v>80.53</v>
      </c>
      <c r="N160" t="s">
        <v>5967</v>
      </c>
      <c r="O160" t="s">
        <v>5966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6640</v>
      </c>
      <c r="AF160" t="s">
        <v>5969</v>
      </c>
    </row>
    <row r="161" spans="1:32" x14ac:dyDescent="0.3">
      <c r="A161" t="str">
        <f t="shared" si="12"/>
        <v>Mr. AG's</v>
      </c>
      <c r="B161">
        <v>406</v>
      </c>
      <c r="C161" t="s">
        <v>5959</v>
      </c>
      <c r="D161" t="s">
        <v>5958</v>
      </c>
      <c r="E161" t="s">
        <v>5957</v>
      </c>
      <c r="F161" t="s">
        <v>5965</v>
      </c>
      <c r="G161" t="s">
        <v>5964</v>
      </c>
      <c r="H161">
        <v>16</v>
      </c>
      <c r="I161" t="s">
        <v>5963</v>
      </c>
      <c r="J161">
        <v>5.5149999999999997</v>
      </c>
      <c r="K161" t="s">
        <v>326</v>
      </c>
      <c r="L161" t="s">
        <v>5962</v>
      </c>
      <c r="M161">
        <v>166.78299999999999</v>
      </c>
      <c r="N161" t="s">
        <v>5961</v>
      </c>
      <c r="O161" t="s">
        <v>5960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6641</v>
      </c>
      <c r="AF161" t="s">
        <v>5963</v>
      </c>
    </row>
    <row r="162" spans="1:32" x14ac:dyDescent="0.3">
      <c r="A162" t="str">
        <f t="shared" si="12"/>
        <v>Destiny Realty</v>
      </c>
      <c r="B162">
        <v>406</v>
      </c>
      <c r="C162" t="s">
        <v>5959</v>
      </c>
      <c r="D162" t="s">
        <v>5958</v>
      </c>
      <c r="E162" t="s">
        <v>5957</v>
      </c>
      <c r="F162" t="s">
        <v>5794</v>
      </c>
      <c r="G162" t="s">
        <v>5956</v>
      </c>
      <c r="H162">
        <v>10.199999999999999</v>
      </c>
      <c r="I162" t="s">
        <v>5955</v>
      </c>
      <c r="J162">
        <v>12</v>
      </c>
      <c r="K162" t="s">
        <v>326</v>
      </c>
      <c r="L162" t="s">
        <v>5800</v>
      </c>
      <c r="M162">
        <v>390</v>
      </c>
      <c r="N162" t="s">
        <v>5783</v>
      </c>
      <c r="O162" t="s">
        <v>5954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6642</v>
      </c>
      <c r="AF162" t="s">
        <v>5955</v>
      </c>
    </row>
    <row r="163" spans="1:32" x14ac:dyDescent="0.3">
      <c r="A163" t="str">
        <f t="shared" si="12"/>
        <v>Kinney Shoes</v>
      </c>
      <c r="B163">
        <v>407</v>
      </c>
      <c r="C163" t="s">
        <v>5944</v>
      </c>
      <c r="D163" t="s">
        <v>5743</v>
      </c>
      <c r="E163" t="s">
        <v>5953</v>
      </c>
      <c r="F163" t="s">
        <v>5708</v>
      </c>
      <c r="G163" t="s">
        <v>5952</v>
      </c>
      <c r="H163">
        <v>7.1</v>
      </c>
      <c r="I163" t="s">
        <v>5951</v>
      </c>
      <c r="J163">
        <v>4.1529999999999996</v>
      </c>
      <c r="K163" t="s">
        <v>326</v>
      </c>
      <c r="L163" t="s">
        <v>5950</v>
      </c>
      <c r="M163">
        <v>129.923</v>
      </c>
      <c r="N163" t="s">
        <v>5754</v>
      </c>
      <c r="O163" t="s">
        <v>5949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6643</v>
      </c>
      <c r="AF163" t="s">
        <v>5951</v>
      </c>
    </row>
    <row r="164" spans="1:32" x14ac:dyDescent="0.3">
      <c r="A164" t="str">
        <f t="shared" si="12"/>
        <v>Morrie Mages</v>
      </c>
      <c r="B164">
        <v>407</v>
      </c>
      <c r="C164" t="s">
        <v>5944</v>
      </c>
      <c r="D164" t="s">
        <v>5732</v>
      </c>
      <c r="E164" t="s">
        <v>5948</v>
      </c>
      <c r="F164" t="s">
        <v>5707</v>
      </c>
      <c r="G164" t="s">
        <v>5941</v>
      </c>
      <c r="H164">
        <v>7.1</v>
      </c>
      <c r="I164" t="s">
        <v>5947</v>
      </c>
      <c r="J164">
        <v>9.06</v>
      </c>
      <c r="K164" t="s">
        <v>326</v>
      </c>
      <c r="L164" t="s">
        <v>5946</v>
      </c>
      <c r="M164">
        <v>286.13299999999998</v>
      </c>
      <c r="N164" t="s">
        <v>5736</v>
      </c>
      <c r="O164" t="s">
        <v>5945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6644</v>
      </c>
      <c r="AF164" t="s">
        <v>5947</v>
      </c>
    </row>
    <row r="165" spans="1:32" x14ac:dyDescent="0.3">
      <c r="A165" t="str">
        <f t="shared" si="12"/>
        <v>Universal Design Partners</v>
      </c>
      <c r="B165">
        <v>407</v>
      </c>
      <c r="C165" t="s">
        <v>5944</v>
      </c>
      <c r="D165" t="s">
        <v>5943</v>
      </c>
      <c r="E165" t="s">
        <v>5942</v>
      </c>
      <c r="F165" t="s">
        <v>5707</v>
      </c>
      <c r="G165" t="s">
        <v>5941</v>
      </c>
      <c r="H165">
        <v>7.1</v>
      </c>
      <c r="I165" t="s">
        <v>5940</v>
      </c>
      <c r="J165">
        <v>36</v>
      </c>
      <c r="K165" t="s">
        <v>326</v>
      </c>
      <c r="L165" t="s">
        <v>5706</v>
      </c>
      <c r="M165">
        <v>1085.3330000000001</v>
      </c>
      <c r="N165" t="s">
        <v>5939</v>
      </c>
      <c r="O165" t="s">
        <v>5705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6645</v>
      </c>
      <c r="AF165" t="s">
        <v>5940</v>
      </c>
    </row>
    <row r="166" spans="1:32" x14ac:dyDescent="0.3">
      <c r="A166" t="str">
        <f t="shared" si="12"/>
        <v>The Goose and Duck</v>
      </c>
      <c r="B166">
        <v>408</v>
      </c>
      <c r="C166" t="s">
        <v>5823</v>
      </c>
      <c r="D166" t="s">
        <v>5893</v>
      </c>
      <c r="E166" t="s">
        <v>5892</v>
      </c>
      <c r="F166" t="s">
        <v>5938</v>
      </c>
      <c r="G166" t="s">
        <v>5937</v>
      </c>
      <c r="H166">
        <v>16.8</v>
      </c>
      <c r="I166" t="s">
        <v>5936</v>
      </c>
      <c r="J166">
        <v>10.137</v>
      </c>
      <c r="K166" t="s">
        <v>326</v>
      </c>
      <c r="L166" t="s">
        <v>5901</v>
      </c>
      <c r="M166">
        <v>356.27699999999999</v>
      </c>
      <c r="N166" t="s">
        <v>5935</v>
      </c>
      <c r="O166" t="s">
        <v>5934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6646</v>
      </c>
      <c r="AF166" t="s">
        <v>5936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5823</v>
      </c>
      <c r="D167" t="s">
        <v>5893</v>
      </c>
      <c r="E167" t="s">
        <v>5892</v>
      </c>
      <c r="F167" t="s">
        <v>5835</v>
      </c>
      <c r="G167" t="s">
        <v>5834</v>
      </c>
      <c r="H167">
        <v>16.100000000000001</v>
      </c>
      <c r="I167" t="s">
        <v>5933</v>
      </c>
      <c r="J167">
        <v>6.827</v>
      </c>
      <c r="K167" t="s">
        <v>326</v>
      </c>
      <c r="L167" t="s">
        <v>5909</v>
      </c>
      <c r="M167">
        <v>431.28699999999998</v>
      </c>
      <c r="N167" t="s">
        <v>5932</v>
      </c>
      <c r="O167" t="s">
        <v>5699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6647</v>
      </c>
      <c r="AF167" t="s">
        <v>5933</v>
      </c>
    </row>
    <row r="168" spans="1:32" x14ac:dyDescent="0.3">
      <c r="A168" t="str">
        <f t="shared" si="12"/>
        <v>The Goose and Duck</v>
      </c>
      <c r="B168">
        <v>408</v>
      </c>
      <c r="C168" t="s">
        <v>5823</v>
      </c>
      <c r="D168" t="s">
        <v>5893</v>
      </c>
      <c r="E168" t="s">
        <v>5892</v>
      </c>
      <c r="F168" t="s">
        <v>5835</v>
      </c>
      <c r="G168" t="s">
        <v>5834</v>
      </c>
      <c r="H168">
        <v>16.100000000000001</v>
      </c>
      <c r="I168" t="s">
        <v>5931</v>
      </c>
      <c r="J168">
        <v>11.058</v>
      </c>
      <c r="K168" t="s">
        <v>326</v>
      </c>
      <c r="L168" t="s">
        <v>5760</v>
      </c>
      <c r="M168">
        <v>695.31299999999999</v>
      </c>
      <c r="N168" t="s">
        <v>5745</v>
      </c>
      <c r="O168" t="s">
        <v>5930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6646</v>
      </c>
      <c r="AF168" t="s">
        <v>5931</v>
      </c>
    </row>
    <row r="169" spans="1:32" x14ac:dyDescent="0.3">
      <c r="A169" t="str">
        <f t="shared" si="12"/>
        <v>Specialty Restaurant Group</v>
      </c>
      <c r="B169">
        <v>408</v>
      </c>
      <c r="C169" t="s">
        <v>5823</v>
      </c>
      <c r="D169" t="s">
        <v>5893</v>
      </c>
      <c r="E169" t="s">
        <v>5892</v>
      </c>
      <c r="F169" t="s">
        <v>5835</v>
      </c>
      <c r="G169" t="s">
        <v>5834</v>
      </c>
      <c r="H169">
        <v>16.100000000000001</v>
      </c>
      <c r="I169" t="s">
        <v>5929</v>
      </c>
      <c r="J169">
        <v>4.9560000000000004</v>
      </c>
      <c r="K169" t="s">
        <v>326</v>
      </c>
      <c r="L169" t="s">
        <v>5928</v>
      </c>
      <c r="M169">
        <v>318.36</v>
      </c>
      <c r="N169" t="s">
        <v>5927</v>
      </c>
      <c r="O169" t="s">
        <v>5699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5696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6648</v>
      </c>
      <c r="AF169" t="s">
        <v>5929</v>
      </c>
    </row>
    <row r="170" spans="1:32" x14ac:dyDescent="0.3">
      <c r="A170" t="str">
        <f t="shared" si="12"/>
        <v>Gamma Gas</v>
      </c>
      <c r="B170">
        <v>408</v>
      </c>
      <c r="C170" t="s">
        <v>5823</v>
      </c>
      <c r="D170" t="s">
        <v>5893</v>
      </c>
      <c r="E170" t="s">
        <v>5892</v>
      </c>
      <c r="F170" t="s">
        <v>5835</v>
      </c>
      <c r="G170" t="s">
        <v>5834</v>
      </c>
      <c r="H170">
        <v>16.100000000000001</v>
      </c>
      <c r="I170" t="s">
        <v>5926</v>
      </c>
      <c r="J170">
        <v>39</v>
      </c>
      <c r="K170" t="s">
        <v>326</v>
      </c>
      <c r="L170" t="s">
        <v>5706</v>
      </c>
      <c r="M170">
        <v>2386.8330000000001</v>
      </c>
      <c r="N170" t="s">
        <v>5712</v>
      </c>
      <c r="O170" t="s">
        <v>5925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6649</v>
      </c>
      <c r="AF170" t="s">
        <v>5926</v>
      </c>
    </row>
    <row r="171" spans="1:32" x14ac:dyDescent="0.3">
      <c r="A171" t="str">
        <f t="shared" si="12"/>
        <v>Kids Mart</v>
      </c>
      <c r="B171">
        <v>408</v>
      </c>
      <c r="C171" t="s">
        <v>5823</v>
      </c>
      <c r="D171" t="s">
        <v>5893</v>
      </c>
      <c r="E171" t="s">
        <v>5892</v>
      </c>
      <c r="F171" t="s">
        <v>5835</v>
      </c>
      <c r="G171" t="s">
        <v>5834</v>
      </c>
      <c r="H171">
        <v>16.100000000000001</v>
      </c>
      <c r="I171" t="s">
        <v>5924</v>
      </c>
      <c r="J171">
        <v>12</v>
      </c>
      <c r="K171" t="s">
        <v>326</v>
      </c>
      <c r="L171" t="s">
        <v>5706</v>
      </c>
      <c r="M171">
        <v>766.66700000000003</v>
      </c>
      <c r="N171" t="s">
        <v>5711</v>
      </c>
      <c r="O171" t="s">
        <v>5703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6650</v>
      </c>
      <c r="AF171" t="s">
        <v>5924</v>
      </c>
    </row>
    <row r="172" spans="1:32" x14ac:dyDescent="0.3">
      <c r="A172" t="str">
        <f t="shared" si="12"/>
        <v>Kids Mart</v>
      </c>
      <c r="B172">
        <v>408</v>
      </c>
      <c r="C172" t="s">
        <v>5823</v>
      </c>
      <c r="D172" t="s">
        <v>5893</v>
      </c>
      <c r="E172" t="s">
        <v>5892</v>
      </c>
      <c r="F172" t="s">
        <v>5835</v>
      </c>
      <c r="G172" t="s">
        <v>5834</v>
      </c>
      <c r="H172">
        <v>16.100000000000001</v>
      </c>
      <c r="I172" t="s">
        <v>5923</v>
      </c>
      <c r="J172">
        <v>5.1589999999999998</v>
      </c>
      <c r="K172" t="s">
        <v>326</v>
      </c>
      <c r="L172" t="s">
        <v>5922</v>
      </c>
      <c r="M172">
        <v>330.87299999999999</v>
      </c>
      <c r="N172" t="s">
        <v>5700</v>
      </c>
      <c r="O172" t="s">
        <v>5699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6650</v>
      </c>
      <c r="AF172" t="s">
        <v>5923</v>
      </c>
    </row>
    <row r="173" spans="1:32" x14ac:dyDescent="0.3">
      <c r="A173" t="str">
        <f t="shared" si="12"/>
        <v>Castle Realty</v>
      </c>
      <c r="B173">
        <v>408</v>
      </c>
      <c r="C173" t="s">
        <v>5823</v>
      </c>
      <c r="D173" t="s">
        <v>5893</v>
      </c>
      <c r="E173" t="s">
        <v>5892</v>
      </c>
      <c r="F173" t="s">
        <v>5835</v>
      </c>
      <c r="G173" t="s">
        <v>5834</v>
      </c>
      <c r="H173">
        <v>16.100000000000001</v>
      </c>
      <c r="I173" t="s">
        <v>5921</v>
      </c>
      <c r="J173">
        <v>20</v>
      </c>
      <c r="K173" t="s">
        <v>326</v>
      </c>
      <c r="L173" t="s">
        <v>5706</v>
      </c>
      <c r="M173">
        <v>1213.33</v>
      </c>
      <c r="N173" t="s">
        <v>5712</v>
      </c>
      <c r="O173" t="s">
        <v>5920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5696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6651</v>
      </c>
      <c r="AF173" t="s">
        <v>5921</v>
      </c>
    </row>
    <row r="174" spans="1:32" x14ac:dyDescent="0.3">
      <c r="A174" t="str">
        <f t="shared" si="12"/>
        <v>Castle Realty</v>
      </c>
      <c r="B174">
        <v>408</v>
      </c>
      <c r="C174" t="s">
        <v>5823</v>
      </c>
      <c r="D174" t="s">
        <v>5893</v>
      </c>
      <c r="E174" t="s">
        <v>5892</v>
      </c>
      <c r="F174" t="s">
        <v>5835</v>
      </c>
      <c r="G174" t="s">
        <v>5834</v>
      </c>
      <c r="H174">
        <v>16.100000000000001</v>
      </c>
      <c r="I174" t="s">
        <v>5919</v>
      </c>
      <c r="J174">
        <v>10.945</v>
      </c>
      <c r="K174" t="s">
        <v>326</v>
      </c>
      <c r="L174" t="s">
        <v>5709</v>
      </c>
      <c r="M174">
        <v>673.36699999999996</v>
      </c>
      <c r="N174" t="s">
        <v>5784</v>
      </c>
      <c r="O174" t="s">
        <v>5713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6651</v>
      </c>
      <c r="AF174" t="s">
        <v>5919</v>
      </c>
    </row>
    <row r="175" spans="1:32" x14ac:dyDescent="0.3">
      <c r="A175" t="str">
        <f t="shared" si="12"/>
        <v>Family Toy</v>
      </c>
      <c r="B175">
        <v>408</v>
      </c>
      <c r="C175" t="s">
        <v>5823</v>
      </c>
      <c r="D175" t="s">
        <v>5893</v>
      </c>
      <c r="E175" t="s">
        <v>5892</v>
      </c>
      <c r="F175" t="s">
        <v>5835</v>
      </c>
      <c r="G175" t="s">
        <v>5834</v>
      </c>
      <c r="H175">
        <v>16.100000000000001</v>
      </c>
      <c r="I175" t="s">
        <v>5918</v>
      </c>
      <c r="J175">
        <v>35</v>
      </c>
      <c r="K175" t="s">
        <v>326</v>
      </c>
      <c r="L175" t="s">
        <v>5706</v>
      </c>
      <c r="M175">
        <v>2131.33</v>
      </c>
      <c r="N175" t="s">
        <v>5700</v>
      </c>
      <c r="O175" t="s">
        <v>5699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6652</v>
      </c>
      <c r="AF175" t="s">
        <v>5918</v>
      </c>
    </row>
    <row r="176" spans="1:32" x14ac:dyDescent="0.3">
      <c r="A176" t="str">
        <f t="shared" si="12"/>
        <v>Fisher Foods</v>
      </c>
      <c r="B176">
        <v>408</v>
      </c>
      <c r="C176" t="s">
        <v>5823</v>
      </c>
      <c r="D176" t="s">
        <v>5893</v>
      </c>
      <c r="E176" t="s">
        <v>5892</v>
      </c>
      <c r="F176" t="s">
        <v>5835</v>
      </c>
      <c r="G176" t="s">
        <v>5834</v>
      </c>
      <c r="H176">
        <v>16.100000000000001</v>
      </c>
      <c r="I176" t="s">
        <v>5917</v>
      </c>
      <c r="J176">
        <v>19</v>
      </c>
      <c r="K176" t="s">
        <v>326</v>
      </c>
      <c r="L176" t="s">
        <v>5706</v>
      </c>
      <c r="M176">
        <v>1171.1669999999999</v>
      </c>
      <c r="N176" t="s">
        <v>5700</v>
      </c>
      <c r="O176" t="s">
        <v>5713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6653</v>
      </c>
      <c r="AF176" t="s">
        <v>5917</v>
      </c>
    </row>
    <row r="177" spans="1:32" x14ac:dyDescent="0.3">
      <c r="A177" t="str">
        <f t="shared" si="12"/>
        <v>The Goose and Duck</v>
      </c>
      <c r="B177">
        <v>408</v>
      </c>
      <c r="C177" t="s">
        <v>5823</v>
      </c>
      <c r="D177" t="s">
        <v>5893</v>
      </c>
      <c r="E177" t="s">
        <v>5892</v>
      </c>
      <c r="F177" t="s">
        <v>5860</v>
      </c>
      <c r="G177" t="s">
        <v>5859</v>
      </c>
      <c r="H177">
        <v>7.1</v>
      </c>
      <c r="I177" t="s">
        <v>5916</v>
      </c>
      <c r="J177">
        <v>12</v>
      </c>
      <c r="K177" t="s">
        <v>326</v>
      </c>
      <c r="L177" t="s">
        <v>5706</v>
      </c>
      <c r="M177">
        <v>424.33300000000003</v>
      </c>
      <c r="N177" t="s">
        <v>5915</v>
      </c>
      <c r="O177" t="s">
        <v>5914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6646</v>
      </c>
      <c r="AF177" t="s">
        <v>5916</v>
      </c>
    </row>
    <row r="178" spans="1:32" x14ac:dyDescent="0.3">
      <c r="A178" t="str">
        <f t="shared" si="12"/>
        <v>Castle Realty</v>
      </c>
      <c r="B178">
        <v>408</v>
      </c>
      <c r="C178" t="s">
        <v>5823</v>
      </c>
      <c r="D178" t="s">
        <v>5893</v>
      </c>
      <c r="E178" t="s">
        <v>5892</v>
      </c>
      <c r="F178" t="s">
        <v>5860</v>
      </c>
      <c r="G178" t="s">
        <v>5859</v>
      </c>
      <c r="H178">
        <v>7.1</v>
      </c>
      <c r="I178" t="s">
        <v>5913</v>
      </c>
      <c r="J178">
        <v>5.9560000000000004</v>
      </c>
      <c r="K178" t="s">
        <v>326</v>
      </c>
      <c r="L178" t="s">
        <v>5912</v>
      </c>
      <c r="M178">
        <v>178.68</v>
      </c>
      <c r="N178" t="s">
        <v>5719</v>
      </c>
      <c r="O178" t="s">
        <v>5911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6651</v>
      </c>
      <c r="AF178" t="s">
        <v>5913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5823</v>
      </c>
      <c r="D179" t="s">
        <v>5893</v>
      </c>
      <c r="E179" t="s">
        <v>5892</v>
      </c>
      <c r="F179" t="s">
        <v>5831</v>
      </c>
      <c r="G179" t="s">
        <v>5830</v>
      </c>
      <c r="H179">
        <v>7.3</v>
      </c>
      <c r="I179" t="s">
        <v>5910</v>
      </c>
      <c r="J179">
        <v>6.827</v>
      </c>
      <c r="K179" t="s">
        <v>326</v>
      </c>
      <c r="L179" t="s">
        <v>5909</v>
      </c>
      <c r="M179">
        <v>204.81</v>
      </c>
      <c r="N179" t="s">
        <v>5719</v>
      </c>
      <c r="O179" t="s">
        <v>5791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6647</v>
      </c>
      <c r="AF179" t="s">
        <v>5910</v>
      </c>
    </row>
    <row r="180" spans="1:32" x14ac:dyDescent="0.3">
      <c r="A180" t="str">
        <f t="shared" si="12"/>
        <v>Castle Realty</v>
      </c>
      <c r="B180">
        <v>408</v>
      </c>
      <c r="C180" t="s">
        <v>5823</v>
      </c>
      <c r="D180" t="s">
        <v>5893</v>
      </c>
      <c r="E180" t="s">
        <v>5892</v>
      </c>
      <c r="F180" t="s">
        <v>5831</v>
      </c>
      <c r="G180" t="s">
        <v>5830</v>
      </c>
      <c r="H180">
        <v>7.3</v>
      </c>
      <c r="I180" t="s">
        <v>5908</v>
      </c>
      <c r="J180">
        <v>10.945</v>
      </c>
      <c r="K180" t="s">
        <v>326</v>
      </c>
      <c r="L180" t="s">
        <v>5709</v>
      </c>
      <c r="M180">
        <v>342.85</v>
      </c>
      <c r="N180" t="s">
        <v>5719</v>
      </c>
      <c r="O180" t="s">
        <v>5822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6651</v>
      </c>
      <c r="AF180" t="s">
        <v>5908</v>
      </c>
    </row>
    <row r="181" spans="1:32" x14ac:dyDescent="0.3">
      <c r="A181" t="str">
        <f t="shared" si="12"/>
        <v>Edwards</v>
      </c>
      <c r="B181">
        <v>408</v>
      </c>
      <c r="C181" t="s">
        <v>5823</v>
      </c>
      <c r="D181" t="s">
        <v>5893</v>
      </c>
      <c r="E181" t="s">
        <v>5892</v>
      </c>
      <c r="F181" t="s">
        <v>5829</v>
      </c>
      <c r="G181" t="s">
        <v>5828</v>
      </c>
      <c r="H181">
        <v>7.3</v>
      </c>
      <c r="I181" t="s">
        <v>5907</v>
      </c>
      <c r="J181">
        <v>7.9669999999999996</v>
      </c>
      <c r="K181" t="s">
        <v>326</v>
      </c>
      <c r="L181" t="s">
        <v>5790</v>
      </c>
      <c r="M181">
        <v>242.01</v>
      </c>
      <c r="N181" t="s">
        <v>5749</v>
      </c>
      <c r="O181" t="s">
        <v>5821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6654</v>
      </c>
      <c r="AF181" t="s">
        <v>5907</v>
      </c>
    </row>
    <row r="182" spans="1:32" x14ac:dyDescent="0.3">
      <c r="A182" t="str">
        <f t="shared" si="12"/>
        <v>The Goose and Duck</v>
      </c>
      <c r="B182">
        <v>408</v>
      </c>
      <c r="C182" t="s">
        <v>5823</v>
      </c>
      <c r="D182" t="s">
        <v>5893</v>
      </c>
      <c r="E182" t="s">
        <v>5892</v>
      </c>
      <c r="F182" t="s">
        <v>5829</v>
      </c>
      <c r="G182" t="s">
        <v>5828</v>
      </c>
      <c r="H182">
        <v>7.3</v>
      </c>
      <c r="I182" t="s">
        <v>5906</v>
      </c>
      <c r="J182">
        <v>10.137</v>
      </c>
      <c r="K182" t="s">
        <v>326</v>
      </c>
      <c r="L182" t="s">
        <v>5901</v>
      </c>
      <c r="M182">
        <v>320.44</v>
      </c>
      <c r="N182" t="s">
        <v>5900</v>
      </c>
      <c r="O182" t="s">
        <v>5905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6646</v>
      </c>
      <c r="AF182" t="s">
        <v>5906</v>
      </c>
    </row>
    <row r="183" spans="1:32" x14ac:dyDescent="0.3">
      <c r="A183" t="str">
        <f t="shared" si="12"/>
        <v>The Goose and Duck</v>
      </c>
      <c r="B183">
        <v>408</v>
      </c>
      <c r="C183" t="s">
        <v>5823</v>
      </c>
      <c r="D183" t="s">
        <v>5893</v>
      </c>
      <c r="E183" t="s">
        <v>5892</v>
      </c>
      <c r="F183" t="s">
        <v>5843</v>
      </c>
      <c r="G183" t="s">
        <v>5842</v>
      </c>
      <c r="H183">
        <v>7.3</v>
      </c>
      <c r="I183" t="s">
        <v>5904</v>
      </c>
      <c r="J183">
        <v>7.077</v>
      </c>
      <c r="K183" t="s">
        <v>326</v>
      </c>
      <c r="L183" t="s">
        <v>5808</v>
      </c>
      <c r="M183">
        <v>225.64</v>
      </c>
      <c r="N183" t="s">
        <v>5773</v>
      </c>
      <c r="O183" t="s">
        <v>5903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6646</v>
      </c>
      <c r="AF183" t="s">
        <v>5904</v>
      </c>
    </row>
    <row r="184" spans="1:32" x14ac:dyDescent="0.3">
      <c r="A184" t="str">
        <f t="shared" si="12"/>
        <v>The Goose and Duck</v>
      </c>
      <c r="B184">
        <v>408</v>
      </c>
      <c r="C184" t="s">
        <v>5823</v>
      </c>
      <c r="D184" t="s">
        <v>5893</v>
      </c>
      <c r="E184" t="s">
        <v>5892</v>
      </c>
      <c r="F184" t="s">
        <v>5841</v>
      </c>
      <c r="G184" t="s">
        <v>5840</v>
      </c>
      <c r="H184">
        <v>7.3</v>
      </c>
      <c r="I184" t="s">
        <v>5902</v>
      </c>
      <c r="J184">
        <v>10.137</v>
      </c>
      <c r="K184" t="s">
        <v>326</v>
      </c>
      <c r="L184" t="s">
        <v>5901</v>
      </c>
      <c r="M184">
        <v>340.77699999999999</v>
      </c>
      <c r="N184" t="s">
        <v>5900</v>
      </c>
      <c r="O184" t="s">
        <v>5899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6646</v>
      </c>
      <c r="AF184" t="s">
        <v>5902</v>
      </c>
    </row>
    <row r="185" spans="1:32" x14ac:dyDescent="0.3">
      <c r="A185" t="str">
        <f t="shared" si="12"/>
        <v>Family Toy</v>
      </c>
      <c r="B185">
        <v>408</v>
      </c>
      <c r="C185" t="s">
        <v>5823</v>
      </c>
      <c r="D185" t="s">
        <v>5893</v>
      </c>
      <c r="E185" t="s">
        <v>5892</v>
      </c>
      <c r="F185" t="s">
        <v>5827</v>
      </c>
      <c r="G185" t="s">
        <v>5826</v>
      </c>
      <c r="H185">
        <v>13.3</v>
      </c>
      <c r="I185" t="s">
        <v>5898</v>
      </c>
      <c r="J185">
        <v>37</v>
      </c>
      <c r="K185" t="s">
        <v>326</v>
      </c>
      <c r="L185" t="s">
        <v>5706</v>
      </c>
      <c r="M185">
        <v>1157</v>
      </c>
      <c r="N185" t="s">
        <v>5770</v>
      </c>
      <c r="O185" t="s">
        <v>5897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6652</v>
      </c>
      <c r="AF185" t="s">
        <v>5898</v>
      </c>
    </row>
    <row r="186" spans="1:32" x14ac:dyDescent="0.3">
      <c r="A186" t="str">
        <f t="shared" si="12"/>
        <v>National Record Mart</v>
      </c>
      <c r="B186">
        <v>408</v>
      </c>
      <c r="C186" t="s">
        <v>5823</v>
      </c>
      <c r="D186" t="s">
        <v>5893</v>
      </c>
      <c r="E186" t="s">
        <v>5892</v>
      </c>
      <c r="F186" t="s">
        <v>5825</v>
      </c>
      <c r="G186" t="s">
        <v>5824</v>
      </c>
      <c r="H186">
        <v>15.1</v>
      </c>
      <c r="I186" t="s">
        <v>5896</v>
      </c>
      <c r="J186">
        <v>12</v>
      </c>
      <c r="K186" t="s">
        <v>326</v>
      </c>
      <c r="L186" t="s">
        <v>5706</v>
      </c>
      <c r="M186">
        <v>391.16699999999997</v>
      </c>
      <c r="N186" t="s">
        <v>5895</v>
      </c>
      <c r="O186" t="s">
        <v>5894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6655</v>
      </c>
      <c r="AF186" t="s">
        <v>5896</v>
      </c>
    </row>
    <row r="187" spans="1:32" x14ac:dyDescent="0.3">
      <c r="A187" t="str">
        <f t="shared" si="12"/>
        <v>Pantry Pride</v>
      </c>
      <c r="B187">
        <v>408</v>
      </c>
      <c r="C187" t="s">
        <v>5823</v>
      </c>
      <c r="D187" t="s">
        <v>5893</v>
      </c>
      <c r="E187" t="s">
        <v>5892</v>
      </c>
      <c r="F187" t="s">
        <v>5891</v>
      </c>
      <c r="G187" t="s">
        <v>5890</v>
      </c>
      <c r="H187">
        <v>15.1</v>
      </c>
      <c r="I187" t="s">
        <v>5889</v>
      </c>
      <c r="J187">
        <v>0.69899999999999995</v>
      </c>
      <c r="K187" t="s">
        <v>326</v>
      </c>
      <c r="L187" t="s">
        <v>5715</v>
      </c>
      <c r="M187">
        <v>20.97</v>
      </c>
      <c r="N187" t="s">
        <v>5888</v>
      </c>
      <c r="O187" t="s">
        <v>5887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6656</v>
      </c>
      <c r="AF187" t="s">
        <v>5889</v>
      </c>
    </row>
    <row r="188" spans="1:32" x14ac:dyDescent="0.3">
      <c r="A188" t="str">
        <f t="shared" si="12"/>
        <v>Company</v>
      </c>
      <c r="B188">
        <v>408</v>
      </c>
      <c r="C188" t="s">
        <v>5823</v>
      </c>
      <c r="D188" t="s">
        <v>5838</v>
      </c>
      <c r="E188" t="s">
        <v>5837</v>
      </c>
      <c r="F188" t="s">
        <v>5798</v>
      </c>
      <c r="G188" t="s">
        <v>5880</v>
      </c>
      <c r="H188">
        <v>9.1999999999999993</v>
      </c>
      <c r="I188" t="s">
        <v>5886</v>
      </c>
      <c r="J188">
        <v>2.89</v>
      </c>
      <c r="K188" t="s">
        <v>326</v>
      </c>
      <c r="L188" t="s">
        <v>5885</v>
      </c>
      <c r="M188">
        <v>107.367</v>
      </c>
      <c r="N188" t="s">
        <v>5767</v>
      </c>
      <c r="O188" t="s">
        <v>5884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6657</v>
      </c>
      <c r="AF188" t="s">
        <v>5886</v>
      </c>
    </row>
    <row r="189" spans="1:32" x14ac:dyDescent="0.3">
      <c r="A189" t="str">
        <f t="shared" si="12"/>
        <v>Gas Depot</v>
      </c>
      <c r="B189">
        <v>408</v>
      </c>
      <c r="C189" t="s">
        <v>5823</v>
      </c>
      <c r="D189" t="s">
        <v>5838</v>
      </c>
      <c r="E189" t="s">
        <v>5837</v>
      </c>
      <c r="F189" t="s">
        <v>5798</v>
      </c>
      <c r="G189" t="s">
        <v>5880</v>
      </c>
      <c r="H189">
        <v>9.1999999999999993</v>
      </c>
      <c r="I189" t="s">
        <v>5883</v>
      </c>
      <c r="J189">
        <v>23</v>
      </c>
      <c r="K189" t="s">
        <v>326</v>
      </c>
      <c r="L189" t="s">
        <v>5706</v>
      </c>
      <c r="M189">
        <v>693.16700000000003</v>
      </c>
      <c r="N189" t="s">
        <v>5882</v>
      </c>
      <c r="O189" t="s">
        <v>5881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6658</v>
      </c>
      <c r="AF189" t="s">
        <v>5883</v>
      </c>
    </row>
    <row r="190" spans="1:32" x14ac:dyDescent="0.3">
      <c r="A190" t="str">
        <f t="shared" si="12"/>
        <v>Waccamaw's Homeplace</v>
      </c>
      <c r="B190">
        <v>408</v>
      </c>
      <c r="C190" t="s">
        <v>5823</v>
      </c>
      <c r="D190" t="s">
        <v>5838</v>
      </c>
      <c r="E190" t="s">
        <v>5837</v>
      </c>
      <c r="F190" t="s">
        <v>5798</v>
      </c>
      <c r="G190" t="s">
        <v>5880</v>
      </c>
      <c r="H190">
        <v>9.1999999999999993</v>
      </c>
      <c r="I190" t="s">
        <v>5879</v>
      </c>
      <c r="J190">
        <v>33</v>
      </c>
      <c r="K190" t="s">
        <v>326</v>
      </c>
      <c r="L190" t="s">
        <v>5706</v>
      </c>
      <c r="M190">
        <v>992</v>
      </c>
      <c r="N190" t="s">
        <v>5878</v>
      </c>
      <c r="O190" t="s">
        <v>5877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6659</v>
      </c>
      <c r="AF190" t="s">
        <v>5879</v>
      </c>
    </row>
    <row r="191" spans="1:32" x14ac:dyDescent="0.3">
      <c r="A191" t="str">
        <f t="shared" si="12"/>
        <v>The Original House of Pies</v>
      </c>
      <c r="B191">
        <v>408</v>
      </c>
      <c r="C191" t="s">
        <v>5823</v>
      </c>
      <c r="D191" t="s">
        <v>5838</v>
      </c>
      <c r="E191" t="s">
        <v>5837</v>
      </c>
      <c r="F191" t="s">
        <v>5876</v>
      </c>
      <c r="G191" t="s">
        <v>5875</v>
      </c>
      <c r="H191">
        <v>1.9</v>
      </c>
      <c r="I191" t="s">
        <v>5874</v>
      </c>
      <c r="J191">
        <v>10.962</v>
      </c>
      <c r="K191" t="s">
        <v>5696</v>
      </c>
      <c r="L191" t="s">
        <v>5873</v>
      </c>
      <c r="M191">
        <v>677.86</v>
      </c>
      <c r="N191" t="s">
        <v>5872</v>
      </c>
      <c r="O191" t="s">
        <v>5871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6660</v>
      </c>
      <c r="AF191" t="s">
        <v>5874</v>
      </c>
    </row>
    <row r="192" spans="1:32" x14ac:dyDescent="0.3">
      <c r="A192" t="str">
        <f t="shared" si="12"/>
        <v>Brendle's</v>
      </c>
      <c r="B192">
        <v>408</v>
      </c>
      <c r="C192" t="s">
        <v>5823</v>
      </c>
      <c r="D192" t="s">
        <v>5838</v>
      </c>
      <c r="E192" t="s">
        <v>5837</v>
      </c>
      <c r="F192" t="s">
        <v>5835</v>
      </c>
      <c r="G192" t="s">
        <v>5834</v>
      </c>
      <c r="H192">
        <v>16.100000000000001</v>
      </c>
      <c r="I192" t="s">
        <v>5870</v>
      </c>
      <c r="J192">
        <v>22</v>
      </c>
      <c r="K192" t="s">
        <v>326</v>
      </c>
      <c r="L192" t="s">
        <v>5706</v>
      </c>
      <c r="M192">
        <v>1324.1669999999999</v>
      </c>
      <c r="N192" t="s">
        <v>5869</v>
      </c>
      <c r="O192" t="s">
        <v>5868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6661</v>
      </c>
      <c r="AF192" t="s">
        <v>5870</v>
      </c>
    </row>
    <row r="193" spans="1:32" x14ac:dyDescent="0.3">
      <c r="A193" t="str">
        <f t="shared" si="12"/>
        <v>Red Owl</v>
      </c>
      <c r="B193">
        <v>408</v>
      </c>
      <c r="C193" t="s">
        <v>5823</v>
      </c>
      <c r="D193" t="s">
        <v>5838</v>
      </c>
      <c r="E193" t="s">
        <v>5837</v>
      </c>
      <c r="F193" t="s">
        <v>5835</v>
      </c>
      <c r="G193" t="s">
        <v>5834</v>
      </c>
      <c r="H193">
        <v>16.100000000000001</v>
      </c>
      <c r="I193" t="s">
        <v>5867</v>
      </c>
      <c r="J193">
        <v>27</v>
      </c>
      <c r="K193" t="s">
        <v>326</v>
      </c>
      <c r="L193" t="s">
        <v>5706</v>
      </c>
      <c r="M193">
        <v>1624.8330000000001</v>
      </c>
      <c r="N193" t="s">
        <v>5700</v>
      </c>
      <c r="O193" t="s">
        <v>5816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6662</v>
      </c>
      <c r="AF193" t="s">
        <v>5867</v>
      </c>
    </row>
    <row r="194" spans="1:32" x14ac:dyDescent="0.3">
      <c r="A194" t="str">
        <f t="shared" si="12"/>
        <v>Best Products</v>
      </c>
      <c r="B194">
        <v>408</v>
      </c>
      <c r="C194" t="s">
        <v>5823</v>
      </c>
      <c r="D194" t="s">
        <v>5838</v>
      </c>
      <c r="E194" t="s">
        <v>5837</v>
      </c>
      <c r="F194" t="s">
        <v>5835</v>
      </c>
      <c r="G194" t="s">
        <v>5834</v>
      </c>
      <c r="H194">
        <v>16.100000000000001</v>
      </c>
      <c r="I194" t="s">
        <v>5866</v>
      </c>
      <c r="J194">
        <v>24</v>
      </c>
      <c r="K194" t="s">
        <v>326</v>
      </c>
      <c r="L194" t="s">
        <v>5706</v>
      </c>
      <c r="M194">
        <v>1444.6669999999999</v>
      </c>
      <c r="N194" t="s">
        <v>5865</v>
      </c>
      <c r="O194" t="s">
        <v>5864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6663</v>
      </c>
      <c r="AF194" t="s">
        <v>5866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5823</v>
      </c>
      <c r="D195" t="s">
        <v>5838</v>
      </c>
      <c r="E195" t="s">
        <v>5837</v>
      </c>
      <c r="F195" t="s">
        <v>5833</v>
      </c>
      <c r="G195" t="s">
        <v>5832</v>
      </c>
      <c r="H195">
        <v>16.2</v>
      </c>
      <c r="I195" t="s">
        <v>5863</v>
      </c>
      <c r="J195">
        <v>1.0660000000000001</v>
      </c>
      <c r="K195" t="s">
        <v>326</v>
      </c>
      <c r="L195" t="s">
        <v>5862</v>
      </c>
      <c r="M195">
        <v>59.15</v>
      </c>
      <c r="N195" t="s">
        <v>5727</v>
      </c>
      <c r="O195" t="s">
        <v>5861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6664</v>
      </c>
      <c r="AF195" t="s">
        <v>5863</v>
      </c>
    </row>
    <row r="196" spans="1:32" x14ac:dyDescent="0.3">
      <c r="A196" t="str">
        <f t="shared" si="22"/>
        <v>Dave Cooks</v>
      </c>
      <c r="B196">
        <v>408</v>
      </c>
      <c r="C196" t="s">
        <v>5823</v>
      </c>
      <c r="D196" t="s">
        <v>5838</v>
      </c>
      <c r="E196" t="s">
        <v>5837</v>
      </c>
      <c r="F196" t="s">
        <v>5860</v>
      </c>
      <c r="G196" t="s">
        <v>5859</v>
      </c>
      <c r="H196">
        <v>7.1</v>
      </c>
      <c r="I196" t="s">
        <v>5858</v>
      </c>
      <c r="J196">
        <v>18</v>
      </c>
      <c r="K196" t="s">
        <v>326</v>
      </c>
      <c r="L196" t="s">
        <v>5706</v>
      </c>
      <c r="M196">
        <v>540</v>
      </c>
      <c r="N196" t="s">
        <v>5857</v>
      </c>
      <c r="O196" t="s">
        <v>5856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6665</v>
      </c>
      <c r="AF196" t="s">
        <v>5858</v>
      </c>
    </row>
    <row r="197" spans="1:32" x14ac:dyDescent="0.3">
      <c r="A197" t="str">
        <f t="shared" si="22"/>
        <v>Waccamaw Pottery</v>
      </c>
      <c r="B197">
        <v>408</v>
      </c>
      <c r="C197" t="s">
        <v>5823</v>
      </c>
      <c r="D197" t="s">
        <v>5838</v>
      </c>
      <c r="E197" t="s">
        <v>5837</v>
      </c>
      <c r="F197" t="s">
        <v>5855</v>
      </c>
      <c r="G197" t="s">
        <v>5854</v>
      </c>
      <c r="H197">
        <v>7.3</v>
      </c>
      <c r="I197" t="s">
        <v>5853</v>
      </c>
      <c r="J197">
        <v>7.819</v>
      </c>
      <c r="K197" t="s">
        <v>326</v>
      </c>
      <c r="L197" t="s">
        <v>5839</v>
      </c>
      <c r="M197">
        <v>252.40299999999999</v>
      </c>
      <c r="N197" t="s">
        <v>5719</v>
      </c>
      <c r="O197" t="s">
        <v>5852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6666</v>
      </c>
      <c r="AF197" t="s">
        <v>5853</v>
      </c>
    </row>
    <row r="198" spans="1:32" x14ac:dyDescent="0.3">
      <c r="A198" t="str">
        <f t="shared" si="22"/>
        <v>Dave Cooks</v>
      </c>
      <c r="B198">
        <v>408</v>
      </c>
      <c r="C198" t="s">
        <v>5823</v>
      </c>
      <c r="D198" t="s">
        <v>5838</v>
      </c>
      <c r="E198" t="s">
        <v>5837</v>
      </c>
      <c r="F198" t="s">
        <v>5851</v>
      </c>
      <c r="G198" t="s">
        <v>5850</v>
      </c>
      <c r="H198">
        <v>7.3</v>
      </c>
      <c r="I198" t="s">
        <v>5849</v>
      </c>
      <c r="J198">
        <v>12</v>
      </c>
      <c r="K198" t="s">
        <v>326</v>
      </c>
      <c r="L198" t="s">
        <v>5848</v>
      </c>
      <c r="M198">
        <v>361.5</v>
      </c>
      <c r="N198" t="s">
        <v>5847</v>
      </c>
      <c r="O198" t="s">
        <v>5846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6665</v>
      </c>
      <c r="AF198" t="s">
        <v>5849</v>
      </c>
    </row>
    <row r="199" spans="1:32" x14ac:dyDescent="0.3">
      <c r="A199" t="str">
        <f t="shared" si="22"/>
        <v>Dave Cooks</v>
      </c>
      <c r="B199">
        <v>408</v>
      </c>
      <c r="C199" t="s">
        <v>5823</v>
      </c>
      <c r="D199" t="s">
        <v>5838</v>
      </c>
      <c r="E199" t="s">
        <v>5837</v>
      </c>
      <c r="F199" t="s">
        <v>5831</v>
      </c>
      <c r="G199" t="s">
        <v>5830</v>
      </c>
      <c r="H199">
        <v>7.3</v>
      </c>
      <c r="I199" t="s">
        <v>5845</v>
      </c>
      <c r="J199">
        <v>22</v>
      </c>
      <c r="K199" t="s">
        <v>326</v>
      </c>
      <c r="L199" t="s">
        <v>5706</v>
      </c>
      <c r="M199">
        <v>666.66700000000003</v>
      </c>
      <c r="N199" t="s">
        <v>5723</v>
      </c>
      <c r="O199" t="s">
        <v>5844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6665</v>
      </c>
      <c r="AF199" t="s">
        <v>5845</v>
      </c>
    </row>
  </sheetData>
  <autoFilter ref="A1:AE19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6680</v>
      </c>
      <c r="AM1" t="s">
        <v>6681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6682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6683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6684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6685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6686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6687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6688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6689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6690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6691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6692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6693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5332</v>
      </c>
      <c r="E1" t="s">
        <v>5339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5368</v>
      </c>
    </row>
    <row r="2" spans="1:22" x14ac:dyDescent="0.3">
      <c r="A2">
        <v>1</v>
      </c>
      <c r="B2" t="s">
        <v>9</v>
      </c>
      <c r="C2" t="s">
        <v>7</v>
      </c>
      <c r="D2" t="s">
        <v>5330</v>
      </c>
      <c r="E2" t="s">
        <v>5336</v>
      </c>
      <c r="F2" t="s">
        <v>27</v>
      </c>
      <c r="G2">
        <f ca="1">RANDBETWEEN(10000000,50000000)</f>
        <v>24081258</v>
      </c>
      <c r="H2">
        <f ca="1">RANDBETWEEN(100,1000)</f>
        <v>483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5366</v>
      </c>
      <c r="U2" t="s">
        <v>76</v>
      </c>
      <c r="V2" t="s">
        <v>5369</v>
      </c>
    </row>
    <row r="3" spans="1:22" x14ac:dyDescent="0.3">
      <c r="A3">
        <f>A2+1</f>
        <v>2</v>
      </c>
      <c r="B3" t="s">
        <v>10</v>
      </c>
      <c r="C3" t="s">
        <v>5340</v>
      </c>
      <c r="D3" t="s">
        <v>5333</v>
      </c>
      <c r="E3" t="s">
        <v>5337</v>
      </c>
      <c r="F3" t="s">
        <v>28</v>
      </c>
      <c r="G3">
        <f t="shared" ref="G3:G11" ca="1" si="0">RANDBETWEEN(10000000,50000000)</f>
        <v>14975426</v>
      </c>
      <c r="H3">
        <f t="shared" ref="H3:H11" ca="1" si="1">RANDBETWEEN(100,1000)</f>
        <v>753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5365</v>
      </c>
      <c r="U3" t="s">
        <v>5367</v>
      </c>
      <c r="V3" t="s">
        <v>5370</v>
      </c>
    </row>
    <row r="4" spans="1:22" x14ac:dyDescent="0.3">
      <c r="A4">
        <f t="shared" ref="A4:A67" si="2">A3+1</f>
        <v>3</v>
      </c>
      <c r="B4" t="s">
        <v>11</v>
      </c>
      <c r="C4" t="s">
        <v>5341</v>
      </c>
      <c r="D4" t="s">
        <v>5335</v>
      </c>
      <c r="E4" t="s">
        <v>5338</v>
      </c>
      <c r="F4" t="s">
        <v>29</v>
      </c>
      <c r="G4">
        <f t="shared" ca="1" si="0"/>
        <v>31774588</v>
      </c>
      <c r="H4">
        <f t="shared" ca="1" si="1"/>
        <v>946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5364</v>
      </c>
      <c r="U4" t="s">
        <v>76</v>
      </c>
      <c r="V4" t="s">
        <v>5371</v>
      </c>
    </row>
    <row r="5" spans="1:22" x14ac:dyDescent="0.3">
      <c r="A5">
        <f t="shared" si="2"/>
        <v>4</v>
      </c>
      <c r="B5" t="s">
        <v>12</v>
      </c>
      <c r="C5" t="s">
        <v>5334</v>
      </c>
      <c r="F5" t="s">
        <v>30</v>
      </c>
      <c r="G5">
        <f t="shared" ca="1" si="0"/>
        <v>49902637</v>
      </c>
      <c r="H5">
        <f t="shared" ca="1" si="1"/>
        <v>998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5372</v>
      </c>
    </row>
    <row r="6" spans="1:22" x14ac:dyDescent="0.3">
      <c r="A6">
        <f t="shared" si="2"/>
        <v>5</v>
      </c>
      <c r="B6" t="s">
        <v>13</v>
      </c>
      <c r="C6" t="s">
        <v>5342</v>
      </c>
      <c r="F6" t="s">
        <v>31</v>
      </c>
      <c r="G6">
        <f t="shared" ca="1" si="0"/>
        <v>23471425</v>
      </c>
      <c r="H6">
        <f t="shared" ca="1" si="1"/>
        <v>956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5373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40479736</v>
      </c>
      <c r="H7">
        <f t="shared" ca="1" si="1"/>
        <v>244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46190808</v>
      </c>
      <c r="H8">
        <f t="shared" ca="1" si="1"/>
        <v>317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15236282</v>
      </c>
      <c r="H9">
        <f t="shared" ca="1" si="1"/>
        <v>491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10883144</v>
      </c>
      <c r="H10">
        <f t="shared" ca="1" si="1"/>
        <v>779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19450030</v>
      </c>
      <c r="H11">
        <f t="shared" ca="1" si="1"/>
        <v>725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5389</v>
      </c>
      <c r="C1" t="s">
        <v>5393</v>
      </c>
      <c r="D1" t="s">
        <v>5394</v>
      </c>
      <c r="E1" t="s">
        <v>77</v>
      </c>
      <c r="F1" t="s">
        <v>5382</v>
      </c>
      <c r="G1" t="s">
        <v>5395</v>
      </c>
      <c r="H1" t="s">
        <v>5396</v>
      </c>
      <c r="I1" t="s">
        <v>7</v>
      </c>
      <c r="J1" t="s">
        <v>5397</v>
      </c>
      <c r="K1" t="s">
        <v>5398</v>
      </c>
      <c r="L1" t="s">
        <v>5392</v>
      </c>
      <c r="M1" t="s">
        <v>5399</v>
      </c>
      <c r="N1" t="s">
        <v>5400</v>
      </c>
      <c r="P1" t="s">
        <v>6887</v>
      </c>
      <c r="Q1" t="s">
        <v>6888</v>
      </c>
      <c r="R1" t="s">
        <v>6889</v>
      </c>
      <c r="S1" t="s">
        <v>6886</v>
      </c>
    </row>
    <row r="2" spans="1:19" x14ac:dyDescent="0.3">
      <c r="A2">
        <v>1</v>
      </c>
      <c r="B2" t="s">
        <v>5401</v>
      </c>
      <c r="C2" t="s">
        <v>5402</v>
      </c>
      <c r="D2" t="s">
        <v>5403</v>
      </c>
      <c r="E2" t="s">
        <v>5404</v>
      </c>
      <c r="F2" t="s">
        <v>5405</v>
      </c>
      <c r="G2" t="s">
        <v>5406</v>
      </c>
      <c r="H2" t="s">
        <v>1</v>
      </c>
      <c r="I2" t="s">
        <v>5407</v>
      </c>
      <c r="J2" t="s">
        <v>5408</v>
      </c>
      <c r="K2" t="s">
        <v>5409</v>
      </c>
      <c r="L2" t="str">
        <f ca="1">UPPER(LEFT(H2,3)&amp;TEXT(RANDBETWEEN(1,120),"000"))</f>
        <v>EDW066</v>
      </c>
      <c r="M2" t="s">
        <v>5410</v>
      </c>
      <c r="N2" t="s">
        <v>5411</v>
      </c>
      <c r="P2">
        <v>1</v>
      </c>
      <c r="Q2" t="s">
        <v>5538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5412</v>
      </c>
      <c r="C3" t="s">
        <v>5413</v>
      </c>
      <c r="D3" t="s">
        <v>5414</v>
      </c>
      <c r="E3" t="s">
        <v>5415</v>
      </c>
      <c r="F3" t="s">
        <v>5416</v>
      </c>
      <c r="G3" t="s">
        <v>5417</v>
      </c>
      <c r="H3" t="s">
        <v>5418</v>
      </c>
      <c r="I3" t="s">
        <v>5419</v>
      </c>
      <c r="J3" t="s">
        <v>5420</v>
      </c>
      <c r="K3" t="s">
        <v>5421</v>
      </c>
      <c r="L3" t="str">
        <f t="shared" ref="L3:L11" ca="1" si="0">UPPER(LEFT(H3,3)&amp;TEXT(RANDBETWEEN(1,120),"000"))</f>
        <v>MCA028</v>
      </c>
      <c r="M3" t="s">
        <v>5422</v>
      </c>
      <c r="N3" t="s">
        <v>5411</v>
      </c>
      <c r="P3">
        <v>2</v>
      </c>
      <c r="Q3" t="s">
        <v>5538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5423</v>
      </c>
      <c r="C4" t="s">
        <v>5424</v>
      </c>
      <c r="D4" t="s">
        <v>5425</v>
      </c>
      <c r="E4" t="s">
        <v>5426</v>
      </c>
      <c r="F4" t="s">
        <v>5427</v>
      </c>
      <c r="G4" t="s">
        <v>5428</v>
      </c>
      <c r="H4" t="s">
        <v>5429</v>
      </c>
      <c r="I4" t="s">
        <v>5430</v>
      </c>
      <c r="J4" t="s">
        <v>5431</v>
      </c>
      <c r="K4" t="s">
        <v>5432</v>
      </c>
      <c r="L4" t="str">
        <f t="shared" ca="1" si="0"/>
        <v>CLO009</v>
      </c>
      <c r="M4" t="s">
        <v>5433</v>
      </c>
      <c r="N4" t="s">
        <v>5411</v>
      </c>
      <c r="P4">
        <v>9</v>
      </c>
      <c r="Q4" t="s">
        <v>5538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5434</v>
      </c>
      <c r="C5" t="s">
        <v>5435</v>
      </c>
      <c r="D5" t="s">
        <v>5436</v>
      </c>
      <c r="E5" t="s">
        <v>5437</v>
      </c>
      <c r="F5" t="s">
        <v>5438</v>
      </c>
      <c r="G5" t="s">
        <v>5439</v>
      </c>
      <c r="H5" t="s">
        <v>5440</v>
      </c>
      <c r="I5" t="s">
        <v>5441</v>
      </c>
      <c r="J5" t="s">
        <v>5442</v>
      </c>
      <c r="K5" t="s">
        <v>5443</v>
      </c>
      <c r="L5" t="str">
        <f t="shared" ca="1" si="0"/>
        <v>ARB017</v>
      </c>
      <c r="M5" t="s">
        <v>5444</v>
      </c>
      <c r="N5" t="s">
        <v>5411</v>
      </c>
      <c r="P5">
        <v>1</v>
      </c>
      <c r="Q5" t="s">
        <v>5639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5445</v>
      </c>
      <c r="C6" t="s">
        <v>5446</v>
      </c>
      <c r="D6" t="s">
        <v>5447</v>
      </c>
      <c r="E6" t="s">
        <v>5448</v>
      </c>
      <c r="F6" t="s">
        <v>5449</v>
      </c>
      <c r="G6" t="s">
        <v>5450</v>
      </c>
      <c r="H6" t="s">
        <v>5451</v>
      </c>
      <c r="I6" t="s">
        <v>5452</v>
      </c>
      <c r="J6" t="s">
        <v>5453</v>
      </c>
      <c r="K6" t="s">
        <v>5454</v>
      </c>
      <c r="L6" t="str">
        <f t="shared" ca="1" si="0"/>
        <v>ARG026</v>
      </c>
      <c r="M6" s="2" t="s">
        <v>5455</v>
      </c>
      <c r="N6" t="s">
        <v>5411</v>
      </c>
      <c r="P6">
        <v>2</v>
      </c>
      <c r="Q6" t="s">
        <v>5639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5456</v>
      </c>
      <c r="C7" t="s">
        <v>5457</v>
      </c>
      <c r="D7" t="s">
        <v>5458</v>
      </c>
      <c r="E7" t="s">
        <v>5459</v>
      </c>
      <c r="F7" t="s">
        <v>5460</v>
      </c>
      <c r="G7" t="s">
        <v>5461</v>
      </c>
      <c r="H7" t="s">
        <v>5462</v>
      </c>
      <c r="I7" t="s">
        <v>5463</v>
      </c>
      <c r="J7" t="s">
        <v>5464</v>
      </c>
      <c r="K7" t="s">
        <v>5465</v>
      </c>
      <c r="L7" t="str">
        <f t="shared" ca="1" si="0"/>
        <v>ASH071</v>
      </c>
      <c r="M7" t="s">
        <v>5466</v>
      </c>
      <c r="N7" t="s">
        <v>5411</v>
      </c>
      <c r="P7">
        <v>9</v>
      </c>
      <c r="Q7" t="s">
        <v>5639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5467</v>
      </c>
      <c r="C8" t="s">
        <v>5468</v>
      </c>
      <c r="D8" t="s">
        <v>5469</v>
      </c>
      <c r="E8" t="s">
        <v>5470</v>
      </c>
      <c r="F8" t="s">
        <v>5471</v>
      </c>
      <c r="G8" t="s">
        <v>5472</v>
      </c>
      <c r="H8" t="s">
        <v>5473</v>
      </c>
      <c r="I8" t="s">
        <v>5474</v>
      </c>
      <c r="J8" t="s">
        <v>5475</v>
      </c>
      <c r="K8" t="s">
        <v>5476</v>
      </c>
      <c r="L8" t="str">
        <f t="shared" ca="1" si="0"/>
        <v>FBA061</v>
      </c>
      <c r="M8" t="s">
        <v>5477</v>
      </c>
      <c r="N8" t="s">
        <v>5411</v>
      </c>
      <c r="P8">
        <v>1</v>
      </c>
      <c r="Q8" t="s">
        <v>5646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5478</v>
      </c>
      <c r="C9" t="s">
        <v>5479</v>
      </c>
      <c r="D9" t="s">
        <v>5480</v>
      </c>
      <c r="E9" t="s">
        <v>5481</v>
      </c>
      <c r="F9" t="s">
        <v>5482</v>
      </c>
      <c r="G9" t="s">
        <v>5483</v>
      </c>
      <c r="H9" t="s">
        <v>5484</v>
      </c>
      <c r="I9" t="s">
        <v>5485</v>
      </c>
      <c r="J9" t="s">
        <v>5486</v>
      </c>
      <c r="K9" t="s">
        <v>5487</v>
      </c>
      <c r="L9" t="str">
        <f t="shared" ca="1" si="0"/>
        <v>BIC111</v>
      </c>
      <c r="M9" t="s">
        <v>5488</v>
      </c>
      <c r="N9" t="s">
        <v>5411</v>
      </c>
      <c r="P9">
        <v>2</v>
      </c>
      <c r="Q9" t="s">
        <v>5646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5489</v>
      </c>
      <c r="C10" t="s">
        <v>5490</v>
      </c>
      <c r="D10" t="s">
        <v>5491</v>
      </c>
      <c r="E10" t="s">
        <v>5492</v>
      </c>
      <c r="F10" t="s">
        <v>5493</v>
      </c>
      <c r="G10" t="s">
        <v>5494</v>
      </c>
      <c r="H10" t="s">
        <v>5495</v>
      </c>
      <c r="I10" t="s">
        <v>5496</v>
      </c>
      <c r="J10" t="s">
        <v>5497</v>
      </c>
      <c r="K10" t="s">
        <v>5498</v>
      </c>
      <c r="L10" t="str">
        <f t="shared" ca="1" si="0"/>
        <v>BRA120</v>
      </c>
      <c r="M10" t="s">
        <v>5499</v>
      </c>
      <c r="N10" t="s">
        <v>5411</v>
      </c>
      <c r="P10">
        <v>9</v>
      </c>
      <c r="Q10" t="s">
        <v>5646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5500</v>
      </c>
      <c r="C11" t="s">
        <v>5501</v>
      </c>
      <c r="D11" t="s">
        <v>5502</v>
      </c>
      <c r="E11" t="s">
        <v>5503</v>
      </c>
      <c r="F11" t="s">
        <v>5504</v>
      </c>
      <c r="G11" t="s">
        <v>5505</v>
      </c>
      <c r="H11" t="s">
        <v>5506</v>
      </c>
      <c r="I11" t="s">
        <v>5507</v>
      </c>
      <c r="J11" t="s">
        <v>5508</v>
      </c>
      <c r="K11" t="s">
        <v>5509</v>
      </c>
      <c r="L11" t="str">
        <f t="shared" ca="1" si="0"/>
        <v>HEA081</v>
      </c>
      <c r="M11" t="s">
        <v>5510</v>
      </c>
      <c r="N11" t="s">
        <v>5411</v>
      </c>
      <c r="P11">
        <v>1</v>
      </c>
      <c r="Q11" t="s">
        <v>5647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5511</v>
      </c>
      <c r="J12" t="s">
        <v>5512</v>
      </c>
      <c r="K12" t="s">
        <v>5513</v>
      </c>
      <c r="L12" t="s">
        <v>5514</v>
      </c>
      <c r="N12" t="s">
        <v>5411</v>
      </c>
      <c r="P12">
        <v>2</v>
      </c>
      <c r="Q12" t="s">
        <v>5647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5515</v>
      </c>
      <c r="J13" t="s">
        <v>5516</v>
      </c>
      <c r="K13" t="s">
        <v>5517</v>
      </c>
      <c r="L13" t="s">
        <v>5518</v>
      </c>
      <c r="N13" t="s">
        <v>5411</v>
      </c>
      <c r="P13">
        <v>9</v>
      </c>
      <c r="Q13" t="s">
        <v>5647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5519</v>
      </c>
      <c r="J14" t="s">
        <v>5520</v>
      </c>
      <c r="K14" t="s">
        <v>5521</v>
      </c>
      <c r="L14" t="s">
        <v>5522</v>
      </c>
      <c r="N14" t="s">
        <v>5411</v>
      </c>
      <c r="P14">
        <v>1</v>
      </c>
      <c r="Q14" t="s">
        <v>5648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5523</v>
      </c>
      <c r="K15" t="s">
        <v>5524</v>
      </c>
      <c r="P15">
        <v>2</v>
      </c>
      <c r="Q15" t="s">
        <v>5648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5525</v>
      </c>
      <c r="K16" t="s">
        <v>5526</v>
      </c>
      <c r="P16">
        <v>9</v>
      </c>
      <c r="Q16" t="s">
        <v>5648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5527</v>
      </c>
      <c r="K17" t="s">
        <v>5528</v>
      </c>
      <c r="P17">
        <v>1</v>
      </c>
      <c r="Q17" t="s">
        <v>5649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5529</v>
      </c>
      <c r="K18" t="s">
        <v>5530</v>
      </c>
      <c r="P18">
        <v>2</v>
      </c>
      <c r="Q18" t="s">
        <v>5649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5531</v>
      </c>
      <c r="K19" t="s">
        <v>5532</v>
      </c>
      <c r="P19">
        <v>9</v>
      </c>
      <c r="Q19" t="s">
        <v>5649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5533</v>
      </c>
      <c r="K20" t="s">
        <v>5534</v>
      </c>
      <c r="P20">
        <v>1</v>
      </c>
      <c r="Q20" t="s">
        <v>5658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5535</v>
      </c>
      <c r="K21" t="s">
        <v>5536</v>
      </c>
      <c r="P21">
        <v>2</v>
      </c>
      <c r="Q21" t="s">
        <v>5658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5537</v>
      </c>
      <c r="K22" t="s">
        <v>5538</v>
      </c>
      <c r="P22">
        <v>9</v>
      </c>
      <c r="Q22" t="s">
        <v>5658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5539</v>
      </c>
      <c r="K23" t="s">
        <v>5540</v>
      </c>
      <c r="S23" s="1"/>
    </row>
    <row r="24" spans="1:19" x14ac:dyDescent="0.3">
      <c r="A24">
        <v>23</v>
      </c>
      <c r="J24" t="s">
        <v>5541</v>
      </c>
      <c r="K24" t="s">
        <v>5542</v>
      </c>
      <c r="S24" s="1"/>
    </row>
    <row r="25" spans="1:19" x14ac:dyDescent="0.3">
      <c r="A25">
        <v>24</v>
      </c>
      <c r="J25" t="s">
        <v>5543</v>
      </c>
      <c r="K25" t="s">
        <v>5544</v>
      </c>
      <c r="S25" s="1"/>
    </row>
    <row r="26" spans="1:19" x14ac:dyDescent="0.3">
      <c r="A26">
        <v>25</v>
      </c>
      <c r="J26" t="s">
        <v>5545</v>
      </c>
      <c r="K26" t="s">
        <v>5546</v>
      </c>
      <c r="S26" s="1"/>
    </row>
    <row r="27" spans="1:19" x14ac:dyDescent="0.3">
      <c r="A27">
        <v>26</v>
      </c>
      <c r="J27" t="s">
        <v>5547</v>
      </c>
      <c r="K27" t="s">
        <v>5547</v>
      </c>
      <c r="S27" s="1"/>
    </row>
    <row r="28" spans="1:19" x14ac:dyDescent="0.3">
      <c r="A28">
        <v>27</v>
      </c>
      <c r="J28" t="s">
        <v>5548</v>
      </c>
      <c r="K28" t="s">
        <v>5549</v>
      </c>
      <c r="S28" s="1"/>
    </row>
    <row r="29" spans="1:19" x14ac:dyDescent="0.3">
      <c r="A29">
        <v>28</v>
      </c>
      <c r="J29" t="s">
        <v>5550</v>
      </c>
      <c r="K29" t="s">
        <v>5551</v>
      </c>
    </row>
    <row r="30" spans="1:19" x14ac:dyDescent="0.3">
      <c r="A30">
        <v>29</v>
      </c>
      <c r="J30" t="s">
        <v>5552</v>
      </c>
      <c r="K30" t="s">
        <v>5553</v>
      </c>
    </row>
    <row r="31" spans="1:19" x14ac:dyDescent="0.3">
      <c r="A31">
        <v>30</v>
      </c>
      <c r="J31" t="s">
        <v>5554</v>
      </c>
      <c r="K31" t="s">
        <v>5555</v>
      </c>
    </row>
    <row r="32" spans="1:19" x14ac:dyDescent="0.3">
      <c r="A32">
        <v>31</v>
      </c>
      <c r="J32" t="s">
        <v>5556</v>
      </c>
      <c r="K32" t="s">
        <v>5557</v>
      </c>
    </row>
    <row r="33" spans="1:11" x14ac:dyDescent="0.3">
      <c r="A33">
        <v>32</v>
      </c>
      <c r="J33" t="s">
        <v>5558</v>
      </c>
      <c r="K33" t="s">
        <v>5559</v>
      </c>
    </row>
    <row r="34" spans="1:11" x14ac:dyDescent="0.3">
      <c r="A34">
        <v>33</v>
      </c>
      <c r="J34" t="s">
        <v>5560</v>
      </c>
      <c r="K34" t="s">
        <v>5561</v>
      </c>
    </row>
    <row r="35" spans="1:11" x14ac:dyDescent="0.3">
      <c r="A35">
        <v>34</v>
      </c>
      <c r="J35" t="s">
        <v>5562</v>
      </c>
      <c r="K35" t="s">
        <v>5563</v>
      </c>
    </row>
    <row r="36" spans="1:11" x14ac:dyDescent="0.3">
      <c r="A36">
        <v>35</v>
      </c>
      <c r="J36" t="s">
        <v>5564</v>
      </c>
      <c r="K36" t="s">
        <v>5565</v>
      </c>
    </row>
    <row r="37" spans="1:11" x14ac:dyDescent="0.3">
      <c r="A37">
        <v>36</v>
      </c>
      <c r="J37" t="s">
        <v>5566</v>
      </c>
      <c r="K37" t="s">
        <v>5567</v>
      </c>
    </row>
    <row r="38" spans="1:11" x14ac:dyDescent="0.3">
      <c r="A38">
        <v>37</v>
      </c>
      <c r="J38" t="s">
        <v>5568</v>
      </c>
      <c r="K38" t="s">
        <v>5569</v>
      </c>
    </row>
    <row r="39" spans="1:11" x14ac:dyDescent="0.3">
      <c r="A39">
        <v>38</v>
      </c>
      <c r="J39" t="s">
        <v>5570</v>
      </c>
      <c r="K39" t="s">
        <v>5571</v>
      </c>
    </row>
    <row r="40" spans="1:11" x14ac:dyDescent="0.3">
      <c r="A40">
        <v>39</v>
      </c>
      <c r="J40" t="s">
        <v>5572</v>
      </c>
      <c r="K40" t="s">
        <v>5573</v>
      </c>
    </row>
    <row r="41" spans="1:11" x14ac:dyDescent="0.3">
      <c r="A41">
        <v>40</v>
      </c>
      <c r="J41" t="s">
        <v>5574</v>
      </c>
      <c r="K41" t="s">
        <v>5575</v>
      </c>
    </row>
    <row r="42" spans="1:11" x14ac:dyDescent="0.3">
      <c r="A42">
        <v>41</v>
      </c>
      <c r="J42" t="s">
        <v>5576</v>
      </c>
      <c r="K42" t="s">
        <v>5577</v>
      </c>
    </row>
    <row r="43" spans="1:11" x14ac:dyDescent="0.3">
      <c r="A43">
        <v>42</v>
      </c>
      <c r="J43" t="s">
        <v>5578</v>
      </c>
      <c r="K43" t="s">
        <v>5579</v>
      </c>
    </row>
    <row r="44" spans="1:11" x14ac:dyDescent="0.3">
      <c r="A44">
        <v>43</v>
      </c>
      <c r="J44" t="s">
        <v>5580</v>
      </c>
      <c r="K44" t="s">
        <v>5581</v>
      </c>
    </row>
    <row r="45" spans="1:11" x14ac:dyDescent="0.3">
      <c r="A45">
        <v>44</v>
      </c>
      <c r="J45" t="s">
        <v>5582</v>
      </c>
      <c r="K45" t="s">
        <v>5583</v>
      </c>
    </row>
    <row r="46" spans="1:11" x14ac:dyDescent="0.3">
      <c r="A46">
        <v>45</v>
      </c>
      <c r="J46" t="s">
        <v>5584</v>
      </c>
      <c r="K46" t="s">
        <v>5585</v>
      </c>
    </row>
    <row r="47" spans="1:11" x14ac:dyDescent="0.3">
      <c r="A47">
        <v>46</v>
      </c>
      <c r="J47" t="s">
        <v>5586</v>
      </c>
      <c r="K47" t="s">
        <v>5587</v>
      </c>
    </row>
    <row r="48" spans="1:11" x14ac:dyDescent="0.3">
      <c r="A48">
        <v>47</v>
      </c>
      <c r="J48" t="s">
        <v>5588</v>
      </c>
      <c r="K48" t="s">
        <v>5589</v>
      </c>
    </row>
    <row r="49" spans="1:11" x14ac:dyDescent="0.3">
      <c r="A49">
        <v>48</v>
      </c>
      <c r="J49" t="s">
        <v>5590</v>
      </c>
      <c r="K49" t="s">
        <v>5591</v>
      </c>
    </row>
    <row r="50" spans="1:11" x14ac:dyDescent="0.3">
      <c r="A50">
        <v>49</v>
      </c>
      <c r="J50" t="s">
        <v>5592</v>
      </c>
      <c r="K50" t="s">
        <v>5593</v>
      </c>
    </row>
    <row r="51" spans="1:11" x14ac:dyDescent="0.3">
      <c r="A51">
        <v>50</v>
      </c>
      <c r="J51" t="s">
        <v>5594</v>
      </c>
      <c r="K51" t="s">
        <v>5595</v>
      </c>
    </row>
    <row r="52" spans="1:11" x14ac:dyDescent="0.3">
      <c r="A52">
        <v>51</v>
      </c>
      <c r="J52" t="s">
        <v>5596</v>
      </c>
      <c r="K52" t="s">
        <v>5597</v>
      </c>
    </row>
    <row r="53" spans="1:11" x14ac:dyDescent="0.3">
      <c r="A53">
        <v>52</v>
      </c>
      <c r="J53" t="s">
        <v>5598</v>
      </c>
      <c r="K53" t="s">
        <v>5599</v>
      </c>
    </row>
    <row r="54" spans="1:11" x14ac:dyDescent="0.3">
      <c r="A54">
        <v>53</v>
      </c>
      <c r="J54" t="s">
        <v>5600</v>
      </c>
      <c r="K54" t="s">
        <v>5601</v>
      </c>
    </row>
    <row r="55" spans="1:11" x14ac:dyDescent="0.3">
      <c r="A55">
        <v>54</v>
      </c>
      <c r="J55" t="s">
        <v>5602</v>
      </c>
      <c r="K55" t="s">
        <v>5603</v>
      </c>
    </row>
    <row r="56" spans="1:11" x14ac:dyDescent="0.3">
      <c r="A56">
        <v>55</v>
      </c>
      <c r="J56" t="s">
        <v>5604</v>
      </c>
      <c r="K56" t="s">
        <v>5605</v>
      </c>
    </row>
    <row r="57" spans="1:11" x14ac:dyDescent="0.3">
      <c r="A57">
        <v>56</v>
      </c>
      <c r="J57" t="s">
        <v>5606</v>
      </c>
      <c r="K57" t="s">
        <v>5607</v>
      </c>
    </row>
    <row r="58" spans="1:11" x14ac:dyDescent="0.3">
      <c r="A58">
        <v>57</v>
      </c>
      <c r="J58" t="s">
        <v>5608</v>
      </c>
      <c r="K58" t="s">
        <v>5609</v>
      </c>
    </row>
    <row r="59" spans="1:11" x14ac:dyDescent="0.3">
      <c r="A59">
        <v>58</v>
      </c>
      <c r="J59" t="s">
        <v>5610</v>
      </c>
      <c r="K59" t="s">
        <v>5611</v>
      </c>
    </row>
    <row r="60" spans="1:11" x14ac:dyDescent="0.3">
      <c r="A60">
        <v>59</v>
      </c>
      <c r="J60" t="s">
        <v>5612</v>
      </c>
      <c r="K60" t="s">
        <v>5613</v>
      </c>
    </row>
    <row r="61" spans="1:11" x14ac:dyDescent="0.3">
      <c r="A61">
        <v>60</v>
      </c>
      <c r="J61" t="s">
        <v>5614</v>
      </c>
      <c r="K61" t="s">
        <v>5615</v>
      </c>
    </row>
    <row r="62" spans="1:11" x14ac:dyDescent="0.3">
      <c r="A62">
        <v>61</v>
      </c>
      <c r="J62" t="s">
        <v>5616</v>
      </c>
      <c r="K62" t="s">
        <v>5617</v>
      </c>
    </row>
    <row r="63" spans="1:11" x14ac:dyDescent="0.3">
      <c r="A63">
        <v>62</v>
      </c>
      <c r="J63" t="s">
        <v>5618</v>
      </c>
      <c r="K63" t="s">
        <v>5619</v>
      </c>
    </row>
    <row r="64" spans="1:11" x14ac:dyDescent="0.3">
      <c r="A64">
        <v>63</v>
      </c>
      <c r="J64" t="s">
        <v>5620</v>
      </c>
      <c r="K64" t="s">
        <v>5621</v>
      </c>
    </row>
    <row r="65" spans="1:11" x14ac:dyDescent="0.3">
      <c r="A65">
        <v>64</v>
      </c>
      <c r="J65" t="s">
        <v>5622</v>
      </c>
      <c r="K65" t="s">
        <v>5623</v>
      </c>
    </row>
    <row r="66" spans="1:11" x14ac:dyDescent="0.3">
      <c r="A66">
        <v>65</v>
      </c>
      <c r="J66" t="s">
        <v>5624</v>
      </c>
      <c r="K66" t="s">
        <v>5625</v>
      </c>
    </row>
    <row r="67" spans="1:11" x14ac:dyDescent="0.3">
      <c r="A67">
        <v>66</v>
      </c>
      <c r="J67" t="s">
        <v>5626</v>
      </c>
      <c r="K67" t="s">
        <v>5627</v>
      </c>
    </row>
    <row r="68" spans="1:11" x14ac:dyDescent="0.3">
      <c r="A68">
        <v>67</v>
      </c>
      <c r="J68" t="s">
        <v>5628</v>
      </c>
      <c r="K68" t="s">
        <v>5629</v>
      </c>
    </row>
    <row r="69" spans="1:11" x14ac:dyDescent="0.3">
      <c r="A69">
        <v>68</v>
      </c>
      <c r="J69" t="s">
        <v>5630</v>
      </c>
      <c r="K69" t="s">
        <v>5631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5674</v>
      </c>
      <c r="B1" t="s">
        <v>5695</v>
      </c>
    </row>
    <row r="2" spans="1:2" x14ac:dyDescent="0.3">
      <c r="A2" t="s">
        <v>5388</v>
      </c>
      <c r="B2" t="s">
        <v>5696</v>
      </c>
    </row>
    <row r="3" spans="1:2" x14ac:dyDescent="0.3">
      <c r="A3" t="s">
        <v>5675</v>
      </c>
      <c r="B3" t="s">
        <v>5696</v>
      </c>
    </row>
    <row r="4" spans="1:2" x14ac:dyDescent="0.3">
      <c r="A4" t="s">
        <v>5676</v>
      </c>
      <c r="B4" t="s">
        <v>5696</v>
      </c>
    </row>
    <row r="5" spans="1:2" x14ac:dyDescent="0.3">
      <c r="A5" t="s">
        <v>5677</v>
      </c>
      <c r="B5" t="s">
        <v>5696</v>
      </c>
    </row>
    <row r="6" spans="1:2" x14ac:dyDescent="0.3">
      <c r="A6" t="s">
        <v>5678</v>
      </c>
      <c r="B6" t="s">
        <v>5696</v>
      </c>
    </row>
    <row r="7" spans="1:2" hidden="1" x14ac:dyDescent="0.3">
      <c r="A7" t="s">
        <v>5679</v>
      </c>
      <c r="B7" t="s">
        <v>326</v>
      </c>
    </row>
    <row r="8" spans="1:2" hidden="1" x14ac:dyDescent="0.3">
      <c r="A8" t="s">
        <v>5680</v>
      </c>
      <c r="B8" t="s">
        <v>326</v>
      </c>
    </row>
    <row r="9" spans="1:2" x14ac:dyDescent="0.3">
      <c r="A9" t="s">
        <v>5681</v>
      </c>
      <c r="B9" t="s">
        <v>5696</v>
      </c>
    </row>
    <row r="10" spans="1:2" x14ac:dyDescent="0.3">
      <c r="A10" t="s">
        <v>5632</v>
      </c>
      <c r="B10" t="s">
        <v>5696</v>
      </c>
    </row>
    <row r="11" spans="1:2" x14ac:dyDescent="0.3">
      <c r="A11" t="s">
        <v>5682</v>
      </c>
      <c r="B11" t="s">
        <v>5696</v>
      </c>
    </row>
    <row r="12" spans="1:2" x14ac:dyDescent="0.3">
      <c r="A12" t="s">
        <v>5638</v>
      </c>
      <c r="B12" t="s">
        <v>5696</v>
      </c>
    </row>
    <row r="13" spans="1:2" x14ac:dyDescent="0.3">
      <c r="A13" t="s">
        <v>5683</v>
      </c>
      <c r="B13" t="s">
        <v>5696</v>
      </c>
    </row>
    <row r="14" spans="1:2" hidden="1" x14ac:dyDescent="0.3">
      <c r="A14" t="s">
        <v>5684</v>
      </c>
      <c r="B14" t="s">
        <v>326</v>
      </c>
    </row>
    <row r="15" spans="1:2" x14ac:dyDescent="0.3">
      <c r="A15" t="s">
        <v>5685</v>
      </c>
      <c r="B15" t="s">
        <v>5696</v>
      </c>
    </row>
    <row r="16" spans="1:2" x14ac:dyDescent="0.3">
      <c r="A16" t="s">
        <v>7</v>
      </c>
      <c r="B16" t="s">
        <v>5696</v>
      </c>
    </row>
    <row r="17" spans="1:2" x14ac:dyDescent="0.3">
      <c r="A17" t="s">
        <v>54</v>
      </c>
      <c r="B17" t="s">
        <v>5696</v>
      </c>
    </row>
    <row r="18" spans="1:2" hidden="1" x14ac:dyDescent="0.3">
      <c r="A18" t="s">
        <v>5686</v>
      </c>
      <c r="B18" t="s">
        <v>326</v>
      </c>
    </row>
    <row r="19" spans="1:2" hidden="1" x14ac:dyDescent="0.3">
      <c r="A19" t="s">
        <v>5633</v>
      </c>
      <c r="B19" t="s">
        <v>326</v>
      </c>
    </row>
    <row r="20" spans="1:2" hidden="1" x14ac:dyDescent="0.3">
      <c r="A20" t="s">
        <v>5687</v>
      </c>
      <c r="B20" t="s">
        <v>326</v>
      </c>
    </row>
    <row r="21" spans="1:2" hidden="1" x14ac:dyDescent="0.3">
      <c r="A21" t="s">
        <v>5688</v>
      </c>
      <c r="B21" t="s">
        <v>326</v>
      </c>
    </row>
    <row r="22" spans="1:2" hidden="1" x14ac:dyDescent="0.3">
      <c r="A22" t="s">
        <v>5689</v>
      </c>
      <c r="B22" t="s">
        <v>326</v>
      </c>
    </row>
    <row r="23" spans="1:2" hidden="1" x14ac:dyDescent="0.3">
      <c r="A23" t="s">
        <v>5690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5378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5691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5692</v>
      </c>
      <c r="B32" t="s">
        <v>322</v>
      </c>
    </row>
    <row r="33" spans="1:2" hidden="1" x14ac:dyDescent="0.3">
      <c r="A33" t="s">
        <v>5693</v>
      </c>
      <c r="B33" t="s">
        <v>322</v>
      </c>
    </row>
    <row r="34" spans="1:2" hidden="1" x14ac:dyDescent="0.3">
      <c r="A34" t="s">
        <v>5694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E6" sqref="E6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68</v>
      </c>
      <c r="B1" t="s">
        <v>5327</v>
      </c>
      <c r="C1" t="s">
        <v>5635</v>
      </c>
      <c r="D1" t="s">
        <v>5636</v>
      </c>
      <c r="E1" t="s">
        <v>5637</v>
      </c>
      <c r="G1" t="s">
        <v>5325</v>
      </c>
      <c r="H1" t="s">
        <v>5326</v>
      </c>
      <c r="I1" t="s">
        <v>5640</v>
      </c>
      <c r="J1" t="s">
        <v>5641</v>
      </c>
      <c r="K1" t="s">
        <v>5642</v>
      </c>
      <c r="L1" t="s">
        <v>5643</v>
      </c>
      <c r="M1" t="s">
        <v>5644</v>
      </c>
      <c r="N1" t="s">
        <v>5645</v>
      </c>
    </row>
    <row r="2" spans="1:14" x14ac:dyDescent="0.3">
      <c r="A2" t="s">
        <v>5638</v>
      </c>
      <c r="B2">
        <f>IF(ISNUMBER(B1),B1+1,200000)</f>
        <v>200000</v>
      </c>
      <c r="C2">
        <f ca="1">INDEX(LocalAreas.csv!G:G,RANDBETWEEN(2,COUNTA(LocalAreas.csv!G:G)),1)</f>
        <v>200082</v>
      </c>
      <c r="D2" t="str">
        <f ca="1">"rg:{ 'id': '"&amp;C2&amp;"'}"</f>
        <v>rg:{ 'id': '200082'}</v>
      </c>
      <c r="E2" t="str">
        <f ca="1">TEXT(TODAY()+RANDBETWEEN(-10,350),"YYYY-MM-DD")</f>
        <v>2017-09-06</v>
      </c>
      <c r="G2">
        <v>1</v>
      </c>
      <c r="H2" t="s">
        <v>5538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5638</v>
      </c>
      <c r="B3">
        <f t="shared" ref="B3:B31" si="0">IF(ISNUMBER(B2),B2+1,200000)</f>
        <v>200001</v>
      </c>
      <c r="C3">
        <f ca="1">INDEX(LocalAreas.csv!G:G,RANDBETWEEN(2,COUNTA(LocalAreas.csv!G:G)),1)</f>
        <v>200021</v>
      </c>
      <c r="D3" t="str">
        <f t="shared" ref="D3:D31" ca="1" si="1">"rg:{ 'id': '"&amp;C3&amp;"'}"</f>
        <v>rg:{ 'id': '200021'}</v>
      </c>
      <c r="E3" t="str">
        <f t="shared" ref="E3:E31" ca="1" si="2">TEXT(TODAY()+RANDBETWEEN(-10,350),"YYYY-MM-DD")</f>
        <v>2017-05-12</v>
      </c>
      <c r="G3">
        <f>G2+1</f>
        <v>2</v>
      </c>
      <c r="H3" t="s">
        <v>5639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5638</v>
      </c>
      <c r="B4">
        <f t="shared" si="0"/>
        <v>200002</v>
      </c>
      <c r="C4">
        <f ca="1">INDEX(LocalAreas.csv!G:G,RANDBETWEEN(2,COUNTA(LocalAreas.csv!G:G)),1)</f>
        <v>200035</v>
      </c>
      <c r="D4" t="str">
        <f t="shared" ca="1" si="1"/>
        <v>rg:{ 'id': '200035'}</v>
      </c>
      <c r="E4" t="str">
        <f t="shared" ca="1" si="2"/>
        <v>2017-06-25</v>
      </c>
      <c r="G4">
        <f t="shared" ref="G4:G31" si="3">G3+1</f>
        <v>3</v>
      </c>
      <c r="H4" t="s">
        <v>5646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5638</v>
      </c>
      <c r="B5">
        <f t="shared" si="0"/>
        <v>200003</v>
      </c>
      <c r="C5">
        <f ca="1">INDEX(LocalAreas.csv!G:G,RANDBETWEEN(2,COUNTA(LocalAreas.csv!G:G)),1)</f>
        <v>200084</v>
      </c>
      <c r="D5" t="str">
        <f t="shared" ca="1" si="1"/>
        <v>rg:{ 'id': '200084'}</v>
      </c>
      <c r="E5" t="str">
        <f t="shared" ca="1" si="2"/>
        <v>2017-08-03</v>
      </c>
      <c r="G5">
        <f t="shared" si="3"/>
        <v>4</v>
      </c>
      <c r="H5" t="s">
        <v>5647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5638</v>
      </c>
      <c r="B6">
        <f t="shared" si="0"/>
        <v>200004</v>
      </c>
      <c r="C6">
        <f ca="1">INDEX(LocalAreas.csv!G:G,RANDBETWEEN(2,COUNTA(LocalAreas.csv!G:G)),1)</f>
        <v>200036</v>
      </c>
      <c r="D6" t="str">
        <f t="shared" ca="1" si="1"/>
        <v>rg:{ 'id': '200036'}</v>
      </c>
      <c r="E6" t="str">
        <f t="shared" ca="1" si="2"/>
        <v>2017-11-30</v>
      </c>
      <c r="G6">
        <f t="shared" si="3"/>
        <v>5</v>
      </c>
      <c r="H6" t="s">
        <v>5648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5638</v>
      </c>
      <c r="B7">
        <f t="shared" si="0"/>
        <v>200005</v>
      </c>
      <c r="C7">
        <f ca="1">INDEX(LocalAreas.csv!G:G,RANDBETWEEN(2,COUNTA(LocalAreas.csv!G:G)),1)</f>
        <v>200024</v>
      </c>
      <c r="D7" t="str">
        <f t="shared" ca="1" si="1"/>
        <v>rg:{ 'id': '200024'}</v>
      </c>
      <c r="E7" t="str">
        <f t="shared" ca="1" si="2"/>
        <v>2017-03-15</v>
      </c>
      <c r="G7">
        <f t="shared" si="3"/>
        <v>6</v>
      </c>
      <c r="H7" t="s">
        <v>5649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5638</v>
      </c>
      <c r="B8">
        <f t="shared" si="0"/>
        <v>200006</v>
      </c>
      <c r="C8">
        <f ca="1">INDEX(LocalAreas.csv!G:G,RANDBETWEEN(2,COUNTA(LocalAreas.csv!G:G)),1)</f>
        <v>200067</v>
      </c>
      <c r="D8" t="str">
        <f t="shared" ca="1" si="1"/>
        <v>rg:{ 'id': '200067'}</v>
      </c>
      <c r="E8" t="str">
        <f t="shared" ca="1" si="2"/>
        <v>2017-03-30</v>
      </c>
      <c r="G8">
        <f t="shared" si="3"/>
        <v>7</v>
      </c>
      <c r="H8" t="s">
        <v>5538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5638</v>
      </c>
      <c r="B9">
        <f t="shared" si="0"/>
        <v>200007</v>
      </c>
      <c r="C9">
        <f ca="1">INDEX(LocalAreas.csv!G:G,RANDBETWEEN(2,COUNTA(LocalAreas.csv!G:G)),1)</f>
        <v>200006</v>
      </c>
      <c r="D9" t="str">
        <f t="shared" ca="1" si="1"/>
        <v>rg:{ 'id': '200006'}</v>
      </c>
      <c r="E9" t="str">
        <f t="shared" ca="1" si="2"/>
        <v>2017-10-22</v>
      </c>
      <c r="G9">
        <f t="shared" si="3"/>
        <v>8</v>
      </c>
      <c r="H9" t="s">
        <v>5639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5638</v>
      </c>
      <c r="B10">
        <f t="shared" si="0"/>
        <v>200008</v>
      </c>
      <c r="C10">
        <f ca="1">INDEX(LocalAreas.csv!G:G,RANDBETWEEN(2,COUNTA(LocalAreas.csv!G:G)),1)</f>
        <v>200072</v>
      </c>
      <c r="D10" t="str">
        <f t="shared" ca="1" si="1"/>
        <v>rg:{ 'id': '200072'}</v>
      </c>
      <c r="E10" t="str">
        <f t="shared" ca="1" si="2"/>
        <v>2017-07-21</v>
      </c>
      <c r="G10">
        <f t="shared" si="3"/>
        <v>9</v>
      </c>
      <c r="H10" t="s">
        <v>5646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5638</v>
      </c>
      <c r="B11">
        <f t="shared" si="0"/>
        <v>200009</v>
      </c>
      <c r="C11">
        <f ca="1">INDEX(LocalAreas.csv!G:G,RANDBETWEEN(2,COUNTA(LocalAreas.csv!G:G)),1)</f>
        <v>200072</v>
      </c>
      <c r="D11" t="str">
        <f t="shared" ca="1" si="1"/>
        <v>rg:{ 'id': '200072'}</v>
      </c>
      <c r="E11" t="str">
        <f t="shared" ca="1" si="2"/>
        <v>2017-06-18</v>
      </c>
      <c r="G11">
        <f t="shared" si="3"/>
        <v>10</v>
      </c>
      <c r="H11" t="s">
        <v>5647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5638</v>
      </c>
      <c r="B12">
        <f t="shared" si="0"/>
        <v>200010</v>
      </c>
      <c r="C12">
        <f ca="1">INDEX(LocalAreas.csv!G:G,RANDBETWEEN(2,COUNTA(LocalAreas.csv!G:G)),1)</f>
        <v>200060</v>
      </c>
      <c r="D12" t="str">
        <f t="shared" ca="1" si="1"/>
        <v>rg:{ 'id': '200060'}</v>
      </c>
      <c r="E12" t="str">
        <f t="shared" ca="1" si="2"/>
        <v>2017-07-24</v>
      </c>
      <c r="G12">
        <f t="shared" si="3"/>
        <v>11</v>
      </c>
      <c r="H12" t="s">
        <v>5648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5638</v>
      </c>
      <c r="B13">
        <f t="shared" si="0"/>
        <v>200011</v>
      </c>
      <c r="C13">
        <f ca="1">INDEX(LocalAreas.csv!G:G,RANDBETWEEN(2,COUNTA(LocalAreas.csv!G:G)),1)</f>
        <v>200051</v>
      </c>
      <c r="D13" t="str">
        <f t="shared" ca="1" si="1"/>
        <v>rg:{ 'id': '200051'}</v>
      </c>
      <c r="E13" t="str">
        <f t="shared" ca="1" si="2"/>
        <v>2017-11-06</v>
      </c>
      <c r="G13">
        <f t="shared" si="3"/>
        <v>12</v>
      </c>
      <c r="H13" t="s">
        <v>5649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5638</v>
      </c>
      <c r="B14">
        <f t="shared" si="0"/>
        <v>200012</v>
      </c>
      <c r="C14">
        <f ca="1">INDEX(LocalAreas.csv!G:G,RANDBETWEEN(2,COUNTA(LocalAreas.csv!G:G)),1)</f>
        <v>200085</v>
      </c>
      <c r="D14" t="str">
        <f t="shared" ca="1" si="1"/>
        <v>rg:{ 'id': '200085'}</v>
      </c>
      <c r="E14" t="str">
        <f t="shared" ca="1" si="2"/>
        <v>2017-08-25</v>
      </c>
      <c r="G14">
        <f t="shared" si="3"/>
        <v>13</v>
      </c>
      <c r="H14" t="s">
        <v>5538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5638</v>
      </c>
      <c r="B15">
        <f t="shared" si="0"/>
        <v>200013</v>
      </c>
      <c r="C15">
        <f ca="1">INDEX(LocalAreas.csv!G:G,RANDBETWEEN(2,COUNTA(LocalAreas.csv!G:G)),1)</f>
        <v>200029</v>
      </c>
      <c r="D15" t="str">
        <f t="shared" ca="1" si="1"/>
        <v>rg:{ 'id': '200029'}</v>
      </c>
      <c r="E15" t="str">
        <f t="shared" ca="1" si="2"/>
        <v>2017-07-29</v>
      </c>
      <c r="G15">
        <f t="shared" si="3"/>
        <v>14</v>
      </c>
      <c r="H15" t="s">
        <v>5639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5638</v>
      </c>
      <c r="B16">
        <f t="shared" si="0"/>
        <v>200014</v>
      </c>
      <c r="C16">
        <f ca="1">INDEX(LocalAreas.csv!G:G,RANDBETWEEN(2,COUNTA(LocalAreas.csv!G:G)),1)</f>
        <v>200059</v>
      </c>
      <c r="D16" t="str">
        <f t="shared" ca="1" si="1"/>
        <v>rg:{ 'id': '200059'}</v>
      </c>
      <c r="E16" t="str">
        <f t="shared" ca="1" si="2"/>
        <v>2017-04-25</v>
      </c>
      <c r="G16">
        <f t="shared" si="3"/>
        <v>15</v>
      </c>
      <c r="H16" t="s">
        <v>5646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5638</v>
      </c>
      <c r="B17">
        <f t="shared" si="0"/>
        <v>200015</v>
      </c>
      <c r="C17">
        <f ca="1">INDEX(LocalAreas.csv!G:G,RANDBETWEEN(2,COUNTA(LocalAreas.csv!G:G)),1)</f>
        <v>200005</v>
      </c>
      <c r="D17" t="str">
        <f t="shared" ca="1" si="1"/>
        <v>rg:{ 'id': '200005'}</v>
      </c>
      <c r="E17" t="str">
        <f t="shared" ca="1" si="2"/>
        <v>2017-12-26</v>
      </c>
      <c r="G17">
        <f t="shared" si="3"/>
        <v>16</v>
      </c>
      <c r="H17" t="s">
        <v>5647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5638</v>
      </c>
      <c r="B18">
        <f t="shared" si="0"/>
        <v>200016</v>
      </c>
      <c r="C18">
        <f ca="1">INDEX(LocalAreas.csv!G:G,RANDBETWEEN(2,COUNTA(LocalAreas.csv!G:G)),1)</f>
        <v>200019</v>
      </c>
      <c r="D18" t="str">
        <f t="shared" ca="1" si="1"/>
        <v>rg:{ 'id': '200019'}</v>
      </c>
      <c r="E18" t="str">
        <f t="shared" ca="1" si="2"/>
        <v>2017-04-17</v>
      </c>
      <c r="G18">
        <f t="shared" si="3"/>
        <v>17</v>
      </c>
      <c r="H18" t="s">
        <v>5648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5638</v>
      </c>
      <c r="B19">
        <f t="shared" si="0"/>
        <v>200017</v>
      </c>
      <c r="C19">
        <f ca="1">INDEX(LocalAreas.csv!G:G,RANDBETWEEN(2,COUNTA(LocalAreas.csv!G:G)),1)</f>
        <v>200018</v>
      </c>
      <c r="D19" t="str">
        <f t="shared" ca="1" si="1"/>
        <v>rg:{ 'id': '200018'}</v>
      </c>
      <c r="E19" t="str">
        <f t="shared" ca="1" si="2"/>
        <v>2017-10-21</v>
      </c>
      <c r="G19">
        <f t="shared" si="3"/>
        <v>18</v>
      </c>
      <c r="H19" t="s">
        <v>5649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5638</v>
      </c>
      <c r="B20">
        <f t="shared" si="0"/>
        <v>200018</v>
      </c>
      <c r="C20">
        <f ca="1">INDEX(LocalAreas.csv!G:G,RANDBETWEEN(2,COUNTA(LocalAreas.csv!G:G)),1)</f>
        <v>200025</v>
      </c>
      <c r="D20" t="str">
        <f t="shared" ca="1" si="1"/>
        <v>rg:{ 'id': '200025'}</v>
      </c>
      <c r="E20" t="str">
        <f t="shared" ca="1" si="2"/>
        <v>2017-12-02</v>
      </c>
      <c r="G20">
        <f t="shared" si="3"/>
        <v>19</v>
      </c>
      <c r="H20" t="s">
        <v>5538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5638</v>
      </c>
      <c r="B21">
        <f t="shared" si="0"/>
        <v>200019</v>
      </c>
      <c r="C21">
        <f ca="1">INDEX(LocalAreas.csv!G:G,RANDBETWEEN(2,COUNTA(LocalAreas.csv!G:G)),1)</f>
        <v>200043</v>
      </c>
      <c r="D21" t="str">
        <f t="shared" ca="1" si="1"/>
        <v>rg:{ 'id': '200043'}</v>
      </c>
      <c r="E21" t="str">
        <f t="shared" ca="1" si="2"/>
        <v>2018-02-11</v>
      </c>
      <c r="G21">
        <f t="shared" si="3"/>
        <v>20</v>
      </c>
      <c r="H21" t="s">
        <v>5639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5638</v>
      </c>
      <c r="B22">
        <f t="shared" si="0"/>
        <v>200020</v>
      </c>
      <c r="C22">
        <f ca="1">INDEX(LocalAreas.csv!G:G,RANDBETWEEN(2,COUNTA(LocalAreas.csv!G:G)),1)</f>
        <v>200083</v>
      </c>
      <c r="D22" t="str">
        <f t="shared" ca="1" si="1"/>
        <v>rg:{ 'id': '200083'}</v>
      </c>
      <c r="E22" t="str">
        <f t="shared" ca="1" si="2"/>
        <v>2017-09-16</v>
      </c>
      <c r="G22">
        <f t="shared" si="3"/>
        <v>21</v>
      </c>
      <c r="H22" t="s">
        <v>5646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5638</v>
      </c>
      <c r="B23">
        <f t="shared" si="0"/>
        <v>200021</v>
      </c>
      <c r="C23">
        <f ca="1">INDEX(LocalAreas.csv!G:G,RANDBETWEEN(2,COUNTA(LocalAreas.csv!G:G)),1)</f>
        <v>200043</v>
      </c>
      <c r="D23" t="str">
        <f t="shared" ca="1" si="1"/>
        <v>rg:{ 'id': '200043'}</v>
      </c>
      <c r="E23" t="str">
        <f t="shared" ca="1" si="2"/>
        <v>2017-03-20</v>
      </c>
      <c r="G23">
        <f t="shared" si="3"/>
        <v>22</v>
      </c>
      <c r="H23" t="s">
        <v>5647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5638</v>
      </c>
      <c r="B24">
        <f t="shared" si="0"/>
        <v>200022</v>
      </c>
      <c r="C24">
        <f ca="1">INDEX(LocalAreas.csv!G:G,RANDBETWEEN(2,COUNTA(LocalAreas.csv!G:G)),1)</f>
        <v>200043</v>
      </c>
      <c r="D24" t="str">
        <f t="shared" ca="1" si="1"/>
        <v>rg:{ 'id': '200043'}</v>
      </c>
      <c r="E24" t="str">
        <f t="shared" ca="1" si="2"/>
        <v>2017-06-16</v>
      </c>
      <c r="G24">
        <f t="shared" si="3"/>
        <v>23</v>
      </c>
      <c r="H24" t="s">
        <v>5648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5638</v>
      </c>
      <c r="B25">
        <f t="shared" si="0"/>
        <v>200023</v>
      </c>
      <c r="C25">
        <f ca="1">INDEX(LocalAreas.csv!G:G,RANDBETWEEN(2,COUNTA(LocalAreas.csv!G:G)),1)</f>
        <v>200072</v>
      </c>
      <c r="D25" t="str">
        <f t="shared" ca="1" si="1"/>
        <v>rg:{ 'id': '200072'}</v>
      </c>
      <c r="E25" t="str">
        <f t="shared" ca="1" si="2"/>
        <v>2017-07-25</v>
      </c>
      <c r="G25">
        <f t="shared" si="3"/>
        <v>24</v>
      </c>
      <c r="H25" t="s">
        <v>5649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5638</v>
      </c>
      <c r="B26">
        <f t="shared" si="0"/>
        <v>200024</v>
      </c>
      <c r="C26">
        <f ca="1">INDEX(LocalAreas.csv!G:G,RANDBETWEEN(2,COUNTA(LocalAreas.csv!G:G)),1)</f>
        <v>200028</v>
      </c>
      <c r="D26" t="str">
        <f t="shared" ca="1" si="1"/>
        <v>rg:{ 'id': '200028'}</v>
      </c>
      <c r="E26" t="str">
        <f t="shared" ca="1" si="2"/>
        <v>2017-04-23</v>
      </c>
      <c r="G26">
        <f t="shared" si="3"/>
        <v>25</v>
      </c>
      <c r="H26" t="s">
        <v>5538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5638</v>
      </c>
      <c r="B27">
        <f t="shared" si="0"/>
        <v>200025</v>
      </c>
      <c r="C27">
        <f ca="1">INDEX(LocalAreas.csv!G:G,RANDBETWEEN(2,COUNTA(LocalAreas.csv!G:G)),1)</f>
        <v>200048</v>
      </c>
      <c r="D27" t="str">
        <f t="shared" ca="1" si="1"/>
        <v>rg:{ 'id': '200048'}</v>
      </c>
      <c r="E27" t="str">
        <f t="shared" ca="1" si="2"/>
        <v>2017-04-07</v>
      </c>
      <c r="G27">
        <f t="shared" si="3"/>
        <v>26</v>
      </c>
      <c r="H27" t="s">
        <v>5639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5638</v>
      </c>
      <c r="B28">
        <f t="shared" si="0"/>
        <v>200026</v>
      </c>
      <c r="C28">
        <f ca="1">INDEX(LocalAreas.csv!G:G,RANDBETWEEN(2,COUNTA(LocalAreas.csv!G:G)),1)</f>
        <v>200012</v>
      </c>
      <c r="D28" t="str">
        <f t="shared" ca="1" si="1"/>
        <v>rg:{ 'id': '200012'}</v>
      </c>
      <c r="E28" t="str">
        <f t="shared" ca="1" si="2"/>
        <v>2017-06-06</v>
      </c>
      <c r="G28">
        <f t="shared" si="3"/>
        <v>27</v>
      </c>
      <c r="H28" t="s">
        <v>5646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5638</v>
      </c>
      <c r="B29">
        <f t="shared" si="0"/>
        <v>200027</v>
      </c>
      <c r="C29">
        <f ca="1">INDEX(LocalAreas.csv!G:G,RANDBETWEEN(2,COUNTA(LocalAreas.csv!G:G)),1)</f>
        <v>200064</v>
      </c>
      <c r="D29" t="str">
        <f t="shared" ca="1" si="1"/>
        <v>rg:{ 'id': '200064'}</v>
      </c>
      <c r="E29" t="str">
        <f t="shared" ca="1" si="2"/>
        <v>2017-02-26</v>
      </c>
      <c r="G29">
        <f t="shared" si="3"/>
        <v>28</v>
      </c>
      <c r="H29" t="s">
        <v>5647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5638</v>
      </c>
      <c r="B30">
        <f t="shared" si="0"/>
        <v>200028</v>
      </c>
      <c r="C30">
        <f ca="1">INDEX(LocalAreas.csv!G:G,RANDBETWEEN(2,COUNTA(LocalAreas.csv!G:G)),1)</f>
        <v>200017</v>
      </c>
      <c r="D30" t="str">
        <f t="shared" ca="1" si="1"/>
        <v>rg:{ 'id': '200017'}</v>
      </c>
      <c r="E30" t="str">
        <f t="shared" ca="1" si="2"/>
        <v>2017-11-03</v>
      </c>
      <c r="G30">
        <f t="shared" si="3"/>
        <v>29</v>
      </c>
      <c r="H30" t="s">
        <v>5648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5638</v>
      </c>
      <c r="B31">
        <f t="shared" si="0"/>
        <v>200029</v>
      </c>
      <c r="C31">
        <f ca="1">INDEX(LocalAreas.csv!G:G,RANDBETWEEN(2,COUNTA(LocalAreas.csv!G:G)),1)</f>
        <v>200086</v>
      </c>
      <c r="D31" t="str">
        <f t="shared" ca="1" si="1"/>
        <v>rg:{ 'id': '200086'}</v>
      </c>
      <c r="E31" t="str">
        <f t="shared" ca="1" si="2"/>
        <v>2017-06-03</v>
      </c>
      <c r="G31">
        <f t="shared" si="3"/>
        <v>30</v>
      </c>
      <c r="H31" t="s">
        <v>5649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E2" sqref="E2:E31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68</v>
      </c>
      <c r="B1" t="s">
        <v>5328</v>
      </c>
      <c r="C1" t="s">
        <v>75</v>
      </c>
      <c r="D1" t="s">
        <v>5673</v>
      </c>
      <c r="E1" t="s">
        <v>73</v>
      </c>
      <c r="F1" t="s">
        <v>70</v>
      </c>
      <c r="G1" t="s">
        <v>71</v>
      </c>
      <c r="H1" t="s">
        <v>5327</v>
      </c>
    </row>
    <row r="2" spans="1:8" x14ac:dyDescent="0.3">
      <c r="A2" t="s">
        <v>74</v>
      </c>
      <c r="B2" t="s">
        <v>2951</v>
      </c>
      <c r="C2" t="s">
        <v>6521</v>
      </c>
      <c r="D2">
        <v>1</v>
      </c>
      <c r="E2" t="s">
        <v>2923</v>
      </c>
      <c r="F2" s="2" t="s">
        <v>6519</v>
      </c>
      <c r="G2" t="s">
        <v>76</v>
      </c>
      <c r="H2" s="3">
        <v>200000</v>
      </c>
    </row>
    <row r="3" spans="1:8" x14ac:dyDescent="0.3">
      <c r="A3" t="s">
        <v>74</v>
      </c>
      <c r="B3" t="s">
        <v>2951</v>
      </c>
      <c r="C3" t="s">
        <v>6521</v>
      </c>
      <c r="D3">
        <v>2</v>
      </c>
      <c r="E3" t="s">
        <v>2924</v>
      </c>
      <c r="F3" s="2" t="s">
        <v>6519</v>
      </c>
      <c r="G3" t="s">
        <v>76</v>
      </c>
      <c r="H3" s="3">
        <v>200001</v>
      </c>
    </row>
    <row r="4" spans="1:8" x14ac:dyDescent="0.3">
      <c r="A4" t="s">
        <v>74</v>
      </c>
      <c r="B4" t="s">
        <v>2951</v>
      </c>
      <c r="C4" t="s">
        <v>6521</v>
      </c>
      <c r="D4">
        <v>3</v>
      </c>
      <c r="E4" t="s">
        <v>2925</v>
      </c>
      <c r="F4" s="2" t="s">
        <v>6519</v>
      </c>
      <c r="G4" t="s">
        <v>76</v>
      </c>
      <c r="H4" s="3">
        <v>200002</v>
      </c>
    </row>
    <row r="5" spans="1:8" x14ac:dyDescent="0.3">
      <c r="A5" t="s">
        <v>74</v>
      </c>
      <c r="B5" t="s">
        <v>2928</v>
      </c>
      <c r="C5" t="s">
        <v>6540</v>
      </c>
      <c r="D5">
        <v>4</v>
      </c>
      <c r="E5" t="s">
        <v>2926</v>
      </c>
      <c r="F5" s="2" t="s">
        <v>6519</v>
      </c>
      <c r="G5" t="s">
        <v>76</v>
      </c>
      <c r="H5" s="3">
        <v>200003</v>
      </c>
    </row>
    <row r="6" spans="1:8" x14ac:dyDescent="0.3">
      <c r="A6" t="s">
        <v>74</v>
      </c>
      <c r="B6" t="s">
        <v>2928</v>
      </c>
      <c r="C6" t="s">
        <v>6540</v>
      </c>
      <c r="D6">
        <v>5</v>
      </c>
      <c r="E6" t="s">
        <v>2927</v>
      </c>
      <c r="F6" s="2" t="s">
        <v>6519</v>
      </c>
      <c r="G6" t="s">
        <v>76</v>
      </c>
      <c r="H6" s="3">
        <v>200004</v>
      </c>
    </row>
    <row r="7" spans="1:8" x14ac:dyDescent="0.3">
      <c r="A7" t="s">
        <v>74</v>
      </c>
      <c r="B7" t="s">
        <v>2928</v>
      </c>
      <c r="C7" t="s">
        <v>6540</v>
      </c>
      <c r="D7">
        <v>6</v>
      </c>
      <c r="E7" t="s">
        <v>2928</v>
      </c>
      <c r="F7" s="2" t="s">
        <v>6519</v>
      </c>
      <c r="G7" t="s">
        <v>76</v>
      </c>
      <c r="H7" s="3">
        <v>200005</v>
      </c>
    </row>
    <row r="8" spans="1:8" x14ac:dyDescent="0.3">
      <c r="A8" t="s">
        <v>74</v>
      </c>
      <c r="B8" t="s">
        <v>2928</v>
      </c>
      <c r="C8" t="s">
        <v>6540</v>
      </c>
      <c r="D8">
        <v>7</v>
      </c>
      <c r="E8" t="s">
        <v>10</v>
      </c>
      <c r="F8" s="2" t="s">
        <v>6519</v>
      </c>
      <c r="G8" t="s">
        <v>76</v>
      </c>
      <c r="H8" s="3">
        <v>200006</v>
      </c>
    </row>
    <row r="9" spans="1:8" x14ac:dyDescent="0.3">
      <c r="A9" t="s">
        <v>74</v>
      </c>
      <c r="B9" t="s">
        <v>2953</v>
      </c>
      <c r="C9" t="s">
        <v>6544</v>
      </c>
      <c r="D9">
        <v>8</v>
      </c>
      <c r="E9" t="s">
        <v>2929</v>
      </c>
      <c r="F9" s="2" t="s">
        <v>6519</v>
      </c>
      <c r="G9" t="s">
        <v>76</v>
      </c>
      <c r="H9" s="3">
        <v>200007</v>
      </c>
    </row>
    <row r="10" spans="1:8" x14ac:dyDescent="0.3">
      <c r="A10" t="s">
        <v>74</v>
      </c>
      <c r="B10" t="s">
        <v>22</v>
      </c>
      <c r="C10" t="s">
        <v>6548</v>
      </c>
      <c r="D10">
        <v>9</v>
      </c>
      <c r="E10" t="s">
        <v>2930</v>
      </c>
      <c r="F10" s="2" t="s">
        <v>6519</v>
      </c>
      <c r="G10" t="s">
        <v>76</v>
      </c>
      <c r="H10" s="3">
        <v>200008</v>
      </c>
    </row>
    <row r="11" spans="1:8" x14ac:dyDescent="0.3">
      <c r="A11" t="s">
        <v>74</v>
      </c>
      <c r="B11" t="s">
        <v>22</v>
      </c>
      <c r="C11" t="s">
        <v>6548</v>
      </c>
      <c r="D11">
        <v>10</v>
      </c>
      <c r="E11" t="s">
        <v>2931</v>
      </c>
      <c r="F11" s="2" t="s">
        <v>6519</v>
      </c>
      <c r="G11" t="s">
        <v>76</v>
      </c>
      <c r="H11" s="3">
        <v>200009</v>
      </c>
    </row>
    <row r="12" spans="1:8" x14ac:dyDescent="0.3">
      <c r="A12" t="s">
        <v>74</v>
      </c>
      <c r="B12" t="s">
        <v>2952</v>
      </c>
      <c r="C12" t="s">
        <v>6533</v>
      </c>
      <c r="D12">
        <v>11</v>
      </c>
      <c r="E12" t="s">
        <v>13</v>
      </c>
      <c r="F12" s="2" t="s">
        <v>6519</v>
      </c>
      <c r="G12" t="s">
        <v>76</v>
      </c>
      <c r="H12" s="3">
        <v>200010</v>
      </c>
    </row>
    <row r="13" spans="1:8" x14ac:dyDescent="0.3">
      <c r="A13" t="s">
        <v>74</v>
      </c>
      <c r="B13" t="s">
        <v>2952</v>
      </c>
      <c r="C13" t="s">
        <v>6533</v>
      </c>
      <c r="D13">
        <v>12</v>
      </c>
      <c r="E13" t="s">
        <v>2932</v>
      </c>
      <c r="F13" s="2" t="s">
        <v>6519</v>
      </c>
      <c r="G13" t="s">
        <v>76</v>
      </c>
      <c r="H13" s="3">
        <v>200011</v>
      </c>
    </row>
    <row r="14" spans="1:8" x14ac:dyDescent="0.3">
      <c r="A14" t="s">
        <v>74</v>
      </c>
      <c r="B14" t="s">
        <v>2953</v>
      </c>
      <c r="C14" t="s">
        <v>6544</v>
      </c>
      <c r="D14">
        <v>13</v>
      </c>
      <c r="E14" t="s">
        <v>2933</v>
      </c>
      <c r="F14" s="2" t="s">
        <v>6519</v>
      </c>
      <c r="G14" t="s">
        <v>76</v>
      </c>
      <c r="H14" s="3">
        <v>200012</v>
      </c>
    </row>
    <row r="15" spans="1:8" x14ac:dyDescent="0.3">
      <c r="A15" t="s">
        <v>74</v>
      </c>
      <c r="B15" t="s">
        <v>2954</v>
      </c>
      <c r="C15" t="s">
        <v>6528</v>
      </c>
      <c r="D15">
        <v>14</v>
      </c>
      <c r="E15" t="s">
        <v>2934</v>
      </c>
      <c r="F15" s="2" t="s">
        <v>6519</v>
      </c>
      <c r="G15" t="s">
        <v>76</v>
      </c>
      <c r="H15" s="3">
        <v>200013</v>
      </c>
    </row>
    <row r="16" spans="1:8" x14ac:dyDescent="0.3">
      <c r="A16" t="s">
        <v>74</v>
      </c>
      <c r="B16" t="s">
        <v>2954</v>
      </c>
      <c r="C16" t="s">
        <v>6528</v>
      </c>
      <c r="D16">
        <v>15</v>
      </c>
      <c r="E16" t="s">
        <v>2935</v>
      </c>
      <c r="F16" s="2" t="s">
        <v>6519</v>
      </c>
      <c r="G16" t="s">
        <v>76</v>
      </c>
      <c r="H16" s="3">
        <v>200014</v>
      </c>
    </row>
    <row r="17" spans="1:8" x14ac:dyDescent="0.3">
      <c r="A17" t="s">
        <v>74</v>
      </c>
      <c r="B17" t="s">
        <v>2955</v>
      </c>
      <c r="C17" t="s">
        <v>6525</v>
      </c>
      <c r="D17">
        <v>16</v>
      </c>
      <c r="E17" t="s">
        <v>2936</v>
      </c>
      <c r="F17" s="2" t="s">
        <v>6519</v>
      </c>
      <c r="G17" t="s">
        <v>76</v>
      </c>
      <c r="H17" s="3">
        <v>200015</v>
      </c>
    </row>
    <row r="18" spans="1:8" x14ac:dyDescent="0.3">
      <c r="A18" t="s">
        <v>74</v>
      </c>
      <c r="B18" t="s">
        <v>2955</v>
      </c>
      <c r="C18" t="s">
        <v>6525</v>
      </c>
      <c r="D18">
        <v>17</v>
      </c>
      <c r="E18" t="s">
        <v>2937</v>
      </c>
      <c r="F18" s="2" t="s">
        <v>6519</v>
      </c>
      <c r="G18" t="s">
        <v>76</v>
      </c>
      <c r="H18" s="3">
        <v>200016</v>
      </c>
    </row>
    <row r="19" spans="1:8" x14ac:dyDescent="0.3">
      <c r="A19" t="s">
        <v>74</v>
      </c>
      <c r="B19" t="s">
        <v>2955</v>
      </c>
      <c r="C19" t="s">
        <v>6525</v>
      </c>
      <c r="D19">
        <v>18</v>
      </c>
      <c r="E19" t="s">
        <v>2938</v>
      </c>
      <c r="F19" s="2" t="s">
        <v>6519</v>
      </c>
      <c r="G19" t="s">
        <v>76</v>
      </c>
      <c r="H19" s="3">
        <v>200017</v>
      </c>
    </row>
    <row r="20" spans="1:8" x14ac:dyDescent="0.3">
      <c r="A20" t="s">
        <v>74</v>
      </c>
      <c r="B20" t="s">
        <v>2939</v>
      </c>
      <c r="C20" t="s">
        <v>6526</v>
      </c>
      <c r="D20">
        <v>19</v>
      </c>
      <c r="E20" t="s">
        <v>2939</v>
      </c>
      <c r="F20" s="2" t="s">
        <v>6519</v>
      </c>
      <c r="G20" t="s">
        <v>76</v>
      </c>
      <c r="H20" s="3">
        <v>200018</v>
      </c>
    </row>
    <row r="21" spans="1:8" x14ac:dyDescent="0.3">
      <c r="A21" t="s">
        <v>74</v>
      </c>
      <c r="B21" t="s">
        <v>2939</v>
      </c>
      <c r="C21" t="s">
        <v>6526</v>
      </c>
      <c r="D21">
        <v>20</v>
      </c>
      <c r="E21" t="s">
        <v>2940</v>
      </c>
      <c r="F21" s="2" t="s">
        <v>6519</v>
      </c>
      <c r="G21" t="s">
        <v>76</v>
      </c>
      <c r="H21" s="3">
        <v>200019</v>
      </c>
    </row>
    <row r="22" spans="1:8" x14ac:dyDescent="0.3">
      <c r="A22" t="s">
        <v>74</v>
      </c>
      <c r="B22" t="s">
        <v>2956</v>
      </c>
      <c r="C22" t="s">
        <v>6541</v>
      </c>
      <c r="D22">
        <v>21</v>
      </c>
      <c r="E22" t="s">
        <v>2941</v>
      </c>
      <c r="F22" s="2" t="s">
        <v>6519</v>
      </c>
      <c r="G22" t="s">
        <v>76</v>
      </c>
      <c r="H22" s="3">
        <v>200020</v>
      </c>
    </row>
    <row r="23" spans="1:8" x14ac:dyDescent="0.3">
      <c r="A23" t="s">
        <v>74</v>
      </c>
      <c r="B23" t="s">
        <v>2956</v>
      </c>
      <c r="C23" t="s">
        <v>6541</v>
      </c>
      <c r="D23">
        <v>22</v>
      </c>
      <c r="E23" t="s">
        <v>2942</v>
      </c>
      <c r="F23" s="2" t="s">
        <v>6519</v>
      </c>
      <c r="G23" t="s">
        <v>76</v>
      </c>
      <c r="H23" s="3">
        <v>200021</v>
      </c>
    </row>
    <row r="24" spans="1:8" x14ac:dyDescent="0.3">
      <c r="A24" t="s">
        <v>74</v>
      </c>
      <c r="B24" t="s">
        <v>2939</v>
      </c>
      <c r="C24" t="s">
        <v>6526</v>
      </c>
      <c r="D24">
        <v>23</v>
      </c>
      <c r="E24" t="s">
        <v>2943</v>
      </c>
      <c r="F24" s="2" t="s">
        <v>6519</v>
      </c>
      <c r="G24" t="s">
        <v>76</v>
      </c>
      <c r="H24" s="3">
        <v>200022</v>
      </c>
    </row>
    <row r="25" spans="1:8" x14ac:dyDescent="0.3">
      <c r="A25" t="s">
        <v>74</v>
      </c>
      <c r="B25" t="s">
        <v>2957</v>
      </c>
      <c r="C25" t="s">
        <v>6522</v>
      </c>
      <c r="D25">
        <v>24</v>
      </c>
      <c r="E25" t="s">
        <v>2944</v>
      </c>
      <c r="F25" s="2" t="s">
        <v>6519</v>
      </c>
      <c r="G25" t="s">
        <v>76</v>
      </c>
      <c r="H25" s="3">
        <v>200023</v>
      </c>
    </row>
    <row r="26" spans="1:8" x14ac:dyDescent="0.3">
      <c r="A26" t="s">
        <v>74</v>
      </c>
      <c r="B26" t="s">
        <v>2957</v>
      </c>
      <c r="C26" t="s">
        <v>6522</v>
      </c>
      <c r="D26">
        <v>25</v>
      </c>
      <c r="E26" t="s">
        <v>2945</v>
      </c>
      <c r="F26" s="2" t="s">
        <v>6519</v>
      </c>
      <c r="G26" t="s">
        <v>76</v>
      </c>
      <c r="H26" s="3">
        <v>200024</v>
      </c>
    </row>
    <row r="27" spans="1:8" x14ac:dyDescent="0.3">
      <c r="A27" t="s">
        <v>74</v>
      </c>
      <c r="B27" t="s">
        <v>2946</v>
      </c>
      <c r="C27" t="s">
        <v>6523</v>
      </c>
      <c r="D27">
        <v>26</v>
      </c>
      <c r="E27" t="s">
        <v>2946</v>
      </c>
      <c r="F27" s="2" t="s">
        <v>6519</v>
      </c>
      <c r="G27" t="s">
        <v>76</v>
      </c>
      <c r="H27" s="3">
        <v>200025</v>
      </c>
    </row>
    <row r="28" spans="1:8" x14ac:dyDescent="0.3">
      <c r="A28" t="s">
        <v>74</v>
      </c>
      <c r="B28" t="s">
        <v>2946</v>
      </c>
      <c r="C28" t="s">
        <v>6523</v>
      </c>
      <c r="D28">
        <v>27</v>
      </c>
      <c r="E28" t="s">
        <v>2947</v>
      </c>
      <c r="F28" s="2" t="s">
        <v>6519</v>
      </c>
      <c r="G28" t="s">
        <v>76</v>
      </c>
      <c r="H28" s="3">
        <v>200026</v>
      </c>
    </row>
    <row r="29" spans="1:8" x14ac:dyDescent="0.3">
      <c r="A29" t="s">
        <v>74</v>
      </c>
      <c r="B29" t="s">
        <v>2957</v>
      </c>
      <c r="C29" t="s">
        <v>6522</v>
      </c>
      <c r="D29">
        <v>28</v>
      </c>
      <c r="E29" t="s">
        <v>2948</v>
      </c>
      <c r="F29" s="2" t="s">
        <v>6519</v>
      </c>
      <c r="G29" t="s">
        <v>76</v>
      </c>
      <c r="H29" s="3">
        <v>200027</v>
      </c>
    </row>
    <row r="30" spans="1:8" x14ac:dyDescent="0.3">
      <c r="A30" t="s">
        <v>74</v>
      </c>
      <c r="B30" t="s">
        <v>2949</v>
      </c>
      <c r="C30" t="s">
        <v>6537</v>
      </c>
      <c r="D30">
        <v>99</v>
      </c>
      <c r="E30" t="s">
        <v>2949</v>
      </c>
      <c r="F30" s="2" t="s">
        <v>6519</v>
      </c>
      <c r="G30" t="s">
        <v>76</v>
      </c>
      <c r="H30" s="3">
        <v>200028</v>
      </c>
    </row>
    <row r="31" spans="1:8" x14ac:dyDescent="0.3">
      <c r="A31" t="s">
        <v>74</v>
      </c>
      <c r="B31" t="s">
        <v>2950</v>
      </c>
      <c r="C31" t="s">
        <v>6535</v>
      </c>
      <c r="D31">
        <v>999</v>
      </c>
      <c r="E31" t="s">
        <v>2950</v>
      </c>
      <c r="F31" s="2" t="s">
        <v>6519</v>
      </c>
      <c r="G31" t="s">
        <v>76</v>
      </c>
      <c r="H31" s="3">
        <v>200029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88"/>
  <sheetViews>
    <sheetView workbookViewId="0">
      <pane ySplit="1" topLeftCell="A2" activePane="bottomLeft" state="frozen"/>
      <selection pane="bottomLeft" activeCell="G30" sqref="G30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68</v>
      </c>
      <c r="B1" t="s">
        <v>5379</v>
      </c>
      <c r="C1" t="s">
        <v>5380</v>
      </c>
      <c r="D1" t="s">
        <v>73</v>
      </c>
      <c r="E1" t="s">
        <v>70</v>
      </c>
      <c r="F1" t="s">
        <v>71</v>
      </c>
      <c r="G1" t="s">
        <v>5327</v>
      </c>
    </row>
    <row r="2" spans="1:7" x14ac:dyDescent="0.3">
      <c r="A2" t="s">
        <v>5378</v>
      </c>
      <c r="B2" t="s">
        <v>2945</v>
      </c>
      <c r="C2" t="s">
        <v>6518</v>
      </c>
      <c r="D2" t="s">
        <v>6461</v>
      </c>
      <c r="E2" s="2" t="s">
        <v>6519</v>
      </c>
      <c r="F2" t="s">
        <v>76</v>
      </c>
      <c r="G2" s="3">
        <v>200000</v>
      </c>
    </row>
    <row r="3" spans="1:7" x14ac:dyDescent="0.3">
      <c r="A3" t="s">
        <v>5378</v>
      </c>
      <c r="B3" t="s">
        <v>2945</v>
      </c>
      <c r="C3" t="s">
        <v>6518</v>
      </c>
      <c r="D3" t="s">
        <v>6462</v>
      </c>
      <c r="E3" s="2" t="s">
        <v>6519</v>
      </c>
      <c r="F3" t="s">
        <v>76</v>
      </c>
      <c r="G3" s="3">
        <v>200001</v>
      </c>
    </row>
    <row r="4" spans="1:7" x14ac:dyDescent="0.3">
      <c r="A4" t="s">
        <v>5378</v>
      </c>
      <c r="B4" t="s">
        <v>2945</v>
      </c>
      <c r="C4" t="s">
        <v>6518</v>
      </c>
      <c r="D4" t="s">
        <v>6463</v>
      </c>
      <c r="E4" s="2" t="s">
        <v>6519</v>
      </c>
      <c r="F4" t="s">
        <v>76</v>
      </c>
      <c r="G4" s="3">
        <v>200002</v>
      </c>
    </row>
    <row r="5" spans="1:7" x14ac:dyDescent="0.3">
      <c r="A5" t="s">
        <v>5378</v>
      </c>
      <c r="B5" t="s">
        <v>2937</v>
      </c>
      <c r="C5" t="s">
        <v>6520</v>
      </c>
      <c r="D5" t="s">
        <v>2955</v>
      </c>
      <c r="E5" s="2" t="s">
        <v>6519</v>
      </c>
      <c r="F5" t="s">
        <v>76</v>
      </c>
      <c r="G5" s="3">
        <v>200003</v>
      </c>
    </row>
    <row r="6" spans="1:7" x14ac:dyDescent="0.3">
      <c r="A6" t="s">
        <v>5378</v>
      </c>
      <c r="B6" t="s">
        <v>2937</v>
      </c>
      <c r="C6" t="s">
        <v>6520</v>
      </c>
      <c r="D6" t="s">
        <v>6464</v>
      </c>
      <c r="E6" s="2" t="s">
        <v>6519</v>
      </c>
      <c r="F6" t="s">
        <v>76</v>
      </c>
      <c r="G6" s="3">
        <v>200004</v>
      </c>
    </row>
    <row r="7" spans="1:7" x14ac:dyDescent="0.3">
      <c r="A7" t="s">
        <v>5378</v>
      </c>
      <c r="B7" t="s">
        <v>2924</v>
      </c>
      <c r="C7" t="s">
        <v>6521</v>
      </c>
      <c r="D7" t="s">
        <v>6465</v>
      </c>
      <c r="E7" s="2" t="s">
        <v>6519</v>
      </c>
      <c r="F7" t="s">
        <v>76</v>
      </c>
      <c r="G7" s="3">
        <v>200005</v>
      </c>
    </row>
    <row r="8" spans="1:7" x14ac:dyDescent="0.3">
      <c r="A8" t="s">
        <v>5378</v>
      </c>
      <c r="B8" t="s">
        <v>2924</v>
      </c>
      <c r="C8" t="s">
        <v>6521</v>
      </c>
      <c r="D8" t="s">
        <v>6466</v>
      </c>
      <c r="E8" s="2" t="s">
        <v>6519</v>
      </c>
      <c r="F8" t="s">
        <v>76</v>
      </c>
      <c r="G8" s="3">
        <v>200006</v>
      </c>
    </row>
    <row r="9" spans="1:7" x14ac:dyDescent="0.3">
      <c r="A9" t="s">
        <v>5378</v>
      </c>
      <c r="B9" t="s">
        <v>2924</v>
      </c>
      <c r="C9" t="s">
        <v>6521</v>
      </c>
      <c r="D9" t="s">
        <v>3722</v>
      </c>
      <c r="E9" s="2" t="s">
        <v>6519</v>
      </c>
      <c r="F9" t="s">
        <v>76</v>
      </c>
      <c r="G9" s="3">
        <v>200007</v>
      </c>
    </row>
    <row r="10" spans="1:7" x14ac:dyDescent="0.3">
      <c r="A10" t="s">
        <v>5378</v>
      </c>
      <c r="B10" t="s">
        <v>2924</v>
      </c>
      <c r="C10" t="s">
        <v>6521</v>
      </c>
      <c r="D10" t="s">
        <v>6467</v>
      </c>
      <c r="E10" s="2" t="s">
        <v>6519</v>
      </c>
      <c r="F10" t="s">
        <v>76</v>
      </c>
      <c r="G10" s="3">
        <v>200008</v>
      </c>
    </row>
    <row r="11" spans="1:7" x14ac:dyDescent="0.3">
      <c r="A11" t="s">
        <v>5378</v>
      </c>
      <c r="B11" t="s">
        <v>2924</v>
      </c>
      <c r="C11" t="s">
        <v>6521</v>
      </c>
      <c r="D11" t="s">
        <v>5353</v>
      </c>
      <c r="E11" s="2" t="s">
        <v>6519</v>
      </c>
      <c r="F11" t="s">
        <v>76</v>
      </c>
      <c r="G11" s="3">
        <v>200009</v>
      </c>
    </row>
    <row r="12" spans="1:7" x14ac:dyDescent="0.3">
      <c r="A12" t="s">
        <v>5378</v>
      </c>
      <c r="B12" t="s">
        <v>2931</v>
      </c>
      <c r="C12" t="s">
        <v>6522</v>
      </c>
      <c r="D12" t="s">
        <v>6468</v>
      </c>
      <c r="E12" s="2" t="s">
        <v>6519</v>
      </c>
      <c r="F12" t="s">
        <v>76</v>
      </c>
      <c r="G12" s="3">
        <v>200010</v>
      </c>
    </row>
    <row r="13" spans="1:7" x14ac:dyDescent="0.3">
      <c r="A13" t="s">
        <v>5378</v>
      </c>
      <c r="B13" t="s">
        <v>2931</v>
      </c>
      <c r="C13" t="s">
        <v>6522</v>
      </c>
      <c r="D13" t="s">
        <v>6469</v>
      </c>
      <c r="E13" s="2" t="s">
        <v>6519</v>
      </c>
      <c r="F13" t="s">
        <v>76</v>
      </c>
      <c r="G13" s="3">
        <v>200011</v>
      </c>
    </row>
    <row r="14" spans="1:7" x14ac:dyDescent="0.3">
      <c r="A14" t="s">
        <v>5378</v>
      </c>
      <c r="B14" t="s">
        <v>2931</v>
      </c>
      <c r="C14" t="s">
        <v>6522</v>
      </c>
      <c r="D14" t="s">
        <v>5348</v>
      </c>
      <c r="E14" s="2" t="s">
        <v>6519</v>
      </c>
      <c r="F14" t="s">
        <v>76</v>
      </c>
      <c r="G14" s="3">
        <v>200012</v>
      </c>
    </row>
    <row r="15" spans="1:7" x14ac:dyDescent="0.3">
      <c r="A15" t="s">
        <v>5378</v>
      </c>
      <c r="B15" t="s">
        <v>2931</v>
      </c>
      <c r="C15" t="s">
        <v>6522</v>
      </c>
      <c r="D15" t="s">
        <v>6470</v>
      </c>
      <c r="E15" s="2" t="s">
        <v>6519</v>
      </c>
      <c r="F15" t="s">
        <v>76</v>
      </c>
      <c r="G15" s="3">
        <v>200013</v>
      </c>
    </row>
    <row r="16" spans="1:7" x14ac:dyDescent="0.3">
      <c r="A16" t="s">
        <v>5378</v>
      </c>
      <c r="B16" t="s">
        <v>2931</v>
      </c>
      <c r="C16" t="s">
        <v>6522</v>
      </c>
      <c r="D16" t="s">
        <v>6471</v>
      </c>
      <c r="E16" s="2" t="s">
        <v>6519</v>
      </c>
      <c r="F16" t="s">
        <v>76</v>
      </c>
      <c r="G16" s="3">
        <v>200014</v>
      </c>
    </row>
    <row r="17" spans="1:7" x14ac:dyDescent="0.3">
      <c r="A17" t="s">
        <v>5378</v>
      </c>
      <c r="B17" t="s">
        <v>2931</v>
      </c>
      <c r="C17" t="s">
        <v>6522</v>
      </c>
      <c r="D17" t="s">
        <v>6472</v>
      </c>
      <c r="E17" s="2" t="s">
        <v>6519</v>
      </c>
      <c r="F17" t="s">
        <v>76</v>
      </c>
      <c r="G17" s="3">
        <v>200015</v>
      </c>
    </row>
    <row r="18" spans="1:7" x14ac:dyDescent="0.3">
      <c r="A18" t="s">
        <v>5378</v>
      </c>
      <c r="B18" t="s">
        <v>13</v>
      </c>
      <c r="C18" t="s">
        <v>6523</v>
      </c>
      <c r="D18" t="s">
        <v>3578</v>
      </c>
      <c r="E18" s="2" t="s">
        <v>6519</v>
      </c>
      <c r="F18" t="s">
        <v>76</v>
      </c>
      <c r="G18" s="3">
        <v>200016</v>
      </c>
    </row>
    <row r="19" spans="1:7" x14ac:dyDescent="0.3">
      <c r="A19" t="s">
        <v>5378</v>
      </c>
      <c r="B19" t="s">
        <v>13</v>
      </c>
      <c r="C19" t="s">
        <v>6523</v>
      </c>
      <c r="D19" t="s">
        <v>6473</v>
      </c>
      <c r="E19" s="2" t="s">
        <v>6519</v>
      </c>
      <c r="F19" t="s">
        <v>76</v>
      </c>
      <c r="G19" s="3">
        <v>200017</v>
      </c>
    </row>
    <row r="20" spans="1:7" x14ac:dyDescent="0.3">
      <c r="A20" t="s">
        <v>5378</v>
      </c>
      <c r="B20" t="s">
        <v>13</v>
      </c>
      <c r="C20" t="s">
        <v>6523</v>
      </c>
      <c r="D20" t="s">
        <v>4486</v>
      </c>
      <c r="E20" s="2" t="s">
        <v>6519</v>
      </c>
      <c r="F20" t="s">
        <v>76</v>
      </c>
      <c r="G20" s="3">
        <v>200018</v>
      </c>
    </row>
    <row r="21" spans="1:7" x14ac:dyDescent="0.3">
      <c r="A21" t="s">
        <v>5378</v>
      </c>
      <c r="B21" t="s">
        <v>2939</v>
      </c>
      <c r="C21" t="s">
        <v>6524</v>
      </c>
      <c r="D21" t="s">
        <v>15</v>
      </c>
      <c r="E21" s="2" t="s">
        <v>6519</v>
      </c>
      <c r="F21" t="s">
        <v>76</v>
      </c>
      <c r="G21" s="3">
        <v>200019</v>
      </c>
    </row>
    <row r="22" spans="1:7" x14ac:dyDescent="0.3">
      <c r="A22" t="s">
        <v>5378</v>
      </c>
      <c r="B22" t="s">
        <v>10</v>
      </c>
      <c r="C22" t="s">
        <v>6525</v>
      </c>
      <c r="D22" t="s">
        <v>6474</v>
      </c>
      <c r="E22" s="2" t="s">
        <v>6519</v>
      </c>
      <c r="F22" t="s">
        <v>76</v>
      </c>
      <c r="G22" s="3">
        <v>200020</v>
      </c>
    </row>
    <row r="23" spans="1:7" x14ac:dyDescent="0.3">
      <c r="A23" t="s">
        <v>5378</v>
      </c>
      <c r="B23" t="s">
        <v>10</v>
      </c>
      <c r="C23" t="s">
        <v>6525</v>
      </c>
      <c r="D23" t="s">
        <v>6475</v>
      </c>
      <c r="E23" s="2" t="s">
        <v>6519</v>
      </c>
      <c r="F23" t="s">
        <v>76</v>
      </c>
      <c r="G23" s="3">
        <v>200021</v>
      </c>
    </row>
    <row r="24" spans="1:7" x14ac:dyDescent="0.3">
      <c r="A24" t="s">
        <v>5378</v>
      </c>
      <c r="B24" t="s">
        <v>10</v>
      </c>
      <c r="C24" t="s">
        <v>6525</v>
      </c>
      <c r="D24" t="s">
        <v>3104</v>
      </c>
      <c r="E24" s="2" t="s">
        <v>6519</v>
      </c>
      <c r="F24" t="s">
        <v>76</v>
      </c>
      <c r="G24" s="3">
        <v>200022</v>
      </c>
    </row>
    <row r="25" spans="1:7" x14ac:dyDescent="0.3">
      <c r="A25" t="s">
        <v>5378</v>
      </c>
      <c r="B25" t="s">
        <v>2930</v>
      </c>
      <c r="C25" t="s">
        <v>6526</v>
      </c>
      <c r="D25" t="s">
        <v>6476</v>
      </c>
      <c r="E25" s="2" t="s">
        <v>6519</v>
      </c>
      <c r="F25" t="s">
        <v>76</v>
      </c>
      <c r="G25" s="3">
        <v>200023</v>
      </c>
    </row>
    <row r="26" spans="1:7" x14ac:dyDescent="0.3">
      <c r="A26" t="s">
        <v>5378</v>
      </c>
      <c r="B26" t="s">
        <v>2930</v>
      </c>
      <c r="C26" t="s">
        <v>6526</v>
      </c>
      <c r="D26" t="s">
        <v>6477</v>
      </c>
      <c r="E26" s="2" t="s">
        <v>6519</v>
      </c>
      <c r="F26" t="s">
        <v>76</v>
      </c>
      <c r="G26" s="3">
        <v>200024</v>
      </c>
    </row>
    <row r="27" spans="1:7" x14ac:dyDescent="0.3">
      <c r="A27" t="s">
        <v>5378</v>
      </c>
      <c r="B27" t="s">
        <v>2930</v>
      </c>
      <c r="C27" t="s">
        <v>6526</v>
      </c>
      <c r="D27" t="s">
        <v>6478</v>
      </c>
      <c r="E27" s="2" t="s">
        <v>6519</v>
      </c>
      <c r="F27" t="s">
        <v>76</v>
      </c>
      <c r="G27" s="3">
        <v>200025</v>
      </c>
    </row>
    <row r="28" spans="1:7" x14ac:dyDescent="0.3">
      <c r="A28" t="s">
        <v>5378</v>
      </c>
      <c r="B28" t="s">
        <v>2930</v>
      </c>
      <c r="C28" t="s">
        <v>6526</v>
      </c>
      <c r="D28" t="s">
        <v>6479</v>
      </c>
      <c r="E28" s="2" t="s">
        <v>6519</v>
      </c>
      <c r="F28" t="s">
        <v>76</v>
      </c>
      <c r="G28" s="3">
        <v>200026</v>
      </c>
    </row>
    <row r="29" spans="1:7" x14ac:dyDescent="0.3">
      <c r="A29" t="s">
        <v>5378</v>
      </c>
      <c r="B29" t="s">
        <v>2944</v>
      </c>
      <c r="C29" t="s">
        <v>6527</v>
      </c>
      <c r="D29" t="s">
        <v>4886</v>
      </c>
      <c r="E29" s="2" t="s">
        <v>6519</v>
      </c>
      <c r="F29" t="s">
        <v>76</v>
      </c>
      <c r="G29" s="3">
        <v>200027</v>
      </c>
    </row>
    <row r="30" spans="1:7" x14ac:dyDescent="0.3">
      <c r="A30" t="s">
        <v>5378</v>
      </c>
      <c r="B30" t="s">
        <v>2944</v>
      </c>
      <c r="C30" t="s">
        <v>6527</v>
      </c>
      <c r="D30" t="s">
        <v>4422</v>
      </c>
      <c r="E30" s="2" t="s">
        <v>6519</v>
      </c>
      <c r="F30" t="s">
        <v>76</v>
      </c>
      <c r="G30" s="3">
        <v>200028</v>
      </c>
    </row>
    <row r="31" spans="1:7" x14ac:dyDescent="0.3">
      <c r="A31" t="s">
        <v>5378</v>
      </c>
      <c r="B31" t="s">
        <v>2928</v>
      </c>
      <c r="C31" t="s">
        <v>6528</v>
      </c>
      <c r="D31" t="s">
        <v>6480</v>
      </c>
      <c r="E31" s="2" t="s">
        <v>6519</v>
      </c>
      <c r="F31" t="s">
        <v>76</v>
      </c>
      <c r="G31" s="3">
        <v>200029</v>
      </c>
    </row>
    <row r="32" spans="1:7" x14ac:dyDescent="0.3">
      <c r="A32" t="s">
        <v>5378</v>
      </c>
      <c r="B32" t="s">
        <v>2928</v>
      </c>
      <c r="C32" t="s">
        <v>6528</v>
      </c>
      <c r="D32" t="s">
        <v>6481</v>
      </c>
      <c r="E32" s="2" t="s">
        <v>6519</v>
      </c>
      <c r="F32" t="s">
        <v>76</v>
      </c>
      <c r="G32" s="3">
        <v>200030</v>
      </c>
    </row>
    <row r="33" spans="1:7" x14ac:dyDescent="0.3">
      <c r="A33" t="s">
        <v>5378</v>
      </c>
      <c r="B33" t="s">
        <v>2928</v>
      </c>
      <c r="C33" t="s">
        <v>6528</v>
      </c>
      <c r="D33" t="s">
        <v>6482</v>
      </c>
      <c r="E33" s="2" t="s">
        <v>6519</v>
      </c>
      <c r="F33" t="s">
        <v>76</v>
      </c>
      <c r="G33" s="3">
        <v>200031</v>
      </c>
    </row>
    <row r="34" spans="1:7" x14ac:dyDescent="0.3">
      <c r="A34" t="s">
        <v>5378</v>
      </c>
      <c r="B34" t="s">
        <v>2943</v>
      </c>
      <c r="C34" t="s">
        <v>6529</v>
      </c>
      <c r="D34" t="s">
        <v>49</v>
      </c>
      <c r="E34" s="2" t="s">
        <v>6519</v>
      </c>
      <c r="F34" t="s">
        <v>76</v>
      </c>
      <c r="G34" s="3">
        <v>200032</v>
      </c>
    </row>
    <row r="35" spans="1:7" x14ac:dyDescent="0.3">
      <c r="A35" t="s">
        <v>5378</v>
      </c>
      <c r="B35" t="s">
        <v>2943</v>
      </c>
      <c r="C35" t="s">
        <v>6529</v>
      </c>
      <c r="D35" t="s">
        <v>5764</v>
      </c>
      <c r="E35" s="2" t="s">
        <v>6519</v>
      </c>
      <c r="F35" t="s">
        <v>76</v>
      </c>
      <c r="G35" s="3">
        <v>200033</v>
      </c>
    </row>
    <row r="36" spans="1:7" x14ac:dyDescent="0.3">
      <c r="A36" t="s">
        <v>5378</v>
      </c>
      <c r="B36" t="s">
        <v>2934</v>
      </c>
      <c r="C36" t="s">
        <v>6530</v>
      </c>
      <c r="D36" t="s">
        <v>5357</v>
      </c>
      <c r="E36" s="2" t="s">
        <v>6519</v>
      </c>
      <c r="F36" t="s">
        <v>76</v>
      </c>
      <c r="G36" s="3">
        <v>200034</v>
      </c>
    </row>
    <row r="37" spans="1:7" x14ac:dyDescent="0.3">
      <c r="A37" t="s">
        <v>5378</v>
      </c>
      <c r="B37" t="s">
        <v>2938</v>
      </c>
      <c r="C37" t="s">
        <v>6531</v>
      </c>
      <c r="D37" t="s">
        <v>6483</v>
      </c>
      <c r="E37" s="2" t="s">
        <v>6519</v>
      </c>
      <c r="F37" t="s">
        <v>76</v>
      </c>
      <c r="G37" s="3">
        <v>200035</v>
      </c>
    </row>
    <row r="38" spans="1:7" x14ac:dyDescent="0.3">
      <c r="A38" t="s">
        <v>5378</v>
      </c>
      <c r="B38" t="s">
        <v>2947</v>
      </c>
      <c r="C38" t="s">
        <v>6532</v>
      </c>
      <c r="D38" t="s">
        <v>5360</v>
      </c>
      <c r="E38" s="2" t="s">
        <v>6519</v>
      </c>
      <c r="F38" t="s">
        <v>76</v>
      </c>
      <c r="G38" s="3">
        <v>200036</v>
      </c>
    </row>
    <row r="39" spans="1:7" x14ac:dyDescent="0.3">
      <c r="A39" t="s">
        <v>5378</v>
      </c>
      <c r="B39" t="s">
        <v>2947</v>
      </c>
      <c r="C39" t="s">
        <v>6532</v>
      </c>
      <c r="D39" t="s">
        <v>6484</v>
      </c>
      <c r="E39" s="2" t="s">
        <v>6519</v>
      </c>
      <c r="F39" t="s">
        <v>76</v>
      </c>
      <c r="G39" s="3">
        <v>200037</v>
      </c>
    </row>
    <row r="40" spans="1:7" x14ac:dyDescent="0.3">
      <c r="A40" t="s">
        <v>5378</v>
      </c>
      <c r="B40" t="s">
        <v>2925</v>
      </c>
      <c r="C40" t="s">
        <v>6533</v>
      </c>
      <c r="D40" t="s">
        <v>4783</v>
      </c>
      <c r="E40" s="2" t="s">
        <v>6519</v>
      </c>
      <c r="F40" t="s">
        <v>76</v>
      </c>
      <c r="G40" s="3">
        <v>200038</v>
      </c>
    </row>
    <row r="41" spans="1:7" x14ac:dyDescent="0.3">
      <c r="A41" t="s">
        <v>5378</v>
      </c>
      <c r="B41" t="s">
        <v>2925</v>
      </c>
      <c r="C41" t="s">
        <v>6533</v>
      </c>
      <c r="D41" t="s">
        <v>5345</v>
      </c>
      <c r="E41" s="2" t="s">
        <v>6519</v>
      </c>
      <c r="F41" t="s">
        <v>76</v>
      </c>
      <c r="G41" s="3">
        <v>200039</v>
      </c>
    </row>
    <row r="42" spans="1:7" x14ac:dyDescent="0.3">
      <c r="A42" t="s">
        <v>5378</v>
      </c>
      <c r="B42" t="s">
        <v>2925</v>
      </c>
      <c r="C42" t="s">
        <v>6533</v>
      </c>
      <c r="D42" t="s">
        <v>3769</v>
      </c>
      <c r="E42" s="2" t="s">
        <v>6519</v>
      </c>
      <c r="F42" t="s">
        <v>76</v>
      </c>
      <c r="G42" s="3">
        <v>200040</v>
      </c>
    </row>
    <row r="43" spans="1:7" x14ac:dyDescent="0.3">
      <c r="A43" t="s">
        <v>5378</v>
      </c>
      <c r="B43" t="s">
        <v>2925</v>
      </c>
      <c r="C43" t="s">
        <v>6533</v>
      </c>
      <c r="D43" t="s">
        <v>5354</v>
      </c>
      <c r="E43" s="2" t="s">
        <v>6519</v>
      </c>
      <c r="F43" t="s">
        <v>76</v>
      </c>
      <c r="G43" s="3">
        <v>200041</v>
      </c>
    </row>
    <row r="44" spans="1:7" x14ac:dyDescent="0.3">
      <c r="A44" t="s">
        <v>5378</v>
      </c>
      <c r="B44" t="s">
        <v>2942</v>
      </c>
      <c r="C44" t="s">
        <v>6534</v>
      </c>
      <c r="D44" t="s">
        <v>5346</v>
      </c>
      <c r="E44" s="2" t="s">
        <v>6519</v>
      </c>
      <c r="F44" t="s">
        <v>76</v>
      </c>
      <c r="G44" s="3">
        <v>200042</v>
      </c>
    </row>
    <row r="45" spans="1:7" x14ac:dyDescent="0.3">
      <c r="A45" t="s">
        <v>5378</v>
      </c>
      <c r="B45" t="s">
        <v>2942</v>
      </c>
      <c r="C45" t="s">
        <v>6534</v>
      </c>
      <c r="D45" t="s">
        <v>5352</v>
      </c>
      <c r="E45" s="2" t="s">
        <v>6519</v>
      </c>
      <c r="F45" t="s">
        <v>76</v>
      </c>
      <c r="G45" s="3">
        <v>200043</v>
      </c>
    </row>
    <row r="46" spans="1:7" x14ac:dyDescent="0.3">
      <c r="A46" t="s">
        <v>5378</v>
      </c>
      <c r="B46" t="s">
        <v>2942</v>
      </c>
      <c r="C46" t="s">
        <v>6534</v>
      </c>
      <c r="D46" t="s">
        <v>3923</v>
      </c>
      <c r="E46" s="2" t="s">
        <v>6519</v>
      </c>
      <c r="F46" t="s">
        <v>76</v>
      </c>
      <c r="G46" s="3">
        <v>200044</v>
      </c>
    </row>
    <row r="47" spans="1:7" x14ac:dyDescent="0.3">
      <c r="A47" t="s">
        <v>5378</v>
      </c>
      <c r="B47" t="s">
        <v>2942</v>
      </c>
      <c r="C47" t="s">
        <v>6534</v>
      </c>
      <c r="D47" t="s">
        <v>5359</v>
      </c>
      <c r="E47" s="2" t="s">
        <v>6519</v>
      </c>
      <c r="F47" t="s">
        <v>76</v>
      </c>
      <c r="G47" s="3">
        <v>200045</v>
      </c>
    </row>
    <row r="48" spans="1:7" x14ac:dyDescent="0.3">
      <c r="A48" t="s">
        <v>5378</v>
      </c>
      <c r="B48" t="s">
        <v>2933</v>
      </c>
      <c r="C48" t="s">
        <v>6535</v>
      </c>
      <c r="D48" t="s">
        <v>6485</v>
      </c>
      <c r="E48" s="2" t="s">
        <v>6519</v>
      </c>
      <c r="F48" t="s">
        <v>76</v>
      </c>
      <c r="G48" s="3">
        <v>200046</v>
      </c>
    </row>
    <row r="49" spans="1:7" x14ac:dyDescent="0.3">
      <c r="A49" t="s">
        <v>5378</v>
      </c>
      <c r="B49" t="s">
        <v>2933</v>
      </c>
      <c r="C49" t="s">
        <v>6535</v>
      </c>
      <c r="D49" t="s">
        <v>5350</v>
      </c>
      <c r="E49" s="2" t="s">
        <v>6519</v>
      </c>
      <c r="F49" t="s">
        <v>76</v>
      </c>
      <c r="G49" s="3">
        <v>200047</v>
      </c>
    </row>
    <row r="50" spans="1:7" x14ac:dyDescent="0.3">
      <c r="A50" t="s">
        <v>5378</v>
      </c>
      <c r="B50" t="s">
        <v>2933</v>
      </c>
      <c r="C50" t="s">
        <v>6535</v>
      </c>
      <c r="D50" t="s">
        <v>5351</v>
      </c>
      <c r="E50" s="2" t="s">
        <v>6519</v>
      </c>
      <c r="F50" t="s">
        <v>76</v>
      </c>
      <c r="G50" s="3">
        <v>200048</v>
      </c>
    </row>
    <row r="51" spans="1:7" x14ac:dyDescent="0.3">
      <c r="A51" t="s">
        <v>5378</v>
      </c>
      <c r="B51" t="s">
        <v>2933</v>
      </c>
      <c r="C51" t="s">
        <v>6535</v>
      </c>
      <c r="D51" t="s">
        <v>6486</v>
      </c>
      <c r="E51" s="2" t="s">
        <v>6519</v>
      </c>
      <c r="F51" t="s">
        <v>76</v>
      </c>
      <c r="G51" s="3">
        <v>200049</v>
      </c>
    </row>
    <row r="52" spans="1:7" x14ac:dyDescent="0.3">
      <c r="A52" t="s">
        <v>5378</v>
      </c>
      <c r="B52" t="s">
        <v>2933</v>
      </c>
      <c r="C52" t="s">
        <v>6535</v>
      </c>
      <c r="D52" t="s">
        <v>24</v>
      </c>
      <c r="E52" s="2" t="s">
        <v>6519</v>
      </c>
      <c r="F52" t="s">
        <v>76</v>
      </c>
      <c r="G52" s="3">
        <v>200050</v>
      </c>
    </row>
    <row r="53" spans="1:7" x14ac:dyDescent="0.3">
      <c r="A53" t="s">
        <v>5378</v>
      </c>
      <c r="B53" t="s">
        <v>2933</v>
      </c>
      <c r="C53" t="s">
        <v>6535</v>
      </c>
      <c r="D53" t="s">
        <v>4332</v>
      </c>
      <c r="E53" s="2" t="s">
        <v>6519</v>
      </c>
      <c r="F53" t="s">
        <v>76</v>
      </c>
      <c r="G53" s="3">
        <v>200051</v>
      </c>
    </row>
    <row r="54" spans="1:7" x14ac:dyDescent="0.3">
      <c r="A54" t="s">
        <v>5378</v>
      </c>
      <c r="B54" t="s">
        <v>2933</v>
      </c>
      <c r="C54" t="s">
        <v>6535</v>
      </c>
      <c r="D54" t="s">
        <v>48</v>
      </c>
      <c r="E54" s="2" t="s">
        <v>6519</v>
      </c>
      <c r="F54" t="s">
        <v>76</v>
      </c>
      <c r="G54" s="3">
        <v>200052</v>
      </c>
    </row>
    <row r="55" spans="1:7" x14ac:dyDescent="0.3">
      <c r="A55" t="s">
        <v>5378</v>
      </c>
      <c r="B55" t="s">
        <v>2940</v>
      </c>
      <c r="C55" t="s">
        <v>6536</v>
      </c>
      <c r="D55" t="s">
        <v>6487</v>
      </c>
      <c r="E55" s="2" t="s">
        <v>6519</v>
      </c>
      <c r="F55" t="s">
        <v>76</v>
      </c>
      <c r="G55" s="3">
        <v>200053</v>
      </c>
    </row>
    <row r="56" spans="1:7" x14ac:dyDescent="0.3">
      <c r="A56" t="s">
        <v>5378</v>
      </c>
      <c r="B56" t="s">
        <v>2940</v>
      </c>
      <c r="C56" t="s">
        <v>6536</v>
      </c>
      <c r="D56" t="s">
        <v>6488</v>
      </c>
      <c r="E56" s="2" t="s">
        <v>6519</v>
      </c>
      <c r="F56" t="s">
        <v>76</v>
      </c>
      <c r="G56" s="3">
        <v>200054</v>
      </c>
    </row>
    <row r="57" spans="1:7" x14ac:dyDescent="0.3">
      <c r="A57" t="s">
        <v>5378</v>
      </c>
      <c r="B57" t="s">
        <v>2940</v>
      </c>
      <c r="C57" t="s">
        <v>6536</v>
      </c>
      <c r="D57" t="s">
        <v>6489</v>
      </c>
      <c r="E57" s="2" t="s">
        <v>6519</v>
      </c>
      <c r="F57" t="s">
        <v>76</v>
      </c>
      <c r="G57" s="3">
        <v>200055</v>
      </c>
    </row>
    <row r="58" spans="1:7" x14ac:dyDescent="0.3">
      <c r="A58" t="s">
        <v>5378</v>
      </c>
      <c r="B58" t="s">
        <v>2932</v>
      </c>
      <c r="C58" t="s">
        <v>6537</v>
      </c>
      <c r="D58" t="s">
        <v>5361</v>
      </c>
      <c r="E58" s="2" t="s">
        <v>6519</v>
      </c>
      <c r="F58" t="s">
        <v>76</v>
      </c>
      <c r="G58" s="3">
        <v>200056</v>
      </c>
    </row>
    <row r="59" spans="1:7" x14ac:dyDescent="0.3">
      <c r="A59" t="s">
        <v>5378</v>
      </c>
      <c r="B59" t="s">
        <v>2932</v>
      </c>
      <c r="C59" t="s">
        <v>6537</v>
      </c>
      <c r="D59" t="s">
        <v>5231</v>
      </c>
      <c r="E59" s="2" t="s">
        <v>6519</v>
      </c>
      <c r="F59" t="s">
        <v>76</v>
      </c>
      <c r="G59" s="3">
        <v>200057</v>
      </c>
    </row>
    <row r="60" spans="1:7" x14ac:dyDescent="0.3">
      <c r="A60" t="s">
        <v>5378</v>
      </c>
      <c r="B60" t="s">
        <v>2946</v>
      </c>
      <c r="C60" t="s">
        <v>6538</v>
      </c>
      <c r="D60" t="s">
        <v>5355</v>
      </c>
      <c r="E60" s="2" t="s">
        <v>6519</v>
      </c>
      <c r="F60" t="s">
        <v>76</v>
      </c>
      <c r="G60" s="3">
        <v>200058</v>
      </c>
    </row>
    <row r="61" spans="1:7" x14ac:dyDescent="0.3">
      <c r="A61" t="s">
        <v>5378</v>
      </c>
      <c r="B61" t="s">
        <v>2946</v>
      </c>
      <c r="C61" t="s">
        <v>6538</v>
      </c>
      <c r="D61" t="s">
        <v>4251</v>
      </c>
      <c r="E61" s="2" t="s">
        <v>6519</v>
      </c>
      <c r="F61" t="s">
        <v>76</v>
      </c>
      <c r="G61" s="3">
        <v>200059</v>
      </c>
    </row>
    <row r="62" spans="1:7" x14ac:dyDescent="0.3">
      <c r="A62" t="s">
        <v>5378</v>
      </c>
      <c r="B62" t="s">
        <v>2936</v>
      </c>
      <c r="C62" t="s">
        <v>6539</v>
      </c>
      <c r="D62" t="s">
        <v>6490</v>
      </c>
      <c r="E62" s="2" t="s">
        <v>6519</v>
      </c>
      <c r="F62" t="s">
        <v>76</v>
      </c>
      <c r="G62" s="3">
        <v>200060</v>
      </c>
    </row>
    <row r="63" spans="1:7" x14ac:dyDescent="0.3">
      <c r="A63" t="s">
        <v>5378</v>
      </c>
      <c r="B63" t="s">
        <v>2936</v>
      </c>
      <c r="C63" t="s">
        <v>6539</v>
      </c>
      <c r="D63" t="s">
        <v>6491</v>
      </c>
      <c r="E63" s="2" t="s">
        <v>6519</v>
      </c>
      <c r="F63" t="s">
        <v>76</v>
      </c>
      <c r="G63" s="3">
        <v>200061</v>
      </c>
    </row>
    <row r="64" spans="1:7" x14ac:dyDescent="0.3">
      <c r="A64" t="s">
        <v>5378</v>
      </c>
      <c r="B64" t="s">
        <v>2936</v>
      </c>
      <c r="C64" t="s">
        <v>6539</v>
      </c>
      <c r="D64" t="s">
        <v>6492</v>
      </c>
      <c r="E64" s="2" t="s">
        <v>6519</v>
      </c>
      <c r="F64" t="s">
        <v>76</v>
      </c>
      <c r="G64" s="3">
        <v>200062</v>
      </c>
    </row>
    <row r="65" spans="1:7" x14ac:dyDescent="0.3">
      <c r="A65" t="s">
        <v>5378</v>
      </c>
      <c r="B65" t="s">
        <v>2936</v>
      </c>
      <c r="C65" t="s">
        <v>6539</v>
      </c>
      <c r="D65" t="s">
        <v>5344</v>
      </c>
      <c r="E65" s="2" t="s">
        <v>6519</v>
      </c>
      <c r="F65" t="s">
        <v>76</v>
      </c>
      <c r="G65" s="3">
        <v>200063</v>
      </c>
    </row>
    <row r="66" spans="1:7" x14ac:dyDescent="0.3">
      <c r="A66" t="s">
        <v>5378</v>
      </c>
      <c r="B66" t="s">
        <v>2923</v>
      </c>
      <c r="C66" t="s">
        <v>6540</v>
      </c>
      <c r="D66" t="s">
        <v>5347</v>
      </c>
      <c r="E66" s="2" t="s">
        <v>6519</v>
      </c>
      <c r="F66" t="s">
        <v>76</v>
      </c>
      <c r="G66" s="3">
        <v>200064</v>
      </c>
    </row>
    <row r="67" spans="1:7" x14ac:dyDescent="0.3">
      <c r="A67" t="s">
        <v>5378</v>
      </c>
      <c r="B67" t="s">
        <v>2923</v>
      </c>
      <c r="C67" t="s">
        <v>6540</v>
      </c>
      <c r="D67" t="s">
        <v>5356</v>
      </c>
      <c r="E67" s="2" t="s">
        <v>6519</v>
      </c>
      <c r="F67" t="s">
        <v>76</v>
      </c>
      <c r="G67" s="3">
        <v>200065</v>
      </c>
    </row>
    <row r="68" spans="1:7" x14ac:dyDescent="0.3">
      <c r="A68" t="s">
        <v>5378</v>
      </c>
      <c r="B68" t="s">
        <v>2923</v>
      </c>
      <c r="C68" t="s">
        <v>6540</v>
      </c>
      <c r="D68" t="s">
        <v>3297</v>
      </c>
      <c r="E68" s="2" t="s">
        <v>6519</v>
      </c>
      <c r="F68" t="s">
        <v>76</v>
      </c>
      <c r="G68" s="3">
        <v>200066</v>
      </c>
    </row>
    <row r="69" spans="1:7" x14ac:dyDescent="0.3">
      <c r="A69" t="s">
        <v>5378</v>
      </c>
      <c r="B69" t="s">
        <v>2923</v>
      </c>
      <c r="C69" t="s">
        <v>6540</v>
      </c>
      <c r="D69" t="s">
        <v>5390</v>
      </c>
      <c r="E69" s="2" t="s">
        <v>6519</v>
      </c>
      <c r="F69" t="s">
        <v>76</v>
      </c>
      <c r="G69" s="3">
        <v>200067</v>
      </c>
    </row>
    <row r="70" spans="1:7" x14ac:dyDescent="0.3">
      <c r="A70" t="s">
        <v>5378</v>
      </c>
      <c r="B70" t="s">
        <v>2923</v>
      </c>
      <c r="C70" t="s">
        <v>6540</v>
      </c>
      <c r="D70" t="s">
        <v>6493</v>
      </c>
      <c r="E70" s="2" t="s">
        <v>6519</v>
      </c>
      <c r="F70" t="s">
        <v>76</v>
      </c>
      <c r="G70" s="3">
        <v>200068</v>
      </c>
    </row>
    <row r="71" spans="1:7" x14ac:dyDescent="0.3">
      <c r="A71" t="s">
        <v>5378</v>
      </c>
      <c r="B71" t="s">
        <v>2929</v>
      </c>
      <c r="C71" t="s">
        <v>6541</v>
      </c>
      <c r="D71" t="s">
        <v>6494</v>
      </c>
      <c r="E71" s="2" t="s">
        <v>6519</v>
      </c>
      <c r="F71" t="s">
        <v>76</v>
      </c>
      <c r="G71" s="3">
        <v>200069</v>
      </c>
    </row>
    <row r="72" spans="1:7" x14ac:dyDescent="0.3">
      <c r="A72" t="s">
        <v>5378</v>
      </c>
      <c r="B72" t="s">
        <v>2929</v>
      </c>
      <c r="C72" t="s">
        <v>6541</v>
      </c>
      <c r="D72" t="s">
        <v>6495</v>
      </c>
      <c r="E72" s="2" t="s">
        <v>6519</v>
      </c>
      <c r="F72" t="s">
        <v>76</v>
      </c>
      <c r="G72" s="3">
        <v>200070</v>
      </c>
    </row>
    <row r="73" spans="1:7" x14ac:dyDescent="0.3">
      <c r="A73" t="s">
        <v>5378</v>
      </c>
      <c r="B73" t="s">
        <v>2929</v>
      </c>
      <c r="C73" t="s">
        <v>6541</v>
      </c>
      <c r="D73" t="s">
        <v>6496</v>
      </c>
      <c r="E73" s="2" t="s">
        <v>6519</v>
      </c>
      <c r="F73" t="s">
        <v>76</v>
      </c>
      <c r="G73" s="3">
        <v>200071</v>
      </c>
    </row>
    <row r="74" spans="1:7" x14ac:dyDescent="0.3">
      <c r="A74" t="s">
        <v>5378</v>
      </c>
      <c r="B74" t="s">
        <v>2929</v>
      </c>
      <c r="C74" t="s">
        <v>6541</v>
      </c>
      <c r="D74" t="s">
        <v>6497</v>
      </c>
      <c r="E74" s="2" t="s">
        <v>6519</v>
      </c>
      <c r="F74" t="s">
        <v>76</v>
      </c>
      <c r="G74" s="3">
        <v>200072</v>
      </c>
    </row>
    <row r="75" spans="1:7" x14ac:dyDescent="0.3">
      <c r="A75" t="s">
        <v>5378</v>
      </c>
      <c r="B75" t="s">
        <v>2929</v>
      </c>
      <c r="C75" t="s">
        <v>6541</v>
      </c>
      <c r="D75" t="s">
        <v>6498</v>
      </c>
      <c r="E75" s="2" t="s">
        <v>6519</v>
      </c>
      <c r="F75" t="s">
        <v>76</v>
      </c>
      <c r="G75" s="3">
        <v>200073</v>
      </c>
    </row>
    <row r="76" spans="1:7" x14ac:dyDescent="0.3">
      <c r="A76" t="s">
        <v>5378</v>
      </c>
      <c r="B76" t="s">
        <v>2941</v>
      </c>
      <c r="C76" t="s">
        <v>6542</v>
      </c>
      <c r="D76" t="s">
        <v>5131</v>
      </c>
      <c r="E76" s="2" t="s">
        <v>6519</v>
      </c>
      <c r="F76" t="s">
        <v>76</v>
      </c>
      <c r="G76" s="3">
        <v>200074</v>
      </c>
    </row>
    <row r="77" spans="1:7" x14ac:dyDescent="0.3">
      <c r="A77" t="s">
        <v>5378</v>
      </c>
      <c r="B77" t="s">
        <v>2941</v>
      </c>
      <c r="C77" t="s">
        <v>6542</v>
      </c>
      <c r="D77" t="s">
        <v>17</v>
      </c>
      <c r="E77" s="2" t="s">
        <v>6519</v>
      </c>
      <c r="F77" t="s">
        <v>76</v>
      </c>
      <c r="G77" s="3">
        <v>200075</v>
      </c>
    </row>
    <row r="78" spans="1:7" x14ac:dyDescent="0.3">
      <c r="A78" t="s">
        <v>5378</v>
      </c>
      <c r="B78" t="s">
        <v>2941</v>
      </c>
      <c r="C78" t="s">
        <v>6542</v>
      </c>
      <c r="D78" t="s">
        <v>5363</v>
      </c>
      <c r="E78" s="2" t="s">
        <v>6519</v>
      </c>
      <c r="F78" t="s">
        <v>76</v>
      </c>
      <c r="G78" s="3">
        <v>200076</v>
      </c>
    </row>
    <row r="79" spans="1:7" x14ac:dyDescent="0.3">
      <c r="A79" t="s">
        <v>5378</v>
      </c>
      <c r="B79" t="s">
        <v>2948</v>
      </c>
      <c r="C79" t="s">
        <v>6543</v>
      </c>
      <c r="D79" t="s">
        <v>3705</v>
      </c>
      <c r="E79" s="2" t="s">
        <v>6519</v>
      </c>
      <c r="F79" t="s">
        <v>76</v>
      </c>
      <c r="G79" s="3">
        <v>200077</v>
      </c>
    </row>
    <row r="80" spans="1:7" x14ac:dyDescent="0.3">
      <c r="A80" t="s">
        <v>5378</v>
      </c>
      <c r="B80" t="s">
        <v>2948</v>
      </c>
      <c r="C80" t="s">
        <v>6543</v>
      </c>
      <c r="D80" t="s">
        <v>6499</v>
      </c>
      <c r="E80" s="2" t="s">
        <v>6519</v>
      </c>
      <c r="F80" t="s">
        <v>76</v>
      </c>
      <c r="G80" s="3">
        <v>200078</v>
      </c>
    </row>
    <row r="81" spans="1:7" x14ac:dyDescent="0.3">
      <c r="A81" t="s">
        <v>5378</v>
      </c>
      <c r="B81" t="s">
        <v>2948</v>
      </c>
      <c r="C81" t="s">
        <v>6543</v>
      </c>
      <c r="D81" t="s">
        <v>5349</v>
      </c>
      <c r="E81" s="2" t="s">
        <v>6519</v>
      </c>
      <c r="F81" t="s">
        <v>76</v>
      </c>
      <c r="G81" s="3">
        <v>200079</v>
      </c>
    </row>
    <row r="82" spans="1:7" x14ac:dyDescent="0.3">
      <c r="A82" t="s">
        <v>5378</v>
      </c>
      <c r="B82" t="s">
        <v>2948</v>
      </c>
      <c r="C82" t="s">
        <v>6543</v>
      </c>
      <c r="D82" t="s">
        <v>5362</v>
      </c>
      <c r="E82" s="2" t="s">
        <v>6519</v>
      </c>
      <c r="F82" t="s">
        <v>76</v>
      </c>
      <c r="G82" s="3">
        <v>200080</v>
      </c>
    </row>
    <row r="83" spans="1:7" x14ac:dyDescent="0.3">
      <c r="A83" t="s">
        <v>5378</v>
      </c>
      <c r="B83" t="s">
        <v>2927</v>
      </c>
      <c r="C83" t="s">
        <v>6544</v>
      </c>
      <c r="D83" t="s">
        <v>5358</v>
      </c>
      <c r="E83" s="2" t="s">
        <v>6519</v>
      </c>
      <c r="F83" t="s">
        <v>76</v>
      </c>
      <c r="G83" s="3">
        <v>200081</v>
      </c>
    </row>
    <row r="84" spans="1:7" x14ac:dyDescent="0.3">
      <c r="A84" t="s">
        <v>5378</v>
      </c>
      <c r="B84" t="s">
        <v>2935</v>
      </c>
      <c r="C84" t="s">
        <v>6545</v>
      </c>
      <c r="D84" t="s">
        <v>5343</v>
      </c>
      <c r="E84" s="2" t="s">
        <v>6519</v>
      </c>
      <c r="F84" t="s">
        <v>76</v>
      </c>
      <c r="G84" s="3">
        <v>200082</v>
      </c>
    </row>
    <row r="85" spans="1:7" x14ac:dyDescent="0.3">
      <c r="A85" t="s">
        <v>5378</v>
      </c>
      <c r="B85" t="s">
        <v>2935</v>
      </c>
      <c r="C85" t="s">
        <v>6545</v>
      </c>
      <c r="D85" t="s">
        <v>3689</v>
      </c>
      <c r="E85" s="2" t="s">
        <v>6519</v>
      </c>
      <c r="F85" t="s">
        <v>76</v>
      </c>
      <c r="G85" s="3">
        <v>200083</v>
      </c>
    </row>
    <row r="86" spans="1:7" x14ac:dyDescent="0.3">
      <c r="A86" t="s">
        <v>5378</v>
      </c>
      <c r="B86" t="s">
        <v>2935</v>
      </c>
      <c r="C86" t="s">
        <v>6545</v>
      </c>
      <c r="D86" t="s">
        <v>6500</v>
      </c>
      <c r="E86" s="2" t="s">
        <v>6519</v>
      </c>
      <c r="F86" t="s">
        <v>76</v>
      </c>
      <c r="G86" s="3">
        <v>200084</v>
      </c>
    </row>
    <row r="87" spans="1:7" x14ac:dyDescent="0.3">
      <c r="A87" t="s">
        <v>5378</v>
      </c>
      <c r="B87" t="s">
        <v>2949</v>
      </c>
      <c r="C87" t="s">
        <v>6546</v>
      </c>
      <c r="D87" t="s">
        <v>2949</v>
      </c>
      <c r="E87" s="2" t="s">
        <v>6519</v>
      </c>
      <c r="F87" t="s">
        <v>76</v>
      </c>
      <c r="G87" s="3">
        <v>200085</v>
      </c>
    </row>
    <row r="88" spans="1:7" x14ac:dyDescent="0.3">
      <c r="A88" t="s">
        <v>5378</v>
      </c>
      <c r="B88" t="s">
        <v>2950</v>
      </c>
      <c r="C88" t="s">
        <v>6547</v>
      </c>
      <c r="D88" t="s">
        <v>2950</v>
      </c>
      <c r="E88" s="2" t="s">
        <v>6519</v>
      </c>
      <c r="F88" t="s">
        <v>76</v>
      </c>
      <c r="G88" s="3">
        <v>200086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Owners.csv</vt:lpstr>
      <vt:lpstr>Equipment.csv</vt:lpstr>
      <vt:lpstr>Attachments</vt:lpstr>
      <vt:lpstr>Project.csv</vt:lpstr>
      <vt:lpstr>Contacts.csv</vt:lpstr>
      <vt:lpstr>RentalRequest.csv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2017-03-04T00:07:07Z</dcterms:modified>
</cp:coreProperties>
</file>