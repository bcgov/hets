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defs.csv!$A$1:$Y$331</definedName>
    <definedName name="_xlnm._FilterDatabase" localSheetId="1" hidden="1">paths.csv!$A$1:$F$66</definedName>
  </definedNames>
  <calcPr calcId="171027"/>
</workbook>
</file>

<file path=xl/calcChain.xml><?xml version="1.0" encoding="utf-8"?>
<calcChain xmlns="http://schemas.openxmlformats.org/spreadsheetml/2006/main">
  <c r="I7" i="27" l="1"/>
  <c r="J7" i="27"/>
  <c r="K7" i="27"/>
  <c r="L7" i="27"/>
  <c r="M7" i="27"/>
  <c r="N7" i="27"/>
  <c r="O7" i="27"/>
  <c r="P7" i="27"/>
  <c r="Q7" i="27"/>
  <c r="R7" i="27"/>
  <c r="S7" i="27"/>
  <c r="T7" i="27"/>
  <c r="U7" i="27"/>
  <c r="V7" i="27"/>
  <c r="W7" i="27"/>
  <c r="Y7" i="27"/>
  <c r="X7" i="27"/>
  <c r="I178" i="27" l="1"/>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3" i="27"/>
  <c r="J173" i="27"/>
  <c r="K173" i="27"/>
  <c r="L173" i="27"/>
  <c r="M173" i="27"/>
  <c r="N173" i="27"/>
  <c r="O173" i="27"/>
  <c r="P173" i="27"/>
  <c r="Q173" i="27"/>
  <c r="R173" i="27"/>
  <c r="S173" i="27"/>
  <c r="T173" i="27"/>
  <c r="U173" i="27"/>
  <c r="V173" i="27"/>
  <c r="W173" i="27"/>
  <c r="Y173" i="27"/>
  <c r="X178" i="27"/>
  <c r="X174" i="27"/>
  <c r="X173" i="27"/>
  <c r="X175" i="27"/>
  <c r="X176" i="27"/>
  <c r="X177" i="27"/>
  <c r="I245" i="27" l="1"/>
  <c r="J245" i="27"/>
  <c r="K245" i="27"/>
  <c r="L245" i="27"/>
  <c r="M245" i="27"/>
  <c r="N245" i="27"/>
  <c r="O245" i="27"/>
  <c r="P245" i="27"/>
  <c r="Q245" i="27"/>
  <c r="R245" i="27"/>
  <c r="S245" i="27"/>
  <c r="T245" i="27"/>
  <c r="U245" i="27"/>
  <c r="V245" i="27"/>
  <c r="W245" i="27"/>
  <c r="Y245" i="27"/>
  <c r="X245"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08" i="27"/>
  <c r="J208" i="27"/>
  <c r="K208" i="27"/>
  <c r="L208" i="27"/>
  <c r="M208" i="27"/>
  <c r="N208" i="27"/>
  <c r="O208" i="27"/>
  <c r="P208" i="27"/>
  <c r="Q208" i="27"/>
  <c r="R208" i="27"/>
  <c r="S208" i="27"/>
  <c r="T208" i="27"/>
  <c r="U208" i="27"/>
  <c r="V208" i="27"/>
  <c r="W208" i="27"/>
  <c r="Y208" i="27"/>
  <c r="Y82"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Y73" i="27"/>
  <c r="I68" i="27"/>
  <c r="J68" i="27"/>
  <c r="K68" i="27"/>
  <c r="L68" i="27"/>
  <c r="M68" i="27"/>
  <c r="N68" i="27"/>
  <c r="O68" i="27"/>
  <c r="P68" i="27"/>
  <c r="Q68" i="27"/>
  <c r="R68" i="27"/>
  <c r="S68" i="27"/>
  <c r="T68" i="27"/>
  <c r="U68" i="27"/>
  <c r="V68" i="27"/>
  <c r="W68" i="27"/>
  <c r="Y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Y61" i="27"/>
  <c r="Y62" i="27"/>
  <c r="Y63" i="27"/>
  <c r="I50" i="27"/>
  <c r="J50" i="27"/>
  <c r="K50" i="27"/>
  <c r="L50" i="27"/>
  <c r="M50" i="27"/>
  <c r="N50" i="27"/>
  <c r="O50" i="27"/>
  <c r="P50" i="27"/>
  <c r="Q50" i="27"/>
  <c r="R50" i="27"/>
  <c r="S50" i="27"/>
  <c r="T50" i="27"/>
  <c r="U50" i="27"/>
  <c r="V50" i="27"/>
  <c r="W50" i="27"/>
  <c r="Y50" i="27"/>
  <c r="I60" i="27"/>
  <c r="J60" i="27"/>
  <c r="K60" i="27"/>
  <c r="L60" i="27"/>
  <c r="M60" i="27"/>
  <c r="N60" i="27"/>
  <c r="O60" i="27"/>
  <c r="P60" i="27"/>
  <c r="Q60" i="27"/>
  <c r="R60" i="27"/>
  <c r="S60" i="27"/>
  <c r="T60" i="27"/>
  <c r="U60" i="27"/>
  <c r="V60" i="27"/>
  <c r="W60" i="27"/>
  <c r="Y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Y55" i="27"/>
  <c r="Y57" i="27"/>
  <c r="Y58" i="27"/>
  <c r="Y59" i="27"/>
  <c r="I78" i="27"/>
  <c r="J78" i="27"/>
  <c r="K78" i="27"/>
  <c r="L78" i="27"/>
  <c r="M78" i="27"/>
  <c r="N78" i="27"/>
  <c r="O78" i="27"/>
  <c r="P78" i="27"/>
  <c r="Q78" i="27"/>
  <c r="R78" i="27"/>
  <c r="S78" i="27"/>
  <c r="T78" i="27"/>
  <c r="U78" i="27"/>
  <c r="V78" i="27"/>
  <c r="W78" i="27"/>
  <c r="Y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Y74" i="27"/>
  <c r="Y75" i="27"/>
  <c r="I54" i="27"/>
  <c r="J54" i="27"/>
  <c r="K54" i="27"/>
  <c r="L54" i="27"/>
  <c r="M54" i="27"/>
  <c r="N54" i="27"/>
  <c r="O54" i="27"/>
  <c r="P54" i="27"/>
  <c r="Q54" i="27"/>
  <c r="R54" i="27"/>
  <c r="S54" i="27"/>
  <c r="T54" i="27"/>
  <c r="U54" i="27"/>
  <c r="V54" i="27"/>
  <c r="W54" i="27"/>
  <c r="Y54" i="27"/>
  <c r="I67" i="27"/>
  <c r="J67" i="27"/>
  <c r="K67" i="27"/>
  <c r="L67" i="27"/>
  <c r="M67" i="27"/>
  <c r="N67" i="27"/>
  <c r="O67" i="27"/>
  <c r="P67" i="27"/>
  <c r="Q67" i="27"/>
  <c r="R67" i="27"/>
  <c r="S67" i="27"/>
  <c r="T67" i="27"/>
  <c r="U67" i="27"/>
  <c r="V67" i="27"/>
  <c r="W67" i="27"/>
  <c r="Y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Y64" i="27"/>
  <c r="Y65" i="27"/>
  <c r="Y66" i="27"/>
  <c r="Y69" i="27"/>
  <c r="Y70" i="27"/>
  <c r="Y71" i="27"/>
  <c r="Y72" i="27"/>
  <c r="Y76" i="27"/>
  <c r="Y77" i="27"/>
  <c r="X63" i="27"/>
  <c r="X55" i="27"/>
  <c r="X71" i="27"/>
  <c r="X82" i="27"/>
  <c r="X65" i="27"/>
  <c r="X50" i="27"/>
  <c r="X72" i="27"/>
  <c r="X64" i="27"/>
  <c r="X77" i="27"/>
  <c r="X76" i="27"/>
  <c r="X61" i="27"/>
  <c r="X74" i="27"/>
  <c r="X59" i="27"/>
  <c r="X208" i="27"/>
  <c r="X66" i="27"/>
  <c r="X70" i="27"/>
  <c r="X73" i="27"/>
  <c r="X78" i="27"/>
  <c r="X54" i="27"/>
  <c r="X62" i="27"/>
  <c r="X68" i="27"/>
  <c r="X58" i="27"/>
  <c r="X67" i="27"/>
  <c r="X75" i="27"/>
  <c r="X57" i="27"/>
  <c r="X60" i="27"/>
  <c r="X69" i="27"/>
  <c r="I44" i="27" l="1"/>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112" i="27"/>
  <c r="J112" i="27"/>
  <c r="K112" i="27"/>
  <c r="L112" i="27"/>
  <c r="M112" i="27"/>
  <c r="N112" i="27"/>
  <c r="O112" i="27"/>
  <c r="P112" i="27"/>
  <c r="Q112" i="27"/>
  <c r="R112" i="27"/>
  <c r="S112" i="27"/>
  <c r="T112" i="27"/>
  <c r="U112" i="27"/>
  <c r="V112" i="27"/>
  <c r="W112" i="27"/>
  <c r="Y112" i="27"/>
  <c r="I30" i="27"/>
  <c r="I31" i="27"/>
  <c r="I32" i="27"/>
  <c r="I33" i="27"/>
  <c r="J30" i="27"/>
  <c r="J31" i="27"/>
  <c r="J32" i="27"/>
  <c r="J33" i="27"/>
  <c r="K30" i="27"/>
  <c r="K31" i="27"/>
  <c r="K32" i="27"/>
  <c r="K33" i="27"/>
  <c r="L30" i="27"/>
  <c r="L31" i="27"/>
  <c r="L32" i="27"/>
  <c r="L33" i="27"/>
  <c r="M30" i="27"/>
  <c r="M31" i="27"/>
  <c r="M32" i="27"/>
  <c r="M33" i="27"/>
  <c r="N30" i="27"/>
  <c r="N31" i="27"/>
  <c r="N32" i="27"/>
  <c r="N33" i="27"/>
  <c r="O30" i="27"/>
  <c r="O31" i="27"/>
  <c r="O32" i="27"/>
  <c r="O33" i="27"/>
  <c r="P30" i="27"/>
  <c r="P31" i="27"/>
  <c r="P32" i="27"/>
  <c r="P33" i="27"/>
  <c r="Q30" i="27"/>
  <c r="Q31" i="27"/>
  <c r="Q32" i="27"/>
  <c r="Q33" i="27"/>
  <c r="R30" i="27"/>
  <c r="R31" i="27"/>
  <c r="R32" i="27"/>
  <c r="R33" i="27"/>
  <c r="S30" i="27"/>
  <c r="S31" i="27"/>
  <c r="S32" i="27"/>
  <c r="S33" i="27"/>
  <c r="T30" i="27"/>
  <c r="T31" i="27"/>
  <c r="T32" i="27"/>
  <c r="T33" i="27"/>
  <c r="U30" i="27"/>
  <c r="U31" i="27"/>
  <c r="U32" i="27"/>
  <c r="U33" i="27"/>
  <c r="V30" i="27"/>
  <c r="V31" i="27"/>
  <c r="V32" i="27"/>
  <c r="V33" i="27"/>
  <c r="W30" i="27"/>
  <c r="W31" i="27"/>
  <c r="W32" i="27"/>
  <c r="W33" i="27"/>
  <c r="Y30" i="27"/>
  <c r="Y31" i="27"/>
  <c r="Y32" i="27"/>
  <c r="Y33" i="27"/>
  <c r="I51" i="27"/>
  <c r="J51" i="27"/>
  <c r="K51" i="27"/>
  <c r="L51" i="27"/>
  <c r="M51" i="27"/>
  <c r="N51" i="27"/>
  <c r="O51" i="27"/>
  <c r="P51" i="27"/>
  <c r="Q51" i="27"/>
  <c r="R51" i="27"/>
  <c r="S51" i="27"/>
  <c r="T51" i="27"/>
  <c r="U51" i="27"/>
  <c r="V51" i="27"/>
  <c r="W51" i="27"/>
  <c r="Y51" i="27"/>
  <c r="I19" i="27"/>
  <c r="J19" i="27"/>
  <c r="K19" i="27"/>
  <c r="L19" i="27"/>
  <c r="M19" i="27"/>
  <c r="N19" i="27"/>
  <c r="O19" i="27"/>
  <c r="P19" i="27"/>
  <c r="Q19" i="27"/>
  <c r="R19" i="27"/>
  <c r="S19" i="27"/>
  <c r="T19" i="27"/>
  <c r="U19" i="27"/>
  <c r="V19" i="27"/>
  <c r="W19" i="27"/>
  <c r="Y19" i="27"/>
  <c r="X32" i="27"/>
  <c r="X33" i="27"/>
  <c r="X31" i="27"/>
  <c r="X51" i="27"/>
  <c r="X30" i="27"/>
  <c r="X44" i="27"/>
  <c r="X112" i="27"/>
  <c r="X45" i="27"/>
  <c r="X19"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04" i="27"/>
  <c r="J204" i="27"/>
  <c r="K204" i="27"/>
  <c r="L204" i="27"/>
  <c r="M204" i="27"/>
  <c r="N204" i="27"/>
  <c r="O204" i="27"/>
  <c r="P204" i="27"/>
  <c r="Q204" i="27"/>
  <c r="R204" i="27"/>
  <c r="S204" i="27"/>
  <c r="T204" i="27"/>
  <c r="U204" i="27"/>
  <c r="V204" i="27"/>
  <c r="W204" i="27"/>
  <c r="Y204"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X114" i="27"/>
  <c r="X203" i="27"/>
  <c r="X202" i="27"/>
  <c r="X113" i="27"/>
  <c r="X204" i="27"/>
  <c r="I302" i="27" l="1"/>
  <c r="J302" i="27"/>
  <c r="K302" i="27"/>
  <c r="L302" i="27"/>
  <c r="M302" i="27"/>
  <c r="N302" i="27"/>
  <c r="O302" i="27"/>
  <c r="P302" i="27"/>
  <c r="Q302" i="27"/>
  <c r="R302" i="27"/>
  <c r="S302" i="27"/>
  <c r="T302" i="27"/>
  <c r="U302" i="27"/>
  <c r="V302" i="27"/>
  <c r="W302" i="27"/>
  <c r="Y302" i="27"/>
  <c r="X302" i="27"/>
  <c r="I29" i="27" l="1"/>
  <c r="J29" i="27"/>
  <c r="K29" i="27"/>
  <c r="L29" i="27"/>
  <c r="M29" i="27"/>
  <c r="N29" i="27"/>
  <c r="O29" i="27"/>
  <c r="P29" i="27"/>
  <c r="Q29" i="27"/>
  <c r="R29" i="27"/>
  <c r="S29" i="27"/>
  <c r="T29" i="27"/>
  <c r="U29" i="27"/>
  <c r="V29" i="27"/>
  <c r="W29" i="27"/>
  <c r="Y29" i="27"/>
  <c r="I214" i="27"/>
  <c r="J214" i="27"/>
  <c r="K214" i="27"/>
  <c r="L214" i="27"/>
  <c r="M214" i="27"/>
  <c r="N214" i="27"/>
  <c r="O214" i="27"/>
  <c r="P214" i="27"/>
  <c r="Q214" i="27"/>
  <c r="R214" i="27"/>
  <c r="S214" i="27"/>
  <c r="T214" i="27"/>
  <c r="U214" i="27"/>
  <c r="V214" i="27"/>
  <c r="W214" i="27"/>
  <c r="Y214" i="27"/>
  <c r="X29" i="27"/>
  <c r="X214" i="27"/>
  <c r="I187" i="27" l="1"/>
  <c r="J187" i="27"/>
  <c r="K187" i="27"/>
  <c r="L187" i="27"/>
  <c r="M187" i="27"/>
  <c r="N187" i="27"/>
  <c r="O187" i="27"/>
  <c r="P187" i="27"/>
  <c r="Q187" i="27"/>
  <c r="R187" i="27"/>
  <c r="S187" i="27"/>
  <c r="T187" i="27"/>
  <c r="U187" i="27"/>
  <c r="V187" i="27"/>
  <c r="W187" i="27"/>
  <c r="Y187" i="27"/>
  <c r="I282" i="27"/>
  <c r="J282" i="27"/>
  <c r="K282" i="27"/>
  <c r="L282" i="27"/>
  <c r="M282" i="27"/>
  <c r="N282" i="27"/>
  <c r="O282" i="27"/>
  <c r="P282" i="27"/>
  <c r="Q282" i="27"/>
  <c r="R282" i="27"/>
  <c r="S282" i="27"/>
  <c r="T282" i="27"/>
  <c r="U282" i="27"/>
  <c r="V282" i="27"/>
  <c r="W282" i="27"/>
  <c r="Y282" i="27"/>
  <c r="Y286" i="27"/>
  <c r="W286" i="27"/>
  <c r="V286" i="27"/>
  <c r="U286" i="27"/>
  <c r="T286" i="27"/>
  <c r="S286" i="27"/>
  <c r="R286" i="27"/>
  <c r="Q286" i="27"/>
  <c r="P286" i="27"/>
  <c r="O286" i="27"/>
  <c r="N286" i="27"/>
  <c r="M286" i="27"/>
  <c r="L286" i="27"/>
  <c r="K286" i="27"/>
  <c r="J286" i="27"/>
  <c r="I286" i="27"/>
  <c r="Y285" i="27"/>
  <c r="W285" i="27"/>
  <c r="V285" i="27"/>
  <c r="U285" i="27"/>
  <c r="T285" i="27"/>
  <c r="S285" i="27"/>
  <c r="R285" i="27"/>
  <c r="Q285" i="27"/>
  <c r="P285" i="27"/>
  <c r="O285" i="27"/>
  <c r="N285" i="27"/>
  <c r="M285" i="27"/>
  <c r="L285" i="27"/>
  <c r="K285" i="27"/>
  <c r="J285" i="27"/>
  <c r="I285" i="27"/>
  <c r="I275" i="27"/>
  <c r="J275" i="27"/>
  <c r="K275" i="27"/>
  <c r="L275" i="27"/>
  <c r="M275" i="27"/>
  <c r="N275" i="27"/>
  <c r="O275" i="27"/>
  <c r="P275" i="27"/>
  <c r="Q275" i="27"/>
  <c r="R275" i="27"/>
  <c r="S275" i="27"/>
  <c r="T275" i="27"/>
  <c r="U275" i="27"/>
  <c r="V275" i="27"/>
  <c r="W275" i="27"/>
  <c r="Y275" i="27"/>
  <c r="I268" i="27"/>
  <c r="J268" i="27"/>
  <c r="K268" i="27"/>
  <c r="L268" i="27"/>
  <c r="M268" i="27"/>
  <c r="N268" i="27"/>
  <c r="O268" i="27"/>
  <c r="P268" i="27"/>
  <c r="Q268" i="27"/>
  <c r="R268" i="27"/>
  <c r="S268" i="27"/>
  <c r="T268" i="27"/>
  <c r="U268" i="27"/>
  <c r="V268" i="27"/>
  <c r="W268" i="27"/>
  <c r="Y268" i="27"/>
  <c r="I260" i="27"/>
  <c r="J260" i="27"/>
  <c r="K260" i="27"/>
  <c r="L260" i="27"/>
  <c r="M260" i="27"/>
  <c r="N260" i="27"/>
  <c r="O260" i="27"/>
  <c r="P260" i="27"/>
  <c r="Q260" i="27"/>
  <c r="R260" i="27"/>
  <c r="S260" i="27"/>
  <c r="T260" i="27"/>
  <c r="U260" i="27"/>
  <c r="V260" i="27"/>
  <c r="W260" i="27"/>
  <c r="Y260" i="27"/>
  <c r="I201" i="27"/>
  <c r="J201" i="27"/>
  <c r="K201" i="27"/>
  <c r="L201" i="27"/>
  <c r="M201" i="27"/>
  <c r="N201" i="27"/>
  <c r="O201" i="27"/>
  <c r="P201" i="27"/>
  <c r="Q201" i="27"/>
  <c r="R201" i="27"/>
  <c r="S201" i="27"/>
  <c r="T201" i="27"/>
  <c r="U201" i="27"/>
  <c r="V201" i="27"/>
  <c r="W201" i="27"/>
  <c r="Y201" i="27"/>
  <c r="I115" i="27"/>
  <c r="J115" i="27"/>
  <c r="K115" i="27"/>
  <c r="L115" i="27"/>
  <c r="M115" i="27"/>
  <c r="N115" i="27"/>
  <c r="O115" i="27"/>
  <c r="P115" i="27"/>
  <c r="Q115" i="27"/>
  <c r="R115" i="27"/>
  <c r="S115" i="27"/>
  <c r="T115" i="27"/>
  <c r="U115" i="27"/>
  <c r="V115" i="27"/>
  <c r="W115" i="27"/>
  <c r="Y115" i="27"/>
  <c r="I37" i="27"/>
  <c r="J37" i="27"/>
  <c r="K37" i="27"/>
  <c r="L37" i="27"/>
  <c r="M37" i="27"/>
  <c r="N37" i="27"/>
  <c r="O37" i="27"/>
  <c r="P37" i="27"/>
  <c r="Q37" i="27"/>
  <c r="R37" i="27"/>
  <c r="S37" i="27"/>
  <c r="T37" i="27"/>
  <c r="U37" i="27"/>
  <c r="V37" i="27"/>
  <c r="W37" i="27"/>
  <c r="Y37"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6" i="27"/>
  <c r="J6" i="27"/>
  <c r="K6" i="27"/>
  <c r="L6" i="27"/>
  <c r="M6" i="27"/>
  <c r="N6" i="27"/>
  <c r="O6" i="27"/>
  <c r="P6" i="27"/>
  <c r="Q6" i="27"/>
  <c r="R6" i="27"/>
  <c r="S6" i="27"/>
  <c r="T6" i="27"/>
  <c r="U6" i="27"/>
  <c r="V6" i="27"/>
  <c r="W6" i="27"/>
  <c r="Y6" i="27"/>
  <c r="X97" i="27"/>
  <c r="X282" i="27"/>
  <c r="X286" i="27"/>
  <c r="X285" i="27"/>
  <c r="X187" i="27"/>
  <c r="X98" i="27"/>
  <c r="X260" i="27"/>
  <c r="X201" i="27"/>
  <c r="X37" i="27"/>
  <c r="X275" i="27"/>
  <c r="X115" i="27"/>
  <c r="X268"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0" i="27"/>
  <c r="Y11" i="27"/>
  <c r="Y12" i="27"/>
  <c r="Y13" i="27"/>
  <c r="Y14" i="27"/>
  <c r="Y15" i="27"/>
  <c r="Y16" i="27"/>
  <c r="Y17" i="27"/>
  <c r="Y18" i="27"/>
  <c r="Y20" i="27"/>
  <c r="Y21" i="27"/>
  <c r="Y22" i="27"/>
  <c r="Y23" i="27"/>
  <c r="Y24" i="27"/>
  <c r="Y25" i="27"/>
  <c r="Y26" i="27"/>
  <c r="Y27" i="27"/>
  <c r="Y28" i="27"/>
  <c r="Y34" i="27"/>
  <c r="Y35" i="27"/>
  <c r="Y36" i="27"/>
  <c r="Y38" i="27"/>
  <c r="Y39" i="27"/>
  <c r="Y40" i="27"/>
  <c r="Y41" i="27"/>
  <c r="Y42" i="27"/>
  <c r="Y43" i="27"/>
  <c r="Y46" i="27"/>
  <c r="Y47" i="27"/>
  <c r="Y48" i="27"/>
  <c r="Y49" i="27"/>
  <c r="Y52" i="27"/>
  <c r="Y53" i="27"/>
  <c r="Y56" i="27"/>
  <c r="Y79" i="27"/>
  <c r="Y80" i="27"/>
  <c r="Y81" i="27"/>
  <c r="Y83" i="27"/>
  <c r="Y84" i="27"/>
  <c r="Y85" i="27"/>
  <c r="Y86" i="27"/>
  <c r="Y87" i="27"/>
  <c r="Y88" i="27"/>
  <c r="Y89" i="27"/>
  <c r="Y90" i="27"/>
  <c r="Y91" i="27"/>
  <c r="Y92" i="27"/>
  <c r="Y93" i="27"/>
  <c r="Y95" i="27"/>
  <c r="Y94" i="27"/>
  <c r="Y96" i="27"/>
  <c r="Y99"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9" i="27"/>
  <c r="Y180" i="27"/>
  <c r="Y181" i="27"/>
  <c r="Y182" i="27"/>
  <c r="Y183" i="27"/>
  <c r="Y184" i="27"/>
  <c r="Y185" i="27"/>
  <c r="Y186" i="27"/>
  <c r="Y188" i="27"/>
  <c r="Y189" i="27"/>
  <c r="Y190" i="27"/>
  <c r="Y191" i="27"/>
  <c r="Y192" i="27"/>
  <c r="Y193" i="27"/>
  <c r="Y194" i="27"/>
  <c r="Y195" i="27"/>
  <c r="Y196" i="27"/>
  <c r="Y197" i="27"/>
  <c r="Y198" i="27"/>
  <c r="Y199" i="27"/>
  <c r="Y200" i="27"/>
  <c r="Y205" i="27"/>
  <c r="Y206" i="27"/>
  <c r="Y207" i="27"/>
  <c r="Y209" i="27"/>
  <c r="Y210" i="27"/>
  <c r="Y211" i="27"/>
  <c r="Y212" i="27"/>
  <c r="Y213"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6" i="27"/>
  <c r="Y247" i="27"/>
  <c r="Y248" i="27"/>
  <c r="Y249" i="27"/>
  <c r="Y280" i="27"/>
  <c r="Y281" i="27"/>
  <c r="Y283" i="27"/>
  <c r="Y284" i="27"/>
  <c r="Y250" i="27"/>
  <c r="Y251" i="27"/>
  <c r="Y252" i="27"/>
  <c r="Y253" i="27"/>
  <c r="Y254" i="27"/>
  <c r="Y255" i="27"/>
  <c r="Y256" i="27"/>
  <c r="Y257" i="27"/>
  <c r="Y258" i="27"/>
  <c r="Y259" i="27"/>
  <c r="Y261" i="27"/>
  <c r="Y262" i="27"/>
  <c r="Y263" i="27"/>
  <c r="Y264" i="27"/>
  <c r="Y265" i="27"/>
  <c r="Y266" i="27"/>
  <c r="Y267" i="27"/>
  <c r="Y269" i="27"/>
  <c r="Y270" i="27"/>
  <c r="Y271" i="27"/>
  <c r="Y272" i="27"/>
  <c r="Y273" i="27"/>
  <c r="Y274" i="27"/>
  <c r="Y276" i="27"/>
  <c r="Y277" i="27"/>
  <c r="Y278" i="27"/>
  <c r="Y279" i="27"/>
  <c r="Y287" i="27"/>
  <c r="Y288" i="27"/>
  <c r="Y289" i="27"/>
  <c r="Y290" i="27"/>
  <c r="Y291" i="27"/>
  <c r="Y292" i="27"/>
  <c r="Y293" i="27"/>
  <c r="Y294" i="27"/>
  <c r="Y295" i="27"/>
  <c r="Y296" i="27"/>
  <c r="Y297" i="27"/>
  <c r="Y298" i="27"/>
  <c r="Y299" i="27"/>
  <c r="Y300" i="27"/>
  <c r="Y301"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V185" i="27"/>
  <c r="I185" i="27"/>
  <c r="J185" i="27"/>
  <c r="K185" i="27"/>
  <c r="L185" i="27"/>
  <c r="M185" i="27"/>
  <c r="N185" i="27"/>
  <c r="O185" i="27"/>
  <c r="P185" i="27"/>
  <c r="Q185" i="27"/>
  <c r="R185" i="27"/>
  <c r="S185" i="27"/>
  <c r="T185" i="27"/>
  <c r="U185" i="27"/>
  <c r="W185" i="27"/>
  <c r="I186" i="27"/>
  <c r="J186" i="27"/>
  <c r="K186" i="27"/>
  <c r="L186" i="27"/>
  <c r="M186" i="27"/>
  <c r="N186" i="27"/>
  <c r="O186" i="27"/>
  <c r="P186" i="27"/>
  <c r="Q186" i="27"/>
  <c r="R186" i="27"/>
  <c r="S186" i="27"/>
  <c r="T186" i="27"/>
  <c r="U186" i="27"/>
  <c r="V186" i="27"/>
  <c r="W186"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V309" i="27"/>
  <c r="I309" i="27"/>
  <c r="J309" i="27"/>
  <c r="K309" i="27"/>
  <c r="L309" i="27"/>
  <c r="M309" i="27"/>
  <c r="N309" i="27"/>
  <c r="O309" i="27"/>
  <c r="P309" i="27"/>
  <c r="Q309" i="27"/>
  <c r="R309" i="27"/>
  <c r="S309" i="27"/>
  <c r="T309" i="27"/>
  <c r="U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Y332"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4" i="27"/>
  <c r="X9" i="27"/>
  <c r="X24" i="27"/>
  <c r="X26" i="27"/>
  <c r="X163" i="27"/>
  <c r="X327" i="27"/>
  <c r="X236" i="27"/>
  <c r="X305" i="27"/>
  <c r="X25" i="27"/>
  <c r="X324" i="27"/>
  <c r="X23" i="27"/>
  <c r="X166" i="27"/>
  <c r="X314" i="27"/>
  <c r="X41" i="27"/>
  <c r="X56" i="27"/>
  <c r="X326" i="27"/>
  <c r="X293" i="27"/>
  <c r="X215" i="27"/>
  <c r="X99" i="27"/>
  <c r="X181" i="27"/>
  <c r="X11" i="27"/>
  <c r="X306" i="27"/>
  <c r="X233" i="27"/>
  <c r="X299" i="27"/>
  <c r="X20" i="27"/>
  <c r="X13" i="27"/>
  <c r="X139" i="27"/>
  <c r="X150" i="27"/>
  <c r="X320" i="27"/>
  <c r="X284" i="27"/>
  <c r="X292" i="27"/>
  <c r="X85" i="27"/>
  <c r="X119" i="27"/>
  <c r="X199" i="27"/>
  <c r="X209" i="27"/>
  <c r="X132" i="27"/>
  <c r="X133" i="27"/>
  <c r="X160" i="27"/>
  <c r="X8" i="27"/>
  <c r="X266" i="27"/>
  <c r="X94" i="27"/>
  <c r="X105" i="27"/>
  <c r="X311" i="27"/>
  <c r="X80" i="27"/>
  <c r="X200" i="27"/>
  <c r="X126" i="27"/>
  <c r="X313" i="27"/>
  <c r="X167" i="27"/>
  <c r="X196" i="27"/>
  <c r="X36" i="27"/>
  <c r="X155" i="27"/>
  <c r="X289" i="27"/>
  <c r="X123" i="27"/>
  <c r="X47" i="27"/>
  <c r="X102" i="27"/>
  <c r="X250" i="27"/>
  <c r="X2" i="27"/>
  <c r="X291" i="27"/>
  <c r="X207" i="27"/>
  <c r="X136" i="27"/>
  <c r="X46" i="27"/>
  <c r="X220" i="27"/>
  <c r="X53" i="27"/>
  <c r="X325" i="27"/>
  <c r="X89" i="27"/>
  <c r="X188" i="27"/>
  <c r="X322" i="27"/>
  <c r="X317" i="27"/>
  <c r="X141" i="27"/>
  <c r="X300" i="27"/>
  <c r="X182" i="27"/>
  <c r="X16" i="27"/>
  <c r="X249" i="27"/>
  <c r="X88" i="27"/>
  <c r="X189" i="27"/>
  <c r="X153" i="27"/>
  <c r="X91" i="27"/>
  <c r="X279" i="27"/>
  <c r="X127" i="27"/>
  <c r="X172" i="27"/>
  <c r="X84" i="27"/>
  <c r="X156" i="27"/>
  <c r="X297" i="27"/>
  <c r="X109" i="27"/>
  <c r="X308" i="27"/>
  <c r="X154" i="27"/>
  <c r="X101" i="27"/>
  <c r="X195" i="27"/>
  <c r="X283" i="27"/>
  <c r="X79" i="27"/>
  <c r="X151" i="27"/>
  <c r="X28" i="27"/>
  <c r="X183" i="27"/>
  <c r="X303" i="27"/>
  <c r="X43" i="27"/>
  <c r="X131" i="27"/>
  <c r="X316" i="27"/>
  <c r="X149" i="27"/>
  <c r="X263" i="27"/>
  <c r="X35" i="27"/>
  <c r="X93" i="27"/>
  <c r="X40" i="27"/>
  <c r="X12" i="27"/>
  <c r="X273" i="27"/>
  <c r="X10" i="27"/>
  <c r="X22" i="27"/>
  <c r="X184" i="27"/>
  <c r="X224" i="27"/>
  <c r="X130" i="27"/>
  <c r="X329" i="27"/>
  <c r="X318" i="27"/>
  <c r="X235" i="27"/>
  <c r="X145" i="27"/>
  <c r="X122" i="27"/>
  <c r="X124" i="27"/>
  <c r="X321" i="27"/>
  <c r="X147" i="27"/>
  <c r="X258" i="27"/>
  <c r="X241" i="27"/>
  <c r="X265" i="27"/>
  <c r="X270" i="27"/>
  <c r="X281" i="27"/>
  <c r="X244" i="27"/>
  <c r="X205" i="27"/>
  <c r="X242" i="27"/>
  <c r="X103" i="27"/>
  <c r="X120" i="27"/>
  <c r="X246" i="27"/>
  <c r="X307" i="27"/>
  <c r="X146" i="27"/>
  <c r="X140" i="27"/>
  <c r="X301" i="27"/>
  <c r="X237" i="27"/>
  <c r="X274" i="27"/>
  <c r="X128" i="27"/>
  <c r="X90" i="27"/>
  <c r="X271" i="27"/>
  <c r="X138" i="27"/>
  <c r="X185" i="27"/>
  <c r="X315" i="27"/>
  <c r="X234" i="27"/>
  <c r="X157" i="27"/>
  <c r="X276" i="27"/>
  <c r="X226" i="27"/>
  <c r="X159" i="27"/>
  <c r="X319" i="27"/>
  <c r="X179" i="27"/>
  <c r="X39" i="27"/>
  <c r="X194" i="27"/>
  <c r="X238" i="27"/>
  <c r="X252" i="27"/>
  <c r="X27" i="27"/>
  <c r="X212" i="27"/>
  <c r="X323" i="27"/>
  <c r="X262" i="27"/>
  <c r="X219" i="27"/>
  <c r="X253" i="27"/>
  <c r="X197" i="27"/>
  <c r="X125" i="27"/>
  <c r="X134" i="27"/>
  <c r="X137" i="27"/>
  <c r="X296" i="27"/>
  <c r="X95" i="27"/>
  <c r="X254" i="27"/>
  <c r="X111" i="27"/>
  <c r="X288" i="27"/>
  <c r="X18" i="27"/>
  <c r="X257" i="27"/>
  <c r="X261" i="27"/>
  <c r="X165" i="27"/>
  <c r="X277" i="27"/>
  <c r="X38" i="27"/>
  <c r="X228" i="27"/>
  <c r="X96" i="27"/>
  <c r="X225" i="27"/>
  <c r="X34" i="27"/>
  <c r="X100" i="27"/>
  <c r="X310" i="27"/>
  <c r="X180" i="27"/>
  <c r="X216" i="27"/>
  <c r="X217" i="27"/>
  <c r="X230" i="27"/>
  <c r="X330" i="27"/>
  <c r="X239" i="27"/>
  <c r="X328" i="27"/>
  <c r="X116" i="27"/>
  <c r="X267" i="27"/>
  <c r="X168" i="27"/>
  <c r="X83" i="27"/>
  <c r="X121" i="27"/>
  <c r="X142" i="27"/>
  <c r="X3" i="27"/>
  <c r="X222" i="27"/>
  <c r="X42" i="27"/>
  <c r="X135" i="27"/>
  <c r="X294" i="27"/>
  <c r="X331" i="27"/>
  <c r="X81" i="27"/>
  <c r="X213" i="27"/>
  <c r="X247" i="27"/>
  <c r="X118" i="27"/>
  <c r="X264" i="27"/>
  <c r="X143" i="27"/>
  <c r="X170" i="27"/>
  <c r="X92" i="27"/>
  <c r="X298" i="27"/>
  <c r="X49" i="27"/>
  <c r="X87" i="27"/>
  <c r="X218" i="27"/>
  <c r="X251" i="27"/>
  <c r="X17" i="27"/>
  <c r="X309" i="27"/>
  <c r="X14" i="27"/>
  <c r="X106" i="27"/>
  <c r="X290" i="27"/>
  <c r="X272" i="27"/>
  <c r="X223" i="27"/>
  <c r="X152" i="27"/>
  <c r="X231" i="27"/>
  <c r="X248" i="27"/>
  <c r="X162" i="27"/>
  <c r="X86" i="27"/>
  <c r="X186" i="27"/>
  <c r="X117" i="27"/>
  <c r="X221" i="27"/>
  <c r="X312" i="27"/>
  <c r="X227" i="27"/>
  <c r="X148" i="27"/>
  <c r="X110" i="27"/>
  <c r="X255" i="27"/>
  <c r="X52" i="27"/>
  <c r="X295" i="27"/>
  <c r="X243" i="27"/>
  <c r="X161" i="27"/>
  <c r="X240" i="27"/>
  <c r="X108" i="27"/>
  <c r="X164" i="27"/>
  <c r="X259" i="27"/>
  <c r="X107" i="27"/>
  <c r="X229" i="27"/>
  <c r="X232" i="27"/>
  <c r="X5" i="27"/>
  <c r="X158" i="27"/>
  <c r="X280" i="27"/>
  <c r="X269" i="27"/>
  <c r="X21" i="27"/>
  <c r="X278" i="27"/>
  <c r="X191" i="27"/>
  <c r="X48" i="27"/>
  <c r="X190" i="27"/>
  <c r="X211" i="27"/>
  <c r="X198" i="27"/>
  <c r="X144" i="27"/>
  <c r="X129" i="27"/>
  <c r="X206" i="27"/>
  <c r="X104" i="27"/>
  <c r="X210" i="27"/>
  <c r="X256" i="27"/>
  <c r="X304" i="27"/>
  <c r="X193" i="27"/>
  <c r="X169" i="27"/>
  <c r="X287" i="27"/>
  <c r="X171" i="27"/>
  <c r="X192" i="27"/>
  <c r="X1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<sst xmlns="http://schemas.openxmlformats.org/spreadsheetml/2006/main" count="1883" uniqueCount="552">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</sst>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39" fillId="0" borderId="0"/>
  </cellStyleXfs>
  <cellXfs count="135">
    <xf numFmtId="0" fontId="0" fillId="0" borderId="0" xfId="0"/>
    <xf numFmtId="0" fontId="43" fillId="0" borderId="0" xfId="719" applyFont="1" applyAlignment="1">
      <alignment vertical="top"/>
    </xf>
    <xf numFmtId="0" fontId="43" fillId="0" borderId="0" xfId="719" applyFont="1" applyAlignment="1">
      <alignment vertical="top" wrapText="1"/>
    </xf>
    <xf numFmtId="0" fontId="39" fillId="0" borderId="0" xfId="719"/>
    <xf numFmtId="0" fontId="39" fillId="0" borderId="0" xfId="719" applyNumberFormat="1" applyAlignment="1">
      <alignment vertical="top"/>
    </xf>
    <xf numFmtId="0" fontId="39" fillId="0" borderId="0" xfId="719" applyAlignment="1">
      <alignment vertical="top"/>
    </xf>
    <xf numFmtId="0" fontId="39" fillId="0" borderId="0" xfId="719" applyAlignment="1">
      <alignment vertical="top" wrapText="1"/>
    </xf>
    <xf numFmtId="0" fontId="38" fillId="0" borderId="0" xfId="719" applyFont="1"/>
    <xf numFmtId="0" fontId="0" fillId="0" borderId="0" xfId="0" applyAlignment="1">
      <alignment vertical="top"/>
    </xf>
    <xf numFmtId="0" fontId="43" fillId="0" borderId="0" xfId="0" applyFont="1" applyAlignment="1">
      <alignment vertical="top"/>
    </xf>
    <xf numFmtId="0" fontId="37" fillId="0" borderId="0" xfId="719" applyFont="1"/>
    <xf numFmtId="0" fontId="37" fillId="0" borderId="0" xfId="719" applyFont="1" applyAlignment="1">
      <alignment vertical="top"/>
    </xf>
    <xf numFmtId="0" fontId="39" fillId="0" borderId="0" xfId="719" applyFill="1" applyAlignment="1">
      <alignment vertical="top" wrapText="1"/>
    </xf>
    <xf numFmtId="0" fontId="39" fillId="0" borderId="0" xfId="719" applyNumberFormat="1" applyFill="1"/>
    <xf numFmtId="0" fontId="0" fillId="0" borderId="0" xfId="0" applyNumberFormat="1" applyAlignment="1">
      <alignment vertical="top"/>
    </xf>
    <xf numFmtId="0" fontId="36" fillId="0" borderId="0" xfId="719" applyFont="1"/>
    <xf numFmtId="0" fontId="36" fillId="0" borderId="0" xfId="719" applyFont="1" applyFill="1"/>
    <xf numFmtId="0" fontId="39" fillId="0" borderId="0" xfId="719" applyFill="1"/>
    <xf numFmtId="0" fontId="39" fillId="0" borderId="0" xfId="719" applyNumberFormat="1" applyFill="1" applyAlignment="1">
      <alignment vertical="top"/>
    </xf>
    <xf numFmtId="0" fontId="34" fillId="0" borderId="0" xfId="719" applyFont="1" applyFill="1" applyAlignment="1">
      <alignment vertical="top"/>
    </xf>
    <xf numFmtId="0" fontId="33" fillId="0" borderId="0" xfId="719" applyFont="1"/>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0" fontId="32" fillId="0" borderId="0" xfId="719" applyFont="1" applyFill="1" applyAlignment="1">
      <alignment vertical="top" wrapText="1"/>
    </xf>
    <xf numFmtId="0" fontId="32" fillId="0" borderId="0" xfId="719" applyNumberFormat="1" applyFont="1" applyFill="1" applyAlignment="1">
      <alignment vertical="top"/>
    </xf>
    <xf numFmtId="0" fontId="31" fillId="0" borderId="0" xfId="719" applyFont="1" applyFill="1" applyAlignment="1">
      <alignment vertical="top"/>
    </xf>
    <xf numFmtId="0" fontId="31" fillId="0" borderId="0" xfId="719" applyFont="1" applyFill="1" applyAlignment="1">
      <alignment vertical="top" wrapText="1"/>
    </xf>
    <xf numFmtId="0" fontId="30" fillId="0" borderId="0" xfId="719" applyFont="1" applyFill="1" applyAlignment="1">
      <alignment vertical="top"/>
    </xf>
    <xf numFmtId="0" fontId="30" fillId="0" borderId="0" xfId="719" applyFont="1" applyAlignment="1">
      <alignment vertical="top"/>
    </xf>
    <xf numFmtId="0" fontId="30" fillId="0" borderId="0" xfId="719" applyFont="1" applyFill="1"/>
    <xf numFmtId="0" fontId="29" fillId="0" borderId="0" xfId="719" applyFont="1" applyFill="1" applyAlignment="1">
      <alignment vertical="top"/>
    </xf>
    <xf numFmtId="0" fontId="26" fillId="0" borderId="0" xfId="719" applyFont="1" applyAlignment="1">
      <alignment vertical="top"/>
    </xf>
    <xf numFmtId="0" fontId="26" fillId="0" borderId="0" xfId="719" applyFont="1" applyFill="1"/>
    <xf numFmtId="0" fontId="26" fillId="0" borderId="0" xfId="719" applyNumberFormat="1" applyFont="1" applyAlignment="1">
      <alignment vertical="top"/>
    </xf>
    <xf numFmtId="0" fontId="24" fillId="0" borderId="0" xfId="719" applyFont="1" applyAlignment="1">
      <alignment vertical="top"/>
    </xf>
    <xf numFmtId="0" fontId="24" fillId="0" borderId="0" xfId="719" applyNumberFormat="1" applyFont="1" applyAlignment="1">
      <alignment vertical="top"/>
    </xf>
    <xf numFmtId="0" fontId="24" fillId="0" borderId="0" xfId="719" applyFont="1" applyFill="1"/>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0" fillId="0" borderId="0" xfId="719" applyNumberFormat="1" applyFont="1" applyAlignment="1">
      <alignment vertical="top"/>
    </xf>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0" fontId="18" fillId="0" borderId="0" xfId="719" applyFont="1"/>
    <xf numFmtId="49" fontId="43" fillId="0" borderId="0" xfId="719" applyNumberFormat="1" applyFont="1" applyAlignment="1">
      <alignment vertical="top" wrapText="1"/>
    </xf>
    <xf numFmtId="49" fontId="39" fillId="0" borderId="0" xfId="719" applyNumberFormat="1" applyFill="1" applyAlignment="1">
      <alignment vertical="top" wrapText="1"/>
    </xf>
    <xf numFmtId="49" fontId="22" fillId="0" borderId="0" xfId="719" applyNumberFormat="1" applyFont="1" applyFill="1" applyAlignment="1">
      <alignment vertical="top" wrapText="1"/>
    </xf>
    <xf numFmtId="49" fontId="21" fillId="0" borderId="0" xfId="719" applyNumberFormat="1" applyFont="1" applyFill="1" applyAlignment="1">
      <alignment vertical="top" wrapText="1"/>
    </xf>
    <xf numFmtId="49" fontId="19"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23" fillId="0" borderId="0" xfId="719" applyNumberFormat="1" applyFont="1" applyAlignment="1">
      <alignment vertical="top" wrapText="1"/>
    </xf>
    <xf numFmtId="49" fontId="23" fillId="0" borderId="0" xfId="719" applyNumberFormat="1" applyFont="1" applyFill="1" applyAlignment="1">
      <alignment vertical="top" wrapText="1"/>
    </xf>
    <xf numFmtId="49" fontId="39" fillId="0" borderId="0" xfId="719" applyNumberFormat="1" applyAlignment="1">
      <alignment vertical="top" wrapText="1"/>
    </xf>
    <xf numFmtId="0" fontId="17" fillId="0" borderId="0" xfId="719" applyFont="1"/>
    <xf numFmtId="0" fontId="17" fillId="0" borderId="0" xfId="719" applyFont="1" applyFill="1"/>
    <xf numFmtId="0" fontId="16" fillId="0" borderId="0" xfId="719" applyFont="1" applyAlignment="1">
      <alignment vertical="top"/>
    </xf>
    <xf numFmtId="0" fontId="16" fillId="0" borderId="0" xfId="719" applyFont="1" applyFill="1"/>
    <xf numFmtId="0" fontId="16" fillId="0" borderId="0" xfId="719" applyNumberFormat="1" applyFont="1" applyAlignment="1">
      <alignment vertical="top"/>
    </xf>
    <xf numFmtId="49" fontId="15"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NumberFormat="1" applyFont="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0" fontId="12" fillId="0" borderId="0" xfId="719" applyFont="1" applyFill="1" applyAlignment="1">
      <alignment vertical="top"/>
    </xf>
    <xf numFmtId="0" fontId="11" fillId="0" borderId="0" xfId="719" applyFont="1" applyFill="1" applyAlignment="1">
      <alignment vertical="top"/>
    </xf>
    <xf numFmtId="0" fontId="11" fillId="0" borderId="0" xfId="719" applyFont="1" applyFill="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39" fillId="0" borderId="0" xfId="719" applyFill="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0" fontId="42" fillId="0" borderId="0" xfId="0" applyFont="1" applyAlignment="1">
      <alignment vertical="top"/>
    </xf>
    <xf numFmtId="49" fontId="15" fillId="0" borderId="0" xfId="719" applyNumberFormat="1" applyFont="1" applyAlignment="1">
      <alignment vertical="top" wrapText="1"/>
    </xf>
    <xf numFmtId="0" fontId="32" fillId="0" borderId="0" xfId="719" applyFont="1" applyAlignment="1">
      <alignment vertical="top"/>
    </xf>
    <xf numFmtId="0" fontId="22" fillId="0" borderId="0" xfId="719" applyFont="1" applyAlignment="1">
      <alignment vertical="top"/>
    </xf>
    <xf numFmtId="49" fontId="13" fillId="0" borderId="0" xfId="719" applyNumberFormat="1" applyFont="1" applyAlignment="1">
      <alignment vertical="top" wrapText="1"/>
    </xf>
    <xf numFmtId="0" fontId="15" fillId="0" borderId="0" xfId="719" applyFont="1" applyAlignment="1">
      <alignment vertical="top"/>
    </xf>
    <xf numFmtId="0" fontId="34" fillId="0" borderId="0" xfId="719" applyFont="1" applyAlignment="1">
      <alignment vertical="top"/>
    </xf>
    <xf numFmtId="0" fontId="33" fillId="0" borderId="0" xfId="719" applyFont="1" applyAlignment="1">
      <alignment vertical="top"/>
    </xf>
    <xf numFmtId="0" fontId="8" fillId="0" borderId="0" xfId="719" applyNumberFormat="1" applyFont="1" applyFill="1" applyAlignment="1">
      <alignment vertical="top"/>
    </xf>
    <xf numFmtId="0" fontId="8" fillId="0" borderId="0" xfId="719" applyFont="1" applyFill="1" applyAlignment="1">
      <alignment vertical="top" wrapText="1"/>
    </xf>
    <xf numFmtId="0" fontId="7" fillId="0" borderId="0" xfId="719" applyFont="1" applyFill="1" applyAlignment="1">
      <alignment vertical="top"/>
    </xf>
    <xf numFmtId="0" fontId="6" fillId="0" borderId="0" xfId="719" applyNumberFormat="1" applyFont="1" applyAlignment="1">
      <alignment vertical="top"/>
    </xf>
    <xf numFmtId="0" fontId="6" fillId="0" borderId="0" xfId="719" applyFont="1"/>
    <xf numFmtId="0" fontId="8" fillId="0" borderId="0" xfId="719" applyFont="1" applyAlignment="1">
      <alignment vertical="top"/>
    </xf>
    <xf numFmtId="49" fontId="8" fillId="0" borderId="0" xfId="719" applyNumberFormat="1" applyFont="1" applyAlignment="1">
      <alignment vertical="top" wrapText="1"/>
    </xf>
    <xf numFmtId="49" fontId="22" fillId="0" borderId="0" xfId="719" applyNumberFormat="1" applyFont="1" applyAlignment="1">
      <alignment horizontal="fill" vertical="top" wrapText="1"/>
    </xf>
    <xf numFmtId="0" fontId="31" fillId="0" borderId="0" xfId="719" applyFont="1" applyAlignment="1">
      <alignment vertical="top"/>
    </xf>
    <xf numFmtId="0" fontId="14" fillId="0" borderId="0" xfId="719" applyFont="1" applyAlignment="1">
      <alignment vertical="top"/>
    </xf>
    <xf numFmtId="49" fontId="22" fillId="0" borderId="0" xfId="719" applyNumberFormat="1" applyFont="1" applyAlignment="1">
      <alignment vertical="top" wrapText="1"/>
    </xf>
    <xf numFmtId="0" fontId="25" fillId="0" borderId="0" xfId="719" applyFont="1" applyAlignment="1">
      <alignment vertical="top"/>
    </xf>
    <xf numFmtId="0" fontId="21" fillId="0" borderId="0" xfId="719" applyFont="1" applyAlignment="1">
      <alignment vertical="top"/>
    </xf>
    <xf numFmtId="49" fontId="21" fillId="0" borderId="0" xfId="719" applyNumberFormat="1" applyFont="1" applyAlignment="1">
      <alignment vertical="top" wrapText="1"/>
    </xf>
    <xf numFmtId="0" fontId="10" fillId="0" borderId="0" xfId="719" applyFont="1" applyAlignment="1">
      <alignment vertical="top"/>
    </xf>
    <xf numFmtId="49" fontId="14" fillId="0" borderId="0" xfId="719" applyNumberFormat="1" applyFont="1" applyAlignment="1">
      <alignment vertical="top" wrapText="1"/>
    </xf>
    <xf numFmtId="49" fontId="12" fillId="0" borderId="0" xfId="719" applyNumberFormat="1" applyFont="1" applyAlignment="1">
      <alignment vertical="top" wrapText="1"/>
    </xf>
    <xf numFmtId="49" fontId="18" fillId="0" borderId="0" xfId="719" applyNumberFormat="1" applyFont="1" applyAlignment="1">
      <alignment vertical="top" wrapText="1"/>
    </xf>
    <xf numFmtId="49" fontId="20" fillId="0" borderId="0" xfId="719" applyNumberFormat="1" applyFont="1" applyAlignment="1">
      <alignment vertical="top" wrapText="1"/>
    </xf>
    <xf numFmtId="0" fontId="20" fillId="0" borderId="0" xfId="719" applyFont="1" applyAlignment="1">
      <alignment vertical="top"/>
    </xf>
    <xf numFmtId="49" fontId="32" fillId="0" borderId="0" xfId="719" applyNumberFormat="1" applyFont="1" applyAlignment="1">
      <alignment vertical="top" wrapText="1"/>
    </xf>
    <xf numFmtId="49" fontId="28" fillId="0" borderId="0" xfId="719" applyNumberFormat="1" applyFont="1" applyAlignment="1">
      <alignment vertical="top" wrapText="1"/>
    </xf>
    <xf numFmtId="49" fontId="34" fillId="0" borderId="0" xfId="719" applyNumberFormat="1" applyFont="1" applyAlignment="1">
      <alignment vertical="top" wrapText="1"/>
    </xf>
    <xf numFmtId="0" fontId="27" fillId="0" borderId="0" xfId="719" applyFont="1" applyAlignment="1">
      <alignment vertical="top"/>
    </xf>
    <xf numFmtId="49" fontId="27" fillId="0" borderId="0" xfId="719" applyNumberFormat="1" applyFont="1" applyAlignment="1">
      <alignment horizontal="fill" vertical="top" wrapText="1"/>
    </xf>
    <xf numFmtId="0" fontId="23" fillId="0" borderId="0" xfId="719" applyFont="1" applyAlignment="1">
      <alignment vertical="top"/>
    </xf>
    <xf numFmtId="0" fontId="35" fillId="0" borderId="0" xfId="719" applyFont="1" applyAlignment="1">
      <alignment vertical="top"/>
    </xf>
    <xf numFmtId="49" fontId="35" fillId="0" borderId="0" xfId="719" applyNumberFormat="1" applyFont="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49" fontId="5" fillId="0" borderId="0" xfId="719" applyNumberFormat="1" applyFont="1" applyAlignment="1">
      <alignment vertical="top" wrapText="1"/>
    </xf>
    <xf numFmtId="0" fontId="5" fillId="0" borderId="0" xfId="719" applyNumberFormat="1" applyFont="1" applyFill="1" applyAlignment="1">
      <alignment vertical="top"/>
    </xf>
    <xf numFmtId="0" fontId="5" fillId="0" borderId="0" xfId="719" applyFont="1" applyFill="1" applyAlignment="1">
      <alignment vertical="top" wrapText="1"/>
    </xf>
    <xf numFmtId="0" fontId="5" fillId="0" borderId="0" xfId="719" applyFont="1" applyAlignment="1">
      <alignment vertical="top"/>
    </xf>
    <xf numFmtId="0" fontId="4" fillId="0" borderId="0" xfId="719" applyFont="1"/>
    <xf numFmtId="0" fontId="39" fillId="0" borderId="0" xfId="719" applyAlignment="1"/>
    <xf numFmtId="0" fontId="4" fillId="0" borderId="0" xfId="719" applyNumberFormat="1" applyFont="1" applyAlignment="1">
      <alignment vertical="top"/>
    </xf>
    <xf numFmtId="0" fontId="4" fillId="0" borderId="0" xfId="719" applyFont="1" applyAlignment="1">
      <alignment vertical="top"/>
    </xf>
    <xf numFmtId="0" fontId="4" fillId="0" borderId="0" xfId="719" applyFont="1" applyAlignment="1"/>
    <xf numFmtId="49" fontId="4" fillId="0" borderId="0" xfId="719" applyNumberFormat="1" applyFont="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0" fontId="3" fillId="0" borderId="0" xfId="719" applyFont="1" applyFill="1" applyAlignment="1">
      <alignment vertical="top"/>
    </xf>
    <xf numFmtId="0" fontId="3"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0" fontId="3" fillId="0" borderId="0" xfId="719" applyFont="1" applyFill="1" applyAlignment="1">
      <alignment vertical="top" wrapText="1"/>
    </xf>
    <xf numFmtId="0" fontId="3" fillId="0" borderId="0" xfId="719" applyNumberFormat="1" applyFont="1" applyFill="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applyAlignment="1">
      <alignment vertical="top"/>
    </xf>
    <xf numFmtId="49" fontId="2" fillId="0" borderId="0" xfId="719" applyNumberFormat="1" applyFont="1" applyAlignment="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2" totalsRowCount="1" headerRowDxfId="73" dataDxfId="72" totalsRowDxfId="71">
  <autoFilter ref="A1:Y331"/>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2"/>
  <sheetViews>
    <sheetView tabSelected="1" topLeftCell="B1" zoomScale="120" zoomScaleNormal="120" workbookViewId="0">
      <pane ySplit="1" topLeftCell="A2" activePane="bottomLeft" state="frozen"/>
      <selection pane="bottomLeft" activeCell="E4" sqref="E4"/>
    </sheetView>
  </sheetViews>
  <sheetFormatPr defaultColWidth="8.6640625" defaultRowHeight="15.5" x14ac:dyDescent="0.35"/>
  <cols>
    <col min="1" max="1" width="29.58203125" style="5" customWidth="1"/>
    <col min="2" max="2" width="8.6640625" style="5"/>
    <col min="3" max="3" width="8.08203125" style="5" customWidth="1"/>
    <col min="4" max="4" width="33.5" style="6" customWidth="1"/>
    <col min="5" max="5" width="71.1640625" style="54" customWidth="1"/>
    <col min="6" max="6" width="24.1640625" style="5" customWidth="1"/>
    <col min="7" max="8" width="12.1640625" style="5" customWidth="1"/>
    <col min="9" max="9" width="9.6640625" style="5" customWidth="1"/>
    <col min="10" max="11" width="11.5" style="5" customWidth="1"/>
    <col min="12" max="12" width="10.58203125" style="5" customWidth="1"/>
    <col min="13" max="22" width="8.6640625" style="5" customWidth="1"/>
    <col min="23" max="23" width="22.9140625" style="5" customWidth="1"/>
    <col min="24" max="24" width="8.6640625" style="8" customWidth="1"/>
    <col min="25" max="25" width="36.83203125" style="8" customWidth="1"/>
    <col min="26" max="16384" width="8.6640625" style="5"/>
  </cols>
  <sheetData>
    <row r="1" spans="1:25" s="1" customFormat="1" x14ac:dyDescent="0.35">
      <c r="A1" s="1" t="s">
        <v>89</v>
      </c>
      <c r="B1" s="1" t="s">
        <v>90</v>
      </c>
      <c r="C1" s="1" t="s">
        <v>91</v>
      </c>
      <c r="D1" s="1" t="s">
        <v>92</v>
      </c>
      <c r="E1" s="46" t="s">
        <v>88</v>
      </c>
      <c r="F1" s="2" t="s">
        <v>93</v>
      </c>
      <c r="G1" s="1" t="s">
        <v>67</v>
      </c>
      <c r="H1" s="1" t="s">
        <v>358</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359</v>
      </c>
    </row>
    <row r="2" spans="1:25" ht="29" x14ac:dyDescent="0.35">
      <c r="A2" s="5" t="s">
        <v>136</v>
      </c>
      <c r="B2" s="5" t="s">
        <v>4</v>
      </c>
      <c r="D2" s="5" t="s">
        <v>136</v>
      </c>
      <c r="E2" s="76" t="s">
        <v>385</v>
      </c>
      <c r="F2" s="5" t="s">
        <v>5</v>
      </c>
      <c r="G2" s="4"/>
      <c r="H2" s="4"/>
      <c r="I2" s="4" t="str">
        <f t="shared" ref="I2:I20"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5">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5">
      <c r="A4" s="5" t="s">
        <v>136</v>
      </c>
      <c r="B4" s="5" t="s">
        <v>8</v>
      </c>
      <c r="D4" s="132" t="s">
        <v>176</v>
      </c>
      <c r="E4" s="133" t="s">
        <v>551</v>
      </c>
      <c r="F4" s="134"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5" x14ac:dyDescent="0.35">
      <c r="A5" s="5" t="s">
        <v>136</v>
      </c>
      <c r="B5" s="5" t="s">
        <v>7</v>
      </c>
      <c r="C5" s="5">
        <v>150</v>
      </c>
      <c r="D5" s="78" t="s">
        <v>222</v>
      </c>
      <c r="E5" s="79" t="s">
        <v>435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5">
      <c r="A6" s="61" t="s">
        <v>136</v>
      </c>
      <c r="B6" s="61" t="s">
        <v>7</v>
      </c>
      <c r="C6" s="72">
        <v>100</v>
      </c>
      <c r="D6" s="85" t="s">
        <v>15</v>
      </c>
      <c r="E6" s="60" t="s">
        <v>386</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5">
      <c r="A7" s="130" t="s">
        <v>136</v>
      </c>
      <c r="B7" s="130" t="s">
        <v>7</v>
      </c>
      <c r="C7" s="72">
        <v>50</v>
      </c>
      <c r="D7" s="130" t="s">
        <v>235</v>
      </c>
      <c r="E7" s="131" t="s">
        <v>550</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9" x14ac:dyDescent="0.35">
      <c r="A8" s="5" t="s">
        <v>136</v>
      </c>
      <c r="B8" s="5" t="s">
        <v>7</v>
      </c>
      <c r="C8" s="5">
        <v>2048</v>
      </c>
      <c r="D8" s="80" t="s">
        <v>399</v>
      </c>
      <c r="E8" s="76" t="s">
        <v>400</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5">
      <c r="A9" s="5" t="s">
        <v>136</v>
      </c>
      <c r="B9" s="23" t="s">
        <v>19</v>
      </c>
      <c r="C9" s="72"/>
      <c r="D9" s="66" t="s">
        <v>442</v>
      </c>
      <c r="E9" s="47"/>
      <c r="F9" s="66" t="s">
        <v>438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rg:None</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t="29" x14ac:dyDescent="0.35">
      <c r="A10" s="5" t="s">
        <v>136</v>
      </c>
      <c r="B10" s="23" t="s">
        <v>8</v>
      </c>
      <c r="C10" s="72"/>
      <c r="D10" s="23" t="s">
        <v>195</v>
      </c>
      <c r="E10" s="48" t="s">
        <v>221</v>
      </c>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primaryContact</v>
      </c>
      <c r="V10" s="4" t="str">
        <f>IF(LEN(Table2[[#This Row],[!Description]]) &gt; 0, Table2[[#This Row],[!Description]], "rg:None")</f>
        <v>Link to the designated Primary Contact for the Project - usually the Project Manager requesting to hire equipment.</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5">
      <c r="A11" s="5" t="s">
        <v>136</v>
      </c>
      <c r="B11" s="23" t="s">
        <v>19</v>
      </c>
      <c r="C11" s="72"/>
      <c r="D11" s="23" t="s">
        <v>179</v>
      </c>
      <c r="E11" s="47"/>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contacts</v>
      </c>
      <c r="V11" s="4" t="str">
        <f>IF(LEN(Table2[[#This Row],[!Description]]) &gt; 0, Table2[[#This Row],[!Description]], "rg:None")</f>
        <v>rg:None</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5">
      <c r="A12" s="5" t="s">
        <v>136</v>
      </c>
      <c r="B12" s="21" t="s">
        <v>19</v>
      </c>
      <c r="C12" s="72"/>
      <c r="D12" s="21" t="s">
        <v>167</v>
      </c>
      <c r="E12" s="47"/>
      <c r="F12" s="22" t="s">
        <v>149</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notes</v>
      </c>
      <c r="V12" s="4" t="str">
        <f>IF(LEN(Table2[[#This Row],[!Description]]) &gt; 0, Table2[[#This Row],[!Description]], "rg:None")</f>
        <v>rg:None</v>
      </c>
      <c r="W12" s="4" t="str">
        <f>IF(LEN(Table2[[#This Row],[!FK]])&gt;0,Table2[[#This Row],[!FK]],"rg:None")</f>
        <v>Note</v>
      </c>
      <c r="X12" s="14" t="str">
        <f>IF(LEN(concatif2(A:A,Table2[[#This Row],[!Table]],G:G,"Y",D:D,",")) &gt; 0,"rg:[ { 'req' : '"&amp;concatif2(A:A,Table2[[#This Row],[!Table]],G:G,"Y",D:D,"' }, { 'req': '")&amp;"'} ]","rg:[]")</f>
        <v>rg:[ { 'req' : 'id'} ]</v>
      </c>
      <c r="Y12" s="4" t="str">
        <f>IF(LEN(Table2[[#This Row],[!Unique]])&gt;0,"rg:True","rg:None")</f>
        <v>rg:None</v>
      </c>
    </row>
    <row r="13" spans="1:25" x14ac:dyDescent="0.35">
      <c r="A13" s="5" t="s">
        <v>136</v>
      </c>
      <c r="B13" s="21" t="s">
        <v>19</v>
      </c>
      <c r="C13" s="72"/>
      <c r="D13" s="21" t="s">
        <v>178</v>
      </c>
      <c r="E13" s="47"/>
      <c r="F13" s="81" t="s">
        <v>161</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attachments</v>
      </c>
      <c r="V13" s="4" t="str">
        <f>IF(LEN(Table2[[#This Row],[!Description]]) &gt; 0, Table2[[#This Row],[!Description]], "rg:None")</f>
        <v>rg:None</v>
      </c>
      <c r="W13" s="4" t="str">
        <f>IF(LEN(Table2[[#This Row],[!FK]])&gt;0,Table2[[#This Row],[!FK]],"rg:None")</f>
        <v>Attachment</v>
      </c>
      <c r="X13" s="14" t="str">
        <f>IF(LEN(concatif2(A:A,Table2[[#This Row],[!Table]],G:G,"Y",D:D,",")) &gt; 0,"rg:[ { 'req' : '"&amp;concatif2(A:A,Table2[[#This Row],[!Table]],G:G,"Y",D:D,"' }, { 'req': '")&amp;"'} ]","rg:[]")</f>
        <v>rg:[ { 'req' : 'id'} ]</v>
      </c>
      <c r="Y13" s="4" t="str">
        <f>IF(LEN(Table2[[#This Row],[!Unique]])&gt;0,"rg:True","rg:None")</f>
        <v>rg:None</v>
      </c>
    </row>
    <row r="14" spans="1:25" x14ac:dyDescent="0.35">
      <c r="A14" s="5" t="s">
        <v>136</v>
      </c>
      <c r="B14" s="21" t="s">
        <v>19</v>
      </c>
      <c r="C14" s="72"/>
      <c r="D14" s="21" t="s">
        <v>180</v>
      </c>
      <c r="E14" s="47"/>
      <c r="F14" s="82" t="s">
        <v>163</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history</v>
      </c>
      <c r="V14" s="4" t="str">
        <f>IF(LEN(Table2[[#This Row],[!Description]]) &gt; 0, Table2[[#This Row],[!Description]], "rg:None")</f>
        <v>rg:None</v>
      </c>
      <c r="W14" s="4" t="str">
        <f>IF(LEN(Table2[[#This Row],[!FK]])&gt;0,Table2[[#This Row],[!FK]],"rg:None")</f>
        <v>History</v>
      </c>
      <c r="X14" s="14" t="str">
        <f>IF(LEN(concatif2(A:A,Table2[[#This Row],[!Table]],G:G,"Y",D:D,",")) &gt; 0,"rg:[ { 'req' : '"&amp;concatif2(A:A,Table2[[#This Row],[!Table]],G:G,"Y",D:D,"' }, { 'req': '")&amp;"'} ]","rg:[]")</f>
        <v>rg:[ { 'req' : 'id'} ]</v>
      </c>
      <c r="Y14" s="4" t="str">
        <f>IF(LEN(Table2[[#This Row],[!Unique]])&gt;0,"rg:True","rg:None")</f>
        <v>rg:None</v>
      </c>
    </row>
    <row r="15" spans="1:25" x14ac:dyDescent="0.35">
      <c r="A15" s="66" t="s">
        <v>438</v>
      </c>
      <c r="B15" s="5" t="s">
        <v>4</v>
      </c>
      <c r="D15" s="66" t="s">
        <v>438</v>
      </c>
      <c r="E15" s="60" t="s">
        <v>370</v>
      </c>
      <c r="F15" s="12"/>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table</v>
      </c>
      <c r="T15" s="4" t="str">
        <f>IF(LEN(Table2[[#This Row],[!Length]]) &gt; 0, Table2[[#This Row],[!Length]], "rg:None")</f>
        <v>rg:None</v>
      </c>
      <c r="U15" s="4" t="str">
        <f>IF(LEN(Table2[[#This Row],[!Name]]) &gt; 0, Table2[[#This Row],[!Name]], "rg:None")</f>
        <v>RentalRequest</v>
      </c>
      <c r="V15" s="4" t="str">
        <f>IF(LEN(Table2[[#This Row],[!Description]]) &gt; 0, Table2[[#This Row],[!Description]], "rg:None")</f>
        <v>A request from a Project for one or more of a type of equipment from a specific Local Area.</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5">
      <c r="A16" s="66" t="s">
        <v>438</v>
      </c>
      <c r="B16" s="23" t="s">
        <v>6</v>
      </c>
      <c r="C16" s="72"/>
      <c r="D16" s="23" t="s">
        <v>6</v>
      </c>
      <c r="E16" s="54" t="s">
        <v>223</v>
      </c>
      <c r="F16" s="12"/>
      <c r="G16" s="25" t="s">
        <v>62</v>
      </c>
      <c r="H16" s="25"/>
      <c r="I16" s="4" t="str">
        <f t="shared" si="0"/>
        <v>Defs</v>
      </c>
      <c r="J16" s="4" t="str">
        <f>IF(Table2[[#This Row],[!Type]]=J$1, J$1,"rg:None")</f>
        <v>rg:None</v>
      </c>
      <c r="K16" s="4" t="str">
        <f>IF(Table2[[#This Row],[!Type]]=K$1, K$1,"rg:None")</f>
        <v>rg:None</v>
      </c>
      <c r="L16" s="4" t="str">
        <f>IF(Table2[[#This Row],[!Type]]=L$1, L$1,"rg:None")</f>
        <v>rg:None</v>
      </c>
      <c r="M16" s="4" t="str">
        <f>IF(Table2[[#This Row],[!Type]]=M$1, M$1,"rg:None")</f>
        <v>id</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id</v>
      </c>
      <c r="V16" s="4" t="str">
        <f>IF(LEN(Table2[[#This Row],[!Description]]) &gt; 0, Table2[[#This Row],[!Description]], "rg:None")</f>
        <v>A system-generated unique identifier for a Request</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5">
      <c r="A17" s="66" t="s">
        <v>438</v>
      </c>
      <c r="B17" s="23" t="s">
        <v>8</v>
      </c>
      <c r="C17" s="72"/>
      <c r="D17" s="23" t="s">
        <v>152</v>
      </c>
      <c r="E17" s="47"/>
      <c r="F17" s="24" t="s">
        <v>136</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project</v>
      </c>
      <c r="V17" s="4" t="str">
        <f>IF(LEN(Table2[[#This Row],[!Description]]) &gt; 0, Table2[[#This Row],[!Description]], "rg:None")</f>
        <v>rg:None</v>
      </c>
      <c r="W17" s="4" t="str">
        <f>IF(LEN(Table2[[#This Row],[!FK]])&gt;0,Table2[[#This Row],[!FK]],"rg:None")</f>
        <v>Project</v>
      </c>
      <c r="X17" s="14" t="str">
        <f>IF(LEN(concatif2(A:A,Table2[[#This Row],[!Table]],G:G,"Y",D:D,",")) &gt; 0,"rg:[ { 'req' : '"&amp;concatif2(A:A,Table2[[#This Row],[!Table]],G:G,"Y",D:D,"' }, { 'req': '")&amp;"'} ]","rg:[]")</f>
        <v>rg:[ { 'req' : 'id'} ]</v>
      </c>
      <c r="Y17" s="4" t="str">
        <f>IF(LEN(Table2[[#This Row],[!Unique]])&gt;0,"rg:True","rg:None")</f>
        <v>rg:None</v>
      </c>
    </row>
    <row r="18" spans="1:25" x14ac:dyDescent="0.35">
      <c r="A18" s="66" t="s">
        <v>438</v>
      </c>
      <c r="B18" s="26" t="s">
        <v>8</v>
      </c>
      <c r="C18" s="72"/>
      <c r="D18" s="26" t="s">
        <v>176</v>
      </c>
      <c r="E18" s="47"/>
      <c r="F18" s="27" t="s">
        <v>154</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localArea</v>
      </c>
      <c r="V18" s="4" t="str">
        <f>IF(LEN(Table2[[#This Row],[!Description]]) &gt; 0, Table2[[#This Row],[!Description]], "rg:None")</f>
        <v>rg:None</v>
      </c>
      <c r="W18" s="4" t="str">
        <f>IF(LEN(Table2[[#This Row],[!FK]])&gt;0,Table2[[#This Row],[!FK]],"rg:None")</f>
        <v>LocalArea</v>
      </c>
      <c r="X18" s="14" t="str">
        <f>IF(LEN(concatif2(A:A,Table2[[#This Row],[!Table]],G:G,"Y",D:D,",")) &gt; 0,"rg:[ { 'req' : '"&amp;concatif2(A:A,Table2[[#This Row],[!Table]],G:G,"Y",D:D,"' }, { 'req': '")&amp;"'} ]","rg:[]")</f>
        <v>rg:[ { 'req' : 'id'} ]</v>
      </c>
      <c r="Y18" s="4" t="str">
        <f>IF(LEN(Table2[[#This Row],[!Unique]])&gt;0,"rg:True","rg:None")</f>
        <v>rg:None</v>
      </c>
    </row>
    <row r="19" spans="1:25" x14ac:dyDescent="0.35">
      <c r="A19" s="73" t="s">
        <v>438</v>
      </c>
      <c r="B19" s="73" t="s">
        <v>7</v>
      </c>
      <c r="C19" s="72">
        <v>50</v>
      </c>
      <c r="D19" s="73" t="s">
        <v>235</v>
      </c>
      <c r="E19" s="74" t="s">
        <v>454</v>
      </c>
      <c r="F19" s="12"/>
      <c r="G19" s="18"/>
      <c r="H19" s="18"/>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rg:None</v>
      </c>
      <c r="R19" s="4" t="str">
        <f>IF(Table2[[#This Row],[!Type]]=R$1, R$1,"rg:None")</f>
        <v>string</v>
      </c>
      <c r="S19" s="4" t="str">
        <f>IF(Table2[[#This Row],[!Type]]=S$1, S$1,"rg:None")</f>
        <v>rg:None</v>
      </c>
      <c r="T19" s="4">
        <f>IF(LEN(Table2[[#This Row],[!Length]]) &gt; 0, Table2[[#This Row],[!Length]], "rg:None")</f>
        <v>50</v>
      </c>
      <c r="U19" s="4" t="str">
        <f>IF(LEN(Table2[[#This Row],[!Name]]) &gt; 0, Table2[[#This Row],[!Name]], "rg:None")</f>
        <v>status</v>
      </c>
      <c r="V19" s="4" t="str">
        <f>IF(LEN(Table2[[#This Row],[!Description]]) &gt; 0, Table2[[#This Row],[!Description]], "rg:None")</f>
        <v>The status of the Rental Request - whether it in progress, completed or was cancelled.</v>
      </c>
      <c r="W19" s="4" t="str">
        <f>IF(LEN(Table2[[#This Row],[!FK]])&gt;0,Table2[[#This Row],[!FK]],"rg:None")</f>
        <v>rg:None</v>
      </c>
      <c r="X19" s="14" t="str">
        <f>IF(LEN(concatif2(A:A,Table2[[#This Row],[!Table]],G:G,"Y",D:D,",")) &gt; 0,"rg:[ { 'req' : '"&amp;concatif2(A:A,Table2[[#This Row],[!Table]],G:G,"Y",D:D,"' }, { 'req': '")&amp;"'} ]","rg:[]")</f>
        <v>rg:[ { 'req' : 'id'} ]</v>
      </c>
      <c r="Y19" s="4" t="str">
        <f>IF(LEN(Table2[[#This Row],[!Unique]])&gt;0,"rg:True","rg:None")</f>
        <v>rg:None</v>
      </c>
    </row>
    <row r="20" spans="1:25" x14ac:dyDescent="0.35">
      <c r="A20" s="66" t="s">
        <v>438</v>
      </c>
      <c r="B20" s="26" t="s">
        <v>8</v>
      </c>
      <c r="C20" s="72"/>
      <c r="D20" s="82" t="s">
        <v>184</v>
      </c>
      <c r="F20" s="82" t="s">
        <v>185</v>
      </c>
      <c r="G20" s="18"/>
      <c r="H20" s="18"/>
      <c r="I20" s="4" t="str">
        <f t="shared" si="0"/>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ref</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equipmentType</v>
      </c>
      <c r="V20" s="4" t="str">
        <f>IF(LEN(Table2[[#This Row],[!Description]]) &gt; 0, Table2[[#This Row],[!Description]], "rg:None")</f>
        <v>rg:None</v>
      </c>
      <c r="W20" s="4" t="str">
        <f>IF(LEN(Table2[[#This Row],[!FK]])&gt;0,Table2[[#This Row],[!FK]],"rg:None")</f>
        <v>EquipmentType</v>
      </c>
      <c r="X20" s="14" t="str">
        <f>IF(LEN(concatif2(A:A,Table2[[#This Row],[!Table]],G:G,"Y",D:D,",")) &gt; 0,"rg:[ { 'req' : '"&amp;concatif2(A:A,Table2[[#This Row],[!Table]],G:G,"Y",D:D,"' }, { 'req': '")&amp;"'} ]","rg:[]")</f>
        <v>rg:[ { 'req' : 'id'} ]</v>
      </c>
      <c r="Y20" s="4" t="str">
        <f>IF(LEN(Table2[[#This Row],[!Unique]])&gt;0,"rg:True","rg:None")</f>
        <v>rg:None</v>
      </c>
    </row>
    <row r="21" spans="1:25" x14ac:dyDescent="0.35">
      <c r="A21" s="66" t="s">
        <v>438</v>
      </c>
      <c r="B21" s="26" t="s">
        <v>13</v>
      </c>
      <c r="C21" s="72"/>
      <c r="D21" s="26" t="s">
        <v>197</v>
      </c>
      <c r="E21" s="60" t="s">
        <v>390</v>
      </c>
      <c r="F21" s="12"/>
      <c r="G21" s="18"/>
      <c r="H21" s="18"/>
      <c r="I21" s="4" t="str">
        <f t="shared" ref="I21:I28" si="1">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equipmentCount</v>
      </c>
      <c r="V21" s="4" t="str">
        <f>IF(LEN(Table2[[#This Row],[!Description]]) &gt; 0, Table2[[#This Row],[!Description]], "rg:None")</f>
        <v>The number of pieces of the equipment type wanted for hire as part of this request.</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9" x14ac:dyDescent="0.35">
      <c r="A22" s="66" t="s">
        <v>438</v>
      </c>
      <c r="B22" s="26" t="s">
        <v>13</v>
      </c>
      <c r="C22" s="72"/>
      <c r="D22" s="26" t="s">
        <v>198</v>
      </c>
      <c r="E22" s="49" t="s">
        <v>264</v>
      </c>
      <c r="F22" s="12"/>
      <c r="G22" s="18"/>
      <c r="H22" s="18"/>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expectedHours</v>
      </c>
      <c r="V22" s="4" t="str">
        <f>IF(LEN(Table2[[#This Row],[!Description]]) &gt; 0, Table2[[#This Row],[!Description]], "rg:None")</f>
        <v xml:space="preserve">The expected number of rental hours for each piece equipment hired against this request, as provided by the Project Manager making the request. </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9" x14ac:dyDescent="0.35">
      <c r="A23" s="66" t="s">
        <v>438</v>
      </c>
      <c r="B23" s="26" t="s">
        <v>12</v>
      </c>
      <c r="C23" s="72"/>
      <c r="D23" s="26" t="s">
        <v>199</v>
      </c>
      <c r="E23" s="49" t="s">
        <v>263</v>
      </c>
      <c r="F23" s="12"/>
      <c r="G23" s="18"/>
      <c r="H23" s="18"/>
      <c r="I23" s="4" t="str">
        <f>IF(LEN(A23) &gt; 0,"Defs","-")</f>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expectedStartDate</v>
      </c>
      <c r="V23" s="4" t="str">
        <f>IF(LEN(Table2[[#This Row],[!Description]]) &gt; 0, Table2[[#This Row],[!Description]], "rg:None")</f>
        <v>The expected start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9" x14ac:dyDescent="0.35">
      <c r="A24" s="66" t="s">
        <v>438</v>
      </c>
      <c r="B24" s="26" t="s">
        <v>12</v>
      </c>
      <c r="C24" s="72"/>
      <c r="D24" s="26" t="s">
        <v>200</v>
      </c>
      <c r="E24" s="49" t="s">
        <v>262</v>
      </c>
      <c r="F24" s="12"/>
      <c r="G24" s="18"/>
      <c r="H24" s="18"/>
      <c r="I24" s="4" t="str">
        <f t="shared" si="1"/>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expectedEndDate</v>
      </c>
      <c r="V24" s="4" t="str">
        <f>IF(LEN(Table2[[#This Row],[!Description]]) &gt; 0, Table2[[#This Row],[!Description]], "rg:None")</f>
        <v>The expected end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x14ac:dyDescent="0.35">
      <c r="A25" s="66" t="s">
        <v>438</v>
      </c>
      <c r="B25" s="61" t="s">
        <v>8</v>
      </c>
      <c r="C25" s="72"/>
      <c r="D25" s="61" t="s">
        <v>391</v>
      </c>
      <c r="E25" s="60" t="s">
        <v>392</v>
      </c>
      <c r="F25" s="62" t="s">
        <v>183</v>
      </c>
      <c r="G25" s="18"/>
      <c r="H25" s="18"/>
      <c r="I25" s="4" t="str">
        <f>IF(LEN(A25) &gt; 0,"Defs","-")</f>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ref</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firstOnRotationList</v>
      </c>
      <c r="V25" s="4" t="str">
        <f>IF(LEN(Table2[[#This Row],[!Description]]) &gt; 0, Table2[[#This Row],[!Description]], "rg:None")</f>
        <v>The first piece of equipment on the rotation list at the time of the creation of the request.</v>
      </c>
      <c r="W25" s="4" t="str">
        <f>IF(LEN(Table2[[#This Row],[!FK]])&gt;0,Table2[[#This Row],[!FK]],"rg:None")</f>
        <v>Equipment</v>
      </c>
      <c r="X25" s="14" t="str">
        <f>IF(LEN(concatif2(A:A,Table2[[#This Row],[!Table]],G:G,"Y",D:D,",")) &gt; 0,"rg:[ { 'req' : '"&amp;concatif2(A:A,Table2[[#This Row],[!Table]],G:G,"Y",D:D,"' }, { 'req': '")&amp;"'} ]","rg:[]")</f>
        <v>rg:[ { 'req' : 'id'} ]</v>
      </c>
      <c r="Y25" s="4" t="str">
        <f>IF(LEN(Table2[[#This Row],[!Unique]])&gt;0,"rg:True","rg:None")</f>
        <v>rg:None</v>
      </c>
    </row>
    <row r="26" spans="1:25" x14ac:dyDescent="0.35">
      <c r="A26" s="66" t="s">
        <v>438</v>
      </c>
      <c r="B26" s="21" t="s">
        <v>19</v>
      </c>
      <c r="C26" s="72"/>
      <c r="D26" s="21" t="s">
        <v>167</v>
      </c>
      <c r="E26" s="47"/>
      <c r="F26" s="22" t="s">
        <v>149</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notes</v>
      </c>
      <c r="V26" s="4" t="str">
        <f>IF(LEN(Table2[[#This Row],[!Description]]) &gt; 0, Table2[[#This Row],[!Description]], "rg:None")</f>
        <v>rg:None</v>
      </c>
      <c r="W26" s="4" t="str">
        <f>IF(LEN(Table2[[#This Row],[!FK]])&gt;0,Table2[[#This Row],[!FK]],"rg:None")</f>
        <v>Note</v>
      </c>
      <c r="X26" s="14" t="str">
        <f>IF(LEN(concatif2(A:A,Table2[[#This Row],[!Table]],G:G,"Y",D:D,",")) &gt; 0,"rg:[ { 'req' : '"&amp;concatif2(A:A,Table2[[#This Row],[!Table]],G:G,"Y",D:D,"' }, { 'req': '")&amp;"'} ]","rg:[]")</f>
        <v>rg:[ { 'req' : 'id'} ]</v>
      </c>
      <c r="Y26" s="4" t="str">
        <f>IF(LEN(Table2[[#This Row],[!Unique]])&gt;0,"rg:True","rg:None")</f>
        <v>rg:None</v>
      </c>
    </row>
    <row r="27" spans="1:25" x14ac:dyDescent="0.35">
      <c r="A27" s="66" t="s">
        <v>438</v>
      </c>
      <c r="B27" s="21" t="s">
        <v>19</v>
      </c>
      <c r="C27" s="72"/>
      <c r="D27" s="21" t="s">
        <v>178</v>
      </c>
      <c r="E27" s="47"/>
      <c r="F27" s="88" t="s">
        <v>456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attachments</v>
      </c>
      <c r="V27" s="4" t="str">
        <f>IF(LEN(Table2[[#This Row],[!Description]]) &gt; 0, Table2[[#This Row],[!Description]], "rg:None")</f>
        <v>rg:None</v>
      </c>
      <c r="W27" s="4" t="str">
        <f>IF(LEN(Table2[[#This Row],[!FK]])&gt;0,Table2[[#This Row],[!FK]],"rg:None")</f>
        <v>RentalRequestAttachment</v>
      </c>
      <c r="X27" s="14" t="str">
        <f>IF(LEN(concatif2(A:A,Table2[[#This Row],[!Table]],G:G,"Y",D:D,",")) &gt; 0,"rg:[ { 'req' : '"&amp;concatif2(A:A,Table2[[#This Row],[!Table]],G:G,"Y",D:D,"' }, { 'req': '")&amp;"'} ]","rg:[]")</f>
        <v>rg:[ { 'req' : 'id'} ]</v>
      </c>
      <c r="Y27" s="4" t="str">
        <f>IF(LEN(Table2[[#This Row],[!Unique]])&gt;0,"rg:True","rg:None")</f>
        <v>rg:None</v>
      </c>
    </row>
    <row r="28" spans="1:25" x14ac:dyDescent="0.35">
      <c r="A28" s="66" t="s">
        <v>438</v>
      </c>
      <c r="B28" s="21" t="s">
        <v>19</v>
      </c>
      <c r="C28" s="72"/>
      <c r="D28" s="21" t="s">
        <v>180</v>
      </c>
      <c r="E28" s="47"/>
      <c r="F28" s="82" t="s">
        <v>163</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history</v>
      </c>
      <c r="V28" s="4" t="str">
        <f>IF(LEN(Table2[[#This Row],[!Description]]) &gt; 0, Table2[[#This Row],[!Description]], "rg:None")</f>
        <v>rg:None</v>
      </c>
      <c r="W28" s="4" t="str">
        <f>IF(LEN(Table2[[#This Row],[!FK]])&gt;0,Table2[[#This Row],[!FK]],"rg:None")</f>
        <v>History</v>
      </c>
      <c r="X28" s="14" t="str">
        <f>IF(LEN(concatif2(A:A,Table2[[#This Row],[!Table]],G:G,"Y",D:D,",")) &gt; 0,"rg:[ { 'req' : '"&amp;concatif2(A:A,Table2[[#This Row],[!Table]],G:G,"Y",D:D,"' }, { 'req': '")&amp;"'} ]","rg:[]")</f>
        <v>rg:[ { 'req' : 'id'} ]</v>
      </c>
      <c r="Y28" s="4" t="str">
        <f>IF(LEN(Table2[[#This Row],[!Unique]])&gt;0,"rg:True","rg:None")</f>
        <v>rg:None</v>
      </c>
    </row>
    <row r="29" spans="1:25" x14ac:dyDescent="0.35">
      <c r="A29" s="66" t="s">
        <v>438</v>
      </c>
      <c r="B29" s="64" t="s">
        <v>19</v>
      </c>
      <c r="C29" s="72"/>
      <c r="D29" s="66" t="s">
        <v>440</v>
      </c>
      <c r="E29" s="47"/>
      <c r="F29" s="66" t="s">
        <v>439</v>
      </c>
      <c r="G29" s="18"/>
      <c r="H29" s="18"/>
      <c r="I29" s="4" t="str">
        <f>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rentalRequestRotationList</v>
      </c>
      <c r="V29" s="4" t="str">
        <f>IF(LEN(Table2[[#This Row],[!Description]]) &gt; 0, Table2[[#This Row],[!Description]], "rg:None")</f>
        <v>rg:None</v>
      </c>
      <c r="W29" s="4" t="str">
        <f>IF(LEN(Table2[[#This Row],[!FK]])&gt;0,Table2[[#This Row],[!FK]],"rg:None")</f>
        <v>RentalRequestRotationList</v>
      </c>
      <c r="X29" s="14" t="str">
        <f>IF(LEN(concatif2(A:A,Table2[[#This Row],[!Table]],G:G,"Y",D:D,",")) &gt; 0,"rg:[ { 'req' : '"&amp;concatif2(A:A,Table2[[#This Row],[!Table]],G:G,"Y",D:D,"' }, { 'req': '")&amp;"'} ]","rg:[]")</f>
        <v>rg:[ { 'req' : 'id'} ]</v>
      </c>
      <c r="Y29" s="4" t="str">
        <f>IF(LEN(Table2[[#This Row],[!Unique]])&gt;0,"rg:True","rg:None")</f>
        <v>rg:None</v>
      </c>
    </row>
    <row r="30" spans="1:25" x14ac:dyDescent="0.35">
      <c r="A30" s="73" t="s">
        <v>456</v>
      </c>
      <c r="B30" s="73" t="s">
        <v>4</v>
      </c>
      <c r="C30" s="72"/>
      <c r="D30" s="73" t="s">
        <v>456</v>
      </c>
      <c r="E30" s="74" t="s">
        <v>457</v>
      </c>
      <c r="F30" s="12"/>
      <c r="G30" s="18"/>
      <c r="H30" s="18"/>
      <c r="I30" s="4" t="str">
        <f t="shared" ref="I30:I33" si="2">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table</v>
      </c>
      <c r="T30" s="4" t="str">
        <f>IF(LEN(Table2[[#This Row],[!Length]]) &gt; 0, Table2[[#This Row],[!Length]], "rg:None")</f>
        <v>rg:None</v>
      </c>
      <c r="U30" s="4" t="str">
        <f>IF(LEN(Table2[[#This Row],[!Name]]) &gt; 0, Table2[[#This Row],[!Name]], "rg:None")</f>
        <v>RentalRequestAttachment</v>
      </c>
      <c r="V30" s="4" t="str">
        <f>IF(LEN(Table2[[#This Row],[!Description]]) &gt; 0, Table2[[#This Row],[!Description]], "rg:None")</f>
        <v>Attachments that are required as part of the Rental Requests</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5">
      <c r="A31" s="73" t="s">
        <v>456</v>
      </c>
      <c r="B31" s="73" t="s">
        <v>6</v>
      </c>
      <c r="C31" s="72"/>
      <c r="D31" s="73" t="s">
        <v>6</v>
      </c>
      <c r="E31" s="89" t="s">
        <v>458</v>
      </c>
      <c r="F31" s="12"/>
      <c r="G31" s="83" t="s">
        <v>62</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id</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id</v>
      </c>
      <c r="V31" s="4" t="str">
        <f>IF(LEN(Table2[[#This Row],[!Description]]) &gt; 0, Table2[[#This Row],[!Description]], "rg:None")</f>
        <v>A system-generated unique identifier for a RentalRequestAttachment</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5">
      <c r="A32" s="73" t="s">
        <v>456</v>
      </c>
      <c r="B32" s="73" t="s">
        <v>8</v>
      </c>
      <c r="C32" s="72"/>
      <c r="D32" s="73" t="s">
        <v>441</v>
      </c>
      <c r="E32" s="47"/>
      <c r="F32" s="84" t="s">
        <v>438</v>
      </c>
      <c r="G32" s="18"/>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rentalRequest</v>
      </c>
      <c r="V32" s="4" t="str">
        <f>IF(LEN(Table2[[#This Row],[!Description]]) &gt; 0, Table2[[#This Row],[!Description]], "rg:None")</f>
        <v>rg:None</v>
      </c>
      <c r="W32" s="4" t="str">
        <f>IF(LEN(Table2[[#This Row],[!FK]])&gt;0,Table2[[#This Row],[!FK]],"rg:None")</f>
        <v>RentalRequest</v>
      </c>
      <c r="X32" s="14" t="str">
        <f>IF(LEN(concatif2(A:A,Table2[[#This Row],[!Table]],G:G,"Y",D:D,",")) &gt; 0,"rg:[ { 'req' : '"&amp;concatif2(A:A,Table2[[#This Row],[!Table]],G:G,"Y",D:D,"' }, { 'req': '")&amp;"'} ]","rg:[]")</f>
        <v>rg:[ { 'req' : 'id' }, { 'req': 'attachment'} ]</v>
      </c>
      <c r="Y32" s="4" t="str">
        <f>IF(LEN(Table2[[#This Row],[!Unique]])&gt;0,"rg:True","rg:None")</f>
        <v>rg:None</v>
      </c>
    </row>
    <row r="33" spans="1:25" x14ac:dyDescent="0.35">
      <c r="A33" s="73" t="s">
        <v>456</v>
      </c>
      <c r="B33" s="73" t="s">
        <v>7</v>
      </c>
      <c r="C33" s="72">
        <v>150</v>
      </c>
      <c r="D33" s="73" t="s">
        <v>218</v>
      </c>
      <c r="E33" s="74" t="s">
        <v>459</v>
      </c>
      <c r="F33" s="12"/>
      <c r="G33" s="83"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4">
        <f>IF(LEN(Table2[[#This Row],[!Length]]) &gt; 0, Table2[[#This Row],[!Length]], "rg:None")</f>
        <v>150</v>
      </c>
      <c r="U33" s="4" t="str">
        <f>IF(LEN(Table2[[#This Row],[!Name]]) &gt; 0, Table2[[#This Row],[!Name]], "rg:None")</f>
        <v>attachment</v>
      </c>
      <c r="V33" s="4" t="str">
        <f>IF(LEN(Table2[[#This Row],[!Description]]) &gt; 0, Table2[[#This Row],[!Description]], "rg:None")</f>
        <v>The name/type attachment needed as part of the fulfillment of the request</v>
      </c>
      <c r="W33" s="4" t="str">
        <f>IF(LEN(Table2[[#This Row],[!FK]])&gt;0,Table2[[#This Row],[!FK]],"rg:None")</f>
        <v>rg:None</v>
      </c>
      <c r="X33" s="14" t="str">
        <f>IF(LEN(concatif2(A:A,Table2[[#This Row],[!Table]],G:G,"Y",D:D,",")) &gt; 0,"rg:[ { 'req' : '"&amp;concatif2(A:A,Table2[[#This Row],[!Table]],G:G,"Y",D:D,"' }, { 'req': '")&amp;"'} ]","rg:[]")</f>
        <v>rg:[ { 'req' : 'id' }, { 'req': 'attachment'} ]</v>
      </c>
      <c r="Y33" s="4" t="str">
        <f>IF(LEN(Table2[[#This Row],[!Unique]])&gt;0,"rg:True","rg:None")</f>
        <v>rg:None</v>
      </c>
    </row>
    <row r="34" spans="1:25" ht="58" x14ac:dyDescent="0.35">
      <c r="A34" s="66" t="s">
        <v>439</v>
      </c>
      <c r="B34" s="26" t="s">
        <v>4</v>
      </c>
      <c r="C34" s="72"/>
      <c r="D34" s="66" t="s">
        <v>439</v>
      </c>
      <c r="E34" s="60" t="s">
        <v>393</v>
      </c>
      <c r="F34" s="27"/>
      <c r="G34" s="18"/>
      <c r="H34" s="18"/>
      <c r="I34" s="4" t="str">
        <f t="shared" ref="I34:I41" si="3">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4" t="str">
        <f>IF(LEN(Table2[[#This Row],[!Length]]) &gt; 0, Table2[[#This Row],[!Length]], "rg:None")</f>
        <v>rg:None</v>
      </c>
      <c r="U34" s="4" t="str">
        <f>IF(LEN(Table2[[#This Row],[!Name]]) &gt; 0, Table2[[#This Row],[!Name]], "rg:None")</f>
        <v>RentalRequestRotationList</v>
      </c>
      <c r="V34"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5">
      <c r="A35" s="66" t="s">
        <v>439</v>
      </c>
      <c r="B35" s="23" t="s">
        <v>6</v>
      </c>
      <c r="C35" s="72"/>
      <c r="D35" s="23" t="s">
        <v>6</v>
      </c>
      <c r="E35" s="76" t="s">
        <v>394</v>
      </c>
      <c r="F35" s="12"/>
      <c r="G35" s="25" t="s">
        <v>62</v>
      </c>
      <c r="H35" s="25"/>
      <c r="I35" s="4" t="str">
        <f t="shared" si="3"/>
        <v>Defs</v>
      </c>
      <c r="J35" s="4" t="str">
        <f>IF(Table2[[#This Row],[!Type]]=J$1, J$1,"rg:None")</f>
        <v>rg:None</v>
      </c>
      <c r="K35" s="4" t="str">
        <f>IF(Table2[[#This Row],[!Type]]=K$1, K$1,"rg:None")</f>
        <v>rg:None</v>
      </c>
      <c r="L35" s="4" t="str">
        <f>IF(Table2[[#This Row],[!Type]]=L$1, L$1,"rg:None")</f>
        <v>rg:None</v>
      </c>
      <c r="M35" s="4" t="str">
        <f>IF(Table2[[#This Row],[!Type]]=M$1, M$1,"rg:None")</f>
        <v>id</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id</v>
      </c>
      <c r="V35" s="4" t="str">
        <f>IF(LEN(Table2[[#This Row],[!Description]]) &gt; 0, Table2[[#This Row],[!Description]], "rg:None")</f>
        <v>A system-generated unique identifier for a RequestRotationList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5">
      <c r="A36" s="66" t="s">
        <v>439</v>
      </c>
      <c r="B36" s="26" t="s">
        <v>8</v>
      </c>
      <c r="C36" s="72"/>
      <c r="D36" s="66" t="s">
        <v>441</v>
      </c>
      <c r="E36" s="47"/>
      <c r="F36" s="66" t="s">
        <v>438</v>
      </c>
      <c r="G36" s="18"/>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rentalRequest</v>
      </c>
      <c r="V36" s="4" t="str">
        <f>IF(LEN(Table2[[#This Row],[!Description]]) &gt; 0, Table2[[#This Row],[!Description]], "rg:None")</f>
        <v>rg:None</v>
      </c>
      <c r="W36" s="4" t="str">
        <f>IF(LEN(Table2[[#This Row],[!FK]])&gt;0,Table2[[#This Row],[!FK]],"rg:None")</f>
        <v>RentalRequest</v>
      </c>
      <c r="X36" s="14" t="str">
        <f>IF(LEN(concatif2(A:A,Table2[[#This Row],[!Table]],G:G,"Y",D:D,",")) &gt; 0,"rg:[ { 'req' : '"&amp;concatif2(A:A,Table2[[#This Row],[!Table]],G:G,"Y",D:D,"' }, { 'req': '")&amp;"'} ]","rg:[]")</f>
        <v>rg:[ { 'req' : 'id'} ]</v>
      </c>
      <c r="Y36" s="4" t="str">
        <f>IF(LEN(Table2[[#This Row],[!Unique]])&gt;0,"rg:True","rg:None")</f>
        <v>rg:None</v>
      </c>
    </row>
    <row r="37" spans="1:25" ht="29" x14ac:dyDescent="0.35">
      <c r="A37" s="66" t="s">
        <v>439</v>
      </c>
      <c r="B37" s="61" t="s">
        <v>13</v>
      </c>
      <c r="C37" s="72"/>
      <c r="D37" s="64" t="s">
        <v>430</v>
      </c>
      <c r="E37" s="65" t="s">
        <v>431</v>
      </c>
      <c r="F37" s="12"/>
      <c r="G37" s="18"/>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v>
      </c>
      <c r="Y37" s="4" t="str">
        <f>IF(LEN(Table2[[#This Row],[!Unique]])&gt;0,"rg:True","rg:None")</f>
        <v>rg:None</v>
      </c>
    </row>
    <row r="38" spans="1:25" x14ac:dyDescent="0.35">
      <c r="A38" s="66" t="s">
        <v>439</v>
      </c>
      <c r="B38" s="26" t="s">
        <v>8</v>
      </c>
      <c r="C38" s="72"/>
      <c r="D38" s="26" t="s">
        <v>181</v>
      </c>
      <c r="E38" s="47"/>
      <c r="F38" s="27" t="s">
        <v>183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v>
      </c>
      <c r="Y38" s="4" t="str">
        <f>IF(LEN(Table2[[#This Row],[!Unique]])&gt;0,"rg:True","rg:None")</f>
        <v>rg:None</v>
      </c>
    </row>
    <row r="39" spans="1:25" x14ac:dyDescent="0.35">
      <c r="A39" s="66" t="s">
        <v>439</v>
      </c>
      <c r="B39" s="26" t="s">
        <v>8</v>
      </c>
      <c r="C39" s="72"/>
      <c r="D39" s="26" t="s">
        <v>204</v>
      </c>
      <c r="E39" s="60" t="s">
        <v>395</v>
      </c>
      <c r="F39" s="26" t="s">
        <v>203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v>
      </c>
      <c r="Y39" s="4" t="str">
        <f>IF(LEN(Table2[[#This Row],[!Unique]])&gt;0,"rg:True","rg:None")</f>
        <v>rg:None</v>
      </c>
    </row>
    <row r="40" spans="1:25" ht="58" x14ac:dyDescent="0.35">
      <c r="A40" s="66" t="s">
        <v>439</v>
      </c>
      <c r="B40" s="26" t="s">
        <v>9</v>
      </c>
      <c r="C40" s="72"/>
      <c r="D40" s="26" t="s">
        <v>202</v>
      </c>
      <c r="E40" s="60" t="s">
        <v>396</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9" x14ac:dyDescent="0.35">
      <c r="A41" s="66" t="s">
        <v>439</v>
      </c>
      <c r="B41" s="28" t="s">
        <v>9</v>
      </c>
      <c r="C41" s="72"/>
      <c r="D41" s="40" t="s">
        <v>225</v>
      </c>
      <c r="E41" s="48" t="s">
        <v>227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9" x14ac:dyDescent="0.35">
      <c r="A42" s="66" t="s">
        <v>439</v>
      </c>
      <c r="B42" s="26" t="s">
        <v>12</v>
      </c>
      <c r="C42" s="72"/>
      <c r="D42" s="40" t="s">
        <v>226</v>
      </c>
      <c r="E42" s="50" t="s">
        <v>360</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5">
      <c r="A43" s="66" t="s">
        <v>439</v>
      </c>
      <c r="B43" s="40" t="s">
        <v>7</v>
      </c>
      <c r="C43" s="72"/>
      <c r="D43" s="40" t="s">
        <v>228</v>
      </c>
      <c r="E43" s="90" t="s">
        <v>229</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5">
      <c r="A44" s="73" t="s">
        <v>439</v>
      </c>
      <c r="B44" s="73" t="s">
        <v>7</v>
      </c>
      <c r="C44" s="73">
        <v>50</v>
      </c>
      <c r="D44" s="73" t="s">
        <v>470</v>
      </c>
      <c r="E44" s="74" t="s">
        <v>471</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5">
      <c r="A45" s="66" t="s">
        <v>439</v>
      </c>
      <c r="B45" s="73" t="s">
        <v>12</v>
      </c>
      <c r="C45" s="72"/>
      <c r="D45" s="73" t="s">
        <v>467</v>
      </c>
      <c r="E45" s="74" t="s">
        <v>468</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t="29" x14ac:dyDescent="0.35">
      <c r="A46" s="66" t="s">
        <v>439</v>
      </c>
      <c r="B46" s="26" t="s">
        <v>7</v>
      </c>
      <c r="C46" s="72">
        <v>2048</v>
      </c>
      <c r="D46" s="73" t="s">
        <v>469</v>
      </c>
      <c r="E46" s="112" t="s">
        <v>474</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x14ac:dyDescent="0.35">
      <c r="A47" s="66" t="s">
        <v>439</v>
      </c>
      <c r="B47" s="26" t="s">
        <v>7</v>
      </c>
      <c r="C47" s="72">
        <v>2048</v>
      </c>
      <c r="D47" s="26" t="s">
        <v>158</v>
      </c>
      <c r="E47" s="48" t="s">
        <v>230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t="29" x14ac:dyDescent="0.35">
      <c r="A48" s="26" t="s">
        <v>203</v>
      </c>
      <c r="B48" s="26" t="s">
        <v>4</v>
      </c>
      <c r="C48" s="72"/>
      <c r="D48" s="26" t="s">
        <v>203</v>
      </c>
      <c r="E48" s="60" t="s">
        <v>397</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5">
      <c r="A49" s="26" t="s">
        <v>203</v>
      </c>
      <c r="B49" s="23" t="s">
        <v>6</v>
      </c>
      <c r="C49" s="72"/>
      <c r="D49" s="23" t="s">
        <v>6</v>
      </c>
      <c r="E49" s="54" t="s">
        <v>302</v>
      </c>
      <c r="F49" s="12"/>
      <c r="G49" s="25" t="s">
        <v>62</v>
      </c>
      <c r="H49" s="25"/>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t="29" x14ac:dyDescent="0.35">
      <c r="A50" s="111" t="s">
        <v>203</v>
      </c>
      <c r="B50" s="111" t="s">
        <v>7</v>
      </c>
      <c r="C50" s="72">
        <v>30</v>
      </c>
      <c r="D50" s="111" t="s">
        <v>502</v>
      </c>
      <c r="E50" s="112" t="s">
        <v>503</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5">
      <c r="A51" s="73" t="s">
        <v>203</v>
      </c>
      <c r="B51" s="73" t="s">
        <v>7</v>
      </c>
      <c r="C51" s="72">
        <v>50</v>
      </c>
      <c r="D51" s="73" t="s">
        <v>235</v>
      </c>
      <c r="E51" s="74" t="s">
        <v>455</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5">
      <c r="A52" s="26" t="s">
        <v>203</v>
      </c>
      <c r="B52" s="26" t="s">
        <v>8</v>
      </c>
      <c r="C52" s="72"/>
      <c r="D52" s="26" t="s">
        <v>181</v>
      </c>
      <c r="E52" s="47"/>
      <c r="F52" s="27" t="s">
        <v>183</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rg:None</v>
      </c>
      <c r="W52" s="4" t="str">
        <f>IF(LEN(Table2[[#This Row],[!FK]])&gt;0,Table2[[#This Row],[!FK]],"rg:None")</f>
        <v>Equipment</v>
      </c>
      <c r="X52" s="14" t="str">
        <f>IF(LEN(concatif2(A:A,Table2[[#This Row],[!Table]],G:G,"Y",D:D,",")) &gt; 0,"rg:[ { 'req' : '"&amp;concatif2(A:A,Table2[[#This Row],[!Table]],G:G,"Y",D:D,"' }, { 'req': '")&amp;"'} ]","rg:[]")</f>
        <v>rg:[ { 'req' : 'id'} ]</v>
      </c>
      <c r="Y52" s="4" t="str">
        <f>IF(LEN(Table2[[#This Row],[!Unique]])&gt;0,"rg:True","rg:None")</f>
        <v>rg:None</v>
      </c>
    </row>
    <row r="53" spans="1:25" x14ac:dyDescent="0.35">
      <c r="A53" s="26" t="s">
        <v>203</v>
      </c>
      <c r="B53" s="23" t="s">
        <v>8</v>
      </c>
      <c r="C53" s="72"/>
      <c r="D53" s="23" t="s">
        <v>152</v>
      </c>
      <c r="E53" s="47"/>
      <c r="F53" s="24" t="s">
        <v>136</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rg:None</v>
      </c>
      <c r="W53" s="4" t="str">
        <f>IF(LEN(Table2[[#This Row],[!FK]])&gt;0,Table2[[#This Row],[!FK]],"rg:None")</f>
        <v>Project</v>
      </c>
      <c r="X53" s="14" t="str">
        <f>IF(LEN(concatif2(A:A,Table2[[#This Row],[!Table]],G:G,"Y",D:D,",")) &gt; 0,"rg:[ { 'req' : '"&amp;concatif2(A:A,Table2[[#This Row],[!Table]],G:G,"Y",D:D,"' }, { 'req': '")&amp;"'} ]","rg:[]")</f>
        <v>rg:[ { 'req' : 'id'} ]</v>
      </c>
      <c r="Y53" s="4" t="str">
        <f>IF(LEN(Table2[[#This Row],[!Unique]])&gt;0,"rg:True","rg:None")</f>
        <v>rg:None</v>
      </c>
    </row>
    <row r="54" spans="1:25" x14ac:dyDescent="0.35">
      <c r="A54" s="111" t="s">
        <v>203</v>
      </c>
      <c r="B54" s="111" t="s">
        <v>19</v>
      </c>
      <c r="C54" s="72"/>
      <c r="D54" s="111" t="s">
        <v>487</v>
      </c>
      <c r="E54" s="47"/>
      <c r="F54" s="111" t="s">
        <v>475</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v>
      </c>
      <c r="Y54" s="4" t="str">
        <f>IF(LEN(Table2[[#This Row],[!Unique]])&gt;0,"rg:True","rg:None")</f>
        <v>rg:None</v>
      </c>
    </row>
    <row r="55" spans="1:25" x14ac:dyDescent="0.35">
      <c r="A55" s="111" t="s">
        <v>203</v>
      </c>
      <c r="B55" s="111" t="s">
        <v>19</v>
      </c>
      <c r="C55" s="72"/>
      <c r="D55" s="111" t="s">
        <v>494</v>
      </c>
      <c r="E55" s="47"/>
      <c r="F55" s="111" t="s">
        <v>488</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v>
      </c>
      <c r="Y55" s="4" t="str">
        <f>IF(LEN(Table2[[#This Row],[!Unique]])&gt;0,"rg:True","rg:None")</f>
        <v>rg:None</v>
      </c>
    </row>
    <row r="56" spans="1:25" x14ac:dyDescent="0.35">
      <c r="A56" s="26" t="s">
        <v>203</v>
      </c>
      <c r="B56" s="26" t="s">
        <v>19</v>
      </c>
      <c r="C56" s="72"/>
      <c r="D56" s="26" t="s">
        <v>205</v>
      </c>
      <c r="E56" s="47"/>
      <c r="F56" s="27" t="s">
        <v>206</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v>
      </c>
      <c r="Y56" s="4" t="str">
        <f>IF(LEN(Table2[[#This Row],[!Unique]])&gt;0,"rg:True","rg:None")</f>
        <v>rg:None</v>
      </c>
    </row>
    <row r="57" spans="1:25" x14ac:dyDescent="0.35">
      <c r="A57" s="111" t="s">
        <v>203</v>
      </c>
      <c r="B57" s="111" t="s">
        <v>7</v>
      </c>
      <c r="C57" s="72">
        <v>2048</v>
      </c>
      <c r="D57" s="111" t="s">
        <v>158</v>
      </c>
      <c r="E57" s="112" t="s">
        <v>495</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5">
      <c r="A58" s="111" t="s">
        <v>203</v>
      </c>
      <c r="B58" s="111" t="s">
        <v>12</v>
      </c>
      <c r="C58" s="72"/>
      <c r="D58" s="111" t="s">
        <v>496</v>
      </c>
      <c r="E58" s="112" t="s">
        <v>497</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5">
      <c r="A59" s="111" t="s">
        <v>203</v>
      </c>
      <c r="B59" s="111" t="s">
        <v>12</v>
      </c>
      <c r="C59" s="72"/>
      <c r="D59" s="111" t="s">
        <v>500</v>
      </c>
      <c r="E59" s="112" t="s">
        <v>498</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5">
      <c r="A60" s="111" t="s">
        <v>203</v>
      </c>
      <c r="B60" s="111" t="s">
        <v>13</v>
      </c>
      <c r="C60" s="72"/>
      <c r="D60" s="111" t="s">
        <v>499</v>
      </c>
      <c r="E60" s="112" t="s">
        <v>501</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9" x14ac:dyDescent="0.35">
      <c r="A61" s="111" t="s">
        <v>203</v>
      </c>
      <c r="B61" s="111" t="s">
        <v>108</v>
      </c>
      <c r="C61" s="72"/>
      <c r="D61" s="111" t="s">
        <v>506</v>
      </c>
      <c r="E61" s="112" t="s">
        <v>509</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9" x14ac:dyDescent="0.35">
      <c r="A62" s="111" t="s">
        <v>203</v>
      </c>
      <c r="B62" s="111" t="s">
        <v>7</v>
      </c>
      <c r="C62" s="72">
        <v>50</v>
      </c>
      <c r="D62" s="111" t="s">
        <v>481</v>
      </c>
      <c r="E62" s="112" t="s">
        <v>482</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5">
      <c r="A63" s="111" t="s">
        <v>203</v>
      </c>
      <c r="B63" s="111" t="s">
        <v>7</v>
      </c>
      <c r="C63" s="72">
        <v>2048</v>
      </c>
      <c r="D63" s="111" t="s">
        <v>510</v>
      </c>
      <c r="E63" s="112" t="s">
        <v>511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5">
      <c r="A64" s="111" t="s">
        <v>475</v>
      </c>
      <c r="B64" s="111" t="s">
        <v>4</v>
      </c>
      <c r="C64" s="72"/>
      <c r="D64" s="111" t="s">
        <v>475</v>
      </c>
      <c r="E64" s="112" t="s">
        <v>476</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5">
      <c r="A65" s="111" t="s">
        <v>475</v>
      </c>
      <c r="B65" s="111" t="s">
        <v>6</v>
      </c>
      <c r="C65" s="72"/>
      <c r="D65" s="111" t="s">
        <v>6</v>
      </c>
      <c r="E65" s="113" t="s">
        <v>477</v>
      </c>
      <c r="F65" s="12"/>
      <c r="G65" s="114" t="s">
        <v>62</v>
      </c>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5">
      <c r="A66" s="111" t="s">
        <v>475</v>
      </c>
      <c r="B66" s="111" t="s">
        <v>8</v>
      </c>
      <c r="C66" s="72"/>
      <c r="D66" s="111" t="s">
        <v>204</v>
      </c>
      <c r="E66" s="47"/>
      <c r="F66" s="27" t="s">
        <v>203</v>
      </c>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rg:None</v>
      </c>
      <c r="W66" s="4" t="str">
        <f>IF(LEN(Table2[[#This Row],[!FK]])&gt;0,Table2[[#This Row],[!FK]],"rg:None")</f>
        <v>RentalAgreement</v>
      </c>
      <c r="X66" s="14" t="str">
        <f>IF(LEN(concatif2(A:A,Table2[[#This Row],[!Table]],G:G,"Y",D:D,",")) &gt; 0,"rg:[ { 'req' : '"&amp;concatif2(A:A,Table2[[#This Row],[!Table]],G:G,"Y",D:D,"' }, { 'req': '")&amp;"'} ]","rg:[]")</f>
        <v>rg:[ { 'req' : 'id'} ]</v>
      </c>
      <c r="Y66" s="4" t="str">
        <f>IF(LEN(Table2[[#This Row],[!Unique]])&gt;0,"rg:True","rg:None")</f>
        <v>rg:None</v>
      </c>
    </row>
    <row r="67" spans="1:25" x14ac:dyDescent="0.35">
      <c r="A67" s="111" t="s">
        <v>475</v>
      </c>
      <c r="B67" s="111" t="s">
        <v>7</v>
      </c>
      <c r="C67" s="72">
        <v>150</v>
      </c>
      <c r="D67" s="111" t="s">
        <v>485</v>
      </c>
      <c r="E67" s="112" t="s">
        <v>486</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5">
      <c r="A68" s="111" t="s">
        <v>475</v>
      </c>
      <c r="B68" s="111" t="s">
        <v>9</v>
      </c>
      <c r="C68" s="72"/>
      <c r="D68" s="111" t="s">
        <v>507</v>
      </c>
      <c r="E68" s="112" t="s">
        <v>508</v>
      </c>
      <c r="F68" s="12"/>
      <c r="G68" s="18"/>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5">
      <c r="A69" s="111" t="s">
        <v>475</v>
      </c>
      <c r="B69" s="111" t="s">
        <v>108</v>
      </c>
      <c r="C69" s="72"/>
      <c r="D69" s="111" t="s">
        <v>147</v>
      </c>
      <c r="E69" s="112" t="s">
        <v>478</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9" x14ac:dyDescent="0.35">
      <c r="A70" s="111" t="s">
        <v>475</v>
      </c>
      <c r="B70" s="111" t="s">
        <v>13</v>
      </c>
      <c r="C70" s="72"/>
      <c r="D70" s="111" t="s">
        <v>479</v>
      </c>
      <c r="E70" s="112" t="s">
        <v>480</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9" x14ac:dyDescent="0.35">
      <c r="A71" s="111" t="s">
        <v>475</v>
      </c>
      <c r="B71" s="111" t="s">
        <v>7</v>
      </c>
      <c r="C71" s="72">
        <v>50</v>
      </c>
      <c r="D71" s="111" t="s">
        <v>481</v>
      </c>
      <c r="E71" s="112" t="s">
        <v>482</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5">
      <c r="A72" s="111" t="s">
        <v>475</v>
      </c>
      <c r="B72" s="111" t="s">
        <v>7</v>
      </c>
      <c r="C72" s="72">
        <v>2048</v>
      </c>
      <c r="D72" s="111" t="s">
        <v>483</v>
      </c>
      <c r="E72" s="112" t="s">
        <v>484</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5">
      <c r="A73" s="111" t="s">
        <v>475</v>
      </c>
      <c r="B73" s="111" t="s">
        <v>19</v>
      </c>
      <c r="C73" s="72"/>
      <c r="D73" s="111" t="s">
        <v>205</v>
      </c>
      <c r="E73" s="47"/>
      <c r="F73" s="115" t="s">
        <v>206</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v>
      </c>
      <c r="Y73" s="4" t="str">
        <f>IF(LEN(Table2[[#This Row],[!Unique]])&gt;0,"rg:True","rg:None")</f>
        <v>rg:None</v>
      </c>
    </row>
    <row r="74" spans="1:25" x14ac:dyDescent="0.35">
      <c r="A74" s="111" t="s">
        <v>488</v>
      </c>
      <c r="B74" s="111" t="s">
        <v>4</v>
      </c>
      <c r="C74" s="72"/>
      <c r="D74" s="111" t="s">
        <v>488</v>
      </c>
      <c r="E74" s="112" t="s">
        <v>489</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5">
      <c r="A75" s="111" t="s">
        <v>488</v>
      </c>
      <c r="B75" s="111" t="s">
        <v>6</v>
      </c>
      <c r="C75" s="72"/>
      <c r="D75" s="111" t="s">
        <v>6</v>
      </c>
      <c r="E75" s="113" t="s">
        <v>490</v>
      </c>
      <c r="F75" s="12"/>
      <c r="G75" s="18"/>
      <c r="H75" s="18"/>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5">
      <c r="A76" s="111" t="s">
        <v>488</v>
      </c>
      <c r="B76" s="111" t="s">
        <v>8</v>
      </c>
      <c r="C76" s="72"/>
      <c r="D76" s="111" t="s">
        <v>204</v>
      </c>
      <c r="E76" s="47"/>
      <c r="F76" s="27" t="s">
        <v>203</v>
      </c>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rg:None</v>
      </c>
      <c r="W76" s="4" t="str">
        <f>IF(LEN(Table2[[#This Row],[!FK]])&gt;0,Table2[[#This Row],[!FK]],"rg:None")</f>
        <v>RentalAgreement</v>
      </c>
      <c r="X76" s="14" t="str">
        <f>IF(LEN(concatif2(A:A,Table2[[#This Row],[!Table]],G:G,"Y",D:D,",")) &gt; 0,"rg:[ { 'req' : '"&amp;concatif2(A:A,Table2[[#This Row],[!Table]],G:G,"Y",D:D,"' }, { 'req': '")&amp;"'} ]","rg:[]")</f>
        <v>rg:[]</v>
      </c>
      <c r="Y76" s="4" t="str">
        <f>IF(LEN(Table2[[#This Row],[!Unique]])&gt;0,"rg:True","rg:None")</f>
        <v>rg:None</v>
      </c>
    </row>
    <row r="77" spans="1:25" x14ac:dyDescent="0.35">
      <c r="A77" s="111" t="s">
        <v>488</v>
      </c>
      <c r="B77" s="111" t="s">
        <v>7</v>
      </c>
      <c r="C77" s="72">
        <v>150</v>
      </c>
      <c r="D77" s="111" t="s">
        <v>491</v>
      </c>
      <c r="E77" s="112" t="s">
        <v>492</v>
      </c>
      <c r="F77" s="12"/>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x14ac:dyDescent="0.35">
      <c r="A78" s="111" t="s">
        <v>488</v>
      </c>
      <c r="B78" s="111" t="s">
        <v>7</v>
      </c>
      <c r="C78" s="72">
        <v>2048</v>
      </c>
      <c r="D78" s="111" t="s">
        <v>483</v>
      </c>
      <c r="E78" s="112" t="s">
        <v>493</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t="29" x14ac:dyDescent="0.35">
      <c r="A79" s="27" t="s">
        <v>206</v>
      </c>
      <c r="B79" s="26" t="s">
        <v>4</v>
      </c>
      <c r="C79" s="72"/>
      <c r="D79" s="27" t="s">
        <v>206</v>
      </c>
      <c r="E79" s="60" t="s">
        <v>371</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5">
      <c r="A80" s="27" t="s">
        <v>206</v>
      </c>
      <c r="B80" s="23" t="s">
        <v>6</v>
      </c>
      <c r="C80" s="72"/>
      <c r="D80" s="23" t="s">
        <v>6</v>
      </c>
      <c r="E80" s="54" t="s">
        <v>301</v>
      </c>
      <c r="F80" s="12"/>
      <c r="G80" s="25" t="s">
        <v>62</v>
      </c>
      <c r="H80" s="25"/>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5">
      <c r="A81" s="27" t="s">
        <v>206</v>
      </c>
      <c r="B81" s="26" t="s">
        <v>8</v>
      </c>
      <c r="C81" s="72"/>
      <c r="D81" s="26" t="s">
        <v>204</v>
      </c>
      <c r="E81" s="47"/>
      <c r="F81" s="27" t="s">
        <v>203</v>
      </c>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rg:None</v>
      </c>
      <c r="W81" s="4" t="str">
        <f>IF(LEN(Table2[[#This Row],[!FK]])&gt;0,Table2[[#This Row],[!FK]],"rg:None")</f>
        <v>RentalAgreement</v>
      </c>
      <c r="X81" s="14" t="str">
        <f>IF(LEN(concatif2(A:A,Table2[[#This Row],[!Table]],G:G,"Y",D:D,",")) &gt; 0,"rg:[ { 'req' : '"&amp;concatif2(A:A,Table2[[#This Row],[!Table]],G:G,"Y",D:D,"' }, { 'req': '")&amp;"'} ]","rg:[]")</f>
        <v>rg:[ { 'req' : 'id'} ]</v>
      </c>
      <c r="Y81" s="4" t="str">
        <f>IF(LEN(Table2[[#This Row],[!Unique]])&gt;0,"rg:True","rg:None")</f>
        <v>rg:None</v>
      </c>
    </row>
    <row r="82" spans="1:25" ht="29" x14ac:dyDescent="0.35">
      <c r="A82" s="111" t="s">
        <v>206</v>
      </c>
      <c r="B82" s="111" t="s">
        <v>8</v>
      </c>
      <c r="C82" s="72"/>
      <c r="D82" s="111" t="s">
        <v>504</v>
      </c>
      <c r="E82" s="112" t="s">
        <v>505</v>
      </c>
      <c r="F82" s="115" t="s">
        <v>475</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v>
      </c>
      <c r="Y82" s="4" t="str">
        <f>IF(LEN(Table2[[#This Row],[!Unique]])&gt;0,"rg:True","rg:None")</f>
        <v>rg:None</v>
      </c>
    </row>
    <row r="83" spans="1:25" ht="29" x14ac:dyDescent="0.35">
      <c r="A83" s="115" t="s">
        <v>206</v>
      </c>
      <c r="B83" s="91" t="s">
        <v>12</v>
      </c>
      <c r="D83" s="91" t="s">
        <v>207</v>
      </c>
      <c r="E83" s="48" t="s">
        <v>233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5">
      <c r="A84" s="27" t="s">
        <v>206</v>
      </c>
      <c r="B84" s="91" t="s">
        <v>12</v>
      </c>
      <c r="D84" s="91" t="s">
        <v>208</v>
      </c>
      <c r="E84" s="50" t="s">
        <v>361</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29" x14ac:dyDescent="0.35">
      <c r="A85" s="40" t="s">
        <v>206</v>
      </c>
      <c r="B85" s="40" t="s">
        <v>7</v>
      </c>
      <c r="C85" s="72">
        <v>20</v>
      </c>
      <c r="D85" s="40" t="s">
        <v>231</v>
      </c>
      <c r="E85" s="48" t="s">
        <v>232</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5">
      <c r="A86" s="27" t="s">
        <v>206</v>
      </c>
      <c r="B86" s="5" t="s">
        <v>108</v>
      </c>
      <c r="D86" s="5" t="s">
        <v>146</v>
      </c>
      <c r="E86" s="48" t="s">
        <v>234</v>
      </c>
      <c r="F86" s="12"/>
      <c r="G86" s="18"/>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t="29" x14ac:dyDescent="0.35">
      <c r="A87" s="82" t="s">
        <v>183</v>
      </c>
      <c r="B87" s="5" t="s">
        <v>4</v>
      </c>
      <c r="D87" s="82" t="s">
        <v>183</v>
      </c>
      <c r="E87" s="76" t="s">
        <v>372</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5">
      <c r="A88" s="82" t="s">
        <v>183</v>
      </c>
      <c r="B88" s="5" t="s">
        <v>6</v>
      </c>
      <c r="D88" s="5" t="s">
        <v>6</v>
      </c>
      <c r="E88" s="54" t="s">
        <v>300</v>
      </c>
      <c r="F88" s="5" t="s">
        <v>5</v>
      </c>
      <c r="G88" s="4" t="s">
        <v>62</v>
      </c>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5">
      <c r="A89" s="82" t="s">
        <v>183</v>
      </c>
      <c r="B89" s="5" t="s">
        <v>8</v>
      </c>
      <c r="D89" s="82" t="s">
        <v>176</v>
      </c>
      <c r="F89" s="82" t="s">
        <v>154</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rg:None</v>
      </c>
      <c r="W89" s="4" t="str">
        <f>IF(LEN(Table2[[#This Row],[!FK]])&gt;0,Table2[[#This Row],[!FK]],"rg:None")</f>
        <v>LocalArea</v>
      </c>
      <c r="X89" s="14" t="str">
        <f>IF(LEN(concatif2(A:A,Table2[[#This Row],[!Table]],G:G,"Y",D:D,",")) &gt; 0,"rg:[ { 'req' : '"&amp;concatif2(A:A,Table2[[#This Row],[!Table]],G:G,"Y",D:D,"' }, { 'req': '")&amp;"'} ]","rg:[]")</f>
        <v>rg:[ { 'req' : 'id'} ]</v>
      </c>
      <c r="Y89" s="4" t="str">
        <f>IF(LEN(Table2[[#This Row],[!Unique]])&gt;0,"rg:True","rg:None")</f>
        <v>rg:None</v>
      </c>
    </row>
    <row r="90" spans="1:25" x14ac:dyDescent="0.35">
      <c r="A90" s="82" t="s">
        <v>183</v>
      </c>
      <c r="B90" s="5" t="s">
        <v>8</v>
      </c>
      <c r="D90" s="82" t="s">
        <v>184</v>
      </c>
      <c r="F90" s="82" t="s">
        <v>185</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equipmentType</v>
      </c>
      <c r="V90" s="4" t="str">
        <f>IF(LEN(Table2[[#This Row],[!Description]]) &gt; 0, Table2[[#This Row],[!Description]], "rg:None")</f>
        <v>rg:None</v>
      </c>
      <c r="W90" s="4" t="str">
        <f>IF(LEN(Table2[[#This Row],[!FK]])&gt;0,Table2[[#This Row],[!FK]],"rg:None")</f>
        <v>EquipmentType</v>
      </c>
      <c r="X90" s="14" t="str">
        <f>IF(LEN(concatif2(A:A,Table2[[#This Row],[!Table]],G:G,"Y",D:D,",")) &gt; 0,"rg:[ { 'req' : '"&amp;concatif2(A:A,Table2[[#This Row],[!Table]],G:G,"Y",D:D,"' }, { 'req': '")&amp;"'} ]","rg:[]")</f>
        <v>rg:[ { 'req' : 'id'} ]</v>
      </c>
      <c r="Y90" s="4" t="str">
        <f>IF(LEN(Table2[[#This Row],[!Unique]])&gt;0,"rg:True","rg:None")</f>
        <v>rg:None</v>
      </c>
    </row>
    <row r="91" spans="1:25" x14ac:dyDescent="0.35">
      <c r="A91" s="82" t="s">
        <v>183</v>
      </c>
      <c r="B91" s="5" t="s">
        <v>8</v>
      </c>
      <c r="D91" s="82" t="s">
        <v>151</v>
      </c>
      <c r="F91" s="21" t="s">
        <v>148</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rg:None</v>
      </c>
      <c r="W91" s="4" t="str">
        <f>IF(LEN(Table2[[#This Row],[!FK]])&gt;0,Table2[[#This Row],[!FK]],"rg:None")</f>
        <v>Owner</v>
      </c>
      <c r="X91" s="14" t="str">
        <f>IF(LEN(concatif2(A:A,Table2[[#This Row],[!Table]],G:G,"Y",D:D,",")) &gt; 0,"rg:[ { 'req' : '"&amp;concatif2(A:A,Table2[[#This Row],[!Table]],G:G,"Y",D:D,"' }, { 'req': '")&amp;"'} ]","rg:[]")</f>
        <v>rg:[ { 'req' : 'id'} ]</v>
      </c>
      <c r="Y91" s="4" t="str">
        <f>IF(LEN(Table2[[#This Row],[!Unique]])&gt;0,"rg:True","rg:None")</f>
        <v>rg:None</v>
      </c>
    </row>
    <row r="92" spans="1:25" ht="58" x14ac:dyDescent="0.35">
      <c r="A92" s="82" t="s">
        <v>183</v>
      </c>
      <c r="B92" s="5" t="s">
        <v>7</v>
      </c>
      <c r="C92" s="5">
        <v>25</v>
      </c>
      <c r="D92" s="88" t="s">
        <v>462</v>
      </c>
      <c r="E92" s="76" t="s">
        <v>401</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9" x14ac:dyDescent="0.35">
      <c r="A93" s="82" t="s">
        <v>183</v>
      </c>
      <c r="B93" s="5" t="s">
        <v>7</v>
      </c>
      <c r="C93" s="5">
        <v>50</v>
      </c>
      <c r="D93" s="92" t="s">
        <v>235</v>
      </c>
      <c r="E93" s="93" t="s">
        <v>236</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x14ac:dyDescent="0.35">
      <c r="A94" s="82" t="s">
        <v>183</v>
      </c>
      <c r="B94" s="82" t="s">
        <v>12</v>
      </c>
      <c r="D94" s="82" t="s">
        <v>188</v>
      </c>
      <c r="E94" s="93" t="s">
        <v>237</v>
      </c>
      <c r="F94" s="5" t="s">
        <v>5</v>
      </c>
      <c r="G94" s="4"/>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9" x14ac:dyDescent="0.35">
      <c r="A95" s="82" t="s">
        <v>183</v>
      </c>
      <c r="B95" s="82" t="s">
        <v>12</v>
      </c>
      <c r="D95" s="82" t="s">
        <v>187</v>
      </c>
      <c r="E95" s="93" t="s">
        <v>238</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9" x14ac:dyDescent="0.35">
      <c r="A96" s="82" t="s">
        <v>183</v>
      </c>
      <c r="B96" s="94" t="s">
        <v>12</v>
      </c>
      <c r="D96" s="94" t="s">
        <v>216</v>
      </c>
      <c r="E96" s="93" t="s">
        <v>239</v>
      </c>
      <c r="F96" s="5" t="s">
        <v>5</v>
      </c>
      <c r="G96" s="4"/>
      <c r="H96" s="4"/>
      <c r="I96" s="4" t="str">
        <f t="shared" ref="I96:I121"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43.5" x14ac:dyDescent="0.35">
      <c r="A97" s="61" t="s">
        <v>183</v>
      </c>
      <c r="B97" s="61" t="s">
        <v>9</v>
      </c>
      <c r="C97" s="72"/>
      <c r="D97" s="61" t="s">
        <v>387</v>
      </c>
      <c r="E97" s="60" t="s">
        <v>398</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29" x14ac:dyDescent="0.35">
      <c r="A98" s="61" t="s">
        <v>183</v>
      </c>
      <c r="B98" s="61" t="s">
        <v>7</v>
      </c>
      <c r="C98" s="72">
        <v>2048</v>
      </c>
      <c r="D98" s="61" t="s">
        <v>388</v>
      </c>
      <c r="E98" s="60" t="s">
        <v>389</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5">
      <c r="A99" s="82" t="s">
        <v>183</v>
      </c>
      <c r="B99" s="5" t="s">
        <v>7</v>
      </c>
      <c r="C99" s="5">
        <v>20</v>
      </c>
      <c r="D99" s="78" t="s">
        <v>240</v>
      </c>
      <c r="E99" s="93" t="s">
        <v>241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5">
      <c r="A100" s="82" t="s">
        <v>183</v>
      </c>
      <c r="B100" s="5" t="s">
        <v>7</v>
      </c>
      <c r="C100" s="5">
        <v>50</v>
      </c>
      <c r="D100" s="5" t="s">
        <v>131</v>
      </c>
      <c r="E100" s="93" t="s">
        <v>242</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5">
      <c r="A101" s="82" t="s">
        <v>183</v>
      </c>
      <c r="B101" s="5" t="s">
        <v>7</v>
      </c>
      <c r="C101" s="5">
        <v>50</v>
      </c>
      <c r="D101" s="5" t="s">
        <v>132</v>
      </c>
      <c r="E101" s="93" t="s">
        <v>243</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5">
      <c r="A102" s="82" t="s">
        <v>183</v>
      </c>
      <c r="B102" s="5" t="s">
        <v>7</v>
      </c>
      <c r="C102" s="5">
        <v>15</v>
      </c>
      <c r="D102" s="5" t="s">
        <v>133</v>
      </c>
      <c r="E102" s="93" t="s">
        <v>244</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5">
      <c r="A103" s="82" t="s">
        <v>183</v>
      </c>
      <c r="B103" s="5" t="s">
        <v>7</v>
      </c>
      <c r="C103" s="5">
        <v>255</v>
      </c>
      <c r="D103" s="5" t="s">
        <v>20</v>
      </c>
      <c r="E103" s="79" t="s">
        <v>436</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type</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5">
      <c r="A104" s="82" t="s">
        <v>183</v>
      </c>
      <c r="B104" s="5" t="s">
        <v>7</v>
      </c>
      <c r="C104" s="5">
        <v>255</v>
      </c>
      <c r="D104" s="5" t="s">
        <v>134</v>
      </c>
      <c r="E104" s="79" t="s">
        <v>436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5">
      <c r="A105" s="82" t="s">
        <v>183</v>
      </c>
      <c r="B105" s="5" t="s">
        <v>108</v>
      </c>
      <c r="D105" s="5" t="s">
        <v>135</v>
      </c>
      <c r="E105" s="79" t="s">
        <v>436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5">
      <c r="A106" s="82" t="s">
        <v>183</v>
      </c>
      <c r="B106" s="5" t="s">
        <v>7</v>
      </c>
      <c r="C106" s="5">
        <v>255</v>
      </c>
      <c r="D106" s="5" t="s">
        <v>137</v>
      </c>
      <c r="E106" s="79" t="s">
        <v>436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5" x14ac:dyDescent="0.35">
      <c r="A107" s="82" t="s">
        <v>183</v>
      </c>
      <c r="B107" s="5" t="s">
        <v>7</v>
      </c>
      <c r="C107" s="5">
        <v>100</v>
      </c>
      <c r="D107" s="88" t="s">
        <v>463</v>
      </c>
      <c r="E107" s="93" t="s">
        <v>246</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5">
      <c r="A108" s="82" t="s">
        <v>183</v>
      </c>
      <c r="B108" s="5" t="s">
        <v>7</v>
      </c>
      <c r="C108" s="5">
        <v>128</v>
      </c>
      <c r="D108" s="5" t="s">
        <v>139</v>
      </c>
      <c r="E108" s="93" t="s">
        <v>247</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5">
      <c r="A109" s="82" t="s">
        <v>183</v>
      </c>
      <c r="B109" s="82" t="s">
        <v>12</v>
      </c>
      <c r="D109" s="82" t="s">
        <v>189</v>
      </c>
      <c r="E109" s="79" t="s">
        <v>436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43.5" x14ac:dyDescent="0.35">
      <c r="A110" s="82" t="s">
        <v>183</v>
      </c>
      <c r="B110" s="95" t="s">
        <v>108</v>
      </c>
      <c r="D110" s="82" t="s">
        <v>192</v>
      </c>
      <c r="E110" s="96" t="s">
        <v>248</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8" x14ac:dyDescent="0.35">
      <c r="A111" s="82" t="s">
        <v>183</v>
      </c>
      <c r="B111" s="95" t="s">
        <v>108</v>
      </c>
      <c r="D111" s="80" t="s">
        <v>138</v>
      </c>
      <c r="E111" s="96" t="s">
        <v>249</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5" x14ac:dyDescent="0.35">
      <c r="A112" s="73" t="s">
        <v>183</v>
      </c>
      <c r="B112" s="73" t="s">
        <v>13</v>
      </c>
      <c r="C112" s="72"/>
      <c r="D112" s="73" t="s">
        <v>460</v>
      </c>
      <c r="E112" s="74" t="s">
        <v>461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5" x14ac:dyDescent="0.35">
      <c r="A113" s="69" t="s">
        <v>183</v>
      </c>
      <c r="B113" s="69" t="s">
        <v>9</v>
      </c>
      <c r="C113" s="72"/>
      <c r="D113" s="69" t="s">
        <v>449</v>
      </c>
      <c r="E113" s="70" t="s">
        <v>450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9" x14ac:dyDescent="0.35">
      <c r="A114" s="69" t="s">
        <v>183</v>
      </c>
      <c r="B114" s="69" t="s">
        <v>7</v>
      </c>
      <c r="C114" s="72">
        <v>2048</v>
      </c>
      <c r="D114" s="69" t="s">
        <v>448</v>
      </c>
      <c r="E114" s="70" t="s">
        <v>451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9" x14ac:dyDescent="0.35">
      <c r="A115" s="61" t="s">
        <v>183</v>
      </c>
      <c r="B115" s="61" t="s">
        <v>12</v>
      </c>
      <c r="C115" s="72"/>
      <c r="D115" s="61" t="s">
        <v>404</v>
      </c>
      <c r="E115" s="60" t="s">
        <v>405</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9" x14ac:dyDescent="0.35">
      <c r="A116" s="82" t="s">
        <v>183</v>
      </c>
      <c r="B116" s="5" t="s">
        <v>108</v>
      </c>
      <c r="D116" s="80" t="s">
        <v>402</v>
      </c>
      <c r="E116" s="93" t="s">
        <v>245</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5">
      <c r="A117" s="82" t="s">
        <v>183</v>
      </c>
      <c r="B117" s="97" t="s">
        <v>108</v>
      </c>
      <c r="D117" s="95" t="s">
        <v>250</v>
      </c>
      <c r="E117" s="96" t="s">
        <v>251</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9" x14ac:dyDescent="0.35">
      <c r="A118" s="82" t="s">
        <v>183</v>
      </c>
      <c r="B118" s="5" t="s">
        <v>108</v>
      </c>
      <c r="D118" s="95" t="s">
        <v>252</v>
      </c>
      <c r="E118" s="96" t="s">
        <v>253</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9" x14ac:dyDescent="0.35">
      <c r="A119" s="82" t="s">
        <v>183</v>
      </c>
      <c r="B119" s="5" t="s">
        <v>108</v>
      </c>
      <c r="D119" s="95" t="s">
        <v>255</v>
      </c>
      <c r="E119" s="96" t="s">
        <v>254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5">
      <c r="A120" s="82" t="s">
        <v>183</v>
      </c>
      <c r="B120" s="5" t="s">
        <v>7</v>
      </c>
      <c r="C120" s="5">
        <v>50</v>
      </c>
      <c r="D120" s="95" t="s">
        <v>256</v>
      </c>
      <c r="E120" s="98" t="s">
        <v>434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5">
      <c r="A121" s="82" t="s">
        <v>183</v>
      </c>
      <c r="B121" s="5" t="s">
        <v>7</v>
      </c>
      <c r="C121" s="5">
        <v>2048</v>
      </c>
      <c r="D121" s="5" t="s">
        <v>140</v>
      </c>
      <c r="E121" s="96" t="s">
        <v>257</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5">
      <c r="A122" s="82" t="s">
        <v>183</v>
      </c>
      <c r="B122" s="82" t="s">
        <v>12</v>
      </c>
      <c r="D122" s="82" t="s">
        <v>190</v>
      </c>
      <c r="E122" s="96" t="s">
        <v>258</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9" x14ac:dyDescent="0.35">
      <c r="A123" s="82" t="s">
        <v>183</v>
      </c>
      <c r="B123" s="95" t="s">
        <v>8</v>
      </c>
      <c r="D123" s="95" t="s">
        <v>259</v>
      </c>
      <c r="E123" s="96" t="s">
        <v>260</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5">
      <c r="A124" s="82" t="s">
        <v>183</v>
      </c>
      <c r="B124" s="21" t="s">
        <v>19</v>
      </c>
      <c r="C124" s="72"/>
      <c r="D124" s="21" t="s">
        <v>193</v>
      </c>
      <c r="E124" s="47"/>
      <c r="F124" s="82" t="s">
        <v>186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5">
      <c r="A125" s="82" t="s">
        <v>183</v>
      </c>
      <c r="B125" s="21" t="s">
        <v>19</v>
      </c>
      <c r="C125" s="72"/>
      <c r="D125" s="21" t="s">
        <v>167</v>
      </c>
      <c r="E125" s="47"/>
      <c r="F125" s="22" t="s">
        <v>149</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5">
      <c r="A126" s="82" t="s">
        <v>183</v>
      </c>
      <c r="B126" s="21" t="s">
        <v>19</v>
      </c>
      <c r="C126" s="72"/>
      <c r="D126" s="21" t="s">
        <v>178</v>
      </c>
      <c r="E126" s="47"/>
      <c r="F126" s="81" t="s">
        <v>161</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5">
      <c r="A127" s="82" t="s">
        <v>183</v>
      </c>
      <c r="B127" s="21" t="s">
        <v>19</v>
      </c>
      <c r="C127" s="72"/>
      <c r="D127" s="21" t="s">
        <v>180</v>
      </c>
      <c r="E127" s="47"/>
      <c r="F127" s="82" t="s">
        <v>163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5">
      <c r="A128" s="82" t="s">
        <v>183</v>
      </c>
      <c r="B128" s="21" t="s">
        <v>19</v>
      </c>
      <c r="C128" s="72"/>
      <c r="D128" s="21" t="s">
        <v>194</v>
      </c>
      <c r="E128" s="47"/>
      <c r="F128" s="5" t="s">
        <v>150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6" x14ac:dyDescent="0.35">
      <c r="A129" s="5" t="s">
        <v>109</v>
      </c>
      <c r="B129" s="5" t="s">
        <v>4</v>
      </c>
      <c r="D129" s="5" t="s">
        <v>109</v>
      </c>
      <c r="E129" s="99" t="s">
        <v>403</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5">
      <c r="A130" s="5" t="s">
        <v>109</v>
      </c>
      <c r="B130" s="5" t="s">
        <v>6</v>
      </c>
      <c r="D130" s="5" t="s">
        <v>6</v>
      </c>
      <c r="E130" s="54" t="s">
        <v>299</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5">
      <c r="A131" s="82" t="s">
        <v>109</v>
      </c>
      <c r="B131" s="95" t="s">
        <v>9</v>
      </c>
      <c r="D131" s="95" t="s">
        <v>261</v>
      </c>
      <c r="E131" s="96" t="s">
        <v>271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5">
      <c r="A132" s="5" t="s">
        <v>109</v>
      </c>
      <c r="B132" s="95" t="s">
        <v>9</v>
      </c>
      <c r="D132" s="95" t="s">
        <v>265</v>
      </c>
      <c r="E132" s="96" t="s">
        <v>270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5">
      <c r="A133" s="5" t="s">
        <v>109</v>
      </c>
      <c r="B133" s="95" t="s">
        <v>9</v>
      </c>
      <c r="D133" s="95" t="s">
        <v>272</v>
      </c>
      <c r="E133" s="96" t="s">
        <v>273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9" x14ac:dyDescent="0.35">
      <c r="A134" s="5" t="s">
        <v>109</v>
      </c>
      <c r="B134" s="95" t="s">
        <v>9</v>
      </c>
      <c r="D134" s="95" t="s">
        <v>266</v>
      </c>
      <c r="E134" s="96" t="s">
        <v>267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5">
      <c r="A135" s="5" t="s">
        <v>109</v>
      </c>
      <c r="B135" s="95" t="s">
        <v>9</v>
      </c>
      <c r="D135" s="95" t="s">
        <v>268</v>
      </c>
      <c r="E135" s="96" t="s">
        <v>269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5">
      <c r="A136" s="5" t="s">
        <v>109</v>
      </c>
      <c r="B136" s="95" t="s">
        <v>9</v>
      </c>
      <c r="D136" s="95" t="s">
        <v>274</v>
      </c>
      <c r="E136" s="96" t="s">
        <v>275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5">
      <c r="A137" s="5" t="s">
        <v>109</v>
      </c>
      <c r="B137" s="95" t="s">
        <v>9</v>
      </c>
      <c r="D137" s="95" t="s">
        <v>276</v>
      </c>
      <c r="E137" s="96" t="s">
        <v>277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5">
      <c r="A138" s="5" t="s">
        <v>109</v>
      </c>
      <c r="B138" s="95" t="s">
        <v>9</v>
      </c>
      <c r="D138" s="95" t="s">
        <v>278</v>
      </c>
      <c r="E138" s="96" t="s">
        <v>279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5">
      <c r="A139" s="5" t="s">
        <v>109</v>
      </c>
      <c r="B139" s="95" t="s">
        <v>9</v>
      </c>
      <c r="C139" s="95"/>
      <c r="D139" s="95" t="s">
        <v>280</v>
      </c>
      <c r="E139" s="96" t="s">
        <v>281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5">
      <c r="A140" s="5" t="s">
        <v>109</v>
      </c>
      <c r="B140" s="5" t="s">
        <v>7</v>
      </c>
      <c r="C140" s="5">
        <v>150</v>
      </c>
      <c r="D140" s="5" t="s">
        <v>110</v>
      </c>
      <c r="E140" s="96" t="s">
        <v>282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5">
      <c r="A141" s="5" t="s">
        <v>109</v>
      </c>
      <c r="B141" s="5" t="s">
        <v>7</v>
      </c>
      <c r="C141" s="5">
        <v>150</v>
      </c>
      <c r="D141" s="5" t="s">
        <v>111</v>
      </c>
      <c r="E141" s="96" t="s">
        <v>283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5">
      <c r="A142" s="5" t="s">
        <v>109</v>
      </c>
      <c r="B142" s="5" t="s">
        <v>7</v>
      </c>
      <c r="C142" s="5">
        <v>150</v>
      </c>
      <c r="D142" s="5" t="s">
        <v>112</v>
      </c>
      <c r="E142" s="96" t="s">
        <v>284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5">
      <c r="A143" s="5" t="s">
        <v>109</v>
      </c>
      <c r="B143" s="5" t="s">
        <v>7</v>
      </c>
      <c r="C143" s="5">
        <v>150</v>
      </c>
      <c r="D143" s="5" t="s">
        <v>113</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5">
      <c r="A144" s="5" t="s">
        <v>109</v>
      </c>
      <c r="B144" s="5" t="s">
        <v>7</v>
      </c>
      <c r="C144" s="5">
        <v>150</v>
      </c>
      <c r="D144" s="82" t="s">
        <v>191</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5">
      <c r="A145" s="5" t="s">
        <v>109</v>
      </c>
      <c r="B145" s="5" t="s">
        <v>7</v>
      </c>
      <c r="C145" s="5">
        <v>150</v>
      </c>
      <c r="D145" s="5" t="s">
        <v>114</v>
      </c>
      <c r="E145" s="96" t="s">
        <v>287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5">
      <c r="A146" s="5" t="s">
        <v>109</v>
      </c>
      <c r="B146" s="5" t="s">
        <v>7</v>
      </c>
      <c r="C146" s="5">
        <v>150</v>
      </c>
      <c r="D146" s="5" t="s">
        <v>115</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5">
      <c r="A147" s="5" t="s">
        <v>109</v>
      </c>
      <c r="B147" s="5" t="s">
        <v>7</v>
      </c>
      <c r="C147" s="5">
        <v>150</v>
      </c>
      <c r="D147" s="5" t="s">
        <v>116</v>
      </c>
      <c r="E147" s="96" t="s">
        <v>292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5" x14ac:dyDescent="0.35">
      <c r="A148" s="5" t="s">
        <v>109</v>
      </c>
      <c r="B148" s="5" t="s">
        <v>7</v>
      </c>
      <c r="C148" s="5">
        <v>150</v>
      </c>
      <c r="D148" s="5" t="s">
        <v>117</v>
      </c>
      <c r="E148" s="96" t="s">
        <v>289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5">
      <c r="A149" s="5" t="s">
        <v>109</v>
      </c>
      <c r="B149" s="5" t="s">
        <v>7</v>
      </c>
      <c r="C149" s="5">
        <v>150</v>
      </c>
      <c r="D149" s="5" t="s">
        <v>118</v>
      </c>
      <c r="E149" s="96" t="s">
        <v>290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5">
      <c r="A150" s="5" t="s">
        <v>109</v>
      </c>
      <c r="B150" s="5" t="s">
        <v>7</v>
      </c>
      <c r="C150" s="5">
        <v>150</v>
      </c>
      <c r="D150" s="5" t="s">
        <v>119</v>
      </c>
      <c r="E150" s="96" t="s">
        <v>291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5">
      <c r="A151" s="5" t="s">
        <v>109</v>
      </c>
      <c r="B151" s="5" t="s">
        <v>7</v>
      </c>
      <c r="C151" s="5">
        <v>150</v>
      </c>
      <c r="D151" s="5" t="s">
        <v>120</v>
      </c>
      <c r="E151" s="96" t="s">
        <v>293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5">
      <c r="A152" s="5" t="s">
        <v>109</v>
      </c>
      <c r="B152" s="5" t="s">
        <v>7</v>
      </c>
      <c r="C152" s="5">
        <v>150</v>
      </c>
      <c r="D152" s="5" t="s">
        <v>121</v>
      </c>
      <c r="E152" s="96" t="s">
        <v>294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5">
      <c r="A153" s="5" t="s">
        <v>109</v>
      </c>
      <c r="B153" s="5" t="s">
        <v>7</v>
      </c>
      <c r="C153" s="5">
        <v>150</v>
      </c>
      <c r="D153" s="5" t="s">
        <v>122</v>
      </c>
      <c r="E153" s="96" t="s">
        <v>295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9" x14ac:dyDescent="0.35">
      <c r="A154" s="5" t="s">
        <v>109</v>
      </c>
      <c r="B154" s="5" t="s">
        <v>7</v>
      </c>
      <c r="C154" s="5">
        <v>150</v>
      </c>
      <c r="D154" s="5" t="s">
        <v>123</v>
      </c>
      <c r="E154" s="100" t="s">
        <v>362</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9" x14ac:dyDescent="0.35">
      <c r="A155" s="5" t="s">
        <v>109</v>
      </c>
      <c r="B155" s="5" t="s">
        <v>7</v>
      </c>
      <c r="C155" s="5">
        <v>150</v>
      </c>
      <c r="D155" s="5" t="s">
        <v>124</v>
      </c>
      <c r="E155" s="100" t="s">
        <v>363</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9" x14ac:dyDescent="0.35">
      <c r="A156" s="5" t="s">
        <v>109</v>
      </c>
      <c r="B156" s="5" t="s">
        <v>7</v>
      </c>
      <c r="C156" s="5">
        <v>150</v>
      </c>
      <c r="D156" s="5" t="s">
        <v>125</v>
      </c>
      <c r="E156" s="100" t="s">
        <v>366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5">
      <c r="A157" s="5" t="s">
        <v>109</v>
      </c>
      <c r="B157" s="5" t="s">
        <v>7</v>
      </c>
      <c r="C157" s="5">
        <v>150</v>
      </c>
      <c r="D157" s="5" t="s">
        <v>126</v>
      </c>
      <c r="E157" s="96" t="s">
        <v>296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9" x14ac:dyDescent="0.35">
      <c r="A158" s="5" t="s">
        <v>109</v>
      </c>
      <c r="B158" s="5" t="s">
        <v>7</v>
      </c>
      <c r="C158" s="5">
        <v>150</v>
      </c>
      <c r="D158" s="5" t="s">
        <v>127</v>
      </c>
      <c r="E158" s="100" t="s">
        <v>367</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9" x14ac:dyDescent="0.35">
      <c r="A159" s="5" t="s">
        <v>109</v>
      </c>
      <c r="B159" s="5" t="s">
        <v>7</v>
      </c>
      <c r="C159" s="5">
        <v>150</v>
      </c>
      <c r="D159" s="5" t="s">
        <v>128</v>
      </c>
      <c r="E159" s="100" t="s">
        <v>368</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9" x14ac:dyDescent="0.35">
      <c r="A160" s="5" t="s">
        <v>109</v>
      </c>
      <c r="B160" s="5" t="s">
        <v>7</v>
      </c>
      <c r="C160" s="5">
        <v>150</v>
      </c>
      <c r="D160" s="5" t="s">
        <v>129</v>
      </c>
      <c r="E160" s="100" t="s">
        <v>369</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5">
      <c r="A161" s="5" t="s">
        <v>109</v>
      </c>
      <c r="B161" s="5" t="s">
        <v>7</v>
      </c>
      <c r="C161" s="5">
        <v>150</v>
      </c>
      <c r="D161" s="5" t="s">
        <v>130</v>
      </c>
      <c r="E161" s="96" t="s">
        <v>297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101.5" x14ac:dyDescent="0.35">
      <c r="A162" s="82" t="s">
        <v>185</v>
      </c>
      <c r="B162" s="5" t="s">
        <v>4</v>
      </c>
      <c r="D162" s="82" t="s">
        <v>185</v>
      </c>
      <c r="E162" s="101" t="s">
        <v>304</v>
      </c>
      <c r="F162" s="5" t="s">
        <v>5</v>
      </c>
      <c r="G162" s="4"/>
      <c r="H162" s="4"/>
      <c r="I162" s="4" t="str">
        <f t="shared" ref="I162:I172"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5">
      <c r="A163" s="82" t="s">
        <v>185</v>
      </c>
      <c r="B163" s="5" t="s">
        <v>6</v>
      </c>
      <c r="D163" s="5" t="s">
        <v>6</v>
      </c>
      <c r="E163" s="101" t="s">
        <v>305</v>
      </c>
      <c r="F163" s="5" t="s">
        <v>5</v>
      </c>
      <c r="G163" s="4" t="s">
        <v>62</v>
      </c>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EquipmentType</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5">
      <c r="A164" s="82" t="s">
        <v>185</v>
      </c>
      <c r="B164" s="5" t="s">
        <v>8</v>
      </c>
      <c r="D164" s="82" t="s">
        <v>176</v>
      </c>
      <c r="F164" s="82" t="s">
        <v>154</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ref</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localArea</v>
      </c>
      <c r="V164" s="4" t="str">
        <f>IF(LEN(Table2[[#This Row],[!Description]]) &gt; 0, Table2[[#This Row],[!Description]], "rg:None")</f>
        <v>rg:None</v>
      </c>
      <c r="W164" s="4" t="str">
        <f>IF(LEN(Table2[[#This Row],[!FK]])&gt;0,Table2[[#This Row],[!FK]],"rg:None")</f>
        <v>LocalArea</v>
      </c>
      <c r="X164" s="14" t="str">
        <f>IF(LEN(concatif2(A:A,Table2[[#This Row],[!Table]],G:G,"Y",D:D,",")) &gt; 0,"rg:[ { 'req' : '"&amp;concatif2(A:A,Table2[[#This Row],[!Table]],G:G,"Y",D:D,"' }, { 'req': '")&amp;"'} ]","rg:[]")</f>
        <v>rg:[ { 'req' : 'id'} ]</v>
      </c>
      <c r="Y164" s="4" t="str">
        <f>IF(LEN(Table2[[#This Row],[!Unique]])&gt;0,"rg:True","rg:None")</f>
        <v>rg:None</v>
      </c>
    </row>
    <row r="165" spans="1:25" ht="29" x14ac:dyDescent="0.35">
      <c r="A165" s="82" t="s">
        <v>185</v>
      </c>
      <c r="B165" s="5" t="s">
        <v>7</v>
      </c>
      <c r="C165" s="5">
        <v>50</v>
      </c>
      <c r="D165" s="88" t="s">
        <v>15</v>
      </c>
      <c r="E165" s="89" t="s">
        <v>464</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A human-friendly name for the Equipment Type that is displayed on screens with limited screen real estate available.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5">
      <c r="A166" s="82" t="s">
        <v>185</v>
      </c>
      <c r="B166" s="5" t="s">
        <v>7</v>
      </c>
      <c r="C166" s="5">
        <v>2048</v>
      </c>
      <c r="D166" s="82" t="s">
        <v>14</v>
      </c>
      <c r="E166" s="89" t="s">
        <v>465</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2048</v>
      </c>
      <c r="U166" s="4" t="str">
        <f>IF(LEN(Table2[[#This Row],[!Name]]) &gt; 0, Table2[[#This Row],[!Name]], "rg:None")</f>
        <v>description</v>
      </c>
      <c r="V166" s="4" t="str">
        <f>IF(LEN(Table2[[#This Row],[!Description]]) &gt; 0, Table2[[#This Row],[!Description]], "rg:None")</f>
        <v>A extended description of the equipment type.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5">
      <c r="A167" s="82" t="s">
        <v>185</v>
      </c>
      <c r="B167" s="5" t="s">
        <v>108</v>
      </c>
      <c r="D167" s="5" t="s">
        <v>141</v>
      </c>
      <c r="E167" s="79" t="s">
        <v>436</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5">
      <c r="A168" s="82" t="s">
        <v>185</v>
      </c>
      <c r="B168" s="5" t="s">
        <v>108</v>
      </c>
      <c r="D168" s="5" t="s">
        <v>142</v>
      </c>
      <c r="E168" s="79" t="s">
        <v>436</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5">
      <c r="A169" s="82" t="s">
        <v>185</v>
      </c>
      <c r="B169" s="5" t="s">
        <v>108</v>
      </c>
      <c r="D169" s="5" t="s">
        <v>143</v>
      </c>
      <c r="E169" s="79" t="s">
        <v>436</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5">
      <c r="A170" s="82" t="s">
        <v>185</v>
      </c>
      <c r="B170" s="5" t="s">
        <v>108</v>
      </c>
      <c r="D170" s="5" t="s">
        <v>144</v>
      </c>
      <c r="E170" s="79" t="s">
        <v>436</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5">
      <c r="A171" s="82" t="s">
        <v>185</v>
      </c>
      <c r="B171" s="5" t="s">
        <v>108</v>
      </c>
      <c r="D171" s="5" t="s">
        <v>145</v>
      </c>
      <c r="E171" s="79" t="s">
        <v>436</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5" x14ac:dyDescent="0.35">
      <c r="A172" s="82" t="s">
        <v>185</v>
      </c>
      <c r="B172" s="102" t="s">
        <v>13</v>
      </c>
      <c r="D172" s="92" t="s">
        <v>201</v>
      </c>
      <c r="E172" s="101" t="s">
        <v>306</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5">
      <c r="A173" s="125" t="s">
        <v>549</v>
      </c>
      <c r="B173" s="125" t="s">
        <v>4</v>
      </c>
      <c r="C173" s="72"/>
      <c r="D173" s="125" t="s">
        <v>549</v>
      </c>
      <c r="E173" s="47"/>
      <c r="F173" s="12"/>
      <c r="G173" s="18"/>
      <c r="H173" s="18"/>
      <c r="I173" s="4" t="str">
        <f t="shared" ref="I173:I178"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EquipmentTypeNextRental</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5">
      <c r="A174" s="125" t="s">
        <v>549</v>
      </c>
      <c r="B174" s="125" t="s">
        <v>6</v>
      </c>
      <c r="C174" s="72"/>
      <c r="D174" s="125" t="s">
        <v>6</v>
      </c>
      <c r="E174" s="47"/>
      <c r="F174" s="12"/>
      <c r="G174" s="129" t="s">
        <v>62</v>
      </c>
      <c r="H174" s="18"/>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5">
      <c r="A175" s="125" t="s">
        <v>549</v>
      </c>
      <c r="B175" s="125" t="s">
        <v>8</v>
      </c>
      <c r="C175" s="72"/>
      <c r="D175" s="125" t="s">
        <v>184</v>
      </c>
      <c r="E175" s="47"/>
      <c r="F175" s="128" t="s">
        <v>185</v>
      </c>
      <c r="G175" s="18"/>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rg:None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ht="29" x14ac:dyDescent="0.35">
      <c r="A176" s="125" t="s">
        <v>549</v>
      </c>
      <c r="B176" s="125" t="s">
        <v>8</v>
      </c>
      <c r="C176" s="72"/>
      <c r="D176" s="125" t="s">
        <v>466</v>
      </c>
      <c r="E176" s="124" t="s">
        <v>545</v>
      </c>
      <c r="F176" s="128" t="s">
        <v>183</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askNextBlock1</v>
      </c>
      <c r="V176" s="4" t="str">
        <f>IF(LEN(Table2[[#This Row],[!Description]]) &gt; 0, Table2[[#This Row],[!Description]], "rg:None")</f>
        <v>The id of the next piece of Block 1 Equipment to be asked for a Rental Request. If null, start from the first piece of equipment in Block 1.</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ht="29" x14ac:dyDescent="0.35">
      <c r="A177" s="125" t="s">
        <v>549</v>
      </c>
      <c r="B177" s="125" t="s">
        <v>8</v>
      </c>
      <c r="C177" s="72"/>
      <c r="D177" s="125" t="s">
        <v>543</v>
      </c>
      <c r="E177" s="124" t="s">
        <v>546</v>
      </c>
      <c r="F177" s="128"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askNextBlock2</v>
      </c>
      <c r="V177" s="4" t="str">
        <f>IF(LEN(Table2[[#This Row],[!Description]]) &gt; 0, Table2[[#This Row],[!Description]], "rg:None")</f>
        <v>The id of the next piece of Block 2 Equipment to be asked for a Rental Request. If null, start from the first piece of equipment in Block 2.</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ht="29" x14ac:dyDescent="0.35">
      <c r="A178" s="125" t="s">
        <v>549</v>
      </c>
      <c r="B178" s="125" t="s">
        <v>8</v>
      </c>
      <c r="C178" s="72"/>
      <c r="D178" s="123" t="s">
        <v>544</v>
      </c>
      <c r="E178" s="124" t="s">
        <v>547</v>
      </c>
      <c r="F178" s="128" t="s">
        <v>183</v>
      </c>
      <c r="G178" s="18"/>
      <c r="H178" s="18"/>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askNextBlockOpen</v>
      </c>
      <c r="V178" s="4" t="str">
        <f>IF(LEN(Table2[[#This Row],[!Description]]) &gt; 0, Table2[[#This Row],[!Description]], "rg:None")</f>
        <v>The id of the next piece of Block Open Equipment to be asked for a Rental Request. If null, start from the first piece of equipment in Block Open.</v>
      </c>
      <c r="W178" s="4" t="str">
        <f>IF(LEN(Table2[[#This Row],[!FK]])&gt;0,Table2[[#This Row],[!FK]],"rg:None")</f>
        <v>Equipment</v>
      </c>
      <c r="X178" s="14" t="str">
        <f>IF(LEN(concatif2(A:A,Table2[[#This Row],[!Table]],G:G,"Y",D:D,",")) &gt; 0,"rg:[ { 'req' : '"&amp;concatif2(A:A,Table2[[#This Row],[!Table]],G:G,"Y",D:D,"' }, { 'req': '")&amp;"'} ]","rg:[]")</f>
        <v>rg:[ { 'req' : 'id'} ]</v>
      </c>
      <c r="Y178" s="4" t="str">
        <f>IF(LEN(Table2[[#This Row],[!Unique]])&gt;0,"rg:True","rg:None")</f>
        <v>rg:None</v>
      </c>
    </row>
    <row r="179" spans="1:25" x14ac:dyDescent="0.35">
      <c r="A179" s="82" t="s">
        <v>186</v>
      </c>
      <c r="B179" s="5" t="s">
        <v>4</v>
      </c>
      <c r="D179" s="82" t="s">
        <v>186</v>
      </c>
      <c r="E179" s="76" t="s">
        <v>373</v>
      </c>
      <c r="F179" s="5" t="s">
        <v>5</v>
      </c>
      <c r="G179" s="4"/>
      <c r="H179" s="4"/>
      <c r="I179" s="4" t="str">
        <f t="shared" ref="I179:I197" si="19">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EquipmentAttachment</v>
      </c>
      <c r="V179" s="4" t="str">
        <f>IF(LEN(Table2[[#This Row],[!Description]]) &gt; 0, Table2[[#This Row],[!Description]], "rg:None")</f>
        <v>An Equipment Attachment associated with a piece of Equipment.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x14ac:dyDescent="0.35">
      <c r="A180" s="82" t="s">
        <v>186</v>
      </c>
      <c r="B180" s="5" t="s">
        <v>6</v>
      </c>
      <c r="D180" s="5" t="s">
        <v>6</v>
      </c>
      <c r="E180" s="54" t="s">
        <v>303</v>
      </c>
      <c r="F180" s="5" t="s">
        <v>5</v>
      </c>
      <c r="G180" s="4" t="s">
        <v>62</v>
      </c>
      <c r="H180" s="4"/>
      <c r="I180" s="4" t="str">
        <f t="shared" si="19"/>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A system-generated unique identifier for an EquipmentAttachment</v>
      </c>
      <c r="W180" s="4" t="str">
        <f>IF(LEN(Table2[[#This Row],[!FK]])&gt;0,Table2[[#This Row],[!FK]],"rg:None")</f>
        <v>rg:None</v>
      </c>
      <c r="X180" s="14" t="str">
        <f>IF(LEN(concatif2(A:A,Table2[[#This Row],[!Table]],G:G,"Y",D:D,",")) &gt; 0,"rg:[ { 'req' : '"&amp;concatif2(A:A,Table2[[#This Row],[!Table]],G:G,"Y",D:D,"' }, { 'req': '")&amp;"'} ]","rg:[]")</f>
        <v>rg:[ { 'req' : 'id' }, { 'req': 'attachment'} ]</v>
      </c>
      <c r="Y180" s="4" t="str">
        <f>IF(LEN(Table2[[#This Row],[!Unique]])&gt;0,"rg:True","rg:None")</f>
        <v>rg:None</v>
      </c>
    </row>
    <row r="181" spans="1:25" x14ac:dyDescent="0.35">
      <c r="A181" s="82" t="s">
        <v>186</v>
      </c>
      <c r="B181" s="5" t="s">
        <v>8</v>
      </c>
      <c r="D181" s="82" t="s">
        <v>181</v>
      </c>
      <c r="F181" s="82" t="s">
        <v>183</v>
      </c>
      <c r="G181" s="4"/>
      <c r="H181" s="4"/>
      <c r="I181" s="4" t="str">
        <f t="shared" si="19"/>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v>
      </c>
      <c r="V181" s="4" t="str">
        <f>IF(LEN(Table2[[#This Row],[!Description]]) &gt; 0, Table2[[#This Row],[!Description]], "rg:None")</f>
        <v>rg:None</v>
      </c>
      <c r="W181" s="4" t="str">
        <f>IF(LEN(Table2[[#This Row],[!FK]])&gt;0,Table2[[#This Row],[!FK]],"rg:None")</f>
        <v>Equipment</v>
      </c>
      <c r="X181" s="14" t="str">
        <f>IF(LEN(concatif2(A:A,Table2[[#This Row],[!Table]],G:G,"Y",D:D,",")) &gt; 0,"rg:[ { 'req' : '"&amp;concatif2(A:A,Table2[[#This Row],[!Table]],G:G,"Y",D:D,"' }, { 'req': '")&amp;"'} ]","rg:[]")</f>
        <v>rg:[ { 'req' : 'id' }, { 'req': 'attachment'} ]</v>
      </c>
      <c r="Y181" s="4" t="str">
        <f>IF(LEN(Table2[[#This Row],[!Unique]])&gt;0,"rg:True","rg:None")</f>
        <v>rg:None</v>
      </c>
    </row>
    <row r="182" spans="1:25" x14ac:dyDescent="0.35">
      <c r="A182" s="82" t="s">
        <v>186</v>
      </c>
      <c r="B182" s="120" t="s">
        <v>7</v>
      </c>
      <c r="C182" s="5">
        <v>255</v>
      </c>
      <c r="D182" s="120" t="s">
        <v>218</v>
      </c>
      <c r="E182" s="122" t="s">
        <v>548</v>
      </c>
      <c r="F182" s="82"/>
      <c r="G182" s="119" t="s">
        <v>62</v>
      </c>
      <c r="H182" s="4"/>
      <c r="I182" s="4" t="str">
        <f t="shared" si="19"/>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255</v>
      </c>
      <c r="U182" s="4" t="str">
        <f>IF(LEN(Table2[[#This Row],[!Name]]) &gt; 0, Table2[[#This Row],[!Name]], "rg:None")</f>
        <v>attachment</v>
      </c>
      <c r="V182" s="4" t="str">
        <f>IF(LEN(Table2[[#This Row],[!Description]]) &gt; 0, Table2[[#This Row],[!Description]], "rg:None")</f>
        <v>The attachment type as entered by the user (per the business - no lookup).</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ht="29" x14ac:dyDescent="0.35">
      <c r="A183" s="82" t="s">
        <v>186</v>
      </c>
      <c r="B183" s="5" t="s">
        <v>7</v>
      </c>
      <c r="C183" s="5">
        <v>2048</v>
      </c>
      <c r="D183" s="82" t="s">
        <v>14</v>
      </c>
      <c r="E183" s="101" t="s">
        <v>298</v>
      </c>
      <c r="F183" s="5" t="s">
        <v>5</v>
      </c>
      <c r="G183" s="4"/>
      <c r="H183" s="4"/>
      <c r="I183" s="4" t="str">
        <f t="shared" si="19"/>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string</v>
      </c>
      <c r="S183" s="4" t="str">
        <f>IF(Table2[[#This Row],[!Type]]=S$1, S$1,"rg:None")</f>
        <v>rg:None</v>
      </c>
      <c r="T183" s="4">
        <f>IF(LEN(Table2[[#This Row],[!Length]]) &gt; 0, Table2[[#This Row],[!Length]], "rg:None")</f>
        <v>2048</v>
      </c>
      <c r="U183" s="4" t="str">
        <f>IF(LEN(Table2[[#This Row],[!Name]]) &gt; 0, Table2[[#This Row],[!Name]], "rg:None")</f>
        <v>description</v>
      </c>
      <c r="V183" s="4" t="str">
        <f>IF(LEN(Table2[[#This Row],[!Description]]) &gt; 0, Table2[[#This Row],[!Description]], "rg:None")</f>
        <v>A description of the equipment attachment if the Equipment Attachment Type is insufficient.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ht="87" x14ac:dyDescent="0.35">
      <c r="A184" s="5" t="s">
        <v>150</v>
      </c>
      <c r="B184" s="5" t="s">
        <v>4</v>
      </c>
      <c r="D184" s="5" t="s">
        <v>150</v>
      </c>
      <c r="E184" s="101" t="s">
        <v>307</v>
      </c>
      <c r="F184" s="5" t="s">
        <v>5</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table</v>
      </c>
      <c r="T184" s="4" t="str">
        <f>IF(LEN(Table2[[#This Row],[!Length]]) &gt; 0, Table2[[#This Row],[!Length]], "rg:None")</f>
        <v>rg:None</v>
      </c>
      <c r="U184" s="4" t="str">
        <f>IF(LEN(Table2[[#This Row],[!Name]]) &gt; 0, Table2[[#This Row],[!Name]], "rg:None")</f>
        <v>SeniorityAudit</v>
      </c>
      <c r="V184"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5">
      <c r="A185" s="5" t="s">
        <v>150</v>
      </c>
      <c r="B185" s="5" t="s">
        <v>6</v>
      </c>
      <c r="D185" s="5" t="s">
        <v>6</v>
      </c>
      <c r="E185" s="54" t="s">
        <v>364</v>
      </c>
      <c r="F185" s="5" t="s">
        <v>5</v>
      </c>
      <c r="G185" s="4" t="s">
        <v>62</v>
      </c>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id</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id</v>
      </c>
      <c r="V185" s="4" t="str">
        <f>IF(LEN(Table2[[#This Row],[!Description]]) &gt; 0, Table2[[#This Row],[!Description]], "rg:None")</f>
        <v>A system-generated unique identifier for a SeniorityAudit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5">
      <c r="A186" s="5" t="s">
        <v>150</v>
      </c>
      <c r="B186" s="5" t="s">
        <v>12</v>
      </c>
      <c r="D186" s="80" t="s">
        <v>30</v>
      </c>
      <c r="E186" s="76" t="s">
        <v>428</v>
      </c>
      <c r="F186" s="5" t="s">
        <v>5</v>
      </c>
      <c r="G186" s="4"/>
      <c r="H186" s="4"/>
      <c r="I186" s="4" t="str">
        <f t="shared" si="19"/>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startDate</v>
      </c>
      <c r="V186" s="4" t="str">
        <f>IF(LEN(Table2[[#This Row],[!Description]]) &gt; 0, Table2[[#This Row],[!Description]], "rg:None")</f>
        <v>The effective date that the Seniority data in this record went into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5">
      <c r="A187" s="61" t="s">
        <v>150</v>
      </c>
      <c r="B187" s="61" t="s">
        <v>12</v>
      </c>
      <c r="C187" s="72"/>
      <c r="D187" s="61" t="s">
        <v>31</v>
      </c>
      <c r="E187" s="60" t="s">
        <v>429</v>
      </c>
      <c r="F187" s="12"/>
      <c r="G187" s="18"/>
      <c r="H187" s="18"/>
      <c r="I187" s="4" t="str">
        <f>IF(LEN(A187) &gt; 0,"Defs","-")</f>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endDate</v>
      </c>
      <c r="V187" s="4" t="str">
        <f>IF(LEN(Table2[[#This Row],[!Description]]) &gt; 0, Table2[[#This Row],[!Description]], "rg:None")</f>
        <v>The effective date at which the Seniority data in this record ceased to be in effect.</v>
      </c>
      <c r="W187" s="4" t="str">
        <f>IF(LEN(Table2[[#This Row],[!FK]])&gt;0,Table2[[#This Row],[!FK]],"rg:None")</f>
        <v>rg:None</v>
      </c>
      <c r="X187" s="14" t="str">
        <f>IF(LEN(concatif2(A:A,Table2[[#This Row],[!Table]],G:G,"Y",D:D,",")) &gt; 0,"rg:[ { 'req' : '"&amp;concatif2(A:A,Table2[[#This Row],[!Table]],G:G,"Y",D:D,"' }, { 'req': '")&amp;"'} ]","rg:[]")</f>
        <v>rg:[ { 'req' : 'id'} ]</v>
      </c>
      <c r="Y187" s="4" t="str">
        <f>IF(LEN(Table2[[#This Row],[!Unique]])&gt;0,"rg:True","rg:None")</f>
        <v>rg:None</v>
      </c>
    </row>
    <row r="188" spans="1:25" x14ac:dyDescent="0.35">
      <c r="A188" s="5" t="s">
        <v>150</v>
      </c>
      <c r="B188" s="5" t="s">
        <v>8</v>
      </c>
      <c r="D188" s="82" t="s">
        <v>176</v>
      </c>
      <c r="F188" s="82" t="s">
        <v>154</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localArea</v>
      </c>
      <c r="V188" s="4" t="str">
        <f>IF(LEN(Table2[[#This Row],[!Description]]) &gt; 0, Table2[[#This Row],[!Description]], "rg:None")</f>
        <v>rg:None</v>
      </c>
      <c r="W188" s="4" t="str">
        <f>IF(LEN(Table2[[#This Row],[!FK]])&gt;0,Table2[[#This Row],[!FK]],"rg:None")</f>
        <v>LocalArea</v>
      </c>
      <c r="X188" s="14" t="str">
        <f>IF(LEN(concatif2(A:A,Table2[[#This Row],[!Table]],G:G,"Y",D:D,",")) &gt; 0,"rg:[ { 'req' : '"&amp;concatif2(A:A,Table2[[#This Row],[!Table]],G:G,"Y",D:D,"' }, { 'req': '")&amp;"'} ]","rg:[]")</f>
        <v>rg:[ { 'req' : 'id'} ]</v>
      </c>
      <c r="Y188" s="4" t="str">
        <f>IF(LEN(Table2[[#This Row],[!Unique]])&gt;0,"rg:True","rg:None")</f>
        <v>rg:None</v>
      </c>
    </row>
    <row r="189" spans="1:25" x14ac:dyDescent="0.35">
      <c r="A189" s="5" t="s">
        <v>150</v>
      </c>
      <c r="B189" s="5" t="s">
        <v>8</v>
      </c>
      <c r="D189" s="82" t="s">
        <v>181</v>
      </c>
      <c r="F189" s="82" t="s">
        <v>183</v>
      </c>
      <c r="G189" s="4"/>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v>
      </c>
      <c r="Y189" s="4" t="str">
        <f>IF(LEN(Table2[[#This Row],[!Unique]])&gt;0,"rg:True","rg:None")</f>
        <v>rg:None</v>
      </c>
    </row>
    <row r="190" spans="1:25" ht="29" x14ac:dyDescent="0.35">
      <c r="A190" s="5" t="s">
        <v>150</v>
      </c>
      <c r="B190" s="5" t="s">
        <v>108</v>
      </c>
      <c r="D190" s="82" t="s">
        <v>192</v>
      </c>
      <c r="E190" s="101" t="s">
        <v>310</v>
      </c>
      <c r="F190" s="5" t="s">
        <v>5</v>
      </c>
      <c r="G190" s="4"/>
      <c r="H190" s="4"/>
      <c r="I190" s="4" t="str">
        <f t="shared" si="19"/>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float</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blockNumber</v>
      </c>
      <c r="V190" s="4" t="str">
        <f>IF(LEN(Table2[[#This Row],[!Description]]) &gt; 0, Table2[[#This Row],[!Description]], "rg:None")</f>
        <v>The block number for the piece of equipment as calculated by the Seniority Algorthm for this equipment type in the local area. As currently defined by the business - 1, 2 or Open</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5">
      <c r="A191" s="5" t="s">
        <v>150</v>
      </c>
      <c r="B191" s="5" t="s">
        <v>8</v>
      </c>
      <c r="D191" s="82" t="s">
        <v>151</v>
      </c>
      <c r="F191" s="82" t="s">
        <v>148</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owner</v>
      </c>
      <c r="V191" s="4" t="str">
        <f>IF(LEN(Table2[[#This Row],[!Description]]) &gt; 0, Table2[[#This Row],[!Description]], "rg:None")</f>
        <v>rg:None</v>
      </c>
      <c r="W191" s="4" t="str">
        <f>IF(LEN(Table2[[#This Row],[!FK]])&gt;0,Table2[[#This Row],[!FK]],"rg:None")</f>
        <v>Owner</v>
      </c>
      <c r="X191" s="14" t="str">
        <f>IF(LEN(concatif2(A:A,Table2[[#This Row],[!Table]],G:G,"Y",D:D,",")) &gt; 0,"rg:[ { 'req' : '"&amp;concatif2(A:A,Table2[[#This Row],[!Table]],G:G,"Y",D:D,"' }, { 'req': '")&amp;"'} ]","rg:[]")</f>
        <v>rg:[ { 'req' : 'id'} ]</v>
      </c>
      <c r="Y191" s="4" t="str">
        <f>IF(LEN(Table2[[#This Row],[!Unique]])&gt;0,"rg:True","rg:None")</f>
        <v>rg:None</v>
      </c>
    </row>
    <row r="192" spans="1:25" ht="29" x14ac:dyDescent="0.35">
      <c r="A192" s="5" t="s">
        <v>150</v>
      </c>
      <c r="B192" s="5" t="s">
        <v>7</v>
      </c>
      <c r="C192" s="5">
        <v>150</v>
      </c>
      <c r="D192" s="80" t="s">
        <v>409</v>
      </c>
      <c r="E192" s="76" t="s">
        <v>410</v>
      </c>
      <c r="F192" s="5" t="s">
        <v>5</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ownerOrganizationName</v>
      </c>
      <c r="V192" s="4" t="str">
        <f>IF(LEN(Table2[[#This Row],[!Description]]) &gt; 0, Table2[[#This Row],[!Description]], "rg:None")</f>
        <v>The name of the organization of the owner from the Owner Record, captured at the time this record was created.</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58" x14ac:dyDescent="0.35">
      <c r="A193" s="5" t="s">
        <v>150</v>
      </c>
      <c r="B193" s="5" t="s">
        <v>108</v>
      </c>
      <c r="D193" s="5" t="s">
        <v>138</v>
      </c>
      <c r="E193" s="101" t="s">
        <v>308</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seniority</v>
      </c>
      <c r="V193"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ht="29" x14ac:dyDescent="0.35">
      <c r="A194" s="5" t="s">
        <v>150</v>
      </c>
      <c r="B194" s="5" t="s">
        <v>108</v>
      </c>
      <c r="D194" s="80" t="s">
        <v>406</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serviceHoursCurrentYearToDate</v>
      </c>
      <c r="V194" s="4" t="str">
        <f>IF(LEN(Table2[[#This Row],[!Description]]) &gt; 0, Table2[[#This Row],[!Description]], "rg:None")</f>
        <v>Sum of hours in the current fiscal year's time cards captured at the time this record was created.</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5">
      <c r="A195" s="5" t="s">
        <v>150</v>
      </c>
      <c r="B195" s="5" t="s">
        <v>108</v>
      </c>
      <c r="D195" s="95" t="s">
        <v>250</v>
      </c>
      <c r="E195" s="96" t="s">
        <v>251</v>
      </c>
      <c r="F195" s="5" t="s">
        <v>5</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serviceHoursLastYear</v>
      </c>
      <c r="V195" s="4" t="str">
        <f>IF(LEN(Table2[[#This Row],[!Description]]) &gt; 0, Table2[[#This Row],[!Description]], "rg:None")</f>
        <v>Number of hours of service by this piece of equipment in the previous fiscal year</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9" x14ac:dyDescent="0.35">
      <c r="A196" s="5" t="s">
        <v>150</v>
      </c>
      <c r="B196" s="5" t="s">
        <v>108</v>
      </c>
      <c r="D196" s="95" t="s">
        <v>252</v>
      </c>
      <c r="E196" s="96" t="s">
        <v>253</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serviceHoursTwoYearsAgo</v>
      </c>
      <c r="V196" s="4" t="str">
        <f>IF(LEN(Table2[[#This Row],[!Description]]) &gt; 0, Table2[[#This Row],[!Description]], "rg:None")</f>
        <v>Number of hours of service by this piece of equipment in the fiscal year before the last one - e.g. if current year is FY2018 then hours in FY2016</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29" x14ac:dyDescent="0.35">
      <c r="A197" s="5" t="s">
        <v>150</v>
      </c>
      <c r="B197" s="5" t="s">
        <v>108</v>
      </c>
      <c r="D197" s="95" t="s">
        <v>255</v>
      </c>
      <c r="E197" s="96" t="s">
        <v>254</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serviceHoursThreeYearsAgo</v>
      </c>
      <c r="V197" s="4" t="str">
        <f>IF(LEN(Table2[[#This Row],[!Description]]) &gt; 0, Table2[[#This Row],[!Description]], "rg:None")</f>
        <v>Number of hours of service by this piece of equipment in the fiscal year three years ago - e.g. if current year is FY2018 then hours in FY2015</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x14ac:dyDescent="0.35">
      <c r="A198" s="5" t="s">
        <v>148</v>
      </c>
      <c r="B198" s="5" t="s">
        <v>4</v>
      </c>
      <c r="D198" s="5" t="s">
        <v>148</v>
      </c>
      <c r="E198" s="76" t="s">
        <v>374</v>
      </c>
      <c r="F198" s="5" t="s">
        <v>5</v>
      </c>
      <c r="G198" s="4"/>
      <c r="H198" s="4"/>
      <c r="I198" s="4" t="str">
        <f t="shared" ref="I198:I213" si="20">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rg:None</v>
      </c>
    </row>
    <row r="199" spans="1:25" x14ac:dyDescent="0.35">
      <c r="A199" s="5" t="s">
        <v>148</v>
      </c>
      <c r="B199" s="5" t="s">
        <v>6</v>
      </c>
      <c r="D199" s="5" t="s">
        <v>6</v>
      </c>
      <c r="E199" s="54" t="s">
        <v>365</v>
      </c>
      <c r="F199" s="5" t="s">
        <v>5</v>
      </c>
      <c r="G199" s="4" t="s">
        <v>62</v>
      </c>
      <c r="H199" s="63" t="s">
        <v>62</v>
      </c>
      <c r="I199" s="4" t="str">
        <f t="shared" si="20"/>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43.5" x14ac:dyDescent="0.35">
      <c r="A200" s="5" t="s">
        <v>148</v>
      </c>
      <c r="B200" s="5" t="s">
        <v>7</v>
      </c>
      <c r="C200" s="5">
        <v>20</v>
      </c>
      <c r="D200" s="92" t="s">
        <v>432</v>
      </c>
      <c r="E200" s="100" t="s">
        <v>311</v>
      </c>
      <c r="F200" s="5" t="s">
        <v>5</v>
      </c>
      <c r="G200" s="63" t="s">
        <v>62</v>
      </c>
      <c r="H200" s="63" t="s">
        <v>62</v>
      </c>
      <c r="I200" s="4" t="str">
        <f t="shared" si="20"/>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rg:True</v>
      </c>
    </row>
    <row r="201" spans="1:25" ht="29" x14ac:dyDescent="0.35">
      <c r="A201" s="61" t="s">
        <v>148</v>
      </c>
      <c r="B201" s="61" t="s">
        <v>7</v>
      </c>
      <c r="C201" s="72">
        <v>150</v>
      </c>
      <c r="D201" s="61" t="s">
        <v>407</v>
      </c>
      <c r="E201" s="60" t="s">
        <v>408</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9" x14ac:dyDescent="0.35">
      <c r="A202" s="69" t="s">
        <v>148</v>
      </c>
      <c r="B202" s="69" t="s">
        <v>7</v>
      </c>
      <c r="C202" s="72">
        <v>150</v>
      </c>
      <c r="D202" s="71" t="s">
        <v>444</v>
      </c>
      <c r="E202" s="70" t="s">
        <v>445</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29" x14ac:dyDescent="0.35">
      <c r="A203" s="69" t="s">
        <v>148</v>
      </c>
      <c r="B203" s="69" t="s">
        <v>7</v>
      </c>
      <c r="C203" s="72">
        <v>150</v>
      </c>
      <c r="D203" s="71" t="s">
        <v>453</v>
      </c>
      <c r="E203" s="70" t="s">
        <v>446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ht="43.5" x14ac:dyDescent="0.35">
      <c r="A204" s="69" t="s">
        <v>148</v>
      </c>
      <c r="B204" s="69" t="s">
        <v>9</v>
      </c>
      <c r="C204" s="72"/>
      <c r="D204" s="71" t="s">
        <v>452</v>
      </c>
      <c r="E204" s="70" t="s">
        <v>447</v>
      </c>
      <c r="F204" s="12"/>
      <c r="G204" s="18"/>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5">
      <c r="A205" s="5" t="s">
        <v>148</v>
      </c>
      <c r="B205" s="23" t="s">
        <v>8</v>
      </c>
      <c r="C205" s="72"/>
      <c r="D205" s="23" t="s">
        <v>195</v>
      </c>
      <c r="E205" s="103" t="s">
        <v>196</v>
      </c>
      <c r="F205" s="77" t="s">
        <v>175</v>
      </c>
      <c r="G205" s="18"/>
      <c r="H205" s="18"/>
      <c r="I205" s="4" t="str">
        <f t="shared" si="20"/>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5">
      <c r="A206" s="5" t="s">
        <v>148</v>
      </c>
      <c r="B206" s="102" t="s">
        <v>8</v>
      </c>
      <c r="D206" s="102" t="s">
        <v>176</v>
      </c>
      <c r="F206" s="102" t="s">
        <v>154</v>
      </c>
      <c r="G206" s="4"/>
      <c r="H206" s="4"/>
      <c r="I206" s="4" t="str">
        <f t="shared" si="20"/>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v>
      </c>
      <c r="Y206" s="4" t="str">
        <f>IF(LEN(Table2[[#This Row],[!Unique]])&gt;0,"rg:True","rg:None")</f>
        <v>rg:None</v>
      </c>
    </row>
    <row r="207" spans="1:25" ht="29" x14ac:dyDescent="0.35">
      <c r="A207" s="5" t="s">
        <v>148</v>
      </c>
      <c r="B207" s="102" t="s">
        <v>9</v>
      </c>
      <c r="D207" s="102" t="s">
        <v>312</v>
      </c>
      <c r="E207" s="101" t="s">
        <v>313</v>
      </c>
      <c r="F207" s="5" t="s">
        <v>5</v>
      </c>
      <c r="G207" s="4"/>
      <c r="H207" s="4"/>
      <c r="I207" s="4" t="str">
        <f t="shared" si="20"/>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5">
      <c r="A208" s="111" t="s">
        <v>148</v>
      </c>
      <c r="B208" s="111" t="s">
        <v>7</v>
      </c>
      <c r="C208" s="72">
        <v>50</v>
      </c>
      <c r="D208" s="111" t="s">
        <v>514</v>
      </c>
      <c r="E208" s="112" t="s">
        <v>512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5">
      <c r="A209" s="5" t="s">
        <v>148</v>
      </c>
      <c r="B209" s="82" t="s">
        <v>12</v>
      </c>
      <c r="D209" s="116" t="s">
        <v>515</v>
      </c>
      <c r="E209" s="113" t="s">
        <v>513</v>
      </c>
      <c r="F209" s="5" t="s">
        <v>5</v>
      </c>
      <c r="G209" s="4"/>
      <c r="H209" s="4"/>
      <c r="I209" s="4" t="str">
        <f t="shared" si="20"/>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8" x14ac:dyDescent="0.35">
      <c r="A210" s="5" t="s">
        <v>148</v>
      </c>
      <c r="B210" s="82" t="s">
        <v>12</v>
      </c>
      <c r="D210" s="82" t="s">
        <v>177</v>
      </c>
      <c r="E210" s="101" t="s">
        <v>314</v>
      </c>
      <c r="F210" s="5" t="s">
        <v>5</v>
      </c>
      <c r="G210" s="4"/>
      <c r="H210" s="4"/>
      <c r="I210" s="4" t="str">
        <f t="shared" si="20"/>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58" x14ac:dyDescent="0.35">
      <c r="A211" s="5" t="s">
        <v>148</v>
      </c>
      <c r="B211" s="5" t="s">
        <v>7</v>
      </c>
      <c r="C211" s="5">
        <v>50</v>
      </c>
      <c r="D211" s="102" t="s">
        <v>235</v>
      </c>
      <c r="E211" s="101" t="s">
        <v>315</v>
      </c>
      <c r="F211" s="5" t="s">
        <v>5</v>
      </c>
      <c r="G211" s="4"/>
      <c r="H211" s="4"/>
      <c r="I211" s="4" t="str">
        <f t="shared" si="20"/>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t="29" x14ac:dyDescent="0.35">
      <c r="A212" s="5" t="s">
        <v>148</v>
      </c>
      <c r="B212" s="5" t="s">
        <v>7</v>
      </c>
      <c r="C212" s="5">
        <v>50</v>
      </c>
      <c r="D212" s="102" t="s">
        <v>256</v>
      </c>
      <c r="E212" s="79" t="s">
        <v>437</v>
      </c>
      <c r="F212" s="5" t="s">
        <v>5</v>
      </c>
      <c r="G212" s="4"/>
      <c r="H212" s="4"/>
      <c r="I212" s="4" t="str">
        <f t="shared" si="20"/>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5">
      <c r="A213" s="5" t="s">
        <v>148</v>
      </c>
      <c r="B213" s="5" t="s">
        <v>7</v>
      </c>
      <c r="C213" s="5">
        <v>2048</v>
      </c>
      <c r="D213" s="5" t="s">
        <v>140</v>
      </c>
      <c r="E213" s="101" t="s">
        <v>316</v>
      </c>
      <c r="F213" s="5" t="s">
        <v>5</v>
      </c>
      <c r="G213" s="4"/>
      <c r="H213" s="4"/>
      <c r="I213" s="4" t="str">
        <f t="shared" si="20"/>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29" x14ac:dyDescent="0.35">
      <c r="A214" s="64" t="s">
        <v>148</v>
      </c>
      <c r="B214" s="64" t="s">
        <v>12</v>
      </c>
      <c r="C214" s="72"/>
      <c r="D214" s="64" t="s">
        <v>190</v>
      </c>
      <c r="E214" s="65" t="s">
        <v>433</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5">
      <c r="A215" s="21" t="s">
        <v>148</v>
      </c>
      <c r="B215" s="21" t="s">
        <v>19</v>
      </c>
      <c r="C215" s="72"/>
      <c r="D215" s="21" t="s">
        <v>179</v>
      </c>
      <c r="E215" s="47"/>
      <c r="F215" s="82" t="s">
        <v>175</v>
      </c>
      <c r="G215" s="18"/>
      <c r="H215" s="18"/>
      <c r="I215" s="4" t="str">
        <f t="shared" ref="I215:I219" si="21">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5">
      <c r="A216" s="21" t="s">
        <v>148</v>
      </c>
      <c r="B216" s="21" t="s">
        <v>19</v>
      </c>
      <c r="C216" s="72"/>
      <c r="D216" s="21" t="s">
        <v>167</v>
      </c>
      <c r="E216" s="47"/>
      <c r="F216" s="22" t="s">
        <v>149</v>
      </c>
      <c r="G216" s="18"/>
      <c r="H216" s="18"/>
      <c r="I216" s="4" t="str">
        <f t="shared" si="21"/>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5">
      <c r="A217" s="21" t="s">
        <v>148</v>
      </c>
      <c r="B217" s="21" t="s">
        <v>19</v>
      </c>
      <c r="C217" s="72"/>
      <c r="D217" s="21" t="s">
        <v>178</v>
      </c>
      <c r="E217" s="47"/>
      <c r="F217" s="81" t="s">
        <v>161</v>
      </c>
      <c r="G217" s="18"/>
      <c r="H217" s="18"/>
      <c r="I217" s="4" t="str">
        <f t="shared" si="21"/>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5">
      <c r="A218" s="21" t="s">
        <v>148</v>
      </c>
      <c r="B218" s="21" t="s">
        <v>19</v>
      </c>
      <c r="C218" s="72"/>
      <c r="D218" s="21" t="s">
        <v>180</v>
      </c>
      <c r="E218" s="47"/>
      <c r="F218" s="82" t="s">
        <v>163</v>
      </c>
      <c r="G218" s="18"/>
      <c r="H218" s="18"/>
      <c r="I218" s="4" t="str">
        <f t="shared" si="21"/>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5">
      <c r="A219" s="21" t="s">
        <v>148</v>
      </c>
      <c r="B219" s="21" t="s">
        <v>19</v>
      </c>
      <c r="C219" s="72"/>
      <c r="D219" s="21" t="s">
        <v>182</v>
      </c>
      <c r="E219" s="47"/>
      <c r="F219" s="82" t="s">
        <v>183</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equipmentList</v>
      </c>
      <c r="V219" s="4" t="str">
        <f>IF(LEN(Table2[[#This Row],[!Description]]) &gt; 0, Table2[[#This Row],[!Description]], "rg:None")</f>
        <v>rg:None</v>
      </c>
      <c r="W219" s="4" t="str">
        <f>IF(LEN(Table2[[#This Row],[!FK]])&gt;0,Table2[[#This Row],[!FK]],"rg:None")</f>
        <v>Equipment</v>
      </c>
      <c r="X219" s="14" t="str">
        <f>IF(LEN(concatif2(A:A,Table2[[#This Row],[!Table]],G:G,"Y",D:D,",")) &gt; 0,"rg:[ { 'req' : '"&amp;concatif2(A:A,Table2[[#This Row],[!Table]],G:G,"Y",D:D,"' }, { 'req': '")&amp;"'} ]","rg:[]")</f>
        <v>rg:[ { 'req' : 'id' }, { 'req': 'ownerEquipmentCodePrefix'} ]</v>
      </c>
      <c r="Y219" s="4" t="str">
        <f>IF(LEN(Table2[[#This Row],[!Unique]])&gt;0,"rg:True","rg:None")</f>
        <v>rg:None</v>
      </c>
    </row>
    <row r="220" spans="1:25" ht="29" x14ac:dyDescent="0.35">
      <c r="A220" s="81" t="s">
        <v>175</v>
      </c>
      <c r="B220" s="5" t="s">
        <v>4</v>
      </c>
      <c r="D220" s="81" t="s">
        <v>175</v>
      </c>
      <c r="E220" s="76" t="s">
        <v>375</v>
      </c>
      <c r="F220" s="5" t="s">
        <v>5</v>
      </c>
      <c r="G220" s="4"/>
      <c r="H220" s="4"/>
      <c r="I220" s="5" t="str">
        <f t="shared" ref="I220:I235" si="22">IF(LEN(A220) &gt; 0,"Defs","-")</f>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table</v>
      </c>
      <c r="T220" s="4" t="str">
        <f>IF(LEN(Table2[[#This Row],[!Length]]) &gt; 0, Table2[[#This Row],[!Length]], "rg:None")</f>
        <v>rg:None</v>
      </c>
      <c r="U220" s="4" t="str">
        <f>IF(LEN(Table2[[#This Row],[!Name]]) &gt; 0, Table2[[#This Row],[!Name]], "rg:None")</f>
        <v>Contact</v>
      </c>
      <c r="V220" s="4" t="str">
        <f>IF(LEN(Table2[[#This Row],[!Description]]) &gt; 0, Table2[[#This Row],[!Description]], "rg:None")</f>
        <v>A person and their related contact information linked to one or more entities in the system. For examples, there are contacts for Owners, Projects.</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rg:None</v>
      </c>
    </row>
    <row r="221" spans="1:25" x14ac:dyDescent="0.35">
      <c r="A221" s="117" t="s">
        <v>175</v>
      </c>
      <c r="B221" s="3" t="s">
        <v>6</v>
      </c>
      <c r="C221" s="3"/>
      <c r="D221" s="3" t="s">
        <v>6</v>
      </c>
      <c r="E221" s="118" t="s">
        <v>317</v>
      </c>
      <c r="F221" s="3" t="s">
        <v>5</v>
      </c>
      <c r="G221" s="4" t="s">
        <v>62</v>
      </c>
      <c r="H221" s="119" t="s">
        <v>62</v>
      </c>
      <c r="I221" s="5" t="str">
        <f t="shared" si="22"/>
        <v>Defs</v>
      </c>
      <c r="J221" s="4" t="str">
        <f>IF(Table2[[#This Row],[!Type]]=J$1, J$1,"rg:None")</f>
        <v>rg:None</v>
      </c>
      <c r="K221" s="4" t="str">
        <f>IF(Table2[[#This Row],[!Type]]=K$1, K$1,"rg:None")</f>
        <v>rg:None</v>
      </c>
      <c r="L221" s="4" t="str">
        <f>IF(Table2[[#This Row],[!Type]]=L$1, L$1,"rg:None")</f>
        <v>rg:None</v>
      </c>
      <c r="M221" s="4" t="str">
        <f>IF(Table2[[#This Row],[!Type]]=M$1, M$1,"rg:None")</f>
        <v>id</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id</v>
      </c>
      <c r="V221" s="4" t="str">
        <f>IF(LEN(Table2[[#This Row],[!Description]]) &gt; 0, Table2[[#This Row],[!Description]], "rg:None")</f>
        <v>A system-generated unique identifier for a Contact</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rg:True</v>
      </c>
    </row>
    <row r="222" spans="1:25" x14ac:dyDescent="0.35">
      <c r="A222" s="117" t="s">
        <v>175</v>
      </c>
      <c r="B222" s="3" t="s">
        <v>7</v>
      </c>
      <c r="C222" s="3">
        <v>50</v>
      </c>
      <c r="D222" s="3" t="s">
        <v>16</v>
      </c>
      <c r="E222" s="118" t="s">
        <v>165</v>
      </c>
      <c r="F222" s="3" t="s">
        <v>5</v>
      </c>
      <c r="G222" s="119"/>
      <c r="H222" s="4"/>
      <c r="I222" s="5" t="str">
        <f t="shared" si="22"/>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givenName</v>
      </c>
      <c r="V222" s="4" t="str">
        <f>IF(LEN(Table2[[#This Row],[!Description]]) &gt; 0, Table2[[#This Row],[!Description]], "rg:None")</f>
        <v>The given name of the contact.</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5">
      <c r="A223" s="117" t="s">
        <v>175</v>
      </c>
      <c r="B223" s="3" t="s">
        <v>7</v>
      </c>
      <c r="C223" s="3">
        <v>50</v>
      </c>
      <c r="D223" s="3" t="s">
        <v>17</v>
      </c>
      <c r="E223" s="118" t="s">
        <v>166</v>
      </c>
      <c r="F223" s="3" t="s">
        <v>5</v>
      </c>
      <c r="G223" s="119"/>
      <c r="H223" s="4"/>
      <c r="I223" s="5" t="str">
        <f t="shared" si="22"/>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surname</v>
      </c>
      <c r="V223" s="4" t="str">
        <f>IF(LEN(Table2[[#This Row],[!Description]]) &gt; 0, Table2[[#This Row],[!Description]], "rg:None")</f>
        <v>The surname of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5">
      <c r="A224" s="120" t="s">
        <v>175</v>
      </c>
      <c r="B224" s="120" t="s">
        <v>7</v>
      </c>
      <c r="C224" s="3">
        <v>150</v>
      </c>
      <c r="D224" s="120" t="s">
        <v>407</v>
      </c>
      <c r="E224" s="120" t="s">
        <v>527</v>
      </c>
      <c r="F224" s="6"/>
      <c r="G224" s="18"/>
      <c r="H224" s="18"/>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150</v>
      </c>
      <c r="U224" s="4" t="str">
        <f>IF(LEN(Table2[[#This Row],[!Name]]) &gt; 0, Table2[[#This Row],[!Name]], "rg:None")</f>
        <v>organizationName</v>
      </c>
      <c r="V224" s="4" t="str">
        <f>IF(LEN(Table2[[#This Row],[!Description]]) &gt; 0, Table2[[#This Row],[!Description]], "rg:None")</f>
        <v>The organization name of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5">
      <c r="A225" s="117" t="s">
        <v>175</v>
      </c>
      <c r="B225" s="3" t="s">
        <v>7</v>
      </c>
      <c r="C225" s="3">
        <v>100</v>
      </c>
      <c r="D225" s="3" t="s">
        <v>18</v>
      </c>
      <c r="E225" s="121" t="s">
        <v>318</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role</v>
      </c>
      <c r="V225" s="4" t="str">
        <f>IF(LEN(Table2[[#This Row],[!Description]]) &gt; 0, Table2[[#This Row],[!Description]], "rg:None")</f>
        <v>The role of the contact. UI controlled as to whether it is free form or selected from an enumerated list - for initial implementation, the field is freeform.</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5">
      <c r="A226" s="117" t="s">
        <v>175</v>
      </c>
      <c r="B226" s="3" t="s">
        <v>7</v>
      </c>
      <c r="C226" s="3">
        <v>150</v>
      </c>
      <c r="D226" s="3" t="s">
        <v>167</v>
      </c>
      <c r="E226" s="121" t="s">
        <v>319</v>
      </c>
      <c r="F226" s="3" t="s">
        <v>5</v>
      </c>
      <c r="G226" s="4"/>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150</v>
      </c>
      <c r="U226" s="4" t="str">
        <f>IF(LEN(Table2[[#This Row],[!Name]]) &gt; 0, Table2[[#This Row],[!Name]], "rg:None")</f>
        <v>notes</v>
      </c>
      <c r="V226" s="4" t="str">
        <f>IF(LEN(Table2[[#This Row],[!Description]]) &gt; 0, Table2[[#This Row],[!Description]], "rg:None")</f>
        <v>A note about the contact maintained by the users.</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5">
      <c r="A227" s="120" t="s">
        <v>175</v>
      </c>
      <c r="B227" s="120" t="s">
        <v>7</v>
      </c>
      <c r="C227" s="3">
        <v>255</v>
      </c>
      <c r="D227" s="120" t="s">
        <v>528</v>
      </c>
      <c r="E227" s="120" t="s">
        <v>529</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255</v>
      </c>
      <c r="U227" s="4" t="str">
        <f>IF(LEN(Table2[[#This Row],[!Name]]) &gt; 0, Table2[[#This Row],[!Name]], "rg:None")</f>
        <v>emailAddress</v>
      </c>
      <c r="V227" s="4" t="str">
        <f>IF(LEN(Table2[[#This Row],[!Description]]) &gt; 0, Table2[[#This Row],[!Description]], "rg:None")</f>
        <v>The email address for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5">
      <c r="A228" s="117" t="s">
        <v>175</v>
      </c>
      <c r="B228" s="3" t="s">
        <v>7</v>
      </c>
      <c r="C228" s="3">
        <v>20</v>
      </c>
      <c r="D228" s="117" t="s">
        <v>530</v>
      </c>
      <c r="E228" s="121" t="s">
        <v>531</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v>
      </c>
      <c r="U228" s="4" t="str">
        <f>IF(LEN(Table2[[#This Row],[!Name]]) &gt; 0, Table2[[#This Row],[!Name]], "rg:None")</f>
        <v>workPhoneNumber</v>
      </c>
      <c r="V228" s="4" t="str">
        <f>IF(LEN(Table2[[#This Row],[!Description]]) &gt; 0, Table2[[#This Row],[!Description]], "rg:None")</f>
        <v>The work phone number for the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5">
      <c r="A229" s="117" t="s">
        <v>175</v>
      </c>
      <c r="B229" s="3" t="s">
        <v>7</v>
      </c>
      <c r="C229" s="3">
        <v>20</v>
      </c>
      <c r="D229" s="117" t="s">
        <v>532</v>
      </c>
      <c r="E229" s="121" t="s">
        <v>533</v>
      </c>
      <c r="F229" s="3" t="s">
        <v>5</v>
      </c>
      <c r="G229" s="119"/>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v>
      </c>
      <c r="U229" s="4" t="str">
        <f>IF(LEN(Table2[[#This Row],[!Name]]) &gt; 0, Table2[[#This Row],[!Name]], "rg:None")</f>
        <v>mobilePhoneNumber</v>
      </c>
      <c r="V229" s="4" t="str">
        <f>IF(LEN(Table2[[#This Row],[!Description]]) &gt; 0, Table2[[#This Row],[!Description]], "rg:None")</f>
        <v>The mobile phone number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5">
      <c r="A230" s="117" t="s">
        <v>175</v>
      </c>
      <c r="B230" s="117" t="s">
        <v>7</v>
      </c>
      <c r="C230" s="3">
        <v>20</v>
      </c>
      <c r="D230" s="117" t="s">
        <v>534</v>
      </c>
      <c r="E230" s="121" t="s">
        <v>535</v>
      </c>
      <c r="F230" s="3" t="s">
        <v>5</v>
      </c>
      <c r="G230" s="4"/>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faxPhoneNumber</v>
      </c>
      <c r="V230" s="4" t="str">
        <f>IF(LEN(Table2[[#This Row],[!Description]]) &gt; 0, Table2[[#This Row],[!Description]], "rg:None")</f>
        <v>The fax phone number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5">
      <c r="A231" s="117" t="s">
        <v>175</v>
      </c>
      <c r="B231" s="3" t="s">
        <v>7</v>
      </c>
      <c r="C231" s="3">
        <v>80</v>
      </c>
      <c r="D231" s="117" t="s">
        <v>536</v>
      </c>
      <c r="E231" s="121" t="s">
        <v>168</v>
      </c>
      <c r="F231" s="3" t="s">
        <v>5</v>
      </c>
      <c r="G231" s="4"/>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80</v>
      </c>
      <c r="U231" s="4" t="str">
        <f>IF(LEN(Table2[[#This Row],[!Name]]) &gt; 0, Table2[[#This Row],[!Name]], "rg:None")</f>
        <v>address1</v>
      </c>
      <c r="V231" s="4" t="str">
        <f>IF(LEN(Table2[[#This Row],[!Description]]) &gt; 0, Table2[[#This Row],[!Description]], "rg:None")</f>
        <v>Address 1 line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5">
      <c r="A232" s="117" t="s">
        <v>175</v>
      </c>
      <c r="B232" s="3" t="s">
        <v>7</v>
      </c>
      <c r="C232" s="3">
        <v>80</v>
      </c>
      <c r="D232" s="117" t="s">
        <v>537</v>
      </c>
      <c r="E232" s="118" t="s">
        <v>169</v>
      </c>
      <c r="F232" s="3" t="s">
        <v>5</v>
      </c>
      <c r="G232" s="4"/>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80</v>
      </c>
      <c r="U232" s="4" t="str">
        <f>IF(LEN(Table2[[#This Row],[!Name]]) &gt; 0, Table2[[#This Row],[!Name]], "rg:None")</f>
        <v>address2</v>
      </c>
      <c r="V232" s="4" t="str">
        <f>IF(LEN(Table2[[#This Row],[!Description]]) &gt; 0, Table2[[#This Row],[!Description]], "rg:None")</f>
        <v>Address 2 line of the 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5">
      <c r="A233" s="117" t="s">
        <v>175</v>
      </c>
      <c r="B233" s="3" t="s">
        <v>7</v>
      </c>
      <c r="C233" s="3">
        <v>100</v>
      </c>
      <c r="D233" s="117" t="s">
        <v>21</v>
      </c>
      <c r="E233" s="118" t="s">
        <v>170</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city</v>
      </c>
      <c r="V233" s="4" t="str">
        <f>IF(LEN(Table2[[#This Row],[!Description]]) &gt; 0, Table2[[#This Row],[!Description]], "rg:None")</f>
        <v>The City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5">
      <c r="A234" s="117" t="s">
        <v>175</v>
      </c>
      <c r="B234" s="3" t="s">
        <v>7</v>
      </c>
      <c r="C234" s="3">
        <v>50</v>
      </c>
      <c r="D234" s="117" t="s">
        <v>171</v>
      </c>
      <c r="E234" s="118" t="s">
        <v>172</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50</v>
      </c>
      <c r="U234" s="4" t="str">
        <f>IF(LEN(Table2[[#This Row],[!Name]]) &gt; 0, Table2[[#This Row],[!Name]], "rg:None")</f>
        <v>province</v>
      </c>
      <c r="V234" s="4" t="str">
        <f>IF(LEN(Table2[[#This Row],[!Description]]) &gt; 0, Table2[[#This Row],[!Description]], "rg:None")</f>
        <v>The Province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5">
      <c r="A235" s="117" t="s">
        <v>175</v>
      </c>
      <c r="B235" s="3" t="s">
        <v>7</v>
      </c>
      <c r="C235" s="3">
        <v>15</v>
      </c>
      <c r="D235" s="117" t="s">
        <v>173</v>
      </c>
      <c r="E235" s="118" t="s">
        <v>174</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15</v>
      </c>
      <c r="U235" s="4" t="str">
        <f>IF(LEN(Table2[[#This Row],[!Name]]) &gt; 0, Table2[[#This Row],[!Name]], "rg:None")</f>
        <v>postalCode</v>
      </c>
      <c r="V235" s="4" t="str">
        <f>IF(LEN(Table2[[#This Row],[!Description]]) &gt; 0, Table2[[#This Row],[!Description]], "rg:None")</f>
        <v>The postal code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ht="29" x14ac:dyDescent="0.35">
      <c r="A236" s="81" t="s">
        <v>149</v>
      </c>
      <c r="B236" s="5" t="s">
        <v>4</v>
      </c>
      <c r="D236" s="5" t="s">
        <v>149</v>
      </c>
      <c r="E236" s="76" t="s">
        <v>376</v>
      </c>
      <c r="F236" s="5" t="s">
        <v>5</v>
      </c>
      <c r="G236" s="4"/>
      <c r="H236" s="4"/>
      <c r="I236" s="5" t="str">
        <f t="shared" ref="I236:I248" si="23">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Note</v>
      </c>
      <c r="V236" s="4" t="str">
        <f>IF(LEN(Table2[[#This Row],[!Description]]) &gt; 0, Table2[[#This Row],[!Description]], "rg:None")</f>
        <v>Text entered about an entity in the application - e.g. piece of Equipment, an Owner, a Project and so on.</v>
      </c>
      <c r="W236" s="4" t="str">
        <f>IF(LEN(Table2[[#This Row],[!FK]])&gt;0,Table2[[#This Row],[!FK]],"rg:None")</f>
        <v>rg:None</v>
      </c>
      <c r="X236" s="14" t="str">
        <f>IF(LEN(concatif2(A:A,Table2[[#This Row],[!Table]],G:G,"Y",D:D,",")) &gt; 0,"rg:[ { 'req' : '"&amp;concatif2(A:A,Table2[[#This Row],[!Table]],G:G,"Y",D:D,"' }, { 'req': '")&amp;"'} ]","rg:[]")</f>
        <v>rg:[ { 'req' : 'id' }, { 'req': 'text'} ]</v>
      </c>
      <c r="Y236" s="4" t="str">
        <f>IF(LEN(Table2[[#This Row],[!Unique]])&gt;0,"rg:True","rg:None")</f>
        <v>rg:None</v>
      </c>
    </row>
    <row r="237" spans="1:25" x14ac:dyDescent="0.35">
      <c r="A237" s="81" t="s">
        <v>149</v>
      </c>
      <c r="B237" s="5" t="s">
        <v>6</v>
      </c>
      <c r="D237" s="5" t="s">
        <v>6</v>
      </c>
      <c r="E237" s="54" t="s">
        <v>321</v>
      </c>
      <c r="F237" s="5" t="s">
        <v>5</v>
      </c>
      <c r="G237" s="4" t="s">
        <v>62</v>
      </c>
      <c r="H237" s="41"/>
      <c r="I237" s="5" t="str">
        <f t="shared" si="23"/>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Note</v>
      </c>
      <c r="W237" s="4" t="str">
        <f>IF(LEN(Table2[[#This Row],[!FK]])&gt;0,Table2[[#This Row],[!FK]],"rg:None")</f>
        <v>rg:None</v>
      </c>
      <c r="X237" s="14" t="str">
        <f>IF(LEN(concatif2(A:A,Table2[[#This Row],[!Table]],G:G,"Y",D:D,",")) &gt; 0,"rg:[ { 'req' : '"&amp;concatif2(A:A,Table2[[#This Row],[!Table]],G:G,"Y",D:D,"' }, { 'req': '")&amp;"'} ]","rg:[]")</f>
        <v>rg:[ { 'req' : 'id' }, { 'req': 'text'} ]</v>
      </c>
      <c r="Y237" s="4" t="str">
        <f>IF(LEN(Table2[[#This Row],[!Unique]])&gt;0,"rg:True","rg:None")</f>
        <v>rg:None</v>
      </c>
    </row>
    <row r="238" spans="1:25" ht="29" x14ac:dyDescent="0.35">
      <c r="A238" s="81" t="s">
        <v>149</v>
      </c>
      <c r="B238" s="5" t="s">
        <v>7</v>
      </c>
      <c r="C238" s="5">
        <v>2048</v>
      </c>
      <c r="D238" s="102" t="s">
        <v>356</v>
      </c>
      <c r="E238" s="101" t="s">
        <v>320</v>
      </c>
      <c r="F238" s="5" t="s">
        <v>5</v>
      </c>
      <c r="G238" s="41" t="s">
        <v>62</v>
      </c>
      <c r="H238" s="4"/>
      <c r="I238" s="5" t="str">
        <f t="shared" si="23"/>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2048</v>
      </c>
      <c r="U238" s="4" t="str">
        <f>IF(LEN(Table2[[#This Row],[!Name]]) &gt; 0, Table2[[#This Row],[!Name]], "rg:None")</f>
        <v>text</v>
      </c>
      <c r="V238" s="4" t="str">
        <f>IF(LEN(Table2[[#This Row],[!Description]]) &gt; 0, Table2[[#This Row],[!Description]], "rg:None")</f>
        <v>Notes entered by users about instance of entities - e.g. School Buses and School Bus Owners</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ht="29" x14ac:dyDescent="0.35">
      <c r="A239" s="81" t="s">
        <v>149</v>
      </c>
      <c r="B239" s="5" t="s">
        <v>9</v>
      </c>
      <c r="D239" s="5" t="s">
        <v>159</v>
      </c>
      <c r="E239" s="104" t="s">
        <v>322</v>
      </c>
      <c r="F239" s="5" t="s">
        <v>5</v>
      </c>
      <c r="G239" s="4"/>
      <c r="H239" s="4"/>
      <c r="I239" s="5" t="str">
        <f t="shared" si="23"/>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isNoLongerRelevant</v>
      </c>
      <c r="V239" s="4" t="str">
        <f>IF(LEN(Table2[[#This Row],[!Description]]) &gt; 0, Table2[[#This Row],[!Description]], "rg:None")</f>
        <v>A user set flag that the note is no longer relevant. Allows the note to be retained for historical reasons,  but identified to other users as no longer applicable.</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ht="29" x14ac:dyDescent="0.35">
      <c r="A240" s="81" t="s">
        <v>161</v>
      </c>
      <c r="B240" s="5" t="s">
        <v>4</v>
      </c>
      <c r="D240" s="81" t="s">
        <v>161</v>
      </c>
      <c r="E240" s="76" t="s">
        <v>377</v>
      </c>
      <c r="F240" s="5" t="s">
        <v>5</v>
      </c>
      <c r="G240" s="4"/>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Attachment</v>
      </c>
      <c r="V240" s="4" t="str">
        <f>IF(LEN(Table2[[#This Row],[!Description]]) &gt; 0, Table2[[#This Row],[!Description]], "rg:None")</f>
        <v>Uploaded documents related to entity in the application - e.g. piece of Equipment, an Owner, a Project and so on.</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5">
      <c r="A241" s="81" t="s">
        <v>161</v>
      </c>
      <c r="B241" s="5" t="s">
        <v>6</v>
      </c>
      <c r="D241" s="5" t="s">
        <v>6</v>
      </c>
      <c r="E241" s="54" t="s">
        <v>323</v>
      </c>
      <c r="F241" s="5" t="s">
        <v>5</v>
      </c>
      <c r="G241" s="4" t="s">
        <v>62</v>
      </c>
      <c r="H241" s="41" t="s">
        <v>62</v>
      </c>
      <c r="I241" s="5" t="str">
        <f t="shared" si="23"/>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an Attachment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rg:True</v>
      </c>
    </row>
    <row r="242" spans="1:25" x14ac:dyDescent="0.35">
      <c r="A242" s="81" t="s">
        <v>161</v>
      </c>
      <c r="B242" s="5" t="s">
        <v>7</v>
      </c>
      <c r="C242" s="5">
        <v>2048</v>
      </c>
      <c r="D242" s="5" t="s">
        <v>538</v>
      </c>
      <c r="E242" s="54" t="s">
        <v>539</v>
      </c>
      <c r="F242" s="5" t="s">
        <v>5</v>
      </c>
      <c r="G242" s="41"/>
      <c r="H242" s="41"/>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2048</v>
      </c>
      <c r="U242" s="4" t="str">
        <f>IF(LEN(Table2[[#This Row],[!Name]]) &gt; 0, Table2[[#This Row],[!Name]], "rg:None")</f>
        <v>fileName</v>
      </c>
      <c r="V242" s="4" t="str">
        <f>IF(LEN(Table2[[#This Row],[!Description]]) &gt; 0, Table2[[#This Row],[!Description]], "rg:None")</f>
        <v>Filename as passed by the user uploading the file</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5">
      <c r="A243" s="81" t="s">
        <v>161</v>
      </c>
      <c r="B243" s="5" t="s">
        <v>162</v>
      </c>
      <c r="D243" s="5" t="s">
        <v>540</v>
      </c>
      <c r="E243" s="105" t="s">
        <v>541</v>
      </c>
      <c r="F243" s="5" t="s">
        <v>5</v>
      </c>
      <c r="G243" s="41"/>
      <c r="H243" s="41"/>
      <c r="I243" s="5" t="str">
        <f t="shared" si="23"/>
        <v>Defs</v>
      </c>
      <c r="J243" s="4" t="str">
        <f>IF(Table2[[#This Row],[!Type]]=J$1, J$1,"rg:None")</f>
        <v>rg:None</v>
      </c>
      <c r="K243" s="4" t="str">
        <f>IF(Table2[[#This Row],[!Type]]=K$1, K$1,"rg:None")</f>
        <v>binary</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fileContents</v>
      </c>
      <c r="V243" s="4" t="str">
        <f>IF(LEN(Table2[[#This Row],[!Description]]) &gt; 0, Table2[[#This Row],[!Description]], "rg:None")</f>
        <v>Binary contents of the file</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5">
      <c r="A244" s="81" t="s">
        <v>161</v>
      </c>
      <c r="B244" s="5" t="s">
        <v>7</v>
      </c>
      <c r="C244" s="5">
        <v>2048</v>
      </c>
      <c r="D244" s="5" t="s">
        <v>14</v>
      </c>
      <c r="E244" s="105" t="s">
        <v>160</v>
      </c>
      <c r="F244" s="5" t="s">
        <v>5</v>
      </c>
      <c r="G244" s="4"/>
      <c r="H244" s="4"/>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description</v>
      </c>
      <c r="V244" s="4" t="str">
        <f>IF(LEN(Table2[[#This Row],[!Description]]) &gt; 0, Table2[[#This Row],[!Description]], "rg:None")</f>
        <v>A note about the attachment,  optionally maintained by the user.</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5">
      <c r="A245" s="72" t="s">
        <v>161</v>
      </c>
      <c r="B245" s="72" t="s">
        <v>7</v>
      </c>
      <c r="C245" s="72">
        <v>255</v>
      </c>
      <c r="D245" s="72" t="s">
        <v>20</v>
      </c>
      <c r="E245" s="47" t="s">
        <v>542</v>
      </c>
      <c r="F245" s="12"/>
      <c r="G245" s="18"/>
      <c r="H245" s="18"/>
      <c r="I245" s="4" t="str">
        <f>IF(LEN(A245) &gt; 0,"Defs","-")</f>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255</v>
      </c>
      <c r="U245" s="4" t="str">
        <f>IF(LEN(Table2[[#This Row],[!Name]]) &gt; 0, Table2[[#This Row],[!Name]], "rg:None")</f>
        <v>type</v>
      </c>
      <c r="V245" s="4" t="str">
        <f>IF(LEN(Table2[[#This Row],[!Description]]) &gt; 0, Table2[[#This Row],[!Description]], "rg:None")</f>
        <v>Type of attachment</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ht="29" x14ac:dyDescent="0.35">
      <c r="A246" s="81" t="s">
        <v>163</v>
      </c>
      <c r="B246" s="5" t="s">
        <v>4</v>
      </c>
      <c r="D246" s="81" t="s">
        <v>163</v>
      </c>
      <c r="E246" s="76" t="s">
        <v>378</v>
      </c>
      <c r="F246" s="5" t="s">
        <v>5</v>
      </c>
      <c r="G246" s="4"/>
      <c r="H246" s="4"/>
      <c r="I246" s="5" t="str">
        <f t="shared" si="23"/>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History</v>
      </c>
      <c r="V246" s="4" t="str">
        <f>IF(LEN(Table2[[#This Row],[!Description]]) &gt; 0, Table2[[#This Row],[!Description]], "rg:None")</f>
        <v>A log entry created by the system based on a triggering event and related to an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'historyText'} ]</v>
      </c>
      <c r="Y246" s="4" t="str">
        <f>IF(LEN(Table2[[#This Row],[!Unique]])&gt;0,"rg:True","rg:None")</f>
        <v>rg:None</v>
      </c>
    </row>
    <row r="247" spans="1:25" x14ac:dyDescent="0.35">
      <c r="A247" s="81" t="s">
        <v>163</v>
      </c>
      <c r="B247" s="5" t="s">
        <v>6</v>
      </c>
      <c r="D247" s="5" t="s">
        <v>6</v>
      </c>
      <c r="E247" s="54" t="s">
        <v>324</v>
      </c>
      <c r="F247" s="5" t="s">
        <v>5</v>
      </c>
      <c r="G247" s="4" t="s">
        <v>62</v>
      </c>
      <c r="H247" s="41"/>
      <c r="I247" s="5" t="str">
        <f t="shared" si="23"/>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 History</v>
      </c>
      <c r="W247" s="4" t="str">
        <f>IF(LEN(Table2[[#This Row],[!FK]])&gt;0,Table2[[#This Row],[!FK]],"rg:None")</f>
        <v>rg:None</v>
      </c>
      <c r="X247" s="14" t="str">
        <f>IF(LEN(concatif2(A:A,Table2[[#This Row],[!Table]],G:G,"Y",D:D,",")) &gt; 0,"rg:[ { 'req' : '"&amp;concatif2(A:A,Table2[[#This Row],[!Table]],G:G,"Y",D:D,"' }, { 'req': '")&amp;"'} ]","rg:[]")</f>
        <v>rg:[ { 'req' : 'id' }, { 'req': 'historyText'} ]</v>
      </c>
      <c r="Y247" s="4" t="str">
        <f>IF(LEN(Table2[[#This Row],[!Unique]])&gt;0,"rg:True","rg:None")</f>
        <v>rg:None</v>
      </c>
    </row>
    <row r="248" spans="1:25" x14ac:dyDescent="0.35">
      <c r="A248" s="81" t="s">
        <v>163</v>
      </c>
      <c r="B248" s="81" t="s">
        <v>7</v>
      </c>
      <c r="C248" s="5">
        <v>2048</v>
      </c>
      <c r="D248" s="106" t="s">
        <v>214</v>
      </c>
      <c r="E248" s="107" t="s">
        <v>215</v>
      </c>
      <c r="G248" s="41" t="s">
        <v>62</v>
      </c>
      <c r="H248" s="41"/>
      <c r="I248" s="5" t="str">
        <f t="shared" si="23"/>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historyText</v>
      </c>
      <c r="V248" s="4" t="str">
        <f>IF(LEN(Table2[[#This Row],[!Description]]) &gt; 0, Table2[[#This Row],[!Description]], "rg:None")</f>
        <v>The text of the history entry tracked against the related entity.</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5">
      <c r="A249" s="81" t="s">
        <v>163</v>
      </c>
      <c r="B249" s="19" t="s">
        <v>12</v>
      </c>
      <c r="C249" s="72"/>
      <c r="D249" s="31" t="s">
        <v>213</v>
      </c>
      <c r="E249" s="51" t="s">
        <v>164</v>
      </c>
      <c r="F249" s="12"/>
      <c r="G249" s="18"/>
      <c r="H249" s="18"/>
      <c r="I249" s="4" t="str">
        <f>IF(LEN(A249) &gt; 0,"Defs","-")</f>
        <v>Defs</v>
      </c>
      <c r="J249" s="14" t="str">
        <f>IF(Table2[[#This Row],[!Type]]=J$1, J$1,"rg:None")</f>
        <v>rg:None</v>
      </c>
      <c r="K249" s="14" t="str">
        <f>IF(Table2[[#This Row],[!Type]]=K$1, K$1,"rg:None")</f>
        <v>rg:None</v>
      </c>
      <c r="L249" s="14" t="str">
        <f>IF(Table2[[#This Row],[!Type]]=L$1, L$1,"rg:None")</f>
        <v>datetime</v>
      </c>
      <c r="M249" s="14" t="str">
        <f>IF(Table2[[#This Row],[!Type]]=M$1, M$1,"rg:None")</f>
        <v>rg:None</v>
      </c>
      <c r="N249" s="14" t="str">
        <f>IF(Table2[[#This Row],[!Type]]=N$1, N$1,"rg:None")</f>
        <v>rg:None</v>
      </c>
      <c r="O249" s="1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14" t="str">
        <f>IF(LEN(Table2[[#This Row],[!Length]]) &gt; 0, Table2[[#This Row],[!Length]], "rg:None")</f>
        <v>rg:None</v>
      </c>
      <c r="U249" s="14" t="str">
        <f>IF(LEN(Table2[[#This Row],[!Name]]) &gt; 0, Table2[[#This Row],[!Name]], "rg:None")</f>
        <v>createdDate</v>
      </c>
      <c r="V249" s="14" t="str">
        <f>IF(LEN(Table2[[#This Row],[!Description]]) &gt; 0, Table2[[#This Row],[!Description]], "rg:None")</f>
        <v>Date the record is created.</v>
      </c>
      <c r="W249" s="14" t="str">
        <f>IF(LEN(Table2[[#This Row],[!FK]])&gt;0,Table2[[#This Row],[!FK]],"rg:None")</f>
        <v>rg:None</v>
      </c>
      <c r="X249" s="14" t="str">
        <f>IF(LEN(concatif2(A:A,Table2[[#This Row],[!Table]],G:G,"Y",D:D,",")) &gt; 0,"rg:[ { 'req' : '"&amp;concatif2(A:A,Table2[[#This Row],[!Table]],G:G,"Y",D:D,"' }, { 'req': '")&amp;"'} ]","rg:[]")</f>
        <v>rg:[ { 'req' : 'id' }, { 'req': 'historyText'} ]</v>
      </c>
      <c r="Y249" s="14" t="str">
        <f>IF(LEN(Table2[[#This Row],[!Unique]])&gt;0,"rg:True","rg:None")</f>
        <v>rg:None</v>
      </c>
    </row>
    <row r="250" spans="1:25" ht="29" x14ac:dyDescent="0.35">
      <c r="A250" s="5" t="s">
        <v>22</v>
      </c>
      <c r="B250" s="5" t="s">
        <v>4</v>
      </c>
      <c r="D250" s="5" t="s">
        <v>22</v>
      </c>
      <c r="E250" s="54" t="s">
        <v>63</v>
      </c>
      <c r="F250" s="5" t="s">
        <v>5</v>
      </c>
      <c r="G250" s="4"/>
      <c r="H250" s="4"/>
      <c r="I250" s="5" t="str">
        <f t="shared" ref="I250:I292" si="24">IF(LEN(A250) &gt; 0,"Defs","-")</f>
        <v>Defs</v>
      </c>
      <c r="J250" s="8" t="str">
        <f>IF(Table2[[#This Row],[!Type]]=J$1, J$1,"rg:None")</f>
        <v>rg:None</v>
      </c>
      <c r="K250" s="8" t="str">
        <f>IF(Table2[[#This Row],[!Type]]=K$1, K$1,"rg:None")</f>
        <v>rg:None</v>
      </c>
      <c r="L250" s="8" t="str">
        <f>IF(Table2[[#This Row],[!Type]]=L$1, L$1,"rg:None")</f>
        <v>rg:None</v>
      </c>
      <c r="M250" s="8"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table</v>
      </c>
      <c r="T250" s="8" t="str">
        <f>IF(LEN(Table2[[#This Row],[!Length]]) &gt; 0, Table2[[#This Row],[!Length]], "rg:None")</f>
        <v>rg:None</v>
      </c>
      <c r="U250" s="8" t="str">
        <f>IF(LEN(Table2[[#This Row],[!Name]]) &gt; 0, Table2[[#This Row],[!Name]], "rg:None")</f>
        <v>UserFavourite</v>
      </c>
      <c r="V250" s="8" t="str">
        <f>IF(LEN(Table2[[#This Row],[!Description]]) &gt; 0, Table2[[#This Row],[!Description]], "rg:None")</f>
        <v>User specific settings for a specific location in the UI. The location and saved settings are internally defined by the UI.</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x14ac:dyDescent="0.35">
      <c r="A251" s="5" t="s">
        <v>22</v>
      </c>
      <c r="B251" s="5" t="s">
        <v>6</v>
      </c>
      <c r="D251" s="5" t="s">
        <v>6</v>
      </c>
      <c r="E251" s="54" t="s">
        <v>325</v>
      </c>
      <c r="F251" s="5" t="s">
        <v>5</v>
      </c>
      <c r="G251" s="4" t="s">
        <v>62</v>
      </c>
      <c r="H251" s="41"/>
      <c r="I251" s="5" t="str">
        <f t="shared" si="24"/>
        <v>Defs</v>
      </c>
      <c r="J251" s="8" t="str">
        <f>IF(Table2[[#This Row],[!Type]]=J$1, J$1,"rg:None")</f>
        <v>rg:None</v>
      </c>
      <c r="K251" s="8" t="str">
        <f>IF(Table2[[#This Row],[!Type]]=K$1, K$1,"rg:None")</f>
        <v>rg:None</v>
      </c>
      <c r="L251" s="8" t="str">
        <f>IF(Table2[[#This Row],[!Type]]=L$1, L$1,"rg:None")</f>
        <v>rg:None</v>
      </c>
      <c r="M251" s="8" t="str">
        <f>IF(Table2[[#This Row],[!Type]]=M$1, M$1,"rg:None")</f>
        <v>id</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8" t="str">
        <f>IF(LEN(Table2[[#This Row],[!Length]]) &gt; 0, Table2[[#This Row],[!Length]], "rg:None")</f>
        <v>rg:None</v>
      </c>
      <c r="U251" s="8" t="str">
        <f>IF(LEN(Table2[[#This Row],[!Name]]) &gt; 0, Table2[[#This Row],[!Name]], "rg:None")</f>
        <v>id</v>
      </c>
      <c r="V251" s="8" t="str">
        <f>IF(LEN(Table2[[#This Row],[!Description]]) &gt; 0, Table2[[#This Row],[!Description]], "rg:None")</f>
        <v>A system-generated unique identifier for a UserFavourite</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ht="29" x14ac:dyDescent="0.35">
      <c r="A252" s="5" t="s">
        <v>22</v>
      </c>
      <c r="B252" s="5" t="s">
        <v>7</v>
      </c>
      <c r="C252" s="5">
        <v>150</v>
      </c>
      <c r="D252" s="5" t="s">
        <v>15</v>
      </c>
      <c r="E252" s="54" t="s">
        <v>23</v>
      </c>
      <c r="F252" s="5" t="s">
        <v>5</v>
      </c>
      <c r="G252" s="4"/>
      <c r="H252" s="4"/>
      <c r="I252" s="5" t="str">
        <f t="shared" si="24"/>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string</v>
      </c>
      <c r="S252" s="5" t="str">
        <f>IF(Table2[[#This Row],[!Type]]=S$1, S$1,"rg:None")</f>
        <v>rg:None</v>
      </c>
      <c r="T252" s="8">
        <f>IF(LEN(Table2[[#This Row],[!Length]]) &gt; 0, Table2[[#This Row],[!Length]], "rg:None")</f>
        <v>150</v>
      </c>
      <c r="U252" s="8" t="str">
        <f>IF(LEN(Table2[[#This Row],[!Name]]) &gt; 0, Table2[[#This Row],[!Name]], "rg:None")</f>
        <v>name</v>
      </c>
      <c r="V252" s="8" t="str">
        <f>IF(LEN(Table2[[#This Row],[!Description]]) &gt; 0, Table2[[#This Row],[!Description]], "rg:None")</f>
        <v>The user-defined name for the recorded settings. Allows the user to save different groups of settings and access each one easily when needed.</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ht="29" x14ac:dyDescent="0.35">
      <c r="A253" s="5" t="s">
        <v>22</v>
      </c>
      <c r="B253" s="5" t="s">
        <v>7</v>
      </c>
      <c r="C253" s="5">
        <v>2048</v>
      </c>
      <c r="D253" s="5" t="s">
        <v>24</v>
      </c>
      <c r="E253" s="54" t="s">
        <v>25</v>
      </c>
      <c r="F253" s="5" t="s">
        <v>5</v>
      </c>
      <c r="G253" s="4"/>
      <c r="H253" s="4"/>
      <c r="I253" s="5" t="str">
        <f t="shared" si="24"/>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string</v>
      </c>
      <c r="S253" s="5" t="str">
        <f>IF(Table2[[#This Row],[!Type]]=S$1, S$1,"rg:None")</f>
        <v>rg:None</v>
      </c>
      <c r="T253" s="8">
        <f>IF(LEN(Table2[[#This Row],[!Length]]) &gt; 0, Table2[[#This Row],[!Length]], "rg:None")</f>
        <v>2048</v>
      </c>
      <c r="U253" s="8" t="str">
        <f>IF(LEN(Table2[[#This Row],[!Name]]) &gt; 0, Table2[[#This Row],[!Name]], "rg:None")</f>
        <v>value</v>
      </c>
      <c r="V253" s="8" t="str">
        <f>IF(LEN(Table2[[#This Row],[!Description]]) &gt; 0, Table2[[#This Row],[!Description]], "rg:None")</f>
        <v>The settings saved by the user. In general,  a UI defined chunk of json that stores the settings in place when the user created the 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58" x14ac:dyDescent="0.35">
      <c r="A254" s="5" t="s">
        <v>22</v>
      </c>
      <c r="B254" s="5" t="s">
        <v>9</v>
      </c>
      <c r="D254" s="5" t="s">
        <v>26</v>
      </c>
      <c r="E254" s="54" t="s">
        <v>27</v>
      </c>
      <c r="F254" s="5" t="s">
        <v>5</v>
      </c>
      <c r="G254" s="4"/>
      <c r="H254" s="4"/>
      <c r="I254" s="5" t="str">
        <f t="shared" si="24"/>
        <v>Defs</v>
      </c>
      <c r="J254" s="8" t="str">
        <f>IF(Table2[[#This Row],[!Type]]=J$1, J$1,"rg:None")</f>
        <v>boolean</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isDefault</v>
      </c>
      <c r="V254"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x14ac:dyDescent="0.35">
      <c r="A255" s="5" t="s">
        <v>22</v>
      </c>
      <c r="B255" s="108" t="s">
        <v>7</v>
      </c>
      <c r="C255" s="5">
        <v>150</v>
      </c>
      <c r="D255" s="108" t="s">
        <v>20</v>
      </c>
      <c r="E255" s="52" t="s">
        <v>219</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type</v>
      </c>
      <c r="V255" s="8" t="str">
        <f>IF(LEN(Table2[[#This Row],[!Description]]) &gt; 0, Table2[[#This Row],[!Description]], "rg:None")</f>
        <v>The type of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x14ac:dyDescent="0.35">
      <c r="A256" s="38" t="s">
        <v>22</v>
      </c>
      <c r="B256" s="38" t="s">
        <v>8</v>
      </c>
      <c r="C256" s="72"/>
      <c r="D256" s="38" t="s">
        <v>0</v>
      </c>
      <c r="E256" s="53" t="s">
        <v>220</v>
      </c>
      <c r="F256" s="39" t="s">
        <v>0</v>
      </c>
      <c r="G256" s="18"/>
      <c r="H256" s="18"/>
      <c r="I256" s="4" t="str">
        <f>IF(LEN(A256) &gt; 0,"Defs","-")</f>
        <v>Defs</v>
      </c>
      <c r="J256" s="14" t="str">
        <f>IF(Table2[[#This Row],[!Type]]=J$1, J$1,"rg:None")</f>
        <v>rg:None</v>
      </c>
      <c r="K256" s="14" t="str">
        <f>IF(Table2[[#This Row],[!Type]]=K$1, K$1,"rg:None")</f>
        <v>rg:None</v>
      </c>
      <c r="L256" s="14" t="str">
        <f>IF(Table2[[#This Row],[!Type]]=L$1, L$1,"rg:None")</f>
        <v>rg:None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ref</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User</v>
      </c>
      <c r="V256" s="14" t="str">
        <f>IF(LEN(Table2[[#This Row],[!Description]]) &gt; 0, Table2[[#This Row],[!Description]], "rg:None")</f>
        <v>The User who has this Favourite</v>
      </c>
      <c r="W256" s="14" t="str">
        <f>IF(LEN(Table2[[#This Row],[!FK]])&gt;0,Table2[[#This Row],[!FK]],"rg:None")</f>
        <v>User</v>
      </c>
      <c r="X256" s="14" t="str">
        <f>IF(LEN(concatif2(A:A,Table2[[#This Row],[!Table]],G:G,"Y",D:D,",")) &gt; 0,"rg:[ { 'req' : '"&amp;concatif2(A:A,Table2[[#This Row],[!Table]],G:G,"Y",D:D,"' }, { 'req': '")&amp;"'} ]","rg:[]")</f>
        <v>rg:[ { 'req' : 'id'} ]</v>
      </c>
      <c r="Y256" s="14" t="str">
        <f>IF(LEN(Table2[[#This Row],[!Unique]])&gt;0,"rg:True","rg:None")</f>
        <v>rg:None</v>
      </c>
    </row>
    <row r="257" spans="1:25" x14ac:dyDescent="0.35">
      <c r="A257" s="5" t="s">
        <v>28</v>
      </c>
      <c r="B257" s="5" t="s">
        <v>4</v>
      </c>
      <c r="D257" s="5" t="s">
        <v>28</v>
      </c>
      <c r="E257" s="76" t="s">
        <v>411</v>
      </c>
      <c r="F257" s="5" t="s">
        <v>5</v>
      </c>
      <c r="G257" s="4"/>
      <c r="H257" s="4"/>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Region</v>
      </c>
      <c r="V257" s="8" t="str">
        <f>IF(LEN(Table2[[#This Row],[!Description]]) &gt; 0, Table2[[#This Row],[!Description]], "rg:None")</f>
        <v>The Ministry of Transportion and Infrastructure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x14ac:dyDescent="0.35">
      <c r="A258" s="5" t="s">
        <v>28</v>
      </c>
      <c r="B258" s="5" t="s">
        <v>6</v>
      </c>
      <c r="D258" s="5" t="s">
        <v>6</v>
      </c>
      <c r="E258" s="54" t="s">
        <v>326</v>
      </c>
      <c r="F258" s="5" t="s">
        <v>5</v>
      </c>
      <c r="G258" s="4" t="s">
        <v>62</v>
      </c>
      <c r="H258" s="41"/>
      <c r="I258" s="5" t="str">
        <f t="shared" si="24"/>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Region</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rg:None</v>
      </c>
    </row>
    <row r="259" spans="1:25" x14ac:dyDescent="0.35">
      <c r="A259" s="5" t="s">
        <v>28</v>
      </c>
      <c r="B259" s="5" t="s">
        <v>13</v>
      </c>
      <c r="D259" s="5" t="s">
        <v>29</v>
      </c>
      <c r="E259" s="76" t="s">
        <v>416</v>
      </c>
      <c r="F259" s="5" t="s">
        <v>5</v>
      </c>
      <c r="G259" s="41" t="s">
        <v>62</v>
      </c>
      <c r="H259" s="41" t="s">
        <v>62</v>
      </c>
      <c r="I259" s="5" t="str">
        <f t="shared" si="24"/>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integer</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ministryRegionID</v>
      </c>
      <c r="V259" s="8" t="str">
        <f>IF(LEN(Table2[[#This Row],[!Description]]) &gt; 0, Table2[[#This Row],[!Description]], "rg:None")</f>
        <v>A system generated unique identifier. NOT GENERATED IN THIS SYSTEM.</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rg:True</v>
      </c>
    </row>
    <row r="260" spans="1:25" x14ac:dyDescent="0.35">
      <c r="A260" s="61" t="s">
        <v>28</v>
      </c>
      <c r="B260" s="61" t="s">
        <v>13</v>
      </c>
      <c r="C260" s="72"/>
      <c r="D260" s="61" t="s">
        <v>412</v>
      </c>
      <c r="E260" s="60" t="s">
        <v>413</v>
      </c>
      <c r="F260" s="12"/>
      <c r="G260" s="18"/>
      <c r="H260" s="18"/>
      <c r="I260" s="4" t="str">
        <f>IF(LEN(A260) &gt; 0,"Defs","-")</f>
        <v>Defs</v>
      </c>
      <c r="J260" s="14" t="str">
        <f>IF(Table2[[#This Row],[!Type]]=J$1, J$1,"rg:None")</f>
        <v>rg:None</v>
      </c>
      <c r="K260" s="14" t="str">
        <f>IF(Table2[[#This Row],[!Type]]=K$1, K$1,"rg:None")</f>
        <v>rg:None</v>
      </c>
      <c r="L260" s="14" t="str">
        <f>IF(Table2[[#This Row],[!Type]]=L$1, L$1,"rg:None")</f>
        <v>rg:None</v>
      </c>
      <c r="M260" s="14" t="str">
        <f>IF(Table2[[#This Row],[!Type]]=M$1, M$1,"rg:None")</f>
        <v>rg:None</v>
      </c>
      <c r="N260" s="14" t="str">
        <f>IF(Table2[[#This Row],[!Type]]=N$1, N$1,"rg:None")</f>
        <v>integer</v>
      </c>
      <c r="O260" s="1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4" t="str">
        <f>IF(LEN(Table2[[#This Row],[!Length]]) &gt; 0, Table2[[#This Row],[!Length]], "rg:None")</f>
        <v>rg:None</v>
      </c>
      <c r="U260" s="14" t="str">
        <f>IF(LEN(Table2[[#This Row],[!Name]]) &gt; 0, Table2[[#This Row],[!Name]], "rg:None")</f>
        <v>regionNumber</v>
      </c>
      <c r="V260" s="14" t="str">
        <f>IF(LEN(Table2[[#This Row],[!Description]]) &gt; 0, Table2[[#This Row],[!Description]], "rg:None")</f>
        <v>A code that uniquely defines a Region.</v>
      </c>
      <c r="W260" s="14" t="str">
        <f>IF(LEN(Table2[[#This Row],[!FK]])&gt;0,Table2[[#This Row],[!FK]],"rg:None")</f>
        <v>rg:None</v>
      </c>
      <c r="X260" s="14" t="str">
        <f>IF(LEN(concatif2(A:A,Table2[[#This Row],[!Table]],G:G,"Y",D:D,",")) &gt; 0,"rg:[ { 'req' : '"&amp;concatif2(A:A,Table2[[#This Row],[!Table]],G:G,"Y",D:D,"' }, { 'req': '")&amp;"'} ]","rg:[]")</f>
        <v>rg:[ { 'req' : 'id' }, { 'req': 'ministryRegionID' }, { 'req': 'name' }, { 'req': 'startDate'} ]</v>
      </c>
      <c r="Y260" s="14" t="str">
        <f>IF(LEN(Table2[[#This Row],[!Unique]])&gt;0,"rg:True","rg:None")</f>
        <v>rg:None</v>
      </c>
    </row>
    <row r="261" spans="1:25" x14ac:dyDescent="0.35">
      <c r="A261" s="5" t="s">
        <v>28</v>
      </c>
      <c r="B261" s="5" t="s">
        <v>7</v>
      </c>
      <c r="C261" s="5">
        <v>150</v>
      </c>
      <c r="D261" s="5" t="s">
        <v>15</v>
      </c>
      <c r="E261" s="76" t="s">
        <v>414</v>
      </c>
      <c r="F261" s="5" t="s">
        <v>5</v>
      </c>
      <c r="G261" s="41"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name</v>
      </c>
      <c r="V261" s="8" t="str">
        <f>IF(LEN(Table2[[#This Row],[!Description]]) &gt; 0, Table2[[#This Row],[!Description]], "rg:None")</f>
        <v>The name of a Minsitry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t="29" x14ac:dyDescent="0.35">
      <c r="A262" s="5" t="s">
        <v>28</v>
      </c>
      <c r="B262" s="5" t="s">
        <v>12</v>
      </c>
      <c r="D262" s="5" t="s">
        <v>30</v>
      </c>
      <c r="E262" s="76" t="s">
        <v>420</v>
      </c>
      <c r="F262" s="5" t="s">
        <v>5</v>
      </c>
      <c r="G262" s="63" t="s">
        <v>62</v>
      </c>
      <c r="H262" s="4"/>
      <c r="I262" s="5" t="str">
        <f t="shared" si="24"/>
        <v>Defs</v>
      </c>
      <c r="J262" s="8" t="str">
        <f>IF(Table2[[#This Row],[!Type]]=J$1, J$1,"rg:None")</f>
        <v>rg:None</v>
      </c>
      <c r="K262" s="8" t="str">
        <f>IF(Table2[[#This Row],[!Type]]=K$1, K$1,"rg:None")</f>
        <v>rg:None</v>
      </c>
      <c r="L262" s="8" t="str">
        <f>IF(Table2[[#This Row],[!Type]]=L$1, L$1,"rg:None")</f>
        <v>datetime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startDate</v>
      </c>
      <c r="V262" s="8" t="str">
        <f>IF(LEN(Table2[[#This Row],[!Description]]) &gt; 0, Table2[[#This Row],[!Description]], "rg:None")</f>
        <v>The DATE the business information came into effect. - NOT CURRENTLY ENFORCED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rg:None</v>
      </c>
    </row>
    <row r="263" spans="1:25" ht="29" x14ac:dyDescent="0.35">
      <c r="A263" s="5" t="s">
        <v>28</v>
      </c>
      <c r="B263" s="5" t="s">
        <v>12</v>
      </c>
      <c r="D263" s="5" t="s">
        <v>31</v>
      </c>
      <c r="E263" s="76" t="s">
        <v>421</v>
      </c>
      <c r="F263" s="5" t="s">
        <v>5</v>
      </c>
      <c r="G263" s="4"/>
      <c r="H263" s="4"/>
      <c r="I263" s="5" t="str">
        <f t="shared" si="24"/>
        <v>Defs</v>
      </c>
      <c r="J263" s="8" t="str">
        <f>IF(Table2[[#This Row],[!Type]]=J$1, J$1,"rg:None")</f>
        <v>rg:None</v>
      </c>
      <c r="K263" s="8" t="str">
        <f>IF(Table2[[#This Row],[!Type]]=K$1, K$1,"rg:None")</f>
        <v>rg:None</v>
      </c>
      <c r="L263" s="8" t="str">
        <f>IF(Table2[[#This Row],[!Type]]=L$1, L$1,"rg:None")</f>
        <v>datetime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rg:None</v>
      </c>
      <c r="T263" s="8" t="str">
        <f>IF(LEN(Table2[[#This Row],[!Length]]) &gt; 0, Table2[[#This Row],[!Length]], "rg:None")</f>
        <v>rg:None</v>
      </c>
      <c r="U263" s="8" t="str">
        <f>IF(LEN(Table2[[#This Row],[!Name]]) &gt; 0, Table2[[#This Row],[!Name]], "rg:None")</f>
        <v>endDate</v>
      </c>
      <c r="V263" s="8" t="str">
        <f>IF(LEN(Table2[[#This Row],[!Description]]) &gt; 0, Table2[[#This Row],[!Description]], "rg:None")</f>
        <v>The DATE the business information ceased to be in effect. - NOT CURRENTLY ENFORCED IN THIS SYSTEM</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x14ac:dyDescent="0.35">
      <c r="A264" s="5" t="s">
        <v>32</v>
      </c>
      <c r="B264" s="5" t="s">
        <v>4</v>
      </c>
      <c r="D264" s="5" t="s">
        <v>32</v>
      </c>
      <c r="E264" s="76" t="s">
        <v>415</v>
      </c>
      <c r="F264" s="5" t="s">
        <v>5</v>
      </c>
      <c r="G264" s="4"/>
      <c r="H264" s="4"/>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District</v>
      </c>
      <c r="V264" s="8" t="str">
        <f>IF(LEN(Table2[[#This Row],[!Description]]) &gt; 0, Table2[[#This Row],[!Description]], "rg:None")</f>
        <v>The Ministry of Transportion and Infrastructure DISTRICT</v>
      </c>
      <c r="W264" s="8" t="str">
        <f>IF(LEN(Table2[[#This Row],[!FK]])&gt;0,Table2[[#This Row],[!FK]],"rg:None")</f>
        <v>rg:None</v>
      </c>
      <c r="X264" s="8" t="str">
        <f>IF(LEN(concatif2(A:A,Table2[[#This Row],[!Table]],G:G,"Y",D:D,",")) &gt; 0,"rg:[ { 'req' : '"&amp;concatif2(A:A,Table2[[#This Row],[!Table]],G:G,"Y",D:D,"' }, { 'req': '")&amp;"'} ]","rg:[]")</f>
        <v>rg:[ { 'req' : 'id' }, { 'req': 'ministryDistrictID' }, { 'req': 'name' }, { 'req': 'region' }, { 'req': 'startDate'} ]</v>
      </c>
      <c r="Y264" s="8" t="str">
        <f>IF(LEN(Table2[[#This Row],[!Unique]])&gt;0,"rg:True","rg:None")</f>
        <v>rg:None</v>
      </c>
    </row>
    <row r="265" spans="1:25" x14ac:dyDescent="0.35">
      <c r="A265" s="5" t="s">
        <v>32</v>
      </c>
      <c r="B265" s="5" t="s">
        <v>6</v>
      </c>
      <c r="D265" s="5" t="s">
        <v>6</v>
      </c>
      <c r="E265" s="54" t="s">
        <v>327</v>
      </c>
      <c r="F265" s="5" t="s">
        <v>5</v>
      </c>
      <c r="G265" s="4" t="s">
        <v>62</v>
      </c>
      <c r="H265" s="41"/>
      <c r="I265" s="5" t="str">
        <f t="shared" si="24"/>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District</v>
      </c>
      <c r="W265" s="8" t="str">
        <f>IF(LEN(Table2[[#This Row],[!FK]])&gt;0,Table2[[#This Row],[!FK]],"rg:None")</f>
        <v>rg:None</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x14ac:dyDescent="0.35">
      <c r="A266" s="5" t="s">
        <v>32</v>
      </c>
      <c r="B266" s="5" t="s">
        <v>13</v>
      </c>
      <c r="D266" s="5" t="s">
        <v>33</v>
      </c>
      <c r="E266" s="76" t="s">
        <v>416</v>
      </c>
      <c r="F266" s="5" t="s">
        <v>5</v>
      </c>
      <c r="G266" s="41" t="s">
        <v>62</v>
      </c>
      <c r="H266" s="41"/>
      <c r="I266" s="5" t="str">
        <f t="shared" si="24"/>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ministryDistrictID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5">
      <c r="A267" s="5" t="s">
        <v>32</v>
      </c>
      <c r="B267" s="5" t="s">
        <v>7</v>
      </c>
      <c r="C267" s="5">
        <v>150</v>
      </c>
      <c r="D267" s="5" t="s">
        <v>15</v>
      </c>
      <c r="E267" s="76" t="s">
        <v>417</v>
      </c>
      <c r="F267" s="5" t="s">
        <v>5</v>
      </c>
      <c r="G267" s="41" t="s">
        <v>62</v>
      </c>
      <c r="H267" s="41"/>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Ministry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5">
      <c r="A268" s="61" t="s">
        <v>32</v>
      </c>
      <c r="B268" s="61" t="s">
        <v>13</v>
      </c>
      <c r="C268" s="72"/>
      <c r="D268" s="61" t="s">
        <v>418</v>
      </c>
      <c r="E268" s="47" t="s">
        <v>419</v>
      </c>
      <c r="F268" s="12"/>
      <c r="G268" s="18"/>
      <c r="H268" s="18"/>
      <c r="I268" s="4" t="str">
        <f>IF(LEN(A268) &gt; 0,"Defs","-")</f>
        <v>Defs</v>
      </c>
      <c r="J268" s="14" t="str">
        <f>IF(Table2[[#This Row],[!Type]]=J$1, J$1,"rg:None")</f>
        <v>rg:None</v>
      </c>
      <c r="K268" s="14" t="str">
        <f>IF(Table2[[#This Row],[!Type]]=K$1, K$1,"rg:None")</f>
        <v>rg:None</v>
      </c>
      <c r="L268" s="14" t="str">
        <f>IF(Table2[[#This Row],[!Type]]=L$1, L$1,"rg:None")</f>
        <v>rg:None</v>
      </c>
      <c r="M268" s="14" t="str">
        <f>IF(Table2[[#This Row],[!Type]]=M$1, M$1,"rg:None")</f>
        <v>rg:None</v>
      </c>
      <c r="N268" s="14" t="str">
        <f>IF(Table2[[#This Row],[!Type]]=N$1, N$1,"rg:None")</f>
        <v>integer</v>
      </c>
      <c r="O268" s="1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rg:None</v>
      </c>
      <c r="T268" s="14" t="str">
        <f>IF(LEN(Table2[[#This Row],[!Length]]) &gt; 0, Table2[[#This Row],[!Length]], "rg:None")</f>
        <v>rg:None</v>
      </c>
      <c r="U268" s="14" t="str">
        <f>IF(LEN(Table2[[#This Row],[!Name]]) &gt; 0, Table2[[#This Row],[!Name]], "rg:None")</f>
        <v>districtNumber</v>
      </c>
      <c r="V268" s="14" t="str">
        <f>IF(LEN(Table2[[#This Row],[!Description]]) &gt; 0, Table2[[#This Row],[!Description]], "rg:None")</f>
        <v>A number that uniquely defines a Ministry District.</v>
      </c>
      <c r="W268" s="14" t="str">
        <f>IF(LEN(Table2[[#This Row],[!FK]])&gt;0,Table2[[#This Row],[!FK]],"rg:None")</f>
        <v>rg:None</v>
      </c>
      <c r="X268" s="14" t="str">
        <f>IF(LEN(concatif2(A:A,Table2[[#This Row],[!Table]],G:G,"Y",D:D,",")) &gt; 0,"rg:[ { 'req' : '"&amp;concatif2(A:A,Table2[[#This Row],[!Table]],G:G,"Y",D:D,"' }, { 'req': '")&amp;"'} ]","rg:[]")</f>
        <v>rg:[ { 'req' : 'id' }, { 'req': 'ministryDistrictID' }, { 'req': 'name' }, { 'req': 'region' }, { 'req': 'startDate'} ]</v>
      </c>
      <c r="Y268" s="14" t="str">
        <f>IF(LEN(Table2[[#This Row],[!Unique]])&gt;0,"rg:True","rg:None")</f>
        <v>rg:None</v>
      </c>
    </row>
    <row r="269" spans="1:25" x14ac:dyDescent="0.35">
      <c r="A269" s="5" t="s">
        <v>32</v>
      </c>
      <c r="B269" s="5" t="s">
        <v>8</v>
      </c>
      <c r="D269" s="5" t="s">
        <v>34</v>
      </c>
      <c r="E269" s="54" t="s">
        <v>35</v>
      </c>
      <c r="F269" s="5" t="s">
        <v>28</v>
      </c>
      <c r="G269" s="63" t="s">
        <v>62</v>
      </c>
      <c r="H269" s="4"/>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ref</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region</v>
      </c>
      <c r="V269" s="8" t="str">
        <f>IF(LEN(Table2[[#This Row],[!Description]]) &gt; 0, Table2[[#This Row],[!Description]], "rg:None")</f>
        <v>The region in which the District is found.</v>
      </c>
      <c r="W269" s="8" t="str">
        <f>IF(LEN(Table2[[#This Row],[!FK]])&gt;0,Table2[[#This Row],[!FK]],"rg:None")</f>
        <v>Region</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t="29" x14ac:dyDescent="0.35">
      <c r="A270" s="5" t="s">
        <v>32</v>
      </c>
      <c r="B270" s="5" t="s">
        <v>12</v>
      </c>
      <c r="D270" s="5" t="s">
        <v>30</v>
      </c>
      <c r="E270" s="76" t="s">
        <v>420</v>
      </c>
      <c r="F270" s="5" t="s">
        <v>5</v>
      </c>
      <c r="G270" s="63" t="s">
        <v>62</v>
      </c>
      <c r="H270" s="4"/>
      <c r="I270" s="5" t="str">
        <f t="shared" si="24"/>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startDate</v>
      </c>
      <c r="V270" s="8" t="str">
        <f>IF(LEN(Table2[[#This Row],[!Description]]) &gt; 0, Table2[[#This Row],[!Description]], "rg:None")</f>
        <v>The DATE the business information came into effect. - NOT CURRENTLY ENFORCED IN THIS SYSTEM</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ht="29" x14ac:dyDescent="0.35">
      <c r="A271" s="5" t="s">
        <v>32</v>
      </c>
      <c r="B271" s="5" t="s">
        <v>12</v>
      </c>
      <c r="D271" s="5" t="s">
        <v>31</v>
      </c>
      <c r="E271" s="76" t="s">
        <v>421</v>
      </c>
      <c r="F271" s="5" t="s">
        <v>5</v>
      </c>
      <c r="G271" s="4"/>
      <c r="H271" s="4"/>
      <c r="I271" s="5" t="str">
        <f t="shared" si="24"/>
        <v>Defs</v>
      </c>
      <c r="J271" s="8" t="str">
        <f>IF(Table2[[#This Row],[!Type]]=J$1, J$1,"rg:None")</f>
        <v>rg:None</v>
      </c>
      <c r="K271" s="8" t="str">
        <f>IF(Table2[[#This Row],[!Type]]=K$1, K$1,"rg:None")</f>
        <v>rg:None</v>
      </c>
      <c r="L271" s="8" t="str">
        <f>IF(Table2[[#This Row],[!Type]]=L$1, L$1,"rg:None")</f>
        <v>datetime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endDate</v>
      </c>
      <c r="V271" s="8" t="str">
        <f>IF(LEN(Table2[[#This Row],[!Description]]) &gt; 0, Table2[[#This Row],[!Description]], "rg:None")</f>
        <v>The DATE the business information ceased to be in effect. - NOT CURRENTLY ENFORCED IN THIS SYSTEM</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5">
      <c r="A272" s="5" t="s">
        <v>10</v>
      </c>
      <c r="B272" s="5" t="s">
        <v>4</v>
      </c>
      <c r="D272" s="5" t="s">
        <v>10</v>
      </c>
      <c r="E272" s="54" t="s">
        <v>425</v>
      </c>
      <c r="F272" s="5" t="s">
        <v>5</v>
      </c>
      <c r="G272" s="4"/>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ServiceArea</v>
      </c>
      <c r="V272" s="8" t="str">
        <f>IF(LEN(Table2[[#This Row],[!Description]]) &gt; 0, Table2[[#This Row],[!Description]], "rg:None")</f>
        <v>The Ministry of Transportation and Infrastructure SERVICE 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rg:None</v>
      </c>
    </row>
    <row r="273" spans="1:25" x14ac:dyDescent="0.35">
      <c r="A273" s="5" t="s">
        <v>10</v>
      </c>
      <c r="B273" s="5" t="s">
        <v>6</v>
      </c>
      <c r="D273" s="5" t="s">
        <v>6</v>
      </c>
      <c r="E273" s="54" t="s">
        <v>328</v>
      </c>
      <c r="F273" s="5" t="s">
        <v>5</v>
      </c>
      <c r="G273" s="4" t="s">
        <v>62</v>
      </c>
      <c r="H273" s="41" t="s">
        <v>62</v>
      </c>
      <c r="I273" s="5" t="str">
        <f t="shared" si="24"/>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ServiceArea</v>
      </c>
      <c r="W273" s="8" t="str">
        <f>IF(LEN(Table2[[#This Row],[!FK]])&gt;0,Table2[[#This Row],[!FK]],"rg:None")</f>
        <v>rg:None</v>
      </c>
      <c r="X273" s="8" t="str">
        <f>IF(LEN(concatif2(A:A,Table2[[#This Row],[!Table]],G:G,"Y",D:D,",")) &gt; 0,"rg:[ { 'req' : '"&amp;concatif2(A:A,Table2[[#This Row],[!Table]],G:G,"Y",D:D,"' }, { 'req': '")&amp;"'} ]","rg:[]")</f>
        <v>rg:[ { 'req' : 'id' }, { 'req': 'ministryServiceAreaID' }, { 'req': 'name' }, { 'req': 'district' }, { 'req': 'startDate'} ]</v>
      </c>
      <c r="Y273" s="8" t="str">
        <f>IF(LEN(Table2[[#This Row],[!Unique]])&gt;0,"rg:True","rg:None")</f>
        <v>rg:True</v>
      </c>
    </row>
    <row r="274" spans="1:25" x14ac:dyDescent="0.35">
      <c r="A274" s="5" t="s">
        <v>10</v>
      </c>
      <c r="B274" s="5" t="s">
        <v>13</v>
      </c>
      <c r="D274" s="5" t="s">
        <v>36</v>
      </c>
      <c r="E274" s="76" t="s">
        <v>416</v>
      </c>
      <c r="F274" s="5" t="s">
        <v>5</v>
      </c>
      <c r="G274" s="41" t="s">
        <v>62</v>
      </c>
      <c r="H274" s="41"/>
      <c r="I274" s="5" t="str">
        <f t="shared" si="24"/>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ministryServiceAreaID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5">
      <c r="A275" s="61" t="s">
        <v>10</v>
      </c>
      <c r="B275" s="61" t="s">
        <v>13</v>
      </c>
      <c r="C275" s="72"/>
      <c r="D275" s="61" t="s">
        <v>423</v>
      </c>
      <c r="E275" s="47" t="s">
        <v>424</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areaNumber</v>
      </c>
      <c r="V275" s="14" t="str">
        <f>IF(LEN(Table2[[#This Row],[!Description]]) &gt; 0, Table2[[#This Row],[!Description]], "rg:None")</f>
        <v>A number that uniquely defines a Ministry Service Area.</v>
      </c>
      <c r="W275" s="14" t="str">
        <f>IF(LEN(Table2[[#This Row],[!FK]])&gt;0,Table2[[#This Row],[!FK]],"rg:None")</f>
        <v>rg:None</v>
      </c>
      <c r="X275" s="14" t="str">
        <f>IF(LEN(concatif2(A:A,Table2[[#This Row],[!Table]],G:G,"Y",D:D,",")) &gt; 0,"rg:[ { 'req' : '"&amp;concatif2(A:A,Table2[[#This Row],[!Table]],G:G,"Y",D:D,"' }, { 'req': '")&amp;"'} ]","rg:[]")</f>
        <v>rg:[ { 'req' : 'id' }, { 'req': 'ministryServiceAreaID' }, { 'req': 'name' }, { 'req': 'district' }, { 'req': 'startDate'} ]</v>
      </c>
      <c r="Y275" s="14" t="str">
        <f>IF(LEN(Table2[[#This Row],[!Unique]])&gt;0,"rg:True","rg:None")</f>
        <v>rg:None</v>
      </c>
    </row>
    <row r="276" spans="1:25" x14ac:dyDescent="0.35">
      <c r="A276" s="5" t="s">
        <v>10</v>
      </c>
      <c r="B276" s="5" t="s">
        <v>7</v>
      </c>
      <c r="C276" s="5">
        <v>150</v>
      </c>
      <c r="D276" s="5" t="s">
        <v>15</v>
      </c>
      <c r="E276" s="76" t="s">
        <v>422</v>
      </c>
      <c r="F276" s="5" t="s">
        <v>5</v>
      </c>
      <c r="G276" s="41" t="s">
        <v>62</v>
      </c>
      <c r="H276" s="41"/>
      <c r="I276" s="5" t="str">
        <f t="shared" si="24"/>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Ministry Service 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5">
      <c r="A277" s="5" t="s">
        <v>10</v>
      </c>
      <c r="B277" s="5" t="s">
        <v>8</v>
      </c>
      <c r="D277" s="5" t="s">
        <v>37</v>
      </c>
      <c r="E277" s="54" t="s">
        <v>38</v>
      </c>
      <c r="F277" s="5" t="s">
        <v>32</v>
      </c>
      <c r="G277" s="63" t="s">
        <v>62</v>
      </c>
      <c r="H277" s="4"/>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ref</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district</v>
      </c>
      <c r="V277" s="8" t="str">
        <f>IF(LEN(Table2[[#This Row],[!Description]]) &gt; 0, Table2[[#This Row],[!Description]], "rg:None")</f>
        <v>The district in which the Service Area is found.</v>
      </c>
      <c r="W277" s="8" t="str">
        <f>IF(LEN(Table2[[#This Row],[!FK]])&gt;0,Table2[[#This Row],[!FK]],"rg:None")</f>
        <v>District</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t="29" x14ac:dyDescent="0.35">
      <c r="A278" s="5" t="s">
        <v>10</v>
      </c>
      <c r="B278" s="5" t="s">
        <v>12</v>
      </c>
      <c r="D278" s="5" t="s">
        <v>30</v>
      </c>
      <c r="E278" s="76" t="s">
        <v>420</v>
      </c>
      <c r="F278" s="5" t="s">
        <v>5</v>
      </c>
      <c r="G278" s="63" t="s">
        <v>62</v>
      </c>
      <c r="H278" s="4"/>
      <c r="I278" s="5" t="str">
        <f t="shared" si="24"/>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ht="29" x14ac:dyDescent="0.35">
      <c r="A279" s="5" t="s">
        <v>10</v>
      </c>
      <c r="B279" s="5" t="s">
        <v>12</v>
      </c>
      <c r="D279" s="5" t="s">
        <v>31</v>
      </c>
      <c r="E279" s="76" t="s">
        <v>421</v>
      </c>
      <c r="F279" s="5" t="s">
        <v>5</v>
      </c>
      <c r="G279" s="4"/>
      <c r="H279" s="4"/>
      <c r="I279" s="5" t="str">
        <f t="shared" si="24"/>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5">
      <c r="A280" s="109" t="s">
        <v>154</v>
      </c>
      <c r="B280" s="5" t="s">
        <v>4</v>
      </c>
      <c r="D280" s="109" t="s">
        <v>154</v>
      </c>
      <c r="E280" s="76" t="s">
        <v>379</v>
      </c>
      <c r="F280" s="5" t="s">
        <v>5</v>
      </c>
      <c r="G280" s="4"/>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LocalArea</v>
      </c>
      <c r="V280" s="8" t="str">
        <f>IF(LEN(Table2[[#This Row],[!Description]]) &gt; 0, Table2[[#This Row],[!Description]], "rg:None")</f>
        <v>A HETS-application defined area that is within a Service Area.</v>
      </c>
      <c r="W280" s="8" t="str">
        <f>IF(LEN(Table2[[#This Row],[!FK]])&gt;0,Table2[[#This Row],[!FK]],"rg:None")</f>
        <v>rg:None</v>
      </c>
      <c r="X280" s="8" t="str">
        <f>IF(LEN(concatif2(A:A,Table2[[#This Row],[!Table]],G:G,"Y",D:D,",")) &gt; 0,"rg:[ { 'req' : '"&amp;concatif2(A:A,Table2[[#This Row],[!Table]],G:G,"Y",D:D,"' }, { 'req': '")&amp;"'} ]","rg:[]")</f>
        <v>rg:[ { 'req' : 'id' }, { 'req': 'startDate'} ]</v>
      </c>
      <c r="Y280" s="8" t="str">
        <f>IF(LEN(Table2[[#This Row],[!Unique]])&gt;0,"rg:True","rg:None")</f>
        <v>rg:None</v>
      </c>
    </row>
    <row r="281" spans="1:25" x14ac:dyDescent="0.35">
      <c r="A281" s="109" t="s">
        <v>154</v>
      </c>
      <c r="B281" s="5" t="s">
        <v>6</v>
      </c>
      <c r="D281" s="5" t="s">
        <v>6</v>
      </c>
      <c r="E281" s="54" t="s">
        <v>357</v>
      </c>
      <c r="F281" s="5" t="s">
        <v>5</v>
      </c>
      <c r="G281" s="4" t="s">
        <v>62</v>
      </c>
      <c r="H281" s="4"/>
      <c r="I281" s="5" t="str">
        <f>IF(LEN(A281) &gt; 0,"Defs","-")</f>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LocalArea</v>
      </c>
      <c r="W281" s="8" t="str">
        <f>IF(LEN(Table2[[#This Row],[!FK]])&gt;0,Table2[[#This Row],[!FK]],"rg:None")</f>
        <v>rg:None</v>
      </c>
      <c r="X281" s="8" t="str">
        <f>IF(LEN(concatif2(A:A,Table2[[#This Row],[!Table]],G:G,"Y",D:D,",")) &gt; 0,"rg:[ { 'req' : '"&amp;concatif2(A:A,Table2[[#This Row],[!Table]],G:G,"Y",D:D,"' }, { 'req': '")&amp;"'} ]","rg:[]")</f>
        <v>rg:[ { 'req' : 'id' }, { 'req': 'startDate'} ]</v>
      </c>
      <c r="Y281" s="8" t="str">
        <f>IF(LEN(Table2[[#This Row],[!Unique]])&gt;0,"rg:True","rg:None")</f>
        <v>rg:None</v>
      </c>
    </row>
    <row r="282" spans="1:25" x14ac:dyDescent="0.35">
      <c r="A282" s="61" t="s">
        <v>154</v>
      </c>
      <c r="B282" s="61" t="s">
        <v>13</v>
      </c>
      <c r="C282" s="72"/>
      <c r="D282" s="61" t="s">
        <v>427</v>
      </c>
      <c r="E282" s="60" t="s">
        <v>426</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localAreaNumber</v>
      </c>
      <c r="V282" s="14" t="str">
        <f>IF(LEN(Table2[[#This Row],[!Description]]) &gt; 0, Table2[[#This Row],[!Description]], "rg:None")</f>
        <v>A system-generated, visible to the user number for the Local Area</v>
      </c>
      <c r="W282" s="14" t="str">
        <f>IF(LEN(Table2[[#This Row],[!FK]])&gt;0,Table2[[#This Row],[!FK]],"rg:None")</f>
        <v>rg:None</v>
      </c>
      <c r="X282" s="14" t="str">
        <f>IF(LEN(concatif2(A:A,Table2[[#This Row],[!Table]],G:G,"Y",D:D,",")) &gt; 0,"rg:[ { 'req' : '"&amp;concatif2(A:A,Table2[[#This Row],[!Table]],G:G,"Y",D:D,"' }, { 'req': '")&amp;"'} ]","rg:[]")</f>
        <v>rg:[ { 'req' : 'id' }, { 'req': 'startDate'} ]</v>
      </c>
      <c r="Y282" s="14" t="str">
        <f>IF(LEN(Table2[[#This Row],[!Unique]])&gt;0,"rg:True","rg:None")</f>
        <v>rg:None</v>
      </c>
    </row>
    <row r="283" spans="1:25" x14ac:dyDescent="0.35">
      <c r="A283" s="109" t="s">
        <v>154</v>
      </c>
      <c r="B283" s="5" t="s">
        <v>7</v>
      </c>
      <c r="C283" s="5">
        <v>150</v>
      </c>
      <c r="D283" s="5" t="s">
        <v>15</v>
      </c>
      <c r="E283" s="110" t="s">
        <v>155</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full name of the Local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5">
      <c r="A284" s="109" t="s">
        <v>154</v>
      </c>
      <c r="B284" s="5" t="s">
        <v>8</v>
      </c>
      <c r="D284" s="109" t="s">
        <v>156</v>
      </c>
      <c r="E284" s="110" t="s">
        <v>157</v>
      </c>
      <c r="F284" s="109" t="s">
        <v>10</v>
      </c>
      <c r="G284" s="4"/>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serviceArea</v>
      </c>
      <c r="V284" s="8" t="str">
        <f>IF(LEN(Table2[[#This Row],[!Description]]) &gt; 0, Table2[[#This Row],[!Description]], "rg:None")</f>
        <v>The Service Area in which the Local Area is found.</v>
      </c>
      <c r="W284" s="8" t="str">
        <f>IF(LEN(Table2[[#This Row],[!FK]])&gt;0,Table2[[#This Row],[!FK]],"rg:None")</f>
        <v>ServiceArea</v>
      </c>
      <c r="X284" s="8" t="str">
        <f>IF(LEN(concatif2(A:A,Table2[[#This Row],[!Table]],G:G,"Y",D:D,",")) &gt; 0,"rg:[ { 'req' : '"&amp;concatif2(A:A,Table2[[#This Row],[!Table]],G:G,"Y",D:D,"' }, { 'req': '")&amp;"'} ]","rg:[]")</f>
        <v>rg:[ { 'req' : 'id' }, { 'req': 'startDate'} ]</v>
      </c>
      <c r="Y284" s="8" t="str">
        <f>IF(LEN(Table2[[#This Row],[!Unique]])&gt;0,"rg:True","rg:None")</f>
        <v>rg:None</v>
      </c>
    </row>
    <row r="285" spans="1:25" ht="29" x14ac:dyDescent="0.35">
      <c r="A285" s="61" t="s">
        <v>154</v>
      </c>
      <c r="B285" s="5" t="s">
        <v>12</v>
      </c>
      <c r="D285" s="5" t="s">
        <v>30</v>
      </c>
      <c r="E285" s="76" t="s">
        <v>420</v>
      </c>
      <c r="F285" s="5" t="s">
        <v>5</v>
      </c>
      <c r="G285" s="63" t="s">
        <v>62</v>
      </c>
      <c r="H285" s="4"/>
      <c r="I285" s="5" t="str">
        <f t="shared" ref="I285:I286" si="25">IF(LEN(A285) &gt; 0,"Defs","-")</f>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ht="29" x14ac:dyDescent="0.35">
      <c r="A286" s="61" t="s">
        <v>154</v>
      </c>
      <c r="B286" s="5" t="s">
        <v>12</v>
      </c>
      <c r="D286" s="5" t="s">
        <v>31</v>
      </c>
      <c r="E286" s="76" t="s">
        <v>421</v>
      </c>
      <c r="F286" s="5" t="s">
        <v>5</v>
      </c>
      <c r="G286" s="4"/>
      <c r="H286" s="4"/>
      <c r="I286" s="5" t="str">
        <f t="shared" si="25"/>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x14ac:dyDescent="0.35">
      <c r="A287" s="5" t="s">
        <v>11</v>
      </c>
      <c r="B287" s="5" t="s">
        <v>4</v>
      </c>
      <c r="D287" s="5" t="s">
        <v>11</v>
      </c>
      <c r="E287" s="54" t="s">
        <v>64</v>
      </c>
      <c r="F287" s="5" t="s">
        <v>5</v>
      </c>
      <c r="G287" s="4"/>
      <c r="H287" s="4"/>
      <c r="I287" s="5" t="str">
        <f t="shared" si="24"/>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City</v>
      </c>
      <c r="V287" s="8" t="str">
        <f>IF(LEN(Table2[[#This Row],[!Description]]) &gt; 0, Table2[[#This Row],[!Description]], "rg:None")</f>
        <v>A list of cities in BC. Authoritative source to be determined.</v>
      </c>
      <c r="W287" s="8" t="str">
        <f>IF(LEN(Table2[[#This Row],[!FK]])&gt;0,Table2[[#This Row],[!FK]],"rg:None")</f>
        <v>rg:None</v>
      </c>
      <c r="X287" s="8" t="str">
        <f>IF(LEN(concatif2(A:A,Table2[[#This Row],[!Table]],G:G,"Y",D:D,",")) &gt; 0,"rg:[ { 'req' : '"&amp;concatif2(A:A,Table2[[#This Row],[!Table]],G:G,"Y",D:D,"' }, { 'req': '")&amp;"'} ]","rg:[]")</f>
        <v>rg:[ { 'req' : 'id'} ]</v>
      </c>
      <c r="Y287" s="8" t="str">
        <f>IF(LEN(Table2[[#This Row],[!Unique]])&gt;0,"rg:True","rg:None")</f>
        <v>rg:None</v>
      </c>
    </row>
    <row r="288" spans="1:25" x14ac:dyDescent="0.35">
      <c r="A288" s="5" t="s">
        <v>11</v>
      </c>
      <c r="B288" s="5" t="s">
        <v>6</v>
      </c>
      <c r="D288" s="5" t="s">
        <v>6</v>
      </c>
      <c r="E288" s="54" t="s">
        <v>329</v>
      </c>
      <c r="F288" s="5" t="s">
        <v>5</v>
      </c>
      <c r="G288" s="4" t="s">
        <v>62</v>
      </c>
      <c r="H288" s="41"/>
      <c r="I288" s="5" t="str">
        <f t="shared" si="24"/>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City</v>
      </c>
      <c r="W288" s="8" t="str">
        <f>IF(LEN(Table2[[#This Row],[!FK]])&gt;0,Table2[[#This Row],[!FK]],"rg:None")</f>
        <v>rg:None</v>
      </c>
      <c r="X288" s="8" t="str">
        <f>IF(LEN(concatif2(A:A,Table2[[#This Row],[!Table]],G:G,"Y",D:D,",")) &gt; 0,"rg:[ { 'req' : '"&amp;concatif2(A:A,Table2[[#This Row],[!Table]],G:G,"Y",D:D,"' }, { 'req': '")&amp;"'} ]","rg:[]")</f>
        <v>rg:[ { 'req' : 'id'} ]</v>
      </c>
      <c r="Y288" s="8" t="str">
        <f>IF(LEN(Table2[[#This Row],[!Unique]])&gt;0,"rg:True","rg:None")</f>
        <v>rg:None</v>
      </c>
    </row>
    <row r="289" spans="1:25" x14ac:dyDescent="0.35">
      <c r="A289" s="5" t="s">
        <v>11</v>
      </c>
      <c r="B289" s="5" t="s">
        <v>7</v>
      </c>
      <c r="C289" s="5">
        <v>150</v>
      </c>
      <c r="D289" s="5" t="s">
        <v>15</v>
      </c>
      <c r="E289" s="54" t="s">
        <v>39</v>
      </c>
      <c r="F289" s="5" t="s">
        <v>5</v>
      </c>
      <c r="G289" s="4"/>
      <c r="H289" s="4"/>
      <c r="I289" s="5" t="str">
        <f t="shared" si="24"/>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the City</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5">
      <c r="A290" s="5" t="s">
        <v>0</v>
      </c>
      <c r="B290" s="5" t="s">
        <v>4</v>
      </c>
      <c r="D290" s="5" t="s">
        <v>0</v>
      </c>
      <c r="E290" s="76" t="s">
        <v>380</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User</v>
      </c>
      <c r="V290" s="8" t="str">
        <f>IF(LEN(Table2[[#This Row],[!Description]]) &gt; 0, Table2[[#This Row],[!Description]], "rg:None")</f>
        <v>An identified user in the HETS Application that has a defined authorization level.</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5">
      <c r="A291" s="5" t="s">
        <v>0</v>
      </c>
      <c r="B291" s="5" t="s">
        <v>6</v>
      </c>
      <c r="D291" s="5" t="s">
        <v>6</v>
      </c>
      <c r="E291" s="54" t="s">
        <v>330</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User</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x14ac:dyDescent="0.35">
      <c r="A292" s="5" t="s">
        <v>0</v>
      </c>
      <c r="B292" s="5" t="s">
        <v>7</v>
      </c>
      <c r="C292" s="5">
        <v>50</v>
      </c>
      <c r="D292" s="5" t="s">
        <v>16</v>
      </c>
      <c r="E292" s="54" t="s">
        <v>331</v>
      </c>
      <c r="F292" s="5" t="s">
        <v>5</v>
      </c>
      <c r="G292" s="41" t="s">
        <v>62</v>
      </c>
      <c r="H292" s="41"/>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50</v>
      </c>
      <c r="U292" s="8" t="str">
        <f>IF(LEN(Table2[[#This Row],[!Name]]) &gt; 0, Table2[[#This Row],[!Name]], "rg:None")</f>
        <v>givenName</v>
      </c>
      <c r="V292" s="8" t="str">
        <f>IF(LEN(Table2[[#This Row],[!Description]]) &gt; 0, Table2[[#This Row],[!Description]], "rg:None")</f>
        <v>Given name of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5">
      <c r="A293" s="5" t="s">
        <v>0</v>
      </c>
      <c r="B293" s="5" t="s">
        <v>7</v>
      </c>
      <c r="C293" s="5">
        <v>50</v>
      </c>
      <c r="D293" s="5" t="s">
        <v>17</v>
      </c>
      <c r="E293" s="54" t="s">
        <v>332</v>
      </c>
      <c r="F293" s="5" t="s">
        <v>5</v>
      </c>
      <c r="G293" s="41" t="s">
        <v>62</v>
      </c>
      <c r="H293" s="41"/>
      <c r="I293" s="5" t="str">
        <f t="shared" ref="I293:I331" si="26">IF(LEN(A293) &gt; 0,"Defs","-")</f>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50</v>
      </c>
      <c r="U293" s="8" t="str">
        <f>IF(LEN(Table2[[#This Row],[!Name]]) &gt; 0, Table2[[#This Row],[!Name]], "rg:None")</f>
        <v>surname</v>
      </c>
      <c r="V293" s="8" t="str">
        <f>IF(LEN(Table2[[#This Row],[!Description]]) &gt; 0, Table2[[#This Row],[!Description]], "rg:None")</f>
        <v>Surname of the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5">
      <c r="A294" s="5" t="s">
        <v>0</v>
      </c>
      <c r="B294" s="5" t="s">
        <v>7</v>
      </c>
      <c r="C294" s="5">
        <v>10</v>
      </c>
      <c r="D294" s="5" t="s">
        <v>42</v>
      </c>
      <c r="E294" s="54" t="s">
        <v>333</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10</v>
      </c>
      <c r="U294" s="8" t="str">
        <f>IF(LEN(Table2[[#This Row],[!Name]]) &gt; 0, Table2[[#This Row],[!Name]], "rg:None")</f>
        <v>initials</v>
      </c>
      <c r="V294" s="8" t="str">
        <f>IF(LEN(Table2[[#This Row],[!Description]]) &gt; 0, Table2[[#This Row],[!Description]], "rg:None")</f>
        <v>Initials of the user, to be presented where screen space is at a premium.</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5">
      <c r="A295" s="5" t="s">
        <v>0</v>
      </c>
      <c r="B295" s="5" t="s">
        <v>7</v>
      </c>
      <c r="C295" s="5">
        <v>255</v>
      </c>
      <c r="D295" s="5" t="s">
        <v>43</v>
      </c>
      <c r="E295" s="54" t="s">
        <v>334</v>
      </c>
      <c r="F295" s="5" t="s">
        <v>5</v>
      </c>
      <c r="G295" s="4"/>
      <c r="H295" s="4"/>
      <c r="I295" s="5" t="str">
        <f t="shared" si="26"/>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255</v>
      </c>
      <c r="U295" s="8" t="str">
        <f>IF(LEN(Table2[[#This Row],[!Name]]) &gt; 0, Table2[[#This Row],[!Name]], "rg:None")</f>
        <v>email</v>
      </c>
      <c r="V295" s="8" t="str">
        <f>IF(LEN(Table2[[#This Row],[!Description]]) &gt; 0, Table2[[#This Row],[!Description]], "rg:None")</f>
        <v>The email address of the user in the system.</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ht="29" x14ac:dyDescent="0.35">
      <c r="A296" s="5" t="s">
        <v>0</v>
      </c>
      <c r="B296" s="5" t="s">
        <v>9</v>
      </c>
      <c r="D296" s="5" t="s">
        <v>41</v>
      </c>
      <c r="E296" s="54" t="s">
        <v>335</v>
      </c>
      <c r="F296" s="5" t="s">
        <v>5</v>
      </c>
      <c r="G296" s="4" t="s">
        <v>62</v>
      </c>
      <c r="H296" s="4"/>
      <c r="I296" s="5" t="str">
        <f t="shared" si="26"/>
        <v>Defs</v>
      </c>
      <c r="J296" s="8" t="str">
        <f>IF(Table2[[#This Row],[!Type]]=J$1, J$1,"rg:None")</f>
        <v>boolean</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active</v>
      </c>
      <c r="V296" s="8" t="str">
        <f>IF(LEN(Table2[[#This Row],[!Description]]) &gt; 0, Table2[[#This Row],[!Description]], "rg:None")</f>
        <v>A flag indicating the User is active in the system. Set false to remove access to the system for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5">
      <c r="A297" s="5" t="s">
        <v>0</v>
      </c>
      <c r="B297" s="5" t="s">
        <v>7</v>
      </c>
      <c r="C297" s="5">
        <v>255</v>
      </c>
      <c r="D297" s="5" t="s">
        <v>44</v>
      </c>
      <c r="E297" s="54" t="s">
        <v>45</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smUserId</v>
      </c>
      <c r="V297" s="8" t="str">
        <f>IF(LEN(Table2[[#This Row],[!Description]]) &gt; 0, Table2[[#This Row],[!Description]], "rg:None")</f>
        <v>Security Manager User ID</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72.5" x14ac:dyDescent="0.35">
      <c r="A298" s="5" t="s">
        <v>0</v>
      </c>
      <c r="B298" s="5" t="s">
        <v>7</v>
      </c>
      <c r="C298" s="5">
        <v>255</v>
      </c>
      <c r="D298" s="5" t="s">
        <v>46</v>
      </c>
      <c r="E298" s="54" t="s">
        <v>336</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guid</v>
      </c>
      <c r="V29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ht="29" x14ac:dyDescent="0.35">
      <c r="A299" s="5" t="s">
        <v>0</v>
      </c>
      <c r="B299" s="5" t="s">
        <v>7</v>
      </c>
      <c r="C299" s="5">
        <v>255</v>
      </c>
      <c r="D299" s="5" t="s">
        <v>47</v>
      </c>
      <c r="E299" s="54" t="s">
        <v>337</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smAuthorizationDirectory</v>
      </c>
      <c r="V299" s="8" t="str">
        <f>IF(LEN(Table2[[#This Row],[!Description]]) &gt; 0, Table2[[#This Row],[!Description]], "rg:None")</f>
        <v>The user directory service used by Siteminder to authenticate the user - usually IDIR or BCeID.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5">
      <c r="A300" s="5" t="s">
        <v>0</v>
      </c>
      <c r="B300" s="5" t="s">
        <v>19</v>
      </c>
      <c r="D300" s="5" t="s">
        <v>48</v>
      </c>
      <c r="F300" s="5" t="s">
        <v>50</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links</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userRoles</v>
      </c>
      <c r="V300" s="8" t="str">
        <f>IF(LEN(Table2[[#This Row],[!Description]]) &gt; 0, Table2[[#This Row],[!Description]], "rg:None")</f>
        <v>rg:None</v>
      </c>
      <c r="W300" s="8" t="str">
        <f>IF(LEN(Table2[[#This Row],[!FK]])&gt;0,Table2[[#This Row],[!FK]],"rg:None")</f>
        <v>UserRole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5">
      <c r="A301" s="5" t="s">
        <v>0</v>
      </c>
      <c r="B301" s="5" t="s">
        <v>19</v>
      </c>
      <c r="D301" s="5" t="s">
        <v>49</v>
      </c>
      <c r="F301" s="5" t="s">
        <v>59</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links</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groupMemberships</v>
      </c>
      <c r="V301" s="8" t="str">
        <f>IF(LEN(Table2[[#This Row],[!Description]]) &gt; 0, Table2[[#This Row],[!Description]], "rg:None")</f>
        <v>rg:None</v>
      </c>
      <c r="W301" s="8" t="str">
        <f>IF(LEN(Table2[[#This Row],[!FK]])&gt;0,Table2[[#This Row],[!FK]],"rg:None")</f>
        <v>GroupMembership</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5">
      <c r="A302" s="67" t="s">
        <v>0</v>
      </c>
      <c r="B302" s="67" t="s">
        <v>8</v>
      </c>
      <c r="C302" s="72"/>
      <c r="D302" s="67" t="s">
        <v>32</v>
      </c>
      <c r="E302" s="47" t="s">
        <v>443</v>
      </c>
      <c r="F302" s="68" t="s">
        <v>32</v>
      </c>
      <c r="G302" s="18"/>
      <c r="H302" s="18"/>
      <c r="I302" s="4" t="str">
        <f>IF(LEN(A302) &gt; 0,"Defs","-")</f>
        <v>Defs</v>
      </c>
      <c r="J302" s="14" t="str">
        <f>IF(Table2[[#This Row],[!Type]]=J$1, J$1,"rg:None")</f>
        <v>rg:None</v>
      </c>
      <c r="K302" s="14" t="str">
        <f>IF(Table2[[#This Row],[!Type]]=K$1, K$1,"rg:None")</f>
        <v>rg:None</v>
      </c>
      <c r="L302" s="14" t="str">
        <f>IF(Table2[[#This Row],[!Type]]=L$1, L$1,"rg:None")</f>
        <v>rg:None</v>
      </c>
      <c r="M302" s="14" t="str">
        <f>IF(Table2[[#This Row],[!Type]]=M$1, M$1,"rg:None")</f>
        <v>rg:None</v>
      </c>
      <c r="N302" s="14" t="str">
        <f>IF(Table2[[#This Row],[!Type]]=N$1, N$1,"rg:None")</f>
        <v>rg:None</v>
      </c>
      <c r="O302" s="14" t="str">
        <f>IF(Table2[[#This Row],[!Type]]=O$1, O$1,"rg:None")</f>
        <v>rg:None</v>
      </c>
      <c r="P302" s="4" t="str">
        <f>IF(Table2[[#This Row],[!Type]]=P$1, P$1,"rg:None")</f>
        <v>rg:None</v>
      </c>
      <c r="Q302" s="4" t="str">
        <f>IF(Table2[[#This Row],[!Type]]=Q$1, Q$1,"rg:None")</f>
        <v>ref</v>
      </c>
      <c r="R302" s="4" t="str">
        <f>IF(Table2[[#This Row],[!Type]]=R$1, R$1,"rg:None")</f>
        <v>rg:None</v>
      </c>
      <c r="S302" s="4" t="str">
        <f>IF(Table2[[#This Row],[!Type]]=S$1, S$1,"rg:None")</f>
        <v>rg:None</v>
      </c>
      <c r="T302" s="14" t="str">
        <f>IF(LEN(Table2[[#This Row],[!Length]]) &gt; 0, Table2[[#This Row],[!Length]], "rg:None")</f>
        <v>rg:None</v>
      </c>
      <c r="U302" s="14" t="str">
        <f>IF(LEN(Table2[[#This Row],[!Name]]) &gt; 0, Table2[[#This Row],[!Name]], "rg:None")</f>
        <v>District</v>
      </c>
      <c r="V302" s="14" t="str">
        <f>IF(LEN(Table2[[#This Row],[!Description]]) &gt; 0, Table2[[#This Row],[!Description]], "rg:None")</f>
        <v>The District that the User belongs to</v>
      </c>
      <c r="W302" s="14" t="str">
        <f>IF(LEN(Table2[[#This Row],[!FK]])&gt;0,Table2[[#This Row],[!FK]],"rg:None")</f>
        <v>District</v>
      </c>
      <c r="X302" s="14" t="str">
        <f>IF(LEN(concatif2(A:A,Table2[[#This Row],[!Table]],G:G,"Y",D:D,",")) &gt; 0,"rg:[ { 'req' : '"&amp;concatif2(A:A,Table2[[#This Row],[!Table]],G:G,"Y",D:D,"' }, { 'req': '")&amp;"'} ]","rg:[]")</f>
        <v>rg:[ { 'req' : 'id' }, { 'req': 'givenName' }, { 'req': 'surname' }, { 'req': 'active'} ]</v>
      </c>
      <c r="Y302" s="14" t="str">
        <f>IF(LEN(Table2[[#This Row],[!Unique]])&gt;0,"rg:True","rg:None")</f>
        <v>rg:None</v>
      </c>
    </row>
    <row r="303" spans="1:25" ht="29" x14ac:dyDescent="0.35">
      <c r="A303" s="5" t="s">
        <v>50</v>
      </c>
      <c r="B303" s="5" t="s">
        <v>4</v>
      </c>
      <c r="D303" s="5" t="s">
        <v>50</v>
      </c>
      <c r="E303" s="54" t="s">
        <v>338</v>
      </c>
      <c r="F303" s="5" t="s">
        <v>5</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UserRole</v>
      </c>
      <c r="V303"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3" s="8" t="str">
        <f>IF(LEN(Table2[[#This Row],[!FK]])&gt;0,Table2[[#This Row],[!FK]],"rg:None")</f>
        <v>rg:None</v>
      </c>
      <c r="X303" s="8" t="str">
        <f>IF(LEN(concatif2(A:A,Table2[[#This Row],[!Table]],G:G,"Y",D:D,",")) &gt; 0,"rg:[ { 'req' : '"&amp;concatif2(A:A,Table2[[#This Row],[!Table]],G:G,"Y",D:D,"' }, { 'req': '")&amp;"'} ]","rg:[]")</f>
        <v>rg:[ { 'req' : 'id' }, { 'req': 'effectiveDate'} ]</v>
      </c>
      <c r="Y303" s="8" t="str">
        <f>IF(LEN(Table2[[#This Row],[!Unique]])&gt;0,"rg:True","rg:None")</f>
        <v>rg:None</v>
      </c>
    </row>
    <row r="304" spans="1:25" x14ac:dyDescent="0.35">
      <c r="A304" s="5" t="s">
        <v>50</v>
      </c>
      <c r="B304" s="5" t="s">
        <v>6</v>
      </c>
      <c r="D304" s="5" t="s">
        <v>6</v>
      </c>
      <c r="E304" s="54" t="s">
        <v>339</v>
      </c>
      <c r="F304" s="5" t="s">
        <v>5</v>
      </c>
      <c r="G304" s="4" t="s">
        <v>62</v>
      </c>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UserRole</v>
      </c>
      <c r="W304" s="8" t="str">
        <f>IF(LEN(Table2[[#This Row],[!FK]])&gt;0,Table2[[#This Row],[!FK]],"rg:None")</f>
        <v>rg:None</v>
      </c>
      <c r="X304" s="8" t="str">
        <f>IF(LEN(concatif2(A:A,Table2[[#This Row],[!Table]],G:G,"Y",D:D,",")) &gt; 0,"rg:[ { 'req' : '"&amp;concatif2(A:A,Table2[[#This Row],[!Table]],G:G,"Y",D:D,"' }, { 'req': '")&amp;"'} ]","rg:[]")</f>
        <v>rg:[ { 'req' : 'id' }, { 'req': 'effectiveDate'} ]</v>
      </c>
      <c r="Y304" s="8" t="str">
        <f>IF(LEN(Table2[[#This Row],[!Unique]])&gt;0,"rg:True","rg:None")</f>
        <v>rg:None</v>
      </c>
    </row>
    <row r="305" spans="1:25" x14ac:dyDescent="0.35">
      <c r="A305" s="5" t="s">
        <v>50</v>
      </c>
      <c r="B305" s="5" t="s">
        <v>12</v>
      </c>
      <c r="D305" s="5" t="s">
        <v>51</v>
      </c>
      <c r="E305" s="54" t="s">
        <v>340</v>
      </c>
      <c r="F305" s="5" t="s">
        <v>5</v>
      </c>
      <c r="G305" s="4" t="s">
        <v>62</v>
      </c>
      <c r="H305" s="4"/>
      <c r="I305" s="5" t="str">
        <f t="shared" si="26"/>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effectiveDate</v>
      </c>
      <c r="V305" s="8" t="str">
        <f>IF(LEN(Table2[[#This Row],[!Description]]) &gt; 0, Table2[[#This Row],[!Description]], "rg:None")</f>
        <v>The date on which the user was given the related role.</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5">
      <c r="A306" s="5" t="s">
        <v>50</v>
      </c>
      <c r="B306" s="5" t="s">
        <v>12</v>
      </c>
      <c r="D306" s="5" t="s">
        <v>52</v>
      </c>
      <c r="E306" s="54" t="s">
        <v>341</v>
      </c>
      <c r="F306" s="5" t="s">
        <v>5</v>
      </c>
      <c r="G306" s="4"/>
      <c r="H306" s="4"/>
      <c r="I306" s="5" t="str">
        <f t="shared" si="26"/>
        <v>Defs</v>
      </c>
      <c r="J306" s="8" t="str">
        <f>IF(Table2[[#This Row],[!Type]]=J$1, J$1,"rg:None")</f>
        <v>rg:None</v>
      </c>
      <c r="K306" s="8" t="str">
        <f>IF(Table2[[#This Row],[!Type]]=K$1, K$1,"rg:None")</f>
        <v>rg:None</v>
      </c>
      <c r="L306" s="8" t="str">
        <f>IF(Table2[[#This Row],[!Type]]=L$1, L$1,"rg:None")</f>
        <v>datetime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expiryDate</v>
      </c>
      <c r="V306" s="8" t="str">
        <f>IF(LEN(Table2[[#This Row],[!Description]]) &gt; 0, Table2[[#This Row],[!Description]], "rg:None")</f>
        <v>The date on which a role previously assigned to a user was removed from that user.</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5">
      <c r="A307" s="5" t="s">
        <v>50</v>
      </c>
      <c r="B307" s="5" t="s">
        <v>8</v>
      </c>
      <c r="D307" s="5" t="s">
        <v>18</v>
      </c>
      <c r="F307" s="5" t="s">
        <v>53</v>
      </c>
      <c r="G307" s="4"/>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role</v>
      </c>
      <c r="V307" s="8" t="str">
        <f>IF(LEN(Table2[[#This Row],[!Description]]) &gt; 0, Table2[[#This Row],[!Description]], "rg:None")</f>
        <v>rg:None</v>
      </c>
      <c r="W307" s="8" t="str">
        <f>IF(LEN(Table2[[#This Row],[!FK]])&gt;0,Table2[[#This Row],[!FK]],"rg:None")</f>
        <v>Role</v>
      </c>
      <c r="X307" s="8" t="str">
        <f>IF(LEN(concatif2(A:A,Table2[[#This Row],[!Table]],G:G,"Y",D:D,",")) &gt; 0,"rg:[ { 'req' : '"&amp;concatif2(A:A,Table2[[#This Row],[!Table]],G:G,"Y",D:D,"' }, { 'req': '")&amp;"'} ]","rg:[]")</f>
        <v>rg:[ { 'req' : 'id' }, { 'req': 'effectiveDate'} ]</v>
      </c>
      <c r="Y307" s="8" t="str">
        <f>IF(LEN(Table2[[#This Row],[!Unique]])&gt;0,"rg:True","rg:None")</f>
        <v>rg:None</v>
      </c>
    </row>
    <row r="308" spans="1:25" ht="43.5" x14ac:dyDescent="0.35">
      <c r="A308" s="5" t="s">
        <v>53</v>
      </c>
      <c r="B308" s="5" t="s">
        <v>4</v>
      </c>
      <c r="D308" s="5" t="s">
        <v>53</v>
      </c>
      <c r="E308" s="76" t="s">
        <v>381</v>
      </c>
      <c r="F308" s="5" t="s">
        <v>5</v>
      </c>
      <c r="G308" s="4"/>
      <c r="H308" s="4"/>
      <c r="I308" s="5" t="str">
        <f t="shared" si="26"/>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table</v>
      </c>
      <c r="T308" s="8" t="str">
        <f>IF(LEN(Table2[[#This Row],[!Length]]) &gt; 0, Table2[[#This Row],[!Length]], "rg:None")</f>
        <v>rg:None</v>
      </c>
      <c r="U308" s="8" t="str">
        <f>IF(LEN(Table2[[#This Row],[!Name]]) &gt; 0, Table2[[#This Row],[!Name]], "rg:None")</f>
        <v>Role</v>
      </c>
      <c r="V308"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5">
      <c r="A309" s="5" t="s">
        <v>53</v>
      </c>
      <c r="B309" s="5" t="s">
        <v>6</v>
      </c>
      <c r="D309" s="5" t="s">
        <v>6</v>
      </c>
      <c r="E309" s="54" t="s">
        <v>342</v>
      </c>
      <c r="F309" s="5" t="s">
        <v>5</v>
      </c>
      <c r="G309" s="4" t="s">
        <v>62</v>
      </c>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id</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id</v>
      </c>
      <c r="V309" s="8" t="str">
        <f>IF(LEN(Table2[[#This Row],[!Description]]) &gt; 0, Table2[[#This Row],[!Description]], "rg:None")</f>
        <v>A system-generated unique identifier for a Role</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5">
      <c r="A310" s="5" t="s">
        <v>53</v>
      </c>
      <c r="B310" s="5" t="s">
        <v>7</v>
      </c>
      <c r="C310" s="5">
        <v>255</v>
      </c>
      <c r="D310" s="5" t="s">
        <v>15</v>
      </c>
      <c r="E310" s="54" t="s">
        <v>343</v>
      </c>
      <c r="F310" s="5" t="s">
        <v>5</v>
      </c>
      <c r="G310" s="4" t="s">
        <v>62</v>
      </c>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name</v>
      </c>
      <c r="V310" s="8" t="str">
        <f>IF(LEN(Table2[[#This Row],[!Description]]) &gt; 0, Table2[[#This Row],[!Description]], "rg:None")</f>
        <v>The name of the Role, as established by the user creating the role.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5">
      <c r="A311" s="5" t="s">
        <v>53</v>
      </c>
      <c r="B311" s="5" t="s">
        <v>7</v>
      </c>
      <c r="C311" s="5">
        <v>2048</v>
      </c>
      <c r="D311" s="5" t="s">
        <v>14</v>
      </c>
      <c r="E311" s="54" t="s">
        <v>344</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2048</v>
      </c>
      <c r="U311" s="8" t="str">
        <f>IF(LEN(Table2[[#This Row],[!Name]]) &gt; 0, Table2[[#This Row],[!Name]], "rg:None")</f>
        <v>description</v>
      </c>
      <c r="V311" s="8" t="str">
        <f>IF(LEN(Table2[[#This Row],[!Description]]) &gt; 0, Table2[[#This Row],[!Description]], "rg:None")</f>
        <v>A description of the role as set by the user creating/updating the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5">
      <c r="A312" s="5" t="s">
        <v>53</v>
      </c>
      <c r="B312" s="5" t="s">
        <v>19</v>
      </c>
      <c r="D312" s="5" t="s">
        <v>54</v>
      </c>
      <c r="F312" s="5" t="s">
        <v>55</v>
      </c>
      <c r="G312" s="4"/>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links</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rolePermissions</v>
      </c>
      <c r="V312" s="8" t="str">
        <f>IF(LEN(Table2[[#This Row],[!Description]]) &gt; 0, Table2[[#This Row],[!Description]], "rg:None")</f>
        <v>rg:None</v>
      </c>
      <c r="W312" s="8" t="str">
        <f>IF(LEN(Table2[[#This Row],[!FK]])&gt;0,Table2[[#This Row],[!FK]],"rg:None")</f>
        <v>RolePermission</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5">
      <c r="A313" s="5" t="s">
        <v>53</v>
      </c>
      <c r="B313" s="5" t="s">
        <v>19</v>
      </c>
      <c r="D313" s="5" t="s">
        <v>48</v>
      </c>
      <c r="F313" s="5" t="s">
        <v>50</v>
      </c>
      <c r="G313" s="4"/>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links</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userRoles</v>
      </c>
      <c r="V313" s="8" t="str">
        <f>IF(LEN(Table2[[#This Row],[!Description]]) &gt; 0, Table2[[#This Row],[!Description]], "rg:None")</f>
        <v>rg:None</v>
      </c>
      <c r="W313" s="8" t="str">
        <f>IF(LEN(Table2[[#This Row],[!FK]])&gt;0,Table2[[#This Row],[!FK]],"rg:None")</f>
        <v>UserRole</v>
      </c>
      <c r="X313" s="8" t="str">
        <f>IF(LEN(concatif2(A:A,Table2[[#This Row],[!Table]],G:G,"Y",D:D,",")) &gt; 0,"rg:[ { 'req' : '"&amp;concatif2(A:A,Table2[[#This Row],[!Table]],G:G,"Y",D:D,"' }, { 'req': '")&amp;"'} ]","rg:[]")</f>
        <v>rg:[ { 'req' : 'id' }, { 'req': 'name' }, { 'req': 'description'} ]</v>
      </c>
      <c r="Y313" s="8" t="str">
        <f>IF(LEN(Table2[[#This Row],[!Unique]])&gt;0,"rg:True","rg:None")</f>
        <v>rg:None</v>
      </c>
    </row>
    <row r="314" spans="1:25" ht="29" x14ac:dyDescent="0.35">
      <c r="A314" s="5" t="s">
        <v>55</v>
      </c>
      <c r="B314" s="5" t="s">
        <v>4</v>
      </c>
      <c r="D314" s="5" t="s">
        <v>55</v>
      </c>
      <c r="E314" s="76" t="s">
        <v>382</v>
      </c>
      <c r="F314" s="5" t="s">
        <v>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RolePermission</v>
      </c>
      <c r="V314" s="8" t="str">
        <f>IF(LEN(Table2[[#This Row],[!Description]]) &gt; 0, Table2[[#This Row],[!Description]], "rg:None")</f>
        <v>A permission that is part of a Role - a component of the authorization provided by the Role to the user to which the Role is assigned.</v>
      </c>
      <c r="W314" s="8" t="str">
        <f>IF(LEN(Table2[[#This Row],[!FK]])&gt;0,Table2[[#This Row],[!FK]],"rg:None")</f>
        <v>rg:None</v>
      </c>
      <c r="X314" s="8" t="str">
        <f>IF(LEN(concatif2(A:A,Table2[[#This Row],[!Table]],G:G,"Y",D:D,",")) &gt; 0,"rg:[ { 'req' : '"&amp;concatif2(A:A,Table2[[#This Row],[!Table]],G:G,"Y",D:D,"' }, { 'req': '")&amp;"'} ]","rg:[]")</f>
        <v>rg:[ { 'req' : 'id'} ]</v>
      </c>
      <c r="Y314" s="8" t="str">
        <f>IF(LEN(Table2[[#This Row],[!Unique]])&gt;0,"rg:True","rg:None")</f>
        <v>rg:None</v>
      </c>
    </row>
    <row r="315" spans="1:25" x14ac:dyDescent="0.35">
      <c r="A315" s="5" t="s">
        <v>55</v>
      </c>
      <c r="B315" s="5" t="s">
        <v>6</v>
      </c>
      <c r="D315" s="5" t="s">
        <v>6</v>
      </c>
      <c r="E315" s="54" t="s">
        <v>345</v>
      </c>
      <c r="F315" s="5" t="s">
        <v>5</v>
      </c>
      <c r="G315" s="4" t="s">
        <v>62</v>
      </c>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RolePermission</v>
      </c>
      <c r="W315" s="8" t="str">
        <f>IF(LEN(Table2[[#This Row],[!FK]])&gt;0,Table2[[#This Row],[!FK]],"rg:None")</f>
        <v>rg:None</v>
      </c>
      <c r="X315" s="8" t="str">
        <f>IF(LEN(concatif2(A:A,Table2[[#This Row],[!Table]],G:G,"Y",D:D,",")) &gt; 0,"rg:[ { 'req' : '"&amp;concatif2(A:A,Table2[[#This Row],[!Table]],G:G,"Y",D:D,"' }, { 'req': '")&amp;"'} ]","rg:[]")</f>
        <v>rg:[ { 'req' : 'id'} ]</v>
      </c>
      <c r="Y315" s="8" t="str">
        <f>IF(LEN(Table2[[#This Row],[!Unique]])&gt;0,"rg:True","rg:None")</f>
        <v>rg:None</v>
      </c>
    </row>
    <row r="316" spans="1:25" x14ac:dyDescent="0.35">
      <c r="A316" s="5" t="s">
        <v>55</v>
      </c>
      <c r="B316" s="5" t="s">
        <v>8</v>
      </c>
      <c r="D316" s="5" t="s">
        <v>18</v>
      </c>
      <c r="F316" s="5" t="s">
        <v>53</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ref</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role</v>
      </c>
      <c r="V316" s="8" t="str">
        <f>IF(LEN(Table2[[#This Row],[!Description]]) &gt; 0, Table2[[#This Row],[!Description]], "rg:None")</f>
        <v>rg:None</v>
      </c>
      <c r="W316" s="8" t="str">
        <f>IF(LEN(Table2[[#This Row],[!FK]])&gt;0,Table2[[#This Row],[!FK]],"rg:None")</f>
        <v>Role</v>
      </c>
      <c r="X316" s="8" t="str">
        <f>IF(LEN(concatif2(A:A,Table2[[#This Row],[!Table]],G:G,"Y",D:D,",")) &gt; 0,"rg:[ { 'req' : '"&amp;concatif2(A:A,Table2[[#This Row],[!Table]],G:G,"Y",D:D,"' }, { 'req': '")&amp;"'} ]","rg:[]")</f>
        <v>rg:[ { 'req' : 'id'} ]</v>
      </c>
      <c r="Y316" s="8" t="str">
        <f>IF(LEN(Table2[[#This Row],[!Unique]])&gt;0,"rg:True","rg:None")</f>
        <v>rg:None</v>
      </c>
    </row>
    <row r="317" spans="1:25" x14ac:dyDescent="0.35">
      <c r="A317" s="5" t="s">
        <v>55</v>
      </c>
      <c r="B317" s="5" t="s">
        <v>8</v>
      </c>
      <c r="D317" s="5" t="s">
        <v>56</v>
      </c>
      <c r="F317" s="5" t="s">
        <v>57</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ref</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permission</v>
      </c>
      <c r="V317" s="8" t="str">
        <f>IF(LEN(Table2[[#This Row],[!Description]]) &gt; 0, Table2[[#This Row],[!Description]], "rg:None")</f>
        <v>rg:None</v>
      </c>
      <c r="W317" s="8" t="str">
        <f>IF(LEN(Table2[[#This Row],[!FK]])&gt;0,Table2[[#This Row],[!FK]],"rg:None")</f>
        <v>Permission</v>
      </c>
      <c r="X317" s="8" t="str">
        <f>IF(LEN(concatif2(A:A,Table2[[#This Row],[!Table]],G:G,"Y",D:D,",")) &gt; 0,"rg:[ { 'req' : '"&amp;concatif2(A:A,Table2[[#This Row],[!Table]],G:G,"Y",D:D,"' }, { 'req': '")&amp;"'} ]","rg:[]")</f>
        <v>rg:[ { 'req' : 'id'} ]</v>
      </c>
      <c r="Y317" s="8" t="str">
        <f>IF(LEN(Table2[[#This Row],[!Unique]])&gt;0,"rg:True","rg:None")</f>
        <v>rg:None</v>
      </c>
    </row>
    <row r="318" spans="1:25" ht="72.5" x14ac:dyDescent="0.35">
      <c r="A318" s="5" t="s">
        <v>57</v>
      </c>
      <c r="B318" s="5" t="s">
        <v>4</v>
      </c>
      <c r="D318" s="5" t="s">
        <v>57</v>
      </c>
      <c r="E318" s="76" t="s">
        <v>383</v>
      </c>
      <c r="F318" s="5" t="s">
        <v>5</v>
      </c>
      <c r="G318" s="4"/>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Permission</v>
      </c>
      <c r="V318"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5">
      <c r="A319" s="5" t="s">
        <v>57</v>
      </c>
      <c r="B319" s="5" t="s">
        <v>6</v>
      </c>
      <c r="D319" s="5" t="s">
        <v>6</v>
      </c>
      <c r="E319" s="54" t="s">
        <v>346</v>
      </c>
      <c r="F319" s="5" t="s">
        <v>5</v>
      </c>
      <c r="G319" s="4" t="s">
        <v>62</v>
      </c>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Permission</v>
      </c>
      <c r="W319" s="8" t="str">
        <f>IF(LEN(Table2[[#This Row],[!FK]])&gt;0,Table2[[#This Row],[!FK]],"rg:None")</f>
        <v>rg:None</v>
      </c>
      <c r="X319" s="8" t="str">
        <f>IF(LEN(concatif2(A:A,Table2[[#This Row],[!Table]],G:G,"Y",D:D,",")) &gt; 0,"rg:[ { 'req' : '"&amp;concatif2(A:A,Table2[[#This Row],[!Table]],G:G,"Y",D:D,"' }, { 'req': '")&amp;"'} ]","rg:[]")</f>
        <v>rg:[ { 'req' : 'id' }, { 'req': 'code' }, { 'req': 'name' }, { 'req': 'description'} ]</v>
      </c>
      <c r="Y319" s="8" t="str">
        <f>IF(LEN(Table2[[#This Row],[!Unique]])&gt;0,"rg:True","rg:None")</f>
        <v>rg:None</v>
      </c>
    </row>
    <row r="320" spans="1:25" x14ac:dyDescent="0.35">
      <c r="A320" s="5" t="s">
        <v>57</v>
      </c>
      <c r="B320" s="5" t="s">
        <v>7</v>
      </c>
      <c r="C320" s="5">
        <v>50</v>
      </c>
      <c r="D320" s="5" t="s">
        <v>58</v>
      </c>
      <c r="E320" s="54" t="s">
        <v>347</v>
      </c>
      <c r="F320" s="5" t="s">
        <v>5</v>
      </c>
      <c r="G320" s="4" t="s">
        <v>62</v>
      </c>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50</v>
      </c>
      <c r="U320" s="8" t="str">
        <f>IF(LEN(Table2[[#This Row],[!Name]]) &gt; 0, Table2[[#This Row],[!Name]], "rg:None")</f>
        <v>code</v>
      </c>
      <c r="V320" s="8" t="str">
        <f>IF(LEN(Table2[[#This Row],[!Description]]) &gt; 0, Table2[[#This Row],[!Description]], "rg:None")</f>
        <v>The name of the permission referenced in the software of the application.</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ht="29" x14ac:dyDescent="0.35">
      <c r="A321" s="5" t="s">
        <v>57</v>
      </c>
      <c r="B321" s="5" t="s">
        <v>7</v>
      </c>
      <c r="C321" s="5">
        <v>150</v>
      </c>
      <c r="D321" s="5" t="s">
        <v>15</v>
      </c>
      <c r="E321" s="54" t="s">
        <v>348</v>
      </c>
      <c r="F321" s="5" t="s">
        <v>5</v>
      </c>
      <c r="G321" s="4" t="s">
        <v>62</v>
      </c>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150</v>
      </c>
      <c r="U321" s="8" t="str">
        <f>IF(LEN(Table2[[#This Row],[!Name]]) &gt; 0, Table2[[#This Row],[!Name]], "rg:None")</f>
        <v>name</v>
      </c>
      <c r="V321" s="8" t="str">
        <f>IF(LEN(Table2[[#This Row],[!Description]]) &gt; 0, Table2[[#This Row],[!Description]], "rg:None")</f>
        <v>The 'user friendly' name of the permission exposed to the user selecting the permissions to be included in a Role.</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ht="29" x14ac:dyDescent="0.35">
      <c r="A322" s="5" t="s">
        <v>57</v>
      </c>
      <c r="B322" s="5" t="s">
        <v>7</v>
      </c>
      <c r="C322" s="5">
        <v>2048</v>
      </c>
      <c r="D322" s="5" t="s">
        <v>14</v>
      </c>
      <c r="E322" s="54" t="s">
        <v>349</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2048</v>
      </c>
      <c r="U322" s="8" t="str">
        <f>IF(LEN(Table2[[#This Row],[!Name]]) &gt; 0, Table2[[#This Row],[!Name]], "rg:None")</f>
        <v>description</v>
      </c>
      <c r="V322" s="8" t="str">
        <f>IF(LEN(Table2[[#This Row],[!Description]]) &gt; 0, Table2[[#This Row],[!Description]], "rg:None")</f>
        <v>A description of the purpose of the permission and exposed to the user selecting the permissions to be included in a Role.</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x14ac:dyDescent="0.35">
      <c r="A323" s="5" t="s">
        <v>59</v>
      </c>
      <c r="B323" s="5" t="s">
        <v>4</v>
      </c>
      <c r="D323" s="5" t="s">
        <v>59</v>
      </c>
      <c r="E323" s="54" t="s">
        <v>350</v>
      </c>
      <c r="F323" s="5" t="s">
        <v>5</v>
      </c>
      <c r="G323" s="4"/>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GroupMembership</v>
      </c>
      <c r="V323" s="8" t="str">
        <f>IF(LEN(Table2[[#This Row],[!Description]]) &gt; 0, Table2[[#This Row],[!Description]], "rg:None")</f>
        <v>The users associated with a given group that has been defined in the application.</v>
      </c>
      <c r="W323" s="8" t="str">
        <f>IF(LEN(Table2[[#This Row],[!FK]])&gt;0,Table2[[#This Row],[!FK]],"rg:None")</f>
        <v>rg:None</v>
      </c>
      <c r="X323" s="8" t="str">
        <f>IF(LEN(concatif2(A:A,Table2[[#This Row],[!Table]],G:G,"Y",D:D,",")) &gt; 0,"rg:[ { 'req' : '"&amp;concatif2(A:A,Table2[[#This Row],[!Table]],G:G,"Y",D:D,"' }, { 'req': '")&amp;"'} ]","rg:[]")</f>
        <v>rg:[ { 'req' : 'id' }, { 'req': 'active'} ]</v>
      </c>
      <c r="Y323" s="8" t="str">
        <f>IF(LEN(Table2[[#This Row],[!Unique]])&gt;0,"rg:True","rg:None")</f>
        <v>rg:None</v>
      </c>
    </row>
    <row r="324" spans="1:25" x14ac:dyDescent="0.35">
      <c r="A324" s="5" t="s">
        <v>59</v>
      </c>
      <c r="B324" s="5" t="s">
        <v>6</v>
      </c>
      <c r="D324" s="5" t="s">
        <v>6</v>
      </c>
      <c r="E324" s="54" t="s">
        <v>351</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GroupMembership</v>
      </c>
      <c r="W324" s="8" t="str">
        <f>IF(LEN(Table2[[#This Row],[!FK]])&gt;0,Table2[[#This Row],[!FK]],"rg:None")</f>
        <v>rg:None</v>
      </c>
      <c r="X324" s="8" t="str">
        <f>IF(LEN(concatif2(A:A,Table2[[#This Row],[!Table]],G:G,"Y",D:D,",")) &gt; 0,"rg:[ { 'req' : '"&amp;concatif2(A:A,Table2[[#This Row],[!Table]],G:G,"Y",D:D,"' }, { 'req': '")&amp;"'} ]","rg:[]")</f>
        <v>rg:[ { 'req' : 'id' }, { 'req': 'active'} ]</v>
      </c>
      <c r="Y324" s="8" t="str">
        <f>IF(LEN(Table2[[#This Row],[!Unique]])&gt;0,"rg:True","rg:None")</f>
        <v>rg:None</v>
      </c>
    </row>
    <row r="325" spans="1:25" ht="29" x14ac:dyDescent="0.35">
      <c r="A325" s="5" t="s">
        <v>59</v>
      </c>
      <c r="B325" s="5" t="s">
        <v>9</v>
      </c>
      <c r="D325" s="5" t="s">
        <v>41</v>
      </c>
      <c r="E325" s="54" t="s">
        <v>352</v>
      </c>
      <c r="F325" s="5" t="s">
        <v>5</v>
      </c>
      <c r="G325" s="4" t="s">
        <v>62</v>
      </c>
      <c r="H325" s="4"/>
      <c r="I325" s="5" t="str">
        <f t="shared" si="26"/>
        <v>Defs</v>
      </c>
      <c r="J325" s="8" t="str">
        <f>IF(Table2[[#This Row],[!Type]]=J$1, J$1,"rg:None")</f>
        <v>boolean</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active</v>
      </c>
      <c r="V325" s="8" t="str">
        <f>IF(LEN(Table2[[#This Row],[!Description]]) &gt; 0, Table2[[#This Row],[!Description]], "rg:None")</f>
        <v>A flag indicating the User is active in the group. Set false to remove the user from the designated group.</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5">
      <c r="A326" s="5" t="s">
        <v>59</v>
      </c>
      <c r="B326" s="5" t="s">
        <v>8</v>
      </c>
      <c r="D326" s="5" t="s">
        <v>60</v>
      </c>
      <c r="F326" s="5" t="s">
        <v>61</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ref</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group</v>
      </c>
      <c r="V326" s="8" t="str">
        <f>IF(LEN(Table2[[#This Row],[!Description]]) &gt; 0, Table2[[#This Row],[!Description]], "rg:None")</f>
        <v>rg:None</v>
      </c>
      <c r="W326" s="8" t="str">
        <f>IF(LEN(Table2[[#This Row],[!FK]])&gt;0,Table2[[#This Row],[!FK]],"rg:None")</f>
        <v>Group</v>
      </c>
      <c r="X326" s="8" t="str">
        <f>IF(LEN(concatif2(A:A,Table2[[#This Row],[!Table]],G:G,"Y",D:D,",")) &gt; 0,"rg:[ { 'req' : '"&amp;concatif2(A:A,Table2[[#This Row],[!Table]],G:G,"Y",D:D,"' }, { 'req': '")&amp;"'} ]","rg:[]")</f>
        <v>rg:[ { 'req' : 'id' }, { 'req': 'active'} ]</v>
      </c>
      <c r="Y326" s="8" t="str">
        <f>IF(LEN(Table2[[#This Row],[!Unique]])&gt;0,"rg:True","rg:None")</f>
        <v>rg:None</v>
      </c>
    </row>
    <row r="327" spans="1:25" x14ac:dyDescent="0.35">
      <c r="A327" s="5" t="s">
        <v>59</v>
      </c>
      <c r="B327" s="5" t="s">
        <v>8</v>
      </c>
      <c r="D327" s="5" t="s">
        <v>40</v>
      </c>
      <c r="F327" s="5" t="s">
        <v>0</v>
      </c>
      <c r="G327" s="4"/>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ref</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v>
      </c>
      <c r="V327" s="8" t="str">
        <f>IF(LEN(Table2[[#This Row],[!Description]]) &gt; 0, Table2[[#This Row],[!Description]], "rg:None")</f>
        <v>rg:None</v>
      </c>
      <c r="W327" s="8" t="str">
        <f>IF(LEN(Table2[[#This Row],[!FK]])&gt;0,Table2[[#This Row],[!FK]],"rg:None")</f>
        <v>User</v>
      </c>
      <c r="X327" s="8" t="str">
        <f>IF(LEN(concatif2(A:A,Table2[[#This Row],[!Table]],G:G,"Y",D:D,",")) &gt; 0,"rg:[ { 'req' : '"&amp;concatif2(A:A,Table2[[#This Row],[!Table]],G:G,"Y",D:D,"' }, { 'req': '")&amp;"'} ]","rg:[]")</f>
        <v>rg:[ { 'req' : 'id' }, { 'req': 'active'} ]</v>
      </c>
      <c r="Y327" s="8" t="str">
        <f>IF(LEN(Table2[[#This Row],[!Unique]])&gt;0,"rg:True","rg:None")</f>
        <v>rg:None</v>
      </c>
    </row>
    <row r="328" spans="1:25" ht="43.5" x14ac:dyDescent="0.35">
      <c r="A328" s="5" t="s">
        <v>61</v>
      </c>
      <c r="B328" s="5" t="s">
        <v>4</v>
      </c>
      <c r="D328" s="5" t="s">
        <v>61</v>
      </c>
      <c r="E328" s="76" t="s">
        <v>384</v>
      </c>
      <c r="F328" s="5" t="s">
        <v>5</v>
      </c>
      <c r="G328" s="4"/>
      <c r="H328" s="4"/>
      <c r="I328" s="5" t="str">
        <f t="shared" si="26"/>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Group</v>
      </c>
      <c r="V328"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8" s="8" t="str">
        <f>IF(LEN(Table2[[#This Row],[!FK]])&gt;0,Table2[[#This Row],[!FK]],"rg:None")</f>
        <v>rg:None</v>
      </c>
      <c r="X328" s="8" t="str">
        <f>IF(LEN(concatif2(A:A,Table2[[#This Row],[!Table]],G:G,"Y",D:D,",")) &gt; 0,"rg:[ { 'req' : '"&amp;concatif2(A:A,Table2[[#This Row],[!Table]],G:G,"Y",D:D,"' }, { 'req': '")&amp;"'} ]","rg:[]")</f>
        <v>rg:[ { 'req' : 'id' }, { 'req': 'name' }, { 'req': 'description'} ]</v>
      </c>
      <c r="Y328" s="8" t="str">
        <f>IF(LEN(Table2[[#This Row],[!Unique]])&gt;0,"rg:True","rg:None")</f>
        <v>rg:None</v>
      </c>
    </row>
    <row r="329" spans="1:25" x14ac:dyDescent="0.35">
      <c r="A329" s="5" t="s">
        <v>61</v>
      </c>
      <c r="B329" s="5" t="s">
        <v>6</v>
      </c>
      <c r="D329" s="5" t="s">
        <v>6</v>
      </c>
      <c r="E329" s="54" t="s">
        <v>353</v>
      </c>
      <c r="F329" s="5" t="s">
        <v>5</v>
      </c>
      <c r="G329" s="4" t="s">
        <v>62</v>
      </c>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Group</v>
      </c>
      <c r="W329" s="8" t="str">
        <f>IF(LEN(Table2[[#This Row],[!FK]])&gt;0,Table2[[#This Row],[!FK]],"rg:None")</f>
        <v>rg:None</v>
      </c>
      <c r="X329" s="8" t="str">
        <f>IF(LEN(concatif2(A:A,Table2[[#This Row],[!Table]],G:G,"Y",D:D,",")) &gt; 0,"rg:[ { 'req' : '"&amp;concatif2(A:A,Table2[[#This Row],[!Table]],G:G,"Y",D:D,"' }, { 'req': '")&amp;"'} ]","rg:[]")</f>
        <v>rg:[ { 'req' : 'id' }, { 'req': 'name' }, { 'req': 'description'} ]</v>
      </c>
      <c r="Y329" s="8" t="str">
        <f>IF(LEN(Table2[[#This Row],[!Unique]])&gt;0,"rg:True","rg:None")</f>
        <v>rg:None</v>
      </c>
    </row>
    <row r="330" spans="1:25" x14ac:dyDescent="0.35">
      <c r="A330" s="5" t="s">
        <v>61</v>
      </c>
      <c r="B330" s="5" t="s">
        <v>7</v>
      </c>
      <c r="C330" s="5">
        <v>150</v>
      </c>
      <c r="D330" s="5" t="s">
        <v>15</v>
      </c>
      <c r="E330" s="54" t="s">
        <v>354</v>
      </c>
      <c r="F330" s="5" t="s">
        <v>5</v>
      </c>
      <c r="G330" s="4" t="s">
        <v>62</v>
      </c>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string</v>
      </c>
      <c r="S330" s="5" t="str">
        <f>IF(Table2[[#This Row],[!Type]]=S$1, S$1,"rg:None")</f>
        <v>rg:None</v>
      </c>
      <c r="T330" s="8">
        <f>IF(LEN(Table2[[#This Row],[!Length]]) &gt; 0, Table2[[#This Row],[!Length]], "rg:None")</f>
        <v>150</v>
      </c>
      <c r="U330" s="8" t="str">
        <f>IF(LEN(Table2[[#This Row],[!Name]]) &gt; 0, Table2[[#This Row],[!Name]], "rg:None")</f>
        <v>name</v>
      </c>
      <c r="V330" s="8" t="str">
        <f>IF(LEN(Table2[[#This Row],[!Description]]) &gt; 0, Table2[[#This Row],[!Description]], "rg:None")</f>
        <v>The name of the group, as refenced in the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ht="29" x14ac:dyDescent="0.35">
      <c r="A331" s="5" t="s">
        <v>61</v>
      </c>
      <c r="B331" s="5" t="s">
        <v>7</v>
      </c>
      <c r="C331" s="5">
        <v>2048</v>
      </c>
      <c r="D331" s="5" t="s">
        <v>14</v>
      </c>
      <c r="E331" s="54" t="s">
        <v>355</v>
      </c>
      <c r="F331" s="5" t="s">
        <v>5</v>
      </c>
      <c r="G331" s="4" t="s">
        <v>62</v>
      </c>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string</v>
      </c>
      <c r="S331" s="5" t="str">
        <f>IF(Table2[[#This Row],[!Type]]=S$1, S$1,"rg:None")</f>
        <v>rg:None</v>
      </c>
      <c r="T331" s="8">
        <f>IF(LEN(Table2[[#This Row],[!Length]]) &gt; 0, Table2[[#This Row],[!Length]], "rg:None")</f>
        <v>2048</v>
      </c>
      <c r="U331" s="8" t="str">
        <f>IF(LEN(Table2[[#This Row],[!Name]]) &gt; 0, Table2[[#This Row],[!Name]], "rg:None")</f>
        <v>description</v>
      </c>
      <c r="V331" s="8" t="str">
        <f>IF(LEN(Table2[[#This Row],[!Description]]) &gt; 0, Table2[[#This Row],[!Description]], "rg:None")</f>
        <v>A description of the group that is presented to the user when they are setting a user into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5">
      <c r="A332" s="126" t="s">
        <v>472</v>
      </c>
      <c r="B332" s="126"/>
      <c r="C332" s="126"/>
      <c r="D332" s="126"/>
      <c r="E332" s="127"/>
      <c r="F332" s="127"/>
      <c r="G332" s="126"/>
      <c r="H332" s="126"/>
      <c r="I332" s="8"/>
      <c r="J332" s="8"/>
      <c r="K332" s="8"/>
      <c r="L332" s="8"/>
      <c r="M332" s="8"/>
      <c r="N332" s="8"/>
      <c r="O332" s="8"/>
      <c r="P332" s="8"/>
      <c r="Q332" s="8"/>
      <c r="R332" s="8"/>
      <c r="S332" s="8"/>
      <c r="T332" s="8"/>
      <c r="U332" s="8"/>
      <c r="V332" s="8"/>
      <c r="W332" s="8"/>
      <c r="Y332" s="8">
        <f>SUBTOTAL(103,Table2[Unique])</f>
        <v>330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640625" defaultRowHeight="15.5" x14ac:dyDescent="0.35"/>
  <cols>
    <col min="1" max="1" width="25.1640625" style="5" customWidth="1"/>
    <col min="2" max="2" width="26.58203125" style="5" customWidth="1"/>
    <col min="3" max="3" width="25.6640625" style="5" bestFit="1" customWidth="1"/>
    <col min="4" max="4" width="33.5" style="6" customWidth="1"/>
    <col min="5" max="5" width="19.4140625" style="6" customWidth="1"/>
    <col min="6" max="6" width="33.5" style="6" customWidth="1"/>
    <col min="7" max="7" width="8.6640625" customWidth="1"/>
    <col min="8" max="20" width="8.6640625" style="5" customWidth="1"/>
    <col min="21" max="16384" width="8.6640625" style="5"/>
  </cols>
  <sheetData>
    <row r="1" spans="1:20" s="1" customFormat="1" ht="14.5" x14ac:dyDescent="0.35">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5">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5">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5">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5">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5">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5">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5">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5">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5">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5">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5">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5">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5">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5">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5">
      <c r="A16" s="7" t="s">
        <v>75</v>
      </c>
      <c r="B16" s="10" t="s">
        <v>97</v>
      </c>
      <c r="C16" s="3" t="s">
        <v>53</v>
      </c>
      <c r="D16" s="87" t="s">
        <v>473</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5">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5">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5">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5">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5">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5">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5">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5">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5">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5">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5">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5">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5">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5">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5">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5">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5">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5">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5">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5">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5">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5">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5">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5">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5">
      <c r="A41" s="35" t="s">
        <v>75</v>
      </c>
      <c r="B41" s="35" t="s">
        <v>516</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5">
      <c r="A42" s="35" t="s">
        <v>77</v>
      </c>
      <c r="B42" s="35" t="s">
        <v>516</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5">
      <c r="A43" s="35" t="s">
        <v>75</v>
      </c>
      <c r="B43" s="116" t="s">
        <v>526</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5">
      <c r="A44" s="35" t="s">
        <v>77</v>
      </c>
      <c r="B44" s="116" t="s">
        <v>526</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5">
      <c r="A45" s="35" t="s">
        <v>75</v>
      </c>
      <c r="B45" s="35" t="s">
        <v>517</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5">
      <c r="A46" s="35" t="s">
        <v>77</v>
      </c>
      <c r="B46" s="35" t="s">
        <v>517</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5">
      <c r="A47" s="35" t="s">
        <v>75</v>
      </c>
      <c r="B47" s="35" t="s">
        <v>518</v>
      </c>
      <c r="C47" t="s">
        <v>488</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5">
      <c r="A48" s="35" t="s">
        <v>77</v>
      </c>
      <c r="B48" s="35" t="s">
        <v>518</v>
      </c>
      <c r="C48" t="s">
        <v>488</v>
      </c>
      <c r="D48" s="36" t="s">
        <v>488</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5">
      <c r="A49" s="35" t="s">
        <v>75</v>
      </c>
      <c r="B49" s="35" t="s">
        <v>519</v>
      </c>
      <c r="C49" t="s">
        <v>475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5">
      <c r="A50" s="35" t="s">
        <v>77</v>
      </c>
      <c r="B50" s="35" t="s">
        <v>519</v>
      </c>
      <c r="C50" t="s">
        <v>475</v>
      </c>
      <c r="D50" s="36" t="s">
        <v>475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5">
      <c r="A51" s="35" t="s">
        <v>75</v>
      </c>
      <c r="B51" s="35" t="s">
        <v>520</v>
      </c>
      <c r="C51" t="s">
        <v>438</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5">
      <c r="A52" s="35" t="s">
        <v>77</v>
      </c>
      <c r="B52" s="35" t="s">
        <v>520</v>
      </c>
      <c r="C52" t="s">
        <v>438</v>
      </c>
      <c r="D52" s="36" t="s">
        <v>438</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5">
      <c r="A53" s="35" t="s">
        <v>75</v>
      </c>
      <c r="B53" s="35" t="s">
        <v>521</v>
      </c>
      <c r="C53" t="s">
        <v>456</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5">
      <c r="A54" s="35" t="s">
        <v>77</v>
      </c>
      <c r="B54" s="35" t="s">
        <v>521</v>
      </c>
      <c r="C54" t="s">
        <v>456</v>
      </c>
      <c r="D54" s="36" t="s">
        <v>456</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5">
      <c r="A55" s="35" t="s">
        <v>75</v>
      </c>
      <c r="B55" s="35" t="s">
        <v>522</v>
      </c>
      <c r="C55" t="s">
        <v>439</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5">
      <c r="A56" s="35" t="s">
        <v>77</v>
      </c>
      <c r="B56" s="35" t="s">
        <v>522</v>
      </c>
      <c r="C56" t="s">
        <v>439</v>
      </c>
      <c r="D56" s="36" t="s">
        <v>439</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5">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5">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5">
      <c r="A59" s="35" t="s">
        <v>75</v>
      </c>
      <c r="B59" s="35" t="s">
        <v>523</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5">
      <c r="A60" s="35" t="s">
        <v>77</v>
      </c>
      <c r="B60" s="35" t="s">
        <v>523</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5">
      <c r="A61" s="35" t="s">
        <v>75</v>
      </c>
      <c r="B61" s="35" t="s">
        <v>524</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5">
      <c r="A62" s="35" t="s">
        <v>77</v>
      </c>
      <c r="B62" s="35" t="s">
        <v>524</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5">
      <c r="A63" s="35" t="s">
        <v>75</v>
      </c>
      <c r="B63" s="35" t="s">
        <v>525</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5">
      <c r="A64" s="35" t="s">
        <v>77</v>
      </c>
      <c r="B64" s="35" t="s">
        <v>525</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5">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5">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5" x14ac:dyDescent="0.35"/>
  <cols>
    <col min="2" max="2" width="23" bestFit="1" customWidth="1"/>
  </cols>
  <sheetData>
    <row r="1" spans="1:2" x14ac:dyDescent="0.35">
      <c r="A1" t="s">
        <v>65</v>
      </c>
      <c r="B1" t="s">
        <v>68</v>
      </c>
    </row>
    <row r="2" spans="1:2" x14ac:dyDescent="0.35">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5" x14ac:dyDescent="0.35"/>
  <cols>
    <col min="2" max="2" width="28.4140625" bestFit="1" customWidth="1"/>
  </cols>
  <sheetData>
    <row r="1" spans="1:2" x14ac:dyDescent="0.35">
      <c r="A1" t="s">
        <v>65</v>
      </c>
      <c r="B1" t="s">
        <v>68</v>
      </c>
    </row>
    <row r="2" spans="1:2" x14ac:dyDescent="0.35">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2017-02-23T20:29:33Z</dcterms:modified>
</cp:coreProperties>
</file>