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26388" windowHeight="10884"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defs.csv!$A$1:$Y$314</definedName>
    <definedName name="_xlnm._FilterDatabase" localSheetId="1" hidden="1">paths.csv!$A$1:$F$46</definedName>
  </definedNames>
  <calcPr calcId="171027"/>
</workbook>
</file>

<file path=xl/calcChain.xml><?xml version="1.0" encoding="utf-8"?>
<calcChain xmlns="http://schemas.openxmlformats.org/spreadsheetml/2006/main">
  <c r="I43" i="27" l="1"/>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145" i="27"/>
  <c r="J145" i="27"/>
  <c r="K145" i="27"/>
  <c r="L145" i="27"/>
  <c r="M145" i="27"/>
  <c r="N145" i="27"/>
  <c r="O145" i="27"/>
  <c r="P145" i="27"/>
  <c r="Q145" i="27"/>
  <c r="R145" i="27"/>
  <c r="S145" i="27"/>
  <c r="T145" i="27"/>
  <c r="U145" i="27"/>
  <c r="V145" i="27"/>
  <c r="W145" i="27"/>
  <c r="Y145" i="27"/>
  <c r="I90" i="27"/>
  <c r="J90" i="27"/>
  <c r="K90" i="27"/>
  <c r="L90" i="27"/>
  <c r="M90" i="27"/>
  <c r="N90" i="27"/>
  <c r="O90" i="27"/>
  <c r="P90" i="27"/>
  <c r="Q90" i="27"/>
  <c r="R90" i="27"/>
  <c r="S90" i="27"/>
  <c r="T90" i="27"/>
  <c r="U90" i="27"/>
  <c r="V90" i="27"/>
  <c r="W90" i="27"/>
  <c r="Y90" i="27"/>
  <c r="I29" i="27"/>
  <c r="I30" i="27"/>
  <c r="I31" i="27"/>
  <c r="I32" i="27"/>
  <c r="J29" i="27"/>
  <c r="J30" i="27"/>
  <c r="J31" i="27"/>
  <c r="J32" i="27"/>
  <c r="K29" i="27"/>
  <c r="K30" i="27"/>
  <c r="K31" i="27"/>
  <c r="K32" i="27"/>
  <c r="L29" i="27"/>
  <c r="L30" i="27"/>
  <c r="L31" i="27"/>
  <c r="L32" i="27"/>
  <c r="M29" i="27"/>
  <c r="M30" i="27"/>
  <c r="M31" i="27"/>
  <c r="M32" i="27"/>
  <c r="N29" i="27"/>
  <c r="N30" i="27"/>
  <c r="N31" i="27"/>
  <c r="N32" i="27"/>
  <c r="O29" i="27"/>
  <c r="O30" i="27"/>
  <c r="O31" i="27"/>
  <c r="O32" i="27"/>
  <c r="P29" i="27"/>
  <c r="P30" i="27"/>
  <c r="P31" i="27"/>
  <c r="P32" i="27"/>
  <c r="Q29" i="27"/>
  <c r="Q30" i="27"/>
  <c r="Q31" i="27"/>
  <c r="Q32" i="27"/>
  <c r="R29" i="27"/>
  <c r="R30" i="27"/>
  <c r="R31" i="27"/>
  <c r="R32" i="27"/>
  <c r="S29" i="27"/>
  <c r="S30" i="27"/>
  <c r="S31" i="27"/>
  <c r="S32" i="27"/>
  <c r="T29" i="27"/>
  <c r="T30" i="27"/>
  <c r="T31" i="27"/>
  <c r="T32" i="27"/>
  <c r="U29" i="27"/>
  <c r="U30" i="27"/>
  <c r="U31" i="27"/>
  <c r="U32" i="27"/>
  <c r="V29" i="27"/>
  <c r="V30" i="27"/>
  <c r="V31" i="27"/>
  <c r="V32" i="27"/>
  <c r="W29" i="27"/>
  <c r="W30" i="27"/>
  <c r="W31" i="27"/>
  <c r="W32" i="27"/>
  <c r="Y29" i="27"/>
  <c r="Y30" i="27"/>
  <c r="Y31" i="27"/>
  <c r="Y32" i="27"/>
  <c r="I49" i="27"/>
  <c r="J49" i="27"/>
  <c r="K49" i="27"/>
  <c r="L49" i="27"/>
  <c r="M49" i="27"/>
  <c r="N49" i="27"/>
  <c r="O49" i="27"/>
  <c r="P49" i="27"/>
  <c r="Q49" i="27"/>
  <c r="R49" i="27"/>
  <c r="S49" i="27"/>
  <c r="T49" i="27"/>
  <c r="U49" i="27"/>
  <c r="V49" i="27"/>
  <c r="W49" i="27"/>
  <c r="Y49" i="27"/>
  <c r="I18" i="27"/>
  <c r="J18" i="27"/>
  <c r="K18" i="27"/>
  <c r="L18" i="27"/>
  <c r="M18" i="27"/>
  <c r="N18" i="27"/>
  <c r="O18" i="27"/>
  <c r="P18" i="27"/>
  <c r="Q18" i="27"/>
  <c r="R18" i="27"/>
  <c r="S18" i="27"/>
  <c r="T18" i="27"/>
  <c r="U18" i="27"/>
  <c r="V18" i="27"/>
  <c r="W18" i="27"/>
  <c r="Y18" i="27"/>
  <c r="X31" i="27"/>
  <c r="X44" i="27"/>
  <c r="X145" i="27"/>
  <c r="X90" i="27"/>
  <c r="X29" i="27"/>
  <c r="X43" i="27"/>
  <c r="X49" i="27"/>
  <c r="X32" i="27"/>
  <c r="X18" i="27"/>
  <c r="X30" i="27"/>
  <c r="I92" i="27" l="1"/>
  <c r="J92" i="27"/>
  <c r="K92" i="27"/>
  <c r="L92" i="27"/>
  <c r="M92" i="27"/>
  <c r="N92" i="27"/>
  <c r="O92" i="27"/>
  <c r="P92" i="27"/>
  <c r="Q92" i="27"/>
  <c r="R92" i="27"/>
  <c r="S92" i="27"/>
  <c r="T92" i="27"/>
  <c r="U92" i="27"/>
  <c r="V92" i="27"/>
  <c r="W92" i="27"/>
  <c r="Y92" i="27"/>
  <c r="I91" i="27"/>
  <c r="J91" i="27"/>
  <c r="K91" i="27"/>
  <c r="L91" i="27"/>
  <c r="M91" i="27"/>
  <c r="N91" i="27"/>
  <c r="O91" i="27"/>
  <c r="P91" i="27"/>
  <c r="Q91" i="27"/>
  <c r="R91" i="27"/>
  <c r="S91" i="27"/>
  <c r="T91" i="27"/>
  <c r="U91" i="27"/>
  <c r="V91" i="27"/>
  <c r="W91" i="27"/>
  <c r="Y91" i="27"/>
  <c r="I182" i="27"/>
  <c r="J182" i="27"/>
  <c r="K182" i="27"/>
  <c r="L182" i="27"/>
  <c r="M182" i="27"/>
  <c r="N182" i="27"/>
  <c r="O182" i="27"/>
  <c r="P182" i="27"/>
  <c r="Q182" i="27"/>
  <c r="R182" i="27"/>
  <c r="S182" i="27"/>
  <c r="T182" i="27"/>
  <c r="U182" i="27"/>
  <c r="V182" i="27"/>
  <c r="W182" i="27"/>
  <c r="Y182" i="27"/>
  <c r="I181" i="27"/>
  <c r="J181" i="27"/>
  <c r="K181" i="27"/>
  <c r="L181" i="27"/>
  <c r="M181" i="27"/>
  <c r="N181" i="27"/>
  <c r="O181" i="27"/>
  <c r="P181" i="27"/>
  <c r="Q181" i="27"/>
  <c r="R181" i="27"/>
  <c r="S181" i="27"/>
  <c r="T181" i="27"/>
  <c r="U181" i="27"/>
  <c r="V181" i="27"/>
  <c r="W181" i="27"/>
  <c r="Y181" i="27"/>
  <c r="I180" i="27"/>
  <c r="J180" i="27"/>
  <c r="K180" i="27"/>
  <c r="L180" i="27"/>
  <c r="M180" i="27"/>
  <c r="N180" i="27"/>
  <c r="O180" i="27"/>
  <c r="P180" i="27"/>
  <c r="Q180" i="27"/>
  <c r="R180" i="27"/>
  <c r="S180" i="27"/>
  <c r="T180" i="27"/>
  <c r="U180" i="27"/>
  <c r="V180" i="27"/>
  <c r="W180" i="27"/>
  <c r="Y180" i="27"/>
  <c r="X92" i="27"/>
  <c r="X180" i="27"/>
  <c r="X182" i="27"/>
  <c r="X181" i="27"/>
  <c r="X91" i="27"/>
  <c r="I285" i="27" l="1"/>
  <c r="J285" i="27"/>
  <c r="K285" i="27"/>
  <c r="L285" i="27"/>
  <c r="M285" i="27"/>
  <c r="N285" i="27"/>
  <c r="O285" i="27"/>
  <c r="P285" i="27"/>
  <c r="Q285" i="27"/>
  <c r="R285" i="27"/>
  <c r="S285" i="27"/>
  <c r="T285" i="27"/>
  <c r="U285" i="27"/>
  <c r="V285" i="27"/>
  <c r="W285" i="27"/>
  <c r="Y285" i="27"/>
  <c r="X285" i="27"/>
  <c r="I28" i="27" l="1"/>
  <c r="J28" i="27"/>
  <c r="K28" i="27"/>
  <c r="L28" i="27"/>
  <c r="M28" i="27"/>
  <c r="N28" i="27"/>
  <c r="O28" i="27"/>
  <c r="P28" i="27"/>
  <c r="Q28" i="27"/>
  <c r="R28" i="27"/>
  <c r="S28" i="27"/>
  <c r="T28" i="27"/>
  <c r="U28" i="27"/>
  <c r="V28" i="27"/>
  <c r="W28" i="27"/>
  <c r="Y28" i="27"/>
  <c r="I191" i="27"/>
  <c r="J191" i="27"/>
  <c r="K191" i="27"/>
  <c r="L191" i="27"/>
  <c r="M191" i="27"/>
  <c r="N191" i="27"/>
  <c r="O191" i="27"/>
  <c r="P191" i="27"/>
  <c r="Q191" i="27"/>
  <c r="R191" i="27"/>
  <c r="S191" i="27"/>
  <c r="T191" i="27"/>
  <c r="U191" i="27"/>
  <c r="V191" i="27"/>
  <c r="W191" i="27"/>
  <c r="Y191" i="27"/>
  <c r="X28" i="27"/>
  <c r="X191" i="27"/>
  <c r="I165" i="27" l="1"/>
  <c r="J165" i="27"/>
  <c r="K165" i="27"/>
  <c r="L165" i="27"/>
  <c r="M165" i="27"/>
  <c r="N165" i="27"/>
  <c r="O165" i="27"/>
  <c r="P165" i="27"/>
  <c r="Q165" i="27"/>
  <c r="R165" i="27"/>
  <c r="S165" i="27"/>
  <c r="T165" i="27"/>
  <c r="U165" i="27"/>
  <c r="V165" i="27"/>
  <c r="W165" i="27"/>
  <c r="Y165" i="27"/>
  <c r="I265" i="27"/>
  <c r="J265" i="27"/>
  <c r="K265" i="27"/>
  <c r="L265" i="27"/>
  <c r="M265" i="27"/>
  <c r="N265" i="27"/>
  <c r="O265" i="27"/>
  <c r="P265" i="27"/>
  <c r="Q265" i="27"/>
  <c r="R265" i="27"/>
  <c r="S265" i="27"/>
  <c r="T265" i="27"/>
  <c r="U265" i="27"/>
  <c r="V265" i="27"/>
  <c r="W265" i="27"/>
  <c r="Y265" i="27"/>
  <c r="Y269" i="27"/>
  <c r="W269" i="27"/>
  <c r="V269" i="27"/>
  <c r="U269" i="27"/>
  <c r="T269" i="27"/>
  <c r="S269" i="27"/>
  <c r="R269" i="27"/>
  <c r="Q269" i="27"/>
  <c r="P269" i="27"/>
  <c r="O269" i="27"/>
  <c r="N269" i="27"/>
  <c r="M269" i="27"/>
  <c r="L269" i="27"/>
  <c r="K269" i="27"/>
  <c r="J269" i="27"/>
  <c r="I269" i="27"/>
  <c r="Y268" i="27"/>
  <c r="W268" i="27"/>
  <c r="V268" i="27"/>
  <c r="U268" i="27"/>
  <c r="T268" i="27"/>
  <c r="S268" i="27"/>
  <c r="R268" i="27"/>
  <c r="Q268" i="27"/>
  <c r="P268" i="27"/>
  <c r="O268" i="27"/>
  <c r="N268" i="27"/>
  <c r="M268" i="27"/>
  <c r="L268" i="27"/>
  <c r="K268" i="27"/>
  <c r="J268" i="27"/>
  <c r="I268" i="27"/>
  <c r="I258" i="27"/>
  <c r="J258" i="27"/>
  <c r="K258" i="27"/>
  <c r="L258" i="27"/>
  <c r="M258" i="27"/>
  <c r="N258" i="27"/>
  <c r="O258" i="27"/>
  <c r="P258" i="27"/>
  <c r="Q258" i="27"/>
  <c r="R258" i="27"/>
  <c r="S258" i="27"/>
  <c r="T258" i="27"/>
  <c r="U258" i="27"/>
  <c r="V258" i="27"/>
  <c r="W258" i="27"/>
  <c r="Y258" i="27"/>
  <c r="I251" i="27"/>
  <c r="J251" i="27"/>
  <c r="K251" i="27"/>
  <c r="L251" i="27"/>
  <c r="M251" i="27"/>
  <c r="N251" i="27"/>
  <c r="O251" i="27"/>
  <c r="P251" i="27"/>
  <c r="Q251" i="27"/>
  <c r="R251" i="27"/>
  <c r="S251" i="27"/>
  <c r="T251" i="27"/>
  <c r="U251" i="27"/>
  <c r="V251" i="27"/>
  <c r="W251" i="27"/>
  <c r="Y251" i="27"/>
  <c r="I243" i="27"/>
  <c r="J243" i="27"/>
  <c r="K243" i="27"/>
  <c r="L243" i="27"/>
  <c r="M243" i="27"/>
  <c r="N243" i="27"/>
  <c r="O243" i="27"/>
  <c r="P243" i="27"/>
  <c r="Q243" i="27"/>
  <c r="R243" i="27"/>
  <c r="S243" i="27"/>
  <c r="T243" i="27"/>
  <c r="U243" i="27"/>
  <c r="V243" i="27"/>
  <c r="W243" i="27"/>
  <c r="Y243" i="27"/>
  <c r="I179" i="27"/>
  <c r="J179" i="27"/>
  <c r="K179" i="27"/>
  <c r="L179" i="27"/>
  <c r="M179" i="27"/>
  <c r="N179" i="27"/>
  <c r="O179" i="27"/>
  <c r="P179" i="27"/>
  <c r="Q179" i="27"/>
  <c r="R179" i="27"/>
  <c r="S179" i="27"/>
  <c r="T179" i="27"/>
  <c r="U179" i="27"/>
  <c r="V179" i="27"/>
  <c r="W179" i="27"/>
  <c r="Y179" i="27"/>
  <c r="I93" i="27"/>
  <c r="J93" i="27"/>
  <c r="K93" i="27"/>
  <c r="L93" i="27"/>
  <c r="M93" i="27"/>
  <c r="N93" i="27"/>
  <c r="O93" i="27"/>
  <c r="P93" i="27"/>
  <c r="Q93" i="27"/>
  <c r="R93" i="27"/>
  <c r="S93" i="27"/>
  <c r="T93" i="27"/>
  <c r="U93" i="27"/>
  <c r="V93" i="27"/>
  <c r="W93" i="27"/>
  <c r="Y93" i="27"/>
  <c r="I36" i="27"/>
  <c r="J36" i="27"/>
  <c r="K36" i="27"/>
  <c r="L36" i="27"/>
  <c r="M36" i="27"/>
  <c r="N36" i="27"/>
  <c r="O36" i="27"/>
  <c r="P36" i="27"/>
  <c r="Q36" i="27"/>
  <c r="R36" i="27"/>
  <c r="S36" i="27"/>
  <c r="T36" i="27"/>
  <c r="U36" i="27"/>
  <c r="V36" i="27"/>
  <c r="W36" i="27"/>
  <c r="Y36" i="27"/>
  <c r="I75" i="27"/>
  <c r="J75" i="27"/>
  <c r="K75" i="27"/>
  <c r="L75" i="27"/>
  <c r="M75" i="27"/>
  <c r="N75" i="27"/>
  <c r="O75" i="27"/>
  <c r="P75" i="27"/>
  <c r="Q75" i="27"/>
  <c r="R75" i="27"/>
  <c r="S75" i="27"/>
  <c r="T75" i="27"/>
  <c r="U75" i="27"/>
  <c r="V75" i="27"/>
  <c r="W75" i="27"/>
  <c r="Y75" i="27"/>
  <c r="I76" i="27"/>
  <c r="J76" i="27"/>
  <c r="K76" i="27"/>
  <c r="L76" i="27"/>
  <c r="M76" i="27"/>
  <c r="N76" i="27"/>
  <c r="O76" i="27"/>
  <c r="P76" i="27"/>
  <c r="Q76" i="27"/>
  <c r="R76" i="27"/>
  <c r="S76" i="27"/>
  <c r="T76" i="27"/>
  <c r="U76" i="27"/>
  <c r="V76" i="27"/>
  <c r="W76" i="27"/>
  <c r="Y76" i="27"/>
  <c r="I6" i="27"/>
  <c r="J6" i="27"/>
  <c r="K6" i="27"/>
  <c r="L6" i="27"/>
  <c r="M6" i="27"/>
  <c r="N6" i="27"/>
  <c r="O6" i="27"/>
  <c r="P6" i="27"/>
  <c r="Q6" i="27"/>
  <c r="R6" i="27"/>
  <c r="S6" i="27"/>
  <c r="T6" i="27"/>
  <c r="U6" i="27"/>
  <c r="V6" i="27"/>
  <c r="W6" i="27"/>
  <c r="Y6" i="27"/>
  <c r="X243" i="27"/>
  <c r="X75" i="27"/>
  <c r="X251" i="27"/>
  <c r="X6" i="27"/>
  <c r="X258" i="27"/>
  <c r="X265" i="27"/>
  <c r="X36" i="27"/>
  <c r="X93" i="27"/>
  <c r="X268" i="27"/>
  <c r="X76" i="27"/>
  <c r="X269" i="27"/>
  <c r="X165" i="27"/>
  <c r="X179"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9" i="27"/>
  <c r="Y20" i="27"/>
  <c r="Y21" i="27"/>
  <c r="Y22" i="27"/>
  <c r="Y23" i="27"/>
  <c r="Y24" i="27"/>
  <c r="Y25" i="27"/>
  <c r="Y26" i="27"/>
  <c r="Y27" i="27"/>
  <c r="Y33" i="27"/>
  <c r="Y34" i="27"/>
  <c r="Y35" i="27"/>
  <c r="Y37" i="27"/>
  <c r="Y38" i="27"/>
  <c r="Y39" i="27"/>
  <c r="Y40" i="27"/>
  <c r="Y41" i="27"/>
  <c r="Y42" i="27"/>
  <c r="Y45" i="27"/>
  <c r="Y46" i="27"/>
  <c r="Y47" i="27"/>
  <c r="Y48" i="27"/>
  <c r="Y50" i="27"/>
  <c r="Y51" i="27"/>
  <c r="Y52" i="27"/>
  <c r="Y53" i="27"/>
  <c r="Y54" i="27"/>
  <c r="Y55" i="27"/>
  <c r="Y56" i="27"/>
  <c r="Y57" i="27"/>
  <c r="Y58" i="27"/>
  <c r="Y59" i="27"/>
  <c r="Y60" i="27"/>
  <c r="Y61" i="27"/>
  <c r="Y62" i="27"/>
  <c r="Y63" i="27"/>
  <c r="Y64" i="27"/>
  <c r="Y65" i="27"/>
  <c r="Y66" i="27"/>
  <c r="Y67" i="27"/>
  <c r="Y68" i="27"/>
  <c r="Y69" i="27"/>
  <c r="Y70" i="27"/>
  <c r="Y71" i="27"/>
  <c r="Y73" i="27"/>
  <c r="Y72" i="27"/>
  <c r="Y74" i="27"/>
  <c r="Y77" i="27"/>
  <c r="Y78" i="27"/>
  <c r="Y79" i="27"/>
  <c r="Y80" i="27"/>
  <c r="Y81" i="27"/>
  <c r="Y82" i="27"/>
  <c r="Y83" i="27"/>
  <c r="Y84" i="27"/>
  <c r="Y85" i="27"/>
  <c r="Y86" i="27"/>
  <c r="Y87" i="27"/>
  <c r="Y88" i="27"/>
  <c r="Y89"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6" i="27"/>
  <c r="Y147" i="27"/>
  <c r="Y148" i="27"/>
  <c r="Y149" i="27"/>
  <c r="Y150" i="27"/>
  <c r="Y151" i="27"/>
  <c r="Y152" i="27"/>
  <c r="Y153" i="27"/>
  <c r="Y154" i="27"/>
  <c r="Y155" i="27"/>
  <c r="Y156" i="27"/>
  <c r="Y157" i="27"/>
  <c r="Y158" i="27"/>
  <c r="Y159" i="27"/>
  <c r="Y160" i="27"/>
  <c r="Y161" i="27"/>
  <c r="Y162" i="27"/>
  <c r="Y163" i="27"/>
  <c r="Y164" i="27"/>
  <c r="Y166" i="27"/>
  <c r="Y167" i="27"/>
  <c r="Y168" i="27"/>
  <c r="Y169" i="27"/>
  <c r="Y170" i="27"/>
  <c r="Y171" i="27"/>
  <c r="Y172" i="27"/>
  <c r="Y173" i="27"/>
  <c r="Y174" i="27"/>
  <c r="Y175" i="27"/>
  <c r="Y176" i="27"/>
  <c r="Y177" i="27"/>
  <c r="Y178" i="27"/>
  <c r="Y183" i="27"/>
  <c r="Y184" i="27"/>
  <c r="Y185" i="27"/>
  <c r="Y186" i="27"/>
  <c r="Y187" i="27"/>
  <c r="Y188" i="27"/>
  <c r="Y189" i="27"/>
  <c r="Y190"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63" i="27"/>
  <c r="Y264" i="27"/>
  <c r="Y266" i="27"/>
  <c r="Y267" i="27"/>
  <c r="Y230" i="27"/>
  <c r="Y231" i="27"/>
  <c r="Y232" i="27"/>
  <c r="Y233" i="27"/>
  <c r="Y234" i="27"/>
  <c r="Y235" i="27"/>
  <c r="Y236" i="27"/>
  <c r="Y237" i="27"/>
  <c r="Y238" i="27"/>
  <c r="Y239" i="27"/>
  <c r="Y240" i="27"/>
  <c r="Y241" i="27"/>
  <c r="Y242" i="27"/>
  <c r="Y244" i="27"/>
  <c r="Y245" i="27"/>
  <c r="Y246" i="27"/>
  <c r="Y247" i="27"/>
  <c r="Y248" i="27"/>
  <c r="Y249" i="27"/>
  <c r="Y250" i="27"/>
  <c r="Y252" i="27"/>
  <c r="Y253" i="27"/>
  <c r="Y254" i="27"/>
  <c r="Y255" i="27"/>
  <c r="Y256" i="27"/>
  <c r="Y257" i="27"/>
  <c r="Y259" i="27"/>
  <c r="Y260" i="27"/>
  <c r="Y261" i="27"/>
  <c r="Y262" i="27"/>
  <c r="Y270" i="27"/>
  <c r="Y271" i="27"/>
  <c r="Y272" i="27"/>
  <c r="Y273" i="27"/>
  <c r="Y274" i="27"/>
  <c r="Y275" i="27"/>
  <c r="Y276" i="27"/>
  <c r="Y277" i="27"/>
  <c r="Y278" i="27"/>
  <c r="Y279" i="27"/>
  <c r="Y280" i="27"/>
  <c r="Y281" i="27"/>
  <c r="Y282" i="27"/>
  <c r="Y283" i="27"/>
  <c r="Y284"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4" i="27"/>
  <c r="J64" i="27"/>
  <c r="K64" i="27"/>
  <c r="L64" i="27"/>
  <c r="M64" i="27"/>
  <c r="N64" i="27"/>
  <c r="O64" i="27"/>
  <c r="P64" i="27"/>
  <c r="Q64" i="27"/>
  <c r="R64" i="27"/>
  <c r="S64" i="27"/>
  <c r="T64" i="27"/>
  <c r="U64" i="27"/>
  <c r="V64" i="27"/>
  <c r="W64" i="27"/>
  <c r="I65" i="27"/>
  <c r="J65" i="27"/>
  <c r="K65" i="27"/>
  <c r="L65" i="27"/>
  <c r="M65" i="27"/>
  <c r="N65" i="27"/>
  <c r="O65" i="27"/>
  <c r="P65" i="27"/>
  <c r="Q65" i="27"/>
  <c r="R65" i="27"/>
  <c r="S65" i="27"/>
  <c r="T65" i="27"/>
  <c r="U65" i="27"/>
  <c r="V65" i="27"/>
  <c r="W65" i="27"/>
  <c r="I66" i="27"/>
  <c r="J66" i="27"/>
  <c r="K66" i="27"/>
  <c r="L66" i="27"/>
  <c r="M66" i="27"/>
  <c r="N66" i="27"/>
  <c r="O66" i="27"/>
  <c r="P66" i="27"/>
  <c r="Q66" i="27"/>
  <c r="R66" i="27"/>
  <c r="S66" i="27"/>
  <c r="T66" i="27"/>
  <c r="U66" i="27"/>
  <c r="V66" i="27"/>
  <c r="W66" i="27"/>
  <c r="I67" i="27"/>
  <c r="J67" i="27"/>
  <c r="K67" i="27"/>
  <c r="L67" i="27"/>
  <c r="M67" i="27"/>
  <c r="N67" i="27"/>
  <c r="O67" i="27"/>
  <c r="P67" i="27"/>
  <c r="Q67" i="27"/>
  <c r="R67" i="27"/>
  <c r="S67" i="27"/>
  <c r="T67" i="27"/>
  <c r="U67" i="27"/>
  <c r="V67" i="27"/>
  <c r="W67" i="27"/>
  <c r="I68" i="27"/>
  <c r="J68" i="27"/>
  <c r="K68" i="27"/>
  <c r="L68" i="27"/>
  <c r="M68" i="27"/>
  <c r="N68" i="27"/>
  <c r="O68" i="27"/>
  <c r="P68" i="27"/>
  <c r="Q68" i="27"/>
  <c r="R68" i="27"/>
  <c r="S68" i="27"/>
  <c r="T68" i="27"/>
  <c r="U68" i="27"/>
  <c r="V68" i="27"/>
  <c r="W68"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3" i="27"/>
  <c r="J73" i="27"/>
  <c r="K73" i="27"/>
  <c r="L73" i="27"/>
  <c r="M73" i="27"/>
  <c r="N73" i="27"/>
  <c r="O73" i="27"/>
  <c r="P73" i="27"/>
  <c r="Q73" i="27"/>
  <c r="R73" i="27"/>
  <c r="S73" i="27"/>
  <c r="T73" i="27"/>
  <c r="U73" i="27"/>
  <c r="V73" i="27"/>
  <c r="W73" i="27"/>
  <c r="I72" i="27"/>
  <c r="J72" i="27"/>
  <c r="K72" i="27"/>
  <c r="L72" i="27"/>
  <c r="M72" i="27"/>
  <c r="N72" i="27"/>
  <c r="O72" i="27"/>
  <c r="P72" i="27"/>
  <c r="Q72" i="27"/>
  <c r="R72" i="27"/>
  <c r="S72" i="27"/>
  <c r="T72" i="27"/>
  <c r="U72" i="27"/>
  <c r="V72" i="27"/>
  <c r="W72" i="27"/>
  <c r="I74" i="27"/>
  <c r="J74" i="27"/>
  <c r="K74" i="27"/>
  <c r="L74" i="27"/>
  <c r="M74" i="27"/>
  <c r="N74" i="27"/>
  <c r="O74" i="27"/>
  <c r="P74" i="27"/>
  <c r="Q74" i="27"/>
  <c r="R74" i="27"/>
  <c r="S74" i="27"/>
  <c r="T74" i="27"/>
  <c r="U74" i="27"/>
  <c r="V74" i="27"/>
  <c r="W74"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V159" i="27"/>
  <c r="I159" i="27"/>
  <c r="J159" i="27"/>
  <c r="K159" i="27"/>
  <c r="L159" i="27"/>
  <c r="M159" i="27"/>
  <c r="N159" i="27"/>
  <c r="O159" i="27"/>
  <c r="P159" i="27"/>
  <c r="Q159" i="27"/>
  <c r="R159" i="27"/>
  <c r="S159" i="27"/>
  <c r="T159" i="27"/>
  <c r="U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V163" i="27"/>
  <c r="I163" i="27"/>
  <c r="J163" i="27"/>
  <c r="K163" i="27"/>
  <c r="L163" i="27"/>
  <c r="M163" i="27"/>
  <c r="N163" i="27"/>
  <c r="O163" i="27"/>
  <c r="P163" i="27"/>
  <c r="Q163" i="27"/>
  <c r="R163" i="27"/>
  <c r="S163" i="27"/>
  <c r="T163" i="27"/>
  <c r="U163" i="27"/>
  <c r="W163" i="27"/>
  <c r="I164" i="27"/>
  <c r="J164" i="27"/>
  <c r="K164" i="27"/>
  <c r="L164" i="27"/>
  <c r="M164" i="27"/>
  <c r="N164" i="27"/>
  <c r="O164" i="27"/>
  <c r="P164" i="27"/>
  <c r="Q164" i="27"/>
  <c r="R164" i="27"/>
  <c r="S164" i="27"/>
  <c r="T164" i="27"/>
  <c r="U164" i="27"/>
  <c r="V164" i="27"/>
  <c r="W164"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V177" i="27"/>
  <c r="I177" i="27"/>
  <c r="J177" i="27"/>
  <c r="K177" i="27"/>
  <c r="L177" i="27"/>
  <c r="M177" i="27"/>
  <c r="N177" i="27"/>
  <c r="O177" i="27"/>
  <c r="P177" i="27"/>
  <c r="Q177" i="27"/>
  <c r="R177" i="27"/>
  <c r="S177" i="27"/>
  <c r="T177" i="27"/>
  <c r="U177" i="27"/>
  <c r="W177" i="27"/>
  <c r="I178" i="27"/>
  <c r="J178" i="27"/>
  <c r="K178" i="27"/>
  <c r="L178" i="27"/>
  <c r="M178" i="27"/>
  <c r="N178" i="27"/>
  <c r="O178" i="27"/>
  <c r="P178" i="27"/>
  <c r="Q178" i="27"/>
  <c r="R178" i="27"/>
  <c r="S178" i="27"/>
  <c r="T178" i="27"/>
  <c r="U178" i="27"/>
  <c r="V178" i="27"/>
  <c r="W178"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V198" i="27"/>
  <c r="I198" i="27"/>
  <c r="J198" i="27"/>
  <c r="K198" i="27"/>
  <c r="L198" i="27"/>
  <c r="M198" i="27"/>
  <c r="N198" i="27"/>
  <c r="O198" i="27"/>
  <c r="P198" i="27"/>
  <c r="Q198" i="27"/>
  <c r="R198" i="27"/>
  <c r="S198" i="27"/>
  <c r="T198" i="27"/>
  <c r="U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V210" i="27"/>
  <c r="I210" i="27"/>
  <c r="J210" i="27"/>
  <c r="K210" i="27"/>
  <c r="L210" i="27"/>
  <c r="M210" i="27"/>
  <c r="N210" i="27"/>
  <c r="O210" i="27"/>
  <c r="P210" i="27"/>
  <c r="Q210" i="27"/>
  <c r="R210" i="27"/>
  <c r="S210" i="27"/>
  <c r="T210" i="27"/>
  <c r="U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V222" i="27"/>
  <c r="I222" i="27"/>
  <c r="J222" i="27"/>
  <c r="K222" i="27"/>
  <c r="L222" i="27"/>
  <c r="M222" i="27"/>
  <c r="N222" i="27"/>
  <c r="O222" i="27"/>
  <c r="P222" i="27"/>
  <c r="Q222" i="27"/>
  <c r="R222" i="27"/>
  <c r="S222" i="27"/>
  <c r="T222" i="27"/>
  <c r="U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V227" i="27"/>
  <c r="I227" i="27"/>
  <c r="J227" i="27"/>
  <c r="K227" i="27"/>
  <c r="L227" i="27"/>
  <c r="M227" i="27"/>
  <c r="N227" i="27"/>
  <c r="O227" i="27"/>
  <c r="P227" i="27"/>
  <c r="Q227" i="27"/>
  <c r="R227" i="27"/>
  <c r="S227" i="27"/>
  <c r="T227" i="27"/>
  <c r="U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63" i="27"/>
  <c r="J263" i="27"/>
  <c r="K263" i="27"/>
  <c r="L263" i="27"/>
  <c r="M263" i="27"/>
  <c r="N263" i="27"/>
  <c r="O263" i="27"/>
  <c r="P263" i="27"/>
  <c r="Q263" i="27"/>
  <c r="R263" i="27"/>
  <c r="S263" i="27"/>
  <c r="T263" i="27"/>
  <c r="U263" i="27"/>
  <c r="V263" i="27"/>
  <c r="W263" i="27"/>
  <c r="V264" i="27"/>
  <c r="I264" i="27"/>
  <c r="J264" i="27"/>
  <c r="K264" i="27"/>
  <c r="L264" i="27"/>
  <c r="M264" i="27"/>
  <c r="N264" i="27"/>
  <c r="O264" i="27"/>
  <c r="P264" i="27"/>
  <c r="Q264" i="27"/>
  <c r="R264" i="27"/>
  <c r="S264" i="27"/>
  <c r="T264" i="27"/>
  <c r="U264" i="27"/>
  <c r="W264"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30" i="27"/>
  <c r="J230" i="27"/>
  <c r="K230" i="27"/>
  <c r="L230" i="27"/>
  <c r="M230" i="27"/>
  <c r="N230" i="27"/>
  <c r="O230" i="27"/>
  <c r="P230" i="27"/>
  <c r="Q230" i="27"/>
  <c r="R230" i="27"/>
  <c r="S230" i="27"/>
  <c r="T230" i="27"/>
  <c r="U230" i="27"/>
  <c r="V230" i="27"/>
  <c r="W230" i="27"/>
  <c r="V231" i="27"/>
  <c r="I231" i="27"/>
  <c r="J231" i="27"/>
  <c r="K231" i="27"/>
  <c r="L231" i="27"/>
  <c r="M231" i="27"/>
  <c r="N231" i="27"/>
  <c r="O231" i="27"/>
  <c r="P231" i="27"/>
  <c r="Q231" i="27"/>
  <c r="R231" i="27"/>
  <c r="S231" i="27"/>
  <c r="T231" i="27"/>
  <c r="U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V241" i="27"/>
  <c r="I241" i="27"/>
  <c r="J241" i="27"/>
  <c r="K241" i="27"/>
  <c r="L241" i="27"/>
  <c r="M241" i="27"/>
  <c r="N241" i="27"/>
  <c r="O241" i="27"/>
  <c r="P241" i="27"/>
  <c r="Q241" i="27"/>
  <c r="R241" i="27"/>
  <c r="S241" i="27"/>
  <c r="T241" i="27"/>
  <c r="U241" i="27"/>
  <c r="W241" i="27"/>
  <c r="I242" i="27"/>
  <c r="J242" i="27"/>
  <c r="K242" i="27"/>
  <c r="L242" i="27"/>
  <c r="M242" i="27"/>
  <c r="N242" i="27"/>
  <c r="O242" i="27"/>
  <c r="P242" i="27"/>
  <c r="Q242" i="27"/>
  <c r="R242" i="27"/>
  <c r="S242" i="27"/>
  <c r="T242" i="27"/>
  <c r="U242" i="27"/>
  <c r="V242" i="27"/>
  <c r="W242"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V248" i="27"/>
  <c r="I248" i="27"/>
  <c r="J248" i="27"/>
  <c r="K248" i="27"/>
  <c r="L248" i="27"/>
  <c r="M248" i="27"/>
  <c r="N248" i="27"/>
  <c r="O248" i="27"/>
  <c r="P248" i="27"/>
  <c r="Q248" i="27"/>
  <c r="R248" i="27"/>
  <c r="S248" i="27"/>
  <c r="T248" i="27"/>
  <c r="U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70" i="27"/>
  <c r="J270" i="27"/>
  <c r="K270" i="27"/>
  <c r="L270" i="27"/>
  <c r="M270" i="27"/>
  <c r="N270" i="27"/>
  <c r="O270" i="27"/>
  <c r="P270" i="27"/>
  <c r="Q270" i="27"/>
  <c r="R270" i="27"/>
  <c r="S270" i="27"/>
  <c r="T270" i="27"/>
  <c r="U270" i="27"/>
  <c r="V270" i="27"/>
  <c r="W270" i="27"/>
  <c r="V271" i="27"/>
  <c r="I271" i="27"/>
  <c r="J271" i="27"/>
  <c r="K271" i="27"/>
  <c r="L271" i="27"/>
  <c r="M271" i="27"/>
  <c r="N271" i="27"/>
  <c r="O271" i="27"/>
  <c r="P271" i="27"/>
  <c r="Q271" i="27"/>
  <c r="R271" i="27"/>
  <c r="S271" i="27"/>
  <c r="T271" i="27"/>
  <c r="U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V292" i="27"/>
  <c r="I292" i="27"/>
  <c r="J292" i="27"/>
  <c r="K292" i="27"/>
  <c r="L292" i="27"/>
  <c r="M292" i="27"/>
  <c r="N292" i="27"/>
  <c r="O292" i="27"/>
  <c r="P292" i="27"/>
  <c r="Q292" i="27"/>
  <c r="R292" i="27"/>
  <c r="S292" i="27"/>
  <c r="T292" i="27"/>
  <c r="U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V302" i="27"/>
  <c r="I302" i="27"/>
  <c r="J302" i="27"/>
  <c r="K302" i="27"/>
  <c r="L302" i="27"/>
  <c r="M302" i="27"/>
  <c r="N302" i="27"/>
  <c r="O302" i="27"/>
  <c r="P302" i="27"/>
  <c r="Q302" i="27"/>
  <c r="R302" i="27"/>
  <c r="S302" i="27"/>
  <c r="T302" i="27"/>
  <c r="U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Y315" i="27" l="1"/>
  <c r="G46" i="30"/>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X192" i="27"/>
  <c r="X241" i="27"/>
  <c r="X100" i="27"/>
  <c r="X193" i="27"/>
  <c r="X40" i="27"/>
  <c r="X128" i="27"/>
  <c r="X54" i="27"/>
  <c r="X154" i="27"/>
  <c r="X52" i="27"/>
  <c r="X249" i="27"/>
  <c r="X304" i="27"/>
  <c r="X178" i="27"/>
  <c r="X38" i="27"/>
  <c r="X214" i="27"/>
  <c r="X34" i="27"/>
  <c r="X140" i="27"/>
  <c r="X245" i="27"/>
  <c r="X17" i="27"/>
  <c r="X188" i="27"/>
  <c r="X219" i="27"/>
  <c r="X225" i="27"/>
  <c r="X240" i="27"/>
  <c r="X131" i="27"/>
  <c r="X99" i="27"/>
  <c r="X3" i="27"/>
  <c r="X68" i="27"/>
  <c r="X137" i="27"/>
  <c r="X87" i="27"/>
  <c r="X306" i="27"/>
  <c r="X16" i="27"/>
  <c r="X266" i="27"/>
  <c r="X223" i="27"/>
  <c r="X78" i="27"/>
  <c r="X83" i="27"/>
  <c r="X189" i="27"/>
  <c r="X56" i="27"/>
  <c r="X305" i="27"/>
  <c r="X259" i="27"/>
  <c r="X102" i="27"/>
  <c r="X14" i="27"/>
  <c r="X158" i="27"/>
  <c r="X257" i="27"/>
  <c r="X232" i="27"/>
  <c r="X291" i="27"/>
  <c r="X194" i="27"/>
  <c r="X33" i="27"/>
  <c r="X8" i="27"/>
  <c r="X162" i="27"/>
  <c r="X147" i="27"/>
  <c r="X21" i="27"/>
  <c r="X116" i="27"/>
  <c r="X133" i="27"/>
  <c r="X296" i="27"/>
  <c r="X196" i="27"/>
  <c r="X74" i="27"/>
  <c r="X176" i="27"/>
  <c r="X126" i="27"/>
  <c r="X236" i="27"/>
  <c r="X82" i="27"/>
  <c r="X220" i="27"/>
  <c r="X250" i="27"/>
  <c r="X163" i="27"/>
  <c r="X150" i="27"/>
  <c r="X311" i="27"/>
  <c r="X66" i="27"/>
  <c r="X206" i="27"/>
  <c r="X123" i="27"/>
  <c r="X2" i="27"/>
  <c r="X148" i="27"/>
  <c r="X293" i="27"/>
  <c r="X15" i="27"/>
  <c r="X309" i="27"/>
  <c r="X5" i="27"/>
  <c r="X141" i="27"/>
  <c r="X270" i="27"/>
  <c r="X185" i="27"/>
  <c r="X61" i="27"/>
  <c r="X276" i="27"/>
  <c r="X41" i="27"/>
  <c r="X138" i="27"/>
  <c r="X47" i="27"/>
  <c r="X282" i="27"/>
  <c r="X312" i="27"/>
  <c r="X203" i="27"/>
  <c r="X77" i="27"/>
  <c r="X310" i="27"/>
  <c r="X301" i="27"/>
  <c r="X95" i="27"/>
  <c r="X218" i="27"/>
  <c r="X237" i="27"/>
  <c r="X112" i="27"/>
  <c r="X228" i="27"/>
  <c r="X149" i="27"/>
  <c r="X210" i="27"/>
  <c r="X71" i="27"/>
  <c r="X105" i="27"/>
  <c r="X172" i="27"/>
  <c r="X248" i="27"/>
  <c r="X229" i="27"/>
  <c r="X121" i="27"/>
  <c r="X284" i="27"/>
  <c r="X65" i="27"/>
  <c r="X234" i="27"/>
  <c r="X274" i="27"/>
  <c r="X302" i="27"/>
  <c r="X195" i="27"/>
  <c r="X290" i="27"/>
  <c r="X151" i="27"/>
  <c r="X277" i="27"/>
  <c r="X222" i="27"/>
  <c r="X271" i="27"/>
  <c r="X103" i="27"/>
  <c r="X118" i="27"/>
  <c r="X283" i="27"/>
  <c r="X279" i="27"/>
  <c r="X200" i="27"/>
  <c r="X152" i="27"/>
  <c r="X19" i="27"/>
  <c r="X67" i="27"/>
  <c r="X167" i="27"/>
  <c r="X298" i="27"/>
  <c r="X12" i="27"/>
  <c r="X4" i="27"/>
  <c r="X292" i="27"/>
  <c r="X183" i="27"/>
  <c r="X204" i="27"/>
  <c r="X288" i="27"/>
  <c r="X155" i="27"/>
  <c r="X62" i="27"/>
  <c r="X190" i="27"/>
  <c r="X233" i="27"/>
  <c r="X79" i="27"/>
  <c r="X88" i="27"/>
  <c r="X253" i="27"/>
  <c r="X168" i="27"/>
  <c r="X98" i="27"/>
  <c r="X22" i="27"/>
  <c r="X153" i="27"/>
  <c r="X217" i="27"/>
  <c r="X226" i="27"/>
  <c r="X70" i="27"/>
  <c r="X85" i="27"/>
  <c r="X254" i="27"/>
  <c r="X239" i="27"/>
  <c r="X211" i="27"/>
  <c r="X20" i="27"/>
  <c r="X101" i="27"/>
  <c r="X57" i="27"/>
  <c r="X63" i="27"/>
  <c r="X202" i="27"/>
  <c r="X46" i="27"/>
  <c r="X287" i="27"/>
  <c r="X124" i="27"/>
  <c r="X106" i="27"/>
  <c r="X303" i="27"/>
  <c r="X7" i="27"/>
  <c r="X246" i="27"/>
  <c r="X252" i="27"/>
  <c r="X159" i="27"/>
  <c r="X139" i="27"/>
  <c r="X50" i="27"/>
  <c r="X215" i="27"/>
  <c r="X24" i="27"/>
  <c r="X255" i="27"/>
  <c r="X297" i="27"/>
  <c r="X157" i="27"/>
  <c r="X273" i="27"/>
  <c r="X280" i="27"/>
  <c r="X230" i="27"/>
  <c r="X227" i="27"/>
  <c r="X286" i="27"/>
  <c r="X64" i="27"/>
  <c r="X84" i="27"/>
  <c r="X171" i="27"/>
  <c r="X197" i="27"/>
  <c r="X108" i="27"/>
  <c r="X294" i="27"/>
  <c r="X58" i="27"/>
  <c r="X300" i="27"/>
  <c r="X275" i="27"/>
  <c r="X169" i="27"/>
  <c r="X209" i="27"/>
  <c r="X261" i="27"/>
  <c r="X80" i="27"/>
  <c r="X130" i="27"/>
  <c r="X11" i="27"/>
  <c r="X161" i="27"/>
  <c r="X107" i="27"/>
  <c r="X94" i="27"/>
  <c r="X60" i="27"/>
  <c r="X120" i="27"/>
  <c r="X37" i="27"/>
  <c r="X313" i="27"/>
  <c r="X187" i="27"/>
  <c r="X48" i="27"/>
  <c r="X242" i="27"/>
  <c r="X186" i="27"/>
  <c r="X170" i="27"/>
  <c r="X308" i="27"/>
  <c r="X59" i="27"/>
  <c r="X9" i="27"/>
  <c r="X144" i="27"/>
  <c r="X244" i="27"/>
  <c r="X89" i="27"/>
  <c r="X86" i="27"/>
  <c r="X113" i="27"/>
  <c r="X55" i="27"/>
  <c r="X115" i="27"/>
  <c r="X114" i="27"/>
  <c r="X146" i="27"/>
  <c r="X119" i="27"/>
  <c r="X69" i="27"/>
  <c r="X264" i="27"/>
  <c r="X263" i="27"/>
  <c r="X166" i="27"/>
  <c r="X262" i="27"/>
  <c r="X117" i="27"/>
  <c r="X212" i="27"/>
  <c r="X97" i="27"/>
  <c r="X260" i="27"/>
  <c r="X129" i="27"/>
  <c r="X142" i="27"/>
  <c r="X135" i="27"/>
  <c r="X109" i="27"/>
  <c r="X134" i="27"/>
  <c r="X216" i="27"/>
  <c r="X51" i="27"/>
  <c r="X231" i="27"/>
  <c r="X205" i="27"/>
  <c r="X127" i="27"/>
  <c r="X177" i="27"/>
  <c r="X110" i="27"/>
  <c r="X42" i="27"/>
  <c r="X314" i="27"/>
  <c r="X289" i="27"/>
  <c r="X111" i="27"/>
  <c r="X156" i="27"/>
  <c r="X53" i="27"/>
  <c r="X10" i="27"/>
  <c r="X132" i="27"/>
  <c r="X272" i="27"/>
  <c r="X39" i="27"/>
  <c r="X72" i="27"/>
  <c r="X174" i="27"/>
  <c r="X122" i="27"/>
  <c r="X184" i="27"/>
  <c r="X278" i="27"/>
  <c r="X96" i="27"/>
  <c r="X125" i="27"/>
  <c r="X164" i="27"/>
  <c r="X81" i="27"/>
  <c r="X136" i="27"/>
  <c r="X175" i="27"/>
  <c r="X299" i="27"/>
  <c r="X238" i="27"/>
  <c r="X73" i="27"/>
  <c r="X213" i="27"/>
  <c r="X208" i="27"/>
  <c r="X104" i="27"/>
  <c r="X27" i="27"/>
  <c r="X45" i="27"/>
  <c r="X221" i="27"/>
  <c r="X160" i="27"/>
  <c r="X173" i="27"/>
  <c r="X247" i="27"/>
  <c r="X235" i="27"/>
  <c r="X256" i="27"/>
  <c r="X307" i="27"/>
  <c r="X201" i="27"/>
  <c r="X23" i="27"/>
  <c r="X224" i="27"/>
  <c r="X281" i="27"/>
  <c r="X267" i="27"/>
  <c r="X25" i="27"/>
  <c r="X35" i="27"/>
  <c r="X13" i="27"/>
  <c r="X198" i="27"/>
  <c r="X26" i="27"/>
  <c r="X207" i="27"/>
  <c r="X143" i="27"/>
  <c r="X295" i="27"/>
  <c r="X199" i="27"/>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<sst xmlns="http://schemas.openxmlformats.org/spreadsheetml/2006/main" count="1748" uniqueCount="514">
  <si>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</si>
  <si>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</si>
  <si>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</si>
  <si>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</si>
  <si>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</si>
  <si>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</si>
  <si>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</si>
  <si>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</si>
  <si>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</si>
  <si>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</si>
  <si>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</si>
  <si>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</si>
  <si>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</si>
  <si>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</si>
  <si>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</si>
  <si>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</si>
  <si>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</si>
  <si>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</si>
  <si>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</si>
  <si>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</si>
  <si>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</si>
  <si>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</si>
  <si>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</si>
  <si>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</si>
  <si>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</si>
  <si>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</si>
  <si>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</si>
  <si>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</si>
  <si>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</si>
  <si>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</si>
  <si>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</si>
  <si>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</si>
  <si>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</si>
  <si>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</si>
  <si>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</si>
  <si>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</si>
  <si>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</si>
  <si>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</si>
  <si>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</si>
  <si>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</si>
  <si>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</si>
  <si>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</si>
  <si>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</si>
  <si>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</si>
  <si>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</si>
  <si>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</si>
  <si>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</si>
  <si>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</si>
  <si>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</si>
  <si>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</si>
  <si>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</si>
  <si>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</si>
  <si>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</si>
  <si>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</si>
  <si>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</si>
  <si>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</si>
  <si>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</si>
  <si>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</si>
  <si>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</si>
  <si>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</si>
  <si>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</si>
  <si>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</si>
  <si>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</si>
  <si>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</si>
  <si>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</si>
  <si>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</si>
  <si>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</si>
  <si>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</si>
  <si>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</si>
  <si>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</si>
  <si>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</si>
  <si>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</si>
  <si>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</si>
  <si>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</si>
  <si>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</si>
  <si>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</si>
  <si>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</si>
  <si>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</si>
  <si>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</si>
  <si>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</si>
  <si>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</si>
  <si>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</si>
  <si>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</si>
  <si>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</si>
  <si>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</si>
  <si>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</si>
  <si>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</si>
  <si>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</si>
  <si>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</si>
  <si>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</si>
  <si>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</si>
  <si>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</si>
  <si>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</si>
  <si>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</si>
  <si>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</si>
  <si>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</si>
  <si>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</si>
  <si>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</si>
  <si>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</si>
  <si>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</si>
  <si>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</si>
  <si>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</si>
  <si>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</si>
  <si>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</si>
  <si>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</si>
  <si>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</si>
  <si>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</si>
  <si>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</si>
  <si>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</si>
  <si>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</si>
  <si>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</si>
  <si>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</si>
  <si>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</si>
  <si>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</si>
  <si>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</si>
  <si>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</si>
  <si>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</si>
  <si>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</si>
  <si>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</si>
  <si>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</si>
  <si>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</si>
  <si>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</si>
  <si>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</si>
  <si>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</si>
  <si>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</si>
  <si>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</si>
  <si>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</si>
  <si>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</si>
  <si>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</si>
  <si>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</si>
  <si>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</si>
  <si>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</si>
  <si>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</si>
  <si>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</si>
  <si>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</si>
  <si>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</si>
  <si>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</si>
  <si>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</si>
  <si>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</si>
  <si>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</si>
  <si>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</si>
  <si>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</si>
  <si>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</si>
  <si>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</si>
  <si>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</si>
  <si>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</si>
  <si>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</si>
  <si>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</si>
  <si>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</si>
  <si>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</si>
  <si>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</si>
  <si>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</si>
  <si>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</si>
  <si>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</si>
  <si>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</si>
  <si>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</si>
  <si>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</si>
  <si>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</si>
  <si>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</si>
  <si>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</si>
  <si>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</si>
  <si>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</si>
  <si>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</si>
  <si>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</si>
  <si>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</si>
  <si>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</si>
  <si>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</si>
  <si>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</si>
  <si>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</si>
  <si>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</si>
  <si>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</si>
  <si>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</si>
  <si>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</si>
  <si>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</si>
  <si>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</si>
  <si>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</si>
  <si>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</si>
  <si>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</si>
  <si>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</si>
  <si>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</si>
  <si>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</si>
  <si>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</si>
  <si>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</si>
  <si>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</si>
  <si>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</si>
  <si>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</si>
  <si>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</si>
  <si>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</si>
  <si>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</si>
  <si>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</si>
  <si>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</si>
  <si>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</si>
  <si>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</si>
  <si>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</si>
  <si>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</si>
  <si>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</si>
  <si>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</si>
  <si>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</si>
  <si>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</si>
  <si>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</si>
  <si>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</si>
  <si>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</si>
  <si>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</si>
  <si>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</si>
  <si>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</si>
  <si>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</si>
  <si>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</si>
  <si>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</si>
  <si>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</si>
  <si>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</si>
  <si>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</si>
  <si>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</si>
  <si>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</si>
  <si>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</si>
  <si>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</si>
  <si>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</si>
  <si>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</si>
  <si>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</si>
  <si>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</si>
  <si>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</si>
  <si>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</si>
  <si>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</si>
  <si>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</si>
  <si>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</si>
  <si>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</si>
  <si>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</si>
  <si>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</si>
  <si>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</si>
  <si>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</si>
  <si>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</si>
  <si>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</si>
  <si>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</si>
  <si>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</si>
  <si>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</si>
  <si>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</si>
  <si>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</si>
  <si>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</si>
  <si>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</si>
  <si>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</si>
  <si>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</si>
  <si>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</si>
  <si>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</si>
  <si>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</si>
  <si>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</si>
  <si>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</si>
  <si>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</si>
  <si>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</si>
  <si>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</si>
  <si>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</si>
  <si>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</si>
  <si>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</si>
  <si>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</si>
  <si>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</si>
  <si>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</si>
  <si>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</si>
  <si>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</si>
  <si>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</si>
  <si>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</si>
  <si>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</si>
  <si>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</si>
  <si>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</si>
  <si>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</si>
  <si>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</si>
  <si>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</si>
  <si>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</si>
  <si>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</si>
  <si>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</si>
  <si>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</si>
  <si>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</si>
  <si>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</si>
  <si>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</si>
  <si>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</si>
  <si>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</si>
  <si>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</si>
  <si>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</si>
  <si>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</si>
  <si>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</si>
  <si>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</si>
  <si>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</si>
  <si>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</si>
  <si>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</si>
  <si>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</si>
  <si>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</si>
  <si>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</si>
  <si>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</si>
  <si>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</si>
  <si>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</si>
  <si>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</si>
  <si>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</si>
  <si>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</si>
  <si>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</si>
  <si>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</si>
  <si>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</si>
  <si>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</si>
  <si>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</si>
  <si>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</si>
  <si>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</si>
  <si>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</si>
  <si>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</si>
  <si>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</si>
  <si>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</si>
  <si>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</si>
  <si>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</si>
  <si>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</si>
  <si>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</si>
  <si>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</si>
  <si>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</si>
  <si>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</si>
  <si>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</si>
  <si>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</si>
  <si>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</si>
  <si>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</si>
  <si>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</si>
  <si>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</si>
  <si>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</si>
  <si>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</si>
  <si>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</si>
  <si>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</si>
  <si>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</si>
  <si>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</si>
  <si>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</si>
  <si>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</si>
  <si>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</si>
  <si>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</si>
  <si>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</si>
  <si>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</si>
  <si>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</si>
  <si>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</si>
  <si>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</si>
  <si>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</si>
  <si>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</si>
  <si>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</si>
  <si>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</si>
  <si>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</si>
  <si>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</si>
  <si>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</si>
  <si>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</si>
  <si>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</si>
  <si>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</si>
  <si>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</si>
  <si>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</si>
  <si>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</si>
  <si>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</si>
  <si>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</si>
  <si>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</si>
  <si>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</si>
  <si>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</si>
  <si>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</si>
  <si>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</si>
  <si>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</si>
  <si>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</si>
  <si>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</si>
  <si>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</si>
  <si>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</si>
  <si>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</si>
  <si>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</si>
  <si>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</si>
  <si>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</si>
  <si>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</si>
  <si>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</si>
  <si>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</si>
  <si>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</si>
  <si>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</si>
  <si>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</si>
  <si>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</si>
  <si>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</si>
  <si>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</si>
  <si>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</si>
  <si>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</si>
  <si>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</si>
  <si>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</si>
  <si>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</si>
  <si>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</si>
  <si>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</si>
  <si>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</si>
  <si>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</si>
  <si>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</si>
  <si>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</si>
  <si>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</si>
  <si>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</si>
  <si>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</si>
  <si>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</si>
  <si>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</si>
  <si>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</si>
  <si>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</si>
  <si>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</si>
  <si>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</si>
  <si>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</si>
  <si>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</si>
  <si>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</si>
  <si>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</si>
  <si>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</si>
  <si>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</si>
  <si>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</si>
  <si>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</si>
  <si>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</si>
  <si>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</si>
  <si>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</si>
  <si>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</si>
  <si>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</si>
  <si>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</si>
  <si>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</si>
  <si>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</si>
  <si>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</si>
  <si>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</si>
  <si>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</si>
  <si>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</si>
  <si>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</si>
  <si>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</si>
  <si>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</si>
  <si>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</si>
  <si>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</si>
  <si>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</si>
  <si>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</si>
  <si>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</si>
  <si>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</si>
  <si>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</si>
  <si>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</si>
  <si>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</si>
  <si>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</si>
  <si>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</si>
  <si>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</si>
  <si>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</si>
  <si>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</si>
  <si>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</si>
  <si>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</si>
  <si>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</si>
  <si>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</si>
  <si>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</si>
  <si>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</si>
  <si>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</si>
  <si>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</si>
  <si>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</si>
  <si>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</si>
  <si>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</si>
  <si>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</si>
  <si>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</si>
  <si>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</si>
  <si>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</si>
  <si>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</si>
  <si>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</si>
  <si>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</si>
  <si>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</si>
  <si>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</si>
  <si>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</si>
  <si>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</si>
  <si>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</si>
  <si>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</si>
  <si>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</si>
  <si>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</si>
  <si>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</si>
  <si>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</si>
  <si>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</si>
  <si>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</si>
  <si>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</si>
  <si>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</si>
  <si>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</si>
  <si>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</si>
  <si>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</si>
  <si>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</si>
  <si>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</si>
  <si>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</si>
  <si>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</si>
  <si>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</si>
  <si>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</si>
  <si>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</si>
  <si>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</si>
  <si>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</si>
  <si>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</si>
  <si>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</si>
  <si>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</si>
  <si>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</si>
  <si>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</si>
  <si>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</si>
  <si>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</si>
  <si>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</si>
  <si>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</si>
  <si>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</si>
  <si>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</si>
  <si>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</si>
  <si>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</si>
  <si>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</si>
  <si>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</si>
  <si>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</si>
  <si>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</si>
  <si>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</si>
  <si>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</si>
  <si>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</si>
  <si>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</si>
  <si>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</si>
  <si>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</si>
  <si>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</si>
  <si>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</si>
  <si>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</si>
  <si>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</si>
  <si>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</si>
  <si>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</si>
  <si>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</si>
  <si>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</si>
  <si>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</si>
  <si>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</si>
  <si>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</si>
  <si>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</si>
  <si>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</si>
  <si>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</si>
  <si>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</si>
  <si>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The id of the next piece of Block 1 Equipment to be asked for a Rental Request. Only needed for Block 1 because all requests of other Blocks start from the first entry in the list.</t>
  </si>
  <si>
    <t>offerResponseDatetime</t>
  </si>
  <si>
    <t>The date and time the final response to the offer was established.</t>
  </si>
  <si>
    <t>offerResponseNote</t>
  </si>
  <si>
    <t>An optional note entered about the response to the offer from the equipment owner about the offer. Usually used when the offer is a "No".</t>
  </si>
  <si>
    <t>offerRefusalReason</t>
  </si>
  <si>
    <t>The reason why the user refused the offer based on a selection of values from the UI.</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</si>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</sst>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3" fillId="0" borderId="0"/>
  </cellStyleXfs>
  <cellXfs count="124">
    <xf numFmtId="0" fontId="0" fillId="0" borderId="0" xfId="0"/>
    <xf numFmtId="0" fontId="37" fillId="0" borderId="0" xfId="719" applyFont="1" applyAlignment="1">
      <alignment vertical="top"/>
    </xf>
    <xf numFmtId="0" fontId="37" fillId="0" borderId="0" xfId="719" applyFont="1" applyAlignment="1">
      <alignment vertical="top" wrapText="1"/>
    </xf>
    <xf numFmtId="0" fontId="33" fillId="0" borderId="0" xfId="719"/>
    <xf numFmtId="0" fontId="33" fillId="0" borderId="0" xfId="719" applyNumberFormat="1" applyAlignment="1">
      <alignment vertical="top"/>
    </xf>
    <xf numFmtId="0" fontId="33" fillId="0" borderId="0" xfId="719" applyAlignment="1">
      <alignment vertical="top"/>
    </xf>
    <xf numFmtId="0" fontId="33" fillId="0" borderId="0" xfId="719" applyAlignment="1">
      <alignment vertical="top" wrapText="1"/>
    </xf>
    <xf numFmtId="0" fontId="32" fillId="0" borderId="0" xfId="719" applyFont="1"/>
    <xf numFmtId="0" fontId="0" fillId="0" borderId="0" xfId="0" applyAlignment="1">
      <alignment vertical="top"/>
    </xf>
    <xf numFmtId="0" fontId="37" fillId="0" borderId="0" xfId="0" applyFont="1" applyAlignment="1">
      <alignment vertical="top"/>
    </xf>
    <xf numFmtId="0" fontId="31" fillId="0" borderId="0" xfId="719" applyFont="1"/>
    <xf numFmtId="0" fontId="31" fillId="0" borderId="0" xfId="719" applyFont="1" applyAlignment="1">
      <alignment vertical="top"/>
    </xf>
    <xf numFmtId="0" fontId="33" fillId="0" borderId="0" xfId="719" applyFill="1" applyAlignment="1">
      <alignment vertical="top" wrapText="1"/>
    </xf>
    <xf numFmtId="0" fontId="33" fillId="0" borderId="0" xfId="719" applyNumberFormat="1" applyFill="1"/>
    <xf numFmtId="0" fontId="0" fillId="0" borderId="0" xfId="0" applyNumberFormat="1" applyAlignment="1">
      <alignment vertical="top"/>
    </xf>
    <xf numFmtId="0" fontId="30" fillId="0" borderId="0" xfId="719" applyFont="1"/>
    <xf numFmtId="0" fontId="30" fillId="0" borderId="0" xfId="719" applyFont="1" applyFill="1"/>
    <xf numFmtId="0" fontId="29" fillId="0" borderId="0" xfId="719" applyFont="1"/>
    <xf numFmtId="0" fontId="33" fillId="0" borderId="0" xfId="719" applyFill="1"/>
    <xf numFmtId="0" fontId="33" fillId="0" borderId="0" xfId="719" applyNumberFormat="1" applyFill="1" applyAlignment="1">
      <alignment vertical="top"/>
    </xf>
    <xf numFmtId="0" fontId="28" fillId="0" borderId="0" xfId="719" applyFont="1" applyFill="1" applyAlignment="1">
      <alignment vertical="top"/>
    </xf>
    <xf numFmtId="0" fontId="28" fillId="0" borderId="0" xfId="719" applyFont="1"/>
    <xf numFmtId="0" fontId="27" fillId="0" borderId="0" xfId="719" applyFont="1"/>
    <xf numFmtId="0" fontId="27" fillId="0" borderId="0" xfId="719" applyFont="1" applyFill="1" applyAlignment="1">
      <alignment vertical="top"/>
    </xf>
    <xf numFmtId="0" fontId="27" fillId="0" borderId="0" xfId="719" applyFont="1" applyFill="1" applyAlignment="1">
      <alignment vertical="top" wrapText="1"/>
    </xf>
    <xf numFmtId="0" fontId="26" fillId="0" borderId="0" xfId="719" applyFont="1" applyFill="1" applyAlignment="1">
      <alignment vertical="top"/>
    </xf>
    <xf numFmtId="0" fontId="26" fillId="0" borderId="0" xfId="719" applyFont="1" applyFill="1" applyAlignment="1">
      <alignment vertical="top" wrapText="1"/>
    </xf>
    <xf numFmtId="0" fontId="26" fillId="0" borderId="0" xfId="719" applyNumberFormat="1" applyFont="1" applyFill="1" applyAlignment="1">
      <alignment vertical="top"/>
    </xf>
    <xf numFmtId="0" fontId="26" fillId="0" borderId="0" xfId="719" applyFont="1"/>
    <xf numFmtId="0" fontId="25" fillId="0" borderId="0" xfId="719" applyFont="1" applyFill="1" applyAlignment="1">
      <alignment vertical="top"/>
    </xf>
    <xf numFmtId="0" fontId="25" fillId="0" borderId="0" xfId="719" applyFont="1" applyFill="1" applyAlignment="1">
      <alignment vertical="top" wrapText="1"/>
    </xf>
    <xf numFmtId="0" fontId="25" fillId="0" borderId="0" xfId="719" applyFont="1"/>
    <xf numFmtId="0" fontId="24" fillId="0" borderId="0" xfId="719" applyFont="1" applyFill="1" applyAlignment="1">
      <alignment vertical="top"/>
    </xf>
    <xf numFmtId="0" fontId="24" fillId="0" borderId="0" xfId="719" applyFont="1" applyAlignment="1">
      <alignment vertical="top"/>
    </xf>
    <xf numFmtId="0" fontId="24" fillId="0" borderId="0" xfId="719" applyFont="1" applyFill="1"/>
    <xf numFmtId="0" fontId="24" fillId="0" borderId="0" xfId="719" applyFont="1"/>
    <xf numFmtId="0" fontId="23" fillId="0" borderId="0" xfId="719" applyFont="1" applyFill="1" applyAlignment="1">
      <alignment vertical="top"/>
    </xf>
    <xf numFmtId="0" fontId="21" fillId="0" borderId="0" xfId="719" applyFont="1"/>
    <xf numFmtId="0" fontId="20" fillId="0" borderId="0" xfId="719" applyFont="1" applyAlignment="1">
      <alignment vertical="top"/>
    </xf>
    <xf numFmtId="0" fontId="20" fillId="0" borderId="0" xfId="719" applyFont="1" applyFill="1"/>
    <xf numFmtId="0" fontId="20" fillId="0" borderId="0" xfId="719" applyNumberFormat="1" applyFont="1" applyAlignment="1">
      <alignment vertical="top"/>
    </xf>
    <xf numFmtId="0" fontId="19" fillId="0" borderId="0" xfId="719" applyFont="1"/>
    <xf numFmtId="0" fontId="18" fillId="0" borderId="0" xfId="719" applyFont="1" applyAlignment="1">
      <alignment vertical="top"/>
    </xf>
    <xf numFmtId="0" fontId="18" fillId="0" borderId="0" xfId="719" applyNumberFormat="1" applyFont="1" applyAlignment="1">
      <alignment vertical="top"/>
    </xf>
    <xf numFmtId="0" fontId="18" fillId="0" borderId="0" xfId="719" applyFont="1" applyFill="1"/>
    <xf numFmtId="0" fontId="17" fillId="0" borderId="0" xfId="719" applyFont="1"/>
    <xf numFmtId="0" fontId="0" fillId="0" borderId="0" xfId="0" applyNumberFormat="1"/>
    <xf numFmtId="0" fontId="17" fillId="0" borderId="0" xfId="719" applyFont="1" applyFill="1" applyAlignment="1">
      <alignment vertical="top"/>
    </xf>
    <xf numFmtId="0" fontId="17" fillId="0" borderId="0" xfId="719" applyFont="1" applyFill="1" applyAlignment="1">
      <alignment vertical="top" wrapText="1"/>
    </xf>
    <xf numFmtId="0" fontId="16" fillId="0" borderId="0" xfId="719" applyFont="1"/>
    <xf numFmtId="0" fontId="16" fillId="0" borderId="0" xfId="719" applyFont="1" applyFill="1" applyAlignment="1">
      <alignment vertical="top"/>
    </xf>
    <xf numFmtId="0" fontId="15" fillId="0" borderId="0" xfId="719" applyFont="1"/>
    <xf numFmtId="0" fontId="14" fillId="0" borderId="0" xfId="719" applyFont="1"/>
    <xf numFmtId="0" fontId="14" fillId="0" borderId="0" xfId="719" applyNumberFormat="1" applyFont="1" applyAlignment="1">
      <alignment vertical="top"/>
    </xf>
    <xf numFmtId="0" fontId="12" fillId="0" borderId="0" xfId="719" applyFont="1" applyAlignment="1">
      <alignment vertical="top"/>
    </xf>
    <xf numFmtId="0" fontId="12" fillId="0" borderId="0" xfId="719" applyFont="1" applyFill="1"/>
    <xf numFmtId="0" fontId="12" fillId="0" borderId="0" xfId="719" applyNumberFormat="1" applyFont="1" applyAlignment="1">
      <alignment vertical="top"/>
    </xf>
    <xf numFmtId="0" fontId="12" fillId="0" borderId="0" xfId="719" applyFont="1"/>
    <xf numFmtId="49" fontId="37" fillId="0" borderId="0" xfId="719" applyNumberFormat="1" applyFont="1" applyAlignment="1">
      <alignment vertical="top" wrapText="1"/>
    </xf>
    <xf numFmtId="49" fontId="16" fillId="0" borderId="0" xfId="719" applyNumberFormat="1" applyFont="1" applyAlignment="1">
      <alignment wrapText="1"/>
    </xf>
    <xf numFmtId="49" fontId="33" fillId="0" borderId="0" xfId="719" applyNumberFormat="1" applyAlignment="1">
      <alignment wrapText="1"/>
    </xf>
    <xf numFmtId="49" fontId="33" fillId="0" borderId="0" xfId="719" applyNumberFormat="1" applyFill="1" applyAlignment="1">
      <alignment vertical="top" wrapText="1"/>
    </xf>
    <xf numFmtId="49" fontId="16" fillId="0" borderId="0" xfId="719" applyNumberFormat="1" applyFont="1" applyFill="1" applyAlignment="1">
      <alignment vertical="top" wrapText="1"/>
    </xf>
    <xf numFmtId="49" fontId="15" fillId="0" borderId="0" xfId="719" applyNumberFormat="1" applyFont="1" applyFill="1" applyAlignment="1">
      <alignment vertical="top" wrapText="1"/>
    </xf>
    <xf numFmtId="49" fontId="13" fillId="0" borderId="0" xfId="719" applyNumberFormat="1" applyFont="1" applyFill="1" applyAlignment="1">
      <alignment vertical="top" wrapText="1"/>
    </xf>
    <xf numFmtId="49" fontId="16" fillId="0" borderId="0" xfId="719" applyNumberFormat="1" applyFont="1" applyAlignment="1">
      <alignment horizontal="fill" wrapText="1"/>
    </xf>
    <xf numFmtId="49" fontId="15" fillId="0" borderId="0" xfId="719" applyNumberFormat="1" applyFont="1" applyAlignment="1">
      <alignment wrapText="1"/>
    </xf>
    <xf numFmtId="49" fontId="14" fillId="0" borderId="0" xfId="719" applyNumberFormat="1" applyFont="1" applyAlignment="1">
      <alignment wrapText="1"/>
    </xf>
    <xf numFmtId="49" fontId="12" fillId="0" borderId="0" xfId="719" applyNumberFormat="1" applyFont="1" applyAlignment="1">
      <alignment wrapText="1"/>
    </xf>
    <xf numFmtId="49" fontId="27" fillId="0" borderId="0" xfId="719" applyNumberFormat="1" applyFont="1" applyAlignment="1">
      <alignment wrapText="1"/>
    </xf>
    <xf numFmtId="49" fontId="26" fillId="0" borderId="0" xfId="719" applyNumberFormat="1" applyFont="1" applyAlignment="1">
      <alignment wrapText="1"/>
    </xf>
    <xf numFmtId="49" fontId="28" fillId="0" borderId="0" xfId="719" applyNumberFormat="1" applyFont="1" applyAlignment="1">
      <alignment wrapText="1"/>
    </xf>
    <xf numFmtId="49" fontId="22" fillId="0" borderId="0" xfId="719" applyNumberFormat="1" applyFont="1" applyAlignment="1">
      <alignment wrapText="1"/>
    </xf>
    <xf numFmtId="49" fontId="21" fillId="0" borderId="0" xfId="719" applyNumberFormat="1" applyFont="1" applyAlignment="1">
      <alignment horizontal="fill" wrapText="1"/>
    </xf>
    <xf numFmtId="49" fontId="28" fillId="0" borderId="0" xfId="719" applyNumberFormat="1" applyFont="1" applyFill="1" applyAlignment="1">
      <alignment vertical="top" wrapText="1"/>
    </xf>
    <xf numFmtId="49" fontId="29" fillId="0" borderId="0" xfId="719" applyNumberFormat="1" applyFont="1" applyAlignment="1">
      <alignment wrapText="1"/>
    </xf>
    <xf numFmtId="49" fontId="17" fillId="0" borderId="0" xfId="719" applyNumberFormat="1" applyFont="1" applyAlignment="1">
      <alignment vertical="top" wrapText="1"/>
    </xf>
    <xf numFmtId="49" fontId="17" fillId="0" borderId="0" xfId="719" applyNumberFormat="1" applyFont="1" applyFill="1" applyAlignment="1">
      <alignment vertical="top" wrapText="1"/>
    </xf>
    <xf numFmtId="49" fontId="33" fillId="0" borderId="0" xfId="719" applyNumberFormat="1" applyAlignment="1">
      <alignment vertical="top" wrapText="1"/>
    </xf>
    <xf numFmtId="0" fontId="11" fillId="0" borderId="0" xfId="719" applyFont="1"/>
    <xf numFmtId="0" fontId="11" fillId="0" borderId="0" xfId="719" applyFont="1" applyFill="1"/>
    <xf numFmtId="0" fontId="10" fillId="0" borderId="0" xfId="719" applyFont="1" applyAlignment="1">
      <alignment vertical="top"/>
    </xf>
    <xf numFmtId="0" fontId="10" fillId="0" borderId="0" xfId="719" applyFont="1" applyFill="1"/>
    <xf numFmtId="0" fontId="10" fillId="0" borderId="0" xfId="719" applyNumberFormat="1" applyFont="1" applyAlignment="1">
      <alignment vertical="top"/>
    </xf>
    <xf numFmtId="49" fontId="9" fillId="0" borderId="0" xfId="719" applyNumberFormat="1" applyFont="1" applyAlignment="1">
      <alignment wrapText="1"/>
    </xf>
    <xf numFmtId="49" fontId="9" fillId="0" borderId="0" xfId="719" applyNumberFormat="1" applyFont="1" applyFill="1" applyAlignment="1">
      <alignment vertical="top" wrapText="1"/>
    </xf>
    <xf numFmtId="0" fontId="9" fillId="0" borderId="0" xfId="719" applyFont="1" applyFill="1" applyAlignment="1">
      <alignment vertical="top"/>
    </xf>
    <xf numFmtId="0" fontId="9" fillId="0" borderId="0" xfId="719" applyFont="1" applyFill="1" applyAlignment="1">
      <alignment vertical="top" wrapText="1"/>
    </xf>
    <xf numFmtId="0" fontId="9" fillId="0" borderId="0" xfId="719" applyFont="1"/>
    <xf numFmtId="0" fontId="9" fillId="0" borderId="0" xfId="719" applyNumberFormat="1" applyFont="1" applyAlignment="1">
      <alignment vertical="top"/>
    </xf>
    <xf numFmtId="0" fontId="8" fillId="0" borderId="0" xfId="719" applyFont="1" applyFill="1" applyAlignment="1">
      <alignment vertical="top"/>
    </xf>
    <xf numFmtId="49" fontId="8" fillId="0" borderId="0" xfId="719" applyNumberFormat="1" applyFont="1" applyFill="1" applyAlignment="1">
      <alignment vertical="top" wrapText="1"/>
    </xf>
    <xf numFmtId="0" fontId="8" fillId="0" borderId="0" xfId="719" applyFont="1"/>
    <xf numFmtId="49" fontId="8" fillId="0" borderId="0" xfId="719" applyNumberFormat="1" applyFont="1" applyAlignment="1">
      <alignment wrapText="1"/>
    </xf>
    <xf numFmtId="49" fontId="7" fillId="0" borderId="0" xfId="719" applyNumberFormat="1" applyFont="1" applyAlignment="1">
      <alignment wrapText="1"/>
    </xf>
    <xf numFmtId="49" fontId="6" fillId="0" borderId="0" xfId="719" applyNumberFormat="1" applyFont="1" applyAlignment="1">
      <alignment wrapText="1"/>
    </xf>
    <xf numFmtId="0" fontId="6" fillId="0" borderId="0" xfId="719" applyFont="1" applyFill="1" applyAlignment="1">
      <alignment vertical="top"/>
    </xf>
    <xf numFmtId="0" fontId="5" fillId="0" borderId="0" xfId="719" applyFont="1" applyFill="1" applyAlignment="1">
      <alignment vertical="top"/>
    </xf>
    <xf numFmtId="0" fontId="5" fillId="0" borderId="0" xfId="719" applyFont="1" applyFill="1" applyAlignment="1">
      <alignment vertical="top" wrapText="1"/>
    </xf>
    <xf numFmtId="0" fontId="4" fillId="0" borderId="0" xfId="719" applyFont="1" applyFill="1" applyAlignment="1">
      <alignment vertical="top"/>
    </xf>
    <xf numFmtId="49" fontId="4" fillId="0" borderId="0" xfId="719" applyNumberFormat="1" applyFont="1" applyFill="1" applyAlignment="1">
      <alignment vertical="top" wrapText="1"/>
    </xf>
    <xf numFmtId="0" fontId="4" fillId="0" borderId="0" xfId="719" applyFont="1"/>
    <xf numFmtId="0" fontId="3" fillId="0" borderId="0" xfId="719" applyFont="1" applyFill="1" applyAlignment="1">
      <alignment vertical="top"/>
    </xf>
    <xf numFmtId="0" fontId="33" fillId="0" borderId="0" xfId="719" applyFill="1" applyAlignment="1">
      <alignment vertical="top"/>
    </xf>
    <xf numFmtId="0" fontId="2" fillId="0" borderId="0" xfId="719" applyFont="1" applyFill="1" applyAlignment="1">
      <alignment vertical="top"/>
    </xf>
    <xf numFmtId="49" fontId="2" fillId="0" borderId="0" xfId="719" applyNumberFormat="1" applyFont="1" applyFill="1" applyAlignment="1">
      <alignment vertical="top" wrapText="1"/>
    </xf>
    <xf numFmtId="0" fontId="36" fillId="0" borderId="0" xfId="0" applyFont="1" applyAlignment="1">
      <alignment vertical="top"/>
    </xf>
    <xf numFmtId="49" fontId="9" fillId="0" borderId="0" xfId="719" applyNumberFormat="1" applyFont="1" applyAlignment="1">
      <alignment vertical="top" wrapText="1"/>
    </xf>
    <xf numFmtId="0" fontId="26" fillId="0" borderId="0" xfId="719" applyFont="1" applyAlignment="1">
      <alignment vertical="top"/>
    </xf>
    <xf numFmtId="0" fontId="16" fillId="0" borderId="0" xfId="719" applyFont="1" applyAlignment="1">
      <alignment vertical="top"/>
    </xf>
    <xf numFmtId="49" fontId="7" fillId="0" borderId="0" xfId="719" applyNumberFormat="1" applyFont="1" applyAlignment="1">
      <alignment vertical="top" wrapText="1"/>
    </xf>
    <xf numFmtId="0" fontId="9" fillId="0" borderId="0" xfId="719" applyFont="1" applyAlignment="1">
      <alignment vertical="top"/>
    </xf>
    <xf numFmtId="0" fontId="28" fillId="0" borderId="0" xfId="719" applyFont="1" applyAlignment="1">
      <alignment vertical="top"/>
    </xf>
    <xf numFmtId="0" fontId="27" fillId="0" borderId="0" xfId="719" applyFont="1" applyAlignment="1">
      <alignment vertical="top"/>
    </xf>
    <xf numFmtId="49" fontId="2" fillId="0" borderId="0" xfId="719" applyNumberFormat="1" applyFont="1" applyAlignment="1">
      <alignment wrapText="1"/>
    </xf>
    <xf numFmtId="0" fontId="2" fillId="0" borderId="0" xfId="719" applyNumberFormat="1" applyFont="1" applyFill="1" applyAlignment="1">
      <alignment vertical="top"/>
    </xf>
    <xf numFmtId="0" fontId="2" fillId="0" borderId="0" xfId="719" applyFont="1" applyFill="1" applyAlignment="1">
      <alignment vertical="top" wrapText="1"/>
    </xf>
    <xf numFmtId="0" fontId="2" fillId="0" borderId="0" xfId="719" applyFont="1"/>
    <xf numFmtId="0" fontId="2" fillId="0" borderId="0" xfId="719" applyFont="1" applyFill="1"/>
    <xf numFmtId="0" fontId="2" fillId="0" borderId="0" xfId="0" applyNumberFormat="1" applyFont="1" applyFill="1" applyBorder="1" applyAlignment="1" applyProtection="1"/>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1" fillId="0" borderId="0" xfId="719" applyFont="1" applyFill="1" applyAlignment="1">
      <alignment vertical="top" wrapText="1"/>
    </xf>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1">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15" totalsRowCount="1" headerRowDxfId="70" dataDxfId="69">
  <autoFilter ref="A1:Y314"/>
  <tableColumns count="25">
    <tableColumn id="1" name="!Table" totalsRowLabel="Total" dataDxfId="68" totalsRowDxfId="23" dataCellStyle="Normal 2"/>
    <tableColumn id="2" name="!Type" dataDxfId="67" totalsRowDxfId="22" dataCellStyle="Normal 2"/>
    <tableColumn id="6" name="!Length" totalsRowDxfId="21" dataCellStyle="Normal 2"/>
    <tableColumn id="3" name="!Name" dataDxfId="66" totalsRowDxfId="20" dataCellStyle="Normal 2"/>
    <tableColumn id="4" name="!Description" dataDxfId="65" totalsRowDxfId="19" dataCellStyle="Normal 2"/>
    <tableColumn id="7" name="!FK" dataDxfId="64" totalsRowDxfId="18" dataCellStyle="Normal 2"/>
    <tableColumn id="10" name="!Required" dataDxfId="63" totalsRowDxfId="17" dataCellStyle="Normal 2"/>
    <tableColumn id="26" name="!Unique" dataDxfId="62" totalsRowDxfId="16" dataCellStyle="Normal 2"/>
    <tableColumn id="9" name="File" dataDxfId="61" totalsRowDxfId="15">
      <calculatedColumnFormula>IF(LEN(A2) &gt; 0,"Defs","-")</calculatedColumnFormula>
    </tableColumn>
    <tableColumn id="5" name="boolean" dataDxfId="60" totalsRowDxfId="14">
      <calculatedColumnFormula>IF(Table2[[#This Row],[!Type]]=J$1, J$1,"rg:None")</calculatedColumnFormula>
    </tableColumn>
    <tableColumn id="23" name="binary" dataDxfId="59">
      <calculatedColumnFormula>IF(Table2[[#This Row],[!Type]]=K$1, K$1,"rg:None")</calculatedColumnFormula>
    </tableColumn>
    <tableColumn id="8" name="datetime" dataDxfId="58" totalsRowDxfId="13">
      <calculatedColumnFormula>IF(Table2[[#This Row],[!Type]]=L$1, L$1,"rg:None")</calculatedColumnFormula>
    </tableColumn>
    <tableColumn id="11" name="id" dataDxfId="57" totalsRowDxfId="12">
      <calculatedColumnFormula>IF(Table2[[#This Row],[!Type]]=M$1, M$1,"rg:None")</calculatedColumnFormula>
    </tableColumn>
    <tableColumn id="12" name="integer" dataDxfId="56" totalsRowDxfId="11">
      <calculatedColumnFormula>IF(Table2[[#This Row],[!Type]]=N$1, N$1,"rg:None")</calculatedColumnFormula>
    </tableColumn>
    <tableColumn id="21" name="float" dataDxfId="55" totalsRowDxfId="10">
      <calculatedColumnFormula>IF(Table2[[#This Row],[!Type]]=O$1, O$1,"rg:None")</calculatedColumnFormula>
    </tableColumn>
    <tableColumn id="13" name="links" dataDxfId="54" totalsRowDxfId="9">
      <calculatedColumnFormula>IF(Table2[[#This Row],[!Type]]=P$1, P$1,"rg:None")</calculatedColumnFormula>
    </tableColumn>
    <tableColumn id="14" name="ref" dataDxfId="53" totalsRowDxfId="8">
      <calculatedColumnFormula>IF(Table2[[#This Row],[!Type]]=Q$1, Q$1,"rg:None")</calculatedColumnFormula>
    </tableColumn>
    <tableColumn id="15" name="string" dataDxfId="52" totalsRowDxfId="7">
      <calculatedColumnFormula>IF(Table2[[#This Row],[!Type]]=R$1, R$1,"rg:None")</calculatedColumnFormula>
    </tableColumn>
    <tableColumn id="16" name="table" dataDxfId="51" totalsRowDxfId="6">
      <calculatedColumnFormula>IF(Table2[[#This Row],[!Type]]=S$1, S$1,"rg:None")</calculatedColumnFormula>
    </tableColumn>
    <tableColumn id="17" name="Length" dataDxfId="50" totalsRowDxfId="5">
      <calculatedColumnFormula>IF(LEN(Table2[[#This Row],[!Length]]) &gt; 0, Table2[[#This Row],[!Length]], "rg:None")</calculatedColumnFormula>
    </tableColumn>
    <tableColumn id="18" name="Name" dataDxfId="49" totalsRowDxfId="4">
      <calculatedColumnFormula>IF(LEN(Table2[[#This Row],[!Name]]) &gt; 0, Table2[[#This Row],[!Name]], "rg:None")</calculatedColumnFormula>
    </tableColumn>
    <tableColumn id="19" name="Description" dataDxfId="48" totalsRowDxfId="3">
      <calculatedColumnFormula>IF(LEN(Table2[[#This Row],[!Description]]) &gt; 0, Table2[[#This Row],[!Description]], "rg:None")</calculatedColumnFormula>
    </tableColumn>
    <tableColumn id="20" name="RefDef" dataDxfId="47" totalsRowDxfId="2">
      <calculatedColumnFormula>IF(LEN(Table2[[#This Row],[!FK]])&gt;0,Table2[[#This Row],[!FK]],"rg:None")</calculatedColumnFormula>
    </tableColumn>
    <tableColumn id="22" name="Required" dataDxfId="46" totalsRowDxfId="1">
      <calculatedColumnFormula>IF(LEN(concatif2(A:A,Table2[[#This Row],[!Table]],G:G,"Y",D:D,",")) &gt; 0,"rg:[ { 'req' : '"&amp;concatif2(A:A,Table2[[#This Row],[!Table]],G:G,"Y",D:D,"' }, { 'req': '")&amp;"'} ]","rg:[]")</calculatedColumnFormula>
    </tableColumn>
    <tableColumn id="27" name="Unique" totalsRowFunction="count" dataDxfId="45"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44" dataDxfId="43">
  <autoFilter ref="A1:T46"/>
  <tableColumns count="20">
    <tableColumn id="1" name="!type" dataDxfId="42"/>
    <tableColumn id="2" name="!path" dataDxfId="41"/>
    <tableColumn id="6" name="!tag" dataCellStyle="Normal 2"/>
    <tableColumn id="3" name="!paramDef" dataDxfId="40">
      <calculatedColumnFormula>LOWER(Table23[[#This Row],[!path]])&amp;"s"</calculatedColumnFormula>
    </tableColumn>
    <tableColumn id="4" name="!respDef" dataDxfId="39" dataCellStyle="Normal 2"/>
    <tableColumn id="5" name="!Description" dataDxfId="38" dataCellStyle="Normal 2"/>
    <tableColumn id="7" name="File" dataDxfId="37">
      <calculatedColumnFormula>IF(LEN(A2) &gt;0,"Path","-")</calculatedColumnFormula>
    </tableColumn>
    <tableColumn id="8" name="crud" dataDxfId="36">
      <calculatedColumnFormula>IF(LEN(Table23[[#This Row],[!type]])&gt;0,IF(Table23[[#This Row],[!type]]=H$1,"1","rg:None"),"-")</calculatedColumnFormula>
    </tableColumn>
    <tableColumn id="9" name="post" dataDxfId="35">
      <calculatedColumnFormula>IF(LEN(Table23[[#This Row],[!type]])&gt;0,IF(Table23[[#This Row],[!type]]=I$1,"1","rg:None"),"-")</calculatedColumnFormula>
    </tableColumn>
    <tableColumn id="10" name="bulk" dataDxfId="34">
      <calculatedColumnFormula>IF(LEN(Table23[[#This Row],[!type]])&gt;0,IF(Table23[[#This Row],[!type]]=J$1,"1","rg:None"),"-")</calculatedColumnFormula>
    </tableColumn>
    <tableColumn id="11" name="getById" dataDxfId="33">
      <calculatedColumnFormula>IF(LEN(Table23[[#This Row],[!type]])&gt;0,IF(Table23[[#This Row],[!type]]=K$1,"1","rg:None"),"-")</calculatedColumnFormula>
    </tableColumn>
    <tableColumn id="12" name="putById" dataDxfId="32">
      <calculatedColumnFormula>IF(LEN(Table23[[#This Row],[!type]])&gt;0,IF(Table23[[#This Row],[!type]]=L$1,"1","rg:None"),"-")</calculatedColumnFormula>
    </tableColumn>
    <tableColumn id="13" name="deleteById" dataDxfId="31">
      <calculatedColumnFormula>IF(LEN(Table23[[#This Row],[!type]])&gt;0,IF(Table23[[#This Row],[!type]]=M$1,"1","rg:None"),"-")</calculatedColumnFormula>
    </tableColumn>
    <tableColumn id="14" name="fullpath" dataDxfId="30">
      <calculatedColumnFormula>IF(LEN(Table23[[#This Row],[!type]])&gt;0,IF(Table23[[#This Row],[!type]]=N$1,"1","rg:None"),"-")</calculatedColumnFormula>
    </tableColumn>
    <tableColumn id="15" name="idpath" dataDxfId="29">
      <calculatedColumnFormula>IF(LEN(Table23[[#This Row],[!type]])&gt;0,IF(Table23[[#This Row],[!type]]=O$1,"1","rg:None"),"-")</calculatedColumnFormula>
    </tableColumn>
    <tableColumn id="16" name="path" dataDxfId="28">
      <calculatedColumnFormula>IF(LEN(Table23[[#This Row],[!path]]) &gt;0,Table23[[#This Row],[!path]],"rg:None")</calculatedColumnFormula>
    </tableColumn>
    <tableColumn id="17" name="tag" dataDxfId="27">
      <calculatedColumnFormula>IF(LEN(Table23[[#This Row],[!tag]]) &gt;0,Table23[[#This Row],[!tag]],"rg:None")</calculatedColumnFormula>
    </tableColumn>
    <tableColumn id="18" name="paramDef" dataDxfId="26">
      <calculatedColumnFormula>IF(LEN(Table23[[#This Row],[!paramDef]]) &gt;0,Table23[[#This Row],[!paramDef]],"rg:None")</calculatedColumnFormula>
    </tableColumn>
    <tableColumn id="19" name="respDef" dataDxfId="25">
      <calculatedColumnFormula>IF(LEN(Table23[[#This Row],[!respDef]]) &gt;0,Table23[[#This Row],[!respDef]],"rg:None")</calculatedColumnFormula>
    </tableColumn>
    <tableColumn id="20" name="Description" dataDxfId="24">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15"/>
  <sheetViews>
    <sheetView tabSelected="1" zoomScale="120" zoomScaleNormal="120" workbookViewId="0">
      <pane ySplit="1" topLeftCell="A2" activePane="bottomLeft" state="frozen"/>
      <selection pane="bottomLeft" activeCell="A6" sqref="A6"/>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78"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style="8" customWidth="1"/>
    <col min="25" max="25" width="36.796875" style="8" customWidth="1"/>
    <col min="26" max="16384" width="8.69921875" style="5"/>
  </cols>
  <sheetData>
    <row r="1" spans="1:25" s="1" customFormat="1" x14ac:dyDescent="0.3">
      <c r="A1" s="1" t="s">
        <v>91</v>
      </c>
      <c r="B1" s="1" t="s">
        <v>92</v>
      </c>
      <c r="C1" s="1" t="s">
        <v>93</v>
      </c>
      <c r="D1" s="1" t="s">
        <v>94</v>
      </c>
      <c r="E1" s="58" t="s">
        <v>90</v>
      </c>
      <c r="F1" s="2" t="s">
        <v>95</v>
      </c>
      <c r="G1" s="1" t="s">
        <v>69</v>
      </c>
      <c r="H1" s="1" t="s">
        <v>390</v>
      </c>
      <c r="I1" s="106" t="s">
        <v>67</v>
      </c>
      <c r="J1" s="9" t="s">
        <v>9</v>
      </c>
      <c r="K1" s="9" t="s">
        <v>170</v>
      </c>
      <c r="L1" s="9" t="s">
        <v>12</v>
      </c>
      <c r="M1" s="9" t="s">
        <v>6</v>
      </c>
      <c r="N1" s="9" t="s">
        <v>13</v>
      </c>
      <c r="O1" s="9" t="s">
        <v>110</v>
      </c>
      <c r="P1" s="9" t="s">
        <v>19</v>
      </c>
      <c r="Q1" s="9" t="s">
        <v>8</v>
      </c>
      <c r="R1" s="9" t="s">
        <v>7</v>
      </c>
      <c r="S1" s="9" t="s">
        <v>4</v>
      </c>
      <c r="T1" s="9" t="s">
        <v>2</v>
      </c>
      <c r="U1" s="9" t="s">
        <v>3</v>
      </c>
      <c r="V1" s="9" t="s">
        <v>1</v>
      </c>
      <c r="W1" s="9" t="s">
        <v>96</v>
      </c>
      <c r="X1" s="9" t="s">
        <v>68</v>
      </c>
      <c r="Y1" s="9" t="s">
        <v>391</v>
      </c>
    </row>
    <row r="2" spans="1:25" ht="28.8" x14ac:dyDescent="0.3">
      <c r="A2" s="5" t="s">
        <v>138</v>
      </c>
      <c r="B2" s="5" t="s">
        <v>4</v>
      </c>
      <c r="D2" s="5" t="s">
        <v>138</v>
      </c>
      <c r="E2" s="107" t="s">
        <v>422</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138</v>
      </c>
      <c r="B3" s="5" t="s">
        <v>6</v>
      </c>
      <c r="D3" s="5" t="s">
        <v>6</v>
      </c>
      <c r="E3" s="78" t="s">
        <v>248</v>
      </c>
      <c r="F3" s="5"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138</v>
      </c>
      <c r="B4" s="5" t="s">
        <v>8</v>
      </c>
      <c r="D4" s="108" t="s">
        <v>162</v>
      </c>
      <c r="E4" s="107" t="s">
        <v>423</v>
      </c>
      <c r="F4" s="108"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4" t="str">
        <f>IF(LEN(concatif2(A:A,Table2[[#This Row],[!Table]],G:G,"Y",D:D,",")) &gt; 0,"rg:[ { 'req' : '"&amp;concatif2(A:A,Table2[[#This Row],[!Table]],G:G,"Y",D:D,"' }, { 'req': '")&amp;"'} ]","rg:[]")</f>
        <v>rg:[ { 'req' : 'id'} ]</v>
      </c>
      <c r="Y4" s="4" t="str">
        <f>IF(LEN(Table2[[#This Row],[!Unique]])&gt;0,"rg:True","rg:None")</f>
        <v>rg:None</v>
      </c>
    </row>
    <row r="5" spans="1:25" ht="43.2" x14ac:dyDescent="0.3">
      <c r="A5" s="5" t="s">
        <v>138</v>
      </c>
      <c r="B5" s="5" t="s">
        <v>7</v>
      </c>
      <c r="C5" s="5">
        <v>150</v>
      </c>
      <c r="D5" s="109" t="s">
        <v>246</v>
      </c>
      <c r="E5" s="110" t="s">
        <v>473</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86" t="s">
        <v>138</v>
      </c>
      <c r="B6" s="86" t="s">
        <v>7</v>
      </c>
      <c r="C6" s="103">
        <v>100</v>
      </c>
      <c r="D6" s="123" t="s">
        <v>15</v>
      </c>
      <c r="E6" s="85" t="s">
        <v>424</v>
      </c>
      <c r="F6" s="12"/>
      <c r="G6" s="19"/>
      <c r="H6" s="19"/>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ht="28.8" x14ac:dyDescent="0.3">
      <c r="A7" s="5" t="s">
        <v>138</v>
      </c>
      <c r="B7" s="5" t="s">
        <v>7</v>
      </c>
      <c r="C7" s="5">
        <v>2048</v>
      </c>
      <c r="D7" s="111" t="s">
        <v>437</v>
      </c>
      <c r="E7" s="107" t="s">
        <v>438</v>
      </c>
      <c r="F7" s="5"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x14ac:dyDescent="0.3">
      <c r="A8" s="5" t="s">
        <v>138</v>
      </c>
      <c r="B8" s="25" t="s">
        <v>19</v>
      </c>
      <c r="C8" s="103"/>
      <c r="D8" s="96" t="s">
        <v>481</v>
      </c>
      <c r="E8" s="61"/>
      <c r="F8" s="96" t="s">
        <v>477</v>
      </c>
      <c r="G8" s="19"/>
      <c r="H8" s="19"/>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4" t="str">
        <f>IF(LEN(concatif2(A:A,Table2[[#This Row],[!Table]],G:G,"Y",D:D,",")) &gt; 0,"rg:[ { 'req' : '"&amp;concatif2(A:A,Table2[[#This Row],[!Table]],G:G,"Y",D:D,"' }, { 'req': '")&amp;"'} ]","rg:[]")</f>
        <v>rg:[ { 'req' : 'id'} ]</v>
      </c>
      <c r="Y8" s="4" t="str">
        <f>IF(LEN(Table2[[#This Row],[!Unique]])&gt;0,"rg:True","rg:None")</f>
        <v>rg:None</v>
      </c>
    </row>
    <row r="9" spans="1:25" ht="28.8" x14ac:dyDescent="0.3">
      <c r="A9" s="5" t="s">
        <v>138</v>
      </c>
      <c r="B9" s="25" t="s">
        <v>8</v>
      </c>
      <c r="C9" s="103"/>
      <c r="D9" s="25" t="s">
        <v>214</v>
      </c>
      <c r="E9" s="62" t="s">
        <v>245</v>
      </c>
      <c r="F9" s="26" t="s">
        <v>185</v>
      </c>
      <c r="G9" s="19"/>
      <c r="H9" s="19"/>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v>
      </c>
      <c r="Y9" s="4" t="str">
        <f>IF(LEN(Table2[[#This Row],[!Unique]])&gt;0,"rg:True","rg:None")</f>
        <v>rg:None</v>
      </c>
    </row>
    <row r="10" spans="1:25" x14ac:dyDescent="0.3">
      <c r="A10" s="5" t="s">
        <v>138</v>
      </c>
      <c r="B10" s="25" t="s">
        <v>19</v>
      </c>
      <c r="C10" s="103"/>
      <c r="D10" s="25" t="s">
        <v>196</v>
      </c>
      <c r="E10" s="61"/>
      <c r="F10" s="26" t="s">
        <v>185</v>
      </c>
      <c r="G10" s="19"/>
      <c r="H10" s="19"/>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
      <c r="A11" s="5" t="s">
        <v>138</v>
      </c>
      <c r="B11" s="23" t="s">
        <v>19</v>
      </c>
      <c r="C11" s="103"/>
      <c r="D11" s="23" t="s">
        <v>175</v>
      </c>
      <c r="E11" s="61"/>
      <c r="F11" s="24" t="s">
        <v>155</v>
      </c>
      <c r="G11" s="19"/>
      <c r="H11" s="19"/>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v>
      </c>
      <c r="Y11" s="4" t="str">
        <f>IF(LEN(Table2[[#This Row],[!Unique]])&gt;0,"rg:True","rg:None")</f>
        <v>rg:None</v>
      </c>
    </row>
    <row r="12" spans="1:25" x14ac:dyDescent="0.3">
      <c r="A12" s="5" t="s">
        <v>138</v>
      </c>
      <c r="B12" s="23" t="s">
        <v>19</v>
      </c>
      <c r="C12" s="103"/>
      <c r="D12" s="23" t="s">
        <v>195</v>
      </c>
      <c r="E12" s="61"/>
      <c r="F12" s="112" t="s">
        <v>169</v>
      </c>
      <c r="G12" s="19"/>
      <c r="H12" s="19"/>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v>
      </c>
      <c r="Y12" s="4" t="str">
        <f>IF(LEN(Table2[[#This Row],[!Unique]])&gt;0,"rg:True","rg:None")</f>
        <v>rg:None</v>
      </c>
    </row>
    <row r="13" spans="1:25" x14ac:dyDescent="0.3">
      <c r="A13" s="5" t="s">
        <v>138</v>
      </c>
      <c r="B13" s="23" t="s">
        <v>19</v>
      </c>
      <c r="C13" s="103"/>
      <c r="D13" s="23" t="s">
        <v>197</v>
      </c>
      <c r="E13" s="61"/>
      <c r="F13" s="113" t="s">
        <v>171</v>
      </c>
      <c r="G13" s="19"/>
      <c r="H13" s="19"/>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v>
      </c>
      <c r="Y13" s="4" t="str">
        <f>IF(LEN(Table2[[#This Row],[!Unique]])&gt;0,"rg:True","rg:None")</f>
        <v>rg:None</v>
      </c>
    </row>
    <row r="14" spans="1:25" x14ac:dyDescent="0.3">
      <c r="A14" s="96" t="s">
        <v>477</v>
      </c>
      <c r="B14" s="3" t="s">
        <v>4</v>
      </c>
      <c r="C14" s="3"/>
      <c r="D14" s="96" t="s">
        <v>477</v>
      </c>
      <c r="E14" s="85" t="s">
        <v>403</v>
      </c>
      <c r="F14" s="12"/>
      <c r="G14" s="19"/>
      <c r="H14" s="19"/>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v>
      </c>
      <c r="Y14" s="4" t="str">
        <f>IF(LEN(Table2[[#This Row],[!Unique]])&gt;0,"rg:True","rg:None")</f>
        <v>rg:None</v>
      </c>
    </row>
    <row r="15" spans="1:25" x14ac:dyDescent="0.3">
      <c r="A15" s="96" t="s">
        <v>477</v>
      </c>
      <c r="B15" s="25" t="s">
        <v>6</v>
      </c>
      <c r="C15" s="18"/>
      <c r="D15" s="25" t="s">
        <v>6</v>
      </c>
      <c r="E15" s="60" t="s">
        <v>247</v>
      </c>
      <c r="F15" s="12"/>
      <c r="G15" s="27" t="s">
        <v>64</v>
      </c>
      <c r="H15" s="27"/>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
      <c r="A16" s="96" t="s">
        <v>477</v>
      </c>
      <c r="B16" s="25" t="s">
        <v>8</v>
      </c>
      <c r="C16" s="18"/>
      <c r="D16" s="25" t="s">
        <v>158</v>
      </c>
      <c r="E16" s="61"/>
      <c r="F16" s="26" t="s">
        <v>138</v>
      </c>
      <c r="G16" s="19"/>
      <c r="H16" s="19"/>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v>
      </c>
      <c r="Y16" s="4" t="str">
        <f>IF(LEN(Table2[[#This Row],[!Unique]])&gt;0,"rg:True","rg:None")</f>
        <v>rg:None</v>
      </c>
    </row>
    <row r="17" spans="1:25" x14ac:dyDescent="0.3">
      <c r="A17" s="96" t="s">
        <v>477</v>
      </c>
      <c r="B17" s="29" t="s">
        <v>8</v>
      </c>
      <c r="C17" s="18"/>
      <c r="D17" s="29" t="s">
        <v>192</v>
      </c>
      <c r="E17" s="61"/>
      <c r="F17" s="30" t="s">
        <v>160</v>
      </c>
      <c r="G17" s="19"/>
      <c r="H17" s="19"/>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4" t="str">
        <f>IF(LEN(concatif2(A:A,Table2[[#This Row],[!Table]],G:G,"Y",D:D,",")) &gt; 0,"rg:[ { 'req' : '"&amp;concatif2(A:A,Table2[[#This Row],[!Table]],G:G,"Y",D:D,"' }, { 'req': '")&amp;"'} ]","rg:[]")</f>
        <v>rg:[ { 'req' : 'id'} ]</v>
      </c>
      <c r="Y17" s="4" t="str">
        <f>IF(LEN(Table2[[#This Row],[!Unique]])&gt;0,"rg:True","rg:None")</f>
        <v>rg:None</v>
      </c>
    </row>
    <row r="18" spans="1:25" x14ac:dyDescent="0.3">
      <c r="A18" s="104" t="s">
        <v>477</v>
      </c>
      <c r="B18" s="104" t="s">
        <v>7</v>
      </c>
      <c r="C18" s="18">
        <v>50</v>
      </c>
      <c r="D18" s="104" t="s">
        <v>260</v>
      </c>
      <c r="E18" s="105" t="s">
        <v>493</v>
      </c>
      <c r="F18" s="12"/>
      <c r="G18" s="19"/>
      <c r="H18" s="19"/>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v>
      </c>
      <c r="Y18" s="4" t="str">
        <f>IF(LEN(Table2[[#This Row],[!Unique]])&gt;0,"rg:True","rg:None")</f>
        <v>rg:None</v>
      </c>
    </row>
    <row r="19" spans="1:25" x14ac:dyDescent="0.3">
      <c r="A19" s="96" t="s">
        <v>477</v>
      </c>
      <c r="B19" s="29" t="s">
        <v>8</v>
      </c>
      <c r="C19" s="18"/>
      <c r="D19" s="22" t="s">
        <v>201</v>
      </c>
      <c r="E19" s="60"/>
      <c r="F19" s="22" t="s">
        <v>202</v>
      </c>
      <c r="G19" s="19"/>
      <c r="H19" s="19"/>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equipmentType</v>
      </c>
      <c r="V19" s="4" t="str">
        <f>IF(LEN(Table2[[#This Row],[!Description]]) &gt; 0, Table2[[#This Row],[!Description]], "rg:None")</f>
        <v>rg:None</v>
      </c>
      <c r="W19" s="4" t="str">
        <f>IF(LEN(Table2[[#This Row],[!FK]])&gt;0,Table2[[#This Row],[!FK]],"rg:None")</f>
        <v>EquipmentType</v>
      </c>
      <c r="X19" s="14" t="str">
        <f>IF(LEN(concatif2(A:A,Table2[[#This Row],[!Table]],G:G,"Y",D:D,",")) &gt; 0,"rg:[ { 'req' : '"&amp;concatif2(A:A,Table2[[#This Row],[!Table]],G:G,"Y",D:D,"' }, { 'req': '")&amp;"'} ]","rg:[]")</f>
        <v>rg:[ { 'req' : 'id'} ]</v>
      </c>
      <c r="Y19" s="4" t="str">
        <f>IF(LEN(Table2[[#This Row],[!Unique]])&gt;0,"rg:True","rg:None")</f>
        <v>rg:None</v>
      </c>
    </row>
    <row r="20" spans="1:25" x14ac:dyDescent="0.3">
      <c r="A20" s="96" t="s">
        <v>477</v>
      </c>
      <c r="B20" s="29" t="s">
        <v>13</v>
      </c>
      <c r="C20" s="18"/>
      <c r="D20" s="29" t="s">
        <v>216</v>
      </c>
      <c r="E20" s="85" t="s">
        <v>428</v>
      </c>
      <c r="F20" s="12"/>
      <c r="G20" s="19"/>
      <c r="H20" s="19"/>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ht="28.8" x14ac:dyDescent="0.3">
      <c r="A21" s="96" t="s">
        <v>477</v>
      </c>
      <c r="B21" s="29" t="s">
        <v>13</v>
      </c>
      <c r="C21" s="18"/>
      <c r="D21" s="29" t="s">
        <v>217</v>
      </c>
      <c r="E21" s="63" t="s">
        <v>289</v>
      </c>
      <c r="F21" s="12"/>
      <c r="G21" s="19"/>
      <c r="H21" s="19"/>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8.8" x14ac:dyDescent="0.3">
      <c r="A22" s="96" t="s">
        <v>477</v>
      </c>
      <c r="B22" s="29" t="s">
        <v>12</v>
      </c>
      <c r="C22" s="18"/>
      <c r="D22" s="29" t="s">
        <v>218</v>
      </c>
      <c r="E22" s="63" t="s">
        <v>288</v>
      </c>
      <c r="F22" s="12"/>
      <c r="G22" s="19"/>
      <c r="H22" s="19"/>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96" t="s">
        <v>477</v>
      </c>
      <c r="B23" s="29" t="s">
        <v>12</v>
      </c>
      <c r="C23" s="18"/>
      <c r="D23" s="29" t="s">
        <v>219</v>
      </c>
      <c r="E23" s="63" t="s">
        <v>287</v>
      </c>
      <c r="F23" s="12"/>
      <c r="G23" s="19"/>
      <c r="H23" s="19"/>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x14ac:dyDescent="0.3">
      <c r="A24" s="96" t="s">
        <v>477</v>
      </c>
      <c r="B24" s="86" t="s">
        <v>8</v>
      </c>
      <c r="C24" s="18"/>
      <c r="D24" s="86" t="s">
        <v>429</v>
      </c>
      <c r="E24" s="85" t="s">
        <v>430</v>
      </c>
      <c r="F24" s="87" t="s">
        <v>200</v>
      </c>
      <c r="G24" s="19"/>
      <c r="H24" s="19"/>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v>
      </c>
      <c r="Y24" s="4" t="str">
        <f>IF(LEN(Table2[[#This Row],[!Unique]])&gt;0,"rg:True","rg:None")</f>
        <v>rg:None</v>
      </c>
    </row>
    <row r="25" spans="1:25" x14ac:dyDescent="0.3">
      <c r="A25" s="96" t="s">
        <v>477</v>
      </c>
      <c r="B25" s="23" t="s">
        <v>19</v>
      </c>
      <c r="C25" s="18"/>
      <c r="D25" s="23" t="s">
        <v>175</v>
      </c>
      <c r="E25" s="61"/>
      <c r="F25" s="24" t="s">
        <v>155</v>
      </c>
      <c r="G25" s="19"/>
      <c r="H25" s="19"/>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v>
      </c>
      <c r="Y25" s="4" t="str">
        <f>IF(LEN(Table2[[#This Row],[!Unique]])&gt;0,"rg:True","rg:None")</f>
        <v>rg:None</v>
      </c>
    </row>
    <row r="26" spans="1:25" x14ac:dyDescent="0.3">
      <c r="A26" s="96" t="s">
        <v>477</v>
      </c>
      <c r="B26" s="23" t="s">
        <v>19</v>
      </c>
      <c r="C26" s="18"/>
      <c r="D26" s="23" t="s">
        <v>195</v>
      </c>
      <c r="E26" s="61"/>
      <c r="F26" s="117" t="s">
        <v>495</v>
      </c>
      <c r="G26" s="19"/>
      <c r="H26" s="19"/>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RentalRequestAttachment</v>
      </c>
      <c r="X26" s="14" t="str">
        <f>IF(LEN(concatif2(A:A,Table2[[#This Row],[!Table]],G:G,"Y",D:D,",")) &gt; 0,"rg:[ { 'req' : '"&amp;concatif2(A:A,Table2[[#This Row],[!Table]],G:G,"Y",D:D,"' }, { 'req': '")&amp;"'} ]","rg:[]")</f>
        <v>rg:[ { 'req' : 'id'} ]</v>
      </c>
      <c r="Y26" s="4" t="str">
        <f>IF(LEN(Table2[[#This Row],[!Unique]])&gt;0,"rg:True","rg:None")</f>
        <v>rg:None</v>
      </c>
    </row>
    <row r="27" spans="1:25" x14ac:dyDescent="0.3">
      <c r="A27" s="96" t="s">
        <v>477</v>
      </c>
      <c r="B27" s="23" t="s">
        <v>19</v>
      </c>
      <c r="C27" s="18"/>
      <c r="D27" s="23" t="s">
        <v>197</v>
      </c>
      <c r="E27" s="61"/>
      <c r="F27" s="22" t="s">
        <v>171</v>
      </c>
      <c r="G27" s="19"/>
      <c r="H27" s="19"/>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v>
      </c>
      <c r="Y27" s="4" t="str">
        <f>IF(LEN(Table2[[#This Row],[!Unique]])&gt;0,"rg:True","rg:None")</f>
        <v>rg:None</v>
      </c>
    </row>
    <row r="28" spans="1:25" x14ac:dyDescent="0.3">
      <c r="A28" s="96" t="s">
        <v>477</v>
      </c>
      <c r="B28" s="90" t="s">
        <v>19</v>
      </c>
      <c r="C28" s="18"/>
      <c r="D28" s="96" t="s">
        <v>479</v>
      </c>
      <c r="E28" s="61"/>
      <c r="F28" s="96" t="s">
        <v>478</v>
      </c>
      <c r="G28" s="19"/>
      <c r="H28" s="19"/>
      <c r="I28" s="4" t="str">
        <f>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rg:None</v>
      </c>
      <c r="W28" s="4" t="str">
        <f>IF(LEN(Table2[[#This Row],[!FK]])&gt;0,Table2[[#This Row],[!FK]],"rg:None")</f>
        <v>RentalRequestRotationList</v>
      </c>
      <c r="X28" s="14" t="str">
        <f>IF(LEN(concatif2(A:A,Table2[[#This Row],[!Table]],G:G,"Y",D:D,",")) &gt; 0,"rg:[ { 'req' : '"&amp;concatif2(A:A,Table2[[#This Row],[!Table]],G:G,"Y",D:D,"' }, { 'req': '")&amp;"'} ]","rg:[]")</f>
        <v>rg:[ { 'req' : 'id'} ]</v>
      </c>
      <c r="Y28" s="4" t="str">
        <f>IF(LEN(Table2[[#This Row],[!Unique]])&gt;0,"rg:True","rg:None")</f>
        <v>rg:None</v>
      </c>
    </row>
    <row r="29" spans="1:25" x14ac:dyDescent="0.3">
      <c r="A29" s="104" t="s">
        <v>495</v>
      </c>
      <c r="B29" s="104" t="s">
        <v>4</v>
      </c>
      <c r="C29" s="18"/>
      <c r="D29" s="104" t="s">
        <v>495</v>
      </c>
      <c r="E29" s="105" t="s">
        <v>496</v>
      </c>
      <c r="F29" s="12"/>
      <c r="G29" s="19"/>
      <c r="H29" s="19"/>
      <c r="I29" s="4" t="str">
        <f t="shared" ref="I29:I32" si="2">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table</v>
      </c>
      <c r="T29" s="4" t="str">
        <f>IF(LEN(Table2[[#This Row],[!Length]]) &gt; 0, Table2[[#This Row],[!Length]], "rg:None")</f>
        <v>rg:None</v>
      </c>
      <c r="U29" s="4" t="str">
        <f>IF(LEN(Table2[[#This Row],[!Name]]) &gt; 0, Table2[[#This Row],[!Name]], "rg:None")</f>
        <v>RentalRequestAttachment</v>
      </c>
      <c r="V29" s="4" t="str">
        <f>IF(LEN(Table2[[#This Row],[!Description]]) &gt; 0, Table2[[#This Row],[!Description]], "rg:None")</f>
        <v>Attachments that are required as part of the Rental Requests</v>
      </c>
      <c r="W29" s="4" t="str">
        <f>IF(LEN(Table2[[#This Row],[!FK]])&gt;0,Table2[[#This Row],[!FK]],"rg:None")</f>
        <v>rg:None</v>
      </c>
      <c r="X29" s="14" t="str">
        <f>IF(LEN(concatif2(A:A,Table2[[#This Row],[!Table]],G:G,"Y",D:D,",")) &gt; 0,"rg:[ { 'req' : '"&amp;concatif2(A:A,Table2[[#This Row],[!Table]],G:G,"Y",D:D,"' }, { 'req': '")&amp;"'} ]","rg:[]")</f>
        <v>rg:[ { 'req' : 'id' }, { 'req': 'attachment'} ]</v>
      </c>
      <c r="Y29" s="4" t="str">
        <f>IF(LEN(Table2[[#This Row],[!Unique]])&gt;0,"rg:True","rg:None")</f>
        <v>rg:None</v>
      </c>
    </row>
    <row r="30" spans="1:25" x14ac:dyDescent="0.3">
      <c r="A30" s="104" t="s">
        <v>495</v>
      </c>
      <c r="B30" s="104" t="s">
        <v>6</v>
      </c>
      <c r="C30" s="18"/>
      <c r="D30" s="104" t="s">
        <v>6</v>
      </c>
      <c r="E30" s="114" t="s">
        <v>497</v>
      </c>
      <c r="F30" s="12"/>
      <c r="G30" s="115" t="s">
        <v>64</v>
      </c>
      <c r="H30" s="19"/>
      <c r="I30" s="4" t="str">
        <f t="shared" si="2"/>
        <v>Defs</v>
      </c>
      <c r="J30" s="4" t="str">
        <f>IF(Table2[[#This Row],[!Type]]=J$1, J$1,"rg:None")</f>
        <v>rg:None</v>
      </c>
      <c r="K30" s="4" t="str">
        <f>IF(Table2[[#This Row],[!Type]]=K$1, K$1,"rg:None")</f>
        <v>rg:None</v>
      </c>
      <c r="L30" s="4" t="str">
        <f>IF(Table2[[#This Row],[!Type]]=L$1, L$1,"rg:None")</f>
        <v>rg:None</v>
      </c>
      <c r="M30" s="4" t="str">
        <f>IF(Table2[[#This Row],[!Type]]=M$1, M$1,"rg:None")</f>
        <v>id</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id</v>
      </c>
      <c r="V30" s="4" t="str">
        <f>IF(LEN(Table2[[#This Row],[!Description]]) &gt; 0, Table2[[#This Row],[!Description]], "rg:None")</f>
        <v>A system-generated unique identifier for a RentalRequestAttachment</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
      <c r="A31" s="104" t="s">
        <v>495</v>
      </c>
      <c r="B31" s="104" t="s">
        <v>8</v>
      </c>
      <c r="C31" s="18"/>
      <c r="D31" s="104" t="s">
        <v>480</v>
      </c>
      <c r="E31" s="61"/>
      <c r="F31" s="116" t="s">
        <v>477</v>
      </c>
      <c r="G31" s="19"/>
      <c r="H31" s="19"/>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v>
      </c>
      <c r="V31" s="4" t="str">
        <f>IF(LEN(Table2[[#This Row],[!Description]]) &gt; 0, Table2[[#This Row],[!Description]], "rg:None")</f>
        <v>rg:None</v>
      </c>
      <c r="W31" s="4" t="str">
        <f>IF(LEN(Table2[[#This Row],[!FK]])&gt;0,Table2[[#This Row],[!FK]],"rg:None")</f>
        <v>RentalRequest</v>
      </c>
      <c r="X31" s="14" t="str">
        <f>IF(LEN(concatif2(A:A,Table2[[#This Row],[!Table]],G:G,"Y",D:D,",")) &gt; 0,"rg:[ { 'req' : '"&amp;concatif2(A:A,Table2[[#This Row],[!Table]],G:G,"Y",D:D,"' }, { 'req': '")&amp;"'} ]","rg:[]")</f>
        <v>rg:[ { 'req' : 'id' }, { 'req': 'attachment'} ]</v>
      </c>
      <c r="Y31" s="4" t="str">
        <f>IF(LEN(Table2[[#This Row],[!Unique]])&gt;0,"rg:True","rg:None")</f>
        <v>rg:None</v>
      </c>
    </row>
    <row r="32" spans="1:25" x14ac:dyDescent="0.3">
      <c r="A32" s="104" t="s">
        <v>495</v>
      </c>
      <c r="B32" s="104" t="s">
        <v>7</v>
      </c>
      <c r="C32" s="18">
        <v>150</v>
      </c>
      <c r="D32" s="104" t="s">
        <v>240</v>
      </c>
      <c r="E32" s="105" t="s">
        <v>498</v>
      </c>
      <c r="F32" s="12"/>
      <c r="G32" s="115" t="s">
        <v>64</v>
      </c>
      <c r="H32" s="19"/>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string</v>
      </c>
      <c r="S32" s="4" t="str">
        <f>IF(Table2[[#This Row],[!Type]]=S$1, S$1,"rg:None")</f>
        <v>rg:None</v>
      </c>
      <c r="T32" s="4">
        <f>IF(LEN(Table2[[#This Row],[!Length]]) &gt; 0, Table2[[#This Row],[!Length]], "rg:None")</f>
        <v>150</v>
      </c>
      <c r="U32" s="4" t="str">
        <f>IF(LEN(Table2[[#This Row],[!Name]]) &gt; 0, Table2[[#This Row],[!Name]], "rg:None")</f>
        <v>attachment</v>
      </c>
      <c r="V32" s="4" t="str">
        <f>IF(LEN(Table2[[#This Row],[!Description]]) &gt; 0, Table2[[#This Row],[!Description]], "rg:None")</f>
        <v>The name/type attachment needed as part of the fulfillment of the request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ht="43.2" x14ac:dyDescent="0.3">
      <c r="A33" s="96" t="s">
        <v>478</v>
      </c>
      <c r="B33" s="29" t="s">
        <v>4</v>
      </c>
      <c r="C33" s="18"/>
      <c r="D33" s="96" t="s">
        <v>478</v>
      </c>
      <c r="E33" s="85" t="s">
        <v>431</v>
      </c>
      <c r="F33" s="30"/>
      <c r="G33" s="19"/>
      <c r="H33" s="19"/>
      <c r="I33" s="4" t="str">
        <f t="shared" ref="I33:I40" si="3">IF(LEN(A33) &gt; 0,"Defs","-")</f>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4" t="str">
        <f>IF(LEN(Table2[[#This Row],[!Length]]) &gt; 0, Table2[[#This Row],[!Length]], "rg:None")</f>
        <v>rg:None</v>
      </c>
      <c r="U33" s="4" t="str">
        <f>IF(LEN(Table2[[#This Row],[!Name]]) &gt; 0, Table2[[#This Row],[!Name]], "rg:None")</f>
        <v>RentalRequestRotationList</v>
      </c>
      <c r="V33"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3" s="4" t="str">
        <f>IF(LEN(Table2[[#This Row],[!FK]])&gt;0,Table2[[#This Row],[!FK]],"rg:None")</f>
        <v>rg:None</v>
      </c>
      <c r="X33" s="14" t="str">
        <f>IF(LEN(concatif2(A:A,Table2[[#This Row],[!Table]],G:G,"Y",D:D,",")) &gt; 0,"rg:[ { 'req' : '"&amp;concatif2(A:A,Table2[[#This Row],[!Table]],G:G,"Y",D:D,"' }, { 'req': '")&amp;"'} ]","rg:[]")</f>
        <v>rg:[ { 'req' : 'id'} ]</v>
      </c>
      <c r="Y33" s="4" t="str">
        <f>IF(LEN(Table2[[#This Row],[!Unique]])&gt;0,"rg:True","rg:None")</f>
        <v>rg:None</v>
      </c>
    </row>
    <row r="34" spans="1:25" x14ac:dyDescent="0.3">
      <c r="A34" s="96" t="s">
        <v>478</v>
      </c>
      <c r="B34" s="25" t="s">
        <v>6</v>
      </c>
      <c r="C34" s="18"/>
      <c r="D34" s="25" t="s">
        <v>6</v>
      </c>
      <c r="E34" s="84" t="s">
        <v>432</v>
      </c>
      <c r="F34" s="12"/>
      <c r="G34" s="27" t="s">
        <v>64</v>
      </c>
      <c r="H34" s="27"/>
      <c r="I34" s="4" t="str">
        <f t="shared" si="3"/>
        <v>Defs</v>
      </c>
      <c r="J34" s="4" t="str">
        <f>IF(Table2[[#This Row],[!Type]]=J$1, J$1,"rg:None")</f>
        <v>rg:None</v>
      </c>
      <c r="K34" s="4" t="str">
        <f>IF(Table2[[#This Row],[!Type]]=K$1, K$1,"rg:None")</f>
        <v>rg:None</v>
      </c>
      <c r="L34" s="4" t="str">
        <f>IF(Table2[[#This Row],[!Type]]=L$1, L$1,"rg:None")</f>
        <v>rg:None</v>
      </c>
      <c r="M34" s="4" t="str">
        <f>IF(Table2[[#This Row],[!Type]]=M$1, M$1,"rg:None")</f>
        <v>id</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id</v>
      </c>
      <c r="V34" s="4" t="str">
        <f>IF(LEN(Table2[[#This Row],[!Description]]) &gt; 0, Table2[[#This Row],[!Description]], "rg:None")</f>
        <v>A system-generated unique identifier for a RequestRotationList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
      <c r="A35" s="96" t="s">
        <v>478</v>
      </c>
      <c r="B35" s="29" t="s">
        <v>8</v>
      </c>
      <c r="C35" s="18"/>
      <c r="D35" s="96" t="s">
        <v>480</v>
      </c>
      <c r="E35" s="61"/>
      <c r="F35" s="96" t="s">
        <v>477</v>
      </c>
      <c r="G35" s="19"/>
      <c r="H35" s="19"/>
      <c r="I35" s="4" t="str">
        <f t="shared" si="3"/>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rentalRequest</v>
      </c>
      <c r="V35" s="4" t="str">
        <f>IF(LEN(Table2[[#This Row],[!Description]]) &gt; 0, Table2[[#This Row],[!Description]], "rg:None")</f>
        <v>rg:None</v>
      </c>
      <c r="W35" s="4" t="str">
        <f>IF(LEN(Table2[[#This Row],[!FK]])&gt;0,Table2[[#This Row],[!FK]],"rg:None")</f>
        <v>RentalRequest</v>
      </c>
      <c r="X35" s="14" t="str">
        <f>IF(LEN(concatif2(A:A,Table2[[#This Row],[!Table]],G:G,"Y",D:D,",")) &gt; 0,"rg:[ { 'req' : '"&amp;concatif2(A:A,Table2[[#This Row],[!Table]],G:G,"Y",D:D,"' }, { 'req': '")&amp;"'} ]","rg:[]")</f>
        <v>rg:[ { 'req' : 'id'} ]</v>
      </c>
      <c r="Y35" s="4" t="str">
        <f>IF(LEN(Table2[[#This Row],[!Unique]])&gt;0,"rg:True","rg:None")</f>
        <v>rg:None</v>
      </c>
    </row>
    <row r="36" spans="1:25" ht="28.8" x14ac:dyDescent="0.3">
      <c r="A36" s="96" t="s">
        <v>478</v>
      </c>
      <c r="B36" s="86" t="s">
        <v>13</v>
      </c>
      <c r="C36" s="18"/>
      <c r="D36" s="90" t="s">
        <v>468</v>
      </c>
      <c r="E36" s="91" t="s">
        <v>469</v>
      </c>
      <c r="F36" s="12"/>
      <c r="G36" s="19"/>
      <c r="H36" s="19"/>
      <c r="I36" s="4" t="str">
        <f>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integer</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rotationListSortOrder</v>
      </c>
      <c r="V36" s="4" t="str">
        <f>IF(LEN(Table2[[#This Row],[!Description]]) &gt; 0, Table2[[#This Row],[!Description]], "rg:None")</f>
        <v>The sort order of the piece of equipment on the rotaton list at the time the request was created. This is the order the equipment will be offered the available work.</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96" t="s">
        <v>478</v>
      </c>
      <c r="B37" s="29" t="s">
        <v>8</v>
      </c>
      <c r="C37" s="18"/>
      <c r="D37" s="29" t="s">
        <v>198</v>
      </c>
      <c r="E37" s="61"/>
      <c r="F37" s="30" t="s">
        <v>200</v>
      </c>
      <c r="G37" s="19"/>
      <c r="H37" s="19"/>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equipment</v>
      </c>
      <c r="V37" s="4" t="str">
        <f>IF(LEN(Table2[[#This Row],[!Description]]) &gt; 0, Table2[[#This Row],[!Description]], "rg:None")</f>
        <v>rg:None</v>
      </c>
      <c r="W37" s="4" t="str">
        <f>IF(LEN(Table2[[#This Row],[!FK]])&gt;0,Table2[[#This Row],[!FK]],"rg:None")</f>
        <v>Equipment</v>
      </c>
      <c r="X37" s="14" t="str">
        <f>IF(LEN(concatif2(A:A,Table2[[#This Row],[!Table]],G:G,"Y",D:D,",")) &gt; 0,"rg:[ { 'req' : '"&amp;concatif2(A:A,Table2[[#This Row],[!Table]],G:G,"Y",D:D,"' }, { 'req': '")&amp;"'} ]","rg:[]")</f>
        <v>rg:[ { 'req' : 'id'} ]</v>
      </c>
      <c r="Y37" s="4" t="str">
        <f>IF(LEN(Table2[[#This Row],[!Unique]])&gt;0,"rg:True","rg:None")</f>
        <v>rg:None</v>
      </c>
    </row>
    <row r="38" spans="1:25" x14ac:dyDescent="0.3">
      <c r="A38" s="96" t="s">
        <v>478</v>
      </c>
      <c r="B38" s="29" t="s">
        <v>8</v>
      </c>
      <c r="C38" s="18"/>
      <c r="D38" s="29" t="s">
        <v>223</v>
      </c>
      <c r="E38" s="85" t="s">
        <v>433</v>
      </c>
      <c r="F38" s="29" t="s">
        <v>222</v>
      </c>
      <c r="G38" s="19"/>
      <c r="H38" s="19"/>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rentalAgreement</v>
      </c>
      <c r="V38" s="4" t="str">
        <f>IF(LEN(Table2[[#This Row],[!Description]]) &gt; 0, Table2[[#This Row],[!Description]], "rg:None")</f>
        <v>The rental agreement (if any) created for an accepted hire offer.</v>
      </c>
      <c r="W38" s="4" t="str">
        <f>IF(LEN(Table2[[#This Row],[!FK]])&gt;0,Table2[[#This Row],[!FK]],"rg:None")</f>
        <v>RentalAgreement</v>
      </c>
      <c r="X38" s="14" t="str">
        <f>IF(LEN(concatif2(A:A,Table2[[#This Row],[!Table]],G:G,"Y",D:D,",")) &gt; 0,"rg:[ { 'req' : '"&amp;concatif2(A:A,Table2[[#This Row],[!Table]],G:G,"Y",D:D,"' }, { 'req': '")&amp;"'} ]","rg:[]")</f>
        <v>rg:[ { 'req' : 'id'} ]</v>
      </c>
      <c r="Y38" s="4" t="str">
        <f>IF(LEN(Table2[[#This Row],[!Unique]])&gt;0,"rg:True","rg:None")</f>
        <v>rg:None</v>
      </c>
    </row>
    <row r="39" spans="1:25" ht="57.6" x14ac:dyDescent="0.3">
      <c r="A39" s="96" t="s">
        <v>478</v>
      </c>
      <c r="B39" s="29" t="s">
        <v>9</v>
      </c>
      <c r="C39" s="18"/>
      <c r="D39" s="29" t="s">
        <v>221</v>
      </c>
      <c r="E39" s="85" t="s">
        <v>434</v>
      </c>
      <c r="F39" s="12"/>
      <c r="G39" s="19"/>
      <c r="H39" s="19"/>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isForceHire</v>
      </c>
      <c r="V39"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9" s="4" t="str">
        <f>IF(LEN(Table2[[#This Row],[!FK]])&gt;0,Table2[[#This Row],[!FK]],"rg:None")</f>
        <v>rg:None</v>
      </c>
      <c r="X39" s="14" t="str">
        <f>IF(LEN(concatif2(A:A,Table2[[#This Row],[!Table]],G:G,"Y",D:D,",")) &gt; 0,"rg:[ { 'req' : '"&amp;concatif2(A:A,Table2[[#This Row],[!Table]],G:G,"Y",D:D,"' }, { 'req': '")&amp;"'} ]","rg:[]")</f>
        <v>rg:[ { 'req' : 'id'} ]</v>
      </c>
      <c r="Y39" s="4" t="str">
        <f>IF(LEN(Table2[[#This Row],[!Unique]])&gt;0,"rg:True","rg:None")</f>
        <v>rg:None</v>
      </c>
    </row>
    <row r="40" spans="1:25" ht="28.8" x14ac:dyDescent="0.3">
      <c r="A40" s="96" t="s">
        <v>478</v>
      </c>
      <c r="B40" s="32" t="s">
        <v>9</v>
      </c>
      <c r="C40" s="18"/>
      <c r="D40" s="50" t="s">
        <v>249</v>
      </c>
      <c r="E40" s="62" t="s">
        <v>251</v>
      </c>
      <c r="F40" s="12"/>
      <c r="G40" s="19"/>
      <c r="H40" s="19"/>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wasAsked</v>
      </c>
      <c r="V40" s="4" t="str">
        <f>IF(LEN(Table2[[#This Row],[!Description]]) &gt; 0, Table2[[#This Row],[!Description]], "rg:None")</f>
        <v>True if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8.8" x14ac:dyDescent="0.3">
      <c r="A41" s="96" t="s">
        <v>478</v>
      </c>
      <c r="B41" s="29" t="s">
        <v>12</v>
      </c>
      <c r="C41" s="18"/>
      <c r="D41" s="50" t="s">
        <v>250</v>
      </c>
      <c r="E41" s="64" t="s">
        <v>392</v>
      </c>
      <c r="F41" s="12"/>
      <c r="G41" s="19"/>
      <c r="H41" s="19"/>
      <c r="I41" s="4" t="str">
        <f t="shared" ref="I41:I47" si="4">IF(LEN(A41) &gt; 0,"Defs","-")</f>
        <v>Defs</v>
      </c>
      <c r="J41" s="4" t="str">
        <f>IF(Table2[[#This Row],[!Type]]=J$1, J$1,"rg:None")</f>
        <v>rg:None</v>
      </c>
      <c r="K41" s="4" t="str">
        <f>IF(Table2[[#This Row],[!Type]]=K$1, K$1,"rg:None")</f>
        <v>rg:None</v>
      </c>
      <c r="L41" s="4" t="str">
        <f>IF(Table2[[#This Row],[!Type]]=L$1, L$1,"rg:None")</f>
        <v>datetime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askedDateTime</v>
      </c>
      <c r="V41" s="4" t="str">
        <f>IF(LEN(Table2[[#This Row],[!Description]]) &gt; 0, Table2[[#This Row],[!Description]], "rg:None")</f>
        <v>The Date-Time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x14ac:dyDescent="0.3">
      <c r="A42" s="96" t="s">
        <v>478</v>
      </c>
      <c r="B42" s="50" t="s">
        <v>7</v>
      </c>
      <c r="C42" s="18"/>
      <c r="D42" s="50" t="s">
        <v>252</v>
      </c>
      <c r="E42" s="65" t="s">
        <v>253</v>
      </c>
      <c r="F42" s="12"/>
      <c r="G42" s="19"/>
      <c r="H42" s="19"/>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t="str">
        <f>IF(LEN(Table2[[#This Row],[!Length]]) &gt; 0, Table2[[#This Row],[!Length]], "rg:None")</f>
        <v>rg:None</v>
      </c>
      <c r="U42" s="4" t="str">
        <f>IF(LEN(Table2[[#This Row],[!Name]]) &gt; 0, Table2[[#This Row],[!Name]], "rg:None")</f>
        <v>offerResponse</v>
      </c>
      <c r="V42" s="4" t="str">
        <f>IF(LEN(Table2[[#This Row],[!Description]]) &gt; 0, Table2[[#This Row],[!Description]], "rg:None")</f>
        <v>The response to the offer to hire. Null prior to receiving a response; a string after with the response - likely just Yes or No</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
      <c r="A43" s="104" t="s">
        <v>478</v>
      </c>
      <c r="B43" s="104" t="s">
        <v>7</v>
      </c>
      <c r="C43" s="118">
        <v>50</v>
      </c>
      <c r="D43" s="104" t="s">
        <v>511</v>
      </c>
      <c r="E43" s="105" t="s">
        <v>512</v>
      </c>
      <c r="F43" s="12"/>
      <c r="G43" s="19"/>
      <c r="H43" s="19"/>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f>IF(LEN(Table2[[#This Row],[!Length]]) &gt; 0, Table2[[#This Row],[!Length]], "rg:None")</f>
        <v>50</v>
      </c>
      <c r="U43" s="4" t="str">
        <f>IF(LEN(Table2[[#This Row],[!Name]]) &gt; 0, Table2[[#This Row],[!Name]], "rg:None")</f>
        <v>offerRefusalReason</v>
      </c>
      <c r="V43" s="4" t="str">
        <f>IF(LEN(Table2[[#This Row],[!Description]]) &gt; 0, Table2[[#This Row],[!Description]], "rg:None")</f>
        <v>The reason why the user refused the offer based on a selection of values from the UI.</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96" t="s">
        <v>478</v>
      </c>
      <c r="B44" s="104" t="s">
        <v>12</v>
      </c>
      <c r="C44" s="18"/>
      <c r="D44" s="104" t="s">
        <v>507</v>
      </c>
      <c r="E44" s="105" t="s">
        <v>508</v>
      </c>
      <c r="F44" s="12"/>
      <c r="G44" s="19"/>
      <c r="H44" s="19"/>
      <c r="I44" s="4" t="str">
        <f>IF(LEN(A44) &gt; 0,"Defs","-")</f>
        <v>Defs</v>
      </c>
      <c r="J44" s="4" t="str">
        <f>IF(Table2[[#This Row],[!Type]]=J$1, J$1,"rg:None")</f>
        <v>rg:None</v>
      </c>
      <c r="K44" s="4" t="str">
        <f>IF(Table2[[#This Row],[!Type]]=K$1, K$1,"rg:None")</f>
        <v>rg:None</v>
      </c>
      <c r="L44" s="4" t="str">
        <f>IF(Table2[[#This Row],[!Type]]=L$1, L$1,"rg:None")</f>
        <v>datetime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offerResponseDatetime</v>
      </c>
      <c r="V44" s="4" t="str">
        <f>IF(LEN(Table2[[#This Row],[!Description]]) &gt; 0, Table2[[#This Row],[!Description]], "rg:None")</f>
        <v>The date and time the final response to the offer was established.</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ht="28.8" x14ac:dyDescent="0.3">
      <c r="A45" s="96" t="s">
        <v>478</v>
      </c>
      <c r="B45" s="29" t="s">
        <v>7</v>
      </c>
      <c r="C45" s="18">
        <v>2048</v>
      </c>
      <c r="D45" s="104" t="s">
        <v>509</v>
      </c>
      <c r="E45" s="105" t="s">
        <v>510</v>
      </c>
      <c r="F45" s="12"/>
      <c r="G45" s="19"/>
      <c r="H45" s="19"/>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offerResponseNote</v>
      </c>
      <c r="V45" s="4" t="str">
        <f>IF(LEN(Table2[[#This Row],[!Description]]) &gt; 0, Table2[[#This Row],[!Description]], "rg:None")</f>
        <v>An optional note entered about the response to the offer from the equipment owner about the offer. Usually used when the offer is a "No".</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96" t="s">
        <v>478</v>
      </c>
      <c r="B46" s="29" t="s">
        <v>7</v>
      </c>
      <c r="C46" s="18">
        <v>2048</v>
      </c>
      <c r="D46" s="29" t="s">
        <v>164</v>
      </c>
      <c r="E46" s="62" t="s">
        <v>254</v>
      </c>
      <c r="F46" s="12"/>
      <c r="G46" s="19"/>
      <c r="H46" s="19"/>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note</v>
      </c>
      <c r="V46" s="4" t="str">
        <f>IF(LEN(Table2[[#This Row],[!Description]]) &gt; 0, Table2[[#This Row],[!Description]], "rg:None")</f>
        <v>An optional general note about the offer.</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29" t="s">
        <v>222</v>
      </c>
      <c r="B47" s="29" t="s">
        <v>4</v>
      </c>
      <c r="C47" s="18"/>
      <c r="D47" s="29" t="s">
        <v>222</v>
      </c>
      <c r="E47" s="85" t="s">
        <v>435</v>
      </c>
      <c r="F47" s="30"/>
      <c r="G47" s="19"/>
      <c r="H47" s="19"/>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table</v>
      </c>
      <c r="T47" s="4" t="str">
        <f>IF(LEN(Table2[[#This Row],[!Length]]) &gt; 0, Table2[[#This Row],[!Length]], "rg:None")</f>
        <v>rg:None</v>
      </c>
      <c r="U47" s="4" t="str">
        <f>IF(LEN(Table2[[#This Row],[!Name]]) &gt; 0, Table2[[#This Row],[!Name]], "rg:None")</f>
        <v>RentalAgreement</v>
      </c>
      <c r="V47" s="4" t="str">
        <f>IF(LEN(Table2[[#This Row],[!Description]]) &gt; 0, Table2[[#This Row],[!Description]], "rg:None")</f>
        <v>Information about the hiring of a specific piece of equipment to satisfy part or all of a request from a project. TABLE DEFINITION IN PROGRESS - MORE COLUMNS TO BE ADDED</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29" t="s">
        <v>222</v>
      </c>
      <c r="B48" s="25" t="s">
        <v>6</v>
      </c>
      <c r="C48" s="18"/>
      <c r="D48" s="25" t="s">
        <v>6</v>
      </c>
      <c r="E48" s="60" t="s">
        <v>327</v>
      </c>
      <c r="F48" s="12"/>
      <c r="G48" s="27" t="s">
        <v>64</v>
      </c>
      <c r="H48" s="27"/>
      <c r="I48" s="4" t="str">
        <f t="shared" ref="I48:I57" si="5">IF(LEN(A48) &gt; 0,"Defs","-")</f>
        <v>Defs</v>
      </c>
      <c r="J48" s="4" t="str">
        <f>IF(Table2[[#This Row],[!Type]]=J$1, J$1,"rg:None")</f>
        <v>rg:None</v>
      </c>
      <c r="K48" s="4" t="str">
        <f>IF(Table2[[#This Row],[!Type]]=K$1, K$1,"rg:None")</f>
        <v>rg:None</v>
      </c>
      <c r="L48" s="4" t="str">
        <f>IF(Table2[[#This Row],[!Type]]=L$1, L$1,"rg:None")</f>
        <v>rg:None</v>
      </c>
      <c r="M48" s="4" t="str">
        <f>IF(Table2[[#This Row],[!Type]]=M$1, M$1,"rg:None")</f>
        <v>id</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id</v>
      </c>
      <c r="V48" s="4" t="str">
        <f>IF(LEN(Table2[[#This Row],[!Description]]) &gt; 0, Table2[[#This Row],[!Description]], "rg:None")</f>
        <v>A system-generated unique identifier for a RentalAgreement</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x14ac:dyDescent="0.3">
      <c r="A49" s="104" t="s">
        <v>222</v>
      </c>
      <c r="B49" s="104" t="s">
        <v>7</v>
      </c>
      <c r="C49" s="18">
        <v>50</v>
      </c>
      <c r="D49" s="104" t="s">
        <v>260</v>
      </c>
      <c r="E49" s="105" t="s">
        <v>494</v>
      </c>
      <c r="F49" s="12"/>
      <c r="G49" s="19"/>
      <c r="H49" s="19"/>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50</v>
      </c>
      <c r="U49" s="4" t="str">
        <f>IF(LEN(Table2[[#This Row],[!Name]]) &gt; 0, Table2[[#This Row],[!Name]], "rg:None")</f>
        <v>status</v>
      </c>
      <c r="V49" s="4" t="str">
        <f>IF(LEN(Table2[[#This Row],[!Description]]) &gt; 0, Table2[[#This Row],[!Description]], "rg:None")</f>
        <v>The current status of the Rental Agreement, such as Active or Complete</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9" t="s">
        <v>222</v>
      </c>
      <c r="B50" s="29" t="s">
        <v>8</v>
      </c>
      <c r="C50" s="18"/>
      <c r="D50" s="29" t="s">
        <v>198</v>
      </c>
      <c r="E50" s="61"/>
      <c r="F50" s="30" t="s">
        <v>200</v>
      </c>
      <c r="G50" s="19"/>
      <c r="H50" s="19"/>
      <c r="I50" s="4" t="str">
        <f t="shared" si="5"/>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ref</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equipment</v>
      </c>
      <c r="V50" s="4" t="str">
        <f>IF(LEN(Table2[[#This Row],[!Description]]) &gt; 0, Table2[[#This Row],[!Description]], "rg:None")</f>
        <v>rg:None</v>
      </c>
      <c r="W50" s="4" t="str">
        <f>IF(LEN(Table2[[#This Row],[!FK]])&gt;0,Table2[[#This Row],[!FK]],"rg:None")</f>
        <v>Equipment</v>
      </c>
      <c r="X50" s="14" t="str">
        <f>IF(LEN(concatif2(A:A,Table2[[#This Row],[!Table]],G:G,"Y",D:D,",")) &gt; 0,"rg:[ { 'req' : '"&amp;concatif2(A:A,Table2[[#This Row],[!Table]],G:G,"Y",D:D,"' }, { 'req': '")&amp;"'} ]","rg:[]")</f>
        <v>rg:[ { 'req' : 'id'} ]</v>
      </c>
      <c r="Y50" s="4" t="str">
        <f>IF(LEN(Table2[[#This Row],[!Unique]])&gt;0,"rg:True","rg:None")</f>
        <v>rg:None</v>
      </c>
    </row>
    <row r="51" spans="1:25" x14ac:dyDescent="0.3">
      <c r="A51" s="29" t="s">
        <v>222</v>
      </c>
      <c r="B51" s="25" t="s">
        <v>8</v>
      </c>
      <c r="C51" s="18"/>
      <c r="D51" s="25" t="s">
        <v>158</v>
      </c>
      <c r="E51" s="61"/>
      <c r="F51" s="26" t="s">
        <v>138</v>
      </c>
      <c r="G51" s="19"/>
      <c r="H51" s="19"/>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project</v>
      </c>
      <c r="V51" s="4" t="str">
        <f>IF(LEN(Table2[[#This Row],[!Description]]) &gt; 0, Table2[[#This Row],[!Description]], "rg:None")</f>
        <v>rg:None</v>
      </c>
      <c r="W51" s="4" t="str">
        <f>IF(LEN(Table2[[#This Row],[!FK]])&gt;0,Table2[[#This Row],[!FK]],"rg:None")</f>
        <v>Project</v>
      </c>
      <c r="X51" s="14" t="str">
        <f>IF(LEN(concatif2(A:A,Table2[[#This Row],[!Table]],G:G,"Y",D:D,",")) &gt; 0,"rg:[ { 'req' : '"&amp;concatif2(A:A,Table2[[#This Row],[!Table]],G:G,"Y",D:D,"' }, { 'req': '")&amp;"'} ]","rg:[]")</f>
        <v>rg:[ { 'req' : 'id'} ]</v>
      </c>
      <c r="Y51" s="4" t="str">
        <f>IF(LEN(Table2[[#This Row],[!Unique]])&gt;0,"rg:True","rg:None")</f>
        <v>rg:None</v>
      </c>
    </row>
    <row r="52" spans="1:25" x14ac:dyDescent="0.3">
      <c r="A52" s="29" t="s">
        <v>222</v>
      </c>
      <c r="B52" s="29" t="s">
        <v>19</v>
      </c>
      <c r="C52" s="18"/>
      <c r="D52" s="29" t="s">
        <v>224</v>
      </c>
      <c r="E52" s="61"/>
      <c r="F52" s="30" t="s">
        <v>225</v>
      </c>
      <c r="G52" s="19"/>
      <c r="H52" s="19"/>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links</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timeRecords</v>
      </c>
      <c r="V52" s="4" t="str">
        <f>IF(LEN(Table2[[#This Row],[!Description]]) &gt; 0, Table2[[#This Row],[!Description]], "rg:None")</f>
        <v>rg:None</v>
      </c>
      <c r="W52" s="4" t="str">
        <f>IF(LEN(Table2[[#This Row],[!FK]])&gt;0,Table2[[#This Row],[!FK]],"rg:None")</f>
        <v>TimeRecord</v>
      </c>
      <c r="X52" s="14" t="str">
        <f>IF(LEN(concatif2(A:A,Table2[[#This Row],[!Table]],G:G,"Y",D:D,",")) &gt; 0,"rg:[ { 'req' : '"&amp;concatif2(A:A,Table2[[#This Row],[!Table]],G:G,"Y",D:D,"' }, { 'req': '")&amp;"'} ]","rg:[]")</f>
        <v>rg:[ { 'req' : 'id'} ]</v>
      </c>
      <c r="Y52" s="4" t="str">
        <f>IF(LEN(Table2[[#This Row],[!Unique]])&gt;0,"rg:True","rg:None")</f>
        <v>rg:None</v>
      </c>
    </row>
    <row r="53" spans="1:25" ht="28.8" x14ac:dyDescent="0.3">
      <c r="A53" s="30" t="s">
        <v>225</v>
      </c>
      <c r="B53" s="29" t="s">
        <v>4</v>
      </c>
      <c r="C53" s="18"/>
      <c r="D53" s="30" t="s">
        <v>225</v>
      </c>
      <c r="E53" s="85" t="s">
        <v>404</v>
      </c>
      <c r="F53" s="12"/>
      <c r="G53" s="19"/>
      <c r="H53" s="19"/>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4" t="str">
        <f>IF(LEN(Table2[[#This Row],[!Length]]) &gt; 0, Table2[[#This Row],[!Length]], "rg:None")</f>
        <v>rg:None</v>
      </c>
      <c r="U53" s="4" t="str">
        <f>IF(LEN(Table2[[#This Row],[!Name]]) &gt; 0, Table2[[#This Row],[!Name]], "rg:None")</f>
        <v>TimeRecord</v>
      </c>
      <c r="V53" s="4" t="str">
        <f>IF(LEN(Table2[[#This Row],[!Description]]) &gt; 0, Table2[[#This Row],[!Description]], "rg:None")</f>
        <v>A record of time worked for a piece of equipment hired for a specific project within a Local Area.</v>
      </c>
      <c r="W53" s="4" t="str">
        <f>IF(LEN(Table2[[#This Row],[!FK]])&gt;0,Table2[[#This Row],[!FK]],"rg:None")</f>
        <v>rg:None</v>
      </c>
      <c r="X53" s="14" t="str">
        <f>IF(LEN(concatif2(A:A,Table2[[#This Row],[!Table]],G:G,"Y",D:D,",")) &gt; 0,"rg:[ { 'req' : '"&amp;concatif2(A:A,Table2[[#This Row],[!Table]],G:G,"Y",D:D,"' }, { 'req': '")&amp;"'} ]","rg:[]")</f>
        <v>rg:[ { 'req' : 'id'} ]</v>
      </c>
      <c r="Y53" s="4" t="str">
        <f>IF(LEN(Table2[[#This Row],[!Unique]])&gt;0,"rg:True","rg:None")</f>
        <v>rg:None</v>
      </c>
    </row>
    <row r="54" spans="1:25" x14ac:dyDescent="0.3">
      <c r="A54" s="30" t="s">
        <v>225</v>
      </c>
      <c r="B54" s="25" t="s">
        <v>6</v>
      </c>
      <c r="C54" s="18"/>
      <c r="D54" s="25" t="s">
        <v>6</v>
      </c>
      <c r="E54" s="60" t="s">
        <v>326</v>
      </c>
      <c r="F54" s="12"/>
      <c r="G54" s="27" t="s">
        <v>64</v>
      </c>
      <c r="H54" s="27"/>
      <c r="I54" s="4" t="str">
        <f t="shared" si="5"/>
        <v>Defs</v>
      </c>
      <c r="J54" s="4" t="str">
        <f>IF(Table2[[#This Row],[!Type]]=J$1, J$1,"rg:None")</f>
        <v>rg:None</v>
      </c>
      <c r="K54" s="4" t="str">
        <f>IF(Table2[[#This Row],[!Type]]=K$1, K$1,"rg:None")</f>
        <v>rg:None</v>
      </c>
      <c r="L54" s="4" t="str">
        <f>IF(Table2[[#This Row],[!Type]]=L$1, L$1,"rg:None")</f>
        <v>rg:None</v>
      </c>
      <c r="M54" s="4" t="str">
        <f>IF(Table2[[#This Row],[!Type]]=M$1, M$1,"rg:None")</f>
        <v>id</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id</v>
      </c>
      <c r="V54" s="4" t="str">
        <f>IF(LEN(Table2[[#This Row],[!Description]]) &gt; 0, Table2[[#This Row],[!Description]], "rg:None")</f>
        <v>A system-generated unique identifier for a TimeRecord</v>
      </c>
      <c r="W54" s="4" t="str">
        <f>IF(LEN(Table2[[#This Row],[!FK]])&gt;0,Table2[[#This Row],[!FK]],"rg:None")</f>
        <v>rg:None</v>
      </c>
      <c r="X54" s="14" t="str">
        <f>IF(LEN(concatif2(A:A,Table2[[#This Row],[!Table]],G:G,"Y",D:D,",")) &gt; 0,"rg:[ { 'req' : '"&amp;concatif2(A:A,Table2[[#This Row],[!Table]],G:G,"Y",D:D,"' }, { 'req': '")&amp;"'} ]","rg:[]")</f>
        <v>rg:[ { 'req' : 'id'} ]</v>
      </c>
      <c r="Y54" s="4" t="str">
        <f>IF(LEN(Table2[[#This Row],[!Unique]])&gt;0,"rg:True","rg:None")</f>
        <v>rg:None</v>
      </c>
    </row>
    <row r="55" spans="1:25" x14ac:dyDescent="0.3">
      <c r="A55" s="30" t="s">
        <v>225</v>
      </c>
      <c r="B55" s="29" t="s">
        <v>8</v>
      </c>
      <c r="C55" s="18"/>
      <c r="D55" s="29" t="s">
        <v>223</v>
      </c>
      <c r="E55" s="61"/>
      <c r="F55" s="30" t="s">
        <v>222</v>
      </c>
      <c r="G55" s="19"/>
      <c r="H55" s="19"/>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v>
      </c>
      <c r="V55" s="4" t="str">
        <f>IF(LEN(Table2[[#This Row],[!Description]]) &gt; 0, Table2[[#This Row],[!Description]], "rg:None")</f>
        <v>rg:None</v>
      </c>
      <c r="W55" s="4" t="str">
        <f>IF(LEN(Table2[[#This Row],[!FK]])&gt;0,Table2[[#This Row],[!FK]],"rg:None")</f>
        <v>RentalAgreement</v>
      </c>
      <c r="X55" s="14" t="str">
        <f>IF(LEN(concatif2(A:A,Table2[[#This Row],[!Table]],G:G,"Y",D:D,",")) &gt; 0,"rg:[ { 'req' : '"&amp;concatif2(A:A,Table2[[#This Row],[!Table]],G:G,"Y",D:D,"' }, { 'req': '")&amp;"'} ]","rg:[]")</f>
        <v>rg:[ { 'req' : 'id'} ]</v>
      </c>
      <c r="Y55" s="4" t="str">
        <f>IF(LEN(Table2[[#This Row],[!Unique]])&gt;0,"rg:True","rg:None")</f>
        <v>rg:None</v>
      </c>
    </row>
    <row r="56" spans="1:25" ht="28.8" x14ac:dyDescent="0.3">
      <c r="A56" s="30" t="s">
        <v>225</v>
      </c>
      <c r="B56" s="31" t="s">
        <v>12</v>
      </c>
      <c r="C56" s="3"/>
      <c r="D56" s="31" t="s">
        <v>226</v>
      </c>
      <c r="E56" s="62" t="s">
        <v>257</v>
      </c>
      <c r="F56" s="12"/>
      <c r="G56" s="19"/>
      <c r="H56" s="19"/>
      <c r="I56" s="4" t="str">
        <f t="shared" si="5"/>
        <v>Defs</v>
      </c>
      <c r="J56" s="4" t="str">
        <f>IF(Table2[[#This Row],[!Type]]=J$1, J$1,"rg:None")</f>
        <v>rg:None</v>
      </c>
      <c r="K56" s="4" t="str">
        <f>IF(Table2[[#This Row],[!Type]]=K$1, K$1,"rg:None")</f>
        <v>rg:None</v>
      </c>
      <c r="L56" s="4" t="str">
        <f>IF(Table2[[#This Row],[!Type]]=L$1, L$1,"rg:None")</f>
        <v>datetime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workedDate</v>
      </c>
      <c r="V56" s="4" t="str">
        <f>IF(LEN(Table2[[#This Row],[!Description]]) &gt; 0, Table2[[#This Row],[!Description]], "rg:None")</f>
        <v>The date of the time record entry - the day of the entry if it is a daily entry, or a date in the week in which the work occurred if tracked weekly.</v>
      </c>
      <c r="W56" s="4" t="str">
        <f>IF(LEN(Table2[[#This Row],[!FK]])&gt;0,Table2[[#This Row],[!FK]],"rg:None")</f>
        <v>rg:None</v>
      </c>
      <c r="X56" s="14" t="str">
        <f>IF(LEN(concatif2(A:A,Table2[[#This Row],[!Table]],G:G,"Y",D:D,",")) &gt; 0,"rg:[ { 'req' : '"&amp;concatif2(A:A,Table2[[#This Row],[!Table]],G:G,"Y",D:D,"' }, { 'req': '")&amp;"'} ]","rg:[]")</f>
        <v>rg:[ { 'req' : 'id'} ]</v>
      </c>
      <c r="Y56" s="4" t="str">
        <f>IF(LEN(Table2[[#This Row],[!Unique]])&gt;0,"rg:True","rg:None")</f>
        <v>rg:None</v>
      </c>
    </row>
    <row r="57" spans="1:25" x14ac:dyDescent="0.3">
      <c r="A57" s="30" t="s">
        <v>225</v>
      </c>
      <c r="B57" s="31" t="s">
        <v>12</v>
      </c>
      <c r="C57" s="3"/>
      <c r="D57" s="31" t="s">
        <v>227</v>
      </c>
      <c r="E57" s="64" t="s">
        <v>393</v>
      </c>
      <c r="F57" s="12"/>
      <c r="G57" s="19"/>
      <c r="H57" s="19"/>
      <c r="I57" s="4" t="str">
        <f t="shared" si="5"/>
        <v>Defs</v>
      </c>
      <c r="J57" s="4" t="str">
        <f>IF(Table2[[#This Row],[!Type]]=J$1, J$1,"rg:None")</f>
        <v>rg:None</v>
      </c>
      <c r="K57" s="4" t="str">
        <f>IF(Table2[[#This Row],[!Type]]=K$1, K$1,"rg:None")</f>
        <v>rg:None</v>
      </c>
      <c r="L57" s="4" t="str">
        <f>IF(Table2[[#This Row],[!Type]]=L$1, L$1,"rg:None")</f>
        <v>datetime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enteredDate</v>
      </c>
      <c r="V57" s="4" t="str">
        <f>IF(LEN(Table2[[#This Row],[!Description]]) &gt; 0, Table2[[#This Row],[!Description]], "rg:None")</f>
        <v>The date-time the time record information was entered.</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ht="28.8" x14ac:dyDescent="0.3">
      <c r="A58" s="50" t="s">
        <v>225</v>
      </c>
      <c r="B58" s="50" t="s">
        <v>7</v>
      </c>
      <c r="C58" s="18">
        <v>20</v>
      </c>
      <c r="D58" s="50" t="s">
        <v>255</v>
      </c>
      <c r="E58" s="62" t="s">
        <v>256</v>
      </c>
      <c r="F58" s="12"/>
      <c r="G58" s="19"/>
      <c r="H58" s="19"/>
      <c r="I58" s="4" t="str">
        <f>IF(LEN(A58) &gt; 0,"Defs","-")</f>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v>
      </c>
      <c r="U58" s="4" t="str">
        <f>IF(LEN(Table2[[#This Row],[!Name]]) &gt; 0, Table2[[#This Row],[!Name]], "rg:None")</f>
        <v>timePeriod</v>
      </c>
      <c r="V58" s="4" t="str">
        <f>IF(LEN(Table2[[#This Row],[!Description]]) &gt; 0, Table2[[#This Row],[!Description]], "rg:None")</f>
        <v>The time period of the entry - either day or week. HETS Clerk have the option of entering time records on a day-by-day or week-by-week basis.</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30" t="s">
        <v>225</v>
      </c>
      <c r="B59" s="3" t="s">
        <v>110</v>
      </c>
      <c r="C59" s="3"/>
      <c r="D59" s="3" t="s">
        <v>148</v>
      </c>
      <c r="E59" s="62" t="s">
        <v>258</v>
      </c>
      <c r="F59" s="12"/>
      <c r="G59" s="19"/>
      <c r="H59" s="19"/>
      <c r="I59" s="4" t="str">
        <f t="shared" ref="I59:I64" si="6">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float</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hours</v>
      </c>
      <c r="V59" s="4" t="str">
        <f>IF(LEN(Table2[[#This Row],[!Description]]) &gt; 0, Table2[[#This Row],[!Description]], "rg:None")</f>
        <v>The number of hours worked by the equipment.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30" t="s">
        <v>225</v>
      </c>
      <c r="B60" s="3" t="s">
        <v>110</v>
      </c>
      <c r="C60" s="3"/>
      <c r="D60" s="3" t="s">
        <v>149</v>
      </c>
      <c r="E60" s="62" t="s">
        <v>259</v>
      </c>
      <c r="F60" s="12"/>
      <c r="G60" s="19"/>
      <c r="H60" s="19"/>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rate</v>
      </c>
      <c r="V60" s="4" t="str">
        <f>IF(LEN(Table2[[#This Row],[!Description]]) &gt; 0, Table2[[#This Row],[!Description]], "rg:None")</f>
        <v>TO BE REMOVED - REPLACE WITH A LINK TO A RATE ENTRY IN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30" t="s">
        <v>225</v>
      </c>
      <c r="B61" s="3" t="s">
        <v>110</v>
      </c>
      <c r="C61" s="3"/>
      <c r="D61" s="3" t="s">
        <v>150</v>
      </c>
      <c r="E61" s="62" t="s">
        <v>259</v>
      </c>
      <c r="F61" s="12"/>
      <c r="G61" s="19"/>
      <c r="H61" s="19"/>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float</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hours2</v>
      </c>
      <c r="V61" s="4" t="str">
        <f>IF(LEN(Table2[[#This Row],[!Description]]) &gt; 0, Table2[[#This Row],[!Description]], "rg:None")</f>
        <v>TO BE REMOVED - REPLACE WITH A LINK TO A RATE ENTRY IN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x14ac:dyDescent="0.3">
      <c r="A62" s="30" t="s">
        <v>225</v>
      </c>
      <c r="B62" s="3" t="s">
        <v>110</v>
      </c>
      <c r="C62" s="3"/>
      <c r="D62" s="3" t="s">
        <v>151</v>
      </c>
      <c r="E62" s="62" t="s">
        <v>259</v>
      </c>
      <c r="F62" s="12"/>
      <c r="G62" s="19"/>
      <c r="H62" s="19"/>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rate2</v>
      </c>
      <c r="V62" s="4" t="str">
        <f>IF(LEN(Table2[[#This Row],[!Description]]) &gt; 0, Table2[[#This Row],[!Description]], "rg:None")</f>
        <v>TO BE REMOVED - REPLACE WITH A LINK TO A RATE ENTRY IN THE RENTAL AGREEMENT</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
      <c r="A63" s="30" t="s">
        <v>225</v>
      </c>
      <c r="B63" s="3" t="s">
        <v>110</v>
      </c>
      <c r="C63" s="3"/>
      <c r="D63" s="3" t="s">
        <v>152</v>
      </c>
      <c r="E63" s="62" t="s">
        <v>259</v>
      </c>
      <c r="F63" s="12"/>
      <c r="G63" s="19"/>
      <c r="H63" s="19"/>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float</v>
      </c>
      <c r="P63" s="4" t="str">
        <f>IF(Table2[[#This Row],[!Type]]=P$1, P$1,"rg:None")</f>
        <v>rg:None</v>
      </c>
      <c r="Q63" s="4" t="str">
        <f>IF(Table2[[#This Row],[!Type]]=Q$1, Q$1,"rg:None")</f>
        <v>rg:None</v>
      </c>
      <c r="R63" s="4" t="str">
        <f>IF(Table2[[#This Row],[!Type]]=R$1, R$1,"rg:None")</f>
        <v>rg:None</v>
      </c>
      <c r="S63" s="4" t="str">
        <f>IF(Table2[[#This Row],[!Type]]=S$1, S$1,"rg:None")</f>
        <v>rg:None</v>
      </c>
      <c r="T63" s="4" t="str">
        <f>IF(LEN(Table2[[#This Row],[!Length]]) &gt; 0, Table2[[#This Row],[!Length]], "rg:None")</f>
        <v>rg:None</v>
      </c>
      <c r="U63" s="4" t="str">
        <f>IF(LEN(Table2[[#This Row],[!Name]]) &gt; 0, Table2[[#This Row],[!Name]], "rg:None")</f>
        <v>hours3</v>
      </c>
      <c r="V63" s="4" t="str">
        <f>IF(LEN(Table2[[#This Row],[!Description]]) &gt; 0, Table2[[#This Row],[!Description]], "rg:None")</f>
        <v>TO BE REMOVED - REPLACE WITH A LINK TO A RATE ENTRY IN THE RENTAL AGREEMENT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30" t="s">
        <v>225</v>
      </c>
      <c r="B64" s="3" t="s">
        <v>110</v>
      </c>
      <c r="C64" s="3"/>
      <c r="D64" s="3" t="s">
        <v>153</v>
      </c>
      <c r="E64" s="62" t="s">
        <v>259</v>
      </c>
      <c r="F64" s="12"/>
      <c r="G64" s="19"/>
      <c r="H64" s="19"/>
      <c r="I64" s="4" t="str">
        <f t="shared" si="6"/>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float</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rate3</v>
      </c>
      <c r="V64" s="4" t="str">
        <f>IF(LEN(Table2[[#This Row],[!Description]]) &gt; 0, Table2[[#This Row],[!Description]], "rg:None")</f>
        <v>TO BE REMOVED - REPLACE WITH A LINK TO A RATE ENTRY IN THE RENTAL AGREEMENT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ht="28.8" x14ac:dyDescent="0.3">
      <c r="A65" s="22" t="s">
        <v>200</v>
      </c>
      <c r="B65" s="3" t="s">
        <v>4</v>
      </c>
      <c r="C65" s="3"/>
      <c r="D65" s="22" t="s">
        <v>200</v>
      </c>
      <c r="E65" s="84" t="s">
        <v>405</v>
      </c>
      <c r="F65" s="3" t="s">
        <v>5</v>
      </c>
      <c r="G65" s="4"/>
      <c r="H65" s="4"/>
      <c r="I65" s="4" t="str">
        <f t="shared" ref="I65:I73" si="7">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Equipment</v>
      </c>
      <c r="V65" s="4" t="str">
        <f>IF(LEN(Table2[[#This Row],[!Description]]) &gt; 0, Table2[[#This Row],[!Description]], "rg:None")</f>
        <v>A piece of equipment in the HETS system. Each piece of equipment is of a specific equipment type, owned by an Owner, and is within a Local Area.</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22" t="s">
        <v>200</v>
      </c>
      <c r="B66" s="3" t="s">
        <v>6</v>
      </c>
      <c r="C66" s="3"/>
      <c r="D66" s="3" t="s">
        <v>6</v>
      </c>
      <c r="E66" s="60" t="s">
        <v>325</v>
      </c>
      <c r="F66" s="3" t="s">
        <v>5</v>
      </c>
      <c r="G66" s="4" t="s">
        <v>64</v>
      </c>
      <c r="H66" s="4"/>
      <c r="I66" s="4" t="str">
        <f t="shared" si="7"/>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Equipment</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22" t="s">
        <v>200</v>
      </c>
      <c r="B67" s="3" t="s">
        <v>8</v>
      </c>
      <c r="C67" s="3"/>
      <c r="D67" s="22" t="s">
        <v>192</v>
      </c>
      <c r="E67" s="60"/>
      <c r="F67" s="22" t="s">
        <v>160</v>
      </c>
      <c r="G67" s="4"/>
      <c r="H67" s="4"/>
      <c r="I67" s="4" t="str">
        <f t="shared" si="7"/>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localArea</v>
      </c>
      <c r="V67" s="4" t="str">
        <f>IF(LEN(Table2[[#This Row],[!Description]]) &gt; 0, Table2[[#This Row],[!Description]], "rg:None")</f>
        <v>rg:None</v>
      </c>
      <c r="W67" s="4" t="str">
        <f>IF(LEN(Table2[[#This Row],[!FK]])&gt;0,Table2[[#This Row],[!FK]],"rg:None")</f>
        <v>LocalArea</v>
      </c>
      <c r="X67" s="14" t="str">
        <f>IF(LEN(concatif2(A:A,Table2[[#This Row],[!Table]],G:G,"Y",D:D,",")) &gt; 0,"rg:[ { 'req' : '"&amp;concatif2(A:A,Table2[[#This Row],[!Table]],G:G,"Y",D:D,"' }, { 'req': '")&amp;"'} ]","rg:[]")</f>
        <v>rg:[ { 'req' : 'id'} ]</v>
      </c>
      <c r="Y67" s="4" t="str">
        <f>IF(LEN(Table2[[#This Row],[!Unique]])&gt;0,"rg:True","rg:None")</f>
        <v>rg:None</v>
      </c>
    </row>
    <row r="68" spans="1:25" x14ac:dyDescent="0.3">
      <c r="A68" s="22" t="s">
        <v>200</v>
      </c>
      <c r="B68" s="3" t="s">
        <v>8</v>
      </c>
      <c r="C68" s="3"/>
      <c r="D68" s="22" t="s">
        <v>201</v>
      </c>
      <c r="E68" s="60"/>
      <c r="F68" s="22" t="s">
        <v>202</v>
      </c>
      <c r="G68" s="4"/>
      <c r="H68" s="4"/>
      <c r="I68" s="4" t="str">
        <f t="shared" si="7"/>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ref</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equipmentType</v>
      </c>
      <c r="V68" s="4" t="str">
        <f>IF(LEN(Table2[[#This Row],[!Description]]) &gt; 0, Table2[[#This Row],[!Description]], "rg:None")</f>
        <v>rg:None</v>
      </c>
      <c r="W68" s="4" t="str">
        <f>IF(LEN(Table2[[#This Row],[!FK]])&gt;0,Table2[[#This Row],[!FK]],"rg:None")</f>
        <v>EquipmentType</v>
      </c>
      <c r="X68" s="14" t="str">
        <f>IF(LEN(concatif2(A:A,Table2[[#This Row],[!Table]],G:G,"Y",D:D,",")) &gt; 0,"rg:[ { 'req' : '"&amp;concatif2(A:A,Table2[[#This Row],[!Table]],G:G,"Y",D:D,"' }, { 'req': '")&amp;"'} ]","rg:[]")</f>
        <v>rg:[ { 'req' : 'id'} ]</v>
      </c>
      <c r="Y68" s="4" t="str">
        <f>IF(LEN(Table2[[#This Row],[!Unique]])&gt;0,"rg:True","rg:None")</f>
        <v>rg:None</v>
      </c>
    </row>
    <row r="69" spans="1:25" x14ac:dyDescent="0.3">
      <c r="A69" s="22" t="s">
        <v>200</v>
      </c>
      <c r="B69" s="3" t="s">
        <v>8</v>
      </c>
      <c r="C69" s="3"/>
      <c r="D69" s="22" t="s">
        <v>157</v>
      </c>
      <c r="E69" s="60"/>
      <c r="F69" s="23" t="s">
        <v>154</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ref</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owner</v>
      </c>
      <c r="V69" s="4" t="str">
        <f>IF(LEN(Table2[[#This Row],[!Description]]) &gt; 0, Table2[[#This Row],[!Description]], "rg:None")</f>
        <v>rg:None</v>
      </c>
      <c r="W69" s="4" t="str">
        <f>IF(LEN(Table2[[#This Row],[!FK]])&gt;0,Table2[[#This Row],[!FK]],"rg:None")</f>
        <v>Owner</v>
      </c>
      <c r="X69" s="14" t="str">
        <f>IF(LEN(concatif2(A:A,Table2[[#This Row],[!Table]],G:G,"Y",D:D,",")) &gt; 0,"rg:[ { 'req' : '"&amp;concatif2(A:A,Table2[[#This Row],[!Table]],G:G,"Y",D:D,"' }, { 'req': '")&amp;"'} ]","rg:[]")</f>
        <v>rg:[ { 'req' : 'id'} ]</v>
      </c>
      <c r="Y69" s="4" t="str">
        <f>IF(LEN(Table2[[#This Row],[!Unique]])&gt;0,"rg:True","rg:None")</f>
        <v>rg:None</v>
      </c>
    </row>
    <row r="70" spans="1:25" ht="57.6" x14ac:dyDescent="0.3">
      <c r="A70" s="22" t="s">
        <v>200</v>
      </c>
      <c r="B70" s="3" t="s">
        <v>7</v>
      </c>
      <c r="C70" s="3">
        <v>25</v>
      </c>
      <c r="D70" s="117" t="s">
        <v>501</v>
      </c>
      <c r="E70" s="84" t="s">
        <v>439</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25</v>
      </c>
      <c r="U70" s="4" t="str">
        <f>IF(LEN(Table2[[#This Row],[!Name]]) &gt; 0, Table2[[#This Row],[!Name]], "rg:None")</f>
        <v>equipmentCode</v>
      </c>
      <c r="V70"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22" t="s">
        <v>200</v>
      </c>
      <c r="B71" s="3" t="s">
        <v>7</v>
      </c>
      <c r="C71" s="3">
        <v>50</v>
      </c>
      <c r="D71" s="92" t="s">
        <v>260</v>
      </c>
      <c r="E71" s="59" t="s">
        <v>261</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status</v>
      </c>
      <c r="V71" s="4" t="str">
        <f>IF(LEN(Table2[[#This Row],[!Description]]) &gt; 0, Table2[[#This Row],[!Description]], "rg:None")</f>
        <v>The current status of the equipment in a UI-controlled string. Initial values are Pending, Approved and Archived, but other values may be added.</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
      <c r="A72" s="22" t="s">
        <v>200</v>
      </c>
      <c r="B72" s="22" t="s">
        <v>12</v>
      </c>
      <c r="C72" s="3"/>
      <c r="D72" s="22" t="s">
        <v>207</v>
      </c>
      <c r="E72" s="59" t="s">
        <v>262</v>
      </c>
      <c r="F72" s="3" t="s">
        <v>5</v>
      </c>
      <c r="G72" s="4"/>
      <c r="H72" s="4"/>
      <c r="I72" s="4" t="str">
        <f>IF(LEN(A72) &gt; 0,"Defs","-")</f>
        <v>Defs</v>
      </c>
      <c r="J72" s="4" t="str">
        <f>IF(Table2[[#This Row],[!Type]]=J$1, J$1,"rg:None")</f>
        <v>rg:None</v>
      </c>
      <c r="K72" s="4" t="str">
        <f>IF(Table2[[#This Row],[!Type]]=K$1, K$1,"rg:None")</f>
        <v>rg:None</v>
      </c>
      <c r="L72" s="4" t="str">
        <f>IF(Table2[[#This Row],[!Type]]=L$1, L$1,"rg:None")</f>
        <v>datetime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rg:None</v>
      </c>
      <c r="T72" s="4" t="str">
        <f>IF(LEN(Table2[[#This Row],[!Length]]) &gt; 0, Table2[[#This Row],[!Length]], "rg:None")</f>
        <v>rg:None</v>
      </c>
      <c r="U72" s="4" t="str">
        <f>IF(LEN(Table2[[#This Row],[!Name]]) &gt; 0, Table2[[#This Row],[!Name]], "rg:None")</f>
        <v>receivedDate</v>
      </c>
      <c r="V72" s="4" t="str">
        <f>IF(LEN(Table2[[#This Row],[!Description]]) &gt; 0, Table2[[#This Row],[!Description]], "rg:None")</f>
        <v>The date the piece of equipment was first received and recorded in HETS.</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ht="28.8" x14ac:dyDescent="0.3">
      <c r="A73" s="22" t="s">
        <v>200</v>
      </c>
      <c r="B73" s="22" t="s">
        <v>12</v>
      </c>
      <c r="C73" s="3"/>
      <c r="D73" s="22" t="s">
        <v>206</v>
      </c>
      <c r="E73" s="59" t="s">
        <v>263</v>
      </c>
      <c r="F73" s="3" t="s">
        <v>5</v>
      </c>
      <c r="G73" s="4"/>
      <c r="H73" s="4"/>
      <c r="I73" s="4" t="str">
        <f t="shared" si="7"/>
        <v>Defs</v>
      </c>
      <c r="J73" s="4" t="str">
        <f>IF(Table2[[#This Row],[!Type]]=J$1, J$1,"rg:None")</f>
        <v>rg:None</v>
      </c>
      <c r="K73" s="4" t="str">
        <f>IF(Table2[[#This Row],[!Type]]=K$1, K$1,"rg:None")</f>
        <v>rg:None</v>
      </c>
      <c r="L73" s="4" t="str">
        <f>IF(Table2[[#This Row],[!Type]]=L$1, L$1,"rg:None")</f>
        <v>datetime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approvedDate</v>
      </c>
      <c r="V73" s="4" t="str">
        <f>IF(LEN(Table2[[#This Row],[!Description]]) &gt; 0, Table2[[#This Row],[!Description]], "rg:None")</f>
        <v>The date the piece of equipment was first approved in HETS. Part of the seniority calculation for a piece of equipment is based on this date.</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ht="28.8" x14ac:dyDescent="0.3">
      <c r="A74" s="22" t="s">
        <v>200</v>
      </c>
      <c r="B74" s="41" t="s">
        <v>12</v>
      </c>
      <c r="C74" s="3"/>
      <c r="D74" s="41" t="s">
        <v>238</v>
      </c>
      <c r="E74" s="59" t="s">
        <v>264</v>
      </c>
      <c r="F74" s="3" t="s">
        <v>5</v>
      </c>
      <c r="G74" s="4"/>
      <c r="H74" s="4"/>
      <c r="I74" s="4" t="str">
        <f t="shared" ref="I74:I99" si="8">IF(LEN(A74) &gt; 0,"Defs","-")</f>
        <v>Defs</v>
      </c>
      <c r="J74" s="4" t="str">
        <f>IF(Table2[[#This Row],[!Type]]=J$1, J$1,"rg:None")</f>
        <v>rg:None</v>
      </c>
      <c r="K74" s="4" t="str">
        <f>IF(Table2[[#This Row],[!Type]]=K$1, K$1,"rg:None")</f>
        <v>rg:None</v>
      </c>
      <c r="L74" s="4" t="str">
        <f>IF(Table2[[#This Row],[!Type]]=L$1, L$1,"rg:None")</f>
        <v>datetime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lastVerifiedDate</v>
      </c>
      <c r="V74" s="4" t="str">
        <f>IF(LEN(Table2[[#This Row],[!Description]]) &gt; 0, Table2[[#This Row],[!Description]], "rg:None")</f>
        <v>The date the equipment was last verified by the HETS Clerk as being still in service in the Local Area and available for the HETS Programme.</v>
      </c>
      <c r="W74" s="4" t="str">
        <f>IF(LEN(Table2[[#This Row],[!FK]])&gt;0,Table2[[#This Row],[!FK]],"rg:None")</f>
        <v>rg:None</v>
      </c>
      <c r="X74" s="14" t="str">
        <f>IF(LEN(concatif2(A:A,Table2[[#This Row],[!Table]],G:G,"Y",D:D,",")) &gt; 0,"rg:[ { 'req' : '"&amp;concatif2(A:A,Table2[[#This Row],[!Table]],G:G,"Y",D:D,"' }, { 'req': '")&amp;"'} ]","rg:[]")</f>
        <v>rg:[ { 'req' : 'id'} ]</v>
      </c>
      <c r="Y74" s="4" t="str">
        <f>IF(LEN(Table2[[#This Row],[!Unique]])&gt;0,"rg:True","rg:None")</f>
        <v>rg:None</v>
      </c>
    </row>
    <row r="75" spans="1:25" ht="43.2" x14ac:dyDescent="0.3">
      <c r="A75" s="86" t="s">
        <v>200</v>
      </c>
      <c r="B75" s="86" t="s">
        <v>9</v>
      </c>
      <c r="C75" s="18"/>
      <c r="D75" s="86" t="s">
        <v>425</v>
      </c>
      <c r="E75" s="85" t="s">
        <v>436</v>
      </c>
      <c r="F75" s="12"/>
      <c r="G75" s="19"/>
      <c r="H75" s="19"/>
      <c r="I75" s="4" t="str">
        <f>IF(LEN(A75) &gt; 0,"Defs","-")</f>
        <v>Defs</v>
      </c>
      <c r="J75" s="4" t="str">
        <f>IF(Table2[[#This Row],[!Type]]=J$1, J$1,"rg:None")</f>
        <v>boolean</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isInformationUpdateNeeded</v>
      </c>
      <c r="V75"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75" s="4" t="str">
        <f>IF(LEN(Table2[[#This Row],[!FK]])&gt;0,Table2[[#This Row],[!FK]],"rg:None")</f>
        <v>rg:None</v>
      </c>
      <c r="X75" s="14" t="str">
        <f>IF(LEN(concatif2(A:A,Table2[[#This Row],[!Table]],G:G,"Y",D:D,",")) &gt; 0,"rg:[ { 'req' : '"&amp;concatif2(A:A,Table2[[#This Row],[!Table]],G:G,"Y",D:D,"' }, { 'req': '")&amp;"'} ]","rg:[]")</f>
        <v>rg:[ { 'req' : 'id'} ]</v>
      </c>
      <c r="Y75" s="4" t="str">
        <f>IF(LEN(Table2[[#This Row],[!Unique]])&gt;0,"rg:True","rg:None")</f>
        <v>rg:None</v>
      </c>
    </row>
    <row r="76" spans="1:25" x14ac:dyDescent="0.3">
      <c r="A76" s="86" t="s">
        <v>200</v>
      </c>
      <c r="B76" s="86" t="s">
        <v>7</v>
      </c>
      <c r="C76" s="18">
        <v>2048</v>
      </c>
      <c r="D76" s="86" t="s">
        <v>426</v>
      </c>
      <c r="E76" s="85" t="s">
        <v>427</v>
      </c>
      <c r="F76" s="12"/>
      <c r="G76" s="19"/>
      <c r="H76" s="19"/>
      <c r="I76" s="4" t="str">
        <f>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2048</v>
      </c>
      <c r="U76" s="4" t="str">
        <f>IF(LEN(Table2[[#This Row],[!Name]]) &gt; 0, Table2[[#This Row],[!Name]], "rg:None")</f>
        <v>informationUpdateNeededReason</v>
      </c>
      <c r="V76" s="4" t="str">
        <f>IF(LEN(Table2[[#This Row],[!Description]]) &gt; 0, Table2[[#This Row],[!Description]], "rg:None")</f>
        <v>A note about why the needed information/status update that is needed about the equipment.</v>
      </c>
      <c r="W76" s="4" t="str">
        <f>IF(LEN(Table2[[#This Row],[!FK]])&gt;0,Table2[[#This Row],[!FK]],"rg:None")</f>
        <v>rg:None</v>
      </c>
      <c r="X76" s="14" t="str">
        <f>IF(LEN(concatif2(A:A,Table2[[#This Row],[!Table]],G:G,"Y",D:D,",")) &gt; 0,"rg:[ { 'req' : '"&amp;concatif2(A:A,Table2[[#This Row],[!Table]],G:G,"Y",D:D,"' }, { 'req': '")&amp;"'} ]","rg:[]")</f>
        <v>rg:[ { 'req' : 'id'} ]</v>
      </c>
      <c r="Y76" s="4" t="str">
        <f>IF(LEN(Table2[[#This Row],[!Unique]])&gt;0,"rg:True","rg:None")</f>
        <v>rg:None</v>
      </c>
    </row>
    <row r="77" spans="1:25" x14ac:dyDescent="0.3">
      <c r="A77" s="22" t="s">
        <v>200</v>
      </c>
      <c r="B77" s="3" t="s">
        <v>7</v>
      </c>
      <c r="C77" s="3">
        <v>20</v>
      </c>
      <c r="D77" s="49" t="s">
        <v>265</v>
      </c>
      <c r="E77" s="59" t="s">
        <v>266</v>
      </c>
      <c r="F77" s="3" t="s">
        <v>5</v>
      </c>
      <c r="G77" s="4"/>
      <c r="H77" s="4"/>
      <c r="I77" s="4" t="str">
        <f t="shared" si="8"/>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20</v>
      </c>
      <c r="U77" s="4" t="str">
        <f>IF(LEN(Table2[[#This Row],[!Name]]) &gt; 0, Table2[[#This Row],[!Name]], "rg:None")</f>
        <v>licencePlate</v>
      </c>
      <c r="V77" s="4" t="str">
        <f>IF(LEN(Table2[[#This Row],[!Description]]) &gt; 0, Table2[[#This Row],[!Description]], "rg:None")</f>
        <v>The licence plate (if any) of the piece of equipment, as entered by the HETS Clerk.</v>
      </c>
      <c r="W77" s="4" t="str">
        <f>IF(LEN(Table2[[#This Row],[!FK]])&gt;0,Table2[[#This Row],[!FK]],"rg:None")</f>
        <v>rg:None</v>
      </c>
      <c r="X77" s="14" t="str">
        <f>IF(LEN(concatif2(A:A,Table2[[#This Row],[!Table]],G:G,"Y",D:D,",")) &gt; 0,"rg:[ { 'req' : '"&amp;concatif2(A:A,Table2[[#This Row],[!Table]],G:G,"Y",D:D,"' }, { 'req': '")&amp;"'} ]","rg:[]")</f>
        <v>rg:[ { 'req' : 'id'} ]</v>
      </c>
      <c r="Y77" s="4" t="str">
        <f>IF(LEN(Table2[[#This Row],[!Unique]])&gt;0,"rg:True","rg:None")</f>
        <v>rg:None</v>
      </c>
    </row>
    <row r="78" spans="1:25" x14ac:dyDescent="0.3">
      <c r="A78" s="22" t="s">
        <v>200</v>
      </c>
      <c r="B78" s="3" t="s">
        <v>7</v>
      </c>
      <c r="C78" s="3">
        <v>50</v>
      </c>
      <c r="D78" s="3" t="s">
        <v>133</v>
      </c>
      <c r="E78" s="59" t="s">
        <v>267</v>
      </c>
      <c r="F78" s="3" t="s">
        <v>5</v>
      </c>
      <c r="G78" s="4"/>
      <c r="H78" s="4"/>
      <c r="I78" s="4" t="str">
        <f t="shared" si="8"/>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50</v>
      </c>
      <c r="U78" s="4" t="str">
        <f>IF(LEN(Table2[[#This Row],[!Name]]) &gt; 0, Table2[[#This Row],[!Name]], "rg:None")</f>
        <v>make</v>
      </c>
      <c r="V78" s="4" t="str">
        <f>IF(LEN(Table2[[#This Row],[!Description]]) &gt; 0, Table2[[#This Row],[!Description]], "rg:None")</f>
        <v>The make of the piece of equipment, as provided by the Equipment Owner.</v>
      </c>
      <c r="W78" s="4" t="str">
        <f>IF(LEN(Table2[[#This Row],[!FK]])&gt;0,Table2[[#This Row],[!FK]],"rg:None")</f>
        <v>rg:None</v>
      </c>
      <c r="X78" s="14" t="str">
        <f>IF(LEN(concatif2(A:A,Table2[[#This Row],[!Table]],G:G,"Y",D:D,",")) &gt; 0,"rg:[ { 'req' : '"&amp;concatif2(A:A,Table2[[#This Row],[!Table]],G:G,"Y",D:D,"' }, { 'req': '")&amp;"'} ]","rg:[]")</f>
        <v>rg:[ { 'req' : 'id'} ]</v>
      </c>
      <c r="Y78" s="4" t="str">
        <f>IF(LEN(Table2[[#This Row],[!Unique]])&gt;0,"rg:True","rg:None")</f>
        <v>rg:None</v>
      </c>
    </row>
    <row r="79" spans="1:25" x14ac:dyDescent="0.3">
      <c r="A79" s="22" t="s">
        <v>200</v>
      </c>
      <c r="B79" s="3" t="s">
        <v>7</v>
      </c>
      <c r="C79" s="3">
        <v>50</v>
      </c>
      <c r="D79" s="3" t="s">
        <v>134</v>
      </c>
      <c r="E79" s="59" t="s">
        <v>268</v>
      </c>
      <c r="F79" s="3" t="s">
        <v>5</v>
      </c>
      <c r="G79" s="4"/>
      <c r="H79" s="4"/>
      <c r="I79" s="4" t="str">
        <f t="shared" si="8"/>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50</v>
      </c>
      <c r="U79" s="4" t="str">
        <f>IF(LEN(Table2[[#This Row],[!Name]]) &gt; 0, Table2[[#This Row],[!Name]], "rg:None")</f>
        <v>model</v>
      </c>
      <c r="V79" s="4" t="str">
        <f>IF(LEN(Table2[[#This Row],[!Description]]) &gt; 0, Table2[[#This Row],[!Description]], "rg:None")</f>
        <v>The model of the piece of equipment, as provided by the Equipment Owner.</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
      <c r="A80" s="22" t="s">
        <v>200</v>
      </c>
      <c r="B80" s="3" t="s">
        <v>7</v>
      </c>
      <c r="C80" s="3">
        <v>15</v>
      </c>
      <c r="D80" s="3" t="s">
        <v>135</v>
      </c>
      <c r="E80" s="59" t="s">
        <v>269</v>
      </c>
      <c r="F80" s="3" t="s">
        <v>5</v>
      </c>
      <c r="G80" s="4"/>
      <c r="H80" s="4"/>
      <c r="I80" s="4" t="str">
        <f t="shared" si="8"/>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string</v>
      </c>
      <c r="S80" s="4" t="str">
        <f>IF(Table2[[#This Row],[!Type]]=S$1, S$1,"rg:None")</f>
        <v>rg:None</v>
      </c>
      <c r="T80" s="4">
        <f>IF(LEN(Table2[[#This Row],[!Length]]) &gt; 0, Table2[[#This Row],[!Length]], "rg:None")</f>
        <v>15</v>
      </c>
      <c r="U80" s="4" t="str">
        <f>IF(LEN(Table2[[#This Row],[!Name]]) &gt; 0, Table2[[#This Row],[!Name]], "rg:None")</f>
        <v>year</v>
      </c>
      <c r="V80" s="4" t="str">
        <f>IF(LEN(Table2[[#This Row],[!Description]]) &gt; 0, Table2[[#This Row],[!Description]], "rg:None")</f>
        <v>The model year of the piece of equipment, as provided by the Equipment Owner.</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2" t="s">
        <v>200</v>
      </c>
      <c r="B81" s="3" t="s">
        <v>7</v>
      </c>
      <c r="C81" s="3">
        <v>255</v>
      </c>
      <c r="D81" s="3" t="s">
        <v>20</v>
      </c>
      <c r="E81" s="94" t="s">
        <v>474</v>
      </c>
      <c r="F81" s="3" t="s">
        <v>5</v>
      </c>
      <c r="G81" s="4"/>
      <c r="H81" s="4"/>
      <c r="I81" s="4" t="str">
        <f t="shared" si="8"/>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4">
        <f>IF(LEN(Table2[[#This Row],[!Length]]) &gt; 0, Table2[[#This Row],[!Length]], "rg:None")</f>
        <v>255</v>
      </c>
      <c r="U81" s="4" t="str">
        <f>IF(LEN(Table2[[#This Row],[!Name]]) &gt; 0, Table2[[#This Row],[!Name]], "rg:None")</f>
        <v>type</v>
      </c>
      <c r="V81" s="4" t="str">
        <f>IF(LEN(Table2[[#This Row],[!Description]]) &gt; 0, Table2[[#This Row],[!Description]], "rg:None")</f>
        <v>TO BE REVIEWED WITH THE BUSINESS - WHAT IS THIS?</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2" t="s">
        <v>200</v>
      </c>
      <c r="B82" s="3" t="s">
        <v>7</v>
      </c>
      <c r="C82" s="3">
        <v>255</v>
      </c>
      <c r="D82" s="3" t="s">
        <v>136</v>
      </c>
      <c r="E82" s="94" t="s">
        <v>474</v>
      </c>
      <c r="F82" s="3" t="s">
        <v>5</v>
      </c>
      <c r="G82" s="4"/>
      <c r="H82" s="4"/>
      <c r="I82" s="4" t="str">
        <f t="shared" si="8"/>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string</v>
      </c>
      <c r="S82" s="4" t="str">
        <f>IF(Table2[[#This Row],[!Type]]=S$1, S$1,"rg:None")</f>
        <v>rg:None</v>
      </c>
      <c r="T82" s="4">
        <f>IF(LEN(Table2[[#This Row],[!Length]]) &gt; 0, Table2[[#This Row],[!Length]], "rg:None")</f>
        <v>255</v>
      </c>
      <c r="U82" s="4" t="str">
        <f>IF(LEN(Table2[[#This Row],[!Name]]) &gt; 0, Table2[[#This Row],[!Name]], "rg:None")</f>
        <v>operator</v>
      </c>
      <c r="V82" s="4" t="str">
        <f>IF(LEN(Table2[[#This Row],[!Description]]) &gt; 0, Table2[[#This Row],[!Description]], "rg:None")</f>
        <v>TO BE REVIEWED WITH THE BUSINESS - WHAT IS THIS?</v>
      </c>
      <c r="W82" s="4" t="str">
        <f>IF(LEN(Table2[[#This Row],[!FK]])&gt;0,Table2[[#This Row],[!FK]],"rg:None")</f>
        <v>rg:None</v>
      </c>
      <c r="X82" s="14" t="str">
        <f>IF(LEN(concatif2(A:A,Table2[[#This Row],[!Table]],G:G,"Y",D:D,",")) &gt; 0,"rg:[ { 'req' : '"&amp;concatif2(A:A,Table2[[#This Row],[!Table]],G:G,"Y",D:D,"' }, { 'req': '")&amp;"'} ]","rg:[]")</f>
        <v>rg:[ { 'req' : 'id'} ]</v>
      </c>
      <c r="Y82" s="4" t="str">
        <f>IF(LEN(Table2[[#This Row],[!Unique]])&gt;0,"rg:True","rg:None")</f>
        <v>rg:None</v>
      </c>
    </row>
    <row r="83" spans="1:25" x14ac:dyDescent="0.3">
      <c r="A83" s="22" t="s">
        <v>200</v>
      </c>
      <c r="B83" s="3" t="s">
        <v>110</v>
      </c>
      <c r="C83" s="3"/>
      <c r="D83" s="3" t="s">
        <v>137</v>
      </c>
      <c r="E83" s="94" t="s">
        <v>474</v>
      </c>
      <c r="F83" s="3" t="s">
        <v>5</v>
      </c>
      <c r="G83" s="4"/>
      <c r="H83" s="4"/>
      <c r="I83" s="4" t="str">
        <f t="shared" si="8"/>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float</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payRate</v>
      </c>
      <c r="V83" s="4" t="str">
        <f>IF(LEN(Table2[[#This Row],[!Description]]) &gt; 0, Table2[[#This Row],[!Description]], "rg:None")</f>
        <v>TO BE REVIEWED WITH THE BUSINESS - WHAT IS THIS?</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x14ac:dyDescent="0.3">
      <c r="A84" s="22" t="s">
        <v>200</v>
      </c>
      <c r="B84" s="3" t="s">
        <v>7</v>
      </c>
      <c r="C84" s="3">
        <v>255</v>
      </c>
      <c r="D84" s="3" t="s">
        <v>139</v>
      </c>
      <c r="E84" s="94" t="s">
        <v>474</v>
      </c>
      <c r="F84" s="3" t="s">
        <v>5</v>
      </c>
      <c r="G84" s="4"/>
      <c r="H84" s="4"/>
      <c r="I84" s="4" t="str">
        <f t="shared" si="8"/>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4">
        <f>IF(LEN(Table2[[#This Row],[!Length]]) &gt; 0, Table2[[#This Row],[!Length]], "rg:None")</f>
        <v>255</v>
      </c>
      <c r="U84" s="4" t="str">
        <f>IF(LEN(Table2[[#This Row],[!Name]]) &gt; 0, Table2[[#This Row],[!Name]], "rg:None")</f>
        <v>refuseRate</v>
      </c>
      <c r="V84" s="4" t="str">
        <f>IF(LEN(Table2[[#This Row],[!Description]]) &gt; 0, Table2[[#This Row],[!Description]], "rg:None")</f>
        <v>TO BE REVIEWED WITH THE BUSINESS - WHAT IS THIS?</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ht="72" x14ac:dyDescent="0.3">
      <c r="A85" s="22" t="s">
        <v>200</v>
      </c>
      <c r="B85" s="3" t="s">
        <v>7</v>
      </c>
      <c r="C85" s="3">
        <v>100</v>
      </c>
      <c r="D85" s="117" t="s">
        <v>502</v>
      </c>
      <c r="E85" s="59" t="s">
        <v>271</v>
      </c>
      <c r="F85" s="3" t="s">
        <v>5</v>
      </c>
      <c r="G85" s="4"/>
      <c r="H85" s="4"/>
      <c r="I85" s="4" t="str">
        <f t="shared" si="8"/>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4">
        <f>IF(LEN(Table2[[#This Row],[!Length]]) &gt; 0, Table2[[#This Row],[!Length]], "rg:None")</f>
        <v>100</v>
      </c>
      <c r="U85" s="4" t="str">
        <f>IF(LEN(Table2[[#This Row],[!Name]]) &gt; 0, Table2[[#This Row],[!Name]], "rg:None")</f>
        <v>serialNumber</v>
      </c>
      <c r="V85"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x14ac:dyDescent="0.3">
      <c r="A86" s="22" t="s">
        <v>200</v>
      </c>
      <c r="B86" s="3" t="s">
        <v>7</v>
      </c>
      <c r="C86" s="3">
        <v>128</v>
      </c>
      <c r="D86" s="3" t="s">
        <v>141</v>
      </c>
      <c r="E86" s="59" t="s">
        <v>272</v>
      </c>
      <c r="F86" s="3" t="s">
        <v>5</v>
      </c>
      <c r="G86" s="4"/>
      <c r="H86" s="4"/>
      <c r="I86" s="4" t="str">
        <f t="shared" si="8"/>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128</v>
      </c>
      <c r="U86" s="4" t="str">
        <f>IF(LEN(Table2[[#This Row],[!Name]]) &gt; 0, Table2[[#This Row],[!Name]], "rg:None")</f>
        <v>size</v>
      </c>
      <c r="V86" s="4" t="str">
        <f>IF(LEN(Table2[[#This Row],[!Description]]) &gt; 0, Table2[[#This Row],[!Description]], "rg:None")</f>
        <v>The size of the piece of equipment, as provided by the Equipment Owner.</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2" t="s">
        <v>200</v>
      </c>
      <c r="B87" s="22" t="s">
        <v>12</v>
      </c>
      <c r="C87" s="3"/>
      <c r="D87" s="22" t="s">
        <v>208</v>
      </c>
      <c r="E87" s="94" t="s">
        <v>474</v>
      </c>
      <c r="F87" s="3" t="s">
        <v>5</v>
      </c>
      <c r="G87" s="4"/>
      <c r="H87" s="4"/>
      <c r="I87" s="4" t="str">
        <f t="shared" si="8"/>
        <v>Defs</v>
      </c>
      <c r="J87" s="4" t="str">
        <f>IF(Table2[[#This Row],[!Type]]=J$1, J$1,"rg:None")</f>
        <v>rg:None</v>
      </c>
      <c r="K87" s="4" t="str">
        <f>IF(Table2[[#This Row],[!Type]]=K$1, K$1,"rg:None")</f>
        <v>rg:None</v>
      </c>
      <c r="L87" s="4" t="str">
        <f>IF(Table2[[#This Row],[!Type]]=L$1, L$1,"rg:None")</f>
        <v>datetime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toDate</v>
      </c>
      <c r="V87" s="4" t="str">
        <f>IF(LEN(Table2[[#This Row],[!Description]]) &gt; 0, Table2[[#This Row],[!Description]], "rg:None")</f>
        <v>TO BE REVIEWED WITH THE BUSINESS - WHAT IS THIS?</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22" t="s">
        <v>200</v>
      </c>
      <c r="B88" s="51" t="s">
        <v>110</v>
      </c>
      <c r="C88" s="3"/>
      <c r="D88" s="22" t="s">
        <v>211</v>
      </c>
      <c r="E88" s="66" t="s">
        <v>273</v>
      </c>
      <c r="F88" s="3" t="s">
        <v>5</v>
      </c>
      <c r="G88" s="4"/>
      <c r="H88" s="4"/>
      <c r="I88" s="4" t="str">
        <f t="shared" ref="I88:I94" si="9">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float</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blockNumber</v>
      </c>
      <c r="V88" s="4" t="str">
        <f>IF(LEN(Table2[[#This Row],[!Description]]) &gt; 0, Table2[[#This Row],[!Description]], "rg:None")</f>
        <v>The current block number for the piece of equipment as calculated by the Seniority Algorthm for this equipment type in the local area. As currently defined y the business  - 1, 2 or Open</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ht="57.6" x14ac:dyDescent="0.3">
      <c r="A89" s="22" t="s">
        <v>200</v>
      </c>
      <c r="B89" s="51" t="s">
        <v>110</v>
      </c>
      <c r="C89" s="3"/>
      <c r="D89" s="88" t="s">
        <v>140</v>
      </c>
      <c r="E89" s="66" t="s">
        <v>274</v>
      </c>
      <c r="F89" s="3" t="s">
        <v>5</v>
      </c>
      <c r="G89" s="4"/>
      <c r="H89" s="4"/>
      <c r="I89" s="4" t="str">
        <f t="shared" si="9"/>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float</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seniority</v>
      </c>
      <c r="V89"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ht="43.2" x14ac:dyDescent="0.3">
      <c r="A90" s="104" t="s">
        <v>200</v>
      </c>
      <c r="B90" s="104" t="s">
        <v>13</v>
      </c>
      <c r="C90" s="18"/>
      <c r="D90" s="104" t="s">
        <v>499</v>
      </c>
      <c r="E90" s="105" t="s">
        <v>500</v>
      </c>
      <c r="F90" s="12"/>
      <c r="G90" s="19"/>
      <c r="H90" s="19"/>
      <c r="I90" s="4" t="str">
        <f>IF(LEN(A90) &gt; 0,"Defs","-")</f>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integer</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numberInBlock</v>
      </c>
      <c r="V90"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90" s="4" t="str">
        <f>IF(LEN(Table2[[#This Row],[!FK]])&gt;0,Table2[[#This Row],[!FK]],"rg:None")</f>
        <v>rg:None</v>
      </c>
      <c r="X90" s="14" t="str">
        <f>IF(LEN(concatif2(A:A,Table2[[#This Row],[!Table]],G:G,"Y",D:D,",")) &gt; 0,"rg:[ { 'req' : '"&amp;concatif2(A:A,Table2[[#This Row],[!Table]],G:G,"Y",D:D,"' }, { 'req': '")&amp;"'} ]","rg:[]")</f>
        <v>rg:[ { 'req' : 'id'} ]</v>
      </c>
      <c r="Y90" s="4" t="str">
        <f>IF(LEN(Table2[[#This Row],[!Unique]])&gt;0,"rg:True","rg:None")</f>
        <v>rg:None</v>
      </c>
    </row>
    <row r="91" spans="1:25" ht="43.2" x14ac:dyDescent="0.3">
      <c r="A91" s="99" t="s">
        <v>200</v>
      </c>
      <c r="B91" s="99" t="s">
        <v>9</v>
      </c>
      <c r="C91" s="18"/>
      <c r="D91" s="99" t="s">
        <v>488</v>
      </c>
      <c r="E91" s="100" t="s">
        <v>489</v>
      </c>
      <c r="F91" s="12"/>
      <c r="G91" s="19"/>
      <c r="H91" s="19"/>
      <c r="I91" s="4" t="str">
        <f t="shared" si="9"/>
        <v>Defs</v>
      </c>
      <c r="J91" s="4" t="str">
        <f>IF(Table2[[#This Row],[!Type]]=J$1, J$1,"rg:None")</f>
        <v>boolean</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isSeniorityOverridden</v>
      </c>
      <c r="V91"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91" s="4" t="str">
        <f>IF(LEN(Table2[[#This Row],[!FK]])&gt;0,Table2[[#This Row],[!FK]],"rg:None")</f>
        <v>rg:None</v>
      </c>
      <c r="X91" s="14" t="str">
        <f>IF(LEN(concatif2(A:A,Table2[[#This Row],[!Table]],G:G,"Y",D:D,",")) &gt; 0,"rg:[ { 'req' : '"&amp;concatif2(A:A,Table2[[#This Row],[!Table]],G:G,"Y",D:D,"' }, { 'req': '")&amp;"'} ]","rg:[]")</f>
        <v>rg:[ { 'req' : 'id'} ]</v>
      </c>
      <c r="Y91" s="4" t="str">
        <f>IF(LEN(Table2[[#This Row],[!Unique]])&gt;0,"rg:True","rg:None")</f>
        <v>rg:None</v>
      </c>
    </row>
    <row r="92" spans="1:25" ht="28.8" x14ac:dyDescent="0.3">
      <c r="A92" s="99" t="s">
        <v>200</v>
      </c>
      <c r="B92" s="99" t="s">
        <v>7</v>
      </c>
      <c r="C92" s="18">
        <v>2048</v>
      </c>
      <c r="D92" s="99" t="s">
        <v>487</v>
      </c>
      <c r="E92" s="100" t="s">
        <v>490</v>
      </c>
      <c r="F92" s="12"/>
      <c r="G92" s="19"/>
      <c r="H92" s="19"/>
      <c r="I92" s="4" t="str">
        <f t="shared" si="9"/>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2048</v>
      </c>
      <c r="U92" s="4" t="str">
        <f>IF(LEN(Table2[[#This Row],[!Name]]) &gt; 0, Table2[[#This Row],[!Name]], "rg:None")</f>
        <v>seniorityOverrideReason</v>
      </c>
      <c r="V92" s="4" t="str">
        <f>IF(LEN(Table2[[#This Row],[!Description]]) &gt; 0, Table2[[#This Row],[!Description]], "rg:None")</f>
        <v>A text reason for why the piece of equipments underlying data was overridden to change their seniority number.</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ht="28.8" x14ac:dyDescent="0.3">
      <c r="A93" s="86" t="s">
        <v>200</v>
      </c>
      <c r="B93" s="86" t="s">
        <v>12</v>
      </c>
      <c r="C93" s="18"/>
      <c r="D93" s="86" t="s">
        <v>442</v>
      </c>
      <c r="E93" s="85" t="s">
        <v>443</v>
      </c>
      <c r="F93" s="12"/>
      <c r="G93" s="19"/>
      <c r="H93" s="19"/>
      <c r="I93" s="4" t="str">
        <f t="shared" si="9"/>
        <v>Defs</v>
      </c>
      <c r="J93" s="4" t="str">
        <f>IF(Table2[[#This Row],[!Type]]=J$1, J$1,"rg:None")</f>
        <v>rg:None</v>
      </c>
      <c r="K93" s="4" t="str">
        <f>IF(Table2[[#This Row],[!Type]]=K$1, K$1,"rg:None")</f>
        <v>rg:None</v>
      </c>
      <c r="L93" s="4" t="str">
        <f>IF(Table2[[#This Row],[!Type]]=L$1, L$1,"rg:None")</f>
        <v>datetime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seniorityEffectiveDate</v>
      </c>
      <c r="V93" s="4" t="str">
        <f>IF(LEN(Table2[[#This Row],[!Description]]) &gt; 0, Table2[[#This Row],[!Description]], "rg:None")</f>
        <v>The time the seniority data in the record went into effect. Used to populate the SeniorityAudit table when the seniority data is next updated.</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22" t="s">
        <v>200</v>
      </c>
      <c r="B94" s="3" t="s">
        <v>110</v>
      </c>
      <c r="C94" s="3"/>
      <c r="D94" s="88" t="s">
        <v>440</v>
      </c>
      <c r="E94" s="59" t="s">
        <v>270</v>
      </c>
      <c r="F94" s="3" t="s">
        <v>5</v>
      </c>
      <c r="G94" s="4"/>
      <c r="H94" s="4"/>
      <c r="I94" s="4" t="str">
        <f t="shared" si="9"/>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float</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yearsOfService</v>
      </c>
      <c r="V94" s="4" t="str">
        <f>IF(LEN(Table2[[#This Row],[!Description]]) &gt; 0, Table2[[#This Row],[!Description]], "rg:None")</f>
        <v>The number of years of active service of this piece of equipment at the time seniority is calculated - April 1 of the current FY.</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22" t="s">
        <v>200</v>
      </c>
      <c r="B95" s="101" t="s">
        <v>110</v>
      </c>
      <c r="C95" s="3"/>
      <c r="D95" s="51" t="s">
        <v>275</v>
      </c>
      <c r="E95" s="66" t="s">
        <v>276</v>
      </c>
      <c r="F95" s="3" t="s">
        <v>5</v>
      </c>
      <c r="G95" s="4"/>
      <c r="H95" s="4"/>
      <c r="I95" s="4" t="str">
        <f t="shared" si="8"/>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float</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serviceHoursLastYear</v>
      </c>
      <c r="V95" s="4" t="str">
        <f>IF(LEN(Table2[[#This Row],[!Description]]) &gt; 0, Table2[[#This Row],[!Description]], "rg:None")</f>
        <v>Number of hours of service by this piece of equipment in the previous fiscal year</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22" t="s">
        <v>200</v>
      </c>
      <c r="B96" s="3" t="s">
        <v>110</v>
      </c>
      <c r="C96" s="3"/>
      <c r="D96" s="51" t="s">
        <v>277</v>
      </c>
      <c r="E96" s="66" t="s">
        <v>278</v>
      </c>
      <c r="F96" s="3" t="s">
        <v>5</v>
      </c>
      <c r="G96" s="4"/>
      <c r="H96" s="4"/>
      <c r="I96" s="4" t="str">
        <f t="shared" si="8"/>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float</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serviceHoursTwoYearsAgo</v>
      </c>
      <c r="V96" s="4" t="str">
        <f>IF(LEN(Table2[[#This Row],[!Description]]) &gt; 0, Table2[[#This Row],[!Description]], "rg:None")</f>
        <v>Number of hours of service by this piece of equipment in the fiscal year before the last one - e.g. if current year is FY2018 then hours in FY2016</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22" t="s">
        <v>200</v>
      </c>
      <c r="B97" s="3" t="s">
        <v>110</v>
      </c>
      <c r="C97" s="3"/>
      <c r="D97" s="51" t="s">
        <v>280</v>
      </c>
      <c r="E97" s="66" t="s">
        <v>279</v>
      </c>
      <c r="F97" s="3" t="s">
        <v>5</v>
      </c>
      <c r="G97" s="4"/>
      <c r="H97" s="4"/>
      <c r="I97" s="4" t="str">
        <f t="shared" si="8"/>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float</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serviceHoursThreeYearsAgo</v>
      </c>
      <c r="V97" s="4" t="str">
        <f>IF(LEN(Table2[[#This Row],[!Description]]) &gt; 0, Table2[[#This Row],[!Description]], "rg:None")</f>
        <v>Number of hours of service by this piece of equipment in the fiscal year three years ago - e.g. if current year is FY2018 then hours in FY2015</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x14ac:dyDescent="0.3">
      <c r="A98" s="22" t="s">
        <v>200</v>
      </c>
      <c r="B98" s="3" t="s">
        <v>7</v>
      </c>
      <c r="C98" s="3">
        <v>50</v>
      </c>
      <c r="D98" s="51" t="s">
        <v>281</v>
      </c>
      <c r="E98" s="93" t="s">
        <v>472</v>
      </c>
      <c r="F98" s="3" t="s">
        <v>5</v>
      </c>
      <c r="G98" s="4"/>
      <c r="H98" s="4"/>
      <c r="I98" s="4" t="str">
        <f t="shared" si="8"/>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50</v>
      </c>
      <c r="U98" s="4" t="str">
        <f>IF(LEN(Table2[[#This Row],[!Name]]) &gt; 0, Table2[[#This Row],[!Name]], "rg:None")</f>
        <v>archiveCode</v>
      </c>
      <c r="V98" s="4" t="str">
        <f>IF(LEN(Table2[[#This Row],[!Description]]) &gt; 0, Table2[[#This Row],[!Description]], "rg:None")</f>
        <v>TO BE REVIEWED - A reason code indicating why a piece of equipment has been archived.</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22" t="s">
        <v>200</v>
      </c>
      <c r="B99" s="3" t="s">
        <v>7</v>
      </c>
      <c r="C99" s="3">
        <v>2048</v>
      </c>
      <c r="D99" s="3" t="s">
        <v>142</v>
      </c>
      <c r="E99" s="66" t="s">
        <v>282</v>
      </c>
      <c r="F99" s="3" t="s">
        <v>5</v>
      </c>
      <c r="G99" s="4"/>
      <c r="H99" s="4"/>
      <c r="I99" s="4" t="str">
        <f t="shared" si="8"/>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archiveReason</v>
      </c>
      <c r="V99" s="4" t="str">
        <f>IF(LEN(Table2[[#This Row],[!Description]]) &gt; 0, Table2[[#This Row],[!Description]], "rg:None")</f>
        <v>An optional comment about why this piece of equipment has been archived.</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22" t="s">
        <v>200</v>
      </c>
      <c r="B100" s="22" t="s">
        <v>12</v>
      </c>
      <c r="C100" s="3"/>
      <c r="D100" s="22" t="s">
        <v>209</v>
      </c>
      <c r="E100" s="66" t="s">
        <v>283</v>
      </c>
      <c r="F100" s="3" t="s">
        <v>5</v>
      </c>
      <c r="G100" s="4"/>
      <c r="H100" s="4"/>
      <c r="I100" s="4" t="str">
        <f t="shared" ref="I100:I119" si="10">IF(LEN(A100) &gt; 0,"Defs","-")</f>
        <v>Defs</v>
      </c>
      <c r="J100" s="4" t="str">
        <f>IF(Table2[[#This Row],[!Type]]=J$1, J$1,"rg:None")</f>
        <v>rg:None</v>
      </c>
      <c r="K100" s="4" t="str">
        <f>IF(Table2[[#This Row],[!Type]]=K$1, K$1,"rg:None")</f>
        <v>rg:None</v>
      </c>
      <c r="L100" s="4" t="str">
        <f>IF(Table2[[#This Row],[!Type]]=L$1, L$1,"rg:None")</f>
        <v>datetime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archiveDate</v>
      </c>
      <c r="V100" s="4" t="str">
        <f>IF(LEN(Table2[[#This Row],[!Description]]) &gt; 0, Table2[[#This Row],[!Description]], "rg:None")</f>
        <v>The date on which a user most recenly marked this piece of equipment as archived.</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ht="28.8" x14ac:dyDescent="0.3">
      <c r="A101" s="22" t="s">
        <v>200</v>
      </c>
      <c r="B101" s="51" t="s">
        <v>8</v>
      </c>
      <c r="C101" s="3"/>
      <c r="D101" s="51" t="s">
        <v>284</v>
      </c>
      <c r="E101" s="66" t="s">
        <v>285</v>
      </c>
      <c r="F101" s="57" t="s">
        <v>111</v>
      </c>
      <c r="G101" s="4"/>
      <c r="H101" s="4"/>
      <c r="I101" s="4" t="str">
        <f t="shared" si="10"/>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ref</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dumpTruck</v>
      </c>
      <c r="V101" s="4" t="str">
        <f>IF(LEN(Table2[[#This Row],[!Description]]) &gt; 0, Table2[[#This Row],[!Description]], "rg:None")</f>
        <v>A link to a dump truck set if this piece of equipment is an equipment type flagged as a dump truck.</v>
      </c>
      <c r="W101" s="4" t="str">
        <f>IF(LEN(Table2[[#This Row],[!FK]])&gt;0,Table2[[#This Row],[!FK]],"rg:None")</f>
        <v>DumpTruck</v>
      </c>
      <c r="X101" s="14" t="str">
        <f>IF(LEN(concatif2(A:A,Table2[[#This Row],[!Table]],G:G,"Y",D:D,",")) &gt; 0,"rg:[ { 'req' : '"&amp;concatif2(A:A,Table2[[#This Row],[!Table]],G:G,"Y",D:D,"' }, { 'req': '")&amp;"'} ]","rg:[]")</f>
        <v>rg:[ { 'req' : 'id'} ]</v>
      </c>
      <c r="Y101" s="4" t="str">
        <f>IF(LEN(Table2[[#This Row],[!Unique]])&gt;0,"rg:True","rg:None")</f>
        <v>rg:None</v>
      </c>
    </row>
    <row r="102" spans="1:25" x14ac:dyDescent="0.3">
      <c r="A102" s="22" t="s">
        <v>200</v>
      </c>
      <c r="B102" s="23" t="s">
        <v>19</v>
      </c>
      <c r="C102" s="18"/>
      <c r="D102" s="23" t="s">
        <v>212</v>
      </c>
      <c r="E102" s="61"/>
      <c r="F102" s="22" t="s">
        <v>203</v>
      </c>
      <c r="G102" s="19"/>
      <c r="H102" s="19"/>
      <c r="I102" s="4" t="str">
        <f t="shared" si="10"/>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links</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equipmentAttachments</v>
      </c>
      <c r="V102" s="4" t="str">
        <f>IF(LEN(Table2[[#This Row],[!Description]]) &gt; 0, Table2[[#This Row],[!Description]], "rg:None")</f>
        <v>rg:None</v>
      </c>
      <c r="W102" s="4" t="str">
        <f>IF(LEN(Table2[[#This Row],[!FK]])&gt;0,Table2[[#This Row],[!FK]],"rg:None")</f>
        <v>EquipmentAttachment</v>
      </c>
      <c r="X102" s="14" t="str">
        <f>IF(LEN(concatif2(A:A,Table2[[#This Row],[!Table]],G:G,"Y",D:D,",")) &gt; 0,"rg:[ { 'req' : '"&amp;concatif2(A:A,Table2[[#This Row],[!Table]],G:G,"Y",D:D,"' }, { 'req': '")&amp;"'} ]","rg:[]")</f>
        <v>rg:[ { 'req' : 'id'} ]</v>
      </c>
      <c r="Y102" s="4" t="str">
        <f>IF(LEN(Table2[[#This Row],[!Unique]])&gt;0,"rg:True","rg:None")</f>
        <v>rg:None</v>
      </c>
    </row>
    <row r="103" spans="1:25" x14ac:dyDescent="0.3">
      <c r="A103" s="22" t="s">
        <v>200</v>
      </c>
      <c r="B103" s="23" t="s">
        <v>19</v>
      </c>
      <c r="C103" s="18"/>
      <c r="D103" s="23" t="s">
        <v>175</v>
      </c>
      <c r="E103" s="61"/>
      <c r="F103" s="24" t="s">
        <v>155</v>
      </c>
      <c r="G103" s="19"/>
      <c r="H103" s="19"/>
      <c r="I103" s="4" t="str">
        <f t="shared" si="10"/>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links</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notes</v>
      </c>
      <c r="V103" s="4" t="str">
        <f>IF(LEN(Table2[[#This Row],[!Description]]) &gt; 0, Table2[[#This Row],[!Description]], "rg:None")</f>
        <v>rg:None</v>
      </c>
      <c r="W103" s="4" t="str">
        <f>IF(LEN(Table2[[#This Row],[!FK]])&gt;0,Table2[[#This Row],[!FK]],"rg:None")</f>
        <v>Note</v>
      </c>
      <c r="X103" s="14" t="str">
        <f>IF(LEN(concatif2(A:A,Table2[[#This Row],[!Table]],G:G,"Y",D:D,",")) &gt; 0,"rg:[ { 'req' : '"&amp;concatif2(A:A,Table2[[#This Row],[!Table]],G:G,"Y",D:D,"' }, { 'req': '")&amp;"'} ]","rg:[]")</f>
        <v>rg:[ { 'req' : 'id'} ]</v>
      </c>
      <c r="Y103" s="4" t="str">
        <f>IF(LEN(Table2[[#This Row],[!Unique]])&gt;0,"rg:True","rg:None")</f>
        <v>rg:None</v>
      </c>
    </row>
    <row r="104" spans="1:25" x14ac:dyDescent="0.3">
      <c r="A104" s="22" t="s">
        <v>200</v>
      </c>
      <c r="B104" s="23" t="s">
        <v>19</v>
      </c>
      <c r="C104" s="18"/>
      <c r="D104" s="23" t="s">
        <v>195</v>
      </c>
      <c r="E104" s="61"/>
      <c r="F104" s="21" t="s">
        <v>169</v>
      </c>
      <c r="G104" s="19"/>
      <c r="H104" s="19"/>
      <c r="I104" s="4" t="str">
        <f t="shared" si="10"/>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links</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attachments</v>
      </c>
      <c r="V104" s="4" t="str">
        <f>IF(LEN(Table2[[#This Row],[!Description]]) &gt; 0, Table2[[#This Row],[!Description]], "rg:None")</f>
        <v>rg:None</v>
      </c>
      <c r="W104" s="4" t="str">
        <f>IF(LEN(Table2[[#This Row],[!FK]])&gt;0,Table2[[#This Row],[!FK]],"rg:None")</f>
        <v>Attachment</v>
      </c>
      <c r="X104" s="14" t="str">
        <f>IF(LEN(concatif2(A:A,Table2[[#This Row],[!Table]],G:G,"Y",D:D,",")) &gt; 0,"rg:[ { 'req' : '"&amp;concatif2(A:A,Table2[[#This Row],[!Table]],G:G,"Y",D:D,"' }, { 'req': '")&amp;"'} ]","rg:[]")</f>
        <v>rg:[ { 'req' : 'id'} ]</v>
      </c>
      <c r="Y104" s="4" t="str">
        <f>IF(LEN(Table2[[#This Row],[!Unique]])&gt;0,"rg:True","rg:None")</f>
        <v>rg:None</v>
      </c>
    </row>
    <row r="105" spans="1:25" x14ac:dyDescent="0.3">
      <c r="A105" s="22" t="s">
        <v>200</v>
      </c>
      <c r="B105" s="23" t="s">
        <v>19</v>
      </c>
      <c r="C105" s="18"/>
      <c r="D105" s="23" t="s">
        <v>197</v>
      </c>
      <c r="E105" s="61"/>
      <c r="F105" s="22" t="s">
        <v>171</v>
      </c>
      <c r="G105" s="19"/>
      <c r="H105" s="19"/>
      <c r="I105" s="4" t="str">
        <f t="shared" si="10"/>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links</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history</v>
      </c>
      <c r="V105" s="4" t="str">
        <f>IF(LEN(Table2[[#This Row],[!Description]]) &gt; 0, Table2[[#This Row],[!Description]], "rg:None")</f>
        <v>rg:None</v>
      </c>
      <c r="W105" s="4" t="str">
        <f>IF(LEN(Table2[[#This Row],[!FK]])&gt;0,Table2[[#This Row],[!FK]],"rg:None")</f>
        <v>History</v>
      </c>
      <c r="X105" s="14" t="str">
        <f>IF(LEN(concatif2(A:A,Table2[[#This Row],[!Table]],G:G,"Y",D:D,",")) &gt; 0,"rg:[ { 'req' : '"&amp;concatif2(A:A,Table2[[#This Row],[!Table]],G:G,"Y",D:D,"' }, { 'req': '")&amp;"'} ]","rg:[]")</f>
        <v>rg:[ { 'req' : 'id'} ]</v>
      </c>
      <c r="Y105" s="4" t="str">
        <f>IF(LEN(Table2[[#This Row],[!Unique]])&gt;0,"rg:True","rg:None")</f>
        <v>rg:None</v>
      </c>
    </row>
    <row r="106" spans="1:25" x14ac:dyDescent="0.3">
      <c r="A106" s="22" t="s">
        <v>200</v>
      </c>
      <c r="B106" s="23" t="s">
        <v>19</v>
      </c>
      <c r="C106" s="18"/>
      <c r="D106" s="23" t="s">
        <v>213</v>
      </c>
      <c r="E106" s="61"/>
      <c r="F106" s="3" t="s">
        <v>156</v>
      </c>
      <c r="G106" s="19"/>
      <c r="H106" s="19"/>
      <c r="I106" s="4" t="str">
        <f t="shared" si="10"/>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links</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seniorityAudit</v>
      </c>
      <c r="V106" s="4" t="str">
        <f>IF(LEN(Table2[[#This Row],[!Description]]) &gt; 0, Table2[[#This Row],[!Description]], "rg:None")</f>
        <v>rg:None</v>
      </c>
      <c r="W106" s="4" t="str">
        <f>IF(LEN(Table2[[#This Row],[!FK]])&gt;0,Table2[[#This Row],[!FK]],"rg:None")</f>
        <v>SeniorityAudit</v>
      </c>
      <c r="X106" s="14" t="str">
        <f>IF(LEN(concatif2(A:A,Table2[[#This Row],[!Table]],G:G,"Y",D:D,",")) &gt; 0,"rg:[ { 'req' : '"&amp;concatif2(A:A,Table2[[#This Row],[!Table]],G:G,"Y",D:D,"' }, { 'req': '")&amp;"'} ]","rg:[]")</f>
        <v>rg:[ { 'req' : 'id'} ]</v>
      </c>
      <c r="Y106" s="4" t="str">
        <f>IF(LEN(Table2[[#This Row],[!Unique]])&gt;0,"rg:True","rg:None")</f>
        <v>rg:None</v>
      </c>
    </row>
    <row r="107" spans="1:25" ht="115.2" x14ac:dyDescent="0.3">
      <c r="A107" s="3" t="s">
        <v>111</v>
      </c>
      <c r="B107" s="3" t="s">
        <v>4</v>
      </c>
      <c r="C107" s="3"/>
      <c r="D107" s="3" t="s">
        <v>111</v>
      </c>
      <c r="E107" s="95" t="s">
        <v>441</v>
      </c>
      <c r="F107" s="3" t="s">
        <v>5</v>
      </c>
      <c r="G107" s="4"/>
      <c r="H107" s="4"/>
      <c r="I107" s="4" t="str">
        <f t="shared" si="10"/>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rg:None</v>
      </c>
      <c r="S107" s="4" t="str">
        <f>IF(Table2[[#This Row],[!Type]]=S$1, S$1,"rg:None")</f>
        <v>table</v>
      </c>
      <c r="T107" s="4" t="str">
        <f>IF(LEN(Table2[[#This Row],[!Length]]) &gt; 0, Table2[[#This Row],[!Length]], "rg:None")</f>
        <v>rg:None</v>
      </c>
      <c r="U107" s="4" t="str">
        <f>IF(LEN(Table2[[#This Row],[!Name]]) &gt; 0, Table2[[#This Row],[!Name]], "rg:None")</f>
        <v>DumpTruck</v>
      </c>
      <c r="V107"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3" t="s">
        <v>111</v>
      </c>
      <c r="B108" s="3" t="s">
        <v>6</v>
      </c>
      <c r="C108" s="3"/>
      <c r="D108" s="3" t="s">
        <v>6</v>
      </c>
      <c r="E108" s="60" t="s">
        <v>324</v>
      </c>
      <c r="F108" s="3" t="s">
        <v>5</v>
      </c>
      <c r="G108" s="4" t="s">
        <v>64</v>
      </c>
      <c r="H108" s="4"/>
      <c r="I108" s="4" t="str">
        <f t="shared" si="10"/>
        <v>Defs</v>
      </c>
      <c r="J108" s="4" t="str">
        <f>IF(Table2[[#This Row],[!Type]]=J$1, J$1,"rg:None")</f>
        <v>rg:None</v>
      </c>
      <c r="K108" s="4" t="str">
        <f>IF(Table2[[#This Row],[!Type]]=K$1, K$1,"rg:None")</f>
        <v>rg:None</v>
      </c>
      <c r="L108" s="4" t="str">
        <f>IF(Table2[[#This Row],[!Type]]=L$1, L$1,"rg:None")</f>
        <v>rg:None</v>
      </c>
      <c r="M108" s="4" t="str">
        <f>IF(Table2[[#This Row],[!Type]]=M$1, M$1,"rg:None")</f>
        <v>id</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id</v>
      </c>
      <c r="V108" s="4" t="str">
        <f>IF(LEN(Table2[[#This Row],[!Description]]) &gt; 0, Table2[[#This Row],[!Description]], "rg:None")</f>
        <v>A system-generated unique identifier for a DumpTruck</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22" t="s">
        <v>111</v>
      </c>
      <c r="B109" s="51" t="s">
        <v>9</v>
      </c>
      <c r="C109" s="3"/>
      <c r="D109" s="51" t="s">
        <v>286</v>
      </c>
      <c r="E109" s="66" t="s">
        <v>296</v>
      </c>
      <c r="F109" s="3" t="s">
        <v>5</v>
      </c>
      <c r="G109" s="4"/>
      <c r="H109" s="4"/>
      <c r="I109" s="4" t="str">
        <f t="shared" si="10"/>
        <v>Defs</v>
      </c>
      <c r="J109" s="4" t="str">
        <f>IF(Table2[[#This Row],[!Type]]=J$1, J$1,"rg:None")</f>
        <v>boolean</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isSingleAxle</v>
      </c>
      <c r="V109" s="4" t="str">
        <f>IF(LEN(Table2[[#This Row],[!Description]]) &gt; 0, Table2[[#This Row],[!Description]], "rg:None")</f>
        <v>True if the vehicle has a single axle. Can be false or null.</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x14ac:dyDescent="0.3">
      <c r="A110" s="3" t="s">
        <v>111</v>
      </c>
      <c r="B110" s="51" t="s">
        <v>9</v>
      </c>
      <c r="C110" s="3"/>
      <c r="D110" s="51" t="s">
        <v>290</v>
      </c>
      <c r="E110" s="66" t="s">
        <v>295</v>
      </c>
      <c r="F110" s="3" t="s">
        <v>5</v>
      </c>
      <c r="G110" s="4"/>
      <c r="H110" s="4"/>
      <c r="I110" s="4" t="str">
        <f t="shared" si="10"/>
        <v>Defs</v>
      </c>
      <c r="J110" s="4" t="str">
        <f>IF(Table2[[#This Row],[!Type]]=J$1, J$1,"rg:None")</f>
        <v>boolean</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isTandemAxle</v>
      </c>
      <c r="V110" s="4" t="str">
        <f>IF(LEN(Table2[[#This Row],[!Description]]) &gt; 0, Table2[[#This Row],[!Description]], "rg:None")</f>
        <v>True if the vehicle has a tandem axle. Can be false or null.</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x14ac:dyDescent="0.3">
      <c r="A111" s="3" t="s">
        <v>111</v>
      </c>
      <c r="B111" s="51" t="s">
        <v>9</v>
      </c>
      <c r="C111" s="3"/>
      <c r="D111" s="51" t="s">
        <v>297</v>
      </c>
      <c r="E111" s="66" t="s">
        <v>298</v>
      </c>
      <c r="F111" s="3" t="s">
        <v>5</v>
      </c>
      <c r="G111" s="4"/>
      <c r="H111" s="4"/>
      <c r="I111" s="4" t="str">
        <f>IF(LEN(A111) &gt; 0,"Defs","-")</f>
        <v>Defs</v>
      </c>
      <c r="J111" s="4" t="str">
        <f>IF(Table2[[#This Row],[!Type]]=J$1, J$1,"rg:None")</f>
        <v>boolean</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isTridem</v>
      </c>
      <c r="V111" s="4" t="str">
        <f>IF(LEN(Table2[[#This Row],[!Description]]) &gt; 0, Table2[[#This Row],[!Description]], "rg:None")</f>
        <v xml:space="preserve">True if the Dump Truck is a tridem - a three axle dump truck. Can be false or null. </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28.8" x14ac:dyDescent="0.3">
      <c r="A112" s="3" t="s">
        <v>111</v>
      </c>
      <c r="B112" s="51" t="s">
        <v>9</v>
      </c>
      <c r="C112" s="3"/>
      <c r="D112" s="51" t="s">
        <v>291</v>
      </c>
      <c r="E112" s="66" t="s">
        <v>292</v>
      </c>
      <c r="F112" s="3" t="s">
        <v>5</v>
      </c>
      <c r="G112" s="4"/>
      <c r="H112" s="4"/>
      <c r="I112" s="4" t="str">
        <f t="shared" si="10"/>
        <v>Defs</v>
      </c>
      <c r="J112" s="4" t="str">
        <f>IF(Table2[[#This Row],[!Type]]=J$1, J$1,"rg:None")</f>
        <v>boolean</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hasPUP</v>
      </c>
      <c r="V112" s="4" t="str">
        <f>IF(LEN(Table2[[#This Row],[!Description]]) &gt; 0, Table2[[#This Row],[!Description]], "rg:None")</f>
        <v>True if the Dump Truck has a PUP trailer - a trailer with it's own hydraulic unloading system. Can be false or null.</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x14ac:dyDescent="0.3">
      <c r="A113" s="3" t="s">
        <v>111</v>
      </c>
      <c r="B113" s="51" t="s">
        <v>9</v>
      </c>
      <c r="C113" s="3"/>
      <c r="D113" s="51" t="s">
        <v>293</v>
      </c>
      <c r="E113" s="66" t="s">
        <v>294</v>
      </c>
      <c r="F113" s="3" t="s">
        <v>5</v>
      </c>
      <c r="G113" s="4"/>
      <c r="H113" s="4"/>
      <c r="I113" s="4" t="str">
        <f t="shared" si="10"/>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hasBellyDump</v>
      </c>
      <c r="V113" s="4" t="str">
        <f>IF(LEN(Table2[[#This Row],[!Description]]) &gt; 0, Table2[[#This Row],[!Description]], "rg:None")</f>
        <v>True if the Dump Truck has a belly dump capability. Can be false or null.</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x14ac:dyDescent="0.3">
      <c r="A114" s="3" t="s">
        <v>111</v>
      </c>
      <c r="B114" s="51" t="s">
        <v>9</v>
      </c>
      <c r="C114" s="3"/>
      <c r="D114" s="51" t="s">
        <v>299</v>
      </c>
      <c r="E114" s="66" t="s">
        <v>300</v>
      </c>
      <c r="F114" s="3" t="s">
        <v>5</v>
      </c>
      <c r="G114" s="4"/>
      <c r="H114" s="4"/>
      <c r="I114" s="4" t="str">
        <f t="shared" si="10"/>
        <v>Defs</v>
      </c>
      <c r="J114" s="4" t="str">
        <f>IF(Table2[[#This Row],[!Type]]=J$1, J$1,"rg:None")</f>
        <v>boolean</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hasRockBox</v>
      </c>
      <c r="V114" s="4" t="str">
        <f>IF(LEN(Table2[[#This Row],[!Description]]) &gt; 0, Table2[[#This Row],[!Description]], "rg:None")</f>
        <v>True if the Dump Truck has a rock box. Can be false or null.</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x14ac:dyDescent="0.3">
      <c r="A115" s="3" t="s">
        <v>111</v>
      </c>
      <c r="B115" s="51" t="s">
        <v>9</v>
      </c>
      <c r="C115" s="3"/>
      <c r="D115" s="51" t="s">
        <v>301</v>
      </c>
      <c r="E115" s="66" t="s">
        <v>302</v>
      </c>
      <c r="F115" s="3" t="s">
        <v>5</v>
      </c>
      <c r="G115" s="4"/>
      <c r="H115" s="4"/>
      <c r="I115" s="4" t="str">
        <f t="shared" si="10"/>
        <v>Defs</v>
      </c>
      <c r="J115" s="4" t="str">
        <f>IF(Table2[[#This Row],[!Type]]=J$1, J$1,"rg:None")</f>
        <v>boolean</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hasHiliftGate</v>
      </c>
      <c r="V115" s="4" t="str">
        <f>IF(LEN(Table2[[#This Row],[!Description]]) &gt; 0, Table2[[#This Row],[!Description]], "rg:None")</f>
        <v>True if the Dump Truck has a high lift gate vs. a traditional gate. Can be false or null.</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x14ac:dyDescent="0.3">
      <c r="A116" s="3" t="s">
        <v>111</v>
      </c>
      <c r="B116" s="51" t="s">
        <v>9</v>
      </c>
      <c r="C116" s="3"/>
      <c r="D116" s="51" t="s">
        <v>303</v>
      </c>
      <c r="E116" s="66" t="s">
        <v>304</v>
      </c>
      <c r="F116" s="3" t="s">
        <v>5</v>
      </c>
      <c r="G116" s="4"/>
      <c r="H116" s="4"/>
      <c r="I116" s="4" t="str">
        <f t="shared" si="10"/>
        <v>Defs</v>
      </c>
      <c r="J116" s="4" t="str">
        <f>IF(Table2[[#This Row],[!Type]]=J$1, J$1,"rg:None")</f>
        <v>boolean</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isWaterTruck</v>
      </c>
      <c r="V116" s="4" t="str">
        <f>IF(LEN(Table2[[#This Row],[!Description]]) &gt; 0, Table2[[#This Row],[!Description]], "rg:None")</f>
        <v xml:space="preserve">True if the Dump Truck is a Water Truck. Can be false or null. </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3" t="s">
        <v>111</v>
      </c>
      <c r="B117" s="51" t="s">
        <v>9</v>
      </c>
      <c r="C117" s="51"/>
      <c r="D117" s="51" t="s">
        <v>305</v>
      </c>
      <c r="E117" s="66" t="s">
        <v>306</v>
      </c>
      <c r="F117" s="3" t="s">
        <v>5</v>
      </c>
      <c r="G117" s="4"/>
      <c r="H117" s="4"/>
      <c r="I117" s="4" t="str">
        <f t="shared" si="10"/>
        <v>Defs</v>
      </c>
      <c r="J117" s="4" t="str">
        <f>IF(Table2[[#This Row],[!Type]]=J$1, J$1,"rg:None")</f>
        <v>boolean</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hasSealcoatHitch</v>
      </c>
      <c r="V117" s="4" t="str">
        <f>IF(LEN(Table2[[#This Row],[!Description]]) &gt; 0, Table2[[#This Row],[!Description]], "rg:None")</f>
        <v>True if the Dump Truck has a hitch for using sealcoat trailers. Can be false or null.</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112</v>
      </c>
      <c r="E118" s="66" t="s">
        <v>307</v>
      </c>
      <c r="F118" s="3" t="s">
        <v>5</v>
      </c>
      <c r="G118" s="4"/>
      <c r="H118" s="4"/>
      <c r="I118" s="4" t="str">
        <f t="shared" si="10"/>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rearAxleSpacing</v>
      </c>
      <c r="V118" s="4" t="str">
        <f>IF(LEN(Table2[[#This Row],[!Description]]) &gt; 0, Table2[[#This Row],[!Description]], "rg:None")</f>
        <v>The spacing of the rear axles, if applicable. Usually in metres.</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113</v>
      </c>
      <c r="E119" s="66" t="s">
        <v>308</v>
      </c>
      <c r="F119" s="3" t="s">
        <v>5</v>
      </c>
      <c r="G119" s="4"/>
      <c r="H119" s="4"/>
      <c r="I119" s="4" t="str">
        <f t="shared" si="10"/>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frontTireSize</v>
      </c>
      <c r="V119" s="4" t="str">
        <f>IF(LEN(Table2[[#This Row],[!Description]]) &gt; 0, Table2[[#This Row],[!Description]], "rg:None")</f>
        <v>The size of of the Front Tires of the Dump Truck.</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114</v>
      </c>
      <c r="E120" s="66" t="s">
        <v>309</v>
      </c>
      <c r="F120" s="3" t="s">
        <v>5</v>
      </c>
      <c r="G120" s="4"/>
      <c r="H120" s="4"/>
      <c r="I120" s="4" t="str">
        <f t="shared" ref="I120:I139" si="11">IF(LEN(A120) &gt; 0,"Defs","-")</f>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frontTireUOM</v>
      </c>
      <c r="V120" s="4" t="str">
        <f>IF(LEN(Table2[[#This Row],[!Description]]) &gt; 0, Table2[[#This Row],[!Description]], "rg:None")</f>
        <v>The Unit of Measure of the Front Tire Size.</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3" t="s">
        <v>111</v>
      </c>
      <c r="B121" s="3" t="s">
        <v>7</v>
      </c>
      <c r="C121" s="3">
        <v>150</v>
      </c>
      <c r="D121" s="3" t="s">
        <v>115</v>
      </c>
      <c r="E121" s="66" t="s">
        <v>310</v>
      </c>
      <c r="F121" s="3" t="s">
        <v>5</v>
      </c>
      <c r="G121" s="4"/>
      <c r="H121" s="4"/>
      <c r="I121" s="4" t="str">
        <f t="shared" si="11"/>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frontAxleCapacity</v>
      </c>
      <c r="V121" s="4" t="str">
        <f>IF(LEN(Table2[[#This Row],[!Description]]) &gt; 0, Table2[[#This Row],[!Description]], "rg:None")</f>
        <v>The rated capacity of the Front Axle.</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3" t="s">
        <v>111</v>
      </c>
      <c r="B122" s="3" t="s">
        <v>7</v>
      </c>
      <c r="C122" s="3">
        <v>150</v>
      </c>
      <c r="D122" s="22" t="s">
        <v>210</v>
      </c>
      <c r="E122" s="66" t="s">
        <v>311</v>
      </c>
      <c r="F122" s="3" t="s">
        <v>5</v>
      </c>
      <c r="G122" s="4"/>
      <c r="H122" s="4"/>
      <c r="I122" s="4" t="str">
        <f t="shared" si="11"/>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rearAxleCapacity</v>
      </c>
      <c r="V122" s="4" t="str">
        <f>IF(LEN(Table2[[#This Row],[!Description]]) &gt; 0, Table2[[#This Row],[!Description]], "rg:None")</f>
        <v>The rated capacity of the Rear Axle.</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x14ac:dyDescent="0.3">
      <c r="A123" s="3" t="s">
        <v>111</v>
      </c>
      <c r="B123" s="3" t="s">
        <v>7</v>
      </c>
      <c r="C123" s="3">
        <v>150</v>
      </c>
      <c r="D123" s="3" t="s">
        <v>116</v>
      </c>
      <c r="E123" s="66" t="s">
        <v>312</v>
      </c>
      <c r="F123" s="3" t="s">
        <v>5</v>
      </c>
      <c r="G123" s="4"/>
      <c r="H123" s="4"/>
      <c r="I123" s="4" t="str">
        <f t="shared" si="11"/>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legalLoad</v>
      </c>
      <c r="V123" s="4" t="str">
        <f>IF(LEN(Table2[[#This Row],[!Description]]) &gt; 0, Table2[[#This Row],[!Description]], "rg:None")</f>
        <v>The legal load of the vehicle in kg.</v>
      </c>
      <c r="W123" s="4" t="str">
        <f>IF(LEN(Table2[[#This Row],[!FK]])&gt;0,Table2[[#This Row],[!FK]],"rg:None")</f>
        <v>rg:None</v>
      </c>
      <c r="X123" s="14" t="str">
        <f>IF(LEN(concatif2(A:A,Table2[[#This Row],[!Table]],G:G,"Y",D:D,",")) &gt; 0,"rg:[ { 'req' : '"&amp;concatif2(A:A,Table2[[#This Row],[!Table]],G:G,"Y",D:D,"' }, { 'req': '")&amp;"'} ]","rg:[]")</f>
        <v>rg:[ { 'req' : 'id'} ]</v>
      </c>
      <c r="Y123" s="4" t="str">
        <f>IF(LEN(Table2[[#This Row],[!Unique]])&gt;0,"rg:True","rg:None")</f>
        <v>rg:None</v>
      </c>
    </row>
    <row r="124" spans="1:25" x14ac:dyDescent="0.3">
      <c r="A124" s="3" t="s">
        <v>111</v>
      </c>
      <c r="B124" s="3" t="s">
        <v>7</v>
      </c>
      <c r="C124" s="3">
        <v>150</v>
      </c>
      <c r="D124" s="3" t="s">
        <v>117</v>
      </c>
      <c r="E124" s="66" t="s">
        <v>313</v>
      </c>
      <c r="F124" s="3" t="s">
        <v>5</v>
      </c>
      <c r="G124" s="4"/>
      <c r="H124" s="4"/>
      <c r="I124" s="4" t="str">
        <f t="shared" si="11"/>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legalCapacity</v>
      </c>
      <c r="V124" s="4" t="str">
        <f>IF(LEN(Table2[[#This Row],[!Description]]) &gt; 0, Table2[[#This Row],[!Description]], "rg:None")</f>
        <v>The legal capacity of the dump truck.</v>
      </c>
      <c r="W124" s="4" t="str">
        <f>IF(LEN(Table2[[#This Row],[!FK]])&gt;0,Table2[[#This Row],[!FK]],"rg:None")</f>
        <v>rg:None</v>
      </c>
      <c r="X124" s="14" t="str">
        <f>IF(LEN(concatif2(A:A,Table2[[#This Row],[!Table]],G:G,"Y",D:D,",")) &gt; 0,"rg:[ { 'req' : '"&amp;concatif2(A:A,Table2[[#This Row],[!Table]],G:G,"Y",D:D,"' }, { 'req': '")&amp;"'} ]","rg:[]")</f>
        <v>rg:[ { 'req' : 'id'} ]</v>
      </c>
      <c r="Y124" s="4" t="str">
        <f>IF(LEN(Table2[[#This Row],[!Unique]])&gt;0,"rg:True","rg:None")</f>
        <v>rg:None</v>
      </c>
    </row>
    <row r="125" spans="1:25" x14ac:dyDescent="0.3">
      <c r="A125" s="3" t="s">
        <v>111</v>
      </c>
      <c r="B125" s="3" t="s">
        <v>7</v>
      </c>
      <c r="C125" s="3">
        <v>150</v>
      </c>
      <c r="D125" s="3" t="s">
        <v>118</v>
      </c>
      <c r="E125" s="66" t="s">
        <v>317</v>
      </c>
      <c r="F125" s="3" t="s">
        <v>5</v>
      </c>
      <c r="G125" s="4"/>
      <c r="H125" s="4"/>
      <c r="I125" s="4" t="str">
        <f t="shared" si="11"/>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legalPUPTareWeight</v>
      </c>
      <c r="V125" s="4" t="str">
        <f>IF(LEN(Table2[[#This Row],[!Description]]) &gt; 0, Table2[[#This Row],[!Description]], "rg:None")</f>
        <v>The legal Tare Weight (weight when unloaded) of the PUP trailer.</v>
      </c>
      <c r="W125" s="4" t="str">
        <f>IF(LEN(Table2[[#This Row],[!FK]])&gt;0,Table2[[#This Row],[!FK]],"rg:None")</f>
        <v>rg:None</v>
      </c>
      <c r="X125" s="14" t="str">
        <f>IF(LEN(concatif2(A:A,Table2[[#This Row],[!Table]],G:G,"Y",D:D,",")) &gt; 0,"rg:[ { 'req' : '"&amp;concatif2(A:A,Table2[[#This Row],[!Table]],G:G,"Y",D:D,"' }, { 'req': '")&amp;"'} ]","rg:[]")</f>
        <v>rg:[ { 'req' : 'id'} ]</v>
      </c>
      <c r="Y125" s="4" t="str">
        <f>IF(LEN(Table2[[#This Row],[!Unique]])&gt;0,"rg:True","rg:None")</f>
        <v>rg:None</v>
      </c>
    </row>
    <row r="126" spans="1:25" ht="43.2" x14ac:dyDescent="0.3">
      <c r="A126" s="3" t="s">
        <v>111</v>
      </c>
      <c r="B126" s="3" t="s">
        <v>7</v>
      </c>
      <c r="C126" s="3">
        <v>150</v>
      </c>
      <c r="D126" s="3" t="s">
        <v>119</v>
      </c>
      <c r="E126" s="66" t="s">
        <v>314</v>
      </c>
      <c r="F126" s="3" t="s">
        <v>5</v>
      </c>
      <c r="G126" s="4"/>
      <c r="H126" s="4"/>
      <c r="I126" s="4" t="str">
        <f t="shared" si="11"/>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licencedGVW</v>
      </c>
      <c r="V126"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26" s="4" t="str">
        <f>IF(LEN(Table2[[#This Row],[!FK]])&gt;0,Table2[[#This Row],[!FK]],"rg:None")</f>
        <v>rg:None</v>
      </c>
      <c r="X126" s="14" t="str">
        <f>IF(LEN(concatif2(A:A,Table2[[#This Row],[!Table]],G:G,"Y",D:D,",")) &gt; 0,"rg:[ { 'req' : '"&amp;concatif2(A:A,Table2[[#This Row],[!Table]],G:G,"Y",D:D,"' }, { 'req': '")&amp;"'} ]","rg:[]")</f>
        <v>rg:[ { 'req' : 'id'} ]</v>
      </c>
      <c r="Y126" s="4" t="str">
        <f>IF(LEN(Table2[[#This Row],[!Unique]])&gt;0,"rg:True","rg:None")</f>
        <v>rg:None</v>
      </c>
    </row>
    <row r="127" spans="1:25" x14ac:dyDescent="0.3">
      <c r="A127" s="3" t="s">
        <v>111</v>
      </c>
      <c r="B127" s="3" t="s">
        <v>7</v>
      </c>
      <c r="C127" s="3">
        <v>150</v>
      </c>
      <c r="D127" s="3" t="s">
        <v>120</v>
      </c>
      <c r="E127" s="66" t="s">
        <v>315</v>
      </c>
      <c r="F127" s="3" t="s">
        <v>5</v>
      </c>
      <c r="G127" s="4"/>
      <c r="H127" s="4"/>
      <c r="I127" s="4" t="str">
        <f t="shared" si="11"/>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licencedGVWUOM</v>
      </c>
      <c r="V127" s="4" t="str">
        <f>IF(LEN(Table2[[#This Row],[!Description]]) &gt; 0, Table2[[#This Row],[!Description]], "rg:None")</f>
        <v>The Unit of Measure (UOM) of the licenced GVW.</v>
      </c>
      <c r="W127" s="4" t="str">
        <f>IF(LEN(Table2[[#This Row],[!FK]])&gt;0,Table2[[#This Row],[!FK]],"rg:None")</f>
        <v>rg:None</v>
      </c>
      <c r="X127" s="14" t="str">
        <f>IF(LEN(concatif2(A:A,Table2[[#This Row],[!Table]],G:G,"Y",D:D,",")) &gt; 0,"rg:[ { 'req' : '"&amp;concatif2(A:A,Table2[[#This Row],[!Table]],G:G,"Y",D:D,"' }, { 'req': '")&amp;"'} ]","rg:[]")</f>
        <v>rg:[ { 'req' : 'id'} ]</v>
      </c>
      <c r="Y127" s="4" t="str">
        <f>IF(LEN(Table2[[#This Row],[!Unique]])&gt;0,"rg:True","rg:None")</f>
        <v>rg:None</v>
      </c>
    </row>
    <row r="128" spans="1:25" x14ac:dyDescent="0.3">
      <c r="A128" s="3" t="s">
        <v>111</v>
      </c>
      <c r="B128" s="3" t="s">
        <v>7</v>
      </c>
      <c r="C128" s="3">
        <v>150</v>
      </c>
      <c r="D128" s="3" t="s">
        <v>121</v>
      </c>
      <c r="E128" s="66" t="s">
        <v>316</v>
      </c>
      <c r="F128" s="3" t="s">
        <v>5</v>
      </c>
      <c r="G128" s="4"/>
      <c r="H128" s="4"/>
      <c r="I128" s="4" t="str">
        <f t="shared" si="11"/>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licencedTareWeight</v>
      </c>
      <c r="V128" s="4" t="str">
        <f>IF(LEN(Table2[[#This Row],[!Description]]) &gt; 0, Table2[[#This Row],[!Description]], "rg:None")</f>
        <v>The licenced Tare Weight (weight when unloaded) of the vehicle.</v>
      </c>
      <c r="W128" s="4" t="str">
        <f>IF(LEN(Table2[[#This Row],[!FK]])&gt;0,Table2[[#This Row],[!FK]],"rg:None")</f>
        <v>rg:None</v>
      </c>
      <c r="X128" s="14" t="str">
        <f>IF(LEN(concatif2(A:A,Table2[[#This Row],[!Table]],G:G,"Y",D:D,",")) &gt; 0,"rg:[ { 'req' : '"&amp;concatif2(A:A,Table2[[#This Row],[!Table]],G:G,"Y",D:D,"' }, { 'req': '")&amp;"'} ]","rg:[]")</f>
        <v>rg:[ { 'req' : 'id'} ]</v>
      </c>
      <c r="Y128" s="4" t="str">
        <f>IF(LEN(Table2[[#This Row],[!Unique]])&gt;0,"rg:True","rg:None")</f>
        <v>rg:None</v>
      </c>
    </row>
    <row r="129" spans="1:25" x14ac:dyDescent="0.3">
      <c r="A129" s="3" t="s">
        <v>111</v>
      </c>
      <c r="B129" s="3" t="s">
        <v>7</v>
      </c>
      <c r="C129" s="3">
        <v>150</v>
      </c>
      <c r="D129" s="3" t="s">
        <v>122</v>
      </c>
      <c r="E129" s="66" t="s">
        <v>318</v>
      </c>
      <c r="F129" s="3" t="s">
        <v>5</v>
      </c>
      <c r="G129" s="4"/>
      <c r="H129" s="4"/>
      <c r="I129" s="4" t="str">
        <f t="shared" si="11"/>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string</v>
      </c>
      <c r="S129" s="4" t="str">
        <f>IF(Table2[[#This Row],[!Type]]=S$1, S$1,"rg:None")</f>
        <v>rg:None</v>
      </c>
      <c r="T129" s="4">
        <f>IF(LEN(Table2[[#This Row],[!Length]]) &gt; 0, Table2[[#This Row],[!Length]], "rg:None")</f>
        <v>150</v>
      </c>
      <c r="U129" s="4" t="str">
        <f>IF(LEN(Table2[[#This Row],[!Name]]) &gt; 0, Table2[[#This Row],[!Name]], "rg:None")</f>
        <v>licencedPUPTareWeight</v>
      </c>
      <c r="V129" s="4" t="str">
        <f>IF(LEN(Table2[[#This Row],[!Description]]) &gt; 0, Table2[[#This Row],[!Description]], "rg:None")</f>
        <v>The licenced Tare Weight (weight when unloaded) of the PUP trailer.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3" t="s">
        <v>111</v>
      </c>
      <c r="B130" s="3" t="s">
        <v>7</v>
      </c>
      <c r="C130" s="3">
        <v>150</v>
      </c>
      <c r="D130" s="3" t="s">
        <v>123</v>
      </c>
      <c r="E130" s="66" t="s">
        <v>319</v>
      </c>
      <c r="F130" s="3" t="s">
        <v>5</v>
      </c>
      <c r="G130" s="4"/>
      <c r="H130" s="4"/>
      <c r="I130" s="4" t="str">
        <f t="shared" si="11"/>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4">
        <f>IF(LEN(Table2[[#This Row],[!Length]]) &gt; 0, Table2[[#This Row],[!Length]], "rg:None")</f>
        <v>150</v>
      </c>
      <c r="U130" s="4" t="str">
        <f>IF(LEN(Table2[[#This Row],[!Name]]) &gt; 0, Table2[[#This Row],[!Name]], "rg:None")</f>
        <v>licencedLoad</v>
      </c>
      <c r="V130" s="4" t="str">
        <f>IF(LEN(Table2[[#This Row],[!Description]]) &gt; 0, Table2[[#This Row],[!Description]], "rg:None")</f>
        <v>The licenced maximum load of the vehicle in kg.</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3" t="s">
        <v>111</v>
      </c>
      <c r="B131" s="3" t="s">
        <v>7</v>
      </c>
      <c r="C131" s="3">
        <v>150</v>
      </c>
      <c r="D131" s="3" t="s">
        <v>124</v>
      </c>
      <c r="E131" s="66" t="s">
        <v>320</v>
      </c>
      <c r="F131" s="3" t="s">
        <v>5</v>
      </c>
      <c r="G131" s="4"/>
      <c r="H131" s="4"/>
      <c r="I131" s="4" t="str">
        <f t="shared" si="11"/>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string</v>
      </c>
      <c r="S131" s="4" t="str">
        <f>IF(Table2[[#This Row],[!Type]]=S$1, S$1,"rg:None")</f>
        <v>rg:None</v>
      </c>
      <c r="T131" s="4">
        <f>IF(LEN(Table2[[#This Row],[!Length]]) &gt; 0, Table2[[#This Row],[!Length]], "rg:None")</f>
        <v>150</v>
      </c>
      <c r="U131" s="4" t="str">
        <f>IF(LEN(Table2[[#This Row],[!Name]]) &gt; 0, Table2[[#This Row],[!Name]], "rg:None")</f>
        <v>licencedCapacity</v>
      </c>
      <c r="V131" s="4" t="str">
        <f>IF(LEN(Table2[[#This Row],[!Description]]) &gt; 0, Table2[[#This Row],[!Description]], "rg:None")</f>
        <v>The licenced maximum capacity of the vehicle.</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ht="28.8" x14ac:dyDescent="0.3">
      <c r="A132" s="3" t="s">
        <v>111</v>
      </c>
      <c r="B132" s="3" t="s">
        <v>7</v>
      </c>
      <c r="C132" s="3">
        <v>150</v>
      </c>
      <c r="D132" s="3" t="s">
        <v>125</v>
      </c>
      <c r="E132" s="68" t="s">
        <v>394</v>
      </c>
      <c r="F132" s="3" t="s">
        <v>5</v>
      </c>
      <c r="G132" s="4"/>
      <c r="H132" s="4"/>
      <c r="I132" s="4" t="str">
        <f t="shared" si="11"/>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150</v>
      </c>
      <c r="U132" s="4" t="str">
        <f>IF(LEN(Table2[[#This Row],[!Name]]) &gt; 0, Table2[[#This Row],[!Name]], "rg:None")</f>
        <v>boxLength</v>
      </c>
      <c r="V132" s="4" t="str">
        <f>IF(LEN(Table2[[#This Row],[!Description]]) &gt; 0, Table2[[#This Row],[!Description]], "rg:None")</f>
        <v>The length of the box, in metres. See - http-//www.bclaws.ca/EPLibraries/bclaws_new/document/ID/freeside/30_7, appendix B</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ht="28.8" x14ac:dyDescent="0.3">
      <c r="A133" s="3" t="s">
        <v>111</v>
      </c>
      <c r="B133" s="3" t="s">
        <v>7</v>
      </c>
      <c r="C133" s="3">
        <v>150</v>
      </c>
      <c r="D133" s="3" t="s">
        <v>126</v>
      </c>
      <c r="E133" s="68" t="s">
        <v>395</v>
      </c>
      <c r="F133" s="3" t="s">
        <v>5</v>
      </c>
      <c r="G133" s="4"/>
      <c r="H133" s="4"/>
      <c r="I133" s="4" t="str">
        <f t="shared" si="11"/>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150</v>
      </c>
      <c r="U133" s="4" t="str">
        <f>IF(LEN(Table2[[#This Row],[!Name]]) &gt; 0, Table2[[#This Row],[!Name]], "rg:None")</f>
        <v>boxWidth</v>
      </c>
      <c r="V133" s="4" t="str">
        <f>IF(LEN(Table2[[#This Row],[!Description]]) &gt; 0, Table2[[#This Row],[!Description]], "rg:None")</f>
        <v>The width of the box, in metres. See - http-//www.bclaws.ca/EPLibraries/bclaws_new/document/ID/freeside/30_7, appendix B</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3" t="s">
        <v>111</v>
      </c>
      <c r="B134" s="3" t="s">
        <v>7</v>
      </c>
      <c r="C134" s="3">
        <v>150</v>
      </c>
      <c r="D134" s="3" t="s">
        <v>127</v>
      </c>
      <c r="E134" s="68" t="s">
        <v>399</v>
      </c>
      <c r="F134" s="3" t="s">
        <v>5</v>
      </c>
      <c r="G134" s="4"/>
      <c r="H134" s="4"/>
      <c r="I134" s="4" t="str">
        <f t="shared" si="11"/>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150</v>
      </c>
      <c r="U134" s="4" t="str">
        <f>IF(LEN(Table2[[#This Row],[!Name]]) &gt; 0, Table2[[#This Row],[!Name]], "rg:None")</f>
        <v>boxHeight</v>
      </c>
      <c r="V134" s="4" t="str">
        <f>IF(LEN(Table2[[#This Row],[!Description]]) &gt; 0, Table2[[#This Row],[!Description]], "rg:None")</f>
        <v>The height of the box, in metres. See- http-//www.bclaws.ca/EPLibraries/bclaws_new/document/ID/freeside/30_7, appendix B</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3" t="s">
        <v>111</v>
      </c>
      <c r="B135" s="3" t="s">
        <v>7</v>
      </c>
      <c r="C135" s="3">
        <v>150</v>
      </c>
      <c r="D135" s="3" t="s">
        <v>128</v>
      </c>
      <c r="E135" s="66" t="s">
        <v>321</v>
      </c>
      <c r="F135" s="3" t="s">
        <v>5</v>
      </c>
      <c r="G135" s="4"/>
      <c r="H135" s="4"/>
      <c r="I135" s="4" t="str">
        <f t="shared" si="11"/>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150</v>
      </c>
      <c r="U135" s="4" t="str">
        <f>IF(LEN(Table2[[#This Row],[!Name]]) &gt; 0, Table2[[#This Row],[!Name]], "rg:None")</f>
        <v>boxCapacity</v>
      </c>
      <c r="V135" s="4" t="str">
        <f>IF(LEN(Table2[[#This Row],[!Description]]) &gt; 0, Table2[[#This Row],[!Description]], "rg:None")</f>
        <v>The capacity of the box.</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ht="28.8" x14ac:dyDescent="0.3">
      <c r="A136" s="3" t="s">
        <v>111</v>
      </c>
      <c r="B136" s="3" t="s">
        <v>7</v>
      </c>
      <c r="C136" s="3">
        <v>150</v>
      </c>
      <c r="D136" s="3" t="s">
        <v>129</v>
      </c>
      <c r="E136" s="68" t="s">
        <v>400</v>
      </c>
      <c r="F136" s="3" t="s">
        <v>5</v>
      </c>
      <c r="G136" s="4"/>
      <c r="H136" s="4"/>
      <c r="I136" s="4" t="str">
        <f t="shared" si="11"/>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4">
        <f>IF(LEN(Table2[[#This Row],[!Length]]) &gt; 0, Table2[[#This Row],[!Length]], "rg:None")</f>
        <v>150</v>
      </c>
      <c r="U136" s="4" t="str">
        <f>IF(LEN(Table2[[#This Row],[!Name]]) &gt; 0, Table2[[#This Row],[!Name]], "rg:None")</f>
        <v>trailerBoxLength</v>
      </c>
      <c r="V136" s="4" t="str">
        <f>IF(LEN(Table2[[#This Row],[!Description]]) &gt; 0, Table2[[#This Row],[!Description]], "rg:None")</f>
        <v>The length of the trailer box, in metres. See www.bclaws.ca/EPLibraries/bclaws_new/document/ID/freeside/30_7, appendix B</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ht="28.8" x14ac:dyDescent="0.3">
      <c r="A137" s="3" t="s">
        <v>111</v>
      </c>
      <c r="B137" s="3" t="s">
        <v>7</v>
      </c>
      <c r="C137" s="3">
        <v>150</v>
      </c>
      <c r="D137" s="3" t="s">
        <v>130</v>
      </c>
      <c r="E137" s="68" t="s">
        <v>401</v>
      </c>
      <c r="F137" s="3" t="s">
        <v>5</v>
      </c>
      <c r="G137" s="4"/>
      <c r="H137" s="4"/>
      <c r="I137" s="4" t="str">
        <f t="shared" si="11"/>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4">
        <f>IF(LEN(Table2[[#This Row],[!Length]]) &gt; 0, Table2[[#This Row],[!Length]], "rg:None")</f>
        <v>150</v>
      </c>
      <c r="U137" s="4" t="str">
        <f>IF(LEN(Table2[[#This Row],[!Name]]) &gt; 0, Table2[[#This Row],[!Name]], "rg:None")</f>
        <v>trailerBoxWidth</v>
      </c>
      <c r="V137" s="4" t="str">
        <f>IF(LEN(Table2[[#This Row],[!Description]]) &gt; 0, Table2[[#This Row],[!Description]], "rg:None")</f>
        <v>The width of the trailer box, in metres. See www.bclaws.ca/EPLibraries/bclaws_new/document/ID/freeside/30_7, appendix B</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ht="28.8" x14ac:dyDescent="0.3">
      <c r="A138" s="3" t="s">
        <v>111</v>
      </c>
      <c r="B138" s="3" t="s">
        <v>7</v>
      </c>
      <c r="C138" s="3">
        <v>150</v>
      </c>
      <c r="D138" s="3" t="s">
        <v>131</v>
      </c>
      <c r="E138" s="68" t="s">
        <v>402</v>
      </c>
      <c r="F138" s="3" t="s">
        <v>5</v>
      </c>
      <c r="G138" s="4"/>
      <c r="H138" s="4"/>
      <c r="I138" s="4" t="str">
        <f t="shared" si="11"/>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4">
        <f>IF(LEN(Table2[[#This Row],[!Length]]) &gt; 0, Table2[[#This Row],[!Length]], "rg:None")</f>
        <v>150</v>
      </c>
      <c r="U138" s="4" t="str">
        <f>IF(LEN(Table2[[#This Row],[!Name]]) &gt; 0, Table2[[#This Row],[!Name]], "rg:None")</f>
        <v>trailerBoxHeight</v>
      </c>
      <c r="V138" s="4" t="str">
        <f>IF(LEN(Table2[[#This Row],[!Description]]) &gt; 0, Table2[[#This Row],[!Description]], "rg:None")</f>
        <v>The height of the trailer box, in metres. See www.bclaws.ca/EPLibraries/bclaws_new/document/ID/freeside/30_7, appendix B</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3" t="s">
        <v>111</v>
      </c>
      <c r="B139" s="3" t="s">
        <v>7</v>
      </c>
      <c r="C139" s="3">
        <v>150</v>
      </c>
      <c r="D139" s="3" t="s">
        <v>132</v>
      </c>
      <c r="E139" s="66" t="s">
        <v>322</v>
      </c>
      <c r="F139" s="3" t="s">
        <v>5</v>
      </c>
      <c r="G139" s="4"/>
      <c r="H139" s="4"/>
      <c r="I139" s="4" t="str">
        <f t="shared" si="11"/>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trailerBoxCapacity</v>
      </c>
      <c r="V139" s="4" t="str">
        <f>IF(LEN(Table2[[#This Row],[!Description]]) &gt; 0, Table2[[#This Row],[!Description]], "rg:None")</f>
        <v>The capacity of the trailer box.</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ht="100.8" x14ac:dyDescent="0.3">
      <c r="A140" s="22" t="s">
        <v>202</v>
      </c>
      <c r="B140" s="3" t="s">
        <v>4</v>
      </c>
      <c r="C140" s="3"/>
      <c r="D140" s="22" t="s">
        <v>202</v>
      </c>
      <c r="E140" s="67" t="s">
        <v>329</v>
      </c>
      <c r="F140" s="3" t="s">
        <v>5</v>
      </c>
      <c r="G140" s="4"/>
      <c r="H140" s="4"/>
      <c r="I140" s="4" t="str">
        <f t="shared" ref="I140:I151" si="12">IF(LEN(A140) &gt; 0,"Defs","-")</f>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table</v>
      </c>
      <c r="T140" s="4" t="str">
        <f>IF(LEN(Table2[[#This Row],[!Length]]) &gt; 0, Table2[[#This Row],[!Length]], "rg:None")</f>
        <v>rg:None</v>
      </c>
      <c r="U140" s="4" t="str">
        <f>IF(LEN(Table2[[#This Row],[!Name]]) &gt; 0, Table2[[#This Row],[!Name]], "rg:None")</f>
        <v>EquipmentType</v>
      </c>
      <c r="V140"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22" t="s">
        <v>202</v>
      </c>
      <c r="B141" s="3" t="s">
        <v>6</v>
      </c>
      <c r="C141" s="3"/>
      <c r="D141" s="3" t="s">
        <v>6</v>
      </c>
      <c r="E141" s="67" t="s">
        <v>330</v>
      </c>
      <c r="F141" s="3" t="s">
        <v>5</v>
      </c>
      <c r="G141" s="4" t="s">
        <v>64</v>
      </c>
      <c r="H141" s="4"/>
      <c r="I141" s="4" t="str">
        <f t="shared" si="12"/>
        <v>Defs</v>
      </c>
      <c r="J141" s="4" t="str">
        <f>IF(Table2[[#This Row],[!Type]]=J$1, J$1,"rg:None")</f>
        <v>rg:None</v>
      </c>
      <c r="K141" s="4" t="str">
        <f>IF(Table2[[#This Row],[!Type]]=K$1, K$1,"rg:None")</f>
        <v>rg:None</v>
      </c>
      <c r="L141" s="4" t="str">
        <f>IF(Table2[[#This Row],[!Type]]=L$1, L$1,"rg:None")</f>
        <v>rg:None</v>
      </c>
      <c r="M141" s="4" t="str">
        <f>IF(Table2[[#This Row],[!Type]]=M$1, M$1,"rg:None")</f>
        <v>id</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id</v>
      </c>
      <c r="V141" s="4" t="str">
        <f>IF(LEN(Table2[[#This Row],[!Description]]) &gt; 0, Table2[[#This Row],[!Description]], "rg:None")</f>
        <v>A system-generated unique identifier for an EquipmentType</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22" t="s">
        <v>202</v>
      </c>
      <c r="B142" s="3" t="s">
        <v>8</v>
      </c>
      <c r="C142" s="3"/>
      <c r="D142" s="22" t="s">
        <v>192</v>
      </c>
      <c r="E142" s="60"/>
      <c r="F142" s="22" t="s">
        <v>160</v>
      </c>
      <c r="G142" s="4"/>
      <c r="H142" s="4"/>
      <c r="I142" s="4" t="str">
        <f t="shared" si="12"/>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ref</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localArea</v>
      </c>
      <c r="V142" s="4" t="str">
        <f>IF(LEN(Table2[[#This Row],[!Description]]) &gt; 0, Table2[[#This Row],[!Description]], "rg:None")</f>
        <v>rg:None</v>
      </c>
      <c r="W142" s="4" t="str">
        <f>IF(LEN(Table2[[#This Row],[!FK]])&gt;0,Table2[[#This Row],[!FK]],"rg:None")</f>
        <v>LocalArea</v>
      </c>
      <c r="X142" s="14" t="str">
        <f>IF(LEN(concatif2(A:A,Table2[[#This Row],[!Table]],G:G,"Y",D:D,",")) &gt; 0,"rg:[ { 'req' : '"&amp;concatif2(A:A,Table2[[#This Row],[!Table]],G:G,"Y",D:D,"' }, { 'req': '")&amp;"'} ]","rg:[]")</f>
        <v>rg:[ { 'req' : 'id'} ]</v>
      </c>
      <c r="Y142" s="4" t="str">
        <f>IF(LEN(Table2[[#This Row],[!Unique]])&gt;0,"rg:True","rg:None")</f>
        <v>rg:None</v>
      </c>
    </row>
    <row r="143" spans="1:25" ht="28.8" x14ac:dyDescent="0.3">
      <c r="A143" s="22" t="s">
        <v>202</v>
      </c>
      <c r="B143" s="3" t="s">
        <v>7</v>
      </c>
      <c r="C143" s="3">
        <v>50</v>
      </c>
      <c r="D143" s="117" t="s">
        <v>15</v>
      </c>
      <c r="E143" s="114" t="s">
        <v>503</v>
      </c>
      <c r="F143" s="3" t="s">
        <v>5</v>
      </c>
      <c r="G143" s="4"/>
      <c r="H143" s="4"/>
      <c r="I143" s="4" t="str">
        <f t="shared" si="12"/>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50</v>
      </c>
      <c r="U143" s="4" t="str">
        <f>IF(LEN(Table2[[#This Row],[!Name]]) &gt; 0, Table2[[#This Row],[!Name]], "rg:None")</f>
        <v>name</v>
      </c>
      <c r="V143" s="4" t="str">
        <f>IF(LEN(Table2[[#This Row],[!Description]]) &gt; 0, Table2[[#This Row],[!Description]], "rg:None")</f>
        <v>A human-friendly name for the Equipment Type that is displayed on screens with limited screen real estate available.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22" t="s">
        <v>202</v>
      </c>
      <c r="B144" s="3" t="s">
        <v>7</v>
      </c>
      <c r="C144" s="3">
        <v>2048</v>
      </c>
      <c r="D144" s="22" t="s">
        <v>14</v>
      </c>
      <c r="E144" s="114" t="s">
        <v>504</v>
      </c>
      <c r="F144" s="3" t="s">
        <v>5</v>
      </c>
      <c r="G144" s="4"/>
      <c r="H144" s="4"/>
      <c r="I144" s="4" t="str">
        <f t="shared" si="12"/>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2048</v>
      </c>
      <c r="U144" s="4" t="str">
        <f>IF(LEN(Table2[[#This Row],[!Name]]) &gt; 0, Table2[[#This Row],[!Name]], "rg:None")</f>
        <v>description</v>
      </c>
      <c r="V144" s="4" t="str">
        <f>IF(LEN(Table2[[#This Row],[!Description]]) &gt; 0, Table2[[#This Row],[!Description]], "rg:None")</f>
        <v>A extended description of the equipment type.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ht="28.8" x14ac:dyDescent="0.3">
      <c r="A145" s="104" t="s">
        <v>202</v>
      </c>
      <c r="B145" s="104" t="s">
        <v>8</v>
      </c>
      <c r="C145" s="18"/>
      <c r="D145" s="104" t="s">
        <v>505</v>
      </c>
      <c r="E145" s="105" t="s">
        <v>506</v>
      </c>
      <c r="F145" s="122" t="s">
        <v>200</v>
      </c>
      <c r="G145" s="19"/>
      <c r="H145" s="19"/>
      <c r="I145" s="4" t="str">
        <f>IF(LEN(A145) &gt; 0,"Defs","-")</f>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4" t="str">
        <f>IF(LEN(Table2[[#This Row],[!Length]]) &gt; 0, Table2[[#This Row],[!Length]], "rg:None")</f>
        <v>rg:None</v>
      </c>
      <c r="U145" s="4" t="str">
        <f>IF(LEN(Table2[[#This Row],[!Name]]) &gt; 0, Table2[[#This Row],[!Name]], "rg:None")</f>
        <v>askNextBlock1</v>
      </c>
      <c r="V145" s="4" t="str">
        <f>IF(LEN(Table2[[#This Row],[!Description]]) &gt; 0, Table2[[#This Row],[!Description]], "rg:None")</f>
        <v>The id of the next piece of Block 1 Equipment to be asked for a Rental Request. Only needed for Block 1 because all requests of other Blocks start from the first entry in the list.</v>
      </c>
      <c r="W145" s="4" t="str">
        <f>IF(LEN(Table2[[#This Row],[!FK]])&gt;0,Table2[[#This Row],[!FK]],"rg:None")</f>
        <v>Equipment</v>
      </c>
      <c r="X145" s="14" t="str">
        <f>IF(LEN(concatif2(A:A,Table2[[#This Row],[!Table]],G:G,"Y",D:D,",")) &gt; 0,"rg:[ { 'req' : '"&amp;concatif2(A:A,Table2[[#This Row],[!Table]],G:G,"Y",D:D,"' }, { 'req': '")&amp;"'} ]","rg:[]")</f>
        <v>rg:[ { 'req' : 'id'} ]</v>
      </c>
      <c r="Y145" s="4" t="str">
        <f>IF(LEN(Table2[[#This Row],[!Unique]])&gt;0,"rg:True","rg:None")</f>
        <v>rg:None</v>
      </c>
    </row>
    <row r="146" spans="1:25" x14ac:dyDescent="0.3">
      <c r="A146" s="22" t="s">
        <v>202</v>
      </c>
      <c r="B146" s="3" t="s">
        <v>110</v>
      </c>
      <c r="C146" s="3"/>
      <c r="D146" s="3" t="s">
        <v>143</v>
      </c>
      <c r="E146" s="94" t="s">
        <v>474</v>
      </c>
      <c r="F146" s="3" t="s">
        <v>5</v>
      </c>
      <c r="G146" s="4"/>
      <c r="H146" s="4"/>
      <c r="I146" s="4" t="str">
        <f t="shared" si="12"/>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float</v>
      </c>
      <c r="P146" s="4" t="str">
        <f>IF(Table2[[#This Row],[!Type]]=P$1, P$1,"rg:None")</f>
        <v>rg:None</v>
      </c>
      <c r="Q146" s="4" t="str">
        <f>IF(Table2[[#This Row],[!Type]]=Q$1, Q$1,"rg:None")</f>
        <v>rg:None</v>
      </c>
      <c r="R146" s="4" t="str">
        <f>IF(Table2[[#This Row],[!Type]]=R$1, R$1,"rg:None")</f>
        <v>rg:None</v>
      </c>
      <c r="S146" s="4" t="str">
        <f>IF(Table2[[#This Row],[!Type]]=S$1, S$1,"rg:None")</f>
        <v>rg:None</v>
      </c>
      <c r="T146" s="4" t="str">
        <f>IF(LEN(Table2[[#This Row],[!Length]]) &gt; 0, Table2[[#This Row],[!Length]], "rg:None")</f>
        <v>rg:None</v>
      </c>
      <c r="U146" s="4" t="str">
        <f>IF(LEN(Table2[[#This Row],[!Name]]) &gt; 0, Table2[[#This Row],[!Name]], "rg:None")</f>
        <v>equipRentalRateNo</v>
      </c>
      <c r="V146" s="4" t="str">
        <f>IF(LEN(Table2[[#This Row],[!Description]]) &gt; 0, Table2[[#This Row],[!Description]], "rg:None")</f>
        <v>TO BE REVIEWED WITH THE BUSINESS - WHAT IS THIS?</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22" t="s">
        <v>202</v>
      </c>
      <c r="B147" s="3" t="s">
        <v>110</v>
      </c>
      <c r="C147" s="3"/>
      <c r="D147" s="3" t="s">
        <v>144</v>
      </c>
      <c r="E147" s="94" t="s">
        <v>474</v>
      </c>
      <c r="F147" s="3" t="s">
        <v>5</v>
      </c>
      <c r="G147" s="4"/>
      <c r="H147" s="4"/>
      <c r="I147" s="4" t="str">
        <f t="shared" si="12"/>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float</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equipRentalRatePage</v>
      </c>
      <c r="V147" s="4" t="str">
        <f>IF(LEN(Table2[[#This Row],[!Description]]) &gt; 0, Table2[[#This Row],[!Description]], "rg:None")</f>
        <v>TO BE REVIEWED WITH THE BUSINESS - WHAT IS THIS?</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x14ac:dyDescent="0.3">
      <c r="A148" s="22" t="s">
        <v>202</v>
      </c>
      <c r="B148" s="3" t="s">
        <v>110</v>
      </c>
      <c r="C148" s="3"/>
      <c r="D148" s="3" t="s">
        <v>145</v>
      </c>
      <c r="E148" s="94" t="s">
        <v>474</v>
      </c>
      <c r="F148" s="3" t="s">
        <v>5</v>
      </c>
      <c r="G148" s="4"/>
      <c r="H148" s="4"/>
      <c r="I148" s="4" t="str">
        <f t="shared" si="12"/>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float</v>
      </c>
      <c r="P148" s="4" t="str">
        <f>IF(Table2[[#This Row],[!Type]]=P$1, P$1,"rg:None")</f>
        <v>rg:None</v>
      </c>
      <c r="Q148" s="4" t="str">
        <f>IF(Table2[[#This Row],[!Type]]=Q$1, Q$1,"rg:None")</f>
        <v>rg:None</v>
      </c>
      <c r="R148" s="4" t="str">
        <f>IF(Table2[[#This Row],[!Type]]=R$1, R$1,"rg:None")</f>
        <v>rg:None</v>
      </c>
      <c r="S148" s="4" t="str">
        <f>IF(Table2[[#This Row],[!Type]]=S$1, S$1,"rg:None")</f>
        <v>rg:None</v>
      </c>
      <c r="T148" s="4" t="str">
        <f>IF(LEN(Table2[[#This Row],[!Length]]) &gt; 0, Table2[[#This Row],[!Length]], "rg:None")</f>
        <v>rg:None</v>
      </c>
      <c r="U148" s="4" t="str">
        <f>IF(LEN(Table2[[#This Row],[!Name]]) &gt; 0, Table2[[#This Row],[!Name]], "rg:None")</f>
        <v>maxHours</v>
      </c>
      <c r="V148" s="4" t="str">
        <f>IF(LEN(Table2[[#This Row],[!Description]]) &gt; 0, Table2[[#This Row],[!Description]], "rg:None")</f>
        <v>TO BE REVIEWED WITH THE BUSINESS - WHAT IS THIS?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22" t="s">
        <v>202</v>
      </c>
      <c r="B149" s="3" t="s">
        <v>110</v>
      </c>
      <c r="C149" s="3"/>
      <c r="D149" s="3" t="s">
        <v>146</v>
      </c>
      <c r="E149" s="94" t="s">
        <v>474</v>
      </c>
      <c r="F149" s="3" t="s">
        <v>5</v>
      </c>
      <c r="G149" s="4"/>
      <c r="H149" s="4"/>
      <c r="I149" s="4" t="str">
        <f t="shared" si="12"/>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float</v>
      </c>
      <c r="P149" s="4" t="str">
        <f>IF(Table2[[#This Row],[!Type]]=P$1, P$1,"rg:None")</f>
        <v>rg:None</v>
      </c>
      <c r="Q149" s="4" t="str">
        <f>IF(Table2[[#This Row],[!Type]]=Q$1, Q$1,"rg:None")</f>
        <v>rg:None</v>
      </c>
      <c r="R149" s="4" t="str">
        <f>IF(Table2[[#This Row],[!Type]]=R$1, R$1,"rg:None")</f>
        <v>rg:None</v>
      </c>
      <c r="S149" s="4" t="str">
        <f>IF(Table2[[#This Row],[!Type]]=S$1, S$1,"rg:None")</f>
        <v>rg:None</v>
      </c>
      <c r="T149" s="4" t="str">
        <f>IF(LEN(Table2[[#This Row],[!Length]]) &gt; 0, Table2[[#This Row],[!Length]], "rg:None")</f>
        <v>rg:None</v>
      </c>
      <c r="U149" s="4" t="str">
        <f>IF(LEN(Table2[[#This Row],[!Name]]) &gt; 0, Table2[[#This Row],[!Name]], "rg:None")</f>
        <v>extendHours</v>
      </c>
      <c r="V149" s="4" t="str">
        <f>IF(LEN(Table2[[#This Row],[!Description]]) &gt; 0, Table2[[#This Row],[!Description]], "rg:None")</f>
        <v>TO BE REVIEWED WITH THE BUSINESS - WHAT IS THIS?</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22" t="s">
        <v>202</v>
      </c>
      <c r="B150" s="3" t="s">
        <v>110</v>
      </c>
      <c r="C150" s="3"/>
      <c r="D150" s="3" t="s">
        <v>147</v>
      </c>
      <c r="E150" s="94" t="s">
        <v>474</v>
      </c>
      <c r="F150" s="3" t="s">
        <v>5</v>
      </c>
      <c r="G150" s="4"/>
      <c r="H150" s="4"/>
      <c r="I150" s="4" t="str">
        <f t="shared" si="12"/>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float</v>
      </c>
      <c r="P150" s="4" t="str">
        <f>IF(Table2[[#This Row],[!Type]]=P$1, P$1,"rg:None")</f>
        <v>rg:None</v>
      </c>
      <c r="Q150" s="4" t="str">
        <f>IF(Table2[[#This Row],[!Type]]=Q$1, Q$1,"rg:None")</f>
        <v>rg:None</v>
      </c>
      <c r="R150" s="4" t="str">
        <f>IF(Table2[[#This Row],[!Type]]=R$1, R$1,"rg:None")</f>
        <v>rg:None</v>
      </c>
      <c r="S150" s="4" t="str">
        <f>IF(Table2[[#This Row],[!Type]]=S$1, S$1,"rg:None")</f>
        <v>rg:None</v>
      </c>
      <c r="T150" s="4" t="str">
        <f>IF(LEN(Table2[[#This Row],[!Length]]) &gt; 0, Table2[[#This Row],[!Length]], "rg:None")</f>
        <v>rg:None</v>
      </c>
      <c r="U150" s="4" t="str">
        <f>IF(LEN(Table2[[#This Row],[!Name]]) &gt; 0, Table2[[#This Row],[!Name]], "rg:None")</f>
        <v>maxHoursSub</v>
      </c>
      <c r="V150" s="4" t="str">
        <f>IF(LEN(Table2[[#This Row],[!Description]]) &gt; 0, Table2[[#This Row],[!Description]], "rg:None")</f>
        <v>TO BE REVIEWED WITH THE BUSINESS - WHAT IS THIS?</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ht="43.2" x14ac:dyDescent="0.3">
      <c r="A151" s="22" t="s">
        <v>202</v>
      </c>
      <c r="B151" s="52" t="s">
        <v>13</v>
      </c>
      <c r="C151" s="3"/>
      <c r="D151" s="92" t="s">
        <v>220</v>
      </c>
      <c r="E151" s="67" t="s">
        <v>331</v>
      </c>
      <c r="F151" s="3" t="s">
        <v>5</v>
      </c>
      <c r="G151" s="4"/>
      <c r="H151" s="4"/>
      <c r="I151" s="4" t="str">
        <f t="shared" si="12"/>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integer</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blocks</v>
      </c>
      <c r="V151"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22" t="s">
        <v>203</v>
      </c>
      <c r="B152" s="3" t="s">
        <v>4</v>
      </c>
      <c r="C152" s="3"/>
      <c r="D152" s="22" t="s">
        <v>203</v>
      </c>
      <c r="E152" s="84" t="s">
        <v>406</v>
      </c>
      <c r="F152" s="3" t="s">
        <v>5</v>
      </c>
      <c r="G152" s="4"/>
      <c r="H152" s="4"/>
      <c r="I152" s="4" t="str">
        <f t="shared" ref="I152:I175" si="13">IF(LEN(A152) &gt; 0,"Defs","-")</f>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table</v>
      </c>
      <c r="T152" s="4" t="str">
        <f>IF(LEN(Table2[[#This Row],[!Length]]) &gt; 0, Table2[[#This Row],[!Length]], "rg:None")</f>
        <v>rg:None</v>
      </c>
      <c r="U152" s="4" t="str">
        <f>IF(LEN(Table2[[#This Row],[!Name]]) &gt; 0, Table2[[#This Row],[!Name]], "rg:None")</f>
        <v>EquipmentAttachment</v>
      </c>
      <c r="V152" s="4" t="str">
        <f>IF(LEN(Table2[[#This Row],[!Description]]) &gt; 0, Table2[[#This Row],[!Description]], "rg:None")</f>
        <v>An Equipment Attachment associated with a piece of Equipment.</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22" t="s">
        <v>203</v>
      </c>
      <c r="B153" s="3" t="s">
        <v>6</v>
      </c>
      <c r="C153" s="3"/>
      <c r="D153" s="3" t="s">
        <v>6</v>
      </c>
      <c r="E153" s="60" t="s">
        <v>328</v>
      </c>
      <c r="F153" s="3" t="s">
        <v>5</v>
      </c>
      <c r="G153" s="4" t="s">
        <v>64</v>
      </c>
      <c r="H153" s="4"/>
      <c r="I153" s="4" t="str">
        <f t="shared" si="13"/>
        <v>Defs</v>
      </c>
      <c r="J153" s="4" t="str">
        <f>IF(Table2[[#This Row],[!Type]]=J$1, J$1,"rg:None")</f>
        <v>rg:None</v>
      </c>
      <c r="K153" s="4" t="str">
        <f>IF(Table2[[#This Row],[!Type]]=K$1, K$1,"rg:None")</f>
        <v>rg:None</v>
      </c>
      <c r="L153" s="4" t="str">
        <f>IF(Table2[[#This Row],[!Type]]=L$1, L$1,"rg:None")</f>
        <v>rg:None</v>
      </c>
      <c r="M153" s="4" t="str">
        <f>IF(Table2[[#This Row],[!Type]]=M$1, M$1,"rg:None")</f>
        <v>id</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id</v>
      </c>
      <c r="V153" s="4" t="str">
        <f>IF(LEN(Table2[[#This Row],[!Description]]) &gt; 0, Table2[[#This Row],[!Description]], "rg:None")</f>
        <v>A system-generated unique identifier for an EquipmentAttachment</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x14ac:dyDescent="0.3">
      <c r="A154" s="22" t="s">
        <v>203</v>
      </c>
      <c r="B154" s="3" t="s">
        <v>8</v>
      </c>
      <c r="C154" s="3"/>
      <c r="D154" s="22" t="s">
        <v>198</v>
      </c>
      <c r="E154" s="60"/>
      <c r="F154" s="22" t="s">
        <v>200</v>
      </c>
      <c r="G154" s="4"/>
      <c r="H154" s="4"/>
      <c r="I154" s="4" t="str">
        <f t="shared" si="13"/>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equipment</v>
      </c>
      <c r="V154" s="4" t="str">
        <f>IF(LEN(Table2[[#This Row],[!Description]]) &gt; 0, Table2[[#This Row],[!Description]], "rg:None")</f>
        <v>rg:None</v>
      </c>
      <c r="W154" s="4" t="str">
        <f>IF(LEN(Table2[[#This Row],[!FK]])&gt;0,Table2[[#This Row],[!FK]],"rg:None")</f>
        <v>Equipment</v>
      </c>
      <c r="X154" s="14" t="str">
        <f>IF(LEN(concatif2(A:A,Table2[[#This Row],[!Table]],G:G,"Y",D:D,",")) &gt; 0,"rg:[ { 'req' : '"&amp;concatif2(A:A,Table2[[#This Row],[!Table]],G:G,"Y",D:D,"' }, { 'req': '")&amp;"'} ]","rg:[]")</f>
        <v>rg:[ { 'req' : 'id'} ]</v>
      </c>
      <c r="Y154" s="4" t="str">
        <f>IF(LEN(Table2[[#This Row],[!Unique]])&gt;0,"rg:True","rg:None")</f>
        <v>rg:None</v>
      </c>
    </row>
    <row r="155" spans="1:25" x14ac:dyDescent="0.3">
      <c r="A155" s="22" t="s">
        <v>203</v>
      </c>
      <c r="B155" s="3" t="s">
        <v>8</v>
      </c>
      <c r="C155" s="3"/>
      <c r="D155" s="22" t="s">
        <v>20</v>
      </c>
      <c r="E155" s="69"/>
      <c r="F155" s="22" t="s">
        <v>205</v>
      </c>
      <c r="G155" s="4"/>
      <c r="H155" s="4"/>
      <c r="I155" s="4" t="str">
        <f t="shared" si="13"/>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type</v>
      </c>
      <c r="V155" s="4" t="str">
        <f>IF(LEN(Table2[[#This Row],[!Description]]) &gt; 0, Table2[[#This Row],[!Description]], "rg:None")</f>
        <v>rg:None</v>
      </c>
      <c r="W155" s="4" t="str">
        <f>IF(LEN(Table2[[#This Row],[!FK]])&gt;0,Table2[[#This Row],[!FK]],"rg:None")</f>
        <v>EquipmentAttachmentType</v>
      </c>
      <c r="X155" s="14" t="str">
        <f>IF(LEN(concatif2(A:A,Table2[[#This Row],[!Table]],G:G,"Y",D:D,",")) &gt; 0,"rg:[ { 'req' : '"&amp;concatif2(A:A,Table2[[#This Row],[!Table]],G:G,"Y",D:D,"' }, { 'req': '")&amp;"'} ]","rg:[]")</f>
        <v>rg:[ { 'req' : 'id'} ]</v>
      </c>
      <c r="Y155" s="4" t="str">
        <f>IF(LEN(Table2[[#This Row],[!Unique]])&gt;0,"rg:True","rg:None")</f>
        <v>rg:None</v>
      </c>
    </row>
    <row r="156" spans="1:25" x14ac:dyDescent="0.3">
      <c r="A156" s="22" t="s">
        <v>203</v>
      </c>
      <c r="B156" s="3" t="s">
        <v>13</v>
      </c>
      <c r="C156" s="3"/>
      <c r="D156" s="22" t="s">
        <v>204</v>
      </c>
      <c r="E156" s="94" t="s">
        <v>474</v>
      </c>
      <c r="F156" s="3" t="s">
        <v>5</v>
      </c>
      <c r="G156" s="4"/>
      <c r="H156" s="4"/>
      <c r="I156" s="4" t="str">
        <f t="shared" si="13"/>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integer</v>
      </c>
      <c r="O156" s="4" t="str">
        <f>IF(Table2[[#This Row],[!Type]]=O$1, O$1,"rg:None")</f>
        <v>rg:None</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seqNum</v>
      </c>
      <c r="V156" s="4" t="str">
        <f>IF(LEN(Table2[[#This Row],[!Description]]) &gt; 0, Table2[[#This Row],[!Description]], "rg:None")</f>
        <v>TO BE REVIEWED WITH THE BUSINESS - WHAT IS THIS?</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22" t="s">
        <v>203</v>
      </c>
      <c r="B157" s="3" t="s">
        <v>7</v>
      </c>
      <c r="C157" s="3">
        <v>2048</v>
      </c>
      <c r="D157" s="22" t="s">
        <v>14</v>
      </c>
      <c r="E157" s="67" t="s">
        <v>323</v>
      </c>
      <c r="F157" s="3" t="s">
        <v>5</v>
      </c>
      <c r="G157" s="4"/>
      <c r="H157" s="4"/>
      <c r="I157" s="4" t="str">
        <f t="shared" si="13"/>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2048</v>
      </c>
      <c r="U157" s="4" t="str">
        <f>IF(LEN(Table2[[#This Row],[!Name]]) &gt; 0, Table2[[#This Row],[!Name]], "rg:None")</f>
        <v>description</v>
      </c>
      <c r="V157" s="4" t="str">
        <f>IF(LEN(Table2[[#This Row],[!Description]]) &gt; 0, Table2[[#This Row],[!Description]], "rg:None")</f>
        <v>A description of the equipment attachment if the Equipment Attachment Type is insufficient.</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x14ac:dyDescent="0.3">
      <c r="A158" s="22" t="s">
        <v>205</v>
      </c>
      <c r="B158" s="3" t="s">
        <v>4</v>
      </c>
      <c r="C158" s="3"/>
      <c r="D158" s="22" t="s">
        <v>205</v>
      </c>
      <c r="E158" s="84" t="s">
        <v>407</v>
      </c>
      <c r="F158" s="3" t="s">
        <v>5</v>
      </c>
      <c r="G158" s="4"/>
      <c r="H158" s="4"/>
      <c r="I158" s="4" t="str">
        <f t="shared" si="13"/>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rg:None</v>
      </c>
      <c r="S158" s="4" t="str">
        <f>IF(Table2[[#This Row],[!Type]]=S$1, S$1,"rg:None")</f>
        <v>table</v>
      </c>
      <c r="T158" s="4" t="str">
        <f>IF(LEN(Table2[[#This Row],[!Length]]) &gt; 0, Table2[[#This Row],[!Length]], "rg:None")</f>
        <v>rg:None</v>
      </c>
      <c r="U158" s="4" t="str">
        <f>IF(LEN(Table2[[#This Row],[!Name]]) &gt; 0, Table2[[#This Row],[!Name]], "rg:None")</f>
        <v>EquipmentAttachmentType</v>
      </c>
      <c r="V158" s="4" t="str">
        <f>IF(LEN(Table2[[#This Row],[!Description]]) &gt; 0, Table2[[#This Row],[!Description]], "rg:None")</f>
        <v>An Equipment Attachment Type.</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x14ac:dyDescent="0.3">
      <c r="A159" s="22" t="s">
        <v>205</v>
      </c>
      <c r="B159" s="3" t="s">
        <v>6</v>
      </c>
      <c r="C159" s="3"/>
      <c r="D159" s="3" t="s">
        <v>6</v>
      </c>
      <c r="E159" s="60" t="s">
        <v>396</v>
      </c>
      <c r="F159" s="3" t="s">
        <v>5</v>
      </c>
      <c r="G159" s="4" t="s">
        <v>64</v>
      </c>
      <c r="H159" s="4"/>
      <c r="I159" s="4" t="str">
        <f t="shared" si="13"/>
        <v>Defs</v>
      </c>
      <c r="J159" s="4" t="str">
        <f>IF(Table2[[#This Row],[!Type]]=J$1, J$1,"rg:None")</f>
        <v>rg:None</v>
      </c>
      <c r="K159" s="4" t="str">
        <f>IF(Table2[[#This Row],[!Type]]=K$1, K$1,"rg:None")</f>
        <v>rg:None</v>
      </c>
      <c r="L159" s="4" t="str">
        <f>IF(Table2[[#This Row],[!Type]]=L$1, L$1,"rg:None")</f>
        <v>rg:None</v>
      </c>
      <c r="M159" s="4" t="str">
        <f>IF(Table2[[#This Row],[!Type]]=M$1, M$1,"rg:None")</f>
        <v>id</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id</v>
      </c>
      <c r="V159" s="4" t="str">
        <f>IF(LEN(Table2[[#This Row],[!Description]]) &gt; 0, Table2[[#This Row],[!Description]], "rg:None")</f>
        <v>A system-generated unique identifier for a EquipmentAttachmentType</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43.2" x14ac:dyDescent="0.3">
      <c r="A160" s="22" t="s">
        <v>205</v>
      </c>
      <c r="B160" s="3" t="s">
        <v>7</v>
      </c>
      <c r="C160" s="3">
        <v>50</v>
      </c>
      <c r="D160" s="22" t="s">
        <v>60</v>
      </c>
      <c r="E160" s="94" t="s">
        <v>475</v>
      </c>
      <c r="F160" s="3" t="s">
        <v>5</v>
      </c>
      <c r="G160" s="19"/>
      <c r="H160" s="19"/>
      <c r="I160" s="4" t="str">
        <f t="shared" si="13"/>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50</v>
      </c>
      <c r="U160" s="4" t="str">
        <f>IF(LEN(Table2[[#This Row],[!Name]]) &gt; 0, Table2[[#This Row],[!Name]], "rg:None")</f>
        <v>code</v>
      </c>
      <c r="V160" s="4" t="str">
        <f>IF(LEN(Table2[[#This Row],[!Description]]) &gt; 0, Table2[[#This Row],[!Description]], "rg:None")</f>
        <v>TO BE REVIEWED WITH THE BUSINESS - IS THIS NEEDED - A unique but human-friendly code for the Equipment Attachment Type that can be displayed on screens with little screen real estate available.</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ht="28.8" x14ac:dyDescent="0.3">
      <c r="A161" s="22" t="s">
        <v>205</v>
      </c>
      <c r="B161" s="3" t="s">
        <v>7</v>
      </c>
      <c r="C161" s="3">
        <v>2048</v>
      </c>
      <c r="D161" s="22" t="s">
        <v>14</v>
      </c>
      <c r="E161" s="67" t="s">
        <v>332</v>
      </c>
      <c r="F161" s="3" t="s">
        <v>5</v>
      </c>
      <c r="G161" s="19"/>
      <c r="H161" s="19"/>
      <c r="I161" s="4" t="str">
        <f t="shared" si="13"/>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2048</v>
      </c>
      <c r="U161" s="4" t="str">
        <f>IF(LEN(Table2[[#This Row],[!Name]]) &gt; 0, Table2[[#This Row],[!Name]], "rg:None")</f>
        <v>description</v>
      </c>
      <c r="V161" s="4" t="str">
        <f>IF(LEN(Table2[[#This Row],[!Description]]) &gt; 0, Table2[[#This Row],[!Description]], "rg:None")</f>
        <v>The name of the equipment attachment type, as specified by the HETS Clerk creating the equipment type.</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86.4" x14ac:dyDescent="0.3">
      <c r="A162" s="3" t="s">
        <v>156</v>
      </c>
      <c r="B162" s="3" t="s">
        <v>4</v>
      </c>
      <c r="C162" s="3"/>
      <c r="D162" s="3" t="s">
        <v>156</v>
      </c>
      <c r="E162" s="67" t="s">
        <v>333</v>
      </c>
      <c r="F162" s="3" t="s">
        <v>5</v>
      </c>
      <c r="G162" s="4"/>
      <c r="H162" s="4"/>
      <c r="I162" s="4" t="str">
        <f t="shared" si="13"/>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SeniorityAudit</v>
      </c>
      <c r="V16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
      <c r="A163" s="3" t="s">
        <v>156</v>
      </c>
      <c r="B163" s="3" t="s">
        <v>6</v>
      </c>
      <c r="C163" s="3"/>
      <c r="D163" s="3" t="s">
        <v>6</v>
      </c>
      <c r="E163" s="60" t="s">
        <v>397</v>
      </c>
      <c r="F163" s="3" t="s">
        <v>5</v>
      </c>
      <c r="G163" s="4" t="s">
        <v>64</v>
      </c>
      <c r="H163" s="4"/>
      <c r="I163" s="4" t="str">
        <f t="shared" si="13"/>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 SeniorityAudit</v>
      </c>
      <c r="W163" s="4" t="str">
        <f>IF(LEN(Table2[[#This Row],[!FK]])&gt;0,Table2[[#This Row],[!FK]],"rg:None")</f>
        <v>rg:None</v>
      </c>
      <c r="X163" s="14" t="str">
        <f>IF(LEN(concatif2(A:A,Table2[[#This Row],[!Table]],G:G,"Y",D:D,",")) &gt; 0,"rg:[ { 'req' : '"&amp;concatif2(A:A,Table2[[#This Row],[!Table]],G:G,"Y",D:D,"' }, { 'req': '")&amp;"'} ]","rg:[]")</f>
        <v>rg:[ { 'req' : 'id'} ]</v>
      </c>
      <c r="Y163" s="4" t="str">
        <f>IF(LEN(Table2[[#This Row],[!Unique]])&gt;0,"rg:True","rg:None")</f>
        <v>rg:None</v>
      </c>
    </row>
    <row r="164" spans="1:25" x14ac:dyDescent="0.3">
      <c r="A164" s="3" t="s">
        <v>156</v>
      </c>
      <c r="B164" s="3" t="s">
        <v>12</v>
      </c>
      <c r="C164" s="3"/>
      <c r="D164" s="88" t="s">
        <v>32</v>
      </c>
      <c r="E164" s="84" t="s">
        <v>466</v>
      </c>
      <c r="F164" s="3" t="s">
        <v>5</v>
      </c>
      <c r="G164" s="4"/>
      <c r="H164" s="4"/>
      <c r="I164" s="4" t="str">
        <f t="shared" si="13"/>
        <v>Defs</v>
      </c>
      <c r="J164" s="4" t="str">
        <f>IF(Table2[[#This Row],[!Type]]=J$1, J$1,"rg:None")</f>
        <v>rg:None</v>
      </c>
      <c r="K164" s="4" t="str">
        <f>IF(Table2[[#This Row],[!Type]]=K$1, K$1,"rg:None")</f>
        <v>rg:None</v>
      </c>
      <c r="L164" s="4" t="str">
        <f>IF(Table2[[#This Row],[!Type]]=L$1, L$1,"rg:None")</f>
        <v>datetime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startDate</v>
      </c>
      <c r="V164" s="4" t="str">
        <f>IF(LEN(Table2[[#This Row],[!Description]]) &gt; 0, Table2[[#This Row],[!Description]], "rg:None")</f>
        <v>The effective date that the Seniority data in this record went into effect.</v>
      </c>
      <c r="W164" s="4" t="str">
        <f>IF(LEN(Table2[[#This Row],[!FK]])&gt;0,Table2[[#This Row],[!FK]],"rg:None")</f>
        <v>rg:None</v>
      </c>
      <c r="X164" s="14" t="str">
        <f>IF(LEN(concatif2(A:A,Table2[[#This Row],[!Table]],G:G,"Y",D:D,",")) &gt; 0,"rg:[ { 'req' : '"&amp;concatif2(A:A,Table2[[#This Row],[!Table]],G:G,"Y",D:D,"' }, { 'req': '")&amp;"'} ]","rg:[]")</f>
        <v>rg:[ { 'req' : 'id'} ]</v>
      </c>
      <c r="Y164" s="4" t="str">
        <f>IF(LEN(Table2[[#This Row],[!Unique]])&gt;0,"rg:True","rg:None")</f>
        <v>rg:None</v>
      </c>
    </row>
    <row r="165" spans="1:25" x14ac:dyDescent="0.3">
      <c r="A165" s="86" t="s">
        <v>156</v>
      </c>
      <c r="B165" s="86" t="s">
        <v>12</v>
      </c>
      <c r="C165" s="18"/>
      <c r="D165" s="86" t="s">
        <v>33</v>
      </c>
      <c r="E165" s="85" t="s">
        <v>467</v>
      </c>
      <c r="F165" s="12"/>
      <c r="G165" s="19"/>
      <c r="H165" s="19"/>
      <c r="I165" s="4" t="str">
        <f>IF(LEN(A165) &gt; 0,"Defs","-")</f>
        <v>Defs</v>
      </c>
      <c r="J165" s="4" t="str">
        <f>IF(Table2[[#This Row],[!Type]]=J$1, J$1,"rg:None")</f>
        <v>rg:None</v>
      </c>
      <c r="K165" s="4" t="str">
        <f>IF(Table2[[#This Row],[!Type]]=K$1, K$1,"rg:None")</f>
        <v>rg:None</v>
      </c>
      <c r="L165" s="4" t="str">
        <f>IF(Table2[[#This Row],[!Type]]=L$1, L$1,"rg:None")</f>
        <v>datetime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endDate</v>
      </c>
      <c r="V165" s="4" t="str">
        <f>IF(LEN(Table2[[#This Row],[!Description]]) &gt; 0, Table2[[#This Row],[!Description]], "rg:None")</f>
        <v>The effective date at which the Seniority data in this record ceased to be in effect.</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x14ac:dyDescent="0.3">
      <c r="A166" s="3" t="s">
        <v>156</v>
      </c>
      <c r="B166" s="3" t="s">
        <v>8</v>
      </c>
      <c r="C166" s="3"/>
      <c r="D166" s="22" t="s">
        <v>192</v>
      </c>
      <c r="E166" s="60"/>
      <c r="F166" s="22" t="s">
        <v>160</v>
      </c>
      <c r="G166" s="4"/>
      <c r="H166" s="4"/>
      <c r="I166" s="4" t="str">
        <f t="shared" si="13"/>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localArea</v>
      </c>
      <c r="V166" s="4" t="str">
        <f>IF(LEN(Table2[[#This Row],[!Description]]) &gt; 0, Table2[[#This Row],[!Description]], "rg:None")</f>
        <v>rg:None</v>
      </c>
      <c r="W166" s="4" t="str">
        <f>IF(LEN(Table2[[#This Row],[!FK]])&gt;0,Table2[[#This Row],[!FK]],"rg:None")</f>
        <v>LocalArea</v>
      </c>
      <c r="X166" s="14" t="str">
        <f>IF(LEN(concatif2(A:A,Table2[[#This Row],[!Table]],G:G,"Y",D:D,",")) &gt; 0,"rg:[ { 'req' : '"&amp;concatif2(A:A,Table2[[#This Row],[!Table]],G:G,"Y",D:D,"' }, { 'req': '")&amp;"'} ]","rg:[]")</f>
        <v>rg:[ { 'req' : 'id'} ]</v>
      </c>
      <c r="Y166" s="4" t="str">
        <f>IF(LEN(Table2[[#This Row],[!Unique]])&gt;0,"rg:True","rg:None")</f>
        <v>rg:None</v>
      </c>
    </row>
    <row r="167" spans="1:25" x14ac:dyDescent="0.3">
      <c r="A167" s="3" t="s">
        <v>156</v>
      </c>
      <c r="B167" s="3" t="s">
        <v>8</v>
      </c>
      <c r="C167" s="3"/>
      <c r="D167" s="22" t="s">
        <v>198</v>
      </c>
      <c r="E167" s="60"/>
      <c r="F167" s="22" t="s">
        <v>200</v>
      </c>
      <c r="G167" s="4"/>
      <c r="H167" s="4"/>
      <c r="I167" s="4" t="str">
        <f t="shared" si="13"/>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ref</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equipment</v>
      </c>
      <c r="V167" s="4" t="str">
        <f>IF(LEN(Table2[[#This Row],[!Description]]) &gt; 0, Table2[[#This Row],[!Description]], "rg:None")</f>
        <v>rg:None</v>
      </c>
      <c r="W167" s="4" t="str">
        <f>IF(LEN(Table2[[#This Row],[!FK]])&gt;0,Table2[[#This Row],[!FK]],"rg:None")</f>
        <v>Equipment</v>
      </c>
      <c r="X167" s="14" t="str">
        <f>IF(LEN(concatif2(A:A,Table2[[#This Row],[!Table]],G:G,"Y",D:D,",")) &gt; 0,"rg:[ { 'req' : '"&amp;concatif2(A:A,Table2[[#This Row],[!Table]],G:G,"Y",D:D,"' }, { 'req': '")&amp;"'} ]","rg:[]")</f>
        <v>rg:[ { 'req' : 'id'} ]</v>
      </c>
      <c r="Y167" s="4" t="str">
        <f>IF(LEN(Table2[[#This Row],[!Unique]])&gt;0,"rg:True","rg:None")</f>
        <v>rg:None</v>
      </c>
    </row>
    <row r="168" spans="1:25" ht="28.8" x14ac:dyDescent="0.3">
      <c r="A168" s="3" t="s">
        <v>156</v>
      </c>
      <c r="B168" s="3" t="s">
        <v>110</v>
      </c>
      <c r="C168" s="3"/>
      <c r="D168" s="22" t="s">
        <v>211</v>
      </c>
      <c r="E168" s="67" t="s">
        <v>336</v>
      </c>
      <c r="F168" s="3" t="s">
        <v>5</v>
      </c>
      <c r="G168" s="4"/>
      <c r="H168" s="4"/>
      <c r="I168" s="4" t="str">
        <f t="shared" si="13"/>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blockNumber</v>
      </c>
      <c r="V168" s="4" t="str">
        <f>IF(LEN(Table2[[#This Row],[!Description]]) &gt; 0, Table2[[#This Row],[!Description]], "rg:None")</f>
        <v>The block number for the piece of equipment as calculated by the Seniority Algorthm for this equipment type in the local area. As currently defined by the business - 1, 2 or Open</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
      <c r="A169" s="3" t="s">
        <v>156</v>
      </c>
      <c r="B169" s="3" t="s">
        <v>8</v>
      </c>
      <c r="C169" s="3"/>
      <c r="D169" s="22" t="s">
        <v>157</v>
      </c>
      <c r="E169" s="60"/>
      <c r="F169" s="22" t="s">
        <v>154</v>
      </c>
      <c r="G169" s="4"/>
      <c r="H169" s="4"/>
      <c r="I169" s="4" t="str">
        <f t="shared" si="13"/>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ref</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owner</v>
      </c>
      <c r="V169" s="4" t="str">
        <f>IF(LEN(Table2[[#This Row],[!Description]]) &gt; 0, Table2[[#This Row],[!Description]], "rg:None")</f>
        <v>rg:None</v>
      </c>
      <c r="W169" s="4" t="str">
        <f>IF(LEN(Table2[[#This Row],[!FK]])&gt;0,Table2[[#This Row],[!FK]],"rg:None")</f>
        <v>Owner</v>
      </c>
      <c r="X169" s="14" t="str">
        <f>IF(LEN(concatif2(A:A,Table2[[#This Row],[!Table]],G:G,"Y",D:D,",")) &gt; 0,"rg:[ { 'req' : '"&amp;concatif2(A:A,Table2[[#This Row],[!Table]],G:G,"Y",D:D,"' }, { 'req': '")&amp;"'} ]","rg:[]")</f>
        <v>rg:[ { 'req' : 'id'} ]</v>
      </c>
      <c r="Y169" s="4" t="str">
        <f>IF(LEN(Table2[[#This Row],[!Unique]])&gt;0,"rg:True","rg:None")</f>
        <v>rg:None</v>
      </c>
    </row>
    <row r="170" spans="1:25" ht="28.8" x14ac:dyDescent="0.3">
      <c r="A170" s="3" t="s">
        <v>156</v>
      </c>
      <c r="B170" s="3" t="s">
        <v>7</v>
      </c>
      <c r="C170" s="3">
        <v>150</v>
      </c>
      <c r="D170" s="88" t="s">
        <v>447</v>
      </c>
      <c r="E170" s="84" t="s">
        <v>448</v>
      </c>
      <c r="F170" s="3" t="s">
        <v>5</v>
      </c>
      <c r="G170" s="4"/>
      <c r="H170" s="4"/>
      <c r="I170" s="4" t="str">
        <f t="shared" si="13"/>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150</v>
      </c>
      <c r="U170" s="4" t="str">
        <f>IF(LEN(Table2[[#This Row],[!Name]]) &gt; 0, Table2[[#This Row],[!Name]], "rg:None")</f>
        <v>ownerOrganizationName</v>
      </c>
      <c r="V170" s="4" t="str">
        <f>IF(LEN(Table2[[#This Row],[!Description]]) &gt; 0, Table2[[#This Row],[!Description]], "rg:None")</f>
        <v>The name of the organization of the owner from the Owner Record, captured at the time this record was created.</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ht="57.6" x14ac:dyDescent="0.3">
      <c r="A171" s="3" t="s">
        <v>156</v>
      </c>
      <c r="B171" s="3" t="s">
        <v>110</v>
      </c>
      <c r="C171" s="3"/>
      <c r="D171" s="3" t="s">
        <v>140</v>
      </c>
      <c r="E171" s="67" t="s">
        <v>334</v>
      </c>
      <c r="F171" s="3" t="s">
        <v>5</v>
      </c>
      <c r="G171" s="4"/>
      <c r="H171" s="4"/>
      <c r="I171" s="4" t="str">
        <f t="shared" si="13"/>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seniority</v>
      </c>
      <c r="V17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ht="28.8" x14ac:dyDescent="0.3">
      <c r="A172" s="3" t="s">
        <v>156</v>
      </c>
      <c r="B172" s="3" t="s">
        <v>110</v>
      </c>
      <c r="C172" s="3"/>
      <c r="D172" s="88" t="s">
        <v>444</v>
      </c>
      <c r="E172" s="67" t="s">
        <v>335</v>
      </c>
      <c r="F172" s="3" t="s">
        <v>5</v>
      </c>
      <c r="G172" s="4"/>
      <c r="H172" s="4"/>
      <c r="I172" s="4" t="str">
        <f t="shared" si="13"/>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serviceHoursCurrentYearToDate</v>
      </c>
      <c r="V172" s="4" t="str">
        <f>IF(LEN(Table2[[#This Row],[!Description]]) &gt; 0, Table2[[#This Row],[!Description]], "rg:None")</f>
        <v>Sum of hours in the current fiscal year's time cards captured at the time this record was created.</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3" t="s">
        <v>156</v>
      </c>
      <c r="B173" s="3" t="s">
        <v>110</v>
      </c>
      <c r="C173" s="3"/>
      <c r="D173" s="51" t="s">
        <v>275</v>
      </c>
      <c r="E173" s="66" t="s">
        <v>276</v>
      </c>
      <c r="F173" s="3" t="s">
        <v>5</v>
      </c>
      <c r="G173" s="4"/>
      <c r="H173" s="4"/>
      <c r="I173" s="4" t="str">
        <f t="shared" si="13"/>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serviceHoursLastYear</v>
      </c>
      <c r="V173" s="4" t="str">
        <f>IF(LEN(Table2[[#This Row],[!Description]]) &gt; 0, Table2[[#This Row],[!Description]], "rg:None")</f>
        <v>Number of hours of service by this piece of equipment in the previous fiscal year</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ht="28.8" x14ac:dyDescent="0.3">
      <c r="A174" s="3" t="s">
        <v>156</v>
      </c>
      <c r="B174" s="3" t="s">
        <v>110</v>
      </c>
      <c r="C174" s="3"/>
      <c r="D174" s="51" t="s">
        <v>277</v>
      </c>
      <c r="E174" s="66" t="s">
        <v>278</v>
      </c>
      <c r="F174" s="3" t="s">
        <v>5</v>
      </c>
      <c r="G174" s="4"/>
      <c r="H174" s="4"/>
      <c r="I174" s="4" t="str">
        <f t="shared" si="13"/>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float</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serviceHoursTwoYearsAgo</v>
      </c>
      <c r="V174" s="4" t="str">
        <f>IF(LEN(Table2[[#This Row],[!Description]]) &gt; 0, Table2[[#This Row],[!Description]], "rg:None")</f>
        <v>Number of hours of service by this piece of equipment in the fiscal year before the last one - e.g. if current year is FY2018 then hours in FY2016</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ht="28.8" x14ac:dyDescent="0.3">
      <c r="A175" s="3" t="s">
        <v>156</v>
      </c>
      <c r="B175" s="3" t="s">
        <v>110</v>
      </c>
      <c r="C175" s="3"/>
      <c r="D175" s="51" t="s">
        <v>280</v>
      </c>
      <c r="E175" s="66" t="s">
        <v>279</v>
      </c>
      <c r="F175" s="3" t="s">
        <v>5</v>
      </c>
      <c r="G175" s="4"/>
      <c r="H175" s="4"/>
      <c r="I175" s="4" t="str">
        <f t="shared" si="13"/>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float</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serviceHoursThreeYearsAgo</v>
      </c>
      <c r="V175" s="4" t="str">
        <f>IF(LEN(Table2[[#This Row],[!Description]]) &gt; 0, Table2[[#This Row],[!Description]], "rg:None")</f>
        <v>Number of hours of service by this piece of equipment in the fiscal year three years ago - e.g. if current year is FY2018 then hours in FY2015</v>
      </c>
      <c r="W175" s="4" t="str">
        <f>IF(LEN(Table2[[#This Row],[!FK]])&gt;0,Table2[[#This Row],[!FK]],"rg:None")</f>
        <v>rg:None</v>
      </c>
      <c r="X175" s="14" t="str">
        <f>IF(LEN(concatif2(A:A,Table2[[#This Row],[!Table]],G:G,"Y",D:D,",")) &gt; 0,"rg:[ { 'req' : '"&amp;concatif2(A:A,Table2[[#This Row],[!Table]],G:G,"Y",D:D,"' }, { 'req': '")&amp;"'} ]","rg:[]")</f>
        <v>rg:[ { 'req' : 'id'} ]</v>
      </c>
      <c r="Y175" s="4" t="str">
        <f>IF(LEN(Table2[[#This Row],[!Unique]])&gt;0,"rg:True","rg:None")</f>
        <v>rg:None</v>
      </c>
    </row>
    <row r="176" spans="1:25" x14ac:dyDescent="0.3">
      <c r="A176" s="3" t="s">
        <v>154</v>
      </c>
      <c r="B176" s="3" t="s">
        <v>4</v>
      </c>
      <c r="C176" s="3"/>
      <c r="D176" s="3" t="s">
        <v>154</v>
      </c>
      <c r="E176" s="84" t="s">
        <v>408</v>
      </c>
      <c r="F176" s="3" t="s">
        <v>5</v>
      </c>
      <c r="G176" s="4"/>
      <c r="H176" s="4"/>
      <c r="I176" s="4" t="str">
        <f t="shared" ref="I176:I190" si="14">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Owner</v>
      </c>
      <c r="V176" s="4" t="str">
        <f>IF(LEN(Table2[[#This Row],[!Description]]) &gt; 0, Table2[[#This Row],[!Description]], "rg:None")</f>
        <v>The person or company to which a piece of construction equipment belongs.</v>
      </c>
      <c r="W176" s="4" t="str">
        <f>IF(LEN(Table2[[#This Row],[!FK]])&gt;0,Table2[[#This Row],[!FK]],"rg:None")</f>
        <v>rg:None</v>
      </c>
      <c r="X176" s="14" t="str">
        <f>IF(LEN(concatif2(A:A,Table2[[#This Row],[!Table]],G:G,"Y",D:D,",")) &gt; 0,"rg:[ { 'req' : '"&amp;concatif2(A:A,Table2[[#This Row],[!Table]],G:G,"Y",D:D,"' }, { 'req': '")&amp;"'} ]","rg:[]")</f>
        <v>rg:[ { 'req' : 'id' }, { 'req': 'ownerEquipmentCodePrefix'} ]</v>
      </c>
      <c r="Y176" s="4" t="str">
        <f>IF(LEN(Table2[[#This Row],[!Unique]])&gt;0,"rg:True","rg:None")</f>
        <v>rg:None</v>
      </c>
    </row>
    <row r="177" spans="1:25" x14ac:dyDescent="0.3">
      <c r="A177" s="3" t="s">
        <v>154</v>
      </c>
      <c r="B177" s="3" t="s">
        <v>6</v>
      </c>
      <c r="C177" s="3"/>
      <c r="D177" s="3" t="s">
        <v>6</v>
      </c>
      <c r="E177" s="60" t="s">
        <v>398</v>
      </c>
      <c r="F177" s="3" t="s">
        <v>5</v>
      </c>
      <c r="G177" s="4" t="s">
        <v>64</v>
      </c>
      <c r="H177" s="89" t="s">
        <v>64</v>
      </c>
      <c r="I177" s="4" t="str">
        <f t="shared" si="14"/>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A system-generated unique identifier for a Owner</v>
      </c>
      <c r="W177" s="4" t="str">
        <f>IF(LEN(Table2[[#This Row],[!FK]])&gt;0,Table2[[#This Row],[!FK]],"rg:None")</f>
        <v>rg:None</v>
      </c>
      <c r="X177" s="14" t="str">
        <f>IF(LEN(concatif2(A:A,Table2[[#This Row],[!Table]],G:G,"Y",D:D,",")) &gt; 0,"rg:[ { 'req' : '"&amp;concatif2(A:A,Table2[[#This Row],[!Table]],G:G,"Y",D:D,"' }, { 'req': '")&amp;"'} ]","rg:[]")</f>
        <v>rg:[ { 'req' : 'id' }, { 'req': 'ownerEquipmentCodePrefix'} ]</v>
      </c>
      <c r="Y177" s="4" t="str">
        <f>IF(LEN(Table2[[#This Row],[!Unique]])&gt;0,"rg:True","rg:None")</f>
        <v>rg:True</v>
      </c>
    </row>
    <row r="178" spans="1:25" ht="43.2" x14ac:dyDescent="0.3">
      <c r="A178" s="3" t="s">
        <v>154</v>
      </c>
      <c r="B178" s="3" t="s">
        <v>7</v>
      </c>
      <c r="C178" s="3">
        <v>20</v>
      </c>
      <c r="D178" s="92" t="s">
        <v>470</v>
      </c>
      <c r="E178" s="68" t="s">
        <v>337</v>
      </c>
      <c r="F178" s="3" t="s">
        <v>5</v>
      </c>
      <c r="G178" s="89" t="s">
        <v>64</v>
      </c>
      <c r="H178" s="89" t="s">
        <v>64</v>
      </c>
      <c r="I178" s="4" t="str">
        <f t="shared" si="14"/>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20</v>
      </c>
      <c r="U178" s="4" t="str">
        <f>IF(LEN(Table2[[#This Row],[!Name]]) &gt; 0, Table2[[#This Row],[!Name]], "rg:None")</f>
        <v>ownerEquipmentCodePrefix</v>
      </c>
      <c r="V17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78" s="4" t="str">
        <f>IF(LEN(Table2[[#This Row],[!FK]])&gt;0,Table2[[#This Row],[!FK]],"rg:None")</f>
        <v>rg:None</v>
      </c>
      <c r="X178" s="14" t="str">
        <f>IF(LEN(concatif2(A:A,Table2[[#This Row],[!Table]],G:G,"Y",D:D,",")) &gt; 0,"rg:[ { 'req' : '"&amp;concatif2(A:A,Table2[[#This Row],[!Table]],G:G,"Y",D:D,"' }, { 'req': '")&amp;"'} ]","rg:[]")</f>
        <v>rg:[ { 'req' : 'id' }, { 'req': 'ownerEquipmentCodePrefix'} ]</v>
      </c>
      <c r="Y178" s="4" t="str">
        <f>IF(LEN(Table2[[#This Row],[!Unique]])&gt;0,"rg:True","rg:None")</f>
        <v>rg:True</v>
      </c>
    </row>
    <row r="179" spans="1:25" ht="28.8" x14ac:dyDescent="0.3">
      <c r="A179" s="86" t="s">
        <v>154</v>
      </c>
      <c r="B179" s="86" t="s">
        <v>7</v>
      </c>
      <c r="C179" s="18">
        <v>150</v>
      </c>
      <c r="D179" s="86" t="s">
        <v>445</v>
      </c>
      <c r="E179" s="85" t="s">
        <v>446</v>
      </c>
      <c r="F179" s="12"/>
      <c r="G179" s="19"/>
      <c r="H179" s="19"/>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150</v>
      </c>
      <c r="U179" s="4" t="str">
        <f>IF(LEN(Table2[[#This Row],[!Name]]) &gt; 0, Table2[[#This Row],[!Name]], "rg:None")</f>
        <v>organizationName</v>
      </c>
      <c r="V179" s="4" t="str">
        <f>IF(LEN(Table2[[#This Row],[!Description]]) &gt; 0, Table2[[#This Row],[!Description]], "rg:None")</f>
        <v>The name of the organization of the Owner. May simply be the First Name, Last Name of the Owner if the Owner is a sole proprietorship, or the name of a company.</v>
      </c>
      <c r="W179" s="4" t="str">
        <f>IF(LEN(Table2[[#This Row],[!FK]])&gt;0,Table2[[#This Row],[!FK]],"rg:None")</f>
        <v>rg:None</v>
      </c>
      <c r="X179" s="14" t="str">
        <f>IF(LEN(concatif2(A:A,Table2[[#This Row],[!Table]],G:G,"Y",D:D,",")) &gt; 0,"rg:[ { 'req' : '"&amp;concatif2(A:A,Table2[[#This Row],[!Table]],G:G,"Y",D:D,"' }, { 'req': '")&amp;"'} ]","rg:[]")</f>
        <v>rg:[ { 'req' : 'id' }, { 'req': 'ownerEquipmentCodePrefix'} ]</v>
      </c>
      <c r="Y179" s="4" t="str">
        <f>IF(LEN(Table2[[#This Row],[!Unique]])&gt;0,"rg:True","rg:None")</f>
        <v>rg:None</v>
      </c>
    </row>
    <row r="180" spans="1:25" ht="28.8" x14ac:dyDescent="0.3">
      <c r="A180" s="99" t="s">
        <v>154</v>
      </c>
      <c r="B180" s="99" t="s">
        <v>7</v>
      </c>
      <c r="C180" s="18">
        <v>150</v>
      </c>
      <c r="D180" s="102" t="s">
        <v>483</v>
      </c>
      <c r="E180" s="100" t="s">
        <v>484</v>
      </c>
      <c r="F180" s="12"/>
      <c r="G180" s="19"/>
      <c r="H180" s="19"/>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150</v>
      </c>
      <c r="U180" s="4" t="str">
        <f>IF(LEN(Table2[[#This Row],[!Name]]) &gt; 0, Table2[[#This Row],[!Name]], "rg:None")</f>
        <v>doingBusinessAs</v>
      </c>
      <c r="V180" s="4" t="str">
        <f>IF(LEN(Table2[[#This Row],[!Description]]) &gt; 0, Table2[[#This Row],[!Description]], "rg:None")</f>
        <v xml:space="preserve">An official (per BC Registries) alternate name for an Owner organization under which it does business. The application does not verify the name against any registry/lookup. </v>
      </c>
      <c r="W180" s="4" t="str">
        <f>IF(LEN(Table2[[#This Row],[!FK]])&gt;0,Table2[[#This Row],[!FK]],"rg:None")</f>
        <v>rg:None</v>
      </c>
      <c r="X180" s="14" t="str">
        <f>IF(LEN(concatif2(A:A,Table2[[#This Row],[!Table]],G:G,"Y",D:D,",")) &gt; 0,"rg:[ { 'req' : '"&amp;concatif2(A:A,Table2[[#This Row],[!Table]],G:G,"Y",D:D,"' }, { 'req': '")&amp;"'} ]","rg:[]")</f>
        <v>rg:[ { 'req' : 'id' }, { 'req': 'ownerEquipmentCodePrefix'} ]</v>
      </c>
      <c r="Y180" s="4" t="str">
        <f>IF(LEN(Table2[[#This Row],[!Unique]])&gt;0,"rg:True","rg:None")</f>
        <v>rg:None</v>
      </c>
    </row>
    <row r="181" spans="1:25" ht="28.8" x14ac:dyDescent="0.3">
      <c r="A181" s="99" t="s">
        <v>154</v>
      </c>
      <c r="B181" s="99" t="s">
        <v>7</v>
      </c>
      <c r="C181" s="18">
        <v>150</v>
      </c>
      <c r="D181" s="102" t="s">
        <v>492</v>
      </c>
      <c r="E181" s="100" t="s">
        <v>485</v>
      </c>
      <c r="F181" s="12"/>
      <c r="G181" s="19"/>
      <c r="H181" s="19"/>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150</v>
      </c>
      <c r="U181" s="4" t="str">
        <f>IF(LEN(Table2[[#This Row],[!Name]]) &gt; 0, Table2[[#This Row],[!Name]], "rg:None")</f>
        <v>registeredCompanyNumber</v>
      </c>
      <c r="V181" s="4" t="str">
        <f>IF(LEN(Table2[[#This Row],[!Description]]) &gt; 0, Table2[[#This Row],[!Description]], "rg:None")</f>
        <v>The BC Registries number under which the business is registered.  The application does not verify the number against any registry/lookup.</v>
      </c>
      <c r="W181" s="4" t="str">
        <f>IF(LEN(Table2[[#This Row],[!FK]])&gt;0,Table2[[#This Row],[!FK]],"rg:None")</f>
        <v>rg:None</v>
      </c>
      <c r="X181" s="14" t="str">
        <f>IF(LEN(concatif2(A:A,Table2[[#This Row],[!Table]],G:G,"Y",D:D,",")) &gt; 0,"rg:[ { 'req' : '"&amp;concatif2(A:A,Table2[[#This Row],[!Table]],G:G,"Y",D:D,"' }, { 'req': '")&amp;"'} ]","rg:[]")</f>
        <v>rg:[ { 'req' : 'id' }, { 'req': 'ownerEquipmentCodePrefix'} ]</v>
      </c>
      <c r="Y181" s="4" t="str">
        <f>IF(LEN(Table2[[#This Row],[!Unique]])&gt;0,"rg:True","rg:None")</f>
        <v>rg:None</v>
      </c>
    </row>
    <row r="182" spans="1:25" ht="43.2" x14ac:dyDescent="0.3">
      <c r="A182" s="99" t="s">
        <v>154</v>
      </c>
      <c r="B182" s="99" t="s">
        <v>9</v>
      </c>
      <c r="C182" s="18"/>
      <c r="D182" s="102" t="s">
        <v>491</v>
      </c>
      <c r="E182" s="100" t="s">
        <v>486</v>
      </c>
      <c r="F182" s="12"/>
      <c r="G182" s="19"/>
      <c r="H182" s="19"/>
      <c r="I182" s="4" t="str">
        <f>IF(LEN(A182) &gt; 0,"Defs","-")</f>
        <v>Defs</v>
      </c>
      <c r="J182" s="4" t="str">
        <f>IF(Table2[[#This Row],[!Type]]=J$1, J$1,"rg:None")</f>
        <v>boolean</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meetsResidency</v>
      </c>
      <c r="V18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182" s="4" t="str">
        <f>IF(LEN(Table2[[#This Row],[!FK]])&gt;0,Table2[[#This Row],[!FK]],"rg:None")</f>
        <v>rg:None</v>
      </c>
      <c r="X182" s="14" t="str">
        <f>IF(LEN(concatif2(A:A,Table2[[#This Row],[!Table]],G:G,"Y",D:D,",")) &gt; 0,"rg:[ { 'req' : '"&amp;concatif2(A:A,Table2[[#This Row],[!Table]],G:G,"Y",D:D,"' }, { 'req': '")&amp;"'} ]","rg:[]")</f>
        <v>rg:[ { 'req' : 'id' }, { 'req': 'ownerEquipmentCodePrefix'} ]</v>
      </c>
      <c r="Y182" s="4" t="str">
        <f>IF(LEN(Table2[[#This Row],[!Unique]])&gt;0,"rg:True","rg:None")</f>
        <v>rg:None</v>
      </c>
    </row>
    <row r="183" spans="1:25" x14ac:dyDescent="0.3">
      <c r="A183" s="3" t="s">
        <v>154</v>
      </c>
      <c r="B183" s="25" t="s">
        <v>8</v>
      </c>
      <c r="C183" s="18"/>
      <c r="D183" s="25" t="s">
        <v>214</v>
      </c>
      <c r="E183" s="70" t="s">
        <v>215</v>
      </c>
      <c r="F183" s="28" t="s">
        <v>185</v>
      </c>
      <c r="G183" s="19"/>
      <c r="H183" s="19"/>
      <c r="I183" s="4" t="str">
        <f t="shared" si="14"/>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primaryContact</v>
      </c>
      <c r="V183" s="4" t="str">
        <f>IF(LEN(Table2[[#This Row],[!Description]]) &gt; 0, Table2[[#This Row],[!Description]], "rg:None")</f>
        <v>Link to the designated Primary Contact.</v>
      </c>
      <c r="W183" s="4" t="str">
        <f>IF(LEN(Table2[[#This Row],[!FK]])&gt;0,Table2[[#This Row],[!FK]],"rg:None")</f>
        <v>Contact</v>
      </c>
      <c r="X183" s="14" t="str">
        <f>IF(LEN(concatif2(A:A,Table2[[#This Row],[!Table]],G:G,"Y",D:D,",")) &gt; 0,"rg:[ { 'req' : '"&amp;concatif2(A:A,Table2[[#This Row],[!Table]],G:G,"Y",D:D,"' }, { 'req': '")&amp;"'} ]","rg:[]")</f>
        <v>rg:[ { 'req' : 'id' }, { 'req': 'ownerEquipmentCodePrefix'} ]</v>
      </c>
      <c r="Y183" s="4" t="str">
        <f>IF(LEN(Table2[[#This Row],[!Unique]])&gt;0,"rg:True","rg:None")</f>
        <v>rg:None</v>
      </c>
    </row>
    <row r="184" spans="1:25" x14ac:dyDescent="0.3">
      <c r="A184" s="3" t="s">
        <v>154</v>
      </c>
      <c r="B184" s="52" t="s">
        <v>8</v>
      </c>
      <c r="C184" s="3"/>
      <c r="D184" s="52" t="s">
        <v>192</v>
      </c>
      <c r="E184" s="60"/>
      <c r="F184" s="52" t="s">
        <v>160</v>
      </c>
      <c r="G184" s="4"/>
      <c r="H184" s="4"/>
      <c r="I184" s="4"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localArea</v>
      </c>
      <c r="V184" s="4" t="str">
        <f>IF(LEN(Table2[[#This Row],[!Description]]) &gt; 0, Table2[[#This Row],[!Description]], "rg:None")</f>
        <v>rg:None</v>
      </c>
      <c r="W184" s="4" t="str">
        <f>IF(LEN(Table2[[#This Row],[!FK]])&gt;0,Table2[[#This Row],[!FK]],"rg:None")</f>
        <v>LocalArea</v>
      </c>
      <c r="X184" s="14" t="str">
        <f>IF(LEN(concatif2(A:A,Table2[[#This Row],[!Table]],G:G,"Y",D:D,",")) &gt; 0,"rg:[ { 'req' : '"&amp;concatif2(A:A,Table2[[#This Row],[!Table]],G:G,"Y",D:D,"' }, { 'req': '")&amp;"'} ]","rg:[]")</f>
        <v>rg:[ { 'req' : 'id' }, { 'req': 'ownerEquipmentCodePrefix'} ]</v>
      </c>
      <c r="Y184" s="4" t="str">
        <f>IF(LEN(Table2[[#This Row],[!Unique]])&gt;0,"rg:True","rg:None")</f>
        <v>rg:None</v>
      </c>
    </row>
    <row r="185" spans="1:25" ht="28.8" x14ac:dyDescent="0.3">
      <c r="A185" s="3" t="s">
        <v>154</v>
      </c>
      <c r="B185" s="52" t="s">
        <v>9</v>
      </c>
      <c r="C185" s="3"/>
      <c r="D185" s="52" t="s">
        <v>338</v>
      </c>
      <c r="E185" s="67" t="s">
        <v>339</v>
      </c>
      <c r="F185" s="3" t="s">
        <v>5</v>
      </c>
      <c r="G185" s="4"/>
      <c r="H185" s="4"/>
      <c r="I185" s="4" t="str">
        <f t="shared" si="14"/>
        <v>Defs</v>
      </c>
      <c r="J185" s="4" t="str">
        <f>IF(Table2[[#This Row],[!Type]]=J$1, J$1,"rg:None")</f>
        <v>boolean</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isMaintenanceContractor</v>
      </c>
      <c r="V185" s="4" t="str">
        <f>IF(LEN(Table2[[#This Row],[!Description]]) &gt; 0, Table2[[#This Row],[!Description]], "rg:None")</f>
        <v>True if the owner is contracted by MOTI to handle Maintenance activities in the area - e.g. provided services in address unscheduled issues on the roads in the area.</v>
      </c>
      <c r="W185" s="4" t="str">
        <f>IF(LEN(Table2[[#This Row],[!FK]])&gt;0,Table2[[#This Row],[!FK]],"rg:None")</f>
        <v>rg:None</v>
      </c>
      <c r="X185" s="14" t="str">
        <f>IF(LEN(concatif2(A:A,Table2[[#This Row],[!Table]],G:G,"Y",D:D,",")) &gt; 0,"rg:[ { 'req' : '"&amp;concatif2(A:A,Table2[[#This Row],[!Table]],G:G,"Y",D:D,"' }, { 'req': '")&amp;"'} ]","rg:[]")</f>
        <v>rg:[ { 'req' : 'id' }, { 'req': 'ownerEquipmentCodePrefix'} ]</v>
      </c>
      <c r="Y185" s="4" t="str">
        <f>IF(LEN(Table2[[#This Row],[!Unique]])&gt;0,"rg:True","rg:None")</f>
        <v>rg:None</v>
      </c>
    </row>
    <row r="186" spans="1:25" x14ac:dyDescent="0.3">
      <c r="A186" s="3" t="s">
        <v>154</v>
      </c>
      <c r="B186" s="22" t="s">
        <v>12</v>
      </c>
      <c r="C186" s="3"/>
      <c r="D186" s="22" t="s">
        <v>193</v>
      </c>
      <c r="E186" s="67" t="s">
        <v>340</v>
      </c>
      <c r="F186" s="3" t="s">
        <v>5</v>
      </c>
      <c r="G186" s="4"/>
      <c r="H186" s="4"/>
      <c r="I186" s="4" t="str">
        <f t="shared" si="14"/>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WCBExpiryDate</v>
      </c>
      <c r="V186" s="4" t="str">
        <f>IF(LEN(Table2[[#This Row],[!Description]]) &gt; 0, Table2[[#This Row],[!Description]], "rg:None")</f>
        <v>The expiration of the owner's current WCB permit.</v>
      </c>
      <c r="W186" s="4" t="str">
        <f>IF(LEN(Table2[[#This Row],[!FK]])&gt;0,Table2[[#This Row],[!FK]],"rg:None")</f>
        <v>rg:None</v>
      </c>
      <c r="X186" s="14" t="str">
        <f>IF(LEN(concatif2(A:A,Table2[[#This Row],[!Table]],G:G,"Y",D:D,",")) &gt; 0,"rg:[ { 'req' : '"&amp;concatif2(A:A,Table2[[#This Row],[!Table]],G:G,"Y",D:D,"' }, { 'req': '")&amp;"'} ]","rg:[]")</f>
        <v>rg:[ { 'req' : 'id' }, { 'req': 'ownerEquipmentCodePrefix'} ]</v>
      </c>
      <c r="Y186" s="4" t="str">
        <f>IF(LEN(Table2[[#This Row],[!Unique]])&gt;0,"rg:True","rg:None")</f>
        <v>rg:None</v>
      </c>
    </row>
    <row r="187" spans="1:25" ht="57.6" x14ac:dyDescent="0.3">
      <c r="A187" s="3" t="s">
        <v>154</v>
      </c>
      <c r="B187" s="22" t="s">
        <v>12</v>
      </c>
      <c r="C187" s="3"/>
      <c r="D187" s="22" t="s">
        <v>194</v>
      </c>
      <c r="E187" s="67" t="s">
        <v>341</v>
      </c>
      <c r="F187" s="3" t="s">
        <v>5</v>
      </c>
      <c r="G187" s="4"/>
      <c r="H187" s="4"/>
      <c r="I187" s="4" t="str">
        <f t="shared" si="14"/>
        <v>Defs</v>
      </c>
      <c r="J187" s="4" t="str">
        <f>IF(Table2[[#This Row],[!Type]]=J$1, J$1,"rg:None")</f>
        <v>rg:None</v>
      </c>
      <c r="K187" s="4" t="str">
        <f>IF(Table2[[#This Row],[!Type]]=K$1, K$1,"rg:None")</f>
        <v>rg:None</v>
      </c>
      <c r="L187" s="4" t="str">
        <f>IF(Table2[[#This Row],[!Type]]=L$1, L$1,"rg:None")</f>
        <v>datetime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CGLEndDate</v>
      </c>
      <c r="V18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87" s="4" t="str">
        <f>IF(LEN(Table2[[#This Row],[!FK]])&gt;0,Table2[[#This Row],[!FK]],"rg:None")</f>
        <v>rg:None</v>
      </c>
      <c r="X187" s="14" t="str">
        <f>IF(LEN(concatif2(A:A,Table2[[#This Row],[!Table]],G:G,"Y",D:D,",")) &gt; 0,"rg:[ { 'req' : '"&amp;concatif2(A:A,Table2[[#This Row],[!Table]],G:G,"Y",D:D,"' }, { 'req': '")&amp;"'} ]","rg:[]")</f>
        <v>rg:[ { 'req' : 'id' }, { 'req': 'ownerEquipmentCodePrefix'} ]</v>
      </c>
      <c r="Y187" s="4" t="str">
        <f>IF(LEN(Table2[[#This Row],[!Unique]])&gt;0,"rg:True","rg:None")</f>
        <v>rg:None</v>
      </c>
    </row>
    <row r="188" spans="1:25" ht="57.6" x14ac:dyDescent="0.3">
      <c r="A188" s="3" t="s">
        <v>154</v>
      </c>
      <c r="B188" s="3" t="s">
        <v>7</v>
      </c>
      <c r="C188" s="3">
        <v>50</v>
      </c>
      <c r="D188" s="52" t="s">
        <v>260</v>
      </c>
      <c r="E188" s="67" t="s">
        <v>342</v>
      </c>
      <c r="F188" s="3" t="s">
        <v>5</v>
      </c>
      <c r="G188" s="4"/>
      <c r="H188" s="4"/>
      <c r="I188" s="4" t="str">
        <f t="shared" si="14"/>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string</v>
      </c>
      <c r="S188" s="4" t="str">
        <f>IF(Table2[[#This Row],[!Type]]=S$1, S$1,"rg:None")</f>
        <v>rg:None</v>
      </c>
      <c r="T188" s="4">
        <f>IF(LEN(Table2[[#This Row],[!Length]]) &gt; 0, Table2[[#This Row],[!Length]], "rg:None")</f>
        <v>50</v>
      </c>
      <c r="U188" s="4" t="str">
        <f>IF(LEN(Table2[[#This Row],[!Name]]) &gt; 0, Table2[[#This Row],[!Name]], "rg:None")</f>
        <v>status</v>
      </c>
      <c r="V18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88" s="4" t="str">
        <f>IF(LEN(Table2[[#This Row],[!FK]])&gt;0,Table2[[#This Row],[!FK]],"rg:None")</f>
        <v>rg:None</v>
      </c>
      <c r="X188" s="14" t="str">
        <f>IF(LEN(concatif2(A:A,Table2[[#This Row],[!Table]],G:G,"Y",D:D,",")) &gt; 0,"rg:[ { 'req' : '"&amp;concatif2(A:A,Table2[[#This Row],[!Table]],G:G,"Y",D:D,"' }, { 'req': '")&amp;"'} ]","rg:[]")</f>
        <v>rg:[ { 'req' : 'id' }, { 'req': 'ownerEquipmentCodePrefix'} ]</v>
      </c>
      <c r="Y188" s="4" t="str">
        <f>IF(LEN(Table2[[#This Row],[!Unique]])&gt;0,"rg:True","rg:None")</f>
        <v>rg:None</v>
      </c>
    </row>
    <row r="189" spans="1:25" ht="28.8" x14ac:dyDescent="0.3">
      <c r="A189" s="3" t="s">
        <v>154</v>
      </c>
      <c r="B189" s="3" t="s">
        <v>7</v>
      </c>
      <c r="C189" s="3">
        <v>50</v>
      </c>
      <c r="D189" s="52" t="s">
        <v>281</v>
      </c>
      <c r="E189" s="94" t="s">
        <v>476</v>
      </c>
      <c r="F189" s="3" t="s">
        <v>5</v>
      </c>
      <c r="G189" s="4"/>
      <c r="H189" s="4"/>
      <c r="I189" s="4" t="str">
        <f t="shared" si="14"/>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50</v>
      </c>
      <c r="U189" s="4" t="str">
        <f>IF(LEN(Table2[[#This Row],[!Name]]) &gt; 0, Table2[[#This Row],[!Name]], "rg:None")</f>
        <v>archiveCode</v>
      </c>
      <c r="V189" s="4" t="str">
        <f>IF(LEN(Table2[[#This Row],[!Description]]) &gt; 0, Table2[[#This Row],[!Description]], "rg:None")</f>
        <v>TO BE REVIEWED WITH THE BUSINESS - IS THIS NEEDED -A coded reason for why an owner record has been moved to Archived.</v>
      </c>
      <c r="W189" s="4" t="str">
        <f>IF(LEN(Table2[[#This Row],[!FK]])&gt;0,Table2[[#This Row],[!FK]],"rg:None")</f>
        <v>rg:None</v>
      </c>
      <c r="X189" s="14" t="str">
        <f>IF(LEN(concatif2(A:A,Table2[[#This Row],[!Table]],G:G,"Y",D:D,",")) &gt; 0,"rg:[ { 'req' : '"&amp;concatif2(A:A,Table2[[#This Row],[!Table]],G:G,"Y",D:D,"' }, { 'req': '")&amp;"'} ]","rg:[]")</f>
        <v>rg:[ { 'req' : 'id' }, { 'req': 'ownerEquipmentCodePrefix'} ]</v>
      </c>
      <c r="Y189" s="4" t="str">
        <f>IF(LEN(Table2[[#This Row],[!Unique]])&gt;0,"rg:True","rg:None")</f>
        <v>rg:None</v>
      </c>
    </row>
    <row r="190" spans="1:25" x14ac:dyDescent="0.3">
      <c r="A190" s="3" t="s">
        <v>154</v>
      </c>
      <c r="B190" s="3" t="s">
        <v>7</v>
      </c>
      <c r="C190" s="3">
        <v>2048</v>
      </c>
      <c r="D190" s="3" t="s">
        <v>142</v>
      </c>
      <c r="E190" s="67" t="s">
        <v>343</v>
      </c>
      <c r="F190" s="3" t="s">
        <v>5</v>
      </c>
      <c r="G190" s="4"/>
      <c r="H190" s="4"/>
      <c r="I190" s="4" t="str">
        <f t="shared" si="14"/>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archiveReason</v>
      </c>
      <c r="V190" s="4" t="str">
        <f>IF(LEN(Table2[[#This Row],[!Description]]) &gt; 0, Table2[[#This Row],[!Description]], "rg:None")</f>
        <v>A text note about why the owner record has been changed to Archived.</v>
      </c>
      <c r="W190" s="4" t="str">
        <f>IF(LEN(Table2[[#This Row],[!FK]])&gt;0,Table2[[#This Row],[!FK]],"rg:None")</f>
        <v>rg:None</v>
      </c>
      <c r="X190" s="14" t="str">
        <f>IF(LEN(concatif2(A:A,Table2[[#This Row],[!Table]],G:G,"Y",D:D,",")) &gt; 0,"rg:[ { 'req' : '"&amp;concatif2(A:A,Table2[[#This Row],[!Table]],G:G,"Y",D:D,"' }, { 'req': '")&amp;"'} ]","rg:[]")</f>
        <v>rg:[ { 'req' : 'id' }, { 'req': 'ownerEquipmentCodePrefix'} ]</v>
      </c>
      <c r="Y190" s="4" t="str">
        <f>IF(LEN(Table2[[#This Row],[!Unique]])&gt;0,"rg:True","rg:None")</f>
        <v>rg:None</v>
      </c>
    </row>
    <row r="191" spans="1:25" ht="28.8" x14ac:dyDescent="0.3">
      <c r="A191" s="90" t="s">
        <v>154</v>
      </c>
      <c r="B191" s="90" t="s">
        <v>12</v>
      </c>
      <c r="C191" s="18"/>
      <c r="D191" s="90" t="s">
        <v>209</v>
      </c>
      <c r="E191" s="91" t="s">
        <v>471</v>
      </c>
      <c r="F191" s="12"/>
      <c r="G191" s="19"/>
      <c r="H191" s="19"/>
      <c r="I191" s="4" t="str">
        <f>IF(LEN(A191) &gt; 0,"Defs","-")</f>
        <v>Defs</v>
      </c>
      <c r="J191" s="4" t="str">
        <f>IF(Table2[[#This Row],[!Type]]=J$1, J$1,"rg:None")</f>
        <v>rg:None</v>
      </c>
      <c r="K191" s="4" t="str">
        <f>IF(Table2[[#This Row],[!Type]]=K$1, K$1,"rg:None")</f>
        <v>rg:None</v>
      </c>
      <c r="L191" s="4" t="str">
        <f>IF(Table2[[#This Row],[!Type]]=L$1, L$1,"rg:None")</f>
        <v>datetime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archiveDate</v>
      </c>
      <c r="V191" s="4" t="str">
        <f>IF(LEN(Table2[[#This Row],[!Description]]) &gt; 0, Table2[[#This Row],[!Description]], "rg:None")</f>
        <v>The date the Owner record was changed to Archived and removed from active use in the system.</v>
      </c>
      <c r="W191" s="4" t="str">
        <f>IF(LEN(Table2[[#This Row],[!FK]])&gt;0,Table2[[#This Row],[!FK]],"rg:None")</f>
        <v>rg:None</v>
      </c>
      <c r="X191" s="14" t="str">
        <f>IF(LEN(concatif2(A:A,Table2[[#This Row],[!Table]],G:G,"Y",D:D,",")) &gt; 0,"rg:[ { 'req' : '"&amp;concatif2(A:A,Table2[[#This Row],[!Table]],G:G,"Y",D:D,"' }, { 'req': '")&amp;"'} ]","rg:[]")</f>
        <v>rg:[ { 'req' : 'id' }, { 'req': 'ownerEquipmentCodePrefix'} ]</v>
      </c>
      <c r="Y191" s="4" t="str">
        <f>IF(LEN(Table2[[#This Row],[!Unique]])&gt;0,"rg:True","rg:None")</f>
        <v>rg:None</v>
      </c>
    </row>
    <row r="192" spans="1:25" x14ac:dyDescent="0.3">
      <c r="A192" s="23" t="s">
        <v>154</v>
      </c>
      <c r="B192" s="23" t="s">
        <v>19</v>
      </c>
      <c r="C192" s="18"/>
      <c r="D192" s="23" t="s">
        <v>196</v>
      </c>
      <c r="E192" s="61"/>
      <c r="F192" s="22" t="s">
        <v>185</v>
      </c>
      <c r="G192" s="19"/>
      <c r="H192" s="19"/>
      <c r="I192" s="4" t="str">
        <f t="shared" ref="I192:I196" si="15">IF(LEN(A192) &gt; 0,"Defs","-")</f>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links</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contacts</v>
      </c>
      <c r="V192" s="4" t="str">
        <f>IF(LEN(Table2[[#This Row],[!Description]]) &gt; 0, Table2[[#This Row],[!Description]], "rg:None")</f>
        <v>rg:None</v>
      </c>
      <c r="W192" s="4" t="str">
        <f>IF(LEN(Table2[[#This Row],[!FK]])&gt;0,Table2[[#This Row],[!FK]],"rg:None")</f>
        <v>Contact</v>
      </c>
      <c r="X192" s="14" t="str">
        <f>IF(LEN(concatif2(A:A,Table2[[#This Row],[!Table]],G:G,"Y",D:D,",")) &gt; 0,"rg:[ { 'req' : '"&amp;concatif2(A:A,Table2[[#This Row],[!Table]],G:G,"Y",D:D,"' }, { 'req': '")&amp;"'} ]","rg:[]")</f>
        <v>rg:[ { 'req' : 'id' }, { 'req': 'ownerEquipmentCodePrefix'} ]</v>
      </c>
      <c r="Y192" s="4" t="str">
        <f>IF(LEN(Table2[[#This Row],[!Unique]])&gt;0,"rg:True","rg:None")</f>
        <v>rg:None</v>
      </c>
    </row>
    <row r="193" spans="1:25" x14ac:dyDescent="0.3">
      <c r="A193" s="23" t="s">
        <v>154</v>
      </c>
      <c r="B193" s="23" t="s">
        <v>19</v>
      </c>
      <c r="C193" s="18"/>
      <c r="D193" s="23" t="s">
        <v>175</v>
      </c>
      <c r="E193" s="61"/>
      <c r="F193" s="24" t="s">
        <v>155</v>
      </c>
      <c r="G193" s="19"/>
      <c r="H193" s="19"/>
      <c r="I193" s="4" t="str">
        <f t="shared" si="15"/>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links</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notes</v>
      </c>
      <c r="V193" s="4" t="str">
        <f>IF(LEN(Table2[[#This Row],[!Description]]) &gt; 0, Table2[[#This Row],[!Description]], "rg:None")</f>
        <v>rg:None</v>
      </c>
      <c r="W193" s="4" t="str">
        <f>IF(LEN(Table2[[#This Row],[!FK]])&gt;0,Table2[[#This Row],[!FK]],"rg:None")</f>
        <v>Note</v>
      </c>
      <c r="X193" s="14" t="str">
        <f>IF(LEN(concatif2(A:A,Table2[[#This Row],[!Table]],G:G,"Y",D:D,",")) &gt; 0,"rg:[ { 'req' : '"&amp;concatif2(A:A,Table2[[#This Row],[!Table]],G:G,"Y",D:D,"' }, { 'req': '")&amp;"'} ]","rg:[]")</f>
        <v>rg:[ { 'req' : 'id' }, { 'req': 'ownerEquipmentCodePrefix'} ]</v>
      </c>
      <c r="Y193" s="4" t="str">
        <f>IF(LEN(Table2[[#This Row],[!Unique]])&gt;0,"rg:True","rg:None")</f>
        <v>rg:None</v>
      </c>
    </row>
    <row r="194" spans="1:25" x14ac:dyDescent="0.3">
      <c r="A194" s="23" t="s">
        <v>154</v>
      </c>
      <c r="B194" s="23" t="s">
        <v>19</v>
      </c>
      <c r="C194" s="18"/>
      <c r="D194" s="23" t="s">
        <v>195</v>
      </c>
      <c r="E194" s="61"/>
      <c r="F194" s="21" t="s">
        <v>169</v>
      </c>
      <c r="G194" s="19"/>
      <c r="H194" s="19"/>
      <c r="I194" s="4" t="str">
        <f t="shared" si="15"/>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links</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attachments</v>
      </c>
      <c r="V194" s="4" t="str">
        <f>IF(LEN(Table2[[#This Row],[!Description]]) &gt; 0, Table2[[#This Row],[!Description]], "rg:None")</f>
        <v>rg:None</v>
      </c>
      <c r="W194" s="4" t="str">
        <f>IF(LEN(Table2[[#This Row],[!FK]])&gt;0,Table2[[#This Row],[!FK]],"rg:None")</f>
        <v>Attachment</v>
      </c>
      <c r="X194" s="14" t="str">
        <f>IF(LEN(concatif2(A:A,Table2[[#This Row],[!Table]],G:G,"Y",D:D,",")) &gt; 0,"rg:[ { 'req' : '"&amp;concatif2(A:A,Table2[[#This Row],[!Table]],G:G,"Y",D:D,"' }, { 'req': '")&amp;"'} ]","rg:[]")</f>
        <v>rg:[ { 'req' : 'id' }, { 'req': 'ownerEquipmentCodePrefix'} ]</v>
      </c>
      <c r="Y194" s="4" t="str">
        <f>IF(LEN(Table2[[#This Row],[!Unique]])&gt;0,"rg:True","rg:None")</f>
        <v>rg:None</v>
      </c>
    </row>
    <row r="195" spans="1:25" x14ac:dyDescent="0.3">
      <c r="A195" s="23" t="s">
        <v>154</v>
      </c>
      <c r="B195" s="23" t="s">
        <v>19</v>
      </c>
      <c r="C195" s="18"/>
      <c r="D195" s="23" t="s">
        <v>197</v>
      </c>
      <c r="E195" s="61"/>
      <c r="F195" s="22" t="s">
        <v>171</v>
      </c>
      <c r="G195" s="19"/>
      <c r="H195" s="19"/>
      <c r="I195" s="4" t="str">
        <f t="shared" si="15"/>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links</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history</v>
      </c>
      <c r="V195" s="4" t="str">
        <f>IF(LEN(Table2[[#This Row],[!Description]]) &gt; 0, Table2[[#This Row],[!Description]], "rg:None")</f>
        <v>rg:None</v>
      </c>
      <c r="W195" s="4" t="str">
        <f>IF(LEN(Table2[[#This Row],[!FK]])&gt;0,Table2[[#This Row],[!FK]],"rg:None")</f>
        <v>History</v>
      </c>
      <c r="X195" s="14" t="str">
        <f>IF(LEN(concatif2(A:A,Table2[[#This Row],[!Table]],G:G,"Y",D:D,",")) &gt; 0,"rg:[ { 'req' : '"&amp;concatif2(A:A,Table2[[#This Row],[!Table]],G:G,"Y",D:D,"' }, { 'req': '")&amp;"'} ]","rg:[]")</f>
        <v>rg:[ { 'req' : 'id' }, { 'req': 'ownerEquipmentCodePrefix'} ]</v>
      </c>
      <c r="Y195" s="4" t="str">
        <f>IF(LEN(Table2[[#This Row],[!Unique]])&gt;0,"rg:True","rg:None")</f>
        <v>rg:None</v>
      </c>
    </row>
    <row r="196" spans="1:25" x14ac:dyDescent="0.3">
      <c r="A196" s="23" t="s">
        <v>154</v>
      </c>
      <c r="B196" s="23" t="s">
        <v>19</v>
      </c>
      <c r="C196" s="18"/>
      <c r="D196" s="23" t="s">
        <v>199</v>
      </c>
      <c r="E196" s="61"/>
      <c r="F196" s="22" t="s">
        <v>200</v>
      </c>
      <c r="G196" s="19"/>
      <c r="H196" s="19"/>
      <c r="I196" s="4" t="str">
        <f t="shared" si="15"/>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links</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equipmentList</v>
      </c>
      <c r="V196" s="4" t="str">
        <f>IF(LEN(Table2[[#This Row],[!Description]]) &gt; 0, Table2[[#This Row],[!Description]], "rg:None")</f>
        <v>rg:None</v>
      </c>
      <c r="W196" s="4" t="str">
        <f>IF(LEN(Table2[[#This Row],[!FK]])&gt;0,Table2[[#This Row],[!FK]],"rg:None")</f>
        <v>Equipment</v>
      </c>
      <c r="X196" s="14" t="str">
        <f>IF(LEN(concatif2(A:A,Table2[[#This Row],[!Table]],G:G,"Y",D:D,",")) &gt; 0,"rg:[ { 'req' : '"&amp;concatif2(A:A,Table2[[#This Row],[!Table]],G:G,"Y",D:D,"' }, { 'req': '")&amp;"'} ]","rg:[]")</f>
        <v>rg:[ { 'req' : 'id' }, { 'req': 'ownerEquipmentCodePrefix'} ]</v>
      </c>
      <c r="Y196" s="4" t="str">
        <f>IF(LEN(Table2[[#This Row],[!Unique]])&gt;0,"rg:True","rg:None")</f>
        <v>rg:None</v>
      </c>
    </row>
    <row r="197" spans="1:25" ht="28.8" x14ac:dyDescent="0.3">
      <c r="A197" s="21" t="s">
        <v>185</v>
      </c>
      <c r="B197" s="3" t="s">
        <v>4</v>
      </c>
      <c r="C197" s="3"/>
      <c r="D197" s="21" t="s">
        <v>185</v>
      </c>
      <c r="E197" s="84" t="s">
        <v>409</v>
      </c>
      <c r="F197" s="3" t="s">
        <v>5</v>
      </c>
      <c r="G197" s="4"/>
      <c r="H197" s="4"/>
      <c r="I197" s="5" t="str">
        <f t="shared" ref="I197:I216" si="16">IF(LEN(A197) &gt; 0,"Defs","-")</f>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table</v>
      </c>
      <c r="T197" s="4" t="str">
        <f>IF(LEN(Table2[[#This Row],[!Length]]) &gt; 0, Table2[[#This Row],[!Length]], "rg:None")</f>
        <v>rg:None</v>
      </c>
      <c r="U197" s="4" t="str">
        <f>IF(LEN(Table2[[#This Row],[!Name]]) &gt; 0, Table2[[#This Row],[!Name]], "rg:None")</f>
        <v>Contact</v>
      </c>
      <c r="V197" s="4" t="str">
        <f>IF(LEN(Table2[[#This Row],[!Description]]) &gt; 0, Table2[[#This Row],[!Description]], "rg:None")</f>
        <v>A person and their related contact information linked to one or more entities in the system. For examples, there are contacts for Owners, Projects.</v>
      </c>
      <c r="W197" s="4" t="str">
        <f>IF(LEN(Table2[[#This Row],[!FK]])&gt;0,Table2[[#This Row],[!FK]],"rg:None")</f>
        <v>rg:None</v>
      </c>
      <c r="X197" s="14" t="str">
        <f>IF(LEN(concatif2(A:A,Table2[[#This Row],[!Table]],G:G,"Y",D:D,",")) &gt; 0,"rg:[ { 'req' : '"&amp;concatif2(A:A,Table2[[#This Row],[!Table]],G:G,"Y",D:D,"' }, { 'req': '")&amp;"'} ]","rg:[]")</f>
        <v>rg:[ { 'req' : 'id' }, { 'req': 'givenName' }, { 'req': 'surname' }, { 'req': 'role'} ]</v>
      </c>
      <c r="Y197" s="4" t="str">
        <f>IF(LEN(Table2[[#This Row],[!Unique]])&gt;0,"rg:True","rg:None")</f>
        <v>rg:None</v>
      </c>
    </row>
    <row r="198" spans="1:25" x14ac:dyDescent="0.3">
      <c r="A198" s="21" t="s">
        <v>185</v>
      </c>
      <c r="B198" s="3" t="s">
        <v>6</v>
      </c>
      <c r="C198" s="3"/>
      <c r="D198" s="3" t="s">
        <v>6</v>
      </c>
      <c r="E198" s="60" t="s">
        <v>344</v>
      </c>
      <c r="F198" s="3" t="s">
        <v>5</v>
      </c>
      <c r="G198" s="4" t="s">
        <v>64</v>
      </c>
      <c r="H198" s="53" t="s">
        <v>64</v>
      </c>
      <c r="I198" s="5" t="str">
        <f t="shared" si="16"/>
        <v>Defs</v>
      </c>
      <c r="J198" s="4" t="str">
        <f>IF(Table2[[#This Row],[!Type]]=J$1, J$1,"rg:None")</f>
        <v>rg:None</v>
      </c>
      <c r="K198" s="4" t="str">
        <f>IF(Table2[[#This Row],[!Type]]=K$1, K$1,"rg:None")</f>
        <v>rg:None</v>
      </c>
      <c r="L198" s="4" t="str">
        <f>IF(Table2[[#This Row],[!Type]]=L$1, L$1,"rg:None")</f>
        <v>rg:None</v>
      </c>
      <c r="M198" s="4" t="str">
        <f>IF(Table2[[#This Row],[!Type]]=M$1, M$1,"rg:None")</f>
        <v>id</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id</v>
      </c>
      <c r="V198" s="4" t="str">
        <f>IF(LEN(Table2[[#This Row],[!Description]]) &gt; 0, Table2[[#This Row],[!Description]], "rg:None")</f>
        <v>A system-generated unique identifier for a Contact</v>
      </c>
      <c r="W198" s="4" t="str">
        <f>IF(LEN(Table2[[#This Row],[!FK]])&gt;0,Table2[[#This Row],[!FK]],"rg:None")</f>
        <v>rg:None</v>
      </c>
      <c r="X198" s="14" t="str">
        <f>IF(LEN(concatif2(A:A,Table2[[#This Row],[!Table]],G:G,"Y",D:D,",")) &gt; 0,"rg:[ { 'req' : '"&amp;concatif2(A:A,Table2[[#This Row],[!Table]],G:G,"Y",D:D,"' }, { 'req': '")&amp;"'} ]","rg:[]")</f>
        <v>rg:[ { 'req' : 'id' }, { 'req': 'givenName' }, { 'req': 'surname' }, { 'req': 'role'} ]</v>
      </c>
      <c r="Y198" s="4" t="str">
        <f>IF(LEN(Table2[[#This Row],[!Unique]])&gt;0,"rg:True","rg:None")</f>
        <v>rg:True</v>
      </c>
    </row>
    <row r="199" spans="1:25" x14ac:dyDescent="0.3">
      <c r="A199" s="21" t="s">
        <v>185</v>
      </c>
      <c r="B199" s="3" t="s">
        <v>7</v>
      </c>
      <c r="C199" s="3">
        <v>50</v>
      </c>
      <c r="D199" s="3" t="s">
        <v>16</v>
      </c>
      <c r="E199" s="60" t="s">
        <v>173</v>
      </c>
      <c r="F199" s="3" t="s">
        <v>5</v>
      </c>
      <c r="G199" s="53" t="s">
        <v>64</v>
      </c>
      <c r="H199" s="53"/>
      <c r="I199" s="5" t="str">
        <f t="shared" si="16"/>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50</v>
      </c>
      <c r="U199" s="4" t="str">
        <f>IF(LEN(Table2[[#This Row],[!Name]]) &gt; 0, Table2[[#This Row],[!Name]], "rg:None")</f>
        <v>givenName</v>
      </c>
      <c r="V199" s="4" t="str">
        <f>IF(LEN(Table2[[#This Row],[!Description]]) &gt; 0, Table2[[#This Row],[!Description]], "rg:None")</f>
        <v>The given name of the contact.</v>
      </c>
      <c r="W199" s="4" t="str">
        <f>IF(LEN(Table2[[#This Row],[!FK]])&gt;0,Table2[[#This Row],[!FK]],"rg:None")</f>
        <v>rg:None</v>
      </c>
      <c r="X199" s="14" t="str">
        <f>IF(LEN(concatif2(A:A,Table2[[#This Row],[!Table]],G:G,"Y",D:D,",")) &gt; 0,"rg:[ { 'req' : '"&amp;concatif2(A:A,Table2[[#This Row],[!Table]],G:G,"Y",D:D,"' }, { 'req': '")&amp;"'} ]","rg:[]")</f>
        <v>rg:[ { 'req' : 'id' }, { 'req': 'givenName' }, { 'req': 'surname' }, { 'req': 'role'} ]</v>
      </c>
      <c r="Y199" s="4" t="str">
        <f>IF(LEN(Table2[[#This Row],[!Unique]])&gt;0,"rg:True","rg:None")</f>
        <v>rg:None</v>
      </c>
    </row>
    <row r="200" spans="1:25" x14ac:dyDescent="0.3">
      <c r="A200" s="21" t="s">
        <v>185</v>
      </c>
      <c r="B200" s="3" t="s">
        <v>7</v>
      </c>
      <c r="C200" s="3">
        <v>50</v>
      </c>
      <c r="D200" s="3" t="s">
        <v>17</v>
      </c>
      <c r="E200" s="60" t="s">
        <v>174</v>
      </c>
      <c r="F200" s="3" t="s">
        <v>5</v>
      </c>
      <c r="G200" s="53" t="s">
        <v>64</v>
      </c>
      <c r="H200" s="53"/>
      <c r="I200" s="5" t="str">
        <f t="shared" si="16"/>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50</v>
      </c>
      <c r="U200" s="4" t="str">
        <f>IF(LEN(Table2[[#This Row],[!Name]]) &gt; 0, Table2[[#This Row],[!Name]], "rg:None")</f>
        <v>surname</v>
      </c>
      <c r="V200" s="4" t="str">
        <f>IF(LEN(Table2[[#This Row],[!Description]]) &gt; 0, Table2[[#This Row],[!Description]], "rg:None")</f>
        <v>The surname of the contact.</v>
      </c>
      <c r="W200" s="4" t="str">
        <f>IF(LEN(Table2[[#This Row],[!FK]])&gt;0,Table2[[#This Row],[!FK]],"rg:None")</f>
        <v>rg:None</v>
      </c>
      <c r="X200" s="14" t="str">
        <f>IF(LEN(concatif2(A:A,Table2[[#This Row],[!Table]],G:G,"Y",D:D,",")) &gt; 0,"rg:[ { 'req' : '"&amp;concatif2(A:A,Table2[[#This Row],[!Table]],G:G,"Y",D:D,"' }, { 'req': '")&amp;"'} ]","rg:[]")</f>
        <v>rg:[ { 'req' : 'id' }, { 'req': 'givenName' }, { 'req': 'surname' }, { 'req': 'role'} ]</v>
      </c>
      <c r="Y200" s="4" t="str">
        <f>IF(LEN(Table2[[#This Row],[!Unique]])&gt;0,"rg:True","rg:None")</f>
        <v>rg:None</v>
      </c>
    </row>
    <row r="201" spans="1:25" ht="28.8" x14ac:dyDescent="0.3">
      <c r="A201" s="21" t="s">
        <v>185</v>
      </c>
      <c r="B201" s="3" t="s">
        <v>7</v>
      </c>
      <c r="C201" s="3">
        <v>100</v>
      </c>
      <c r="D201" s="3" t="s">
        <v>18</v>
      </c>
      <c r="E201" s="60" t="s">
        <v>345</v>
      </c>
      <c r="F201" s="3" t="s">
        <v>5</v>
      </c>
      <c r="G201" s="53" t="s">
        <v>64</v>
      </c>
      <c r="H201" s="53"/>
      <c r="I201" s="5" t="str">
        <f t="shared" si="16"/>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100</v>
      </c>
      <c r="U201" s="4" t="str">
        <f>IF(LEN(Table2[[#This Row],[!Name]]) &gt; 0, Table2[[#This Row],[!Name]], "rg:None")</f>
        <v>role</v>
      </c>
      <c r="V201" s="4" t="str">
        <f>IF(LEN(Table2[[#This Row],[!Description]]) &gt; 0, Table2[[#This Row],[!Description]], "rg:None")</f>
        <v>The role of the contact. UI controlled as to whether it is free form or selected from an enumerated list - for initial implementation, the field is freeform.</v>
      </c>
      <c r="W201" s="4" t="str">
        <f>IF(LEN(Table2[[#This Row],[!FK]])&gt;0,Table2[[#This Row],[!FK]],"rg:None")</f>
        <v>rg:None</v>
      </c>
      <c r="X201" s="14" t="str">
        <f>IF(LEN(concatif2(A:A,Table2[[#This Row],[!Table]],G:G,"Y",D:D,",")) &gt; 0,"rg:[ { 'req' : '"&amp;concatif2(A:A,Table2[[#This Row],[!Table]],G:G,"Y",D:D,"' }, { 'req': '")&amp;"'} ]","rg:[]")</f>
        <v>rg:[ { 'req' : 'id' }, { 'req': 'givenName' }, { 'req': 'surname' }, { 'req': 'role'} ]</v>
      </c>
      <c r="Y201" s="4" t="str">
        <f>IF(LEN(Table2[[#This Row],[!Unique]])&gt;0,"rg:True","rg:None")</f>
        <v>rg:None</v>
      </c>
    </row>
    <row r="202" spans="1:25" x14ac:dyDescent="0.3">
      <c r="A202" s="21" t="s">
        <v>185</v>
      </c>
      <c r="B202" s="3" t="s">
        <v>7</v>
      </c>
      <c r="C202" s="3">
        <v>150</v>
      </c>
      <c r="D202" s="3" t="s">
        <v>175</v>
      </c>
      <c r="E202" s="60" t="s">
        <v>346</v>
      </c>
      <c r="F202" s="3" t="s">
        <v>5</v>
      </c>
      <c r="G202" s="4"/>
      <c r="H202" s="4"/>
      <c r="I202" s="5" t="str">
        <f t="shared" si="16"/>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notes</v>
      </c>
      <c r="V202" s="4" t="str">
        <f>IF(LEN(Table2[[#This Row],[!Description]]) &gt; 0, Table2[[#This Row],[!Description]], "rg:None")</f>
        <v>A note about the contact maintained by the users.</v>
      </c>
      <c r="W202" s="4" t="str">
        <f>IF(LEN(Table2[[#This Row],[!FK]])&gt;0,Table2[[#This Row],[!FK]],"rg:None")</f>
        <v>rg:None</v>
      </c>
      <c r="X202" s="14" t="str">
        <f>IF(LEN(concatif2(A:A,Table2[[#This Row],[!Table]],G:G,"Y",D:D,",")) &gt; 0,"rg:[ { 'req' : '"&amp;concatif2(A:A,Table2[[#This Row],[!Table]],G:G,"Y",D:D,"' }, { 'req': '")&amp;"'} ]","rg:[]")</f>
        <v>rg:[ { 'req' : 'id' }, { 'req': 'givenName' }, { 'req': 'surname' }, { 'req': 'role'} ]</v>
      </c>
      <c r="Y202" s="4" t="str">
        <f>IF(LEN(Table2[[#This Row],[!Unique]])&gt;0,"rg:True","rg:None")</f>
        <v>rg:None</v>
      </c>
    </row>
    <row r="203" spans="1:25" x14ac:dyDescent="0.3">
      <c r="A203" s="21" t="s">
        <v>185</v>
      </c>
      <c r="B203" s="3" t="s">
        <v>19</v>
      </c>
      <c r="C203" s="3"/>
      <c r="D203" s="21" t="s">
        <v>188</v>
      </c>
      <c r="E203" s="60"/>
      <c r="F203" s="21" t="s">
        <v>186</v>
      </c>
      <c r="G203" s="4"/>
      <c r="H203" s="4"/>
      <c r="I203" s="5" t="str">
        <f t="shared" si="16"/>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links</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phones</v>
      </c>
      <c r="V203" s="4" t="str">
        <f>IF(LEN(Table2[[#This Row],[!Description]]) &gt; 0, Table2[[#This Row],[!Description]], "rg:None")</f>
        <v>rg:None</v>
      </c>
      <c r="W203" s="4" t="str">
        <f>IF(LEN(Table2[[#This Row],[!FK]])&gt;0,Table2[[#This Row],[!FK]],"rg:None")</f>
        <v>ContactPhone</v>
      </c>
      <c r="X203" s="14" t="str">
        <f>IF(LEN(concatif2(A:A,Table2[[#This Row],[!Table]],G:G,"Y",D:D,",")) &gt; 0,"rg:[ { 'req' : '"&amp;concatif2(A:A,Table2[[#This Row],[!Table]],G:G,"Y",D:D,"' }, { 'req': '")&amp;"'} ]","rg:[]")</f>
        <v>rg:[ { 'req' : 'id' }, { 'req': 'givenName' }, { 'req': 'surname' }, { 'req': 'role'} ]</v>
      </c>
      <c r="Y203" s="4" t="str">
        <f>IF(LEN(Table2[[#This Row],[!Unique]])&gt;0,"rg:True","rg:None")</f>
        <v>rg:None</v>
      </c>
    </row>
    <row r="204" spans="1:25" x14ac:dyDescent="0.3">
      <c r="A204" s="21" t="s">
        <v>185</v>
      </c>
      <c r="B204" s="3" t="s">
        <v>19</v>
      </c>
      <c r="C204" s="3"/>
      <c r="D204" s="21" t="s">
        <v>189</v>
      </c>
      <c r="E204" s="60"/>
      <c r="F204" s="21" t="s">
        <v>187</v>
      </c>
      <c r="G204" s="4"/>
      <c r="H204" s="4"/>
      <c r="I204" s="5" t="str">
        <f t="shared" si="16"/>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links</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addresses</v>
      </c>
      <c r="V204" s="4" t="str">
        <f>IF(LEN(Table2[[#This Row],[!Description]]) &gt; 0, Table2[[#This Row],[!Description]], "rg:None")</f>
        <v>rg:None</v>
      </c>
      <c r="W204" s="4" t="str">
        <f>IF(LEN(Table2[[#This Row],[!FK]])&gt;0,Table2[[#This Row],[!FK]],"rg:None")</f>
        <v>ContactAddress</v>
      </c>
      <c r="X204" s="14" t="str">
        <f>IF(LEN(concatif2(A:A,Table2[[#This Row],[!Table]],G:G,"Y",D:D,",")) &gt; 0,"rg:[ { 'req' : '"&amp;concatif2(A:A,Table2[[#This Row],[!Table]],G:G,"Y",D:D,"' }, { 'req': '")&amp;"'} ]","rg:[]")</f>
        <v>rg:[ { 'req' : 'id' }, { 'req': 'givenName' }, { 'req': 'surname' }, { 'req': 'role'} ]</v>
      </c>
      <c r="Y204" s="4" t="str">
        <f>IF(LEN(Table2[[#This Row],[!Unique]])&gt;0,"rg:True","rg:None")</f>
        <v>rg:None</v>
      </c>
    </row>
    <row r="205" spans="1:25" x14ac:dyDescent="0.3">
      <c r="A205" s="21" t="s">
        <v>186</v>
      </c>
      <c r="B205" s="3" t="s">
        <v>4</v>
      </c>
      <c r="C205" s="3"/>
      <c r="D205" s="21" t="s">
        <v>186</v>
      </c>
      <c r="E205" s="84" t="s">
        <v>410</v>
      </c>
      <c r="F205" s="3" t="s">
        <v>5</v>
      </c>
      <c r="G205" s="4"/>
      <c r="H205" s="4"/>
      <c r="I205" s="5" t="str">
        <f t="shared" si="16"/>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ContactPhone</v>
      </c>
      <c r="V205" s="4" t="str">
        <f>IF(LEN(Table2[[#This Row],[!Description]]) &gt; 0, Table2[[#This Row],[!Description]], "rg:None")</f>
        <v>Phone number information related to a contact.</v>
      </c>
      <c r="W205" s="4" t="str">
        <f>IF(LEN(Table2[[#This Row],[!FK]])&gt;0,Table2[[#This Row],[!FK]],"rg:None")</f>
        <v>rg:None</v>
      </c>
      <c r="X205" s="14" t="str">
        <f>IF(LEN(concatif2(A:A,Table2[[#This Row],[!Table]],G:G,"Y",D:D,",")) &gt; 0,"rg:[ { 'req' : '"&amp;concatif2(A:A,Table2[[#This Row],[!Table]],G:G,"Y",D:D,"' }, { 'req': '")&amp;"'} ]","rg:[]")</f>
        <v>rg:[ { 'req' : 'id' }, { 'req': 'type' }, { 'req': 'phoneNumber'} ]</v>
      </c>
      <c r="Y205" s="4" t="str">
        <f>IF(LEN(Table2[[#This Row],[!Unique]])&gt;0,"rg:True","rg:None")</f>
        <v>rg:None</v>
      </c>
    </row>
    <row r="206" spans="1:25" x14ac:dyDescent="0.3">
      <c r="A206" s="21" t="s">
        <v>186</v>
      </c>
      <c r="B206" s="3" t="s">
        <v>6</v>
      </c>
      <c r="C206" s="3"/>
      <c r="D206" s="3" t="s">
        <v>6</v>
      </c>
      <c r="E206" s="60" t="s">
        <v>347</v>
      </c>
      <c r="F206" s="3" t="s">
        <v>5</v>
      </c>
      <c r="G206" s="4" t="s">
        <v>64</v>
      </c>
      <c r="H206" s="53"/>
      <c r="I206" s="5" t="str">
        <f t="shared" si="16"/>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ContactPhone</v>
      </c>
      <c r="W206" s="4" t="str">
        <f>IF(LEN(Table2[[#This Row],[!FK]])&gt;0,Table2[[#This Row],[!FK]],"rg:None")</f>
        <v>rg:None</v>
      </c>
      <c r="X206" s="14" t="str">
        <f>IF(LEN(concatif2(A:A,Table2[[#This Row],[!Table]],G:G,"Y",D:D,",")) &gt; 0,"rg:[ { 'req' : '"&amp;concatif2(A:A,Table2[[#This Row],[!Table]],G:G,"Y",D:D,"' }, { 'req': '")&amp;"'} ]","rg:[]")</f>
        <v>rg:[ { 'req' : 'id' }, { 'req': 'type' }, { 'req': 'phoneNumber'} ]</v>
      </c>
      <c r="Y206" s="4" t="str">
        <f>IF(LEN(Table2[[#This Row],[!Unique]])&gt;0,"rg:True","rg:None")</f>
        <v>rg:None</v>
      </c>
    </row>
    <row r="207" spans="1:25" ht="28.8" x14ac:dyDescent="0.3">
      <c r="A207" s="21" t="s">
        <v>186</v>
      </c>
      <c r="B207" s="3" t="s">
        <v>7</v>
      </c>
      <c r="C207" s="3">
        <v>100</v>
      </c>
      <c r="D207" s="3" t="s">
        <v>20</v>
      </c>
      <c r="E207" s="60" t="s">
        <v>348</v>
      </c>
      <c r="F207" s="3" t="s">
        <v>5</v>
      </c>
      <c r="G207" s="53" t="s">
        <v>64</v>
      </c>
      <c r="H207" s="53"/>
      <c r="I207" s="5" t="str">
        <f t="shared" si="16"/>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100</v>
      </c>
      <c r="U207" s="4" t="str">
        <f>IF(LEN(Table2[[#This Row],[!Name]]) &gt; 0, Table2[[#This Row],[!Name]], "rg:None")</f>
        <v>type</v>
      </c>
      <c r="V207" s="4" t="str">
        <f>IF(LEN(Table2[[#This Row],[!Description]]) &gt; 0, Table2[[#This Row],[!Description]], "rg:None")</f>
        <v>The type of the phone number. UI controlled as to whether it is free form or selected from an enumerated list.  Ex. Home, Cell, Work etc..</v>
      </c>
      <c r="W207" s="4" t="str">
        <f>IF(LEN(Table2[[#This Row],[!FK]])&gt;0,Table2[[#This Row],[!FK]],"rg:None")</f>
        <v>rg:None</v>
      </c>
      <c r="X207" s="14" t="str">
        <f>IF(LEN(concatif2(A:A,Table2[[#This Row],[!Table]],G:G,"Y",D:D,",")) &gt; 0,"rg:[ { 'req' : '"&amp;concatif2(A:A,Table2[[#This Row],[!Table]],G:G,"Y",D:D,"' }, { 'req': '")&amp;"'} ]","rg:[]")</f>
        <v>rg:[ { 'req' : 'id' }, { 'req': 'type' }, { 'req': 'phoneNumber'} ]</v>
      </c>
      <c r="Y207" s="4" t="str">
        <f>IF(LEN(Table2[[#This Row],[!Unique]])&gt;0,"rg:True","rg:None")</f>
        <v>rg:None</v>
      </c>
    </row>
    <row r="208" spans="1:25" x14ac:dyDescent="0.3">
      <c r="A208" s="21" t="s">
        <v>186</v>
      </c>
      <c r="B208" s="3" t="s">
        <v>7</v>
      </c>
      <c r="C208" s="3">
        <v>20</v>
      </c>
      <c r="D208" s="3" t="s">
        <v>176</v>
      </c>
      <c r="E208" s="60" t="s">
        <v>177</v>
      </c>
      <c r="F208" s="3" t="s">
        <v>5</v>
      </c>
      <c r="G208" s="53" t="s">
        <v>64</v>
      </c>
      <c r="H208" s="53"/>
      <c r="I208" s="5" t="str">
        <f t="shared" si="16"/>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phoneNumber</v>
      </c>
      <c r="V208" s="4" t="str">
        <f>IF(LEN(Table2[[#This Row],[!Description]]) &gt; 0, Table2[[#This Row],[!Description]], "rg:None")</f>
        <v>The phone number of the contact. Entered as free form to support a range of formats.</v>
      </c>
      <c r="W208" s="4" t="str">
        <f>IF(LEN(Table2[[#This Row],[!FK]])&gt;0,Table2[[#This Row],[!FK]],"rg:None")</f>
        <v>rg:None</v>
      </c>
      <c r="X208" s="14" t="str">
        <f>IF(LEN(concatif2(A:A,Table2[[#This Row],[!Table]],G:G,"Y",D:D,",")) &gt; 0,"rg:[ { 'req' : '"&amp;concatif2(A:A,Table2[[#This Row],[!Table]],G:G,"Y",D:D,"' }, { 'req': '")&amp;"'} ]","rg:[]")</f>
        <v>rg:[ { 'req' : 'id' }, { 'req': 'type' }, { 'req': 'phoneNumber'} ]</v>
      </c>
      <c r="Y208" s="4" t="str">
        <f>IF(LEN(Table2[[#This Row],[!Unique]])&gt;0,"rg:True","rg:None")</f>
        <v>rg:None</v>
      </c>
    </row>
    <row r="209" spans="1:25" x14ac:dyDescent="0.3">
      <c r="A209" s="21" t="s">
        <v>187</v>
      </c>
      <c r="B209" s="3" t="s">
        <v>4</v>
      </c>
      <c r="C209" s="3"/>
      <c r="D209" s="21" t="s">
        <v>187</v>
      </c>
      <c r="E209" s="84" t="s">
        <v>411</v>
      </c>
      <c r="F209" s="3" t="s">
        <v>5</v>
      </c>
      <c r="G209" s="4"/>
      <c r="H209" s="4"/>
      <c r="I209" s="5" t="str">
        <f t="shared" si="16"/>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table</v>
      </c>
      <c r="T209" s="4" t="str">
        <f>IF(LEN(Table2[[#This Row],[!Length]]) &gt; 0, Table2[[#This Row],[!Length]], "rg:None")</f>
        <v>rg:None</v>
      </c>
      <c r="U209" s="4" t="str">
        <f>IF(LEN(Table2[[#This Row],[!Name]]) &gt; 0, Table2[[#This Row],[!Name]], "rg:None")</f>
        <v>ContactAddress</v>
      </c>
      <c r="V209" s="4" t="str">
        <f>IF(LEN(Table2[[#This Row],[!Description]]) &gt; 0, Table2[[#This Row],[!Description]], "rg:None")</f>
        <v>Address information related to a contact.</v>
      </c>
      <c r="W209" s="4" t="str">
        <f>IF(LEN(Table2[[#This Row],[!FK]])&gt;0,Table2[[#This Row],[!FK]],"rg:None")</f>
        <v>rg:None</v>
      </c>
      <c r="X209" s="14" t="str">
        <f>IF(LEN(concatif2(A:A,Table2[[#This Row],[!Table]],G:G,"Y",D:D,",")) &gt; 0,"rg:[ { 'req' : '"&amp;concatif2(A:A,Table2[[#This Row],[!Table]],G:G,"Y",D:D,"' }, { 'req': '")&amp;"'} ]","rg:[]")</f>
        <v>rg:[ { 'req' : 'id'} ]</v>
      </c>
      <c r="Y209" s="4" t="str">
        <f>IF(LEN(Table2[[#This Row],[!Unique]])&gt;0,"rg:True","rg:None")</f>
        <v>rg:None</v>
      </c>
    </row>
    <row r="210" spans="1:25" x14ac:dyDescent="0.3">
      <c r="A210" s="21" t="s">
        <v>187</v>
      </c>
      <c r="B210" s="3" t="s">
        <v>6</v>
      </c>
      <c r="C210" s="3"/>
      <c r="D210" s="3" t="s">
        <v>6</v>
      </c>
      <c r="E210" s="60" t="s">
        <v>349</v>
      </c>
      <c r="F210" s="3" t="s">
        <v>5</v>
      </c>
      <c r="G210" s="4" t="s">
        <v>64</v>
      </c>
      <c r="H210" s="53"/>
      <c r="I210" s="5" t="str">
        <f t="shared" si="16"/>
        <v>Defs</v>
      </c>
      <c r="J210" s="4" t="str">
        <f>IF(Table2[[#This Row],[!Type]]=J$1, J$1,"rg:None")</f>
        <v>rg:None</v>
      </c>
      <c r="K210" s="4" t="str">
        <f>IF(Table2[[#This Row],[!Type]]=K$1, K$1,"rg:None")</f>
        <v>rg:None</v>
      </c>
      <c r="L210" s="4" t="str">
        <f>IF(Table2[[#This Row],[!Type]]=L$1, L$1,"rg:None")</f>
        <v>rg:None</v>
      </c>
      <c r="M210" s="4" t="str">
        <f>IF(Table2[[#This Row],[!Type]]=M$1, M$1,"rg:None")</f>
        <v>id</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id</v>
      </c>
      <c r="V210" s="4" t="str">
        <f>IF(LEN(Table2[[#This Row],[!Description]]) &gt; 0, Table2[[#This Row],[!Description]], "rg:None")</f>
        <v>A system-generated unique identifier for a ContactAddress</v>
      </c>
      <c r="W210" s="4" t="str">
        <f>IF(LEN(Table2[[#This Row],[!FK]])&gt;0,Table2[[#This Row],[!FK]],"rg:None")</f>
        <v>rg:None</v>
      </c>
      <c r="X210" s="14" t="str">
        <f>IF(LEN(concatif2(A:A,Table2[[#This Row],[!Table]],G:G,"Y",D:D,",")) &gt; 0,"rg:[ { 'req' : '"&amp;concatif2(A:A,Table2[[#This Row],[!Table]],G:G,"Y",D:D,"' }, { 'req': '")&amp;"'} ]","rg:[]")</f>
        <v>rg:[ { 'req' : 'id'} ]</v>
      </c>
      <c r="Y210" s="4" t="str">
        <f>IF(LEN(Table2[[#This Row],[!Unique]])&gt;0,"rg:True","rg:None")</f>
        <v>rg:None</v>
      </c>
    </row>
    <row r="211" spans="1:25" ht="28.8" x14ac:dyDescent="0.3">
      <c r="A211" s="21" t="s">
        <v>187</v>
      </c>
      <c r="B211" s="3" t="s">
        <v>7</v>
      </c>
      <c r="C211" s="3">
        <v>100</v>
      </c>
      <c r="D211" s="3" t="s">
        <v>20</v>
      </c>
      <c r="E211" s="60" t="s">
        <v>350</v>
      </c>
      <c r="F211" s="3" t="s">
        <v>5</v>
      </c>
      <c r="G211" s="4"/>
      <c r="H211" s="4"/>
      <c r="I211" s="5" t="str">
        <f t="shared" si="16"/>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100</v>
      </c>
      <c r="U211" s="4" t="str">
        <f>IF(LEN(Table2[[#This Row],[!Name]]) &gt; 0, Table2[[#This Row],[!Name]], "rg:None")</f>
        <v>type</v>
      </c>
      <c r="V211" s="4" t="str">
        <f>IF(LEN(Table2[[#This Row],[!Description]]) &gt; 0, Table2[[#This Row],[!Description]], "rg:None")</f>
        <v>The type of the address. UI controlled as to whether it is free form or selected from an enumerated list ex. Home, Office, etc..</v>
      </c>
      <c r="W211" s="4" t="str">
        <f>IF(LEN(Table2[[#This Row],[!FK]])&gt;0,Table2[[#This Row],[!FK]],"rg:None")</f>
        <v>rg:None</v>
      </c>
      <c r="X211" s="14" t="str">
        <f>IF(LEN(concatif2(A:A,Table2[[#This Row],[!Table]],G:G,"Y",D:D,",")) &gt; 0,"rg:[ { 'req' : '"&amp;concatif2(A:A,Table2[[#This Row],[!Table]],G:G,"Y",D:D,"' }, { 'req': '")&amp;"'} ]","rg:[]")</f>
        <v>rg:[ { 'req' : 'id'} ]</v>
      </c>
      <c r="Y211" s="4" t="str">
        <f>IF(LEN(Table2[[#This Row],[!Unique]])&gt;0,"rg:True","rg:None")</f>
        <v>rg:None</v>
      </c>
    </row>
    <row r="212" spans="1:25" x14ac:dyDescent="0.3">
      <c r="A212" s="21" t="s">
        <v>187</v>
      </c>
      <c r="B212" s="3" t="s">
        <v>7</v>
      </c>
      <c r="C212" s="3">
        <v>150</v>
      </c>
      <c r="D212" s="21" t="s">
        <v>190</v>
      </c>
      <c r="E212" s="60" t="s">
        <v>178</v>
      </c>
      <c r="F212" s="3" t="s">
        <v>5</v>
      </c>
      <c r="G212" s="4"/>
      <c r="H212" s="4"/>
      <c r="I212" s="5" t="str">
        <f t="shared" si="16"/>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addressLine1</v>
      </c>
      <c r="V212" s="4" t="str">
        <f>IF(LEN(Table2[[#This Row],[!Description]]) &gt; 0, Table2[[#This Row],[!Description]], "rg:None")</f>
        <v>Address 1 line of the address.</v>
      </c>
      <c r="W212" s="4" t="str">
        <f>IF(LEN(Table2[[#This Row],[!FK]])&gt;0,Table2[[#This Row],[!FK]],"rg:None")</f>
        <v>rg:None</v>
      </c>
      <c r="X212" s="14" t="str">
        <f>IF(LEN(concatif2(A:A,Table2[[#This Row],[!Table]],G:G,"Y",D:D,",")) &gt; 0,"rg:[ { 'req' : '"&amp;concatif2(A:A,Table2[[#This Row],[!Table]],G:G,"Y",D:D,"' }, { 'req': '")&amp;"'} ]","rg:[]")</f>
        <v>rg:[ { 'req' : 'id'} ]</v>
      </c>
      <c r="Y212" s="4" t="str">
        <f>IF(LEN(Table2[[#This Row],[!Unique]])&gt;0,"rg:True","rg:None")</f>
        <v>rg:None</v>
      </c>
    </row>
    <row r="213" spans="1:25" x14ac:dyDescent="0.3">
      <c r="A213" s="21" t="s">
        <v>187</v>
      </c>
      <c r="B213" s="3" t="s">
        <v>7</v>
      </c>
      <c r="C213" s="3">
        <v>150</v>
      </c>
      <c r="D213" s="21" t="s">
        <v>191</v>
      </c>
      <c r="E213" s="60" t="s">
        <v>179</v>
      </c>
      <c r="F213" s="3" t="s">
        <v>5</v>
      </c>
      <c r="G213" s="4"/>
      <c r="H213" s="4"/>
      <c r="I213" s="5" t="str">
        <f t="shared" si="16"/>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150</v>
      </c>
      <c r="U213" s="4" t="str">
        <f>IF(LEN(Table2[[#This Row],[!Name]]) &gt; 0, Table2[[#This Row],[!Name]], "rg:None")</f>
        <v>addressLine2</v>
      </c>
      <c r="V213" s="4" t="str">
        <f>IF(LEN(Table2[[#This Row],[!Description]]) &gt; 0, Table2[[#This Row],[!Description]], "rg:None")</f>
        <v>Address 2 line of the address.</v>
      </c>
      <c r="W213" s="4" t="str">
        <f>IF(LEN(Table2[[#This Row],[!FK]])&gt;0,Table2[[#This Row],[!FK]],"rg:None")</f>
        <v>rg:None</v>
      </c>
      <c r="X213" s="14" t="str">
        <f>IF(LEN(concatif2(A:A,Table2[[#This Row],[!Table]],G:G,"Y",D:D,",")) &gt; 0,"rg:[ { 'req' : '"&amp;concatif2(A:A,Table2[[#This Row],[!Table]],G:G,"Y",D:D,"' }, { 'req': '")&amp;"'} ]","rg:[]")</f>
        <v>rg:[ { 'req' : 'id'} ]</v>
      </c>
      <c r="Y213" s="4" t="str">
        <f>IF(LEN(Table2[[#This Row],[!Unique]])&gt;0,"rg:True","rg:None")</f>
        <v>rg:None</v>
      </c>
    </row>
    <row r="214" spans="1:25" x14ac:dyDescent="0.3">
      <c r="A214" s="21" t="s">
        <v>187</v>
      </c>
      <c r="B214" s="3" t="s">
        <v>7</v>
      </c>
      <c r="C214" s="3">
        <v>100</v>
      </c>
      <c r="D214" s="3" t="s">
        <v>21</v>
      </c>
      <c r="E214" s="60" t="s">
        <v>180</v>
      </c>
      <c r="F214" s="3" t="s">
        <v>5</v>
      </c>
      <c r="G214" s="4"/>
      <c r="H214" s="4"/>
      <c r="I214" s="5" t="str">
        <f t="shared" si="16"/>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100</v>
      </c>
      <c r="U214" s="4" t="str">
        <f>IF(LEN(Table2[[#This Row],[!Name]]) &gt; 0, Table2[[#This Row],[!Name]], "rg:None")</f>
        <v>city</v>
      </c>
      <c r="V214" s="4" t="str">
        <f>IF(LEN(Table2[[#This Row],[!Description]]) &gt; 0, Table2[[#This Row],[!Description]], "rg:None")</f>
        <v>The City of the address.</v>
      </c>
      <c r="W214" s="4" t="str">
        <f>IF(LEN(Table2[[#This Row],[!FK]])&gt;0,Table2[[#This Row],[!FK]],"rg:None")</f>
        <v>rg:None</v>
      </c>
      <c r="X214" s="14" t="str">
        <f>IF(LEN(concatif2(A:A,Table2[[#This Row],[!Table]],G:G,"Y",D:D,",")) &gt; 0,"rg:[ { 'req' : '"&amp;concatif2(A:A,Table2[[#This Row],[!Table]],G:G,"Y",D:D,"' }, { 'req': '")&amp;"'} ]","rg:[]")</f>
        <v>rg:[ { 'req' : 'id'} ]</v>
      </c>
      <c r="Y214" s="4" t="str">
        <f>IF(LEN(Table2[[#This Row],[!Unique]])&gt;0,"rg:True","rg:None")</f>
        <v>rg:None</v>
      </c>
    </row>
    <row r="215" spans="1:25" x14ac:dyDescent="0.3">
      <c r="A215" s="21" t="s">
        <v>187</v>
      </c>
      <c r="B215" s="3" t="s">
        <v>7</v>
      </c>
      <c r="C215" s="3">
        <v>50</v>
      </c>
      <c r="D215" s="3" t="s">
        <v>181</v>
      </c>
      <c r="E215" s="60" t="s">
        <v>182</v>
      </c>
      <c r="F215" s="3" t="s">
        <v>5</v>
      </c>
      <c r="G215" s="4"/>
      <c r="H215" s="4"/>
      <c r="I215" s="5" t="str">
        <f t="shared" si="16"/>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province</v>
      </c>
      <c r="V215" s="4" t="str">
        <f>IF(LEN(Table2[[#This Row],[!Description]]) &gt; 0, Table2[[#This Row],[!Description]], "rg:None")</f>
        <v>The Province of the address.</v>
      </c>
      <c r="W215" s="4" t="str">
        <f>IF(LEN(Table2[[#This Row],[!FK]])&gt;0,Table2[[#This Row],[!FK]],"rg:None")</f>
        <v>rg:None</v>
      </c>
      <c r="X215" s="14" t="str">
        <f>IF(LEN(concatif2(A:A,Table2[[#This Row],[!Table]],G:G,"Y",D:D,",")) &gt; 0,"rg:[ { 'req' : '"&amp;concatif2(A:A,Table2[[#This Row],[!Table]],G:G,"Y",D:D,"' }, { 'req': '")&amp;"'} ]","rg:[]")</f>
        <v>rg:[ { 'req' : 'id'} ]</v>
      </c>
      <c r="Y215" s="4" t="str">
        <f>IF(LEN(Table2[[#This Row],[!Unique]])&gt;0,"rg:True","rg:None")</f>
        <v>rg:None</v>
      </c>
    </row>
    <row r="216" spans="1:25" x14ac:dyDescent="0.3">
      <c r="A216" s="21" t="s">
        <v>187</v>
      </c>
      <c r="B216" s="3" t="s">
        <v>7</v>
      </c>
      <c r="C216" s="3">
        <v>15</v>
      </c>
      <c r="D216" s="3" t="s">
        <v>183</v>
      </c>
      <c r="E216" s="60" t="s">
        <v>184</v>
      </c>
      <c r="F216" s="3" t="s">
        <v>5</v>
      </c>
      <c r="G216" s="4"/>
      <c r="H216" s="4"/>
      <c r="I216" s="5" t="str">
        <f t="shared" si="16"/>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15</v>
      </c>
      <c r="U216" s="4" t="str">
        <f>IF(LEN(Table2[[#This Row],[!Name]]) &gt; 0, Table2[[#This Row],[!Name]], "rg:None")</f>
        <v>postalCode</v>
      </c>
      <c r="V216" s="4" t="str">
        <f>IF(LEN(Table2[[#This Row],[!Description]]) &gt; 0, Table2[[#This Row],[!Description]], "rg:None")</f>
        <v>The postal code of the address.</v>
      </c>
      <c r="W216" s="4" t="str">
        <f>IF(LEN(Table2[[#This Row],[!FK]])&gt;0,Table2[[#This Row],[!FK]],"rg:None")</f>
        <v>rg:None</v>
      </c>
      <c r="X216" s="14" t="str">
        <f>IF(LEN(concatif2(A:A,Table2[[#This Row],[!Table]],G:G,"Y",D:D,",")) &gt; 0,"rg:[ { 'req' : '"&amp;concatif2(A:A,Table2[[#This Row],[!Table]],G:G,"Y",D:D,"' }, { 'req': '")&amp;"'} ]","rg:[]")</f>
        <v>rg:[ { 'req' : 'id'} ]</v>
      </c>
      <c r="Y216" s="4" t="str">
        <f>IF(LEN(Table2[[#This Row],[!Unique]])&gt;0,"rg:True","rg:None")</f>
        <v>rg:None</v>
      </c>
    </row>
    <row r="217" spans="1:25" ht="28.8" x14ac:dyDescent="0.3">
      <c r="A217" s="21" t="s">
        <v>155</v>
      </c>
      <c r="B217" s="3" t="s">
        <v>4</v>
      </c>
      <c r="C217" s="3"/>
      <c r="D217" s="3" t="s">
        <v>155</v>
      </c>
      <c r="E217" s="84" t="s">
        <v>412</v>
      </c>
      <c r="F217" s="3" t="s">
        <v>5</v>
      </c>
      <c r="G217" s="4"/>
      <c r="H217" s="4"/>
      <c r="I217" s="5" t="str">
        <f t="shared" ref="I217:I228" si="17">IF(LEN(A217) &gt; 0,"Defs","-")</f>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table</v>
      </c>
      <c r="T217" s="4" t="str">
        <f>IF(LEN(Table2[[#This Row],[!Length]]) &gt; 0, Table2[[#This Row],[!Length]], "rg:None")</f>
        <v>rg:None</v>
      </c>
      <c r="U217" s="4" t="str">
        <f>IF(LEN(Table2[[#This Row],[!Name]]) &gt; 0, Table2[[#This Row],[!Name]], "rg:None")</f>
        <v>Note</v>
      </c>
      <c r="V217" s="4" t="str">
        <f>IF(LEN(Table2[[#This Row],[!Description]]) &gt; 0, Table2[[#This Row],[!Description]], "rg:None")</f>
        <v>Text entered about an entity in the application - e.g. piece of Equipment, an Owner, a Project and so on.</v>
      </c>
      <c r="W217" s="4" t="str">
        <f>IF(LEN(Table2[[#This Row],[!FK]])&gt;0,Table2[[#This Row],[!FK]],"rg:None")</f>
        <v>rg:None</v>
      </c>
      <c r="X217" s="14" t="str">
        <f>IF(LEN(concatif2(A:A,Table2[[#This Row],[!Table]],G:G,"Y",D:D,",")) &gt; 0,"rg:[ { 'req' : '"&amp;concatif2(A:A,Table2[[#This Row],[!Table]],G:G,"Y",D:D,"' }, { 'req': '")&amp;"'} ]","rg:[]")</f>
        <v>rg:[ { 'req' : 'id' }, { 'req': 'text'} ]</v>
      </c>
      <c r="Y217" s="4" t="str">
        <f>IF(LEN(Table2[[#This Row],[!Unique]])&gt;0,"rg:True","rg:None")</f>
        <v>rg:None</v>
      </c>
    </row>
    <row r="218" spans="1:25" x14ac:dyDescent="0.3">
      <c r="A218" s="21" t="s">
        <v>155</v>
      </c>
      <c r="B218" s="3" t="s">
        <v>6</v>
      </c>
      <c r="C218" s="3"/>
      <c r="D218" s="3" t="s">
        <v>6</v>
      </c>
      <c r="E218" s="60" t="s">
        <v>352</v>
      </c>
      <c r="F218" s="3" t="s">
        <v>5</v>
      </c>
      <c r="G218" s="4" t="s">
        <v>64</v>
      </c>
      <c r="H218" s="53"/>
      <c r="I218" s="5" t="str">
        <f t="shared" si="17"/>
        <v>Defs</v>
      </c>
      <c r="J218" s="4" t="str">
        <f>IF(Table2[[#This Row],[!Type]]=J$1, J$1,"rg:None")</f>
        <v>rg:None</v>
      </c>
      <c r="K218" s="4" t="str">
        <f>IF(Table2[[#This Row],[!Type]]=K$1, K$1,"rg:None")</f>
        <v>rg:None</v>
      </c>
      <c r="L218" s="4" t="str">
        <f>IF(Table2[[#This Row],[!Type]]=L$1, L$1,"rg:None")</f>
        <v>rg:None</v>
      </c>
      <c r="M218" s="4" t="str">
        <f>IF(Table2[[#This Row],[!Type]]=M$1, M$1,"rg:None")</f>
        <v>id</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id</v>
      </c>
      <c r="V218" s="4" t="str">
        <f>IF(LEN(Table2[[#This Row],[!Description]]) &gt; 0, Table2[[#This Row],[!Description]], "rg:None")</f>
        <v>A system-generated unique identifier for a Note</v>
      </c>
      <c r="W218" s="4" t="str">
        <f>IF(LEN(Table2[[#This Row],[!FK]])&gt;0,Table2[[#This Row],[!FK]],"rg:None")</f>
        <v>rg:None</v>
      </c>
      <c r="X218" s="14" t="str">
        <f>IF(LEN(concatif2(A:A,Table2[[#This Row],[!Table]],G:G,"Y",D:D,",")) &gt; 0,"rg:[ { 'req' : '"&amp;concatif2(A:A,Table2[[#This Row],[!Table]],G:G,"Y",D:D,"' }, { 'req': '")&amp;"'} ]","rg:[]")</f>
        <v>rg:[ { 'req' : 'id' }, { 'req': 'text'} ]</v>
      </c>
      <c r="Y218" s="4" t="str">
        <f>IF(LEN(Table2[[#This Row],[!Unique]])&gt;0,"rg:True","rg:None")</f>
        <v>rg:None</v>
      </c>
    </row>
    <row r="219" spans="1:25" x14ac:dyDescent="0.3">
      <c r="A219" s="21" t="s">
        <v>155</v>
      </c>
      <c r="B219" s="3" t="s">
        <v>7</v>
      </c>
      <c r="C219" s="3">
        <v>2048</v>
      </c>
      <c r="D219" s="52" t="s">
        <v>387</v>
      </c>
      <c r="E219" s="67" t="s">
        <v>351</v>
      </c>
      <c r="F219" s="3" t="s">
        <v>5</v>
      </c>
      <c r="G219" s="53" t="s">
        <v>64</v>
      </c>
      <c r="H219" s="4"/>
      <c r="I219" s="5" t="str">
        <f t="shared" si="17"/>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2048</v>
      </c>
      <c r="U219" s="4" t="str">
        <f>IF(LEN(Table2[[#This Row],[!Name]]) &gt; 0, Table2[[#This Row],[!Name]], "rg:None")</f>
        <v>text</v>
      </c>
      <c r="V219" s="4" t="str">
        <f>IF(LEN(Table2[[#This Row],[!Description]]) &gt; 0, Table2[[#This Row],[!Description]], "rg:None")</f>
        <v>Notes entered by users about instance of entities - e.g. School Buses and School Bus Owners</v>
      </c>
      <c r="W219" s="4" t="str">
        <f>IF(LEN(Table2[[#This Row],[!FK]])&gt;0,Table2[[#This Row],[!FK]],"rg:None")</f>
        <v>rg:None</v>
      </c>
      <c r="X219" s="14" t="str">
        <f>IF(LEN(concatif2(A:A,Table2[[#This Row],[!Table]],G:G,"Y",D:D,",")) &gt; 0,"rg:[ { 'req' : '"&amp;concatif2(A:A,Table2[[#This Row],[!Table]],G:G,"Y",D:D,"' }, { 'req': '")&amp;"'} ]","rg:[]")</f>
        <v>rg:[ { 'req' : 'id' }, { 'req': 'text'} ]</v>
      </c>
      <c r="Y219" s="4" t="str">
        <f>IF(LEN(Table2[[#This Row],[!Unique]])&gt;0,"rg:True","rg:None")</f>
        <v>rg:None</v>
      </c>
    </row>
    <row r="220" spans="1:25" ht="28.8" x14ac:dyDescent="0.3">
      <c r="A220" s="21" t="s">
        <v>155</v>
      </c>
      <c r="B220" s="3" t="s">
        <v>9</v>
      </c>
      <c r="C220" s="3"/>
      <c r="D220" s="3" t="s">
        <v>165</v>
      </c>
      <c r="E220" s="72" t="s">
        <v>353</v>
      </c>
      <c r="F220" s="3" t="s">
        <v>5</v>
      </c>
      <c r="G220" s="4"/>
      <c r="H220" s="4"/>
      <c r="I220" s="5" t="str">
        <f t="shared" si="17"/>
        <v>Defs</v>
      </c>
      <c r="J220" s="4" t="str">
        <f>IF(Table2[[#This Row],[!Type]]=J$1, J$1,"rg:None")</f>
        <v>boolean</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isNoLongerRelevant</v>
      </c>
      <c r="V220" s="4" t="str">
        <f>IF(LEN(Table2[[#This Row],[!Description]]) &gt; 0, Table2[[#This Row],[!Description]], "rg:None")</f>
        <v>A user set flag that the note is no longer relevant. Allows the note to be retained for historical reasons,  but identified to other users as no longer applicable.</v>
      </c>
      <c r="W220" s="4" t="str">
        <f>IF(LEN(Table2[[#This Row],[!FK]])&gt;0,Table2[[#This Row],[!FK]],"rg:None")</f>
        <v>rg:None</v>
      </c>
      <c r="X220" s="14" t="str">
        <f>IF(LEN(concatif2(A:A,Table2[[#This Row],[!Table]],G:G,"Y",D:D,",")) &gt; 0,"rg:[ { 'req' : '"&amp;concatif2(A:A,Table2[[#This Row],[!Table]],G:G,"Y",D:D,"' }, { 'req': '")&amp;"'} ]","rg:[]")</f>
        <v>rg:[ { 'req' : 'id' }, { 'req': 'text'} ]</v>
      </c>
      <c r="Y220" s="4" t="str">
        <f>IF(LEN(Table2[[#This Row],[!Unique]])&gt;0,"rg:True","rg:None")</f>
        <v>rg:None</v>
      </c>
    </row>
    <row r="221" spans="1:25" ht="28.8" x14ac:dyDescent="0.3">
      <c r="A221" s="21" t="s">
        <v>169</v>
      </c>
      <c r="B221" s="3" t="s">
        <v>4</v>
      </c>
      <c r="C221" s="3"/>
      <c r="D221" s="21" t="s">
        <v>169</v>
      </c>
      <c r="E221" s="84" t="s">
        <v>413</v>
      </c>
      <c r="F221" s="3" t="s">
        <v>5</v>
      </c>
      <c r="G221" s="4"/>
      <c r="H221" s="4"/>
      <c r="I221" s="5" t="str">
        <f t="shared" si="17"/>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table</v>
      </c>
      <c r="T221" s="4" t="str">
        <f>IF(LEN(Table2[[#This Row],[!Length]]) &gt; 0, Table2[[#This Row],[!Length]], "rg:None")</f>
        <v>rg:None</v>
      </c>
      <c r="U221" s="4" t="str">
        <f>IF(LEN(Table2[[#This Row],[!Name]]) &gt; 0, Table2[[#This Row],[!Name]], "rg:None")</f>
        <v>Attachment</v>
      </c>
      <c r="V221" s="4" t="str">
        <f>IF(LEN(Table2[[#This Row],[!Description]]) &gt; 0, Table2[[#This Row],[!Description]], "rg:None")</f>
        <v>Uploaded documents related to entity in the application - e.g. piece of Equipment, an Owner, a Project and so on.</v>
      </c>
      <c r="W221" s="4" t="str">
        <f>IF(LEN(Table2[[#This Row],[!FK]])&gt;0,Table2[[#This Row],[!FK]],"rg:None")</f>
        <v>rg:None</v>
      </c>
      <c r="X221" s="14" t="str">
        <f>IF(LEN(concatif2(A:A,Table2[[#This Row],[!Table]],G:G,"Y",D:D,",")) &gt; 0,"rg:[ { 'req' : '"&amp;concatif2(A:A,Table2[[#This Row],[!Table]],G:G,"Y",D:D,"' }, { 'req': '")&amp;"'} ]","rg:[]")</f>
        <v>rg:[ { 'req' : 'id' }, { 'req': 'internalFileName' }, { 'req': 'externalFileName'} ]</v>
      </c>
      <c r="Y221" s="4" t="str">
        <f>IF(LEN(Table2[[#This Row],[!Unique]])&gt;0,"rg:True","rg:None")</f>
        <v>rg:None</v>
      </c>
    </row>
    <row r="222" spans="1:25" x14ac:dyDescent="0.3">
      <c r="A222" s="21" t="s">
        <v>169</v>
      </c>
      <c r="B222" s="3" t="s">
        <v>6</v>
      </c>
      <c r="C222" s="3"/>
      <c r="D222" s="3" t="s">
        <v>6</v>
      </c>
      <c r="E222" s="60" t="s">
        <v>354</v>
      </c>
      <c r="F222" s="3" t="s">
        <v>5</v>
      </c>
      <c r="G222" s="4" t="s">
        <v>64</v>
      </c>
      <c r="H222" s="53"/>
      <c r="I222" s="5" t="str">
        <f t="shared" si="17"/>
        <v>Defs</v>
      </c>
      <c r="J222" s="4" t="str">
        <f>IF(Table2[[#This Row],[!Type]]=J$1, J$1,"rg:None")</f>
        <v>rg:None</v>
      </c>
      <c r="K222" s="4" t="str">
        <f>IF(Table2[[#This Row],[!Type]]=K$1, K$1,"rg:None")</f>
        <v>rg:None</v>
      </c>
      <c r="L222" s="4" t="str">
        <f>IF(Table2[[#This Row],[!Type]]=L$1, L$1,"rg:None")</f>
        <v>rg:None</v>
      </c>
      <c r="M222" s="4" t="str">
        <f>IF(Table2[[#This Row],[!Type]]=M$1, M$1,"rg:None")</f>
        <v>id</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id</v>
      </c>
      <c r="V222" s="4" t="str">
        <f>IF(LEN(Table2[[#This Row],[!Description]]) &gt; 0, Table2[[#This Row],[!Description]], "rg:None")</f>
        <v>A system-generated unique identifier for an Attachment</v>
      </c>
      <c r="W222" s="4" t="str">
        <f>IF(LEN(Table2[[#This Row],[!FK]])&gt;0,Table2[[#This Row],[!FK]],"rg:None")</f>
        <v>rg:None</v>
      </c>
      <c r="X222" s="14" t="str">
        <f>IF(LEN(concatif2(A:A,Table2[[#This Row],[!Table]],G:G,"Y",D:D,",")) &gt; 0,"rg:[ { 'req' : '"&amp;concatif2(A:A,Table2[[#This Row],[!Table]],G:G,"Y",D:D,"' }, { 'req': '")&amp;"'} ]","rg:[]")</f>
        <v>rg:[ { 'req' : 'id' }, { 'req': 'internalFileName' }, { 'req': 'externalFileName'} ]</v>
      </c>
      <c r="Y222" s="4" t="str">
        <f>IF(LEN(Table2[[#This Row],[!Unique]])&gt;0,"rg:True","rg:None")</f>
        <v>rg:None</v>
      </c>
    </row>
    <row r="223" spans="1:25" x14ac:dyDescent="0.3">
      <c r="A223" s="21" t="s">
        <v>169</v>
      </c>
      <c r="B223" s="3" t="s">
        <v>7</v>
      </c>
      <c r="C223" s="3">
        <v>2048</v>
      </c>
      <c r="D223" s="3" t="s">
        <v>234</v>
      </c>
      <c r="E223" s="60" t="s">
        <v>235</v>
      </c>
      <c r="F223" s="3" t="s">
        <v>5</v>
      </c>
      <c r="G223" s="53" t="s">
        <v>64</v>
      </c>
      <c r="H223" s="53"/>
      <c r="I223" s="5" t="str">
        <f t="shared" si="17"/>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2048</v>
      </c>
      <c r="U223" s="4" t="str">
        <f>IF(LEN(Table2[[#This Row],[!Name]]) &gt; 0, Table2[[#This Row],[!Name]], "rg:None")</f>
        <v>internalFileName</v>
      </c>
      <c r="V223" s="4" t="str">
        <f>IF(LEN(Table2[[#This Row],[!Description]]) &gt; 0, Table2[[#This Row],[!Description]], "rg:None")</f>
        <v>The physical location of the attachment on the file system.</v>
      </c>
      <c r="W223" s="4" t="str">
        <f>IF(LEN(Table2[[#This Row],[!FK]])&gt;0,Table2[[#This Row],[!FK]],"rg:None")</f>
        <v>rg:None</v>
      </c>
      <c r="X223" s="14" t="str">
        <f>IF(LEN(concatif2(A:A,Table2[[#This Row],[!Table]],G:G,"Y",D:D,",")) &gt; 0,"rg:[ { 'req' : '"&amp;concatif2(A:A,Table2[[#This Row],[!Table]],G:G,"Y",D:D,"' }, { 'req': '")&amp;"'} ]","rg:[]")</f>
        <v>rg:[ { 'req' : 'id' }, { 'req': 'internalFileName' }, { 'req': 'externalFileName'} ]</v>
      </c>
      <c r="Y223" s="4" t="str">
        <f>IF(LEN(Table2[[#This Row],[!Unique]])&gt;0,"rg:True","rg:None")</f>
        <v>rg:None</v>
      </c>
    </row>
    <row r="224" spans="1:25" x14ac:dyDescent="0.3">
      <c r="A224" s="21" t="s">
        <v>169</v>
      </c>
      <c r="B224" s="3" t="s">
        <v>7</v>
      </c>
      <c r="C224" s="3">
        <v>2048</v>
      </c>
      <c r="D224" s="3" t="s">
        <v>166</v>
      </c>
      <c r="E224" s="71" t="s">
        <v>167</v>
      </c>
      <c r="F224" s="3" t="s">
        <v>5</v>
      </c>
      <c r="G224" s="53" t="s">
        <v>64</v>
      </c>
      <c r="H224" s="53"/>
      <c r="I224" s="5" t="str">
        <f t="shared" si="17"/>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2048</v>
      </c>
      <c r="U224" s="4" t="str">
        <f>IF(LEN(Table2[[#This Row],[!Name]]) &gt; 0, Table2[[#This Row],[!Name]], "rg:None")</f>
        <v>externalFileName</v>
      </c>
      <c r="V224" s="4" t="str">
        <f>IF(LEN(Table2[[#This Row],[!Description]]) &gt; 0, Table2[[#This Row],[!Description]], "rg:None")</f>
        <v>The name of the attachment as defined by the user in uploading the document.</v>
      </c>
      <c r="W224" s="4" t="str">
        <f>IF(LEN(Table2[[#This Row],[!FK]])&gt;0,Table2[[#This Row],[!FK]],"rg:None")</f>
        <v>rg:None</v>
      </c>
      <c r="X224" s="14" t="str">
        <f>IF(LEN(concatif2(A:A,Table2[[#This Row],[!Table]],G:G,"Y",D:D,",")) &gt; 0,"rg:[ { 'req' : '"&amp;concatif2(A:A,Table2[[#This Row],[!Table]],G:G,"Y",D:D,"' }, { 'req': '")&amp;"'} ]","rg:[]")</f>
        <v>rg:[ { 'req' : 'id' }, { 'req': 'internalFileName' }, { 'req': 'externalFileName'} ]</v>
      </c>
      <c r="Y224" s="4" t="str">
        <f>IF(LEN(Table2[[#This Row],[!Unique]])&gt;0,"rg:True","rg:None")</f>
        <v>rg:None</v>
      </c>
    </row>
    <row r="225" spans="1:25" x14ac:dyDescent="0.3">
      <c r="A225" s="21" t="s">
        <v>169</v>
      </c>
      <c r="B225" s="3" t="s">
        <v>7</v>
      </c>
      <c r="C225" s="3">
        <v>2048</v>
      </c>
      <c r="D225" s="3" t="s">
        <v>14</v>
      </c>
      <c r="E225" s="71" t="s">
        <v>168</v>
      </c>
      <c r="F225" s="3" t="s">
        <v>5</v>
      </c>
      <c r="G225" s="4"/>
      <c r="H225" s="4"/>
      <c r="I225" s="5" t="str">
        <f t="shared" si="17"/>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2048</v>
      </c>
      <c r="U225" s="4" t="str">
        <f>IF(LEN(Table2[[#This Row],[!Name]]) &gt; 0, Table2[[#This Row],[!Name]], "rg:None")</f>
        <v>description</v>
      </c>
      <c r="V225" s="4" t="str">
        <f>IF(LEN(Table2[[#This Row],[!Description]]) &gt; 0, Table2[[#This Row],[!Description]], "rg:None")</f>
        <v>A note about the attachment,  optionally maintained by the user.</v>
      </c>
      <c r="W225" s="4" t="str">
        <f>IF(LEN(Table2[[#This Row],[!FK]])&gt;0,Table2[[#This Row],[!FK]],"rg:None")</f>
        <v>rg:None</v>
      </c>
      <c r="X225" s="14" t="str">
        <f>IF(LEN(concatif2(A:A,Table2[[#This Row],[!Table]],G:G,"Y",D:D,",")) &gt; 0,"rg:[ { 'req' : '"&amp;concatif2(A:A,Table2[[#This Row],[!Table]],G:G,"Y",D:D,"' }, { 'req': '")&amp;"'} ]","rg:[]")</f>
        <v>rg:[ { 'req' : 'id' }, { 'req': 'internalFileName' }, { 'req': 'externalFileName'} ]</v>
      </c>
      <c r="Y225" s="4" t="str">
        <f>IF(LEN(Table2[[#This Row],[!Unique]])&gt;0,"rg:True","rg:None")</f>
        <v>rg:None</v>
      </c>
    </row>
    <row r="226" spans="1:25" ht="28.8" x14ac:dyDescent="0.3">
      <c r="A226" s="21" t="s">
        <v>171</v>
      </c>
      <c r="B226" s="3" t="s">
        <v>4</v>
      </c>
      <c r="C226" s="3"/>
      <c r="D226" s="21" t="s">
        <v>171</v>
      </c>
      <c r="E226" s="84" t="s">
        <v>414</v>
      </c>
      <c r="F226" s="3" t="s">
        <v>5</v>
      </c>
      <c r="G226" s="4"/>
      <c r="H226" s="4"/>
      <c r="I226" s="5" t="str">
        <f t="shared" si="17"/>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rg:None</v>
      </c>
      <c r="S226" s="4" t="str">
        <f>IF(Table2[[#This Row],[!Type]]=S$1, S$1,"rg:None")</f>
        <v>table</v>
      </c>
      <c r="T226" s="4" t="str">
        <f>IF(LEN(Table2[[#This Row],[!Length]]) &gt; 0, Table2[[#This Row],[!Length]], "rg:None")</f>
        <v>rg:None</v>
      </c>
      <c r="U226" s="4" t="str">
        <f>IF(LEN(Table2[[#This Row],[!Name]]) &gt; 0, Table2[[#This Row],[!Name]], "rg:None")</f>
        <v>History</v>
      </c>
      <c r="V226" s="4" t="str">
        <f>IF(LEN(Table2[[#This Row],[!Description]]) &gt; 0, Table2[[#This Row],[!Description]], "rg:None")</f>
        <v>A log entry created by the system based on a triggering event and related to an entity in the application - e.g. piece of Equipment, an Owner, a Project and so on.</v>
      </c>
      <c r="W226" s="4" t="str">
        <f>IF(LEN(Table2[[#This Row],[!FK]])&gt;0,Table2[[#This Row],[!FK]],"rg:None")</f>
        <v>rg:None</v>
      </c>
      <c r="X226" s="14" t="str">
        <f>IF(LEN(concatif2(A:A,Table2[[#This Row],[!Table]],G:G,"Y",D:D,",")) &gt; 0,"rg:[ { 'req' : '"&amp;concatif2(A:A,Table2[[#This Row],[!Table]],G:G,"Y",D:D,"' }, { 'req': '")&amp;"'} ]","rg:[]")</f>
        <v>rg:[ { 'req' : 'id' }, { 'req': 'historyText'} ]</v>
      </c>
      <c r="Y226" s="4" t="str">
        <f>IF(LEN(Table2[[#This Row],[!Unique]])&gt;0,"rg:True","rg:None")</f>
        <v>rg:None</v>
      </c>
    </row>
    <row r="227" spans="1:25" x14ac:dyDescent="0.3">
      <c r="A227" s="21" t="s">
        <v>171</v>
      </c>
      <c r="B227" s="3" t="s">
        <v>6</v>
      </c>
      <c r="C227" s="3"/>
      <c r="D227" s="3" t="s">
        <v>6</v>
      </c>
      <c r="E227" s="60" t="s">
        <v>355</v>
      </c>
      <c r="F227" s="3" t="s">
        <v>5</v>
      </c>
      <c r="G227" s="4" t="s">
        <v>64</v>
      </c>
      <c r="H227" s="53"/>
      <c r="I227" s="5" t="str">
        <f t="shared" si="17"/>
        <v>Defs</v>
      </c>
      <c r="J227" s="4" t="str">
        <f>IF(Table2[[#This Row],[!Type]]=J$1, J$1,"rg:None")</f>
        <v>rg:None</v>
      </c>
      <c r="K227" s="4" t="str">
        <f>IF(Table2[[#This Row],[!Type]]=K$1, K$1,"rg:None")</f>
        <v>rg:None</v>
      </c>
      <c r="L227" s="4" t="str">
        <f>IF(Table2[[#This Row],[!Type]]=L$1, L$1,"rg:None")</f>
        <v>rg:None</v>
      </c>
      <c r="M227" s="4" t="str">
        <f>IF(Table2[[#This Row],[!Type]]=M$1, M$1,"rg:None")</f>
        <v>id</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id</v>
      </c>
      <c r="V227" s="4" t="str">
        <f>IF(LEN(Table2[[#This Row],[!Description]]) &gt; 0, Table2[[#This Row],[!Description]], "rg:None")</f>
        <v>A system-generated unique identifier for a History</v>
      </c>
      <c r="W227" s="4" t="str">
        <f>IF(LEN(Table2[[#This Row],[!FK]])&gt;0,Table2[[#This Row],[!FK]],"rg:None")</f>
        <v>rg:None</v>
      </c>
      <c r="X227" s="14" t="str">
        <f>IF(LEN(concatif2(A:A,Table2[[#This Row],[!Table]],G:G,"Y",D:D,",")) &gt; 0,"rg:[ { 'req' : '"&amp;concatif2(A:A,Table2[[#This Row],[!Table]],G:G,"Y",D:D,"' }, { 'req': '")&amp;"'} ]","rg:[]")</f>
        <v>rg:[ { 'req' : 'id' }, { 'req': 'historyText'} ]</v>
      </c>
      <c r="Y227" s="4" t="str">
        <f>IF(LEN(Table2[[#This Row],[!Unique]])&gt;0,"rg:True","rg:None")</f>
        <v>rg:None</v>
      </c>
    </row>
    <row r="228" spans="1:25" x14ac:dyDescent="0.3">
      <c r="A228" s="21" t="s">
        <v>171</v>
      </c>
      <c r="B228" s="21" t="s">
        <v>7</v>
      </c>
      <c r="C228" s="3">
        <v>2048</v>
      </c>
      <c r="D228" s="37" t="s">
        <v>236</v>
      </c>
      <c r="E228" s="73" t="s">
        <v>237</v>
      </c>
      <c r="F228" s="3"/>
      <c r="G228" s="53" t="s">
        <v>64</v>
      </c>
      <c r="H228" s="53"/>
      <c r="I228" s="5" t="str">
        <f t="shared" si="17"/>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2048</v>
      </c>
      <c r="U228" s="4" t="str">
        <f>IF(LEN(Table2[[#This Row],[!Name]]) &gt; 0, Table2[[#This Row],[!Name]], "rg:None")</f>
        <v>historyText</v>
      </c>
      <c r="V228" s="4" t="str">
        <f>IF(LEN(Table2[[#This Row],[!Description]]) &gt; 0, Table2[[#This Row],[!Description]], "rg:None")</f>
        <v>The text of the history entry tracked against the related entity.</v>
      </c>
      <c r="W228" s="4" t="str">
        <f>IF(LEN(Table2[[#This Row],[!FK]])&gt;0,Table2[[#This Row],[!FK]],"rg:None")</f>
        <v>rg:None</v>
      </c>
      <c r="X228" s="14" t="str">
        <f>IF(LEN(concatif2(A:A,Table2[[#This Row],[!Table]],G:G,"Y",D:D,",")) &gt; 0,"rg:[ { 'req' : '"&amp;concatif2(A:A,Table2[[#This Row],[!Table]],G:G,"Y",D:D,"' }, { 'req': '")&amp;"'} ]","rg:[]")</f>
        <v>rg:[ { 'req' : 'id' }, { 'req': 'historyText'} ]</v>
      </c>
      <c r="Y228" s="4" t="str">
        <f>IF(LEN(Table2[[#This Row],[!Unique]])&gt;0,"rg:True","rg:None")</f>
        <v>rg:None</v>
      </c>
    </row>
    <row r="229" spans="1:25" x14ac:dyDescent="0.3">
      <c r="A229" s="21" t="s">
        <v>171</v>
      </c>
      <c r="B229" s="20" t="s">
        <v>12</v>
      </c>
      <c r="C229" s="18"/>
      <c r="D229" s="36" t="s">
        <v>233</v>
      </c>
      <c r="E229" s="74" t="s">
        <v>172</v>
      </c>
      <c r="F229" s="12"/>
      <c r="G229" s="19"/>
      <c r="H229" s="19"/>
      <c r="I229" s="4" t="str">
        <f>IF(LEN(A229) &gt; 0,"Defs","-")</f>
        <v>Defs</v>
      </c>
      <c r="J229" s="14" t="str">
        <f>IF(Table2[[#This Row],[!Type]]=J$1, J$1,"rg:None")</f>
        <v>rg:None</v>
      </c>
      <c r="K229" s="14" t="str">
        <f>IF(Table2[[#This Row],[!Type]]=K$1, K$1,"rg:None")</f>
        <v>rg:None</v>
      </c>
      <c r="L229" s="14" t="str">
        <f>IF(Table2[[#This Row],[!Type]]=L$1, L$1,"rg:None")</f>
        <v>datetime</v>
      </c>
      <c r="M229" s="14" t="str">
        <f>IF(Table2[[#This Row],[!Type]]=M$1, M$1,"rg:None")</f>
        <v>rg:None</v>
      </c>
      <c r="N229" s="14" t="str">
        <f>IF(Table2[[#This Row],[!Type]]=N$1, N$1,"rg:None")</f>
        <v>rg:None</v>
      </c>
      <c r="O229" s="1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14" t="str">
        <f>IF(LEN(Table2[[#This Row],[!Length]]) &gt; 0, Table2[[#This Row],[!Length]], "rg:None")</f>
        <v>rg:None</v>
      </c>
      <c r="U229" s="14" t="str">
        <f>IF(LEN(Table2[[#This Row],[!Name]]) &gt; 0, Table2[[#This Row],[!Name]], "rg:None")</f>
        <v>createdDate</v>
      </c>
      <c r="V229" s="14" t="str">
        <f>IF(LEN(Table2[[#This Row],[!Description]]) &gt; 0, Table2[[#This Row],[!Description]], "rg:None")</f>
        <v>Date the record is created.</v>
      </c>
      <c r="W229" s="14" t="str">
        <f>IF(LEN(Table2[[#This Row],[!FK]])&gt;0,Table2[[#This Row],[!FK]],"rg:None")</f>
        <v>rg:None</v>
      </c>
      <c r="X229" s="14" t="str">
        <f>IF(LEN(concatif2(A:A,Table2[[#This Row],[!Table]],G:G,"Y",D:D,",")) &gt; 0,"rg:[ { 'req' : '"&amp;concatif2(A:A,Table2[[#This Row],[!Table]],G:G,"Y",D:D,"' }, { 'req': '")&amp;"'} ]","rg:[]")</f>
        <v>rg:[ { 'req' : 'id' }, { 'req': 'historyText'} ]</v>
      </c>
      <c r="Y229" s="14" t="str">
        <f>IF(LEN(Table2[[#This Row],[!Unique]])&gt;0,"rg:True","rg:None")</f>
        <v>rg:None</v>
      </c>
    </row>
    <row r="230" spans="1:25" ht="28.8" x14ac:dyDescent="0.3">
      <c r="A230" s="3" t="s">
        <v>22</v>
      </c>
      <c r="B230" s="3" t="s">
        <v>4</v>
      </c>
      <c r="C230" s="3"/>
      <c r="D230" s="88" t="s">
        <v>22</v>
      </c>
      <c r="E230" s="84" t="s">
        <v>416</v>
      </c>
      <c r="F230" s="3" t="s">
        <v>5</v>
      </c>
      <c r="G230" s="4"/>
      <c r="H230" s="4"/>
      <c r="I230" s="5" t="str">
        <f t="shared" ref="I230:I275" si="18">IF(LEN(A230) &gt; 0,"Defs","-")</f>
        <v>Defs</v>
      </c>
      <c r="J230" t="str">
        <f>IF(Table2[[#This Row],[!Type]]=J$1, J$1,"rg:None")</f>
        <v>rg:None</v>
      </c>
      <c r="K230" t="str">
        <f>IF(Table2[[#This Row],[!Type]]=K$1, K$1,"rg:None")</f>
        <v>rg:None</v>
      </c>
      <c r="L230" t="str">
        <f>IF(Table2[[#This Row],[!Type]]=L$1, L$1,"rg:None")</f>
        <v>rg:None</v>
      </c>
      <c r="M230" t="str">
        <f>IF(Table2[[#This Row],[!Type]]=M$1, M$1,"rg:None")</f>
        <v>rg:None</v>
      </c>
      <c r="N230" s="8" t="str">
        <f>IF(Table2[[#This Row],[!Type]]=N$1, N$1,"rg:None")</f>
        <v>rg:None</v>
      </c>
      <c r="O230" s="8"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table</v>
      </c>
      <c r="T230" s="8" t="str">
        <f>IF(LEN(Table2[[#This Row],[!Length]]) &gt; 0, Table2[[#This Row],[!Length]], "rg:None")</f>
        <v>rg:None</v>
      </c>
      <c r="U230" s="8" t="str">
        <f>IF(LEN(Table2[[#This Row],[!Name]]) &gt; 0, Table2[[#This Row],[!Name]], "rg:None")</f>
        <v>FavouriteContextType</v>
      </c>
      <c r="V230" s="8" t="str">
        <f>IF(LEN(Table2[[#This Row],[!Description]]) &gt; 0, Table2[[#This Row],[!Description]], "rg:None")</f>
        <v>The name for a place in the UI where per user settings can be stored - for example, the Equipment search screen, Owner search screen, etc.</v>
      </c>
      <c r="W230" s="8" t="str">
        <f>IF(LEN(Table2[[#This Row],[!FK]])&gt;0,Table2[[#This Row],[!FK]],"rg:None")</f>
        <v>rg:None</v>
      </c>
      <c r="X230" s="8" t="str">
        <f>IF(LEN(concatif2(A:A,Table2[[#This Row],[!Table]],G:G,"Y",D:D,",")) &gt; 0,"rg:[ { 'req' : '"&amp;concatif2(A:A,Table2[[#This Row],[!Table]],G:G,"Y",D:D,"' }, { 'req': '")&amp;"'} ]","rg:[]")</f>
        <v>rg:[ { 'req' : 'id'} ]</v>
      </c>
      <c r="Y230" s="8" t="str">
        <f>IF(LEN(Table2[[#This Row],[!Unique]])&gt;0,"rg:True","rg:None")</f>
        <v>rg:None</v>
      </c>
    </row>
    <row r="231" spans="1:25" x14ac:dyDescent="0.3">
      <c r="A231" s="3" t="s">
        <v>22</v>
      </c>
      <c r="B231" s="3" t="s">
        <v>6</v>
      </c>
      <c r="C231" s="3"/>
      <c r="D231" s="3" t="s">
        <v>6</v>
      </c>
      <c r="E231" s="60" t="s">
        <v>389</v>
      </c>
      <c r="F231" s="3" t="s">
        <v>5</v>
      </c>
      <c r="G231" s="4" t="s">
        <v>64</v>
      </c>
      <c r="H231" s="4"/>
      <c r="I231" s="5" t="str">
        <f t="shared" si="18"/>
        <v>Defs</v>
      </c>
      <c r="J231" t="str">
        <f>IF(Table2[[#This Row],[!Type]]=J$1, J$1,"rg:None")</f>
        <v>rg:None</v>
      </c>
      <c r="K231" t="str">
        <f>IF(Table2[[#This Row],[!Type]]=K$1, K$1,"rg:None")</f>
        <v>rg:None</v>
      </c>
      <c r="L231" t="str">
        <f>IF(Table2[[#This Row],[!Type]]=L$1, L$1,"rg:None")</f>
        <v>rg:None</v>
      </c>
      <c r="M231" t="str">
        <f>IF(Table2[[#This Row],[!Type]]=M$1, M$1,"rg:None")</f>
        <v>id</v>
      </c>
      <c r="N231" s="8" t="str">
        <f>IF(Table2[[#This Row],[!Type]]=N$1, N$1,"rg:None")</f>
        <v>rg:None</v>
      </c>
      <c r="O231" s="8"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8" t="str">
        <f>IF(LEN(Table2[[#This Row],[!Length]]) &gt; 0, Table2[[#This Row],[!Length]], "rg:None")</f>
        <v>rg:None</v>
      </c>
      <c r="U231" s="8" t="str">
        <f>IF(LEN(Table2[[#This Row],[!Name]]) &gt; 0, Table2[[#This Row],[!Name]], "rg:None")</f>
        <v>id</v>
      </c>
      <c r="V231" s="8" t="str">
        <f>IF(LEN(Table2[[#This Row],[!Description]]) &gt; 0, Table2[[#This Row],[!Description]], "rg:None")</f>
        <v>A system-generated unique identifier for a FavouriteContextType</v>
      </c>
      <c r="W231" s="8" t="str">
        <f>IF(LEN(Table2[[#This Row],[!FK]])&gt;0,Table2[[#This Row],[!FK]],"rg:None")</f>
        <v>rg:None</v>
      </c>
      <c r="X231" s="8" t="str">
        <f>IF(LEN(concatif2(A:A,Table2[[#This Row],[!Table]],G:G,"Y",D:D,",")) &gt; 0,"rg:[ { 'req' : '"&amp;concatif2(A:A,Table2[[#This Row],[!Table]],G:G,"Y",D:D,"' }, { 'req': '")&amp;"'} ]","rg:[]")</f>
        <v>rg:[ { 'req' : 'id'} ]</v>
      </c>
      <c r="Y231" s="8" t="str">
        <f>IF(LEN(Table2[[#This Row],[!Unique]])&gt;0,"rg:True","rg:None")</f>
        <v>rg:None</v>
      </c>
    </row>
    <row r="232" spans="1:25" x14ac:dyDescent="0.3">
      <c r="A232" s="3" t="s">
        <v>22</v>
      </c>
      <c r="B232" s="3" t="s">
        <v>7</v>
      </c>
      <c r="C232" s="3">
        <v>150</v>
      </c>
      <c r="D232" s="3" t="s">
        <v>15</v>
      </c>
      <c r="E232" s="60" t="s">
        <v>23</v>
      </c>
      <c r="F232" s="3" t="s">
        <v>5</v>
      </c>
      <c r="G232" s="4"/>
      <c r="H232" s="4"/>
      <c r="I232" s="5" t="str">
        <f t="shared" si="18"/>
        <v>Defs</v>
      </c>
      <c r="J232" t="str">
        <f>IF(Table2[[#This Row],[!Type]]=J$1, J$1,"rg:None")</f>
        <v>rg:None</v>
      </c>
      <c r="K232" t="str">
        <f>IF(Table2[[#This Row],[!Type]]=K$1, K$1,"rg:None")</f>
        <v>rg:None</v>
      </c>
      <c r="L232" t="str">
        <f>IF(Table2[[#This Row],[!Type]]=L$1, L$1,"rg:None")</f>
        <v>rg:None</v>
      </c>
      <c r="M232" t="str">
        <f>IF(Table2[[#This Row],[!Type]]=M$1, M$1,"rg:None")</f>
        <v>rg:None</v>
      </c>
      <c r="N232" s="8" t="str">
        <f>IF(Table2[[#This Row],[!Type]]=N$1, N$1,"rg:None")</f>
        <v>rg:None</v>
      </c>
      <c r="O232" s="8" t="str">
        <f>IF(Table2[[#This Row],[!Type]]=O$1, O$1,"rg:None")</f>
        <v>rg:None</v>
      </c>
      <c r="P232" s="5" t="str">
        <f>IF(Table2[[#This Row],[!Type]]=P$1, P$1,"rg:None")</f>
        <v>rg:None</v>
      </c>
      <c r="Q232" s="5" t="str">
        <f>IF(Table2[[#This Row],[!Type]]=Q$1, Q$1,"rg:None")</f>
        <v>rg:None</v>
      </c>
      <c r="R232" s="5" t="str">
        <f>IF(Table2[[#This Row],[!Type]]=R$1, R$1,"rg:None")</f>
        <v>string</v>
      </c>
      <c r="S232" s="5" t="str">
        <f>IF(Table2[[#This Row],[!Type]]=S$1, S$1,"rg:None")</f>
        <v>rg:None</v>
      </c>
      <c r="T232" s="8">
        <f>IF(LEN(Table2[[#This Row],[!Length]]) &gt; 0, Table2[[#This Row],[!Length]], "rg:None")</f>
        <v>150</v>
      </c>
      <c r="U232" s="8" t="str">
        <f>IF(LEN(Table2[[#This Row],[!Name]]) &gt; 0, Table2[[#This Row],[!Name]], "rg:None")</f>
        <v>name</v>
      </c>
      <c r="V232" s="8" t="str">
        <f>IF(LEN(Table2[[#This Row],[!Description]]) &gt; 0, Table2[[#This Row],[!Description]], "rg:None")</f>
        <v>Context Name known by the UI.</v>
      </c>
      <c r="W232" s="8" t="str">
        <f>IF(LEN(Table2[[#This Row],[!FK]])&gt;0,Table2[[#This Row],[!FK]],"rg:None")</f>
        <v>rg:None</v>
      </c>
      <c r="X232" s="8" t="str">
        <f>IF(LEN(concatif2(A:A,Table2[[#This Row],[!Table]],G:G,"Y",D:D,",")) &gt; 0,"rg:[ { 'req' : '"&amp;concatif2(A:A,Table2[[#This Row],[!Table]],G:G,"Y",D:D,"' }, { 'req': '")&amp;"'} ]","rg:[]")</f>
        <v>rg:[ { 'req' : 'id'} ]</v>
      </c>
      <c r="Y232" s="8" t="str">
        <f>IF(LEN(Table2[[#This Row],[!Unique]])&gt;0,"rg:True","rg:None")</f>
        <v>rg:None</v>
      </c>
    </row>
    <row r="233" spans="1:25" ht="28.8" x14ac:dyDescent="0.3">
      <c r="A233" s="3" t="s">
        <v>24</v>
      </c>
      <c r="B233" s="3" t="s">
        <v>4</v>
      </c>
      <c r="C233" s="3"/>
      <c r="D233" s="3" t="s">
        <v>24</v>
      </c>
      <c r="E233" s="60" t="s">
        <v>65</v>
      </c>
      <c r="F233" s="3" t="s">
        <v>5</v>
      </c>
      <c r="G233" s="4"/>
      <c r="H233" s="4"/>
      <c r="I233" s="5" t="str">
        <f t="shared" si="18"/>
        <v>Defs</v>
      </c>
      <c r="J233" t="str">
        <f>IF(Table2[[#This Row],[!Type]]=J$1, J$1,"rg:None")</f>
        <v>rg:None</v>
      </c>
      <c r="K233" t="str">
        <f>IF(Table2[[#This Row],[!Type]]=K$1, K$1,"rg:None")</f>
        <v>rg:None</v>
      </c>
      <c r="L233" t="str">
        <f>IF(Table2[[#This Row],[!Type]]=L$1, L$1,"rg:None")</f>
        <v>rg:None</v>
      </c>
      <c r="M233" t="str">
        <f>IF(Table2[[#This Row],[!Type]]=M$1, M$1,"rg:None")</f>
        <v>rg:None</v>
      </c>
      <c r="N233" s="8" t="str">
        <f>IF(Table2[[#This Row],[!Type]]=N$1, N$1,"rg:None")</f>
        <v>rg:None</v>
      </c>
      <c r="O233" s="8" t="str">
        <f>IF(Table2[[#This Row],[!Type]]=O$1, O$1,"rg:None")</f>
        <v>rg:None</v>
      </c>
      <c r="P233" s="5" t="str">
        <f>IF(Table2[[#This Row],[!Type]]=P$1, P$1,"rg:None")</f>
        <v>rg:None</v>
      </c>
      <c r="Q233" s="5" t="str">
        <f>IF(Table2[[#This Row],[!Type]]=Q$1, Q$1,"rg:None")</f>
        <v>rg:None</v>
      </c>
      <c r="R233" s="5" t="str">
        <f>IF(Table2[[#This Row],[!Type]]=R$1, R$1,"rg:None")</f>
        <v>rg:None</v>
      </c>
      <c r="S233" s="5" t="str">
        <f>IF(Table2[[#This Row],[!Type]]=S$1, S$1,"rg:None")</f>
        <v>table</v>
      </c>
      <c r="T233" s="8" t="str">
        <f>IF(LEN(Table2[[#This Row],[!Length]]) &gt; 0, Table2[[#This Row],[!Length]], "rg:None")</f>
        <v>rg:None</v>
      </c>
      <c r="U233" s="8" t="str">
        <f>IF(LEN(Table2[[#This Row],[!Name]]) &gt; 0, Table2[[#This Row],[!Name]], "rg:None")</f>
        <v>UserFavourite</v>
      </c>
      <c r="V233" s="8" t="str">
        <f>IF(LEN(Table2[[#This Row],[!Description]]) &gt; 0, Table2[[#This Row],[!Description]], "rg:None")</f>
        <v>User specific settings for a specific location in the UI. The location and saved settings are internally defined by the UI.</v>
      </c>
      <c r="W233" s="8" t="str">
        <f>IF(LEN(Table2[[#This Row],[!FK]])&gt;0,Table2[[#This Row],[!FK]],"rg:None")</f>
        <v>rg:None</v>
      </c>
      <c r="X233" s="8" t="str">
        <f>IF(LEN(concatif2(A:A,Table2[[#This Row],[!Table]],G:G,"Y",D:D,",")) &gt; 0,"rg:[ { 'req' : '"&amp;concatif2(A:A,Table2[[#This Row],[!Table]],G:G,"Y",D:D,"' }, { 'req': '")&amp;"'} ]","rg:[]")</f>
        <v>rg:[ { 'req' : 'id'} ]</v>
      </c>
      <c r="Y233" s="8" t="str">
        <f>IF(LEN(Table2[[#This Row],[!Unique]])&gt;0,"rg:True","rg:None")</f>
        <v>rg:None</v>
      </c>
    </row>
    <row r="234" spans="1:25" x14ac:dyDescent="0.3">
      <c r="A234" s="3" t="s">
        <v>24</v>
      </c>
      <c r="B234" s="3" t="s">
        <v>6</v>
      </c>
      <c r="C234" s="3"/>
      <c r="D234" s="3" t="s">
        <v>6</v>
      </c>
      <c r="E234" s="60" t="s">
        <v>356</v>
      </c>
      <c r="F234" s="3" t="s">
        <v>5</v>
      </c>
      <c r="G234" s="4" t="s">
        <v>64</v>
      </c>
      <c r="H234" s="53"/>
      <c r="I234" s="5" t="str">
        <f t="shared" si="18"/>
        <v>Defs</v>
      </c>
      <c r="J234" t="str">
        <f>IF(Table2[[#This Row],[!Type]]=J$1, J$1,"rg:None")</f>
        <v>rg:None</v>
      </c>
      <c r="K234" t="str">
        <f>IF(Table2[[#This Row],[!Type]]=K$1, K$1,"rg:None")</f>
        <v>rg:None</v>
      </c>
      <c r="L234" t="str">
        <f>IF(Table2[[#This Row],[!Type]]=L$1, L$1,"rg:None")</f>
        <v>rg:None</v>
      </c>
      <c r="M234" t="str">
        <f>IF(Table2[[#This Row],[!Type]]=M$1, M$1,"rg:None")</f>
        <v>id</v>
      </c>
      <c r="N234" s="8" t="str">
        <f>IF(Table2[[#This Row],[!Type]]=N$1, N$1,"rg:None")</f>
        <v>rg:None</v>
      </c>
      <c r="O234" s="8" t="str">
        <f>IF(Table2[[#This Row],[!Type]]=O$1, O$1,"rg:None")</f>
        <v>rg:None</v>
      </c>
      <c r="P234" s="5" t="str">
        <f>IF(Table2[[#This Row],[!Type]]=P$1, P$1,"rg:None")</f>
        <v>rg:None</v>
      </c>
      <c r="Q234" s="5" t="str">
        <f>IF(Table2[[#This Row],[!Type]]=Q$1, Q$1,"rg:None")</f>
        <v>rg:None</v>
      </c>
      <c r="R234" s="5" t="str">
        <f>IF(Table2[[#This Row],[!Type]]=R$1, R$1,"rg:None")</f>
        <v>rg:None</v>
      </c>
      <c r="S234" s="5" t="str">
        <f>IF(Table2[[#This Row],[!Type]]=S$1, S$1,"rg:None")</f>
        <v>rg:None</v>
      </c>
      <c r="T234" s="8" t="str">
        <f>IF(LEN(Table2[[#This Row],[!Length]]) &gt; 0, Table2[[#This Row],[!Length]], "rg:None")</f>
        <v>rg:None</v>
      </c>
      <c r="U234" s="8" t="str">
        <f>IF(LEN(Table2[[#This Row],[!Name]]) &gt; 0, Table2[[#This Row],[!Name]], "rg:None")</f>
        <v>id</v>
      </c>
      <c r="V234" s="8" t="str">
        <f>IF(LEN(Table2[[#This Row],[!Description]]) &gt; 0, Table2[[#This Row],[!Description]], "rg:None")</f>
        <v>A system-generated unique identifier for a UserFavourite</v>
      </c>
      <c r="W234" s="8" t="str">
        <f>IF(LEN(Table2[[#This Row],[!FK]])&gt;0,Table2[[#This Row],[!FK]],"rg:None")</f>
        <v>rg:None</v>
      </c>
      <c r="X234" s="8" t="str">
        <f>IF(LEN(concatif2(A:A,Table2[[#This Row],[!Table]],G:G,"Y",D:D,",")) &gt; 0,"rg:[ { 'req' : '"&amp;concatif2(A:A,Table2[[#This Row],[!Table]],G:G,"Y",D:D,"' }, { 'req': '")&amp;"'} ]","rg:[]")</f>
        <v>rg:[ { 'req' : 'id'} ]</v>
      </c>
      <c r="Y234" s="8" t="str">
        <f>IF(LEN(Table2[[#This Row],[!Unique]])&gt;0,"rg:True","rg:None")</f>
        <v>rg:None</v>
      </c>
    </row>
    <row r="235" spans="1:25" ht="28.8" x14ac:dyDescent="0.3">
      <c r="A235" s="3" t="s">
        <v>24</v>
      </c>
      <c r="B235" s="3" t="s">
        <v>7</v>
      </c>
      <c r="C235" s="3">
        <v>150</v>
      </c>
      <c r="D235" s="3" t="s">
        <v>15</v>
      </c>
      <c r="E235" s="60" t="s">
        <v>25</v>
      </c>
      <c r="F235" s="3" t="s">
        <v>5</v>
      </c>
      <c r="G235" s="4"/>
      <c r="H235" s="4"/>
      <c r="I235" s="5" t="str">
        <f t="shared" si="18"/>
        <v>Defs</v>
      </c>
      <c r="J235" t="str">
        <f>IF(Table2[[#This Row],[!Type]]=J$1, J$1,"rg:None")</f>
        <v>rg:None</v>
      </c>
      <c r="K235" t="str">
        <f>IF(Table2[[#This Row],[!Type]]=K$1, K$1,"rg:None")</f>
        <v>rg:None</v>
      </c>
      <c r="L235" t="str">
        <f>IF(Table2[[#This Row],[!Type]]=L$1, L$1,"rg:None")</f>
        <v>rg:None</v>
      </c>
      <c r="M235" t="str">
        <f>IF(Table2[[#This Row],[!Type]]=M$1, M$1,"rg:None")</f>
        <v>rg:None</v>
      </c>
      <c r="N235" s="8" t="str">
        <f>IF(Table2[[#This Row],[!Type]]=N$1, N$1,"rg:None")</f>
        <v>rg:None</v>
      </c>
      <c r="O235" s="8" t="str">
        <f>IF(Table2[[#This Row],[!Type]]=O$1, O$1,"rg:None")</f>
        <v>rg:None</v>
      </c>
      <c r="P235" s="5" t="str">
        <f>IF(Table2[[#This Row],[!Type]]=P$1, P$1,"rg:None")</f>
        <v>rg:None</v>
      </c>
      <c r="Q235" s="5" t="str">
        <f>IF(Table2[[#This Row],[!Type]]=Q$1, Q$1,"rg:None")</f>
        <v>rg:None</v>
      </c>
      <c r="R235" s="5" t="str">
        <f>IF(Table2[[#This Row],[!Type]]=R$1, R$1,"rg:None")</f>
        <v>string</v>
      </c>
      <c r="S235" s="5" t="str">
        <f>IF(Table2[[#This Row],[!Type]]=S$1, S$1,"rg:None")</f>
        <v>rg:None</v>
      </c>
      <c r="T235" s="8">
        <f>IF(LEN(Table2[[#This Row],[!Length]]) &gt; 0, Table2[[#This Row],[!Length]], "rg:None")</f>
        <v>150</v>
      </c>
      <c r="U235" s="8" t="str">
        <f>IF(LEN(Table2[[#This Row],[!Name]]) &gt; 0, Table2[[#This Row],[!Name]], "rg:None")</f>
        <v>name</v>
      </c>
      <c r="V235" s="8" t="str">
        <f>IF(LEN(Table2[[#This Row],[!Description]]) &gt; 0, Table2[[#This Row],[!Description]], "rg:None")</f>
        <v>The user-defined name for the recorded settings. Allows the user to save different groups of settings and access each one easily when needed.</v>
      </c>
      <c r="W235" s="8" t="str">
        <f>IF(LEN(Table2[[#This Row],[!FK]])&gt;0,Table2[[#This Row],[!FK]],"rg:None")</f>
        <v>rg:None</v>
      </c>
      <c r="X235" s="8" t="str">
        <f>IF(LEN(concatif2(A:A,Table2[[#This Row],[!Table]],G:G,"Y",D:D,",")) &gt; 0,"rg:[ { 'req' : '"&amp;concatif2(A:A,Table2[[#This Row],[!Table]],G:G,"Y",D:D,"' }, { 'req': '")&amp;"'} ]","rg:[]")</f>
        <v>rg:[ { 'req' : 'id'} ]</v>
      </c>
      <c r="Y235" s="8" t="str">
        <f>IF(LEN(Table2[[#This Row],[!Unique]])&gt;0,"rg:True","rg:None")</f>
        <v>rg:None</v>
      </c>
    </row>
    <row r="236" spans="1:25" ht="28.8" x14ac:dyDescent="0.3">
      <c r="A236" s="3" t="s">
        <v>24</v>
      </c>
      <c r="B236" s="3" t="s">
        <v>7</v>
      </c>
      <c r="C236" s="3">
        <v>2048</v>
      </c>
      <c r="D236" s="3" t="s">
        <v>26</v>
      </c>
      <c r="E236" s="60" t="s">
        <v>27</v>
      </c>
      <c r="F236" s="3" t="s">
        <v>5</v>
      </c>
      <c r="G236" s="4"/>
      <c r="H236" s="4"/>
      <c r="I236" s="5" t="str">
        <f t="shared" si="18"/>
        <v>Defs</v>
      </c>
      <c r="J236" t="str">
        <f>IF(Table2[[#This Row],[!Type]]=J$1, J$1,"rg:None")</f>
        <v>rg:None</v>
      </c>
      <c r="K236" t="str">
        <f>IF(Table2[[#This Row],[!Type]]=K$1, K$1,"rg:None")</f>
        <v>rg:None</v>
      </c>
      <c r="L236" t="str">
        <f>IF(Table2[[#This Row],[!Type]]=L$1, L$1,"rg:None")</f>
        <v>rg:None</v>
      </c>
      <c r="M236" t="str">
        <f>IF(Table2[[#This Row],[!Type]]=M$1, M$1,"rg:None")</f>
        <v>rg:None</v>
      </c>
      <c r="N236" s="8" t="str">
        <f>IF(Table2[[#This Row],[!Type]]=N$1, N$1,"rg:None")</f>
        <v>rg:None</v>
      </c>
      <c r="O236" s="8" t="str">
        <f>IF(Table2[[#This Row],[!Type]]=O$1, O$1,"rg:None")</f>
        <v>rg:None</v>
      </c>
      <c r="P236" s="5" t="str">
        <f>IF(Table2[[#This Row],[!Type]]=P$1, P$1,"rg:None")</f>
        <v>rg:None</v>
      </c>
      <c r="Q236" s="5" t="str">
        <f>IF(Table2[[#This Row],[!Type]]=Q$1, Q$1,"rg:None")</f>
        <v>rg:None</v>
      </c>
      <c r="R236" s="5" t="str">
        <f>IF(Table2[[#This Row],[!Type]]=R$1, R$1,"rg:None")</f>
        <v>string</v>
      </c>
      <c r="S236" s="5" t="str">
        <f>IF(Table2[[#This Row],[!Type]]=S$1, S$1,"rg:None")</f>
        <v>rg:None</v>
      </c>
      <c r="T236" s="8">
        <f>IF(LEN(Table2[[#This Row],[!Length]]) &gt; 0, Table2[[#This Row],[!Length]], "rg:None")</f>
        <v>2048</v>
      </c>
      <c r="U236" s="8" t="str">
        <f>IF(LEN(Table2[[#This Row],[!Name]]) &gt; 0, Table2[[#This Row],[!Name]], "rg:None")</f>
        <v>value</v>
      </c>
      <c r="V236" s="8" t="str">
        <f>IF(LEN(Table2[[#This Row],[!Description]]) &gt; 0, Table2[[#This Row],[!Description]], "rg:None")</f>
        <v>The settings saved by the user. In general,  a UI defined chunk of json that stores the settings in place when the user created the favourite.</v>
      </c>
      <c r="W236" s="8" t="str">
        <f>IF(LEN(Table2[[#This Row],[!FK]])&gt;0,Table2[[#This Row],[!FK]],"rg:None")</f>
        <v>rg:None</v>
      </c>
      <c r="X236" s="8" t="str">
        <f>IF(LEN(concatif2(A:A,Table2[[#This Row],[!Table]],G:G,"Y",D:D,",")) &gt; 0,"rg:[ { 'req' : '"&amp;concatif2(A:A,Table2[[#This Row],[!Table]],G:G,"Y",D:D,"' }, { 'req': '")&amp;"'} ]","rg:[]")</f>
        <v>rg:[ { 'req' : 'id'} ]</v>
      </c>
      <c r="Y236" s="8" t="str">
        <f>IF(LEN(Table2[[#This Row],[!Unique]])&gt;0,"rg:True","rg:None")</f>
        <v>rg:None</v>
      </c>
    </row>
    <row r="237" spans="1:25" ht="57.6" x14ac:dyDescent="0.3">
      <c r="A237" s="3" t="s">
        <v>24</v>
      </c>
      <c r="B237" s="3" t="s">
        <v>9</v>
      </c>
      <c r="C237" s="3"/>
      <c r="D237" s="3" t="s">
        <v>28</v>
      </c>
      <c r="E237" s="60" t="s">
        <v>29</v>
      </c>
      <c r="F237" s="3" t="s">
        <v>5</v>
      </c>
      <c r="G237" s="4"/>
      <c r="H237" s="4"/>
      <c r="I237" s="5" t="str">
        <f t="shared" si="18"/>
        <v>Defs</v>
      </c>
      <c r="J237" t="str">
        <f>IF(Table2[[#This Row],[!Type]]=J$1, J$1,"rg:None")</f>
        <v>boolean</v>
      </c>
      <c r="K237" t="str">
        <f>IF(Table2[[#This Row],[!Type]]=K$1, K$1,"rg:None")</f>
        <v>rg:None</v>
      </c>
      <c r="L237" t="str">
        <f>IF(Table2[[#This Row],[!Type]]=L$1, L$1,"rg:None")</f>
        <v>rg:None</v>
      </c>
      <c r="M237" t="str">
        <f>IF(Table2[[#This Row],[!Type]]=M$1, M$1,"rg:None")</f>
        <v>rg:None</v>
      </c>
      <c r="N237" s="8" t="str">
        <f>IF(Table2[[#This Row],[!Type]]=N$1, N$1,"rg:None")</f>
        <v>rg:None</v>
      </c>
      <c r="O237" s="8" t="str">
        <f>IF(Table2[[#This Row],[!Type]]=O$1, O$1,"rg:None")</f>
        <v>rg:None</v>
      </c>
      <c r="P237" s="5" t="str">
        <f>IF(Table2[[#This Row],[!Type]]=P$1, P$1,"rg:None")</f>
        <v>rg:None</v>
      </c>
      <c r="Q237" s="5" t="str">
        <f>IF(Table2[[#This Row],[!Type]]=Q$1, Q$1,"rg:None")</f>
        <v>rg:None</v>
      </c>
      <c r="R237" s="5" t="str">
        <f>IF(Table2[[#This Row],[!Type]]=R$1, R$1,"rg:None")</f>
        <v>rg:None</v>
      </c>
      <c r="S237" s="5" t="str">
        <f>IF(Table2[[#This Row],[!Type]]=S$1, S$1,"rg:None")</f>
        <v>rg:None</v>
      </c>
      <c r="T237" s="8" t="str">
        <f>IF(LEN(Table2[[#This Row],[!Length]]) &gt; 0, Table2[[#This Row],[!Length]], "rg:None")</f>
        <v>rg:None</v>
      </c>
      <c r="U237" s="8" t="str">
        <f>IF(LEN(Table2[[#This Row],[!Name]]) &gt; 0, Table2[[#This Row],[!Name]], "rg:None")</f>
        <v>isDefault</v>
      </c>
      <c r="V237"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37" s="8" t="str">
        <f>IF(LEN(Table2[[#This Row],[!FK]])&gt;0,Table2[[#This Row],[!FK]],"rg:None")</f>
        <v>rg:None</v>
      </c>
      <c r="X237" s="8" t="str">
        <f>IF(LEN(concatif2(A:A,Table2[[#This Row],[!Table]],G:G,"Y",D:D,",")) &gt; 0,"rg:[ { 'req' : '"&amp;concatif2(A:A,Table2[[#This Row],[!Table]],G:G,"Y",D:D,"' }, { 'req': '")&amp;"'} ]","rg:[]")</f>
        <v>rg:[ { 'req' : 'id'} ]</v>
      </c>
      <c r="Y237" s="8" t="str">
        <f>IF(LEN(Table2[[#This Row],[!Unique]])&gt;0,"rg:True","rg:None")</f>
        <v>rg:None</v>
      </c>
    </row>
    <row r="238" spans="1:25" x14ac:dyDescent="0.3">
      <c r="A238" s="3" t="s">
        <v>24</v>
      </c>
      <c r="B238" s="45" t="s">
        <v>7</v>
      </c>
      <c r="C238" s="3">
        <v>150</v>
      </c>
      <c r="D238" s="45" t="s">
        <v>20</v>
      </c>
      <c r="E238" s="76" t="s">
        <v>243</v>
      </c>
      <c r="F238" s="3"/>
      <c r="G238" s="4"/>
      <c r="H238" s="4"/>
      <c r="I238" s="5" t="str">
        <f t="shared" si="18"/>
        <v>Defs</v>
      </c>
      <c r="J238" t="str">
        <f>IF(Table2[[#This Row],[!Type]]=J$1, J$1,"rg:None")</f>
        <v>rg:None</v>
      </c>
      <c r="K238" t="str">
        <f>IF(Table2[[#This Row],[!Type]]=K$1, K$1,"rg:None")</f>
        <v>rg:None</v>
      </c>
      <c r="L238" t="str">
        <f>IF(Table2[[#This Row],[!Type]]=L$1, L$1,"rg:None")</f>
        <v>rg:None</v>
      </c>
      <c r="M238" t="str">
        <f>IF(Table2[[#This Row],[!Type]]=M$1, M$1,"rg:None")</f>
        <v>rg:None</v>
      </c>
      <c r="N238" s="8" t="str">
        <f>IF(Table2[[#This Row],[!Type]]=N$1, N$1,"rg:None")</f>
        <v>rg:None</v>
      </c>
      <c r="O238" s="8" t="str">
        <f>IF(Table2[[#This Row],[!Type]]=O$1, O$1,"rg:None")</f>
        <v>rg:None</v>
      </c>
      <c r="P238" s="5" t="str">
        <f>IF(Table2[[#This Row],[!Type]]=P$1, P$1,"rg:None")</f>
        <v>rg:None</v>
      </c>
      <c r="Q238" s="5" t="str">
        <f>IF(Table2[[#This Row],[!Type]]=Q$1, Q$1,"rg:None")</f>
        <v>rg:None</v>
      </c>
      <c r="R238" s="5" t="str">
        <f>IF(Table2[[#This Row],[!Type]]=R$1, R$1,"rg:None")</f>
        <v>string</v>
      </c>
      <c r="S238" s="5" t="str">
        <f>IF(Table2[[#This Row],[!Type]]=S$1, S$1,"rg:None")</f>
        <v>rg:None</v>
      </c>
      <c r="T238" s="8">
        <f>IF(LEN(Table2[[#This Row],[!Length]]) &gt; 0, Table2[[#This Row],[!Length]], "rg:None")</f>
        <v>150</v>
      </c>
      <c r="U238" s="8" t="str">
        <f>IF(LEN(Table2[[#This Row],[!Name]]) &gt; 0, Table2[[#This Row],[!Name]], "rg:None")</f>
        <v>type</v>
      </c>
      <c r="V238" s="8" t="str">
        <f>IF(LEN(Table2[[#This Row],[!Description]]) &gt; 0, Table2[[#This Row],[!Description]], "rg:None")</f>
        <v>The type of Favourite</v>
      </c>
      <c r="W238" s="8" t="str">
        <f>IF(LEN(Table2[[#This Row],[!FK]])&gt;0,Table2[[#This Row],[!FK]],"rg:None")</f>
        <v>rg:None</v>
      </c>
      <c r="X238" s="8" t="str">
        <f>IF(LEN(concatif2(A:A,Table2[[#This Row],[!Table]],G:G,"Y",D:D,",")) &gt; 0,"rg:[ { 'req' : '"&amp;concatif2(A:A,Table2[[#This Row],[!Table]],G:G,"Y",D:D,"' }, { 'req': '")&amp;"'} ]","rg:[]")</f>
        <v>rg:[ { 'req' : 'id'} ]</v>
      </c>
      <c r="Y238" s="8" t="str">
        <f>IF(LEN(Table2[[#This Row],[!Unique]])&gt;0,"rg:True","rg:None")</f>
        <v>rg:None</v>
      </c>
    </row>
    <row r="239" spans="1:25" x14ac:dyDescent="0.3">
      <c r="A239" s="47" t="s">
        <v>24</v>
      </c>
      <c r="B239" s="47" t="s">
        <v>8</v>
      </c>
      <c r="C239" s="18"/>
      <c r="D239" s="47" t="s">
        <v>0</v>
      </c>
      <c r="E239" s="77" t="s">
        <v>244</v>
      </c>
      <c r="F239" s="48" t="s">
        <v>0</v>
      </c>
      <c r="G239" s="19"/>
      <c r="H239" s="19"/>
      <c r="I239" s="4" t="str">
        <f>IF(LEN(A239) &gt; 0,"Defs","-")</f>
        <v>Defs</v>
      </c>
      <c r="J239" s="14" t="str">
        <f>IF(Table2[[#This Row],[!Type]]=J$1, J$1,"rg:None")</f>
        <v>rg:None</v>
      </c>
      <c r="K239" s="46" t="str">
        <f>IF(Table2[[#This Row],[!Type]]=K$1, K$1,"rg:None")</f>
        <v>rg:None</v>
      </c>
      <c r="L239" s="14" t="str">
        <f>IF(Table2[[#This Row],[!Type]]=L$1, L$1,"rg:None")</f>
        <v>rg:None</v>
      </c>
      <c r="M239" s="14" t="str">
        <f>IF(Table2[[#This Row],[!Type]]=M$1, M$1,"rg:None")</f>
        <v>rg:None</v>
      </c>
      <c r="N239" s="14" t="str">
        <f>IF(Table2[[#This Row],[!Type]]=N$1, N$1,"rg:None")</f>
        <v>rg:None</v>
      </c>
      <c r="O239" s="14" t="str">
        <f>IF(Table2[[#This Row],[!Type]]=O$1, O$1,"rg:None")</f>
        <v>rg:None</v>
      </c>
      <c r="P239" s="4" t="str">
        <f>IF(Table2[[#This Row],[!Type]]=P$1, P$1,"rg:None")</f>
        <v>rg:None</v>
      </c>
      <c r="Q239" s="4" t="str">
        <f>IF(Table2[[#This Row],[!Type]]=Q$1, Q$1,"rg:None")</f>
        <v>ref</v>
      </c>
      <c r="R239" s="4" t="str">
        <f>IF(Table2[[#This Row],[!Type]]=R$1, R$1,"rg:None")</f>
        <v>rg:None</v>
      </c>
      <c r="S239" s="4" t="str">
        <f>IF(Table2[[#This Row],[!Type]]=S$1, S$1,"rg:None")</f>
        <v>rg:None</v>
      </c>
      <c r="T239" s="14" t="str">
        <f>IF(LEN(Table2[[#This Row],[!Length]]) &gt; 0, Table2[[#This Row],[!Length]], "rg:None")</f>
        <v>rg:None</v>
      </c>
      <c r="U239" s="14" t="str">
        <f>IF(LEN(Table2[[#This Row],[!Name]]) &gt; 0, Table2[[#This Row],[!Name]], "rg:None")</f>
        <v>User</v>
      </c>
      <c r="V239" s="14" t="str">
        <f>IF(LEN(Table2[[#This Row],[!Description]]) &gt; 0, Table2[[#This Row],[!Description]], "rg:None")</f>
        <v>The User who has this Favourite</v>
      </c>
      <c r="W239" s="14" t="str">
        <f>IF(LEN(Table2[[#This Row],[!FK]])&gt;0,Table2[[#This Row],[!FK]],"rg:None")</f>
        <v>User</v>
      </c>
      <c r="X239" s="14" t="str">
        <f>IF(LEN(concatif2(A:A,Table2[[#This Row],[!Table]],G:G,"Y",D:D,",")) &gt; 0,"rg:[ { 'req' : '"&amp;concatif2(A:A,Table2[[#This Row],[!Table]],G:G,"Y",D:D,"' }, { 'req': '")&amp;"'} ]","rg:[]")</f>
        <v>rg:[ { 'req' : 'id'} ]</v>
      </c>
      <c r="Y239" s="14" t="str">
        <f>IF(LEN(Table2[[#This Row],[!Unique]])&gt;0,"rg:True","rg:None")</f>
        <v>rg:None</v>
      </c>
    </row>
    <row r="240" spans="1:25" x14ac:dyDescent="0.3">
      <c r="A240" s="3" t="s">
        <v>30</v>
      </c>
      <c r="B240" s="3" t="s">
        <v>4</v>
      </c>
      <c r="C240" s="3"/>
      <c r="D240" s="3" t="s">
        <v>30</v>
      </c>
      <c r="E240" s="84" t="s">
        <v>449</v>
      </c>
      <c r="F240" s="3" t="s">
        <v>5</v>
      </c>
      <c r="G240" s="4"/>
      <c r="H240" s="4"/>
      <c r="I240" s="5" t="str">
        <f t="shared" si="18"/>
        <v>Defs</v>
      </c>
      <c r="J240" t="str">
        <f>IF(Table2[[#This Row],[!Type]]=J$1, J$1,"rg:None")</f>
        <v>rg:None</v>
      </c>
      <c r="K240" t="str">
        <f>IF(Table2[[#This Row],[!Type]]=K$1, K$1,"rg:None")</f>
        <v>rg:None</v>
      </c>
      <c r="L240" t="str">
        <f>IF(Table2[[#This Row],[!Type]]=L$1, L$1,"rg:None")</f>
        <v>rg:None</v>
      </c>
      <c r="M240" t="str">
        <f>IF(Table2[[#This Row],[!Type]]=M$1, M$1,"rg:None")</f>
        <v>rg:None</v>
      </c>
      <c r="N240" s="8" t="str">
        <f>IF(Table2[[#This Row],[!Type]]=N$1, N$1,"rg:None")</f>
        <v>rg:None</v>
      </c>
      <c r="O240" s="8" t="str">
        <f>IF(Table2[[#This Row],[!Type]]=O$1, O$1,"rg:None")</f>
        <v>rg:None</v>
      </c>
      <c r="P240" s="5" t="str">
        <f>IF(Table2[[#This Row],[!Type]]=P$1, P$1,"rg:None")</f>
        <v>rg:None</v>
      </c>
      <c r="Q240" s="5" t="str">
        <f>IF(Table2[[#This Row],[!Type]]=Q$1, Q$1,"rg:None")</f>
        <v>rg:None</v>
      </c>
      <c r="R240" s="5" t="str">
        <f>IF(Table2[[#This Row],[!Type]]=R$1, R$1,"rg:None")</f>
        <v>rg:None</v>
      </c>
      <c r="S240" s="5" t="str">
        <f>IF(Table2[[#This Row],[!Type]]=S$1, S$1,"rg:None")</f>
        <v>table</v>
      </c>
      <c r="T240" s="8" t="str">
        <f>IF(LEN(Table2[[#This Row],[!Length]]) &gt; 0, Table2[[#This Row],[!Length]], "rg:None")</f>
        <v>rg:None</v>
      </c>
      <c r="U240" s="8" t="str">
        <f>IF(LEN(Table2[[#This Row],[!Name]]) &gt; 0, Table2[[#This Row],[!Name]], "rg:None")</f>
        <v>Region</v>
      </c>
      <c r="V240" s="8" t="str">
        <f>IF(LEN(Table2[[#This Row],[!Description]]) &gt; 0, Table2[[#This Row],[!Description]], "rg:None")</f>
        <v>The Ministry of Transportion and Infrastructure REGION.</v>
      </c>
      <c r="W240" s="8" t="str">
        <f>IF(LEN(Table2[[#This Row],[!FK]])&gt;0,Table2[[#This Row],[!FK]],"rg:None")</f>
        <v>rg:None</v>
      </c>
      <c r="X240" s="8" t="str">
        <f>IF(LEN(concatif2(A:A,Table2[[#This Row],[!Table]],G:G,"Y",D:D,",")) &gt; 0,"rg:[ { 'req' : '"&amp;concatif2(A:A,Table2[[#This Row],[!Table]],G:G,"Y",D:D,"' }, { 'req': '")&amp;"'} ]","rg:[]")</f>
        <v>rg:[ { 'req' : 'id' }, { 'req': 'ministryRegionID' }, { 'req': 'name' }, { 'req': 'startDate'} ]</v>
      </c>
      <c r="Y240" s="8" t="str">
        <f>IF(LEN(Table2[[#This Row],[!Unique]])&gt;0,"rg:True","rg:None")</f>
        <v>rg:None</v>
      </c>
    </row>
    <row r="241" spans="1:25" x14ac:dyDescent="0.3">
      <c r="A241" s="3" t="s">
        <v>30</v>
      </c>
      <c r="B241" s="3" t="s">
        <v>6</v>
      </c>
      <c r="C241" s="3"/>
      <c r="D241" s="3" t="s">
        <v>6</v>
      </c>
      <c r="E241" s="60" t="s">
        <v>357</v>
      </c>
      <c r="F241" s="3" t="s">
        <v>5</v>
      </c>
      <c r="G241" s="4" t="s">
        <v>64</v>
      </c>
      <c r="H241" s="53"/>
      <c r="I241" s="5" t="str">
        <f t="shared" si="18"/>
        <v>Defs</v>
      </c>
      <c r="J241" t="str">
        <f>IF(Table2[[#This Row],[!Type]]=J$1, J$1,"rg:None")</f>
        <v>rg:None</v>
      </c>
      <c r="K241" t="str">
        <f>IF(Table2[[#This Row],[!Type]]=K$1, K$1,"rg:None")</f>
        <v>rg:None</v>
      </c>
      <c r="L241" t="str">
        <f>IF(Table2[[#This Row],[!Type]]=L$1, L$1,"rg:None")</f>
        <v>rg:None</v>
      </c>
      <c r="M241" t="str">
        <f>IF(Table2[[#This Row],[!Type]]=M$1, M$1,"rg:None")</f>
        <v>id</v>
      </c>
      <c r="N241" s="8" t="str">
        <f>IF(Table2[[#This Row],[!Type]]=N$1, N$1,"rg:None")</f>
        <v>rg:None</v>
      </c>
      <c r="O241" s="8" t="str">
        <f>IF(Table2[[#This Row],[!Type]]=O$1, O$1,"rg:None")</f>
        <v>rg:None</v>
      </c>
      <c r="P241" s="5" t="str">
        <f>IF(Table2[[#This Row],[!Type]]=P$1, P$1,"rg:None")</f>
        <v>rg:None</v>
      </c>
      <c r="Q241" s="5" t="str">
        <f>IF(Table2[[#This Row],[!Type]]=Q$1, Q$1,"rg:None")</f>
        <v>rg:None</v>
      </c>
      <c r="R241" s="5" t="str">
        <f>IF(Table2[[#This Row],[!Type]]=R$1, R$1,"rg:None")</f>
        <v>rg:None</v>
      </c>
      <c r="S241" s="5" t="str">
        <f>IF(Table2[[#This Row],[!Type]]=S$1, S$1,"rg:None")</f>
        <v>rg:None</v>
      </c>
      <c r="T241" s="8" t="str">
        <f>IF(LEN(Table2[[#This Row],[!Length]]) &gt; 0, Table2[[#This Row],[!Length]], "rg:None")</f>
        <v>rg:None</v>
      </c>
      <c r="U241" s="8" t="str">
        <f>IF(LEN(Table2[[#This Row],[!Name]]) &gt; 0, Table2[[#This Row],[!Name]], "rg:None")</f>
        <v>id</v>
      </c>
      <c r="V241" s="8" t="str">
        <f>IF(LEN(Table2[[#This Row],[!Description]]) &gt; 0, Table2[[#This Row],[!Description]], "rg:None")</f>
        <v>A system-generated unique identifier for a Region</v>
      </c>
      <c r="W241" s="8" t="str">
        <f>IF(LEN(Table2[[#This Row],[!FK]])&gt;0,Table2[[#This Row],[!FK]],"rg:None")</f>
        <v>rg:None</v>
      </c>
      <c r="X241" s="8" t="str">
        <f>IF(LEN(concatif2(A:A,Table2[[#This Row],[!Table]],G:G,"Y",D:D,",")) &gt; 0,"rg:[ { 'req' : '"&amp;concatif2(A:A,Table2[[#This Row],[!Table]],G:G,"Y",D:D,"' }, { 'req': '")&amp;"'} ]","rg:[]")</f>
        <v>rg:[ { 'req' : 'id' }, { 'req': 'ministryRegionID' }, { 'req': 'name' }, { 'req': 'startDate'} ]</v>
      </c>
      <c r="Y241" s="8" t="str">
        <f>IF(LEN(Table2[[#This Row],[!Unique]])&gt;0,"rg:True","rg:None")</f>
        <v>rg:None</v>
      </c>
    </row>
    <row r="242" spans="1:25" x14ac:dyDescent="0.3">
      <c r="A242" s="3" t="s">
        <v>30</v>
      </c>
      <c r="B242" s="3" t="s">
        <v>13</v>
      </c>
      <c r="C242" s="3"/>
      <c r="D242" s="3" t="s">
        <v>31</v>
      </c>
      <c r="E242" s="84" t="s">
        <v>454</v>
      </c>
      <c r="F242" s="3" t="s">
        <v>5</v>
      </c>
      <c r="G242" s="53" t="s">
        <v>64</v>
      </c>
      <c r="H242" s="53" t="s">
        <v>64</v>
      </c>
      <c r="I242" s="5" t="str">
        <f t="shared" si="18"/>
        <v>Defs</v>
      </c>
      <c r="J242" t="str">
        <f>IF(Table2[[#This Row],[!Type]]=J$1, J$1,"rg:None")</f>
        <v>rg:None</v>
      </c>
      <c r="K242" t="str">
        <f>IF(Table2[[#This Row],[!Type]]=K$1, K$1,"rg:None")</f>
        <v>rg:None</v>
      </c>
      <c r="L242" t="str">
        <f>IF(Table2[[#This Row],[!Type]]=L$1, L$1,"rg:None")</f>
        <v>rg:None</v>
      </c>
      <c r="M242" t="str">
        <f>IF(Table2[[#This Row],[!Type]]=M$1, M$1,"rg:None")</f>
        <v>rg:None</v>
      </c>
      <c r="N242" s="8" t="str">
        <f>IF(Table2[[#This Row],[!Type]]=N$1, N$1,"rg:None")</f>
        <v>integer</v>
      </c>
      <c r="O242" s="8" t="str">
        <f>IF(Table2[[#This Row],[!Type]]=O$1, O$1,"rg:None")</f>
        <v>rg:None</v>
      </c>
      <c r="P242" s="5" t="str">
        <f>IF(Table2[[#This Row],[!Type]]=P$1, P$1,"rg:None")</f>
        <v>rg:None</v>
      </c>
      <c r="Q242" s="5" t="str">
        <f>IF(Table2[[#This Row],[!Type]]=Q$1, Q$1,"rg:None")</f>
        <v>rg:None</v>
      </c>
      <c r="R242" s="5" t="str">
        <f>IF(Table2[[#This Row],[!Type]]=R$1, R$1,"rg:None")</f>
        <v>rg:None</v>
      </c>
      <c r="S242" s="5" t="str">
        <f>IF(Table2[[#This Row],[!Type]]=S$1, S$1,"rg:None")</f>
        <v>rg:None</v>
      </c>
      <c r="T242" s="8" t="str">
        <f>IF(LEN(Table2[[#This Row],[!Length]]) &gt; 0, Table2[[#This Row],[!Length]], "rg:None")</f>
        <v>rg:None</v>
      </c>
      <c r="U242" s="8" t="str">
        <f>IF(LEN(Table2[[#This Row],[!Name]]) &gt; 0, Table2[[#This Row],[!Name]], "rg:None")</f>
        <v>ministryRegionID</v>
      </c>
      <c r="V242" s="8" t="str">
        <f>IF(LEN(Table2[[#This Row],[!Description]]) &gt; 0, Table2[[#This Row],[!Description]], "rg:None")</f>
        <v>A system generated unique identifier. NOT GENERATED IN THIS SYSTEM.</v>
      </c>
      <c r="W242" s="8" t="str">
        <f>IF(LEN(Table2[[#This Row],[!FK]])&gt;0,Table2[[#This Row],[!FK]],"rg:None")</f>
        <v>rg:None</v>
      </c>
      <c r="X242" s="8" t="str">
        <f>IF(LEN(concatif2(A:A,Table2[[#This Row],[!Table]],G:G,"Y",D:D,",")) &gt; 0,"rg:[ { 'req' : '"&amp;concatif2(A:A,Table2[[#This Row],[!Table]],G:G,"Y",D:D,"' }, { 'req': '")&amp;"'} ]","rg:[]")</f>
        <v>rg:[ { 'req' : 'id' }, { 'req': 'ministryRegionID' }, { 'req': 'name' }, { 'req': 'startDate'} ]</v>
      </c>
      <c r="Y242" s="8" t="str">
        <f>IF(LEN(Table2[[#This Row],[!Unique]])&gt;0,"rg:True","rg:None")</f>
        <v>rg:True</v>
      </c>
    </row>
    <row r="243" spans="1:25" x14ac:dyDescent="0.3">
      <c r="A243" s="86" t="s">
        <v>30</v>
      </c>
      <c r="B243" s="86" t="s">
        <v>13</v>
      </c>
      <c r="C243" s="18"/>
      <c r="D243" s="86" t="s">
        <v>450</v>
      </c>
      <c r="E243" s="85" t="s">
        <v>451</v>
      </c>
      <c r="F243" s="12"/>
      <c r="G243" s="19"/>
      <c r="H243" s="19"/>
      <c r="I243" s="4" t="str">
        <f>IF(LEN(A243) &gt; 0,"Defs","-")</f>
        <v>Defs</v>
      </c>
      <c r="J243" s="14" t="str">
        <f>IF(Table2[[#This Row],[!Type]]=J$1, J$1,"rg:None")</f>
        <v>rg:None</v>
      </c>
      <c r="K243" s="46" t="str">
        <f>IF(Table2[[#This Row],[!Type]]=K$1, K$1,"rg:None")</f>
        <v>rg:None</v>
      </c>
      <c r="L243" s="14" t="str">
        <f>IF(Table2[[#This Row],[!Type]]=L$1, L$1,"rg:None")</f>
        <v>rg:None</v>
      </c>
      <c r="M243" s="14" t="str">
        <f>IF(Table2[[#This Row],[!Type]]=M$1, M$1,"rg:None")</f>
        <v>rg:None</v>
      </c>
      <c r="N243" s="14" t="str">
        <f>IF(Table2[[#This Row],[!Type]]=N$1, N$1,"rg:None")</f>
        <v>integer</v>
      </c>
      <c r="O243" s="1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14" t="str">
        <f>IF(LEN(Table2[[#This Row],[!Length]]) &gt; 0, Table2[[#This Row],[!Length]], "rg:None")</f>
        <v>rg:None</v>
      </c>
      <c r="U243" s="14" t="str">
        <f>IF(LEN(Table2[[#This Row],[!Name]]) &gt; 0, Table2[[#This Row],[!Name]], "rg:None")</f>
        <v>regionNumber</v>
      </c>
      <c r="V243" s="14" t="str">
        <f>IF(LEN(Table2[[#This Row],[!Description]]) &gt; 0, Table2[[#This Row],[!Description]], "rg:None")</f>
        <v>A code that uniquely defines a Region.</v>
      </c>
      <c r="W243" s="14" t="str">
        <f>IF(LEN(Table2[[#This Row],[!FK]])&gt;0,Table2[[#This Row],[!FK]],"rg:None")</f>
        <v>rg:None</v>
      </c>
      <c r="X243" s="14" t="str">
        <f>IF(LEN(concatif2(A:A,Table2[[#This Row],[!Table]],G:G,"Y",D:D,",")) &gt; 0,"rg:[ { 'req' : '"&amp;concatif2(A:A,Table2[[#This Row],[!Table]],G:G,"Y",D:D,"' }, { 'req': '")&amp;"'} ]","rg:[]")</f>
        <v>rg:[ { 'req' : 'id' }, { 'req': 'ministryRegionID' }, { 'req': 'name' }, { 'req': 'startDate'} ]</v>
      </c>
      <c r="Y243" s="14" t="str">
        <f>IF(LEN(Table2[[#This Row],[!Unique]])&gt;0,"rg:True","rg:None")</f>
        <v>rg:None</v>
      </c>
    </row>
    <row r="244" spans="1:25" x14ac:dyDescent="0.3">
      <c r="A244" s="3" t="s">
        <v>30</v>
      </c>
      <c r="B244" s="3" t="s">
        <v>7</v>
      </c>
      <c r="C244" s="3">
        <v>150</v>
      </c>
      <c r="D244" s="3" t="s">
        <v>15</v>
      </c>
      <c r="E244" s="84" t="s">
        <v>452</v>
      </c>
      <c r="F244" s="3" t="s">
        <v>5</v>
      </c>
      <c r="G244" s="53" t="s">
        <v>64</v>
      </c>
      <c r="H244" s="53"/>
      <c r="I244" s="5" t="str">
        <f t="shared" si="18"/>
        <v>Defs</v>
      </c>
      <c r="J244" t="str">
        <f>IF(Table2[[#This Row],[!Type]]=J$1, J$1,"rg:None")</f>
        <v>rg:None</v>
      </c>
      <c r="K244" t="str">
        <f>IF(Table2[[#This Row],[!Type]]=K$1, K$1,"rg:None")</f>
        <v>rg:None</v>
      </c>
      <c r="L244" t="str">
        <f>IF(Table2[[#This Row],[!Type]]=L$1, L$1,"rg:None")</f>
        <v>rg:None</v>
      </c>
      <c r="M244" t="str">
        <f>IF(Table2[[#This Row],[!Type]]=M$1, M$1,"rg:None")</f>
        <v>rg:None</v>
      </c>
      <c r="N244" s="8" t="str">
        <f>IF(Table2[[#This Row],[!Type]]=N$1, N$1,"rg:None")</f>
        <v>rg:None</v>
      </c>
      <c r="O244" s="8" t="str">
        <f>IF(Table2[[#This Row],[!Type]]=O$1, O$1,"rg:None")</f>
        <v>rg:None</v>
      </c>
      <c r="P244" s="5" t="str">
        <f>IF(Table2[[#This Row],[!Type]]=P$1, P$1,"rg:None")</f>
        <v>rg:None</v>
      </c>
      <c r="Q244" s="5" t="str">
        <f>IF(Table2[[#This Row],[!Type]]=Q$1, Q$1,"rg:None")</f>
        <v>rg:None</v>
      </c>
      <c r="R244" s="5" t="str">
        <f>IF(Table2[[#This Row],[!Type]]=R$1, R$1,"rg:None")</f>
        <v>string</v>
      </c>
      <c r="S244" s="5" t="str">
        <f>IF(Table2[[#This Row],[!Type]]=S$1, S$1,"rg:None")</f>
        <v>rg:None</v>
      </c>
      <c r="T244" s="8">
        <f>IF(LEN(Table2[[#This Row],[!Length]]) &gt; 0, Table2[[#This Row],[!Length]], "rg:None")</f>
        <v>150</v>
      </c>
      <c r="U244" s="8" t="str">
        <f>IF(LEN(Table2[[#This Row],[!Name]]) &gt; 0, Table2[[#This Row],[!Name]], "rg:None")</f>
        <v>name</v>
      </c>
      <c r="V244" s="8" t="str">
        <f>IF(LEN(Table2[[#This Row],[!Description]]) &gt; 0, Table2[[#This Row],[!Description]], "rg:None")</f>
        <v>The name of a Minsitry Region.</v>
      </c>
      <c r="W244" s="8" t="str">
        <f>IF(LEN(Table2[[#This Row],[!FK]])&gt;0,Table2[[#This Row],[!FK]],"rg:None")</f>
        <v>rg:None</v>
      </c>
      <c r="X244" s="8" t="str">
        <f>IF(LEN(concatif2(A:A,Table2[[#This Row],[!Table]],G:G,"Y",D:D,",")) &gt; 0,"rg:[ { 'req' : '"&amp;concatif2(A:A,Table2[[#This Row],[!Table]],G:G,"Y",D:D,"' }, { 'req': '")&amp;"'} ]","rg:[]")</f>
        <v>rg:[ { 'req' : 'id' }, { 'req': 'ministryRegionID' }, { 'req': 'name' }, { 'req': 'startDate'} ]</v>
      </c>
      <c r="Y244" s="8" t="str">
        <f>IF(LEN(Table2[[#This Row],[!Unique]])&gt;0,"rg:True","rg:None")</f>
        <v>rg:None</v>
      </c>
    </row>
    <row r="245" spans="1:25" ht="28.8" x14ac:dyDescent="0.3">
      <c r="A245" s="3" t="s">
        <v>30</v>
      </c>
      <c r="B245" s="3" t="s">
        <v>12</v>
      </c>
      <c r="C245" s="3"/>
      <c r="D245" s="3" t="s">
        <v>32</v>
      </c>
      <c r="E245" s="84" t="s">
        <v>458</v>
      </c>
      <c r="F245" s="3" t="s">
        <v>5</v>
      </c>
      <c r="G245" s="89" t="s">
        <v>64</v>
      </c>
      <c r="H245" s="4"/>
      <c r="I245" s="5" t="str">
        <f t="shared" si="18"/>
        <v>Defs</v>
      </c>
      <c r="J245" t="str">
        <f>IF(Table2[[#This Row],[!Type]]=J$1, J$1,"rg:None")</f>
        <v>rg:None</v>
      </c>
      <c r="K245" t="str">
        <f>IF(Table2[[#This Row],[!Type]]=K$1, K$1,"rg:None")</f>
        <v>rg:None</v>
      </c>
      <c r="L245" t="str">
        <f>IF(Table2[[#This Row],[!Type]]=L$1, L$1,"rg:None")</f>
        <v>datetime</v>
      </c>
      <c r="M245" t="str">
        <f>IF(Table2[[#This Row],[!Type]]=M$1, M$1,"rg:None")</f>
        <v>rg:None</v>
      </c>
      <c r="N245" s="8" t="str">
        <f>IF(Table2[[#This Row],[!Type]]=N$1, N$1,"rg:None")</f>
        <v>rg:None</v>
      </c>
      <c r="O245" s="8" t="str">
        <f>IF(Table2[[#This Row],[!Type]]=O$1, O$1,"rg:None")</f>
        <v>rg:None</v>
      </c>
      <c r="P245" s="5" t="str">
        <f>IF(Table2[[#This Row],[!Type]]=P$1, P$1,"rg:None")</f>
        <v>rg:None</v>
      </c>
      <c r="Q245" s="5" t="str">
        <f>IF(Table2[[#This Row],[!Type]]=Q$1, Q$1,"rg:None")</f>
        <v>rg:None</v>
      </c>
      <c r="R245" s="5" t="str">
        <f>IF(Table2[[#This Row],[!Type]]=R$1, R$1,"rg:None")</f>
        <v>rg:None</v>
      </c>
      <c r="S245" s="5" t="str">
        <f>IF(Table2[[#This Row],[!Type]]=S$1, S$1,"rg:None")</f>
        <v>rg:None</v>
      </c>
      <c r="T245" s="8" t="str">
        <f>IF(LEN(Table2[[#This Row],[!Length]]) &gt; 0, Table2[[#This Row],[!Length]], "rg:None")</f>
        <v>rg:None</v>
      </c>
      <c r="U245" s="8" t="str">
        <f>IF(LEN(Table2[[#This Row],[!Name]]) &gt; 0, Table2[[#This Row],[!Name]], "rg:None")</f>
        <v>startDate</v>
      </c>
      <c r="V245" s="8" t="str">
        <f>IF(LEN(Table2[[#This Row],[!Description]]) &gt; 0, Table2[[#This Row],[!Description]], "rg:None")</f>
        <v>The DATE the business information came into effect. - NOT CURRENTLY ENFORCED IN THIS SYSTEM</v>
      </c>
      <c r="W245" s="8" t="str">
        <f>IF(LEN(Table2[[#This Row],[!FK]])&gt;0,Table2[[#This Row],[!FK]],"rg:None")</f>
        <v>rg:None</v>
      </c>
      <c r="X245" s="8" t="str">
        <f>IF(LEN(concatif2(A:A,Table2[[#This Row],[!Table]],G:G,"Y",D:D,",")) &gt; 0,"rg:[ { 'req' : '"&amp;concatif2(A:A,Table2[[#This Row],[!Table]],G:G,"Y",D:D,"' }, { 'req': '")&amp;"'} ]","rg:[]")</f>
        <v>rg:[ { 'req' : 'id' }, { 'req': 'ministryRegionID' }, { 'req': 'name' }, { 'req': 'startDate'} ]</v>
      </c>
      <c r="Y245" s="8" t="str">
        <f>IF(LEN(Table2[[#This Row],[!Unique]])&gt;0,"rg:True","rg:None")</f>
        <v>rg:None</v>
      </c>
    </row>
    <row r="246" spans="1:25" ht="28.8" x14ac:dyDescent="0.3">
      <c r="A246" s="3" t="s">
        <v>30</v>
      </c>
      <c r="B246" s="3" t="s">
        <v>12</v>
      </c>
      <c r="C246" s="3"/>
      <c r="D246" s="3" t="s">
        <v>33</v>
      </c>
      <c r="E246" s="84" t="s">
        <v>459</v>
      </c>
      <c r="F246" s="3" t="s">
        <v>5</v>
      </c>
      <c r="G246" s="4"/>
      <c r="H246" s="4"/>
      <c r="I246" s="5" t="str">
        <f t="shared" si="18"/>
        <v>Defs</v>
      </c>
      <c r="J246" t="str">
        <f>IF(Table2[[#This Row],[!Type]]=J$1, J$1,"rg:None")</f>
        <v>rg:None</v>
      </c>
      <c r="K246" t="str">
        <f>IF(Table2[[#This Row],[!Type]]=K$1, K$1,"rg:None")</f>
        <v>rg:None</v>
      </c>
      <c r="L246" t="str">
        <f>IF(Table2[[#This Row],[!Type]]=L$1, L$1,"rg:None")</f>
        <v>datetime</v>
      </c>
      <c r="M246" t="str">
        <f>IF(Table2[[#This Row],[!Type]]=M$1, M$1,"rg:None")</f>
        <v>rg:None</v>
      </c>
      <c r="N246" s="8" t="str">
        <f>IF(Table2[[#This Row],[!Type]]=N$1, N$1,"rg:None")</f>
        <v>rg:None</v>
      </c>
      <c r="O246" s="8"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8" t="str">
        <f>IF(LEN(Table2[[#This Row],[!Length]]) &gt; 0, Table2[[#This Row],[!Length]], "rg:None")</f>
        <v>rg:None</v>
      </c>
      <c r="U246" s="8" t="str">
        <f>IF(LEN(Table2[[#This Row],[!Name]]) &gt; 0, Table2[[#This Row],[!Name]], "rg:None")</f>
        <v>endDate</v>
      </c>
      <c r="V246" s="8" t="str">
        <f>IF(LEN(Table2[[#This Row],[!Description]]) &gt; 0, Table2[[#This Row],[!Description]], "rg:None")</f>
        <v>The DATE the business information ceased to be in effect. - NOT CURRENTLY ENFORCED IN THIS SYSTEM</v>
      </c>
      <c r="W246" s="8" t="str">
        <f>IF(LEN(Table2[[#This Row],[!FK]])&gt;0,Table2[[#This Row],[!FK]],"rg:None")</f>
        <v>rg:None</v>
      </c>
      <c r="X246" s="8" t="str">
        <f>IF(LEN(concatif2(A:A,Table2[[#This Row],[!Table]],G:G,"Y",D:D,",")) &gt; 0,"rg:[ { 'req' : '"&amp;concatif2(A:A,Table2[[#This Row],[!Table]],G:G,"Y",D:D,"' }, { 'req': '")&amp;"'} ]","rg:[]")</f>
        <v>rg:[ { 'req' : 'id' }, { 'req': 'ministryRegionID' }, { 'req': 'name' }, { 'req': 'startDate'} ]</v>
      </c>
      <c r="Y246" s="8" t="str">
        <f>IF(LEN(Table2[[#This Row],[!Unique]])&gt;0,"rg:True","rg:None")</f>
        <v>rg:None</v>
      </c>
    </row>
    <row r="247" spans="1:25" x14ac:dyDescent="0.3">
      <c r="A247" s="3" t="s">
        <v>34</v>
      </c>
      <c r="B247" s="3" t="s">
        <v>4</v>
      </c>
      <c r="C247" s="3"/>
      <c r="D247" s="3" t="s">
        <v>34</v>
      </c>
      <c r="E247" s="84" t="s">
        <v>453</v>
      </c>
      <c r="F247" s="3" t="s">
        <v>5</v>
      </c>
      <c r="G247" s="4"/>
      <c r="H247" s="4"/>
      <c r="I247" s="5" t="str">
        <f t="shared" si="18"/>
        <v>Defs</v>
      </c>
      <c r="J247" t="str">
        <f>IF(Table2[[#This Row],[!Type]]=J$1, J$1,"rg:None")</f>
        <v>rg:None</v>
      </c>
      <c r="K247" t="str">
        <f>IF(Table2[[#This Row],[!Type]]=K$1, K$1,"rg:None")</f>
        <v>rg:None</v>
      </c>
      <c r="L247" t="str">
        <f>IF(Table2[[#This Row],[!Type]]=L$1, L$1,"rg:None")</f>
        <v>rg:None</v>
      </c>
      <c r="M247" t="str">
        <f>IF(Table2[[#This Row],[!Type]]=M$1, M$1,"rg:None")</f>
        <v>rg:None</v>
      </c>
      <c r="N247" s="8" t="str">
        <f>IF(Table2[[#This Row],[!Type]]=N$1, N$1,"rg:None")</f>
        <v>rg:None</v>
      </c>
      <c r="O247" s="8"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table</v>
      </c>
      <c r="T247" s="8" t="str">
        <f>IF(LEN(Table2[[#This Row],[!Length]]) &gt; 0, Table2[[#This Row],[!Length]], "rg:None")</f>
        <v>rg:None</v>
      </c>
      <c r="U247" s="8" t="str">
        <f>IF(LEN(Table2[[#This Row],[!Name]]) &gt; 0, Table2[[#This Row],[!Name]], "rg:None")</f>
        <v>District</v>
      </c>
      <c r="V247" s="8" t="str">
        <f>IF(LEN(Table2[[#This Row],[!Description]]) &gt; 0, Table2[[#This Row],[!Description]], "rg:None")</f>
        <v>The Ministry of Transportion and Infrastructure DISTRICT</v>
      </c>
      <c r="W247" s="8" t="str">
        <f>IF(LEN(Table2[[#This Row],[!FK]])&gt;0,Table2[[#This Row],[!FK]],"rg:None")</f>
        <v>rg:None</v>
      </c>
      <c r="X247" s="8" t="str">
        <f>IF(LEN(concatif2(A:A,Table2[[#This Row],[!Table]],G:G,"Y",D:D,",")) &gt; 0,"rg:[ { 'req' : '"&amp;concatif2(A:A,Table2[[#This Row],[!Table]],G:G,"Y",D:D,"' }, { 'req': '")&amp;"'} ]","rg:[]")</f>
        <v>rg:[ { 'req' : 'id' }, { 'req': 'ministryDistrictID' }, { 'req': 'name' }, { 'req': 'region' }, { 'req': 'startDate'} ]</v>
      </c>
      <c r="Y247" s="8" t="str">
        <f>IF(LEN(Table2[[#This Row],[!Unique]])&gt;0,"rg:True","rg:None")</f>
        <v>rg:None</v>
      </c>
    </row>
    <row r="248" spans="1:25" x14ac:dyDescent="0.3">
      <c r="A248" s="3" t="s">
        <v>34</v>
      </c>
      <c r="B248" s="3" t="s">
        <v>6</v>
      </c>
      <c r="C248" s="3"/>
      <c r="D248" s="3" t="s">
        <v>6</v>
      </c>
      <c r="E248" s="60" t="s">
        <v>358</v>
      </c>
      <c r="F248" s="3" t="s">
        <v>5</v>
      </c>
      <c r="G248" s="4" t="s">
        <v>64</v>
      </c>
      <c r="H248" s="53"/>
      <c r="I248" s="5" t="str">
        <f t="shared" si="18"/>
        <v>Defs</v>
      </c>
      <c r="J248" t="str">
        <f>IF(Table2[[#This Row],[!Type]]=J$1, J$1,"rg:None")</f>
        <v>rg:None</v>
      </c>
      <c r="K248" t="str">
        <f>IF(Table2[[#This Row],[!Type]]=K$1, K$1,"rg:None")</f>
        <v>rg:None</v>
      </c>
      <c r="L248" t="str">
        <f>IF(Table2[[#This Row],[!Type]]=L$1, L$1,"rg:None")</f>
        <v>rg:None</v>
      </c>
      <c r="M248" t="str">
        <f>IF(Table2[[#This Row],[!Type]]=M$1, M$1,"rg:None")</f>
        <v>id</v>
      </c>
      <c r="N248" s="8" t="str">
        <f>IF(Table2[[#This Row],[!Type]]=N$1, N$1,"rg:None")</f>
        <v>rg:None</v>
      </c>
      <c r="O248" s="8" t="str">
        <f>IF(Table2[[#This Row],[!Type]]=O$1, O$1,"rg:None")</f>
        <v>rg:None</v>
      </c>
      <c r="P248" s="5" t="str">
        <f>IF(Table2[[#This Row],[!Type]]=P$1, P$1,"rg:None")</f>
        <v>rg:None</v>
      </c>
      <c r="Q248" s="5" t="str">
        <f>IF(Table2[[#This Row],[!Type]]=Q$1, Q$1,"rg:None")</f>
        <v>rg:None</v>
      </c>
      <c r="R248" s="5" t="str">
        <f>IF(Table2[[#This Row],[!Type]]=R$1, R$1,"rg:None")</f>
        <v>rg:None</v>
      </c>
      <c r="S248" s="5" t="str">
        <f>IF(Table2[[#This Row],[!Type]]=S$1, S$1,"rg:None")</f>
        <v>rg:None</v>
      </c>
      <c r="T248" s="8" t="str">
        <f>IF(LEN(Table2[[#This Row],[!Length]]) &gt; 0, Table2[[#This Row],[!Length]], "rg:None")</f>
        <v>rg:None</v>
      </c>
      <c r="U248" s="8" t="str">
        <f>IF(LEN(Table2[[#This Row],[!Name]]) &gt; 0, Table2[[#This Row],[!Name]], "rg:None")</f>
        <v>id</v>
      </c>
      <c r="V248" s="8" t="str">
        <f>IF(LEN(Table2[[#This Row],[!Description]]) &gt; 0, Table2[[#This Row],[!Description]], "rg:None")</f>
        <v>A system-generated unique identifier for a District</v>
      </c>
      <c r="W248" s="8" t="str">
        <f>IF(LEN(Table2[[#This Row],[!FK]])&gt;0,Table2[[#This Row],[!FK]],"rg:None")</f>
        <v>rg:None</v>
      </c>
      <c r="X248" s="8" t="str">
        <f>IF(LEN(concatif2(A:A,Table2[[#This Row],[!Table]],G:G,"Y",D:D,",")) &gt; 0,"rg:[ { 'req' : '"&amp;concatif2(A:A,Table2[[#This Row],[!Table]],G:G,"Y",D:D,"' }, { 'req': '")&amp;"'} ]","rg:[]")</f>
        <v>rg:[ { 'req' : 'id' }, { 'req': 'ministryDistrictID' }, { 'req': 'name' }, { 'req': 'region' }, { 'req': 'startDate'} ]</v>
      </c>
      <c r="Y248" s="8" t="str">
        <f>IF(LEN(Table2[[#This Row],[!Unique]])&gt;0,"rg:True","rg:None")</f>
        <v>rg:None</v>
      </c>
    </row>
    <row r="249" spans="1:25" x14ac:dyDescent="0.3">
      <c r="A249" s="3" t="s">
        <v>34</v>
      </c>
      <c r="B249" s="3" t="s">
        <v>13</v>
      </c>
      <c r="C249" s="3"/>
      <c r="D249" s="3" t="s">
        <v>35</v>
      </c>
      <c r="E249" s="84" t="s">
        <v>454</v>
      </c>
      <c r="F249" s="3" t="s">
        <v>5</v>
      </c>
      <c r="G249" s="53" t="s">
        <v>64</v>
      </c>
      <c r="H249" s="53"/>
      <c r="I249" s="5" t="str">
        <f t="shared" si="18"/>
        <v>Defs</v>
      </c>
      <c r="J249" t="str">
        <f>IF(Table2[[#This Row],[!Type]]=J$1, J$1,"rg:None")</f>
        <v>rg:None</v>
      </c>
      <c r="K249" t="str">
        <f>IF(Table2[[#This Row],[!Type]]=K$1, K$1,"rg:None")</f>
        <v>rg:None</v>
      </c>
      <c r="L249" t="str">
        <f>IF(Table2[[#This Row],[!Type]]=L$1, L$1,"rg:None")</f>
        <v>rg:None</v>
      </c>
      <c r="M249" t="str">
        <f>IF(Table2[[#This Row],[!Type]]=M$1, M$1,"rg:None")</f>
        <v>rg:None</v>
      </c>
      <c r="N249" s="8" t="str">
        <f>IF(Table2[[#This Row],[!Type]]=N$1, N$1,"rg:None")</f>
        <v>integer</v>
      </c>
      <c r="O249" s="8" t="str">
        <f>IF(Table2[[#This Row],[!Type]]=O$1, O$1,"rg:None")</f>
        <v>rg:None</v>
      </c>
      <c r="P249" s="5" t="str">
        <f>IF(Table2[[#This Row],[!Type]]=P$1, P$1,"rg:None")</f>
        <v>rg:None</v>
      </c>
      <c r="Q249" s="5" t="str">
        <f>IF(Table2[[#This Row],[!Type]]=Q$1, Q$1,"rg:None")</f>
        <v>rg:None</v>
      </c>
      <c r="R249" s="5" t="str">
        <f>IF(Table2[[#This Row],[!Type]]=R$1, R$1,"rg:None")</f>
        <v>rg:None</v>
      </c>
      <c r="S249" s="5" t="str">
        <f>IF(Table2[[#This Row],[!Type]]=S$1, S$1,"rg:None")</f>
        <v>rg:None</v>
      </c>
      <c r="T249" s="8" t="str">
        <f>IF(LEN(Table2[[#This Row],[!Length]]) &gt; 0, Table2[[#This Row],[!Length]], "rg:None")</f>
        <v>rg:None</v>
      </c>
      <c r="U249" s="8" t="str">
        <f>IF(LEN(Table2[[#This Row],[!Name]]) &gt; 0, Table2[[#This Row],[!Name]], "rg:None")</f>
        <v>ministryDistrictID</v>
      </c>
      <c r="V249" s="8" t="str">
        <f>IF(LEN(Table2[[#This Row],[!Description]]) &gt; 0, Table2[[#This Row],[!Description]], "rg:None")</f>
        <v>A system generated unique identifier. NOT GENERATED IN THIS SYSTEM.</v>
      </c>
      <c r="W249" s="8" t="str">
        <f>IF(LEN(Table2[[#This Row],[!FK]])&gt;0,Table2[[#This Row],[!FK]],"rg:None")</f>
        <v>rg:None</v>
      </c>
      <c r="X249" s="8" t="str">
        <f>IF(LEN(concatif2(A:A,Table2[[#This Row],[!Table]],G:G,"Y",D:D,",")) &gt; 0,"rg:[ { 'req' : '"&amp;concatif2(A:A,Table2[[#This Row],[!Table]],G:G,"Y",D:D,"' }, { 'req': '")&amp;"'} ]","rg:[]")</f>
        <v>rg:[ { 'req' : 'id' }, { 'req': 'ministryDistrictID' }, { 'req': 'name' }, { 'req': 'region' }, { 'req': 'startDate'} ]</v>
      </c>
      <c r="Y249" s="8" t="str">
        <f>IF(LEN(Table2[[#This Row],[!Unique]])&gt;0,"rg:True","rg:None")</f>
        <v>rg:None</v>
      </c>
    </row>
    <row r="250" spans="1:25" x14ac:dyDescent="0.3">
      <c r="A250" s="3" t="s">
        <v>34</v>
      </c>
      <c r="B250" s="3" t="s">
        <v>7</v>
      </c>
      <c r="C250" s="3">
        <v>150</v>
      </c>
      <c r="D250" s="3" t="s">
        <v>15</v>
      </c>
      <c r="E250" s="84" t="s">
        <v>455</v>
      </c>
      <c r="F250" s="3" t="s">
        <v>5</v>
      </c>
      <c r="G250" s="53" t="s">
        <v>64</v>
      </c>
      <c r="H250" s="53"/>
      <c r="I250" s="5" t="str">
        <f t="shared" si="18"/>
        <v>Defs</v>
      </c>
      <c r="J250" t="str">
        <f>IF(Table2[[#This Row],[!Type]]=J$1, J$1,"rg:None")</f>
        <v>rg:None</v>
      </c>
      <c r="K250" t="str">
        <f>IF(Table2[[#This Row],[!Type]]=K$1, K$1,"rg:None")</f>
        <v>rg:None</v>
      </c>
      <c r="L250" t="str">
        <f>IF(Table2[[#This Row],[!Type]]=L$1, L$1,"rg:None")</f>
        <v>rg:None</v>
      </c>
      <c r="M250" t="str">
        <f>IF(Table2[[#This Row],[!Type]]=M$1, M$1,"rg:None")</f>
        <v>rg:None</v>
      </c>
      <c r="N250" s="8" t="str">
        <f>IF(Table2[[#This Row],[!Type]]=N$1, N$1,"rg:None")</f>
        <v>rg:None</v>
      </c>
      <c r="O250" s="8" t="str">
        <f>IF(Table2[[#This Row],[!Type]]=O$1, O$1,"rg:None")</f>
        <v>rg:None</v>
      </c>
      <c r="P250" s="5" t="str">
        <f>IF(Table2[[#This Row],[!Type]]=P$1, P$1,"rg:None")</f>
        <v>rg:None</v>
      </c>
      <c r="Q250" s="5" t="str">
        <f>IF(Table2[[#This Row],[!Type]]=Q$1, Q$1,"rg:None")</f>
        <v>rg:None</v>
      </c>
      <c r="R250" s="5" t="str">
        <f>IF(Table2[[#This Row],[!Type]]=R$1, R$1,"rg:None")</f>
        <v>string</v>
      </c>
      <c r="S250" s="5" t="str">
        <f>IF(Table2[[#This Row],[!Type]]=S$1, S$1,"rg:None")</f>
        <v>rg:None</v>
      </c>
      <c r="T250" s="8">
        <f>IF(LEN(Table2[[#This Row],[!Length]]) &gt; 0, Table2[[#This Row],[!Length]], "rg:None")</f>
        <v>150</v>
      </c>
      <c r="U250" s="8" t="str">
        <f>IF(LEN(Table2[[#This Row],[!Name]]) &gt; 0, Table2[[#This Row],[!Name]], "rg:None")</f>
        <v>name</v>
      </c>
      <c r="V250" s="8" t="str">
        <f>IF(LEN(Table2[[#This Row],[!Description]]) &gt; 0, Table2[[#This Row],[!Description]], "rg:None")</f>
        <v>The Name of a Ministry District.</v>
      </c>
      <c r="W250" s="8" t="str">
        <f>IF(LEN(Table2[[#This Row],[!FK]])&gt;0,Table2[[#This Row],[!FK]],"rg:None")</f>
        <v>rg:None</v>
      </c>
      <c r="X250" s="8" t="str">
        <f>IF(LEN(concatif2(A:A,Table2[[#This Row],[!Table]],G:G,"Y",D:D,",")) &gt; 0,"rg:[ { 'req' : '"&amp;concatif2(A:A,Table2[[#This Row],[!Table]],G:G,"Y",D:D,"' }, { 'req': '")&amp;"'} ]","rg:[]")</f>
        <v>rg:[ { 'req' : 'id' }, { 'req': 'ministryDistrictID' }, { 'req': 'name' }, { 'req': 'region' }, { 'req': 'startDate'} ]</v>
      </c>
      <c r="Y250" s="8" t="str">
        <f>IF(LEN(Table2[[#This Row],[!Unique]])&gt;0,"rg:True","rg:None")</f>
        <v>rg:None</v>
      </c>
    </row>
    <row r="251" spans="1:25" x14ac:dyDescent="0.3">
      <c r="A251" s="86" t="s">
        <v>34</v>
      </c>
      <c r="B251" s="86" t="s">
        <v>13</v>
      </c>
      <c r="C251" s="18"/>
      <c r="D251" s="86" t="s">
        <v>456</v>
      </c>
      <c r="E251" s="61" t="s">
        <v>457</v>
      </c>
      <c r="F251" s="12"/>
      <c r="G251" s="19"/>
      <c r="H251" s="19"/>
      <c r="I251" s="4" t="str">
        <f>IF(LEN(A251) &gt; 0,"Defs","-")</f>
        <v>Defs</v>
      </c>
      <c r="J251" s="14" t="str">
        <f>IF(Table2[[#This Row],[!Type]]=J$1, J$1,"rg:None")</f>
        <v>rg:None</v>
      </c>
      <c r="K251" s="46" t="str">
        <f>IF(Table2[[#This Row],[!Type]]=K$1, K$1,"rg:None")</f>
        <v>rg:None</v>
      </c>
      <c r="L251" s="14" t="str">
        <f>IF(Table2[[#This Row],[!Type]]=L$1, L$1,"rg:None")</f>
        <v>rg:None</v>
      </c>
      <c r="M251" s="14" t="str">
        <f>IF(Table2[[#This Row],[!Type]]=M$1, M$1,"rg:None")</f>
        <v>rg:None</v>
      </c>
      <c r="N251" s="14" t="str">
        <f>IF(Table2[[#This Row],[!Type]]=N$1, N$1,"rg:None")</f>
        <v>integer</v>
      </c>
      <c r="O251" s="1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14" t="str">
        <f>IF(LEN(Table2[[#This Row],[!Length]]) &gt; 0, Table2[[#This Row],[!Length]], "rg:None")</f>
        <v>rg:None</v>
      </c>
      <c r="U251" s="14" t="str">
        <f>IF(LEN(Table2[[#This Row],[!Name]]) &gt; 0, Table2[[#This Row],[!Name]], "rg:None")</f>
        <v>districtNumber</v>
      </c>
      <c r="V251" s="14" t="str">
        <f>IF(LEN(Table2[[#This Row],[!Description]]) &gt; 0, Table2[[#This Row],[!Description]], "rg:None")</f>
        <v>A number that uniquely defines a Ministry District.</v>
      </c>
      <c r="W251" s="14" t="str">
        <f>IF(LEN(Table2[[#This Row],[!FK]])&gt;0,Table2[[#This Row],[!FK]],"rg:None")</f>
        <v>rg:None</v>
      </c>
      <c r="X251" s="14" t="str">
        <f>IF(LEN(concatif2(A:A,Table2[[#This Row],[!Table]],G:G,"Y",D:D,",")) &gt; 0,"rg:[ { 'req' : '"&amp;concatif2(A:A,Table2[[#This Row],[!Table]],G:G,"Y",D:D,"' }, { 'req': '")&amp;"'} ]","rg:[]")</f>
        <v>rg:[ { 'req' : 'id' }, { 'req': 'ministryDistrictID' }, { 'req': 'name' }, { 'req': 'region' }, { 'req': 'startDate'} ]</v>
      </c>
      <c r="Y251" s="14" t="str">
        <f>IF(LEN(Table2[[#This Row],[!Unique]])&gt;0,"rg:True","rg:None")</f>
        <v>rg:None</v>
      </c>
    </row>
    <row r="252" spans="1:25" x14ac:dyDescent="0.3">
      <c r="A252" s="3" t="s">
        <v>34</v>
      </c>
      <c r="B252" s="3" t="s">
        <v>8</v>
      </c>
      <c r="C252" s="3"/>
      <c r="D252" s="3" t="s">
        <v>36</v>
      </c>
      <c r="E252" s="60" t="s">
        <v>37</v>
      </c>
      <c r="F252" s="3" t="s">
        <v>30</v>
      </c>
      <c r="G252" s="89" t="s">
        <v>64</v>
      </c>
      <c r="H252" s="4"/>
      <c r="I252" s="5" t="str">
        <f t="shared" si="18"/>
        <v>Defs</v>
      </c>
      <c r="J252" t="str">
        <f>IF(Table2[[#This Row],[!Type]]=J$1, J$1,"rg:None")</f>
        <v>rg:None</v>
      </c>
      <c r="K252" t="str">
        <f>IF(Table2[[#This Row],[!Type]]=K$1, K$1,"rg:None")</f>
        <v>rg:None</v>
      </c>
      <c r="L252" t="str">
        <f>IF(Table2[[#This Row],[!Type]]=L$1, L$1,"rg:None")</f>
        <v>rg:None</v>
      </c>
      <c r="M252" t="str">
        <f>IF(Table2[[#This Row],[!Type]]=M$1, M$1,"rg:None")</f>
        <v>rg:None</v>
      </c>
      <c r="N252" s="8" t="str">
        <f>IF(Table2[[#This Row],[!Type]]=N$1, N$1,"rg:None")</f>
        <v>rg:None</v>
      </c>
      <c r="O252" s="8" t="str">
        <f>IF(Table2[[#This Row],[!Type]]=O$1, O$1,"rg:None")</f>
        <v>rg:None</v>
      </c>
      <c r="P252" s="5" t="str">
        <f>IF(Table2[[#This Row],[!Type]]=P$1, P$1,"rg:None")</f>
        <v>rg:None</v>
      </c>
      <c r="Q252" s="5" t="str">
        <f>IF(Table2[[#This Row],[!Type]]=Q$1, Q$1,"rg:None")</f>
        <v>ref</v>
      </c>
      <c r="R252" s="5" t="str">
        <f>IF(Table2[[#This Row],[!Type]]=R$1, R$1,"rg:None")</f>
        <v>rg:None</v>
      </c>
      <c r="S252" s="5" t="str">
        <f>IF(Table2[[#This Row],[!Type]]=S$1, S$1,"rg:None")</f>
        <v>rg:None</v>
      </c>
      <c r="T252" s="8" t="str">
        <f>IF(LEN(Table2[[#This Row],[!Length]]) &gt; 0, Table2[[#This Row],[!Length]], "rg:None")</f>
        <v>rg:None</v>
      </c>
      <c r="U252" s="8" t="str">
        <f>IF(LEN(Table2[[#This Row],[!Name]]) &gt; 0, Table2[[#This Row],[!Name]], "rg:None")</f>
        <v>region</v>
      </c>
      <c r="V252" s="8" t="str">
        <f>IF(LEN(Table2[[#This Row],[!Description]]) &gt; 0, Table2[[#This Row],[!Description]], "rg:None")</f>
        <v>The region in which the District is found.</v>
      </c>
      <c r="W252" s="8" t="str">
        <f>IF(LEN(Table2[[#This Row],[!FK]])&gt;0,Table2[[#This Row],[!FK]],"rg:None")</f>
        <v>Region</v>
      </c>
      <c r="X252" s="8" t="str">
        <f>IF(LEN(concatif2(A:A,Table2[[#This Row],[!Table]],G:G,"Y",D:D,",")) &gt; 0,"rg:[ { 'req' : '"&amp;concatif2(A:A,Table2[[#This Row],[!Table]],G:G,"Y",D:D,"' }, { 'req': '")&amp;"'} ]","rg:[]")</f>
        <v>rg:[ { 'req' : 'id' }, { 'req': 'ministryDistrictID' }, { 'req': 'name' }, { 'req': 'region' }, { 'req': 'startDate'} ]</v>
      </c>
      <c r="Y252" s="8" t="str">
        <f>IF(LEN(Table2[[#This Row],[!Unique]])&gt;0,"rg:True","rg:None")</f>
        <v>rg:None</v>
      </c>
    </row>
    <row r="253" spans="1:25" ht="28.8" x14ac:dyDescent="0.3">
      <c r="A253" s="3" t="s">
        <v>34</v>
      </c>
      <c r="B253" s="3" t="s">
        <v>12</v>
      </c>
      <c r="C253" s="3"/>
      <c r="D253" s="3" t="s">
        <v>32</v>
      </c>
      <c r="E253" s="84" t="s">
        <v>458</v>
      </c>
      <c r="F253" s="3" t="s">
        <v>5</v>
      </c>
      <c r="G253" s="89" t="s">
        <v>64</v>
      </c>
      <c r="H253" s="4"/>
      <c r="I253" s="5" t="str">
        <f t="shared" si="18"/>
        <v>Defs</v>
      </c>
      <c r="J253" t="str">
        <f>IF(Table2[[#This Row],[!Type]]=J$1, J$1,"rg:None")</f>
        <v>rg:None</v>
      </c>
      <c r="K253" t="str">
        <f>IF(Table2[[#This Row],[!Type]]=K$1, K$1,"rg:None")</f>
        <v>rg:None</v>
      </c>
      <c r="L253" t="str">
        <f>IF(Table2[[#This Row],[!Type]]=L$1, L$1,"rg:None")</f>
        <v>datetime</v>
      </c>
      <c r="M253" t="str">
        <f>IF(Table2[[#This Row],[!Type]]=M$1, M$1,"rg:None")</f>
        <v>rg:None</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8" t="str">
        <f>IF(LEN(Table2[[#This Row],[!Length]]) &gt; 0, Table2[[#This Row],[!Length]], "rg:None")</f>
        <v>rg:None</v>
      </c>
      <c r="U253" s="8" t="str">
        <f>IF(LEN(Table2[[#This Row],[!Name]]) &gt; 0, Table2[[#This Row],[!Name]], "rg:None")</f>
        <v>startDate</v>
      </c>
      <c r="V253" s="8" t="str">
        <f>IF(LEN(Table2[[#This Row],[!Description]]) &gt; 0, Table2[[#This Row],[!Description]], "rg:None")</f>
        <v>The DATE the business information came into effect. - NOT CURRENTLY ENFORCED IN THIS SYSTEM</v>
      </c>
      <c r="W253" s="8" t="str">
        <f>IF(LEN(Table2[[#This Row],[!FK]])&gt;0,Table2[[#This Row],[!FK]],"rg:None")</f>
        <v>rg:None</v>
      </c>
      <c r="X253" s="8" t="str">
        <f>IF(LEN(concatif2(A:A,Table2[[#This Row],[!Table]],G:G,"Y",D:D,",")) &gt; 0,"rg:[ { 'req' : '"&amp;concatif2(A:A,Table2[[#This Row],[!Table]],G:G,"Y",D:D,"' }, { 'req': '")&amp;"'} ]","rg:[]")</f>
        <v>rg:[ { 'req' : 'id' }, { 'req': 'ministryDistrictID' }, { 'req': 'name' }, { 'req': 'region' }, { 'req': 'startDate'} ]</v>
      </c>
      <c r="Y253" s="8" t="str">
        <f>IF(LEN(Table2[[#This Row],[!Unique]])&gt;0,"rg:True","rg:None")</f>
        <v>rg:None</v>
      </c>
    </row>
    <row r="254" spans="1:25" ht="28.8" x14ac:dyDescent="0.3">
      <c r="A254" s="3" t="s">
        <v>34</v>
      </c>
      <c r="B254" s="3" t="s">
        <v>12</v>
      </c>
      <c r="C254" s="3"/>
      <c r="D254" s="3" t="s">
        <v>33</v>
      </c>
      <c r="E254" s="84" t="s">
        <v>459</v>
      </c>
      <c r="F254" s="3" t="s">
        <v>5</v>
      </c>
      <c r="G254" s="4"/>
      <c r="H254" s="4"/>
      <c r="I254" s="5" t="str">
        <f t="shared" si="18"/>
        <v>Defs</v>
      </c>
      <c r="J254" t="str">
        <f>IF(Table2[[#This Row],[!Type]]=J$1, J$1,"rg:None")</f>
        <v>rg:None</v>
      </c>
      <c r="K254" t="str">
        <f>IF(Table2[[#This Row],[!Type]]=K$1, K$1,"rg:None")</f>
        <v>rg:None</v>
      </c>
      <c r="L254" t="str">
        <f>IF(Table2[[#This Row],[!Type]]=L$1, L$1,"rg:None")</f>
        <v>datetime</v>
      </c>
      <c r="M254" t="str">
        <f>IF(Table2[[#This Row],[!Type]]=M$1, M$1,"rg:None")</f>
        <v>rg:None</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8" t="str">
        <f>IF(LEN(Table2[[#This Row],[!Length]]) &gt; 0, Table2[[#This Row],[!Length]], "rg:None")</f>
        <v>rg:None</v>
      </c>
      <c r="U254" s="8" t="str">
        <f>IF(LEN(Table2[[#This Row],[!Name]]) &gt; 0, Table2[[#This Row],[!Name]], "rg:None")</f>
        <v>endDate</v>
      </c>
      <c r="V254" s="8" t="str">
        <f>IF(LEN(Table2[[#This Row],[!Description]]) &gt; 0, Table2[[#This Row],[!Description]], "rg:None")</f>
        <v>The DATE the business information ceased to be in effect. - NOT CURRENTLY ENFORCED IN THIS SYSTEM</v>
      </c>
      <c r="W254" s="8" t="str">
        <f>IF(LEN(Table2[[#This Row],[!FK]])&gt;0,Table2[[#This Row],[!FK]],"rg:None")</f>
        <v>rg:None</v>
      </c>
      <c r="X254" s="8" t="str">
        <f>IF(LEN(concatif2(A:A,Table2[[#This Row],[!Table]],G:G,"Y",D:D,",")) &gt; 0,"rg:[ { 'req' : '"&amp;concatif2(A:A,Table2[[#This Row],[!Table]],G:G,"Y",D:D,"' }, { 'req': '")&amp;"'} ]","rg:[]")</f>
        <v>rg:[ { 'req' : 'id' }, { 'req': 'ministryDistrictID' }, { 'req': 'name' }, { 'req': 'region' }, { 'req': 'startDate'} ]</v>
      </c>
      <c r="Y254" s="8" t="str">
        <f>IF(LEN(Table2[[#This Row],[!Unique]])&gt;0,"rg:True","rg:None")</f>
        <v>rg:None</v>
      </c>
    </row>
    <row r="255" spans="1:25" x14ac:dyDescent="0.3">
      <c r="A255" s="3" t="s">
        <v>10</v>
      </c>
      <c r="B255" s="3" t="s">
        <v>4</v>
      </c>
      <c r="C255" s="3"/>
      <c r="D255" s="3" t="s">
        <v>10</v>
      </c>
      <c r="E255" s="60" t="s">
        <v>463</v>
      </c>
      <c r="F255" s="3" t="s">
        <v>5</v>
      </c>
      <c r="G255" s="4"/>
      <c r="H255" s="4"/>
      <c r="I255" s="5" t="str">
        <f t="shared" si="18"/>
        <v>Defs</v>
      </c>
      <c r="J255" t="str">
        <f>IF(Table2[[#This Row],[!Type]]=J$1, J$1,"rg:None")</f>
        <v>rg:None</v>
      </c>
      <c r="K255" t="str">
        <f>IF(Table2[[#This Row],[!Type]]=K$1, K$1,"rg:None")</f>
        <v>rg:None</v>
      </c>
      <c r="L255" t="str">
        <f>IF(Table2[[#This Row],[!Type]]=L$1, L$1,"rg:None")</f>
        <v>rg:None</v>
      </c>
      <c r="M255" t="str">
        <f>IF(Table2[[#This Row],[!Type]]=M$1, M$1,"rg:None")</f>
        <v>rg:None</v>
      </c>
      <c r="N255" s="8" t="str">
        <f>IF(Table2[[#This Row],[!Type]]=N$1, N$1,"rg:None")</f>
        <v>rg:None</v>
      </c>
      <c r="O255" s="8" t="str">
        <f>IF(Table2[[#This Row],[!Type]]=O$1, O$1,"rg:None")</f>
        <v>rg:None</v>
      </c>
      <c r="P255" s="5" t="str">
        <f>IF(Table2[[#This Row],[!Type]]=P$1, P$1,"rg:None")</f>
        <v>rg:None</v>
      </c>
      <c r="Q255" s="5" t="str">
        <f>IF(Table2[[#This Row],[!Type]]=Q$1, Q$1,"rg:None")</f>
        <v>rg:None</v>
      </c>
      <c r="R255" s="5" t="str">
        <f>IF(Table2[[#This Row],[!Type]]=R$1, R$1,"rg:None")</f>
        <v>rg:None</v>
      </c>
      <c r="S255" s="5" t="str">
        <f>IF(Table2[[#This Row],[!Type]]=S$1, S$1,"rg:None")</f>
        <v>table</v>
      </c>
      <c r="T255" s="8" t="str">
        <f>IF(LEN(Table2[[#This Row],[!Length]]) &gt; 0, Table2[[#This Row],[!Length]], "rg:None")</f>
        <v>rg:None</v>
      </c>
      <c r="U255" s="8" t="str">
        <f>IF(LEN(Table2[[#This Row],[!Name]]) &gt; 0, Table2[[#This Row],[!Name]], "rg:None")</f>
        <v>ServiceArea</v>
      </c>
      <c r="V255" s="8" t="str">
        <f>IF(LEN(Table2[[#This Row],[!Description]]) &gt; 0, Table2[[#This Row],[!Description]], "rg:None")</f>
        <v>The Ministry of Transportation and Infrastructure SERVICE AREA.</v>
      </c>
      <c r="W255" s="8" t="str">
        <f>IF(LEN(Table2[[#This Row],[!FK]])&gt;0,Table2[[#This Row],[!FK]],"rg:None")</f>
        <v>rg:None</v>
      </c>
      <c r="X255" s="8" t="str">
        <f>IF(LEN(concatif2(A:A,Table2[[#This Row],[!Table]],G:G,"Y",D:D,",")) &gt; 0,"rg:[ { 'req' : '"&amp;concatif2(A:A,Table2[[#This Row],[!Table]],G:G,"Y",D:D,"' }, { 'req': '")&amp;"'} ]","rg:[]")</f>
        <v>rg:[ { 'req' : 'id' }, { 'req': 'ministryServiceAreaID' }, { 'req': 'name' }, { 'req': 'district' }, { 'req': 'startDate'} ]</v>
      </c>
      <c r="Y255" s="8" t="str">
        <f>IF(LEN(Table2[[#This Row],[!Unique]])&gt;0,"rg:True","rg:None")</f>
        <v>rg:None</v>
      </c>
    </row>
    <row r="256" spans="1:25" x14ac:dyDescent="0.3">
      <c r="A256" s="3" t="s">
        <v>10</v>
      </c>
      <c r="B256" s="3" t="s">
        <v>6</v>
      </c>
      <c r="C256" s="3"/>
      <c r="D256" s="3" t="s">
        <v>6</v>
      </c>
      <c r="E256" s="60" t="s">
        <v>359</v>
      </c>
      <c r="F256" s="3" t="s">
        <v>5</v>
      </c>
      <c r="G256" s="4" t="s">
        <v>64</v>
      </c>
      <c r="H256" s="53" t="s">
        <v>64</v>
      </c>
      <c r="I256" s="5" t="str">
        <f t="shared" si="18"/>
        <v>Defs</v>
      </c>
      <c r="J256" t="str">
        <f>IF(Table2[[#This Row],[!Type]]=J$1, J$1,"rg:None")</f>
        <v>rg:None</v>
      </c>
      <c r="K256" t="str">
        <f>IF(Table2[[#This Row],[!Type]]=K$1, K$1,"rg:None")</f>
        <v>rg:None</v>
      </c>
      <c r="L256" t="str">
        <f>IF(Table2[[#This Row],[!Type]]=L$1, L$1,"rg:None")</f>
        <v>rg:None</v>
      </c>
      <c r="M256" t="str">
        <f>IF(Table2[[#This Row],[!Type]]=M$1, M$1,"rg:None")</f>
        <v>id</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rg:None</v>
      </c>
      <c r="T256" s="8" t="str">
        <f>IF(LEN(Table2[[#This Row],[!Length]]) &gt; 0, Table2[[#This Row],[!Length]], "rg:None")</f>
        <v>rg:None</v>
      </c>
      <c r="U256" s="8" t="str">
        <f>IF(LEN(Table2[[#This Row],[!Name]]) &gt; 0, Table2[[#This Row],[!Name]], "rg:None")</f>
        <v>id</v>
      </c>
      <c r="V256" s="8" t="str">
        <f>IF(LEN(Table2[[#This Row],[!Description]]) &gt; 0, Table2[[#This Row],[!Description]], "rg:None")</f>
        <v>A system-generated unique identifier for a ServiceArea</v>
      </c>
      <c r="W256" s="8" t="str">
        <f>IF(LEN(Table2[[#This Row],[!FK]])&gt;0,Table2[[#This Row],[!FK]],"rg:None")</f>
        <v>rg:None</v>
      </c>
      <c r="X256" s="8" t="str">
        <f>IF(LEN(concatif2(A:A,Table2[[#This Row],[!Table]],G:G,"Y",D:D,",")) &gt; 0,"rg:[ { 'req' : '"&amp;concatif2(A:A,Table2[[#This Row],[!Table]],G:G,"Y",D:D,"' }, { 'req': '")&amp;"'} ]","rg:[]")</f>
        <v>rg:[ { 'req' : 'id' }, { 'req': 'ministryServiceAreaID' }, { 'req': 'name' }, { 'req': 'district' }, { 'req': 'startDate'} ]</v>
      </c>
      <c r="Y256" s="8" t="str">
        <f>IF(LEN(Table2[[#This Row],[!Unique]])&gt;0,"rg:True","rg:None")</f>
        <v>rg:True</v>
      </c>
    </row>
    <row r="257" spans="1:25" x14ac:dyDescent="0.3">
      <c r="A257" s="3" t="s">
        <v>10</v>
      </c>
      <c r="B257" s="3" t="s">
        <v>13</v>
      </c>
      <c r="C257" s="3"/>
      <c r="D257" s="3" t="s">
        <v>38</v>
      </c>
      <c r="E257" s="84" t="s">
        <v>454</v>
      </c>
      <c r="F257" s="3" t="s">
        <v>5</v>
      </c>
      <c r="G257" s="53" t="s">
        <v>64</v>
      </c>
      <c r="H257" s="53"/>
      <c r="I257" s="5" t="str">
        <f t="shared" si="18"/>
        <v>Defs</v>
      </c>
      <c r="J257" t="str">
        <f>IF(Table2[[#This Row],[!Type]]=J$1, J$1,"rg:None")</f>
        <v>rg:None</v>
      </c>
      <c r="K257" t="str">
        <f>IF(Table2[[#This Row],[!Type]]=K$1, K$1,"rg:None")</f>
        <v>rg:None</v>
      </c>
      <c r="L257" t="str">
        <f>IF(Table2[[#This Row],[!Type]]=L$1, L$1,"rg:None")</f>
        <v>rg:None</v>
      </c>
      <c r="M257" t="str">
        <f>IF(Table2[[#This Row],[!Type]]=M$1, M$1,"rg:None")</f>
        <v>rg:None</v>
      </c>
      <c r="N257" s="8" t="str">
        <f>IF(Table2[[#This Row],[!Type]]=N$1, N$1,"rg:None")</f>
        <v>integer</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ministryServiceAreaID</v>
      </c>
      <c r="V257" s="8" t="str">
        <f>IF(LEN(Table2[[#This Row],[!Description]]) &gt; 0, Table2[[#This Row],[!Description]], "rg:None")</f>
        <v>A system generated unique identifier. NOT GENERATED IN THIS SYSTEM.</v>
      </c>
      <c r="W257" s="8" t="str">
        <f>IF(LEN(Table2[[#This Row],[!FK]])&gt;0,Table2[[#This Row],[!FK]],"rg:None")</f>
        <v>rg:None</v>
      </c>
      <c r="X257" s="8" t="str">
        <f>IF(LEN(concatif2(A:A,Table2[[#This Row],[!Table]],G:G,"Y",D:D,",")) &gt; 0,"rg:[ { 'req' : '"&amp;concatif2(A:A,Table2[[#This Row],[!Table]],G:G,"Y",D:D,"' }, { 'req': '")&amp;"'} ]","rg:[]")</f>
        <v>rg:[ { 'req' : 'id' }, { 'req': 'ministryServiceAreaID' }, { 'req': 'name' }, { 'req': 'district' }, { 'req': 'startDate'} ]</v>
      </c>
      <c r="Y257" s="8" t="str">
        <f>IF(LEN(Table2[[#This Row],[!Unique]])&gt;0,"rg:True","rg:None")</f>
        <v>rg:None</v>
      </c>
    </row>
    <row r="258" spans="1:25" x14ac:dyDescent="0.3">
      <c r="A258" s="86" t="s">
        <v>10</v>
      </c>
      <c r="B258" s="86" t="s">
        <v>13</v>
      </c>
      <c r="C258" s="18"/>
      <c r="D258" s="86" t="s">
        <v>461</v>
      </c>
      <c r="E258" s="61" t="s">
        <v>462</v>
      </c>
      <c r="F258" s="12"/>
      <c r="G258" s="19"/>
      <c r="H258" s="19"/>
      <c r="I258" s="4" t="str">
        <f>IF(LEN(A258) &gt; 0,"Defs","-")</f>
        <v>Defs</v>
      </c>
      <c r="J258" s="14" t="str">
        <f>IF(Table2[[#This Row],[!Type]]=J$1, J$1,"rg:None")</f>
        <v>rg:None</v>
      </c>
      <c r="K258" s="46" t="str">
        <f>IF(Table2[[#This Row],[!Type]]=K$1, K$1,"rg:None")</f>
        <v>rg:None</v>
      </c>
      <c r="L258" s="14" t="str">
        <f>IF(Table2[[#This Row],[!Type]]=L$1, L$1,"rg:None")</f>
        <v>rg:None</v>
      </c>
      <c r="M258" s="14" t="str">
        <f>IF(Table2[[#This Row],[!Type]]=M$1, M$1,"rg:None")</f>
        <v>rg:None</v>
      </c>
      <c r="N258" s="14" t="str">
        <f>IF(Table2[[#This Row],[!Type]]=N$1, N$1,"rg:None")</f>
        <v>integer</v>
      </c>
      <c r="O258" s="1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14" t="str">
        <f>IF(LEN(Table2[[#This Row],[!Length]]) &gt; 0, Table2[[#This Row],[!Length]], "rg:None")</f>
        <v>rg:None</v>
      </c>
      <c r="U258" s="14" t="str">
        <f>IF(LEN(Table2[[#This Row],[!Name]]) &gt; 0, Table2[[#This Row],[!Name]], "rg:None")</f>
        <v>areaNumber</v>
      </c>
      <c r="V258" s="14" t="str">
        <f>IF(LEN(Table2[[#This Row],[!Description]]) &gt; 0, Table2[[#This Row],[!Description]], "rg:None")</f>
        <v>A number that uniquely defines a Ministry Service Area.</v>
      </c>
      <c r="W258" s="14" t="str">
        <f>IF(LEN(Table2[[#This Row],[!FK]])&gt;0,Table2[[#This Row],[!FK]],"rg:None")</f>
        <v>rg:None</v>
      </c>
      <c r="X258" s="14" t="str">
        <f>IF(LEN(concatif2(A:A,Table2[[#This Row],[!Table]],G:G,"Y",D:D,",")) &gt; 0,"rg:[ { 'req' : '"&amp;concatif2(A:A,Table2[[#This Row],[!Table]],G:G,"Y",D:D,"' }, { 'req': '")&amp;"'} ]","rg:[]")</f>
        <v>rg:[ { 'req' : 'id' }, { 'req': 'ministryServiceAreaID' }, { 'req': 'name' }, { 'req': 'district' }, { 'req': 'startDate'} ]</v>
      </c>
      <c r="Y258" s="14" t="str">
        <f>IF(LEN(Table2[[#This Row],[!Unique]])&gt;0,"rg:True","rg:None")</f>
        <v>rg:None</v>
      </c>
    </row>
    <row r="259" spans="1:25" x14ac:dyDescent="0.3">
      <c r="A259" s="3" t="s">
        <v>10</v>
      </c>
      <c r="B259" s="3" t="s">
        <v>7</v>
      </c>
      <c r="C259" s="3">
        <v>150</v>
      </c>
      <c r="D259" s="3" t="s">
        <v>15</v>
      </c>
      <c r="E259" s="84" t="s">
        <v>460</v>
      </c>
      <c r="F259" s="3" t="s">
        <v>5</v>
      </c>
      <c r="G259" s="53" t="s">
        <v>64</v>
      </c>
      <c r="H259" s="53"/>
      <c r="I259" s="5" t="str">
        <f t="shared" si="18"/>
        <v>Defs</v>
      </c>
      <c r="J259" t="str">
        <f>IF(Table2[[#This Row],[!Type]]=J$1, J$1,"rg:None")</f>
        <v>rg:None</v>
      </c>
      <c r="K259" t="str">
        <f>IF(Table2[[#This Row],[!Type]]=K$1, K$1,"rg:None")</f>
        <v>rg:None</v>
      </c>
      <c r="L259" t="str">
        <f>IF(Table2[[#This Row],[!Type]]=L$1, L$1,"rg:None")</f>
        <v>rg:None</v>
      </c>
      <c r="M259"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string</v>
      </c>
      <c r="S259" s="5" t="str">
        <f>IF(Table2[[#This Row],[!Type]]=S$1, S$1,"rg:None")</f>
        <v>rg:None</v>
      </c>
      <c r="T259" s="8">
        <f>IF(LEN(Table2[[#This Row],[!Length]]) &gt; 0, Table2[[#This Row],[!Length]], "rg:None")</f>
        <v>150</v>
      </c>
      <c r="U259" s="8" t="str">
        <f>IF(LEN(Table2[[#This Row],[!Name]]) &gt; 0, Table2[[#This Row],[!Name]], "rg:None")</f>
        <v>name</v>
      </c>
      <c r="V259" s="8" t="str">
        <f>IF(LEN(Table2[[#This Row],[!Description]]) &gt; 0, Table2[[#This Row],[!Description]], "rg:None")</f>
        <v>The Name of a Ministry Service Area.</v>
      </c>
      <c r="W259" s="8" t="str">
        <f>IF(LEN(Table2[[#This Row],[!FK]])&gt;0,Table2[[#This Row],[!FK]],"rg:None")</f>
        <v>rg:None</v>
      </c>
      <c r="X259" s="8" t="str">
        <f>IF(LEN(concatif2(A:A,Table2[[#This Row],[!Table]],G:G,"Y",D:D,",")) &gt; 0,"rg:[ { 'req' : '"&amp;concatif2(A:A,Table2[[#This Row],[!Table]],G:G,"Y",D:D,"' }, { 'req': '")&amp;"'} ]","rg:[]")</f>
        <v>rg:[ { 'req' : 'id' }, { 'req': 'ministryServiceAreaID' }, { 'req': 'name' }, { 'req': 'district' }, { 'req': 'startDate'} ]</v>
      </c>
      <c r="Y259" s="8" t="str">
        <f>IF(LEN(Table2[[#This Row],[!Unique]])&gt;0,"rg:True","rg:None")</f>
        <v>rg:None</v>
      </c>
    </row>
    <row r="260" spans="1:25" x14ac:dyDescent="0.3">
      <c r="A260" s="3" t="s">
        <v>10</v>
      </c>
      <c r="B260" s="3" t="s">
        <v>8</v>
      </c>
      <c r="C260" s="3"/>
      <c r="D260" s="3" t="s">
        <v>39</v>
      </c>
      <c r="E260" s="60" t="s">
        <v>40</v>
      </c>
      <c r="F260" s="3" t="s">
        <v>34</v>
      </c>
      <c r="G260" s="89" t="s">
        <v>64</v>
      </c>
      <c r="H260" s="4"/>
      <c r="I260" s="5" t="str">
        <f t="shared" si="18"/>
        <v>Defs</v>
      </c>
      <c r="J260" t="str">
        <f>IF(Table2[[#This Row],[!Type]]=J$1, J$1,"rg:None")</f>
        <v>rg:None</v>
      </c>
      <c r="K260" t="str">
        <f>IF(Table2[[#This Row],[!Type]]=K$1, K$1,"rg:None")</f>
        <v>rg:None</v>
      </c>
      <c r="L260" t="str">
        <f>IF(Table2[[#This Row],[!Type]]=L$1, L$1,"rg:None")</f>
        <v>rg:None</v>
      </c>
      <c r="M260"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ref</v>
      </c>
      <c r="R260" s="5" t="str">
        <f>IF(Table2[[#This Row],[!Type]]=R$1, R$1,"rg:None")</f>
        <v>rg:None</v>
      </c>
      <c r="S260" s="5" t="str">
        <f>IF(Table2[[#This Row],[!Type]]=S$1, S$1,"rg:None")</f>
        <v>rg:None</v>
      </c>
      <c r="T260" s="8" t="str">
        <f>IF(LEN(Table2[[#This Row],[!Length]]) &gt; 0, Table2[[#This Row],[!Length]], "rg:None")</f>
        <v>rg:None</v>
      </c>
      <c r="U260" s="8" t="str">
        <f>IF(LEN(Table2[[#This Row],[!Name]]) &gt; 0, Table2[[#This Row],[!Name]], "rg:None")</f>
        <v>district</v>
      </c>
      <c r="V260" s="8" t="str">
        <f>IF(LEN(Table2[[#This Row],[!Description]]) &gt; 0, Table2[[#This Row],[!Description]], "rg:None")</f>
        <v>The district in which the Service Area is found.</v>
      </c>
      <c r="W260" s="8" t="str">
        <f>IF(LEN(Table2[[#This Row],[!FK]])&gt;0,Table2[[#This Row],[!FK]],"rg:None")</f>
        <v>District</v>
      </c>
      <c r="X260" s="8" t="str">
        <f>IF(LEN(concatif2(A:A,Table2[[#This Row],[!Table]],G:G,"Y",D:D,",")) &gt; 0,"rg:[ { 'req' : '"&amp;concatif2(A:A,Table2[[#This Row],[!Table]],G:G,"Y",D:D,"' }, { 'req': '")&amp;"'} ]","rg:[]")</f>
        <v>rg:[ { 'req' : 'id' }, { 'req': 'ministryServiceAreaID' }, { 'req': 'name' }, { 'req': 'district' }, { 'req': 'startDate'} ]</v>
      </c>
      <c r="Y260" s="8" t="str">
        <f>IF(LEN(Table2[[#This Row],[!Unique]])&gt;0,"rg:True","rg:None")</f>
        <v>rg:None</v>
      </c>
    </row>
    <row r="261" spans="1:25" ht="28.8" x14ac:dyDescent="0.3">
      <c r="A261" s="3" t="s">
        <v>10</v>
      </c>
      <c r="B261" s="3" t="s">
        <v>12</v>
      </c>
      <c r="C261" s="3"/>
      <c r="D261" s="3" t="s">
        <v>32</v>
      </c>
      <c r="E261" s="84" t="s">
        <v>458</v>
      </c>
      <c r="F261" s="3" t="s">
        <v>5</v>
      </c>
      <c r="G261" s="89" t="s">
        <v>64</v>
      </c>
      <c r="H261" s="4"/>
      <c r="I261" s="5" t="str">
        <f t="shared" si="18"/>
        <v>Defs</v>
      </c>
      <c r="J261" t="str">
        <f>IF(Table2[[#This Row],[!Type]]=J$1, J$1,"rg:None")</f>
        <v>rg:None</v>
      </c>
      <c r="K261" t="str">
        <f>IF(Table2[[#This Row],[!Type]]=K$1, K$1,"rg:None")</f>
        <v>rg:None</v>
      </c>
      <c r="L261" t="str">
        <f>IF(Table2[[#This Row],[!Type]]=L$1, L$1,"rg:None")</f>
        <v>datetime</v>
      </c>
      <c r="M261"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startDate</v>
      </c>
      <c r="V261" s="8" t="str">
        <f>IF(LEN(Table2[[#This Row],[!Description]]) &gt; 0, Table2[[#This Row],[!Description]], "rg:None")</f>
        <v>The DATE the business information came into effect. - NOT CURRENTLY ENFORCED IN THIS SYSTEM</v>
      </c>
      <c r="W261" s="8" t="str">
        <f>IF(LEN(Table2[[#This Row],[!FK]])&gt;0,Table2[[#This Row],[!FK]],"rg:None")</f>
        <v>rg:None</v>
      </c>
      <c r="X261" s="8" t="str">
        <f>IF(LEN(concatif2(A:A,Table2[[#This Row],[!Table]],G:G,"Y",D:D,",")) &gt; 0,"rg:[ { 'req' : '"&amp;concatif2(A:A,Table2[[#This Row],[!Table]],G:G,"Y",D:D,"' }, { 'req': '")&amp;"'} ]","rg:[]")</f>
        <v>rg:[ { 'req' : 'id' }, { 'req': 'ministryServiceAreaID' }, { 'req': 'name' }, { 'req': 'district' }, { 'req': 'startDate'} ]</v>
      </c>
      <c r="Y261" s="8" t="str">
        <f>IF(LEN(Table2[[#This Row],[!Unique]])&gt;0,"rg:True","rg:None")</f>
        <v>rg:None</v>
      </c>
    </row>
    <row r="262" spans="1:25" ht="28.8" x14ac:dyDescent="0.3">
      <c r="A262" s="3" t="s">
        <v>10</v>
      </c>
      <c r="B262" s="3" t="s">
        <v>12</v>
      </c>
      <c r="C262" s="3"/>
      <c r="D262" s="3" t="s">
        <v>33</v>
      </c>
      <c r="E262" s="84" t="s">
        <v>459</v>
      </c>
      <c r="F262" s="3" t="s">
        <v>5</v>
      </c>
      <c r="G262" s="4"/>
      <c r="H262" s="4"/>
      <c r="I262" s="5" t="str">
        <f t="shared" si="18"/>
        <v>Defs</v>
      </c>
      <c r="J262" t="str">
        <f>IF(Table2[[#This Row],[!Type]]=J$1, J$1,"rg:None")</f>
        <v>rg:None</v>
      </c>
      <c r="K262" t="str">
        <f>IF(Table2[[#This Row],[!Type]]=K$1, K$1,"rg:None")</f>
        <v>rg:None</v>
      </c>
      <c r="L262" t="str">
        <f>IF(Table2[[#This Row],[!Type]]=L$1, L$1,"rg:None")</f>
        <v>datetime</v>
      </c>
      <c r="M262" t="str">
        <f>IF(Table2[[#This Row],[!Type]]=M$1, M$1,"rg:None")</f>
        <v>rg:None</v>
      </c>
      <c r="N262" s="8" t="str">
        <f>IF(Table2[[#This Row],[!Type]]=N$1, N$1,"rg:None")</f>
        <v>rg:None</v>
      </c>
      <c r="O262" s="8"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8" t="str">
        <f>IF(LEN(Table2[[#This Row],[!Length]]) &gt; 0, Table2[[#This Row],[!Length]], "rg:None")</f>
        <v>rg:None</v>
      </c>
      <c r="U262" s="8" t="str">
        <f>IF(LEN(Table2[[#This Row],[!Name]]) &gt; 0, Table2[[#This Row],[!Name]], "rg:None")</f>
        <v>endDate</v>
      </c>
      <c r="V262" s="8" t="str">
        <f>IF(LEN(Table2[[#This Row],[!Description]]) &gt; 0, Table2[[#This Row],[!Description]], "rg:None")</f>
        <v>The DATE the business information ceased to be in effect. - NOT CURRENTLY ENFORCED IN THIS SYSTEM</v>
      </c>
      <c r="W262" s="8" t="str">
        <f>IF(LEN(Table2[[#This Row],[!FK]])&gt;0,Table2[[#This Row],[!FK]],"rg:None")</f>
        <v>rg:None</v>
      </c>
      <c r="X262" s="8" t="str">
        <f>IF(LEN(concatif2(A:A,Table2[[#This Row],[!Table]],G:G,"Y",D:D,",")) &gt; 0,"rg:[ { 'req' : '"&amp;concatif2(A:A,Table2[[#This Row],[!Table]],G:G,"Y",D:D,"' }, { 'req': '")&amp;"'} ]","rg:[]")</f>
        <v>rg:[ { 'req' : 'id' }, { 'req': 'ministryServiceAreaID' }, { 'req': 'name' }, { 'req': 'district' }, { 'req': 'startDate'} ]</v>
      </c>
      <c r="Y262" s="8" t="str">
        <f>IF(LEN(Table2[[#This Row],[!Unique]])&gt;0,"rg:True","rg:None")</f>
        <v>rg:None</v>
      </c>
    </row>
    <row r="263" spans="1:25" x14ac:dyDescent="0.3">
      <c r="A263" s="17" t="s">
        <v>160</v>
      </c>
      <c r="B263" s="3" t="s">
        <v>4</v>
      </c>
      <c r="C263" s="3"/>
      <c r="D263" s="17" t="s">
        <v>160</v>
      </c>
      <c r="E263" s="84" t="s">
        <v>415</v>
      </c>
      <c r="F263" s="3" t="s">
        <v>5</v>
      </c>
      <c r="G263" s="4"/>
      <c r="H263" s="4"/>
      <c r="I263" s="5" t="str">
        <f>IF(LEN(A263) &gt; 0,"Defs","-")</f>
        <v>Defs</v>
      </c>
      <c r="J263" t="str">
        <f>IF(Table2[[#This Row],[!Type]]=J$1, J$1,"rg:None")</f>
        <v>rg:None</v>
      </c>
      <c r="K263" t="str">
        <f>IF(Table2[[#This Row],[!Type]]=K$1, K$1,"rg:None")</f>
        <v>rg:None</v>
      </c>
      <c r="L263" t="str">
        <f>IF(Table2[[#This Row],[!Type]]=L$1, L$1,"rg:None")</f>
        <v>rg:None</v>
      </c>
      <c r="M263"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8" t="str">
        <f>IF(LEN(Table2[[#This Row],[!Length]]) &gt; 0, Table2[[#This Row],[!Length]], "rg:None")</f>
        <v>rg:None</v>
      </c>
      <c r="U263" s="8" t="str">
        <f>IF(LEN(Table2[[#This Row],[!Name]]) &gt; 0, Table2[[#This Row],[!Name]], "rg:None")</f>
        <v>LocalArea</v>
      </c>
      <c r="V263" s="8" t="str">
        <f>IF(LEN(Table2[[#This Row],[!Description]]) &gt; 0, Table2[[#This Row],[!Description]], "rg:None")</f>
        <v>A HETS-application defined area that is within a Service Area.</v>
      </c>
      <c r="W263" s="8" t="str">
        <f>IF(LEN(Table2[[#This Row],[!FK]])&gt;0,Table2[[#This Row],[!FK]],"rg:None")</f>
        <v>rg:None</v>
      </c>
      <c r="X263" s="8" t="str">
        <f>IF(LEN(concatif2(A:A,Table2[[#This Row],[!Table]],G:G,"Y",D:D,",")) &gt; 0,"rg:[ { 'req' : '"&amp;concatif2(A:A,Table2[[#This Row],[!Table]],G:G,"Y",D:D,"' }, { 'req': '")&amp;"'} ]","rg:[]")</f>
        <v>rg:[ { 'req' : 'id' }, { 'req': 'startDate'} ]</v>
      </c>
      <c r="Y263" s="8" t="str">
        <f>IF(LEN(Table2[[#This Row],[!Unique]])&gt;0,"rg:True","rg:None")</f>
        <v>rg:None</v>
      </c>
    </row>
    <row r="264" spans="1:25" x14ac:dyDescent="0.3">
      <c r="A264" s="17" t="s">
        <v>160</v>
      </c>
      <c r="B264" s="3" t="s">
        <v>6</v>
      </c>
      <c r="C264" s="3"/>
      <c r="D264" s="3" t="s">
        <v>6</v>
      </c>
      <c r="E264" s="60" t="s">
        <v>388</v>
      </c>
      <c r="F264" s="3" t="s">
        <v>5</v>
      </c>
      <c r="G264" s="4" t="s">
        <v>64</v>
      </c>
      <c r="H264" s="4"/>
      <c r="I264" s="5" t="str">
        <f>IF(LEN(A264) &gt; 0,"Defs","-")</f>
        <v>Defs</v>
      </c>
      <c r="J264" t="str">
        <f>IF(Table2[[#This Row],[!Type]]=J$1, J$1,"rg:None")</f>
        <v>rg:None</v>
      </c>
      <c r="K264" t="str">
        <f>IF(Table2[[#This Row],[!Type]]=K$1, K$1,"rg:None")</f>
        <v>rg:None</v>
      </c>
      <c r="L264" t="str">
        <f>IF(Table2[[#This Row],[!Type]]=L$1, L$1,"rg:None")</f>
        <v>rg:None</v>
      </c>
      <c r="M264" t="str">
        <f>IF(Table2[[#This Row],[!Type]]=M$1, M$1,"rg:None")</f>
        <v>id</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id</v>
      </c>
      <c r="V264" s="8" t="str">
        <f>IF(LEN(Table2[[#This Row],[!Description]]) &gt; 0, Table2[[#This Row],[!Description]], "rg:None")</f>
        <v>A system-generated unique identifier for a LocalArea</v>
      </c>
      <c r="W264" s="8" t="str">
        <f>IF(LEN(Table2[[#This Row],[!FK]])&gt;0,Table2[[#This Row],[!FK]],"rg:None")</f>
        <v>rg:None</v>
      </c>
      <c r="X264" s="8" t="str">
        <f>IF(LEN(concatif2(A:A,Table2[[#This Row],[!Table]],G:G,"Y",D:D,",")) &gt; 0,"rg:[ { 'req' : '"&amp;concatif2(A:A,Table2[[#This Row],[!Table]],G:G,"Y",D:D,"' }, { 'req': '")&amp;"'} ]","rg:[]")</f>
        <v>rg:[ { 'req' : 'id' }, { 'req': 'startDate'} ]</v>
      </c>
      <c r="Y264" s="8" t="str">
        <f>IF(LEN(Table2[[#This Row],[!Unique]])&gt;0,"rg:True","rg:None")</f>
        <v>rg:None</v>
      </c>
    </row>
    <row r="265" spans="1:25" x14ac:dyDescent="0.3">
      <c r="A265" s="86" t="s">
        <v>160</v>
      </c>
      <c r="B265" s="86" t="s">
        <v>13</v>
      </c>
      <c r="C265" s="18"/>
      <c r="D265" s="86" t="s">
        <v>465</v>
      </c>
      <c r="E265" s="85" t="s">
        <v>464</v>
      </c>
      <c r="F265" s="12"/>
      <c r="G265" s="19"/>
      <c r="H265" s="19"/>
      <c r="I265" s="4" t="str">
        <f>IF(LEN(A265) &gt; 0,"Defs","-")</f>
        <v>Defs</v>
      </c>
      <c r="J265" s="14" t="str">
        <f>IF(Table2[[#This Row],[!Type]]=J$1, J$1,"rg:None")</f>
        <v>rg:None</v>
      </c>
      <c r="K265" s="46" t="str">
        <f>IF(Table2[[#This Row],[!Type]]=K$1, K$1,"rg:None")</f>
        <v>rg:None</v>
      </c>
      <c r="L265" s="14" t="str">
        <f>IF(Table2[[#This Row],[!Type]]=L$1, L$1,"rg:None")</f>
        <v>rg:None</v>
      </c>
      <c r="M265" s="14" t="str">
        <f>IF(Table2[[#This Row],[!Type]]=M$1, M$1,"rg:None")</f>
        <v>rg:None</v>
      </c>
      <c r="N265" s="14" t="str">
        <f>IF(Table2[[#This Row],[!Type]]=N$1, N$1,"rg:None")</f>
        <v>integer</v>
      </c>
      <c r="O265" s="14" t="str">
        <f>IF(Table2[[#This Row],[!Type]]=O$1, O$1,"rg:None")</f>
        <v>rg:None</v>
      </c>
      <c r="P265" s="4" t="str">
        <f>IF(Table2[[#This Row],[!Type]]=P$1, P$1,"rg:None")</f>
        <v>rg:None</v>
      </c>
      <c r="Q265" s="4" t="str">
        <f>IF(Table2[[#This Row],[!Type]]=Q$1, Q$1,"rg:None")</f>
        <v>rg:None</v>
      </c>
      <c r="R265" s="4" t="str">
        <f>IF(Table2[[#This Row],[!Type]]=R$1, R$1,"rg:None")</f>
        <v>rg:None</v>
      </c>
      <c r="S265" s="4" t="str">
        <f>IF(Table2[[#This Row],[!Type]]=S$1, S$1,"rg:None")</f>
        <v>rg:None</v>
      </c>
      <c r="T265" s="14" t="str">
        <f>IF(LEN(Table2[[#This Row],[!Length]]) &gt; 0, Table2[[#This Row],[!Length]], "rg:None")</f>
        <v>rg:None</v>
      </c>
      <c r="U265" s="14" t="str">
        <f>IF(LEN(Table2[[#This Row],[!Name]]) &gt; 0, Table2[[#This Row],[!Name]], "rg:None")</f>
        <v>localAreaNumber</v>
      </c>
      <c r="V265" s="14" t="str">
        <f>IF(LEN(Table2[[#This Row],[!Description]]) &gt; 0, Table2[[#This Row],[!Description]], "rg:None")</f>
        <v>A system-generated, visible to the user number for the Local Area</v>
      </c>
      <c r="W265" s="14" t="str">
        <f>IF(LEN(Table2[[#This Row],[!FK]])&gt;0,Table2[[#This Row],[!FK]],"rg:None")</f>
        <v>rg:None</v>
      </c>
      <c r="X265" s="14" t="str">
        <f>IF(LEN(concatif2(A:A,Table2[[#This Row],[!Table]],G:G,"Y",D:D,",")) &gt; 0,"rg:[ { 'req' : '"&amp;concatif2(A:A,Table2[[#This Row],[!Table]],G:G,"Y",D:D,"' }, { 'req': '")&amp;"'} ]","rg:[]")</f>
        <v>rg:[ { 'req' : 'id' }, { 'req': 'startDate'} ]</v>
      </c>
      <c r="Y265" s="14" t="str">
        <f>IF(LEN(Table2[[#This Row],[!Unique]])&gt;0,"rg:True","rg:None")</f>
        <v>rg:None</v>
      </c>
    </row>
    <row r="266" spans="1:25" x14ac:dyDescent="0.3">
      <c r="A266" s="17" t="s">
        <v>160</v>
      </c>
      <c r="B266" s="3" t="s">
        <v>7</v>
      </c>
      <c r="C266" s="3">
        <v>150</v>
      </c>
      <c r="D266" s="3" t="s">
        <v>15</v>
      </c>
      <c r="E266" s="75" t="s">
        <v>161</v>
      </c>
      <c r="F266" s="3" t="s">
        <v>5</v>
      </c>
      <c r="G266" s="4"/>
      <c r="H266" s="4"/>
      <c r="I266" s="5" t="str">
        <f>IF(LEN(A266) &gt; 0,"Defs","-")</f>
        <v>Defs</v>
      </c>
      <c r="J266" t="str">
        <f>IF(Table2[[#This Row],[!Type]]=J$1, J$1,"rg:None")</f>
        <v>rg:None</v>
      </c>
      <c r="K266" t="str">
        <f>IF(Table2[[#This Row],[!Type]]=K$1, K$1,"rg:None")</f>
        <v>rg:None</v>
      </c>
      <c r="L266" t="str">
        <f>IF(Table2[[#This Row],[!Type]]=L$1, L$1,"rg:None")</f>
        <v>rg:None</v>
      </c>
      <c r="M266"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8">
        <f>IF(LEN(Table2[[#This Row],[!Length]]) &gt; 0, Table2[[#This Row],[!Length]], "rg:None")</f>
        <v>150</v>
      </c>
      <c r="U266" s="8" t="str">
        <f>IF(LEN(Table2[[#This Row],[!Name]]) &gt; 0, Table2[[#This Row],[!Name]], "rg:None")</f>
        <v>name</v>
      </c>
      <c r="V266" s="8" t="str">
        <f>IF(LEN(Table2[[#This Row],[!Description]]) &gt; 0, Table2[[#This Row],[!Description]], "rg:None")</f>
        <v>The full name of the Local Area</v>
      </c>
      <c r="W266" s="8" t="str">
        <f>IF(LEN(Table2[[#This Row],[!FK]])&gt;0,Table2[[#This Row],[!FK]],"rg:None")</f>
        <v>rg:None</v>
      </c>
      <c r="X266" s="8" t="str">
        <f>IF(LEN(concatif2(A:A,Table2[[#This Row],[!Table]],G:G,"Y",D:D,",")) &gt; 0,"rg:[ { 'req' : '"&amp;concatif2(A:A,Table2[[#This Row],[!Table]],G:G,"Y",D:D,"' }, { 'req': '")&amp;"'} ]","rg:[]")</f>
        <v>rg:[ { 'req' : 'id' }, { 'req': 'startDate'} ]</v>
      </c>
      <c r="Y266" s="8" t="str">
        <f>IF(LEN(Table2[[#This Row],[!Unique]])&gt;0,"rg:True","rg:None")</f>
        <v>rg:None</v>
      </c>
    </row>
    <row r="267" spans="1:25" x14ac:dyDescent="0.3">
      <c r="A267" s="17" t="s">
        <v>160</v>
      </c>
      <c r="B267" s="3" t="s">
        <v>8</v>
      </c>
      <c r="C267" s="3"/>
      <c r="D267" s="17" t="s">
        <v>162</v>
      </c>
      <c r="E267" s="75" t="s">
        <v>163</v>
      </c>
      <c r="F267" s="17" t="s">
        <v>10</v>
      </c>
      <c r="G267" s="4"/>
      <c r="H267" s="4"/>
      <c r="I267" s="5" t="str">
        <f>IF(LEN(A267) &gt; 0,"Defs","-")</f>
        <v>Defs</v>
      </c>
      <c r="J267" t="str">
        <f>IF(Table2[[#This Row],[!Type]]=J$1, J$1,"rg:None")</f>
        <v>rg:None</v>
      </c>
      <c r="K267" t="str">
        <f>IF(Table2[[#This Row],[!Type]]=K$1, K$1,"rg:None")</f>
        <v>rg:None</v>
      </c>
      <c r="L267" t="str">
        <f>IF(Table2[[#This Row],[!Type]]=L$1, L$1,"rg:None")</f>
        <v>rg:None</v>
      </c>
      <c r="M267"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ref</v>
      </c>
      <c r="R267" s="5" t="str">
        <f>IF(Table2[[#This Row],[!Type]]=R$1, R$1,"rg:None")</f>
        <v>rg:None</v>
      </c>
      <c r="S267" s="5" t="str">
        <f>IF(Table2[[#This Row],[!Type]]=S$1, S$1,"rg:None")</f>
        <v>rg:None</v>
      </c>
      <c r="T267" s="8" t="str">
        <f>IF(LEN(Table2[[#This Row],[!Length]]) &gt; 0, Table2[[#This Row],[!Length]], "rg:None")</f>
        <v>rg:None</v>
      </c>
      <c r="U267" s="8" t="str">
        <f>IF(LEN(Table2[[#This Row],[!Name]]) &gt; 0, Table2[[#This Row],[!Name]], "rg:None")</f>
        <v>serviceArea</v>
      </c>
      <c r="V267" s="8" t="str">
        <f>IF(LEN(Table2[[#This Row],[!Description]]) &gt; 0, Table2[[#This Row],[!Description]], "rg:None")</f>
        <v>The Service Area in which the Local Area is found.</v>
      </c>
      <c r="W267" s="8" t="str">
        <f>IF(LEN(Table2[[#This Row],[!FK]])&gt;0,Table2[[#This Row],[!FK]],"rg:None")</f>
        <v>ServiceArea</v>
      </c>
      <c r="X267" s="8" t="str">
        <f>IF(LEN(concatif2(A:A,Table2[[#This Row],[!Table]],G:G,"Y",D:D,",")) &gt; 0,"rg:[ { 'req' : '"&amp;concatif2(A:A,Table2[[#This Row],[!Table]],G:G,"Y",D:D,"' }, { 'req': '")&amp;"'} ]","rg:[]")</f>
        <v>rg:[ { 'req' : 'id' }, { 'req': 'startDate'} ]</v>
      </c>
      <c r="Y267" s="8" t="str">
        <f>IF(LEN(Table2[[#This Row],[!Unique]])&gt;0,"rg:True","rg:None")</f>
        <v>rg:None</v>
      </c>
    </row>
    <row r="268" spans="1:25" ht="28.8" x14ac:dyDescent="0.3">
      <c r="A268" s="86" t="s">
        <v>160</v>
      </c>
      <c r="B268" s="3" t="s">
        <v>12</v>
      </c>
      <c r="C268" s="3"/>
      <c r="D268" s="3" t="s">
        <v>32</v>
      </c>
      <c r="E268" s="84" t="s">
        <v>458</v>
      </c>
      <c r="F268" s="3" t="s">
        <v>5</v>
      </c>
      <c r="G268" s="89" t="s">
        <v>64</v>
      </c>
      <c r="H268" s="4"/>
      <c r="I268" s="5" t="str">
        <f t="shared" ref="I268:I269" si="19">IF(LEN(A268) &gt; 0,"Defs","-")</f>
        <v>Defs</v>
      </c>
      <c r="J268" t="str">
        <f>IF(Table2[[#This Row],[!Type]]=J$1, J$1,"rg:None")</f>
        <v>rg:None</v>
      </c>
      <c r="K268" t="str">
        <f>IF(Table2[[#This Row],[!Type]]=K$1, K$1,"rg:None")</f>
        <v>rg:None</v>
      </c>
      <c r="L268" t="str">
        <f>IF(Table2[[#This Row],[!Type]]=L$1, L$1,"rg:None")</f>
        <v>datetime</v>
      </c>
      <c r="M26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startDate</v>
      </c>
      <c r="V268" s="8" t="str">
        <f>IF(LEN(Table2[[#This Row],[!Description]]) &gt; 0, Table2[[#This Row],[!Description]], "rg:None")</f>
        <v>The DATE the business information came into effect. - NOT CURRENTLY ENFORCED IN THIS SYSTEM</v>
      </c>
      <c r="W268" s="8" t="str">
        <f>IF(LEN(Table2[[#This Row],[!FK]])&gt;0,Table2[[#This Row],[!FK]],"rg:None")</f>
        <v>rg:None</v>
      </c>
      <c r="X268" s="8" t="str">
        <f>IF(LEN(concatif2(A:A,Table2[[#This Row],[!Table]],G:G,"Y",D:D,",")) &gt; 0,"rg:[ { 'req' : '"&amp;concatif2(A:A,Table2[[#This Row],[!Table]],G:G,"Y",D:D,"' }, { 'req': '")&amp;"'} ]","rg:[]")</f>
        <v>rg:[ { 'req' : 'id' }, { 'req': 'startDate'} ]</v>
      </c>
      <c r="Y268" s="8" t="str">
        <f>IF(LEN(Table2[[#This Row],[!Unique]])&gt;0,"rg:True","rg:None")</f>
        <v>rg:None</v>
      </c>
    </row>
    <row r="269" spans="1:25" ht="28.8" x14ac:dyDescent="0.3">
      <c r="A269" s="86" t="s">
        <v>160</v>
      </c>
      <c r="B269" s="3" t="s">
        <v>12</v>
      </c>
      <c r="C269" s="3"/>
      <c r="D269" s="3" t="s">
        <v>33</v>
      </c>
      <c r="E269" s="84" t="s">
        <v>459</v>
      </c>
      <c r="F269" s="3" t="s">
        <v>5</v>
      </c>
      <c r="G269" s="4"/>
      <c r="H269" s="4"/>
      <c r="I269" s="5" t="str">
        <f t="shared" si="19"/>
        <v>Defs</v>
      </c>
      <c r="J269" t="str">
        <f>IF(Table2[[#This Row],[!Type]]=J$1, J$1,"rg:None")</f>
        <v>rg:None</v>
      </c>
      <c r="K269" t="str">
        <f>IF(Table2[[#This Row],[!Type]]=K$1, K$1,"rg:None")</f>
        <v>rg:None</v>
      </c>
      <c r="L269" t="str">
        <f>IF(Table2[[#This Row],[!Type]]=L$1, L$1,"rg:None")</f>
        <v>datetime</v>
      </c>
      <c r="M269"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endDate</v>
      </c>
      <c r="V269" s="8" t="str">
        <f>IF(LEN(Table2[[#This Row],[!Description]]) &gt; 0, Table2[[#This Row],[!Description]], "rg:None")</f>
        <v>The DATE the business information ceased to be in effect. - NOT CURRENTLY ENFORCED IN THIS SYSTEM</v>
      </c>
      <c r="W269" s="8" t="str">
        <f>IF(LEN(Table2[[#This Row],[!FK]])&gt;0,Table2[[#This Row],[!FK]],"rg:None")</f>
        <v>rg:None</v>
      </c>
      <c r="X269" s="8" t="str">
        <f>IF(LEN(concatif2(A:A,Table2[[#This Row],[!Table]],G:G,"Y",D:D,",")) &gt; 0,"rg:[ { 'req' : '"&amp;concatif2(A:A,Table2[[#This Row],[!Table]],G:G,"Y",D:D,"' }, { 'req': '")&amp;"'} ]","rg:[]")</f>
        <v>rg:[ { 'req' : 'id' }, { 'req': 'startDate'} ]</v>
      </c>
      <c r="Y269" s="8" t="str">
        <f>IF(LEN(Table2[[#This Row],[!Unique]])&gt;0,"rg:True","rg:None")</f>
        <v>rg:None</v>
      </c>
    </row>
    <row r="270" spans="1:25" x14ac:dyDescent="0.3">
      <c r="A270" s="3" t="s">
        <v>11</v>
      </c>
      <c r="B270" s="3" t="s">
        <v>4</v>
      </c>
      <c r="C270" s="3"/>
      <c r="D270" s="3" t="s">
        <v>11</v>
      </c>
      <c r="E270" s="60" t="s">
        <v>66</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8" t="str">
        <f>IF(LEN(Table2[[#This Row],[!Length]]) &gt; 0, Table2[[#This Row],[!Length]], "rg:None")</f>
        <v>rg:None</v>
      </c>
      <c r="U270" s="8" t="str">
        <f>IF(LEN(Table2[[#This Row],[!Name]]) &gt; 0, Table2[[#This Row],[!Name]], "rg:None")</f>
        <v>City</v>
      </c>
      <c r="V270" s="8" t="str">
        <f>IF(LEN(Table2[[#This Row],[!Description]]) &gt; 0, Table2[[#This Row],[!Description]], "rg:None")</f>
        <v>A list of cities in BC. Authoritative source to be determined.</v>
      </c>
      <c r="W270" s="8" t="str">
        <f>IF(LEN(Table2[[#This Row],[!FK]])&gt;0,Table2[[#This Row],[!FK]],"rg:None")</f>
        <v>rg:None</v>
      </c>
      <c r="X270" s="8" t="str">
        <f>IF(LEN(concatif2(A:A,Table2[[#This Row],[!Table]],G:G,"Y",D:D,",")) &gt; 0,"rg:[ { 'req' : '"&amp;concatif2(A:A,Table2[[#This Row],[!Table]],G:G,"Y",D:D,"' }, { 'req': '")&amp;"'} ]","rg:[]")</f>
        <v>rg:[ { 'req' : 'id'} ]</v>
      </c>
      <c r="Y270" s="8" t="str">
        <f>IF(LEN(Table2[[#This Row],[!Unique]])&gt;0,"rg:True","rg:None")</f>
        <v>rg:None</v>
      </c>
    </row>
    <row r="271" spans="1:25" x14ac:dyDescent="0.3">
      <c r="A271" s="3" t="s">
        <v>11</v>
      </c>
      <c r="B271" s="3" t="s">
        <v>6</v>
      </c>
      <c r="C271" s="3"/>
      <c r="D271" s="3" t="s">
        <v>6</v>
      </c>
      <c r="E271" s="60" t="s">
        <v>360</v>
      </c>
      <c r="F271" s="3" t="s">
        <v>5</v>
      </c>
      <c r="G271" s="4" t="s">
        <v>64</v>
      </c>
      <c r="H271" s="53"/>
      <c r="I271" s="5" t="str">
        <f t="shared" si="18"/>
        <v>Defs</v>
      </c>
      <c r="J271" t="str">
        <f>IF(Table2[[#This Row],[!Type]]=J$1, J$1,"rg:None")</f>
        <v>rg:None</v>
      </c>
      <c r="K271" t="str">
        <f>IF(Table2[[#This Row],[!Type]]=K$1, K$1,"rg:None")</f>
        <v>rg:None</v>
      </c>
      <c r="L271" t="str">
        <f>IF(Table2[[#This Row],[!Type]]=L$1, L$1,"rg:None")</f>
        <v>rg:None</v>
      </c>
      <c r="M271" t="str">
        <f>IF(Table2[[#This Row],[!Type]]=M$1, M$1,"rg:None")</f>
        <v>id</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id</v>
      </c>
      <c r="V271" s="8" t="str">
        <f>IF(LEN(Table2[[#This Row],[!Description]]) &gt; 0, Table2[[#This Row],[!Description]], "rg:None")</f>
        <v>A system-generated unique identifier for a City</v>
      </c>
      <c r="W271" s="8" t="str">
        <f>IF(LEN(Table2[[#This Row],[!FK]])&gt;0,Table2[[#This Row],[!FK]],"rg:None")</f>
        <v>rg:None</v>
      </c>
      <c r="X271" s="8" t="str">
        <f>IF(LEN(concatif2(A:A,Table2[[#This Row],[!Table]],G:G,"Y",D:D,",")) &gt; 0,"rg:[ { 'req' : '"&amp;concatif2(A:A,Table2[[#This Row],[!Table]],G:G,"Y",D:D,"' }, { 'req': '")&amp;"'} ]","rg:[]")</f>
        <v>rg:[ { 'req' : 'id'} ]</v>
      </c>
      <c r="Y271" s="8" t="str">
        <f>IF(LEN(Table2[[#This Row],[!Unique]])&gt;0,"rg:True","rg:None")</f>
        <v>rg:None</v>
      </c>
    </row>
    <row r="272" spans="1:25" x14ac:dyDescent="0.3">
      <c r="A272" s="3" t="s">
        <v>11</v>
      </c>
      <c r="B272" s="3" t="s">
        <v>7</v>
      </c>
      <c r="C272" s="3">
        <v>150</v>
      </c>
      <c r="D272" s="3" t="s">
        <v>15</v>
      </c>
      <c r="E272" s="60" t="s">
        <v>41</v>
      </c>
      <c r="F272" s="3" t="s">
        <v>5</v>
      </c>
      <c r="G272" s="4"/>
      <c r="H272" s="4"/>
      <c r="I272" s="5" t="str">
        <f t="shared" si="18"/>
        <v>Defs</v>
      </c>
      <c r="J272" t="str">
        <f>IF(Table2[[#This Row],[!Type]]=J$1, J$1,"rg:None")</f>
        <v>rg:None</v>
      </c>
      <c r="K272" t="str">
        <f>IF(Table2[[#This Row],[!Type]]=K$1, K$1,"rg:None")</f>
        <v>rg:None</v>
      </c>
      <c r="L272" t="str">
        <f>IF(Table2[[#This Row],[!Type]]=L$1, L$1,"rg:None")</f>
        <v>rg:None</v>
      </c>
      <c r="M272"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string</v>
      </c>
      <c r="S272" s="5" t="str">
        <f>IF(Table2[[#This Row],[!Type]]=S$1, S$1,"rg:None")</f>
        <v>rg:None</v>
      </c>
      <c r="T272" s="8">
        <f>IF(LEN(Table2[[#This Row],[!Length]]) &gt; 0, Table2[[#This Row],[!Length]], "rg:None")</f>
        <v>150</v>
      </c>
      <c r="U272" s="8" t="str">
        <f>IF(LEN(Table2[[#This Row],[!Name]]) &gt; 0, Table2[[#This Row],[!Name]], "rg:None")</f>
        <v>name</v>
      </c>
      <c r="V272" s="8" t="str">
        <f>IF(LEN(Table2[[#This Row],[!Description]]) &gt; 0, Table2[[#This Row],[!Description]], "rg:None")</f>
        <v>The name of the City</v>
      </c>
      <c r="W272" s="8" t="str">
        <f>IF(LEN(Table2[[#This Row],[!FK]])&gt;0,Table2[[#This Row],[!FK]],"rg:None")</f>
        <v>rg:None</v>
      </c>
      <c r="X272" s="8" t="str">
        <f>IF(LEN(concatif2(A:A,Table2[[#This Row],[!Table]],G:G,"Y",D:D,",")) &gt; 0,"rg:[ { 'req' : '"&amp;concatif2(A:A,Table2[[#This Row],[!Table]],G:G,"Y",D:D,"' }, { 'req': '")&amp;"'} ]","rg:[]")</f>
        <v>rg:[ { 'req' : 'id'} ]</v>
      </c>
      <c r="Y272" s="8" t="str">
        <f>IF(LEN(Table2[[#This Row],[!Unique]])&gt;0,"rg:True","rg:None")</f>
        <v>rg:None</v>
      </c>
    </row>
    <row r="273" spans="1:25" x14ac:dyDescent="0.3">
      <c r="A273" s="3" t="s">
        <v>0</v>
      </c>
      <c r="B273" s="3" t="s">
        <v>4</v>
      </c>
      <c r="C273" s="3"/>
      <c r="D273" s="3" t="s">
        <v>0</v>
      </c>
      <c r="E273" s="84" t="s">
        <v>417</v>
      </c>
      <c r="F273" s="3" t="s">
        <v>5</v>
      </c>
      <c r="G273" s="4"/>
      <c r="H273" s="4"/>
      <c r="I273" s="5" t="str">
        <f t="shared" si="18"/>
        <v>Defs</v>
      </c>
      <c r="J273" t="str">
        <f>IF(Table2[[#This Row],[!Type]]=J$1, J$1,"rg:None")</f>
        <v>rg:None</v>
      </c>
      <c r="K273" t="str">
        <f>IF(Table2[[#This Row],[!Type]]=K$1, K$1,"rg:None")</f>
        <v>rg:None</v>
      </c>
      <c r="L273" t="str">
        <f>IF(Table2[[#This Row],[!Type]]=L$1, L$1,"rg:None")</f>
        <v>rg:None</v>
      </c>
      <c r="M273"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table</v>
      </c>
      <c r="T273" s="8" t="str">
        <f>IF(LEN(Table2[[#This Row],[!Length]]) &gt; 0, Table2[[#This Row],[!Length]], "rg:None")</f>
        <v>rg:None</v>
      </c>
      <c r="U273" s="8" t="str">
        <f>IF(LEN(Table2[[#This Row],[!Name]]) &gt; 0, Table2[[#This Row],[!Name]], "rg:None")</f>
        <v>User</v>
      </c>
      <c r="V273" s="8" t="str">
        <f>IF(LEN(Table2[[#This Row],[!Description]]) &gt; 0, Table2[[#This Row],[!Description]], "rg:None")</f>
        <v>An identified user in the HETS Application that has a defined authorization level.</v>
      </c>
      <c r="W273" s="8" t="str">
        <f>IF(LEN(Table2[[#This Row],[!FK]])&gt;0,Table2[[#This Row],[!FK]],"rg:None")</f>
        <v>rg:None</v>
      </c>
      <c r="X273" s="8" t="str">
        <f>IF(LEN(concatif2(A:A,Table2[[#This Row],[!Table]],G:G,"Y",D:D,",")) &gt; 0,"rg:[ { 'req' : '"&amp;concatif2(A:A,Table2[[#This Row],[!Table]],G:G,"Y",D:D,"' }, { 'req': '")&amp;"'} ]","rg:[]")</f>
        <v>rg:[ { 'req' : 'id' }, { 'req': 'givenName' }, { 'req': 'surname' }, { 'req': 'active'} ]</v>
      </c>
      <c r="Y273" s="8" t="str">
        <f>IF(LEN(Table2[[#This Row],[!Unique]])&gt;0,"rg:True","rg:None")</f>
        <v>rg:None</v>
      </c>
    </row>
    <row r="274" spans="1:25" x14ac:dyDescent="0.3">
      <c r="A274" s="3" t="s">
        <v>0</v>
      </c>
      <c r="B274" s="3" t="s">
        <v>6</v>
      </c>
      <c r="C274" s="3"/>
      <c r="D274" s="3" t="s">
        <v>6</v>
      </c>
      <c r="E274" s="60" t="s">
        <v>361</v>
      </c>
      <c r="F274" s="3" t="s">
        <v>5</v>
      </c>
      <c r="G274" s="4" t="s">
        <v>64</v>
      </c>
      <c r="H274" s="53"/>
      <c r="I274" s="5" t="str">
        <f t="shared" si="18"/>
        <v>Defs</v>
      </c>
      <c r="J274" t="str">
        <f>IF(Table2[[#This Row],[!Type]]=J$1, J$1,"rg:None")</f>
        <v>rg:None</v>
      </c>
      <c r="K274" t="str">
        <f>IF(Table2[[#This Row],[!Type]]=K$1, K$1,"rg:None")</f>
        <v>rg:None</v>
      </c>
      <c r="L274" t="str">
        <f>IF(Table2[[#This Row],[!Type]]=L$1, L$1,"rg:None")</f>
        <v>rg:None</v>
      </c>
      <c r="M274" t="str">
        <f>IF(Table2[[#This Row],[!Type]]=M$1, M$1,"rg:None")</f>
        <v>id</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id</v>
      </c>
      <c r="V274" s="8" t="str">
        <f>IF(LEN(Table2[[#This Row],[!Description]]) &gt; 0, Table2[[#This Row],[!Description]], "rg:None")</f>
        <v>A system-generated unique identifier for a User</v>
      </c>
      <c r="W274" s="8" t="str">
        <f>IF(LEN(Table2[[#This Row],[!FK]])&gt;0,Table2[[#This Row],[!FK]],"rg:None")</f>
        <v>rg:None</v>
      </c>
      <c r="X274" s="8" t="str">
        <f>IF(LEN(concatif2(A:A,Table2[[#This Row],[!Table]],G:G,"Y",D:D,",")) &gt; 0,"rg:[ { 'req' : '"&amp;concatif2(A:A,Table2[[#This Row],[!Table]],G:G,"Y",D:D,"' }, { 'req': '")&amp;"'} ]","rg:[]")</f>
        <v>rg:[ { 'req' : 'id' }, { 'req': 'givenName' }, { 'req': 'surname' }, { 'req': 'active'} ]</v>
      </c>
      <c r="Y274" s="8" t="str">
        <f>IF(LEN(Table2[[#This Row],[!Unique]])&gt;0,"rg:True","rg:None")</f>
        <v>rg:None</v>
      </c>
    </row>
    <row r="275" spans="1:25" x14ac:dyDescent="0.3">
      <c r="A275" s="3" t="s">
        <v>0</v>
      </c>
      <c r="B275" s="3" t="s">
        <v>7</v>
      </c>
      <c r="C275" s="3">
        <v>50</v>
      </c>
      <c r="D275" s="3" t="s">
        <v>16</v>
      </c>
      <c r="E275" s="60" t="s">
        <v>362</v>
      </c>
      <c r="F275" s="3" t="s">
        <v>5</v>
      </c>
      <c r="G275" s="53" t="s">
        <v>64</v>
      </c>
      <c r="H275" s="53"/>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50</v>
      </c>
      <c r="U275" s="8" t="str">
        <f>IF(LEN(Table2[[#This Row],[!Name]]) &gt; 0, Table2[[#This Row],[!Name]], "rg:None")</f>
        <v>givenName</v>
      </c>
      <c r="V275" s="8" t="str">
        <f>IF(LEN(Table2[[#This Row],[!Description]]) &gt; 0, Table2[[#This Row],[!Description]], "rg:None")</f>
        <v>Given name of the user.</v>
      </c>
      <c r="W275" s="8" t="str">
        <f>IF(LEN(Table2[[#This Row],[!FK]])&gt;0,Table2[[#This Row],[!FK]],"rg:None")</f>
        <v>rg:None</v>
      </c>
      <c r="X275" s="8" t="str">
        <f>IF(LEN(concatif2(A:A,Table2[[#This Row],[!Table]],G:G,"Y",D:D,",")) &gt; 0,"rg:[ { 'req' : '"&amp;concatif2(A:A,Table2[[#This Row],[!Table]],G:G,"Y",D:D,"' }, { 'req': '")&amp;"'} ]","rg:[]")</f>
        <v>rg:[ { 'req' : 'id' }, { 'req': 'givenName' }, { 'req': 'surname' }, { 'req': 'active'} ]</v>
      </c>
      <c r="Y275" s="8" t="str">
        <f>IF(LEN(Table2[[#This Row],[!Unique]])&gt;0,"rg:True","rg:None")</f>
        <v>rg:None</v>
      </c>
    </row>
    <row r="276" spans="1:25" x14ac:dyDescent="0.3">
      <c r="A276" s="3" t="s">
        <v>0</v>
      </c>
      <c r="B276" s="3" t="s">
        <v>7</v>
      </c>
      <c r="C276" s="3">
        <v>50</v>
      </c>
      <c r="D276" s="3" t="s">
        <v>17</v>
      </c>
      <c r="E276" s="60" t="s">
        <v>363</v>
      </c>
      <c r="F276" s="3" t="s">
        <v>5</v>
      </c>
      <c r="G276" s="53" t="s">
        <v>64</v>
      </c>
      <c r="H276" s="53"/>
      <c r="I276" s="5" t="str">
        <f t="shared" ref="I276:I314" si="20">IF(LEN(A276) &gt; 0,"Defs","-")</f>
        <v>Defs</v>
      </c>
      <c r="J276" t="str">
        <f>IF(Table2[[#This Row],[!Type]]=J$1, J$1,"rg:None")</f>
        <v>rg:None</v>
      </c>
      <c r="K276" t="str">
        <f>IF(Table2[[#This Row],[!Type]]=K$1, K$1,"rg:None")</f>
        <v>rg:None</v>
      </c>
      <c r="L276" t="str">
        <f>IF(Table2[[#This Row],[!Type]]=L$1, L$1,"rg:None")</f>
        <v>rg:None</v>
      </c>
      <c r="M276"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50</v>
      </c>
      <c r="U276" s="8" t="str">
        <f>IF(LEN(Table2[[#This Row],[!Name]]) &gt; 0, Table2[[#This Row],[!Name]], "rg:None")</f>
        <v>surname</v>
      </c>
      <c r="V276" s="8" t="str">
        <f>IF(LEN(Table2[[#This Row],[!Description]]) &gt; 0, Table2[[#This Row],[!Description]], "rg:None")</f>
        <v>Surname of the user.</v>
      </c>
      <c r="W276" s="8" t="str">
        <f>IF(LEN(Table2[[#This Row],[!FK]])&gt;0,Table2[[#This Row],[!FK]],"rg:None")</f>
        <v>rg:None</v>
      </c>
      <c r="X276" s="8" t="str">
        <f>IF(LEN(concatif2(A:A,Table2[[#This Row],[!Table]],G:G,"Y",D:D,",")) &gt; 0,"rg:[ { 'req' : '"&amp;concatif2(A:A,Table2[[#This Row],[!Table]],G:G,"Y",D:D,"' }, { 'req': '")&amp;"'} ]","rg:[]")</f>
        <v>rg:[ { 'req' : 'id' }, { 'req': 'givenName' }, { 'req': 'surname' }, { 'req': 'active'} ]</v>
      </c>
      <c r="Y276" s="8" t="str">
        <f>IF(LEN(Table2[[#This Row],[!Unique]])&gt;0,"rg:True","rg:None")</f>
        <v>rg:None</v>
      </c>
    </row>
    <row r="277" spans="1:25" x14ac:dyDescent="0.3">
      <c r="A277" s="3" t="s">
        <v>0</v>
      </c>
      <c r="B277" s="3" t="s">
        <v>7</v>
      </c>
      <c r="C277" s="3">
        <v>10</v>
      </c>
      <c r="D277" s="3" t="s">
        <v>44</v>
      </c>
      <c r="E277" s="60" t="s">
        <v>364</v>
      </c>
      <c r="F277" s="3" t="s">
        <v>5</v>
      </c>
      <c r="G277" s="4"/>
      <c r="H277" s="4"/>
      <c r="I277" s="5" t="str">
        <f t="shared" si="20"/>
        <v>Defs</v>
      </c>
      <c r="J277" t="str">
        <f>IF(Table2[[#This Row],[!Type]]=J$1, J$1,"rg:None")</f>
        <v>rg:None</v>
      </c>
      <c r="K277" t="str">
        <f>IF(Table2[[#This Row],[!Type]]=K$1, K$1,"rg:None")</f>
        <v>rg:None</v>
      </c>
      <c r="L277" t="str">
        <f>IF(Table2[[#This Row],[!Type]]=L$1, L$1,"rg:None")</f>
        <v>rg:None</v>
      </c>
      <c r="M277"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8">
        <f>IF(LEN(Table2[[#This Row],[!Length]]) &gt; 0, Table2[[#This Row],[!Length]], "rg:None")</f>
        <v>10</v>
      </c>
      <c r="U277" s="8" t="str">
        <f>IF(LEN(Table2[[#This Row],[!Name]]) &gt; 0, Table2[[#This Row],[!Name]], "rg:None")</f>
        <v>initials</v>
      </c>
      <c r="V277" s="8" t="str">
        <f>IF(LEN(Table2[[#This Row],[!Description]]) &gt; 0, Table2[[#This Row],[!Description]], "rg:None")</f>
        <v>Initials of the user, to be presented where screen space is at a premium.</v>
      </c>
      <c r="W277" s="8" t="str">
        <f>IF(LEN(Table2[[#This Row],[!FK]])&gt;0,Table2[[#This Row],[!FK]],"rg:None")</f>
        <v>rg:None</v>
      </c>
      <c r="X277" s="8" t="str">
        <f>IF(LEN(concatif2(A:A,Table2[[#This Row],[!Table]],G:G,"Y",D:D,",")) &gt; 0,"rg:[ { 'req' : '"&amp;concatif2(A:A,Table2[[#This Row],[!Table]],G:G,"Y",D:D,"' }, { 'req': '")&amp;"'} ]","rg:[]")</f>
        <v>rg:[ { 'req' : 'id' }, { 'req': 'givenName' }, { 'req': 'surname' }, { 'req': 'active'} ]</v>
      </c>
      <c r="Y277" s="8" t="str">
        <f>IF(LEN(Table2[[#This Row],[!Unique]])&gt;0,"rg:True","rg:None")</f>
        <v>rg:None</v>
      </c>
    </row>
    <row r="278" spans="1:25" x14ac:dyDescent="0.3">
      <c r="A278" s="3" t="s">
        <v>0</v>
      </c>
      <c r="B278" s="3" t="s">
        <v>7</v>
      </c>
      <c r="C278" s="3">
        <v>255</v>
      </c>
      <c r="D278" s="3" t="s">
        <v>45</v>
      </c>
      <c r="E278" s="60" t="s">
        <v>365</v>
      </c>
      <c r="F278" s="3" t="s">
        <v>5</v>
      </c>
      <c r="G278" s="4"/>
      <c r="H278" s="4"/>
      <c r="I278" s="5" t="str">
        <f t="shared" si="20"/>
        <v>Defs</v>
      </c>
      <c r="J278" t="str">
        <f>IF(Table2[[#This Row],[!Type]]=J$1, J$1,"rg:None")</f>
        <v>rg:None</v>
      </c>
      <c r="K278" t="str">
        <f>IF(Table2[[#This Row],[!Type]]=K$1, K$1,"rg:None")</f>
        <v>rg:None</v>
      </c>
      <c r="L278" t="str">
        <f>IF(Table2[[#This Row],[!Type]]=L$1, L$1,"rg:None")</f>
        <v>rg:None</v>
      </c>
      <c r="M27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8">
        <f>IF(LEN(Table2[[#This Row],[!Length]]) &gt; 0, Table2[[#This Row],[!Length]], "rg:None")</f>
        <v>255</v>
      </c>
      <c r="U278" s="8" t="str">
        <f>IF(LEN(Table2[[#This Row],[!Name]]) &gt; 0, Table2[[#This Row],[!Name]], "rg:None")</f>
        <v>email</v>
      </c>
      <c r="V278" s="8" t="str">
        <f>IF(LEN(Table2[[#This Row],[!Description]]) &gt; 0, Table2[[#This Row],[!Description]], "rg:None")</f>
        <v>The email address of the user in the system.</v>
      </c>
      <c r="W278" s="8" t="str">
        <f>IF(LEN(Table2[[#This Row],[!FK]])&gt;0,Table2[[#This Row],[!FK]],"rg:None")</f>
        <v>rg:None</v>
      </c>
      <c r="X278" s="8" t="str">
        <f>IF(LEN(concatif2(A:A,Table2[[#This Row],[!Table]],G:G,"Y",D:D,",")) &gt; 0,"rg:[ { 'req' : '"&amp;concatif2(A:A,Table2[[#This Row],[!Table]],G:G,"Y",D:D,"' }, { 'req': '")&amp;"'} ]","rg:[]")</f>
        <v>rg:[ { 'req' : 'id' }, { 'req': 'givenName' }, { 'req': 'surname' }, { 'req': 'active'} ]</v>
      </c>
      <c r="Y278" s="8" t="str">
        <f>IF(LEN(Table2[[#This Row],[!Unique]])&gt;0,"rg:True","rg:None")</f>
        <v>rg:None</v>
      </c>
    </row>
    <row r="279" spans="1:25" ht="28.8" x14ac:dyDescent="0.3">
      <c r="A279" s="3" t="s">
        <v>0</v>
      </c>
      <c r="B279" s="3" t="s">
        <v>9</v>
      </c>
      <c r="C279" s="3"/>
      <c r="D279" s="3" t="s">
        <v>43</v>
      </c>
      <c r="E279" s="60" t="s">
        <v>366</v>
      </c>
      <c r="F279" s="3" t="s">
        <v>5</v>
      </c>
      <c r="G279" s="4" t="s">
        <v>64</v>
      </c>
      <c r="H279" s="4"/>
      <c r="I279" s="5" t="str">
        <f t="shared" si="20"/>
        <v>Defs</v>
      </c>
      <c r="J279" t="str">
        <f>IF(Table2[[#This Row],[!Type]]=J$1, J$1,"rg:None")</f>
        <v>boolean</v>
      </c>
      <c r="K279" t="str">
        <f>IF(Table2[[#This Row],[!Type]]=K$1, K$1,"rg:None")</f>
        <v>rg:None</v>
      </c>
      <c r="L279" t="str">
        <f>IF(Table2[[#This Row],[!Type]]=L$1, L$1,"rg:None")</f>
        <v>rg:None</v>
      </c>
      <c r="M279"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active</v>
      </c>
      <c r="V279" s="8" t="str">
        <f>IF(LEN(Table2[[#This Row],[!Description]]) &gt; 0, Table2[[#This Row],[!Description]], "rg:None")</f>
        <v>A flag indicating the User is active in the system. Set false to remove access to the system for the user.</v>
      </c>
      <c r="W279" s="8" t="str">
        <f>IF(LEN(Table2[[#This Row],[!FK]])&gt;0,Table2[[#This Row],[!FK]],"rg:None")</f>
        <v>rg:None</v>
      </c>
      <c r="X279" s="8" t="str">
        <f>IF(LEN(concatif2(A:A,Table2[[#This Row],[!Table]],G:G,"Y",D:D,",")) &gt; 0,"rg:[ { 'req' : '"&amp;concatif2(A:A,Table2[[#This Row],[!Table]],G:G,"Y",D:D,"' }, { 'req': '")&amp;"'} ]","rg:[]")</f>
        <v>rg:[ { 'req' : 'id' }, { 'req': 'givenName' }, { 'req': 'surname' }, { 'req': 'active'} ]</v>
      </c>
      <c r="Y279" s="8" t="str">
        <f>IF(LEN(Table2[[#This Row],[!Unique]])&gt;0,"rg:True","rg:None")</f>
        <v>rg:None</v>
      </c>
    </row>
    <row r="280" spans="1:25" x14ac:dyDescent="0.3">
      <c r="A280" s="3" t="s">
        <v>0</v>
      </c>
      <c r="B280" s="3" t="s">
        <v>7</v>
      </c>
      <c r="C280" s="3">
        <v>255</v>
      </c>
      <c r="D280" s="3" t="s">
        <v>46</v>
      </c>
      <c r="E280" s="60" t="s">
        <v>47</v>
      </c>
      <c r="F280" s="3" t="s">
        <v>5</v>
      </c>
      <c r="G280" s="4"/>
      <c r="H280" s="4"/>
      <c r="I280" s="5" t="str">
        <f t="shared" si="20"/>
        <v>Defs</v>
      </c>
      <c r="J280" t="str">
        <f>IF(Table2[[#This Row],[!Type]]=J$1, J$1,"rg:None")</f>
        <v>rg:None</v>
      </c>
      <c r="K280" t="str">
        <f>IF(Table2[[#This Row],[!Type]]=K$1, K$1,"rg:None")</f>
        <v>rg:None</v>
      </c>
      <c r="L280" t="str">
        <f>IF(Table2[[#This Row],[!Type]]=L$1, L$1,"rg:None")</f>
        <v>rg:None</v>
      </c>
      <c r="M280"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string</v>
      </c>
      <c r="S280" s="5" t="str">
        <f>IF(Table2[[#This Row],[!Type]]=S$1, S$1,"rg:None")</f>
        <v>rg:None</v>
      </c>
      <c r="T280" s="8">
        <f>IF(LEN(Table2[[#This Row],[!Length]]) &gt; 0, Table2[[#This Row],[!Length]], "rg:None")</f>
        <v>255</v>
      </c>
      <c r="U280" s="8" t="str">
        <f>IF(LEN(Table2[[#This Row],[!Name]]) &gt; 0, Table2[[#This Row],[!Name]], "rg:None")</f>
        <v>smUserId</v>
      </c>
      <c r="V280" s="8" t="str">
        <f>IF(LEN(Table2[[#This Row],[!Description]]) &gt; 0, Table2[[#This Row],[!Description]], "rg:None")</f>
        <v>Security Manager User ID</v>
      </c>
      <c r="W280" s="8" t="str">
        <f>IF(LEN(Table2[[#This Row],[!FK]])&gt;0,Table2[[#This Row],[!FK]],"rg:None")</f>
        <v>rg:None</v>
      </c>
      <c r="X280" s="8" t="str">
        <f>IF(LEN(concatif2(A:A,Table2[[#This Row],[!Table]],G:G,"Y",D:D,",")) &gt; 0,"rg:[ { 'req' : '"&amp;concatif2(A:A,Table2[[#This Row],[!Table]],G:G,"Y",D:D,"' }, { 'req': '")&amp;"'} ]","rg:[]")</f>
        <v>rg:[ { 'req' : 'id' }, { 'req': 'givenName' }, { 'req': 'surname' }, { 'req': 'active'} ]</v>
      </c>
      <c r="Y280" s="8" t="str">
        <f>IF(LEN(Table2[[#This Row],[!Unique]])&gt;0,"rg:True","rg:None")</f>
        <v>rg:None</v>
      </c>
    </row>
    <row r="281" spans="1:25" ht="57.6" x14ac:dyDescent="0.3">
      <c r="A281" s="3" t="s">
        <v>0</v>
      </c>
      <c r="B281" s="3" t="s">
        <v>7</v>
      </c>
      <c r="C281" s="3">
        <v>255</v>
      </c>
      <c r="D281" s="3" t="s">
        <v>48</v>
      </c>
      <c r="E281" s="60" t="s">
        <v>367</v>
      </c>
      <c r="F281" s="3" t="s">
        <v>5</v>
      </c>
      <c r="G281" s="4"/>
      <c r="H281" s="4"/>
      <c r="I281" s="5" t="str">
        <f t="shared" si="20"/>
        <v>Defs</v>
      </c>
      <c r="J281" t="str">
        <f>IF(Table2[[#This Row],[!Type]]=J$1, J$1,"rg:None")</f>
        <v>rg:None</v>
      </c>
      <c r="K281" t="str">
        <f>IF(Table2[[#This Row],[!Type]]=K$1, K$1,"rg:None")</f>
        <v>rg:None</v>
      </c>
      <c r="L281" t="str">
        <f>IF(Table2[[#This Row],[!Type]]=L$1, L$1,"rg:None")</f>
        <v>rg:None</v>
      </c>
      <c r="M281"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string</v>
      </c>
      <c r="S281" s="5" t="str">
        <f>IF(Table2[[#This Row],[!Type]]=S$1, S$1,"rg:None")</f>
        <v>rg:None</v>
      </c>
      <c r="T281" s="8">
        <f>IF(LEN(Table2[[#This Row],[!Length]]) &gt; 0, Table2[[#This Row],[!Length]], "rg:None")</f>
        <v>255</v>
      </c>
      <c r="U281" s="8" t="str">
        <f>IF(LEN(Table2[[#This Row],[!Name]]) &gt; 0, Table2[[#This Row],[!Name]], "rg:None")</f>
        <v>guid</v>
      </c>
      <c r="V281"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81" s="8" t="str">
        <f>IF(LEN(Table2[[#This Row],[!FK]])&gt;0,Table2[[#This Row],[!FK]],"rg:None")</f>
        <v>rg:None</v>
      </c>
      <c r="X281" s="8" t="str">
        <f>IF(LEN(concatif2(A:A,Table2[[#This Row],[!Table]],G:G,"Y",D:D,",")) &gt; 0,"rg:[ { 'req' : '"&amp;concatif2(A:A,Table2[[#This Row],[!Table]],G:G,"Y",D:D,"' }, { 'req': '")&amp;"'} ]","rg:[]")</f>
        <v>rg:[ { 'req' : 'id' }, { 'req': 'givenName' }, { 'req': 'surname' }, { 'req': 'active'} ]</v>
      </c>
      <c r="Y281" s="8" t="str">
        <f>IF(LEN(Table2[[#This Row],[!Unique]])&gt;0,"rg:True","rg:None")</f>
        <v>rg:None</v>
      </c>
    </row>
    <row r="282" spans="1:25" x14ac:dyDescent="0.3">
      <c r="A282" s="3" t="s">
        <v>0</v>
      </c>
      <c r="B282" s="3" t="s">
        <v>7</v>
      </c>
      <c r="C282" s="3">
        <v>255</v>
      </c>
      <c r="D282" s="3" t="s">
        <v>49</v>
      </c>
      <c r="E282" s="60" t="s">
        <v>368</v>
      </c>
      <c r="F282" s="3" t="s">
        <v>5</v>
      </c>
      <c r="G282" s="4"/>
      <c r="H282" s="4"/>
      <c r="I282" s="5" t="str">
        <f t="shared" si="20"/>
        <v>Defs</v>
      </c>
      <c r="J282" t="str">
        <f>IF(Table2[[#This Row],[!Type]]=J$1, J$1,"rg:None")</f>
        <v>rg:None</v>
      </c>
      <c r="K282" t="str">
        <f>IF(Table2[[#This Row],[!Type]]=K$1, K$1,"rg:None")</f>
        <v>rg:None</v>
      </c>
      <c r="L282" t="str">
        <f>IF(Table2[[#This Row],[!Type]]=L$1, L$1,"rg:None")</f>
        <v>rg:None</v>
      </c>
      <c r="M282"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255</v>
      </c>
      <c r="U282" s="8" t="str">
        <f>IF(LEN(Table2[[#This Row],[!Name]]) &gt; 0, Table2[[#This Row],[!Name]], "rg:None")</f>
        <v>smAuthorizationDirectory</v>
      </c>
      <c r="V282" s="8" t="str">
        <f>IF(LEN(Table2[[#This Row],[!Description]]) &gt; 0, Table2[[#This Row],[!Description]], "rg:None")</f>
        <v>The user directory service used by Siteminder to authenticate the user - usually IDIR or BCeID.</v>
      </c>
      <c r="W282" s="8" t="str">
        <f>IF(LEN(Table2[[#This Row],[!FK]])&gt;0,Table2[[#This Row],[!FK]],"rg:None")</f>
        <v>rg:None</v>
      </c>
      <c r="X282" s="8" t="str">
        <f>IF(LEN(concatif2(A:A,Table2[[#This Row],[!Table]],G:G,"Y",D:D,",")) &gt; 0,"rg:[ { 'req' : '"&amp;concatif2(A:A,Table2[[#This Row],[!Table]],G:G,"Y",D:D,"' }, { 'req': '")&amp;"'} ]","rg:[]")</f>
        <v>rg:[ { 'req' : 'id' }, { 'req': 'givenName' }, { 'req': 'surname' }, { 'req': 'active'} ]</v>
      </c>
      <c r="Y282" s="8" t="str">
        <f>IF(LEN(Table2[[#This Row],[!Unique]])&gt;0,"rg:True","rg:None")</f>
        <v>rg:None</v>
      </c>
    </row>
    <row r="283" spans="1:25" x14ac:dyDescent="0.3">
      <c r="A283" s="3" t="s">
        <v>0</v>
      </c>
      <c r="B283" s="3" t="s">
        <v>19</v>
      </c>
      <c r="C283" s="3"/>
      <c r="D283" s="3" t="s">
        <v>50</v>
      </c>
      <c r="E283" s="60"/>
      <c r="F283" s="3" t="s">
        <v>52</v>
      </c>
      <c r="G283" s="4"/>
      <c r="H283" s="4"/>
      <c r="I283" s="5" t="str">
        <f t="shared" si="20"/>
        <v>Defs</v>
      </c>
      <c r="J283" t="str">
        <f>IF(Table2[[#This Row],[!Type]]=J$1, J$1,"rg:None")</f>
        <v>rg:None</v>
      </c>
      <c r="K283" t="str">
        <f>IF(Table2[[#This Row],[!Type]]=K$1, K$1,"rg:None")</f>
        <v>rg:None</v>
      </c>
      <c r="L283" t="str">
        <f>IF(Table2[[#This Row],[!Type]]=L$1, L$1,"rg:None")</f>
        <v>rg:None</v>
      </c>
      <c r="M283" t="str">
        <f>IF(Table2[[#This Row],[!Type]]=M$1, M$1,"rg:None")</f>
        <v>rg:None</v>
      </c>
      <c r="N283" s="8" t="str">
        <f>IF(Table2[[#This Row],[!Type]]=N$1, N$1,"rg:None")</f>
        <v>rg:None</v>
      </c>
      <c r="O283" s="8" t="str">
        <f>IF(Table2[[#This Row],[!Type]]=O$1, O$1,"rg:None")</f>
        <v>rg:None</v>
      </c>
      <c r="P283" s="5" t="str">
        <f>IF(Table2[[#This Row],[!Type]]=P$1, P$1,"rg:None")</f>
        <v>links</v>
      </c>
      <c r="Q283" s="5" t="str">
        <f>IF(Table2[[#This Row],[!Type]]=Q$1, Q$1,"rg:None")</f>
        <v>rg:None</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userRoles</v>
      </c>
      <c r="V283" s="8" t="str">
        <f>IF(LEN(Table2[[#This Row],[!Description]]) &gt; 0, Table2[[#This Row],[!Description]], "rg:None")</f>
        <v>rg:None</v>
      </c>
      <c r="W283" s="8" t="str">
        <f>IF(LEN(Table2[[#This Row],[!FK]])&gt;0,Table2[[#This Row],[!FK]],"rg:None")</f>
        <v>UserRole</v>
      </c>
      <c r="X283" s="8" t="str">
        <f>IF(LEN(concatif2(A:A,Table2[[#This Row],[!Table]],G:G,"Y",D:D,",")) &gt; 0,"rg:[ { 'req' : '"&amp;concatif2(A:A,Table2[[#This Row],[!Table]],G:G,"Y",D:D,"' }, { 'req': '")&amp;"'} ]","rg:[]")</f>
        <v>rg:[ { 'req' : 'id' }, { 'req': 'givenName' }, { 'req': 'surname' }, { 'req': 'active'} ]</v>
      </c>
      <c r="Y283" s="8" t="str">
        <f>IF(LEN(Table2[[#This Row],[!Unique]])&gt;0,"rg:True","rg:None")</f>
        <v>rg:None</v>
      </c>
    </row>
    <row r="284" spans="1:25" x14ac:dyDescent="0.3">
      <c r="A284" s="3" t="s">
        <v>0</v>
      </c>
      <c r="B284" s="3" t="s">
        <v>19</v>
      </c>
      <c r="C284" s="3"/>
      <c r="D284" s="3" t="s">
        <v>51</v>
      </c>
      <c r="E284" s="60"/>
      <c r="F284" s="3" t="s">
        <v>61</v>
      </c>
      <c r="G284" s="4"/>
      <c r="H284" s="4"/>
      <c r="I284" s="5" t="str">
        <f t="shared" si="20"/>
        <v>Defs</v>
      </c>
      <c r="J284" t="str">
        <f>IF(Table2[[#This Row],[!Type]]=J$1, J$1,"rg:None")</f>
        <v>rg:None</v>
      </c>
      <c r="K284" t="str">
        <f>IF(Table2[[#This Row],[!Type]]=K$1, K$1,"rg:None")</f>
        <v>rg:None</v>
      </c>
      <c r="L284" t="str">
        <f>IF(Table2[[#This Row],[!Type]]=L$1, L$1,"rg:None")</f>
        <v>rg:None</v>
      </c>
      <c r="M284" t="str">
        <f>IF(Table2[[#This Row],[!Type]]=M$1, M$1,"rg:None")</f>
        <v>rg:None</v>
      </c>
      <c r="N284" s="8" t="str">
        <f>IF(Table2[[#This Row],[!Type]]=N$1, N$1,"rg:None")</f>
        <v>rg:None</v>
      </c>
      <c r="O284" s="8" t="str">
        <f>IF(Table2[[#This Row],[!Type]]=O$1, O$1,"rg:None")</f>
        <v>rg:None</v>
      </c>
      <c r="P284" s="5" t="str">
        <f>IF(Table2[[#This Row],[!Type]]=P$1, P$1,"rg:None")</f>
        <v>links</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groupMemberships</v>
      </c>
      <c r="V284" s="8" t="str">
        <f>IF(LEN(Table2[[#This Row],[!Description]]) &gt; 0, Table2[[#This Row],[!Description]], "rg:None")</f>
        <v>rg:None</v>
      </c>
      <c r="W284" s="8" t="str">
        <f>IF(LEN(Table2[[#This Row],[!FK]])&gt;0,Table2[[#This Row],[!FK]],"rg:None")</f>
        <v>GroupMembership</v>
      </c>
      <c r="X284" s="8" t="str">
        <f>IF(LEN(concatif2(A:A,Table2[[#This Row],[!Table]],G:G,"Y",D:D,",")) &gt; 0,"rg:[ { 'req' : '"&amp;concatif2(A:A,Table2[[#This Row],[!Table]],G:G,"Y",D:D,"' }, { 'req': '")&amp;"'} ]","rg:[]")</f>
        <v>rg:[ { 'req' : 'id' }, { 'req': 'givenName' }, { 'req': 'surname' }, { 'req': 'active'} ]</v>
      </c>
      <c r="Y284" s="8" t="str">
        <f>IF(LEN(Table2[[#This Row],[!Unique]])&gt;0,"rg:True","rg:None")</f>
        <v>rg:None</v>
      </c>
    </row>
    <row r="285" spans="1:25" x14ac:dyDescent="0.3">
      <c r="A285" s="97" t="s">
        <v>0</v>
      </c>
      <c r="B285" s="97" t="s">
        <v>8</v>
      </c>
      <c r="C285" s="18"/>
      <c r="D285" s="97" t="s">
        <v>34</v>
      </c>
      <c r="E285" s="61" t="s">
        <v>482</v>
      </c>
      <c r="F285" s="98" t="s">
        <v>34</v>
      </c>
      <c r="G285" s="19"/>
      <c r="H285" s="19"/>
      <c r="I285" s="4" t="str">
        <f>IF(LEN(A285) &gt; 0,"Defs","-")</f>
        <v>Defs</v>
      </c>
      <c r="J285" s="14" t="str">
        <f>IF(Table2[[#This Row],[!Type]]=J$1, J$1,"rg:None")</f>
        <v>rg:None</v>
      </c>
      <c r="K285" s="46" t="str">
        <f>IF(Table2[[#This Row],[!Type]]=K$1, K$1,"rg:None")</f>
        <v>rg:None</v>
      </c>
      <c r="L285" s="14" t="str">
        <f>IF(Table2[[#This Row],[!Type]]=L$1, L$1,"rg:None")</f>
        <v>rg:None</v>
      </c>
      <c r="M285" s="14" t="str">
        <f>IF(Table2[[#This Row],[!Type]]=M$1, M$1,"rg:None")</f>
        <v>rg:None</v>
      </c>
      <c r="N285" s="14" t="str">
        <f>IF(Table2[[#This Row],[!Type]]=N$1, N$1,"rg:None")</f>
        <v>rg:None</v>
      </c>
      <c r="O285" s="14" t="str">
        <f>IF(Table2[[#This Row],[!Type]]=O$1, O$1,"rg:None")</f>
        <v>rg:None</v>
      </c>
      <c r="P285" s="4" t="str">
        <f>IF(Table2[[#This Row],[!Type]]=P$1, P$1,"rg:None")</f>
        <v>rg:None</v>
      </c>
      <c r="Q285" s="4" t="str">
        <f>IF(Table2[[#This Row],[!Type]]=Q$1, Q$1,"rg:None")</f>
        <v>ref</v>
      </c>
      <c r="R285" s="4" t="str">
        <f>IF(Table2[[#This Row],[!Type]]=R$1, R$1,"rg:None")</f>
        <v>rg:None</v>
      </c>
      <c r="S285" s="4" t="str">
        <f>IF(Table2[[#This Row],[!Type]]=S$1, S$1,"rg:None")</f>
        <v>rg:None</v>
      </c>
      <c r="T285" s="14" t="str">
        <f>IF(LEN(Table2[[#This Row],[!Length]]) &gt; 0, Table2[[#This Row],[!Length]], "rg:None")</f>
        <v>rg:None</v>
      </c>
      <c r="U285" s="14" t="str">
        <f>IF(LEN(Table2[[#This Row],[!Name]]) &gt; 0, Table2[[#This Row],[!Name]], "rg:None")</f>
        <v>District</v>
      </c>
      <c r="V285" s="14" t="str">
        <f>IF(LEN(Table2[[#This Row],[!Description]]) &gt; 0, Table2[[#This Row],[!Description]], "rg:None")</f>
        <v>The District that the User belongs to</v>
      </c>
      <c r="W285" s="14" t="str">
        <f>IF(LEN(Table2[[#This Row],[!FK]])&gt;0,Table2[[#This Row],[!FK]],"rg:None")</f>
        <v>District</v>
      </c>
      <c r="X285" s="14" t="str">
        <f>IF(LEN(concatif2(A:A,Table2[[#This Row],[!Table]],G:G,"Y",D:D,",")) &gt; 0,"rg:[ { 'req' : '"&amp;concatif2(A:A,Table2[[#This Row],[!Table]],G:G,"Y",D:D,"' }, { 'req': '")&amp;"'} ]","rg:[]")</f>
        <v>rg:[ { 'req' : 'id' }, { 'req': 'givenName' }, { 'req': 'surname' }, { 'req': 'active'} ]</v>
      </c>
      <c r="Y285" s="14" t="str">
        <f>IF(LEN(Table2[[#This Row],[!Unique]])&gt;0,"rg:True","rg:None")</f>
        <v>rg:None</v>
      </c>
    </row>
    <row r="286" spans="1:25" ht="28.8" x14ac:dyDescent="0.3">
      <c r="A286" s="3" t="s">
        <v>52</v>
      </c>
      <c r="B286" s="3" t="s">
        <v>4</v>
      </c>
      <c r="C286" s="3"/>
      <c r="D286" s="3" t="s">
        <v>52</v>
      </c>
      <c r="E286" s="60" t="s">
        <v>369</v>
      </c>
      <c r="F286" s="3" t="s">
        <v>5</v>
      </c>
      <c r="G286" s="4"/>
      <c r="H286" s="4"/>
      <c r="I286" s="5" t="str">
        <f t="shared" si="20"/>
        <v>Defs</v>
      </c>
      <c r="J286" t="str">
        <f>IF(Table2[[#This Row],[!Type]]=J$1, J$1,"rg:None")</f>
        <v>rg:None</v>
      </c>
      <c r="K286" t="str">
        <f>IF(Table2[[#This Row],[!Type]]=K$1, K$1,"rg:None")</f>
        <v>rg:None</v>
      </c>
      <c r="L286" t="str">
        <f>IF(Table2[[#This Row],[!Type]]=L$1, L$1,"rg:None")</f>
        <v>rg:None</v>
      </c>
      <c r="M286"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UserRole</v>
      </c>
      <c r="V286"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86" s="8" t="str">
        <f>IF(LEN(Table2[[#This Row],[!FK]])&gt;0,Table2[[#This Row],[!FK]],"rg:None")</f>
        <v>rg:None</v>
      </c>
      <c r="X286" s="8" t="str">
        <f>IF(LEN(concatif2(A:A,Table2[[#This Row],[!Table]],G:G,"Y",D:D,",")) &gt; 0,"rg:[ { 'req' : '"&amp;concatif2(A:A,Table2[[#This Row],[!Table]],G:G,"Y",D:D,"' }, { 'req': '")&amp;"'} ]","rg:[]")</f>
        <v>rg:[ { 'req' : 'id' }, { 'req': 'effectiveDate'} ]</v>
      </c>
      <c r="Y286" s="8" t="str">
        <f>IF(LEN(Table2[[#This Row],[!Unique]])&gt;0,"rg:True","rg:None")</f>
        <v>rg:None</v>
      </c>
    </row>
    <row r="287" spans="1:25" x14ac:dyDescent="0.3">
      <c r="A287" s="3" t="s">
        <v>52</v>
      </c>
      <c r="B287" s="3" t="s">
        <v>6</v>
      </c>
      <c r="C287" s="3"/>
      <c r="D287" s="3" t="s">
        <v>6</v>
      </c>
      <c r="E287" s="60" t="s">
        <v>370</v>
      </c>
      <c r="F287" s="3" t="s">
        <v>5</v>
      </c>
      <c r="G287" s="4" t="s">
        <v>64</v>
      </c>
      <c r="H287" s="4"/>
      <c r="I287" s="5" t="str">
        <f t="shared" si="20"/>
        <v>Defs</v>
      </c>
      <c r="J287" t="str">
        <f>IF(Table2[[#This Row],[!Type]]=J$1, J$1,"rg:None")</f>
        <v>rg:None</v>
      </c>
      <c r="K287" t="str">
        <f>IF(Table2[[#This Row],[!Type]]=K$1, K$1,"rg:None")</f>
        <v>rg:None</v>
      </c>
      <c r="L287" t="str">
        <f>IF(Table2[[#This Row],[!Type]]=L$1, L$1,"rg:None")</f>
        <v>rg:None</v>
      </c>
      <c r="M287"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UserRole</v>
      </c>
      <c r="W287" s="8" t="str">
        <f>IF(LEN(Table2[[#This Row],[!FK]])&gt;0,Table2[[#This Row],[!FK]],"rg:None")</f>
        <v>rg:None</v>
      </c>
      <c r="X287" s="8" t="str">
        <f>IF(LEN(concatif2(A:A,Table2[[#This Row],[!Table]],G:G,"Y",D:D,",")) &gt; 0,"rg:[ { 'req' : '"&amp;concatif2(A:A,Table2[[#This Row],[!Table]],G:G,"Y",D:D,"' }, { 'req': '")&amp;"'} ]","rg:[]")</f>
        <v>rg:[ { 'req' : 'id' }, { 'req': 'effectiveDate'} ]</v>
      </c>
      <c r="Y287" s="8" t="str">
        <f>IF(LEN(Table2[[#This Row],[!Unique]])&gt;0,"rg:True","rg:None")</f>
        <v>rg:None</v>
      </c>
    </row>
    <row r="288" spans="1:25" x14ac:dyDescent="0.3">
      <c r="A288" s="3" t="s">
        <v>52</v>
      </c>
      <c r="B288" s="3" t="s">
        <v>12</v>
      </c>
      <c r="C288" s="3"/>
      <c r="D288" s="3" t="s">
        <v>53</v>
      </c>
      <c r="E288" s="60" t="s">
        <v>371</v>
      </c>
      <c r="F288" s="3" t="s">
        <v>5</v>
      </c>
      <c r="G288" s="4" t="s">
        <v>64</v>
      </c>
      <c r="H288" s="4"/>
      <c r="I288" s="5" t="str">
        <f t="shared" si="20"/>
        <v>Defs</v>
      </c>
      <c r="J288" t="str">
        <f>IF(Table2[[#This Row],[!Type]]=J$1, J$1,"rg:None")</f>
        <v>rg:None</v>
      </c>
      <c r="K288" t="str">
        <f>IF(Table2[[#This Row],[!Type]]=K$1, K$1,"rg:None")</f>
        <v>rg:None</v>
      </c>
      <c r="L288" t="str">
        <f>IF(Table2[[#This Row],[!Type]]=L$1, L$1,"rg:None")</f>
        <v>datetime</v>
      </c>
      <c r="M28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effectiveDate</v>
      </c>
      <c r="V288" s="8" t="str">
        <f>IF(LEN(Table2[[#This Row],[!Description]]) &gt; 0, Table2[[#This Row],[!Description]], "rg:None")</f>
        <v>The date on which the user was given the related role.</v>
      </c>
      <c r="W288" s="8" t="str">
        <f>IF(LEN(Table2[[#This Row],[!FK]])&gt;0,Table2[[#This Row],[!FK]],"rg:None")</f>
        <v>rg:None</v>
      </c>
      <c r="X288" s="8" t="str">
        <f>IF(LEN(concatif2(A:A,Table2[[#This Row],[!Table]],G:G,"Y",D:D,",")) &gt; 0,"rg:[ { 'req' : '"&amp;concatif2(A:A,Table2[[#This Row],[!Table]],G:G,"Y",D:D,"' }, { 'req': '")&amp;"'} ]","rg:[]")</f>
        <v>rg:[ { 'req' : 'id' }, { 'req': 'effectiveDate'} ]</v>
      </c>
      <c r="Y288" s="8" t="str">
        <f>IF(LEN(Table2[[#This Row],[!Unique]])&gt;0,"rg:True","rg:None")</f>
        <v>rg:None</v>
      </c>
    </row>
    <row r="289" spans="1:25" x14ac:dyDescent="0.3">
      <c r="A289" s="3" t="s">
        <v>52</v>
      </c>
      <c r="B289" s="3" t="s">
        <v>12</v>
      </c>
      <c r="C289" s="3"/>
      <c r="D289" s="3" t="s">
        <v>54</v>
      </c>
      <c r="E289" s="60" t="s">
        <v>372</v>
      </c>
      <c r="F289" s="3" t="s">
        <v>5</v>
      </c>
      <c r="G289" s="4"/>
      <c r="H289" s="4"/>
      <c r="I289" s="5" t="str">
        <f t="shared" si="20"/>
        <v>Defs</v>
      </c>
      <c r="J289" t="str">
        <f>IF(Table2[[#This Row],[!Type]]=J$1, J$1,"rg:None")</f>
        <v>rg:None</v>
      </c>
      <c r="K289" t="str">
        <f>IF(Table2[[#This Row],[!Type]]=K$1, K$1,"rg:None")</f>
        <v>rg:None</v>
      </c>
      <c r="L289" t="str">
        <f>IF(Table2[[#This Row],[!Type]]=L$1, L$1,"rg:None")</f>
        <v>datetime</v>
      </c>
      <c r="M289"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expiryDate</v>
      </c>
      <c r="V289" s="8" t="str">
        <f>IF(LEN(Table2[[#This Row],[!Description]]) &gt; 0, Table2[[#This Row],[!Description]], "rg:None")</f>
        <v>The date on which a role previously assigned to a user was removed from that user.</v>
      </c>
      <c r="W289" s="8" t="str">
        <f>IF(LEN(Table2[[#This Row],[!FK]])&gt;0,Table2[[#This Row],[!FK]],"rg:None")</f>
        <v>rg:None</v>
      </c>
      <c r="X289" s="8" t="str">
        <f>IF(LEN(concatif2(A:A,Table2[[#This Row],[!Table]],G:G,"Y",D:D,",")) &gt; 0,"rg:[ { 'req' : '"&amp;concatif2(A:A,Table2[[#This Row],[!Table]],G:G,"Y",D:D,"' }, { 'req': '")&amp;"'} ]","rg:[]")</f>
        <v>rg:[ { 'req' : 'id' }, { 'req': 'effectiveDate'} ]</v>
      </c>
      <c r="Y289" s="8" t="str">
        <f>IF(LEN(Table2[[#This Row],[!Unique]])&gt;0,"rg:True","rg:None")</f>
        <v>rg:None</v>
      </c>
    </row>
    <row r="290" spans="1:25" x14ac:dyDescent="0.3">
      <c r="A290" s="3" t="s">
        <v>52</v>
      </c>
      <c r="B290" s="3" t="s">
        <v>8</v>
      </c>
      <c r="C290" s="3"/>
      <c r="D290" s="3" t="s">
        <v>18</v>
      </c>
      <c r="E290" s="60"/>
      <c r="F290" s="3" t="s">
        <v>55</v>
      </c>
      <c r="G290" s="4"/>
      <c r="H290" s="4"/>
      <c r="I290" s="5" t="str">
        <f t="shared" si="20"/>
        <v>Defs</v>
      </c>
      <c r="J290" t="str">
        <f>IF(Table2[[#This Row],[!Type]]=J$1, J$1,"rg:None")</f>
        <v>rg:None</v>
      </c>
      <c r="K290" t="str">
        <f>IF(Table2[[#This Row],[!Type]]=K$1, K$1,"rg:None")</f>
        <v>rg:None</v>
      </c>
      <c r="L290" t="str">
        <f>IF(Table2[[#This Row],[!Type]]=L$1, L$1,"rg:None")</f>
        <v>rg:None</v>
      </c>
      <c r="M290"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ref</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role</v>
      </c>
      <c r="V290" s="8" t="str">
        <f>IF(LEN(Table2[[#This Row],[!Description]]) &gt; 0, Table2[[#This Row],[!Description]], "rg:None")</f>
        <v>rg:None</v>
      </c>
      <c r="W290" s="8" t="str">
        <f>IF(LEN(Table2[[#This Row],[!FK]])&gt;0,Table2[[#This Row],[!FK]],"rg:None")</f>
        <v>Role</v>
      </c>
      <c r="X290" s="8" t="str">
        <f>IF(LEN(concatif2(A:A,Table2[[#This Row],[!Table]],G:G,"Y",D:D,",")) &gt; 0,"rg:[ { 'req' : '"&amp;concatif2(A:A,Table2[[#This Row],[!Table]],G:G,"Y",D:D,"' }, { 'req': '")&amp;"'} ]","rg:[]")</f>
        <v>rg:[ { 'req' : 'id' }, { 'req': 'effectiveDate'} ]</v>
      </c>
      <c r="Y290" s="8" t="str">
        <f>IF(LEN(Table2[[#This Row],[!Unique]])&gt;0,"rg:True","rg:None")</f>
        <v>rg:None</v>
      </c>
    </row>
    <row r="291" spans="1:25" ht="43.2" x14ac:dyDescent="0.3">
      <c r="A291" s="3" t="s">
        <v>55</v>
      </c>
      <c r="B291" s="3" t="s">
        <v>4</v>
      </c>
      <c r="C291" s="3"/>
      <c r="D291" s="3" t="s">
        <v>55</v>
      </c>
      <c r="E291" s="84" t="s">
        <v>418</v>
      </c>
      <c r="F291" s="3" t="s">
        <v>5</v>
      </c>
      <c r="G291" s="4"/>
      <c r="H291" s="4"/>
      <c r="I291" s="5" t="str">
        <f t="shared" si="20"/>
        <v>Defs</v>
      </c>
      <c r="J291" t="str">
        <f>IF(Table2[[#This Row],[!Type]]=J$1, J$1,"rg:None")</f>
        <v>rg:None</v>
      </c>
      <c r="K291" t="str">
        <f>IF(Table2[[#This Row],[!Type]]=K$1, K$1,"rg:None")</f>
        <v>rg:None</v>
      </c>
      <c r="L291" t="str">
        <f>IF(Table2[[#This Row],[!Type]]=L$1, L$1,"rg:None")</f>
        <v>rg:None</v>
      </c>
      <c r="M291"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table</v>
      </c>
      <c r="T291" s="8" t="str">
        <f>IF(LEN(Table2[[#This Row],[!Length]]) &gt; 0, Table2[[#This Row],[!Length]], "rg:None")</f>
        <v>rg:None</v>
      </c>
      <c r="U291" s="8" t="str">
        <f>IF(LEN(Table2[[#This Row],[!Name]]) &gt; 0, Table2[[#This Row],[!Name]], "rg:None")</f>
        <v>Role</v>
      </c>
      <c r="V291"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91" s="8" t="str">
        <f>IF(LEN(Table2[[#This Row],[!FK]])&gt;0,Table2[[#This Row],[!FK]],"rg:None")</f>
        <v>rg:None</v>
      </c>
      <c r="X291" s="8" t="str">
        <f>IF(LEN(concatif2(A:A,Table2[[#This Row],[!Table]],G:G,"Y",D:D,",")) &gt; 0,"rg:[ { 'req' : '"&amp;concatif2(A:A,Table2[[#This Row],[!Table]],G:G,"Y",D:D,"' }, { 'req': '")&amp;"'} ]","rg:[]")</f>
        <v>rg:[ { 'req' : 'id' }, { 'req': 'name' }, { 'req': 'description'} ]</v>
      </c>
      <c r="Y291" s="8" t="str">
        <f>IF(LEN(Table2[[#This Row],[!Unique]])&gt;0,"rg:True","rg:None")</f>
        <v>rg:None</v>
      </c>
    </row>
    <row r="292" spans="1:25" x14ac:dyDescent="0.3">
      <c r="A292" s="3" t="s">
        <v>55</v>
      </c>
      <c r="B292" s="3" t="s">
        <v>6</v>
      </c>
      <c r="C292" s="3"/>
      <c r="D292" s="3" t="s">
        <v>6</v>
      </c>
      <c r="E292" s="60" t="s">
        <v>373</v>
      </c>
      <c r="F292" s="3" t="s">
        <v>5</v>
      </c>
      <c r="G292" s="4" t="s">
        <v>64</v>
      </c>
      <c r="H292" s="4"/>
      <c r="I292" s="5" t="str">
        <f t="shared" si="20"/>
        <v>Defs</v>
      </c>
      <c r="J292" t="str">
        <f>IF(Table2[[#This Row],[!Type]]=J$1, J$1,"rg:None")</f>
        <v>rg:None</v>
      </c>
      <c r="K292" t="str">
        <f>IF(Table2[[#This Row],[!Type]]=K$1, K$1,"rg:None")</f>
        <v>rg:None</v>
      </c>
      <c r="L292" t="str">
        <f>IF(Table2[[#This Row],[!Type]]=L$1, L$1,"rg:None")</f>
        <v>rg:None</v>
      </c>
      <c r="M292" t="str">
        <f>IF(Table2[[#This Row],[!Type]]=M$1, M$1,"rg:None")</f>
        <v>id</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id</v>
      </c>
      <c r="V292" s="8" t="str">
        <f>IF(LEN(Table2[[#This Row],[!Description]]) &gt; 0, Table2[[#This Row],[!Description]], "rg:None")</f>
        <v>A system-generated unique identifier for a Role</v>
      </c>
      <c r="W292" s="8" t="str">
        <f>IF(LEN(Table2[[#This Row],[!FK]])&gt;0,Table2[[#This Row],[!FK]],"rg:None")</f>
        <v>rg:None</v>
      </c>
      <c r="X292" s="8" t="str">
        <f>IF(LEN(concatif2(A:A,Table2[[#This Row],[!Table]],G:G,"Y",D:D,",")) &gt; 0,"rg:[ { 'req' : '"&amp;concatif2(A:A,Table2[[#This Row],[!Table]],G:G,"Y",D:D,"' }, { 'req': '")&amp;"'} ]","rg:[]")</f>
        <v>rg:[ { 'req' : 'id' }, { 'req': 'name' }, { 'req': 'description'} ]</v>
      </c>
      <c r="Y292" s="8" t="str">
        <f>IF(LEN(Table2[[#This Row],[!Unique]])&gt;0,"rg:True","rg:None")</f>
        <v>rg:None</v>
      </c>
    </row>
    <row r="293" spans="1:25" x14ac:dyDescent="0.3">
      <c r="A293" s="3" t="s">
        <v>55</v>
      </c>
      <c r="B293" s="3" t="s">
        <v>7</v>
      </c>
      <c r="C293" s="3">
        <v>255</v>
      </c>
      <c r="D293" s="3" t="s">
        <v>15</v>
      </c>
      <c r="E293" s="60" t="s">
        <v>374</v>
      </c>
      <c r="F293" s="3" t="s">
        <v>5</v>
      </c>
      <c r="G293" s="4" t="s">
        <v>64</v>
      </c>
      <c r="H293" s="4"/>
      <c r="I293" s="5" t="str">
        <f t="shared" si="20"/>
        <v>Defs</v>
      </c>
      <c r="J293" t="str">
        <f>IF(Table2[[#This Row],[!Type]]=J$1, J$1,"rg:None")</f>
        <v>rg:None</v>
      </c>
      <c r="K293" t="str">
        <f>IF(Table2[[#This Row],[!Type]]=K$1, K$1,"rg:None")</f>
        <v>rg:None</v>
      </c>
      <c r="L293" t="str">
        <f>IF(Table2[[#This Row],[!Type]]=L$1, L$1,"rg:None")</f>
        <v>rg:None</v>
      </c>
      <c r="M293"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8">
        <f>IF(LEN(Table2[[#This Row],[!Length]]) &gt; 0, Table2[[#This Row],[!Length]], "rg:None")</f>
        <v>255</v>
      </c>
      <c r="U293" s="8" t="str">
        <f>IF(LEN(Table2[[#This Row],[!Name]]) &gt; 0, Table2[[#This Row],[!Name]], "rg:None")</f>
        <v>name</v>
      </c>
      <c r="V293" s="8" t="str">
        <f>IF(LEN(Table2[[#This Row],[!Description]]) &gt; 0, Table2[[#This Row],[!Description]], "rg:None")</f>
        <v>The name of the Role, as established by the user creating the role.</v>
      </c>
      <c r="W293" s="8" t="str">
        <f>IF(LEN(Table2[[#This Row],[!FK]])&gt;0,Table2[[#This Row],[!FK]],"rg:None")</f>
        <v>rg:None</v>
      </c>
      <c r="X293" s="8" t="str">
        <f>IF(LEN(concatif2(A:A,Table2[[#This Row],[!Table]],G:G,"Y",D:D,",")) &gt; 0,"rg:[ { 'req' : '"&amp;concatif2(A:A,Table2[[#This Row],[!Table]],G:G,"Y",D:D,"' }, { 'req': '")&amp;"'} ]","rg:[]")</f>
        <v>rg:[ { 'req' : 'id' }, { 'req': 'name' }, { 'req': 'description'} ]</v>
      </c>
      <c r="Y293" s="8" t="str">
        <f>IF(LEN(Table2[[#This Row],[!Unique]])&gt;0,"rg:True","rg:None")</f>
        <v>rg:None</v>
      </c>
    </row>
    <row r="294" spans="1:25" x14ac:dyDescent="0.3">
      <c r="A294" s="3" t="s">
        <v>55</v>
      </c>
      <c r="B294" s="3" t="s">
        <v>7</v>
      </c>
      <c r="C294" s="3">
        <v>2048</v>
      </c>
      <c r="D294" s="3" t="s">
        <v>14</v>
      </c>
      <c r="E294" s="60" t="s">
        <v>375</v>
      </c>
      <c r="F294" s="3" t="s">
        <v>5</v>
      </c>
      <c r="G294" s="4" t="s">
        <v>64</v>
      </c>
      <c r="H294" s="4"/>
      <c r="I294" s="5" t="str">
        <f t="shared" si="20"/>
        <v>Defs</v>
      </c>
      <c r="J294" t="str">
        <f>IF(Table2[[#This Row],[!Type]]=J$1, J$1,"rg:None")</f>
        <v>rg:None</v>
      </c>
      <c r="K294" t="str">
        <f>IF(Table2[[#This Row],[!Type]]=K$1, K$1,"rg:None")</f>
        <v>rg:None</v>
      </c>
      <c r="L294" t="str">
        <f>IF(Table2[[#This Row],[!Type]]=L$1, L$1,"rg:None")</f>
        <v>rg:None</v>
      </c>
      <c r="M294"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8">
        <f>IF(LEN(Table2[[#This Row],[!Length]]) &gt; 0, Table2[[#This Row],[!Length]], "rg:None")</f>
        <v>2048</v>
      </c>
      <c r="U294" s="8" t="str">
        <f>IF(LEN(Table2[[#This Row],[!Name]]) &gt; 0, Table2[[#This Row],[!Name]], "rg:None")</f>
        <v>description</v>
      </c>
      <c r="V294" s="8" t="str">
        <f>IF(LEN(Table2[[#This Row],[!Description]]) &gt; 0, Table2[[#This Row],[!Description]], "rg:None")</f>
        <v>A description of the role as set by the user creating/updating the role.</v>
      </c>
      <c r="W294" s="8" t="str">
        <f>IF(LEN(Table2[[#This Row],[!FK]])&gt;0,Table2[[#This Row],[!FK]],"rg:None")</f>
        <v>rg:None</v>
      </c>
      <c r="X294" s="8" t="str">
        <f>IF(LEN(concatif2(A:A,Table2[[#This Row],[!Table]],G:G,"Y",D:D,",")) &gt; 0,"rg:[ { 'req' : '"&amp;concatif2(A:A,Table2[[#This Row],[!Table]],G:G,"Y",D:D,"' }, { 'req': '")&amp;"'} ]","rg:[]")</f>
        <v>rg:[ { 'req' : 'id' }, { 'req': 'name' }, { 'req': 'description'} ]</v>
      </c>
      <c r="Y294" s="8" t="str">
        <f>IF(LEN(Table2[[#This Row],[!Unique]])&gt;0,"rg:True","rg:None")</f>
        <v>rg:None</v>
      </c>
    </row>
    <row r="295" spans="1:25" x14ac:dyDescent="0.3">
      <c r="A295" s="3" t="s">
        <v>55</v>
      </c>
      <c r="B295" s="3" t="s">
        <v>19</v>
      </c>
      <c r="C295" s="3"/>
      <c r="D295" s="3" t="s">
        <v>56</v>
      </c>
      <c r="E295" s="60"/>
      <c r="F295" s="3" t="s">
        <v>57</v>
      </c>
      <c r="G295" s="4"/>
      <c r="H295" s="4"/>
      <c r="I295" s="5" t="str">
        <f t="shared" si="20"/>
        <v>Defs</v>
      </c>
      <c r="J295" t="str">
        <f>IF(Table2[[#This Row],[!Type]]=J$1, J$1,"rg:None")</f>
        <v>rg:None</v>
      </c>
      <c r="K295" t="str">
        <f>IF(Table2[[#This Row],[!Type]]=K$1, K$1,"rg:None")</f>
        <v>rg:None</v>
      </c>
      <c r="L295" t="str">
        <f>IF(Table2[[#This Row],[!Type]]=L$1, L$1,"rg:None")</f>
        <v>rg:None</v>
      </c>
      <c r="M295" t="str">
        <f>IF(Table2[[#This Row],[!Type]]=M$1, M$1,"rg:None")</f>
        <v>rg:None</v>
      </c>
      <c r="N295" s="8" t="str">
        <f>IF(Table2[[#This Row],[!Type]]=N$1, N$1,"rg:None")</f>
        <v>rg:None</v>
      </c>
      <c r="O295" s="8" t="str">
        <f>IF(Table2[[#This Row],[!Type]]=O$1, O$1,"rg:None")</f>
        <v>rg:None</v>
      </c>
      <c r="P295" s="5" t="str">
        <f>IF(Table2[[#This Row],[!Type]]=P$1, P$1,"rg:None")</f>
        <v>links</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rolePermissions</v>
      </c>
      <c r="V295" s="8" t="str">
        <f>IF(LEN(Table2[[#This Row],[!Description]]) &gt; 0, Table2[[#This Row],[!Description]], "rg:None")</f>
        <v>rg:None</v>
      </c>
      <c r="W295" s="8" t="str">
        <f>IF(LEN(Table2[[#This Row],[!FK]])&gt;0,Table2[[#This Row],[!FK]],"rg:None")</f>
        <v>RolePermission</v>
      </c>
      <c r="X295" s="8" t="str">
        <f>IF(LEN(concatif2(A:A,Table2[[#This Row],[!Table]],G:G,"Y",D:D,",")) &gt; 0,"rg:[ { 'req' : '"&amp;concatif2(A:A,Table2[[#This Row],[!Table]],G:G,"Y",D:D,"' }, { 'req': '")&amp;"'} ]","rg:[]")</f>
        <v>rg:[ { 'req' : 'id' }, { 'req': 'name' }, { 'req': 'description'} ]</v>
      </c>
      <c r="Y295" s="8" t="str">
        <f>IF(LEN(Table2[[#This Row],[!Unique]])&gt;0,"rg:True","rg:None")</f>
        <v>rg:None</v>
      </c>
    </row>
    <row r="296" spans="1:25" x14ac:dyDescent="0.3">
      <c r="A296" s="3" t="s">
        <v>55</v>
      </c>
      <c r="B296" s="3" t="s">
        <v>19</v>
      </c>
      <c r="C296" s="3"/>
      <c r="D296" s="3" t="s">
        <v>50</v>
      </c>
      <c r="E296" s="60"/>
      <c r="F296" s="3" t="s">
        <v>52</v>
      </c>
      <c r="G296" s="4"/>
      <c r="H296" s="4"/>
      <c r="I296" s="5" t="str">
        <f t="shared" si="20"/>
        <v>Defs</v>
      </c>
      <c r="J296" t="str">
        <f>IF(Table2[[#This Row],[!Type]]=J$1, J$1,"rg:None")</f>
        <v>rg:None</v>
      </c>
      <c r="K296" t="str">
        <f>IF(Table2[[#This Row],[!Type]]=K$1, K$1,"rg:None")</f>
        <v>rg:None</v>
      </c>
      <c r="L296" t="str">
        <f>IF(Table2[[#This Row],[!Type]]=L$1, L$1,"rg:None")</f>
        <v>rg:None</v>
      </c>
      <c r="M296" t="str">
        <f>IF(Table2[[#This Row],[!Type]]=M$1, M$1,"rg:None")</f>
        <v>rg:None</v>
      </c>
      <c r="N296" s="8" t="str">
        <f>IF(Table2[[#This Row],[!Type]]=N$1, N$1,"rg:None")</f>
        <v>rg:None</v>
      </c>
      <c r="O296" s="8" t="str">
        <f>IF(Table2[[#This Row],[!Type]]=O$1, O$1,"rg:None")</f>
        <v>rg:None</v>
      </c>
      <c r="P296" s="5" t="str">
        <f>IF(Table2[[#This Row],[!Type]]=P$1, P$1,"rg:None")</f>
        <v>links</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userRoles</v>
      </c>
      <c r="V296" s="8" t="str">
        <f>IF(LEN(Table2[[#This Row],[!Description]]) &gt; 0, Table2[[#This Row],[!Description]], "rg:None")</f>
        <v>rg:None</v>
      </c>
      <c r="W296" s="8" t="str">
        <f>IF(LEN(Table2[[#This Row],[!FK]])&gt;0,Table2[[#This Row],[!FK]],"rg:None")</f>
        <v>UserRole</v>
      </c>
      <c r="X296" s="8" t="str">
        <f>IF(LEN(concatif2(A:A,Table2[[#This Row],[!Table]],G:G,"Y",D:D,",")) &gt; 0,"rg:[ { 'req' : '"&amp;concatif2(A:A,Table2[[#This Row],[!Table]],G:G,"Y",D:D,"' }, { 'req': '")&amp;"'} ]","rg:[]")</f>
        <v>rg:[ { 'req' : 'id' }, { 'req': 'name' }, { 'req': 'description'} ]</v>
      </c>
      <c r="Y296" s="8" t="str">
        <f>IF(LEN(Table2[[#This Row],[!Unique]])&gt;0,"rg:True","rg:None")</f>
        <v>rg:None</v>
      </c>
    </row>
    <row r="297" spans="1:25" ht="28.8" x14ac:dyDescent="0.3">
      <c r="A297" s="3" t="s">
        <v>57</v>
      </c>
      <c r="B297" s="3" t="s">
        <v>4</v>
      </c>
      <c r="C297" s="3"/>
      <c r="D297" s="3" t="s">
        <v>57</v>
      </c>
      <c r="E297" s="84" t="s">
        <v>419</v>
      </c>
      <c r="F297" s="3" t="s">
        <v>5</v>
      </c>
      <c r="G297" s="4"/>
      <c r="H297" s="4"/>
      <c r="I297" s="5" t="str">
        <f t="shared" si="20"/>
        <v>Defs</v>
      </c>
      <c r="J297" t="str">
        <f>IF(Table2[[#This Row],[!Type]]=J$1, J$1,"rg:None")</f>
        <v>rg:None</v>
      </c>
      <c r="K297" t="str">
        <f>IF(Table2[[#This Row],[!Type]]=K$1, K$1,"rg:None")</f>
        <v>rg:None</v>
      </c>
      <c r="L297" t="str">
        <f>IF(Table2[[#This Row],[!Type]]=L$1, L$1,"rg:None")</f>
        <v>rg:None</v>
      </c>
      <c r="M297"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table</v>
      </c>
      <c r="T297" s="8" t="str">
        <f>IF(LEN(Table2[[#This Row],[!Length]]) &gt; 0, Table2[[#This Row],[!Length]], "rg:None")</f>
        <v>rg:None</v>
      </c>
      <c r="U297" s="8" t="str">
        <f>IF(LEN(Table2[[#This Row],[!Name]]) &gt; 0, Table2[[#This Row],[!Name]], "rg:None")</f>
        <v>RolePermission</v>
      </c>
      <c r="V297" s="8" t="str">
        <f>IF(LEN(Table2[[#This Row],[!Description]]) &gt; 0, Table2[[#This Row],[!Description]], "rg:None")</f>
        <v>A permission that is part of a Role - a component of the authorization provided by the Role to the user to which the Role is assigned.</v>
      </c>
      <c r="W297" s="8" t="str">
        <f>IF(LEN(Table2[[#This Row],[!FK]])&gt;0,Table2[[#This Row],[!FK]],"rg:None")</f>
        <v>rg:None</v>
      </c>
      <c r="X297" s="8" t="str">
        <f>IF(LEN(concatif2(A:A,Table2[[#This Row],[!Table]],G:G,"Y",D:D,",")) &gt; 0,"rg:[ { 'req' : '"&amp;concatif2(A:A,Table2[[#This Row],[!Table]],G:G,"Y",D:D,"' }, { 'req': '")&amp;"'} ]","rg:[]")</f>
        <v>rg:[ { 'req' : 'id'} ]</v>
      </c>
      <c r="Y297" s="8" t="str">
        <f>IF(LEN(Table2[[#This Row],[!Unique]])&gt;0,"rg:True","rg:None")</f>
        <v>rg:None</v>
      </c>
    </row>
    <row r="298" spans="1:25" x14ac:dyDescent="0.3">
      <c r="A298" s="3" t="s">
        <v>57</v>
      </c>
      <c r="B298" s="3" t="s">
        <v>6</v>
      </c>
      <c r="C298" s="3"/>
      <c r="D298" s="3" t="s">
        <v>6</v>
      </c>
      <c r="E298" s="60" t="s">
        <v>376</v>
      </c>
      <c r="F298" s="3" t="s">
        <v>5</v>
      </c>
      <c r="G298" s="4" t="s">
        <v>64</v>
      </c>
      <c r="H298" s="4"/>
      <c r="I298" s="5" t="str">
        <f t="shared" si="20"/>
        <v>Defs</v>
      </c>
      <c r="J298" t="str">
        <f>IF(Table2[[#This Row],[!Type]]=J$1, J$1,"rg:None")</f>
        <v>rg:None</v>
      </c>
      <c r="K298" t="str">
        <f>IF(Table2[[#This Row],[!Type]]=K$1, K$1,"rg:None")</f>
        <v>rg:None</v>
      </c>
      <c r="L298" t="str">
        <f>IF(Table2[[#This Row],[!Type]]=L$1, L$1,"rg:None")</f>
        <v>rg:None</v>
      </c>
      <c r="M298" t="str">
        <f>IF(Table2[[#This Row],[!Type]]=M$1, M$1,"rg:None")</f>
        <v>id</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id</v>
      </c>
      <c r="V298" s="8" t="str">
        <f>IF(LEN(Table2[[#This Row],[!Description]]) &gt; 0, Table2[[#This Row],[!Description]], "rg:None")</f>
        <v>A system-generated unique identifier for a RolePermission</v>
      </c>
      <c r="W298" s="8" t="str">
        <f>IF(LEN(Table2[[#This Row],[!FK]])&gt;0,Table2[[#This Row],[!FK]],"rg:None")</f>
        <v>rg:None</v>
      </c>
      <c r="X298" s="8" t="str">
        <f>IF(LEN(concatif2(A:A,Table2[[#This Row],[!Table]],G:G,"Y",D:D,",")) &gt; 0,"rg:[ { 'req' : '"&amp;concatif2(A:A,Table2[[#This Row],[!Table]],G:G,"Y",D:D,"' }, { 'req': '")&amp;"'} ]","rg:[]")</f>
        <v>rg:[ { 'req' : 'id'} ]</v>
      </c>
      <c r="Y298" s="8" t="str">
        <f>IF(LEN(Table2[[#This Row],[!Unique]])&gt;0,"rg:True","rg:None")</f>
        <v>rg:None</v>
      </c>
    </row>
    <row r="299" spans="1:25" x14ac:dyDescent="0.3">
      <c r="A299" s="3" t="s">
        <v>57</v>
      </c>
      <c r="B299" s="3" t="s">
        <v>8</v>
      </c>
      <c r="C299" s="3"/>
      <c r="D299" s="3" t="s">
        <v>18</v>
      </c>
      <c r="E299" s="60"/>
      <c r="F299" s="3" t="s">
        <v>55</v>
      </c>
      <c r="G299" s="4"/>
      <c r="H299" s="4"/>
      <c r="I299" s="5" t="str">
        <f t="shared" si="20"/>
        <v>Defs</v>
      </c>
      <c r="J299" t="str">
        <f>IF(Table2[[#This Row],[!Type]]=J$1, J$1,"rg:None")</f>
        <v>rg:None</v>
      </c>
      <c r="K299" t="str">
        <f>IF(Table2[[#This Row],[!Type]]=K$1, K$1,"rg:None")</f>
        <v>rg:None</v>
      </c>
      <c r="L299" t="str">
        <f>IF(Table2[[#This Row],[!Type]]=L$1, L$1,"rg:None")</f>
        <v>rg:None</v>
      </c>
      <c r="M299"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role</v>
      </c>
      <c r="V299" s="8" t="str">
        <f>IF(LEN(Table2[[#This Row],[!Description]]) &gt; 0, Table2[[#This Row],[!Description]], "rg:None")</f>
        <v>rg:None</v>
      </c>
      <c r="W299" s="8" t="str">
        <f>IF(LEN(Table2[[#This Row],[!FK]])&gt;0,Table2[[#This Row],[!FK]],"rg:None")</f>
        <v>Role</v>
      </c>
      <c r="X299" s="8" t="str">
        <f>IF(LEN(concatif2(A:A,Table2[[#This Row],[!Table]],G:G,"Y",D:D,",")) &gt; 0,"rg:[ { 'req' : '"&amp;concatif2(A:A,Table2[[#This Row],[!Table]],G:G,"Y",D:D,"' }, { 'req': '")&amp;"'} ]","rg:[]")</f>
        <v>rg:[ { 'req' : 'id'} ]</v>
      </c>
      <c r="Y299" s="8" t="str">
        <f>IF(LEN(Table2[[#This Row],[!Unique]])&gt;0,"rg:True","rg:None")</f>
        <v>rg:None</v>
      </c>
    </row>
    <row r="300" spans="1:25" x14ac:dyDescent="0.3">
      <c r="A300" s="3" t="s">
        <v>57</v>
      </c>
      <c r="B300" s="3" t="s">
        <v>8</v>
      </c>
      <c r="C300" s="3"/>
      <c r="D300" s="3" t="s">
        <v>58</v>
      </c>
      <c r="E300" s="60"/>
      <c r="F300" s="3" t="s">
        <v>59</v>
      </c>
      <c r="G300" s="4"/>
      <c r="H300" s="4"/>
      <c r="I300" s="5" t="str">
        <f t="shared" si="20"/>
        <v>Defs</v>
      </c>
      <c r="J300" t="str">
        <f>IF(Table2[[#This Row],[!Type]]=J$1, J$1,"rg:None")</f>
        <v>rg:None</v>
      </c>
      <c r="K300" t="str">
        <f>IF(Table2[[#This Row],[!Type]]=K$1, K$1,"rg:None")</f>
        <v>rg:None</v>
      </c>
      <c r="L300" t="str">
        <f>IF(Table2[[#This Row],[!Type]]=L$1, L$1,"rg:None")</f>
        <v>rg:None</v>
      </c>
      <c r="M300"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permission</v>
      </c>
      <c r="V300" s="8" t="str">
        <f>IF(LEN(Table2[[#This Row],[!Description]]) &gt; 0, Table2[[#This Row],[!Description]], "rg:None")</f>
        <v>rg:None</v>
      </c>
      <c r="W300" s="8" t="str">
        <f>IF(LEN(Table2[[#This Row],[!FK]])&gt;0,Table2[[#This Row],[!FK]],"rg:None")</f>
        <v>Permission</v>
      </c>
      <c r="X300" s="8" t="str">
        <f>IF(LEN(concatif2(A:A,Table2[[#This Row],[!Table]],G:G,"Y",D:D,",")) &gt; 0,"rg:[ { 'req' : '"&amp;concatif2(A:A,Table2[[#This Row],[!Table]],G:G,"Y",D:D,"' }, { 'req': '")&amp;"'} ]","rg:[]")</f>
        <v>rg:[ { 'req' : 'id'} ]</v>
      </c>
      <c r="Y300" s="8" t="str">
        <f>IF(LEN(Table2[[#This Row],[!Unique]])&gt;0,"rg:True","rg:None")</f>
        <v>rg:None</v>
      </c>
    </row>
    <row r="301" spans="1:25" ht="72" x14ac:dyDescent="0.3">
      <c r="A301" s="3" t="s">
        <v>59</v>
      </c>
      <c r="B301" s="3" t="s">
        <v>4</v>
      </c>
      <c r="C301" s="3"/>
      <c r="D301" s="3" t="s">
        <v>59</v>
      </c>
      <c r="E301" s="84" t="s">
        <v>420</v>
      </c>
      <c r="F301" s="3" t="s">
        <v>5</v>
      </c>
      <c r="G301" s="4"/>
      <c r="H301" s="4"/>
      <c r="I301" s="5" t="str">
        <f t="shared" si="20"/>
        <v>Defs</v>
      </c>
      <c r="J301" t="str">
        <f>IF(Table2[[#This Row],[!Type]]=J$1, J$1,"rg:None")</f>
        <v>rg:None</v>
      </c>
      <c r="K301" t="str">
        <f>IF(Table2[[#This Row],[!Type]]=K$1, K$1,"rg:None")</f>
        <v>rg:None</v>
      </c>
      <c r="L301" t="str">
        <f>IF(Table2[[#This Row],[!Type]]=L$1, L$1,"rg:None")</f>
        <v>rg:None</v>
      </c>
      <c r="M301"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8" t="str">
        <f>IF(LEN(Table2[[#This Row],[!Length]]) &gt; 0, Table2[[#This Row],[!Length]], "rg:None")</f>
        <v>rg:None</v>
      </c>
      <c r="U301" s="8" t="str">
        <f>IF(LEN(Table2[[#This Row],[!Name]]) &gt; 0, Table2[[#This Row],[!Name]], "rg:None")</f>
        <v>Permission</v>
      </c>
      <c r="V301"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01" s="8" t="str">
        <f>IF(LEN(Table2[[#This Row],[!FK]])&gt;0,Table2[[#This Row],[!FK]],"rg:None")</f>
        <v>rg:None</v>
      </c>
      <c r="X301" s="8" t="str">
        <f>IF(LEN(concatif2(A:A,Table2[[#This Row],[!Table]],G:G,"Y",D:D,",")) &gt; 0,"rg:[ { 'req' : '"&amp;concatif2(A:A,Table2[[#This Row],[!Table]],G:G,"Y",D:D,"' }, { 'req': '")&amp;"'} ]","rg:[]")</f>
        <v>rg:[ { 'req' : 'id' }, { 'req': 'code' }, { 'req': 'name' }, { 'req': 'description'} ]</v>
      </c>
      <c r="Y301" s="8" t="str">
        <f>IF(LEN(Table2[[#This Row],[!Unique]])&gt;0,"rg:True","rg:None")</f>
        <v>rg:None</v>
      </c>
    </row>
    <row r="302" spans="1:25" x14ac:dyDescent="0.3">
      <c r="A302" s="3" t="s">
        <v>59</v>
      </c>
      <c r="B302" s="3" t="s">
        <v>6</v>
      </c>
      <c r="C302" s="3"/>
      <c r="D302" s="3" t="s">
        <v>6</v>
      </c>
      <c r="E302" s="60" t="s">
        <v>377</v>
      </c>
      <c r="F302" s="3" t="s">
        <v>5</v>
      </c>
      <c r="G302" s="4" t="s">
        <v>64</v>
      </c>
      <c r="H302" s="4"/>
      <c r="I302" s="5" t="str">
        <f t="shared" si="20"/>
        <v>Defs</v>
      </c>
      <c r="J302" t="str">
        <f>IF(Table2[[#This Row],[!Type]]=J$1, J$1,"rg:None")</f>
        <v>rg:None</v>
      </c>
      <c r="K302" t="str">
        <f>IF(Table2[[#This Row],[!Type]]=K$1, K$1,"rg:None")</f>
        <v>rg:None</v>
      </c>
      <c r="L302" t="str">
        <f>IF(Table2[[#This Row],[!Type]]=L$1, L$1,"rg:None")</f>
        <v>rg:None</v>
      </c>
      <c r="M302" t="str">
        <f>IF(Table2[[#This Row],[!Type]]=M$1, M$1,"rg:None")</f>
        <v>id</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id</v>
      </c>
      <c r="V302" s="8" t="str">
        <f>IF(LEN(Table2[[#This Row],[!Description]]) &gt; 0, Table2[[#This Row],[!Description]], "rg:None")</f>
        <v>A system-generated unique identifier for a Permission</v>
      </c>
      <c r="W302" s="8" t="str">
        <f>IF(LEN(Table2[[#This Row],[!FK]])&gt;0,Table2[[#This Row],[!FK]],"rg:None")</f>
        <v>rg:None</v>
      </c>
      <c r="X302" s="8" t="str">
        <f>IF(LEN(concatif2(A:A,Table2[[#This Row],[!Table]],G:G,"Y",D:D,",")) &gt; 0,"rg:[ { 'req' : '"&amp;concatif2(A:A,Table2[[#This Row],[!Table]],G:G,"Y",D:D,"' }, { 'req': '")&amp;"'} ]","rg:[]")</f>
        <v>rg:[ { 'req' : 'id' }, { 'req': 'code' }, { 'req': 'name' }, { 'req': 'description'} ]</v>
      </c>
      <c r="Y302" s="8" t="str">
        <f>IF(LEN(Table2[[#This Row],[!Unique]])&gt;0,"rg:True","rg:None")</f>
        <v>rg:None</v>
      </c>
    </row>
    <row r="303" spans="1:25" x14ac:dyDescent="0.3">
      <c r="A303" s="3" t="s">
        <v>59</v>
      </c>
      <c r="B303" s="3" t="s">
        <v>7</v>
      </c>
      <c r="C303" s="3">
        <v>50</v>
      </c>
      <c r="D303" s="3" t="s">
        <v>60</v>
      </c>
      <c r="E303" s="60" t="s">
        <v>378</v>
      </c>
      <c r="F303" s="3" t="s">
        <v>5</v>
      </c>
      <c r="G303" s="4" t="s">
        <v>64</v>
      </c>
      <c r="H303" s="4"/>
      <c r="I303" s="5" t="str">
        <f t="shared" si="20"/>
        <v>Defs</v>
      </c>
      <c r="J303" t="str">
        <f>IF(Table2[[#This Row],[!Type]]=J$1, J$1,"rg:None")</f>
        <v>rg:None</v>
      </c>
      <c r="K303" t="str">
        <f>IF(Table2[[#This Row],[!Type]]=K$1, K$1,"rg:None")</f>
        <v>rg:None</v>
      </c>
      <c r="L303" t="str">
        <f>IF(Table2[[#This Row],[!Type]]=L$1, L$1,"rg:None")</f>
        <v>rg:None</v>
      </c>
      <c r="M303"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50</v>
      </c>
      <c r="U303" s="8" t="str">
        <f>IF(LEN(Table2[[#This Row],[!Name]]) &gt; 0, Table2[[#This Row],[!Name]], "rg:None")</f>
        <v>code</v>
      </c>
      <c r="V303" s="8" t="str">
        <f>IF(LEN(Table2[[#This Row],[!Description]]) &gt; 0, Table2[[#This Row],[!Description]], "rg:None")</f>
        <v>The name of the permission referenced in the software of the application.</v>
      </c>
      <c r="W303" s="8" t="str">
        <f>IF(LEN(Table2[[#This Row],[!FK]])&gt;0,Table2[[#This Row],[!FK]],"rg:None")</f>
        <v>rg:None</v>
      </c>
      <c r="X303" s="8" t="str">
        <f>IF(LEN(concatif2(A:A,Table2[[#This Row],[!Table]],G:G,"Y",D:D,",")) &gt; 0,"rg:[ { 'req' : '"&amp;concatif2(A:A,Table2[[#This Row],[!Table]],G:G,"Y",D:D,"' }, { 'req': '")&amp;"'} ]","rg:[]")</f>
        <v>rg:[ { 'req' : 'id' }, { 'req': 'code' }, { 'req': 'name' }, { 'req': 'description'} ]</v>
      </c>
      <c r="Y303" s="8" t="str">
        <f>IF(LEN(Table2[[#This Row],[!Unique]])&gt;0,"rg:True","rg:None")</f>
        <v>rg:None</v>
      </c>
    </row>
    <row r="304" spans="1:25" ht="28.8" x14ac:dyDescent="0.3">
      <c r="A304" s="3" t="s">
        <v>59</v>
      </c>
      <c r="B304" s="3" t="s">
        <v>7</v>
      </c>
      <c r="C304" s="3">
        <v>150</v>
      </c>
      <c r="D304" s="3" t="s">
        <v>15</v>
      </c>
      <c r="E304" s="60" t="s">
        <v>379</v>
      </c>
      <c r="F304" s="3" t="s">
        <v>5</v>
      </c>
      <c r="G304" s="4" t="s">
        <v>64</v>
      </c>
      <c r="H304" s="4"/>
      <c r="I304" s="5" t="str">
        <f t="shared" si="20"/>
        <v>Defs</v>
      </c>
      <c r="J304" t="str">
        <f>IF(Table2[[#This Row],[!Type]]=J$1, J$1,"rg:None")</f>
        <v>rg:None</v>
      </c>
      <c r="K304" t="str">
        <f>IF(Table2[[#This Row],[!Type]]=K$1, K$1,"rg:None")</f>
        <v>rg:None</v>
      </c>
      <c r="L304" t="str">
        <f>IF(Table2[[#This Row],[!Type]]=L$1, L$1,"rg:None")</f>
        <v>rg:None</v>
      </c>
      <c r="M304"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150</v>
      </c>
      <c r="U304" s="8" t="str">
        <f>IF(LEN(Table2[[#This Row],[!Name]]) &gt; 0, Table2[[#This Row],[!Name]], "rg:None")</f>
        <v>name</v>
      </c>
      <c r="V304" s="8" t="str">
        <f>IF(LEN(Table2[[#This Row],[!Description]]) &gt; 0, Table2[[#This Row],[!Description]], "rg:None")</f>
        <v>The 'user friendly' name of the permission exposed to the user selecting the permissions to be included in a Role.</v>
      </c>
      <c r="W304" s="8" t="str">
        <f>IF(LEN(Table2[[#This Row],[!FK]])&gt;0,Table2[[#This Row],[!FK]],"rg:None")</f>
        <v>rg:None</v>
      </c>
      <c r="X304" s="8" t="str">
        <f>IF(LEN(concatif2(A:A,Table2[[#This Row],[!Table]],G:G,"Y",D:D,",")) &gt; 0,"rg:[ { 'req' : '"&amp;concatif2(A:A,Table2[[#This Row],[!Table]],G:G,"Y",D:D,"' }, { 'req': '")&amp;"'} ]","rg:[]")</f>
        <v>rg:[ { 'req' : 'id' }, { 'req': 'code' }, { 'req': 'name' }, { 'req': 'description'} ]</v>
      </c>
      <c r="Y304" s="8" t="str">
        <f>IF(LEN(Table2[[#This Row],[!Unique]])&gt;0,"rg:True","rg:None")</f>
        <v>rg:None</v>
      </c>
    </row>
    <row r="305" spans="1:25" ht="28.8" x14ac:dyDescent="0.3">
      <c r="A305" s="3" t="s">
        <v>59</v>
      </c>
      <c r="B305" s="3" t="s">
        <v>7</v>
      </c>
      <c r="C305" s="3">
        <v>2048</v>
      </c>
      <c r="D305" s="3" t="s">
        <v>14</v>
      </c>
      <c r="E305" s="60" t="s">
        <v>380</v>
      </c>
      <c r="F305" s="3" t="s">
        <v>5</v>
      </c>
      <c r="G305" s="4" t="s">
        <v>64</v>
      </c>
      <c r="H305" s="4"/>
      <c r="I305" s="5" t="str">
        <f t="shared" si="20"/>
        <v>Defs</v>
      </c>
      <c r="J305" t="str">
        <f>IF(Table2[[#This Row],[!Type]]=J$1, J$1,"rg:None")</f>
        <v>rg:None</v>
      </c>
      <c r="K305" t="str">
        <f>IF(Table2[[#This Row],[!Type]]=K$1, K$1,"rg:None")</f>
        <v>rg:None</v>
      </c>
      <c r="L305" t="str">
        <f>IF(Table2[[#This Row],[!Type]]=L$1, L$1,"rg:None")</f>
        <v>rg:None</v>
      </c>
      <c r="M305"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2048</v>
      </c>
      <c r="U305" s="8" t="str">
        <f>IF(LEN(Table2[[#This Row],[!Name]]) &gt; 0, Table2[[#This Row],[!Name]], "rg:None")</f>
        <v>description</v>
      </c>
      <c r="V305" s="8" t="str">
        <f>IF(LEN(Table2[[#This Row],[!Description]]) &gt; 0, Table2[[#This Row],[!Description]], "rg:None")</f>
        <v>A description of the purpose of the permission and exposed to the user selecting the permissions to be included in a Role.</v>
      </c>
      <c r="W305" s="8" t="str">
        <f>IF(LEN(Table2[[#This Row],[!FK]])&gt;0,Table2[[#This Row],[!FK]],"rg:None")</f>
        <v>rg:None</v>
      </c>
      <c r="X305" s="8" t="str">
        <f>IF(LEN(concatif2(A:A,Table2[[#This Row],[!Table]],G:G,"Y",D:D,",")) &gt; 0,"rg:[ { 'req' : '"&amp;concatif2(A:A,Table2[[#This Row],[!Table]],G:G,"Y",D:D,"' }, { 'req': '")&amp;"'} ]","rg:[]")</f>
        <v>rg:[ { 'req' : 'id' }, { 'req': 'code' }, { 'req': 'name' }, { 'req': 'description'} ]</v>
      </c>
      <c r="Y305" s="8" t="str">
        <f>IF(LEN(Table2[[#This Row],[!Unique]])&gt;0,"rg:True","rg:None")</f>
        <v>rg:None</v>
      </c>
    </row>
    <row r="306" spans="1:25" x14ac:dyDescent="0.3">
      <c r="A306" s="3" t="s">
        <v>61</v>
      </c>
      <c r="B306" s="3" t="s">
        <v>4</v>
      </c>
      <c r="C306" s="3"/>
      <c r="D306" s="3" t="s">
        <v>61</v>
      </c>
      <c r="E306" s="60" t="s">
        <v>381</v>
      </c>
      <c r="F306" s="3" t="s">
        <v>5</v>
      </c>
      <c r="G306" s="4"/>
      <c r="H306" s="4"/>
      <c r="I306" s="5" t="str">
        <f t="shared" si="20"/>
        <v>Defs</v>
      </c>
      <c r="J306" t="str">
        <f>IF(Table2[[#This Row],[!Type]]=J$1, J$1,"rg:None")</f>
        <v>rg:None</v>
      </c>
      <c r="K306" t="str">
        <f>IF(Table2[[#This Row],[!Type]]=K$1, K$1,"rg:None")</f>
        <v>rg:None</v>
      </c>
      <c r="L306" t="str">
        <f>IF(Table2[[#This Row],[!Type]]=L$1, L$1,"rg:None")</f>
        <v>rg:None</v>
      </c>
      <c r="M306"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table</v>
      </c>
      <c r="T306" s="8" t="str">
        <f>IF(LEN(Table2[[#This Row],[!Length]]) &gt; 0, Table2[[#This Row],[!Length]], "rg:None")</f>
        <v>rg:None</v>
      </c>
      <c r="U306" s="8" t="str">
        <f>IF(LEN(Table2[[#This Row],[!Name]]) &gt; 0, Table2[[#This Row],[!Name]], "rg:None")</f>
        <v>GroupMembership</v>
      </c>
      <c r="V306" s="8" t="str">
        <f>IF(LEN(Table2[[#This Row],[!Description]]) &gt; 0, Table2[[#This Row],[!Description]], "rg:None")</f>
        <v>The users associated with a given group that has been defined in the application.</v>
      </c>
      <c r="W306" s="8" t="str">
        <f>IF(LEN(Table2[[#This Row],[!FK]])&gt;0,Table2[[#This Row],[!FK]],"rg:None")</f>
        <v>rg:None</v>
      </c>
      <c r="X306" s="8" t="str">
        <f>IF(LEN(concatif2(A:A,Table2[[#This Row],[!Table]],G:G,"Y",D:D,",")) &gt; 0,"rg:[ { 'req' : '"&amp;concatif2(A:A,Table2[[#This Row],[!Table]],G:G,"Y",D:D,"' }, { 'req': '")&amp;"'} ]","rg:[]")</f>
        <v>rg:[ { 'req' : 'id' }, { 'req': 'active'} ]</v>
      </c>
      <c r="Y306" s="8" t="str">
        <f>IF(LEN(Table2[[#This Row],[!Unique]])&gt;0,"rg:True","rg:None")</f>
        <v>rg:None</v>
      </c>
    </row>
    <row r="307" spans="1:25" x14ac:dyDescent="0.3">
      <c r="A307" s="3" t="s">
        <v>61</v>
      </c>
      <c r="B307" s="3" t="s">
        <v>6</v>
      </c>
      <c r="C307" s="3"/>
      <c r="D307" s="3" t="s">
        <v>6</v>
      </c>
      <c r="E307" s="60" t="s">
        <v>382</v>
      </c>
      <c r="F307" s="3" t="s">
        <v>5</v>
      </c>
      <c r="G307" s="4" t="s">
        <v>64</v>
      </c>
      <c r="H307" s="4"/>
      <c r="I307" s="5" t="str">
        <f t="shared" si="20"/>
        <v>Defs</v>
      </c>
      <c r="J307" t="str">
        <f>IF(Table2[[#This Row],[!Type]]=J$1, J$1,"rg:None")</f>
        <v>rg:None</v>
      </c>
      <c r="K307" t="str">
        <f>IF(Table2[[#This Row],[!Type]]=K$1, K$1,"rg:None")</f>
        <v>rg:None</v>
      </c>
      <c r="L307" t="str">
        <f>IF(Table2[[#This Row],[!Type]]=L$1, L$1,"rg:None")</f>
        <v>rg:None</v>
      </c>
      <c r="M307" t="str">
        <f>IF(Table2[[#This Row],[!Type]]=M$1, M$1,"rg:None")</f>
        <v>id</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id</v>
      </c>
      <c r="V307" s="8" t="str">
        <f>IF(LEN(Table2[[#This Row],[!Description]]) &gt; 0, Table2[[#This Row],[!Description]], "rg:None")</f>
        <v>A system-generated unique identifier for a GroupMembership</v>
      </c>
      <c r="W307" s="8" t="str">
        <f>IF(LEN(Table2[[#This Row],[!FK]])&gt;0,Table2[[#This Row],[!FK]],"rg:None")</f>
        <v>rg:None</v>
      </c>
      <c r="X307" s="8" t="str">
        <f>IF(LEN(concatif2(A:A,Table2[[#This Row],[!Table]],G:G,"Y",D:D,",")) &gt; 0,"rg:[ { 'req' : '"&amp;concatif2(A:A,Table2[[#This Row],[!Table]],G:G,"Y",D:D,"' }, { 'req': '")&amp;"'} ]","rg:[]")</f>
        <v>rg:[ { 'req' : 'id' }, { 'req': 'active'} ]</v>
      </c>
      <c r="Y307" s="8" t="str">
        <f>IF(LEN(Table2[[#This Row],[!Unique]])&gt;0,"rg:True","rg:None")</f>
        <v>rg:None</v>
      </c>
    </row>
    <row r="308" spans="1:25" ht="28.8" x14ac:dyDescent="0.3">
      <c r="A308" s="3" t="s">
        <v>61</v>
      </c>
      <c r="B308" s="3" t="s">
        <v>9</v>
      </c>
      <c r="C308" s="3"/>
      <c r="D308" s="3" t="s">
        <v>43</v>
      </c>
      <c r="E308" s="60" t="s">
        <v>383</v>
      </c>
      <c r="F308" s="3" t="s">
        <v>5</v>
      </c>
      <c r="G308" s="4" t="s">
        <v>64</v>
      </c>
      <c r="H308" s="4"/>
      <c r="I308" s="5" t="str">
        <f t="shared" si="20"/>
        <v>Defs</v>
      </c>
      <c r="J308" t="str">
        <f>IF(Table2[[#This Row],[!Type]]=J$1, J$1,"rg:None")</f>
        <v>boolean</v>
      </c>
      <c r="K308" t="str">
        <f>IF(Table2[[#This Row],[!Type]]=K$1, K$1,"rg:None")</f>
        <v>rg:None</v>
      </c>
      <c r="L308" t="str">
        <f>IF(Table2[[#This Row],[!Type]]=L$1, L$1,"rg:None")</f>
        <v>rg:None</v>
      </c>
      <c r="M30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active</v>
      </c>
      <c r="V308" s="8" t="str">
        <f>IF(LEN(Table2[[#This Row],[!Description]]) &gt; 0, Table2[[#This Row],[!Description]], "rg:None")</f>
        <v>A flag indicating the User is active in the group. Set false to remove the user from the designated group.</v>
      </c>
      <c r="W308" s="8" t="str">
        <f>IF(LEN(Table2[[#This Row],[!FK]])&gt;0,Table2[[#This Row],[!FK]],"rg:None")</f>
        <v>rg:None</v>
      </c>
      <c r="X308" s="8" t="str">
        <f>IF(LEN(concatif2(A:A,Table2[[#This Row],[!Table]],G:G,"Y",D:D,",")) &gt; 0,"rg:[ { 'req' : '"&amp;concatif2(A:A,Table2[[#This Row],[!Table]],G:G,"Y",D:D,"' }, { 'req': '")&amp;"'} ]","rg:[]")</f>
        <v>rg:[ { 'req' : 'id' }, { 'req': 'active'} ]</v>
      </c>
      <c r="Y308" s="8" t="str">
        <f>IF(LEN(Table2[[#This Row],[!Unique]])&gt;0,"rg:True","rg:None")</f>
        <v>rg:None</v>
      </c>
    </row>
    <row r="309" spans="1:25" x14ac:dyDescent="0.3">
      <c r="A309" s="3" t="s">
        <v>61</v>
      </c>
      <c r="B309" s="3" t="s">
        <v>8</v>
      </c>
      <c r="C309" s="3"/>
      <c r="D309" s="3" t="s">
        <v>62</v>
      </c>
      <c r="E309" s="60"/>
      <c r="F309" s="3" t="s">
        <v>63</v>
      </c>
      <c r="G309" s="4"/>
      <c r="H309" s="4"/>
      <c r="I309" s="5" t="str">
        <f t="shared" si="20"/>
        <v>Defs</v>
      </c>
      <c r="J309" t="str">
        <f>IF(Table2[[#This Row],[!Type]]=J$1, J$1,"rg:None")</f>
        <v>rg:None</v>
      </c>
      <c r="K309" t="str">
        <f>IF(Table2[[#This Row],[!Type]]=K$1, K$1,"rg:None")</f>
        <v>rg:None</v>
      </c>
      <c r="L309" t="str">
        <f>IF(Table2[[#This Row],[!Type]]=L$1, L$1,"rg:None")</f>
        <v>rg:None</v>
      </c>
      <c r="M309"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ref</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group</v>
      </c>
      <c r="V309" s="8" t="str">
        <f>IF(LEN(Table2[[#This Row],[!Description]]) &gt; 0, Table2[[#This Row],[!Description]], "rg:None")</f>
        <v>rg:None</v>
      </c>
      <c r="W309" s="8" t="str">
        <f>IF(LEN(Table2[[#This Row],[!FK]])&gt;0,Table2[[#This Row],[!FK]],"rg:None")</f>
        <v>Group</v>
      </c>
      <c r="X309" s="8" t="str">
        <f>IF(LEN(concatif2(A:A,Table2[[#This Row],[!Table]],G:G,"Y",D:D,",")) &gt; 0,"rg:[ { 'req' : '"&amp;concatif2(A:A,Table2[[#This Row],[!Table]],G:G,"Y",D:D,"' }, { 'req': '")&amp;"'} ]","rg:[]")</f>
        <v>rg:[ { 'req' : 'id' }, { 'req': 'active'} ]</v>
      </c>
      <c r="Y309" s="8" t="str">
        <f>IF(LEN(Table2[[#This Row],[!Unique]])&gt;0,"rg:True","rg:None")</f>
        <v>rg:None</v>
      </c>
    </row>
    <row r="310" spans="1:25" x14ac:dyDescent="0.3">
      <c r="A310" s="3" t="s">
        <v>61</v>
      </c>
      <c r="B310" s="3" t="s">
        <v>8</v>
      </c>
      <c r="C310" s="3"/>
      <c r="D310" s="3" t="s">
        <v>42</v>
      </c>
      <c r="E310" s="60"/>
      <c r="F310" s="3" t="s">
        <v>0</v>
      </c>
      <c r="G310" s="4"/>
      <c r="H310" s="4"/>
      <c r="I310" s="5" t="str">
        <f t="shared" si="20"/>
        <v>Defs</v>
      </c>
      <c r="J310" t="str">
        <f>IF(Table2[[#This Row],[!Type]]=J$1, J$1,"rg:None")</f>
        <v>rg:None</v>
      </c>
      <c r="K310" t="str">
        <f>IF(Table2[[#This Row],[!Type]]=K$1, K$1,"rg:None")</f>
        <v>rg:None</v>
      </c>
      <c r="L310" t="str">
        <f>IF(Table2[[#This Row],[!Type]]=L$1, L$1,"rg:None")</f>
        <v>rg:None</v>
      </c>
      <c r="M310"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ref</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user</v>
      </c>
      <c r="V310" s="8" t="str">
        <f>IF(LEN(Table2[[#This Row],[!Description]]) &gt; 0, Table2[[#This Row],[!Description]], "rg:None")</f>
        <v>rg:None</v>
      </c>
      <c r="W310" s="8" t="str">
        <f>IF(LEN(Table2[[#This Row],[!FK]])&gt;0,Table2[[#This Row],[!FK]],"rg:None")</f>
        <v>User</v>
      </c>
      <c r="X310" s="8" t="str">
        <f>IF(LEN(concatif2(A:A,Table2[[#This Row],[!Table]],G:G,"Y",D:D,",")) &gt; 0,"rg:[ { 'req' : '"&amp;concatif2(A:A,Table2[[#This Row],[!Table]],G:G,"Y",D:D,"' }, { 'req': '")&amp;"'} ]","rg:[]")</f>
        <v>rg:[ { 'req' : 'id' }, { 'req': 'active'} ]</v>
      </c>
      <c r="Y310" s="8" t="str">
        <f>IF(LEN(Table2[[#This Row],[!Unique]])&gt;0,"rg:True","rg:None")</f>
        <v>rg:None</v>
      </c>
    </row>
    <row r="311" spans="1:25" ht="43.2" x14ac:dyDescent="0.3">
      <c r="A311" s="3" t="s">
        <v>63</v>
      </c>
      <c r="B311" s="3" t="s">
        <v>4</v>
      </c>
      <c r="C311" s="3"/>
      <c r="D311" s="3" t="s">
        <v>63</v>
      </c>
      <c r="E311" s="84" t="s">
        <v>421</v>
      </c>
      <c r="F311" s="3" t="s">
        <v>5</v>
      </c>
      <c r="G311" s="4"/>
      <c r="H311" s="4"/>
      <c r="I311" s="5" t="str">
        <f t="shared" si="20"/>
        <v>Defs</v>
      </c>
      <c r="J311" t="str">
        <f>IF(Table2[[#This Row],[!Type]]=J$1, J$1,"rg:None")</f>
        <v>rg:None</v>
      </c>
      <c r="K311" t="str">
        <f>IF(Table2[[#This Row],[!Type]]=K$1, K$1,"rg:None")</f>
        <v>rg:None</v>
      </c>
      <c r="L311" t="str">
        <f>IF(Table2[[#This Row],[!Type]]=L$1, L$1,"rg:None")</f>
        <v>rg:None</v>
      </c>
      <c r="M311"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table</v>
      </c>
      <c r="T311" s="8" t="str">
        <f>IF(LEN(Table2[[#This Row],[!Length]]) &gt; 0, Table2[[#This Row],[!Length]], "rg:None")</f>
        <v>rg:None</v>
      </c>
      <c r="U311" s="8" t="str">
        <f>IF(LEN(Table2[[#This Row],[!Name]]) &gt; 0, Table2[[#This Row],[!Name]], "rg:None")</f>
        <v>Group</v>
      </c>
      <c r="V31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
      <c r="A312" s="3" t="s">
        <v>63</v>
      </c>
      <c r="B312" s="3" t="s">
        <v>6</v>
      </c>
      <c r="C312" s="3"/>
      <c r="D312" s="3" t="s">
        <v>6</v>
      </c>
      <c r="E312" s="60" t="s">
        <v>384</v>
      </c>
      <c r="F312" s="3" t="s">
        <v>5</v>
      </c>
      <c r="G312" s="4" t="s">
        <v>64</v>
      </c>
      <c r="H312" s="4"/>
      <c r="I312" s="5" t="str">
        <f t="shared" si="20"/>
        <v>Defs</v>
      </c>
      <c r="J312" t="str">
        <f>IF(Table2[[#This Row],[!Type]]=J$1, J$1,"rg:None")</f>
        <v>rg:None</v>
      </c>
      <c r="K312" t="str">
        <f>IF(Table2[[#This Row],[!Type]]=K$1, K$1,"rg:None")</f>
        <v>rg:None</v>
      </c>
      <c r="L312" t="str">
        <f>IF(Table2[[#This Row],[!Type]]=L$1, L$1,"rg:None")</f>
        <v>rg:None</v>
      </c>
      <c r="M312" t="str">
        <f>IF(Table2[[#This Row],[!Type]]=M$1, M$1,"rg:None")</f>
        <v>id</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id</v>
      </c>
      <c r="V312" s="8" t="str">
        <f>IF(LEN(Table2[[#This Row],[!Description]]) &gt; 0, Table2[[#This Row],[!Description]], "rg:None")</f>
        <v>A system-generated unique identifier for a Group</v>
      </c>
      <c r="W312" s="8" t="str">
        <f>IF(LEN(Table2[[#This Row],[!FK]])&gt;0,Table2[[#This Row],[!FK]],"rg:None")</f>
        <v>rg:None</v>
      </c>
      <c r="X312" s="8" t="str">
        <f>IF(LEN(concatif2(A:A,Table2[[#This Row],[!Table]],G:G,"Y",D:D,",")) &gt; 0,"rg:[ { 'req' : '"&amp;concatif2(A:A,Table2[[#This Row],[!Table]],G:G,"Y",D:D,"' }, { 'req': '")&amp;"'} ]","rg:[]")</f>
        <v>rg:[ { 'req' : 'id' }, { 'req': 'name' }, { 'req': 'description'} ]</v>
      </c>
      <c r="Y312" s="8" t="str">
        <f>IF(LEN(Table2[[#This Row],[!Unique]])&gt;0,"rg:True","rg:None")</f>
        <v>rg:None</v>
      </c>
    </row>
    <row r="313" spans="1:25" x14ac:dyDescent="0.3">
      <c r="A313" s="3" t="s">
        <v>63</v>
      </c>
      <c r="B313" s="3" t="s">
        <v>7</v>
      </c>
      <c r="C313" s="3">
        <v>150</v>
      </c>
      <c r="D313" s="3" t="s">
        <v>15</v>
      </c>
      <c r="E313" s="60" t="s">
        <v>385</v>
      </c>
      <c r="F313" s="3" t="s">
        <v>5</v>
      </c>
      <c r="G313" s="4" t="s">
        <v>64</v>
      </c>
      <c r="H313" s="4"/>
      <c r="I313" s="5" t="str">
        <f t="shared" si="20"/>
        <v>Defs</v>
      </c>
      <c r="J313" t="str">
        <f>IF(Table2[[#This Row],[!Type]]=J$1, J$1,"rg:None")</f>
        <v>rg:None</v>
      </c>
      <c r="K313" t="str">
        <f>IF(Table2[[#This Row],[!Type]]=K$1, K$1,"rg:None")</f>
        <v>rg:None</v>
      </c>
      <c r="L313" t="str">
        <f>IF(Table2[[#This Row],[!Type]]=L$1, L$1,"rg:None")</f>
        <v>rg:None</v>
      </c>
      <c r="M313"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150</v>
      </c>
      <c r="U313" s="8" t="str">
        <f>IF(LEN(Table2[[#This Row],[!Name]]) &gt; 0, Table2[[#This Row],[!Name]], "rg:None")</f>
        <v>name</v>
      </c>
      <c r="V313" s="8" t="str">
        <f>IF(LEN(Table2[[#This Row],[!Description]]) &gt; 0, Table2[[#This Row],[!Description]], "rg:None")</f>
        <v>The name of the group, as refenced in the code.</v>
      </c>
      <c r="W313" s="8" t="str">
        <f>IF(LEN(Table2[[#This Row],[!FK]])&gt;0,Table2[[#This Row],[!FK]],"rg:None")</f>
        <v>rg:None</v>
      </c>
      <c r="X313" s="8" t="str">
        <f>IF(LEN(concatif2(A:A,Table2[[#This Row],[!Table]],G:G,"Y",D:D,",")) &gt; 0,"rg:[ { 'req' : '"&amp;concatif2(A:A,Table2[[#This Row],[!Table]],G:G,"Y",D:D,"' }, { 'req': '")&amp;"'} ]","rg:[]")</f>
        <v>rg:[ { 'req' : 'id' }, { 'req': 'name' }, { 'req': 'description'} ]</v>
      </c>
      <c r="Y313" s="8" t="str">
        <f>IF(LEN(Table2[[#This Row],[!Unique]])&gt;0,"rg:True","rg:None")</f>
        <v>rg:None</v>
      </c>
    </row>
    <row r="314" spans="1:25" ht="28.8" x14ac:dyDescent="0.3">
      <c r="A314" s="3" t="s">
        <v>63</v>
      </c>
      <c r="B314" s="3" t="s">
        <v>7</v>
      </c>
      <c r="C314" s="3">
        <v>2048</v>
      </c>
      <c r="D314" s="3" t="s">
        <v>14</v>
      </c>
      <c r="E314" s="60" t="s">
        <v>386</v>
      </c>
      <c r="F314" s="3" t="s">
        <v>5</v>
      </c>
      <c r="G314" s="4" t="s">
        <v>64</v>
      </c>
      <c r="H314" s="4"/>
      <c r="I314" s="5" t="str">
        <f t="shared" si="20"/>
        <v>Defs</v>
      </c>
      <c r="J314" t="str">
        <f>IF(Table2[[#This Row],[!Type]]=J$1, J$1,"rg:None")</f>
        <v>rg:None</v>
      </c>
      <c r="K314" t="str">
        <f>IF(Table2[[#This Row],[!Type]]=K$1, K$1,"rg:None")</f>
        <v>rg:None</v>
      </c>
      <c r="L314" t="str">
        <f>IF(Table2[[#This Row],[!Type]]=L$1, L$1,"rg:None")</f>
        <v>rg:None</v>
      </c>
      <c r="M314"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2048</v>
      </c>
      <c r="U314" s="8" t="str">
        <f>IF(LEN(Table2[[#This Row],[!Name]]) &gt; 0, Table2[[#This Row],[!Name]], "rg:None")</f>
        <v>description</v>
      </c>
      <c r="V314" s="8" t="str">
        <f>IF(LEN(Table2[[#This Row],[!Description]]) &gt; 0, Table2[[#This Row],[!Description]], "rg:None")</f>
        <v>A description of the group that is presented to the user when they are setting a user into a group.</v>
      </c>
      <c r="W314" s="8" t="str">
        <f>IF(LEN(Table2[[#This Row],[!FK]])&gt;0,Table2[[#This Row],[!FK]],"rg:None")</f>
        <v>rg:None</v>
      </c>
      <c r="X314" s="8" t="str">
        <f>IF(LEN(concatif2(A:A,Table2[[#This Row],[!Table]],G:G,"Y",D:D,",")) &gt; 0,"rg:[ { 'req' : '"&amp;concatif2(A:A,Table2[[#This Row],[!Table]],G:G,"Y",D:D,"' }, { 'req': '")&amp;"'} ]","rg:[]")</f>
        <v>rg:[ { 'req' : 'id' }, { 'req': 'name' }, { 'req': 'description'} ]</v>
      </c>
      <c r="Y314" s="8" t="str">
        <f>IF(LEN(Table2[[#This Row],[!Unique]])&gt;0,"rg:True","rg:None")</f>
        <v>rg:None</v>
      </c>
    </row>
    <row r="315" spans="1:25" x14ac:dyDescent="0.3">
      <c r="A315" s="120" t="s">
        <v>513</v>
      </c>
      <c r="B315" s="120"/>
      <c r="C315" s="119"/>
      <c r="D315" s="120"/>
      <c r="E315" s="121"/>
      <c r="F315" s="121"/>
      <c r="G315" s="120"/>
      <c r="H315" s="120"/>
      <c r="I315" s="8"/>
      <c r="J315" s="8"/>
      <c r="K315"/>
      <c r="L315" s="8"/>
      <c r="M315" s="8"/>
      <c r="N315" s="8"/>
      <c r="O315" s="8"/>
      <c r="P315" s="8"/>
      <c r="Q315" s="8"/>
      <c r="R315" s="8"/>
      <c r="S315" s="8"/>
      <c r="T315" s="8"/>
      <c r="U315" s="8"/>
      <c r="V315" s="8"/>
      <c r="W315" s="8"/>
      <c r="Y315" s="8">
        <f>SUBTOTAL(103,Table2[Unique])</f>
        <v>313</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zoomScale="130" zoomScaleNormal="130" workbookViewId="0">
      <pane ySplit="1" topLeftCell="A2"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9" t="s">
        <v>67</v>
      </c>
      <c r="H1" s="9" t="s">
        <v>77</v>
      </c>
      <c r="I1" s="9" t="s">
        <v>78</v>
      </c>
      <c r="J1" s="9" t="s">
        <v>79</v>
      </c>
      <c r="K1" s="9" t="s">
        <v>80</v>
      </c>
      <c r="L1" s="9" t="s">
        <v>81</v>
      </c>
      <c r="M1" s="9" t="s">
        <v>82</v>
      </c>
      <c r="N1" s="9" t="s">
        <v>83</v>
      </c>
      <c r="O1" s="9" t="s">
        <v>84</v>
      </c>
      <c r="P1" s="9" t="s">
        <v>73</v>
      </c>
      <c r="Q1" s="9" t="s">
        <v>74</v>
      </c>
      <c r="R1" s="9" t="s">
        <v>75</v>
      </c>
      <c r="S1" s="9" t="s">
        <v>76</v>
      </c>
      <c r="T1" s="9" t="s">
        <v>1</v>
      </c>
    </row>
    <row r="2" spans="1:20" x14ac:dyDescent="0.3">
      <c r="A2" s="7" t="s">
        <v>77</v>
      </c>
      <c r="B2" s="33" t="s">
        <v>198</v>
      </c>
      <c r="C2" s="22" t="s">
        <v>200</v>
      </c>
      <c r="D2" s="56"/>
      <c r="E2" s="12"/>
      <c r="F2" s="13"/>
      <c r="G2" s="14"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4" t="s">
        <v>79</v>
      </c>
      <c r="B3" s="54" t="s">
        <v>198</v>
      </c>
      <c r="C3" s="55" t="s">
        <v>200</v>
      </c>
      <c r="D3" s="56" t="s">
        <v>200</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2" customFormat="1" x14ac:dyDescent="0.3">
      <c r="A4" s="33" t="s">
        <v>77</v>
      </c>
      <c r="B4" s="33" t="s">
        <v>230</v>
      </c>
      <c r="C4" s="79" t="s">
        <v>202</v>
      </c>
      <c r="D4" s="56"/>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2" customFormat="1" x14ac:dyDescent="0.3">
      <c r="A5" s="54" t="s">
        <v>79</v>
      </c>
      <c r="B5" s="54" t="s">
        <v>230</v>
      </c>
      <c r="C5" s="80" t="s">
        <v>202</v>
      </c>
      <c r="D5" s="56" t="s">
        <v>202</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2" customFormat="1" x14ac:dyDescent="0.3">
      <c r="A6" s="81" t="s">
        <v>77</v>
      </c>
      <c r="B6" s="81" t="s">
        <v>212</v>
      </c>
      <c r="C6" s="82" t="s">
        <v>203</v>
      </c>
      <c r="D6" s="83"/>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2" customFormat="1" x14ac:dyDescent="0.3">
      <c r="A7" s="81" t="s">
        <v>79</v>
      </c>
      <c r="B7" s="81" t="s">
        <v>212</v>
      </c>
      <c r="C7" s="82" t="s">
        <v>203</v>
      </c>
      <c r="D7" s="83" t="s">
        <v>203</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2" customFormat="1" x14ac:dyDescent="0.3">
      <c r="A8" s="33" t="s">
        <v>77</v>
      </c>
      <c r="B8" s="35" t="s">
        <v>232</v>
      </c>
      <c r="C8" s="22" t="s">
        <v>205</v>
      </c>
      <c r="D8" s="56"/>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2" customFormat="1" x14ac:dyDescent="0.3">
      <c r="A9" s="54" t="s">
        <v>79</v>
      </c>
      <c r="B9" s="54" t="s">
        <v>232</v>
      </c>
      <c r="C9" s="55" t="s">
        <v>205</v>
      </c>
      <c r="D9" s="56" t="s">
        <v>205</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7" t="s">
        <v>77</v>
      </c>
      <c r="B10" s="33" t="s">
        <v>228</v>
      </c>
      <c r="C10" s="3" t="s">
        <v>154</v>
      </c>
      <c r="D10" s="56"/>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4" t="s">
        <v>79</v>
      </c>
      <c r="B11" s="54" t="s">
        <v>228</v>
      </c>
      <c r="C11" s="55" t="s">
        <v>154</v>
      </c>
      <c r="D11" s="56" t="s">
        <v>154</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7" t="s">
        <v>77</v>
      </c>
      <c r="B12" s="33" t="s">
        <v>229</v>
      </c>
      <c r="C12" s="3" t="s">
        <v>138</v>
      </c>
      <c r="D12" s="56"/>
      <c r="E12" s="12"/>
      <c r="F12" s="13"/>
      <c r="G12" s="14"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4" t="s">
        <v>79</v>
      </c>
      <c r="B13" s="54" t="s">
        <v>229</v>
      </c>
      <c r="C13" s="55" t="s">
        <v>138</v>
      </c>
      <c r="D13" s="56" t="s">
        <v>138</v>
      </c>
      <c r="E13" s="12"/>
      <c r="F13" s="13"/>
      <c r="G13" s="14"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7" t="s">
        <v>77</v>
      </c>
      <c r="B14" s="10" t="s">
        <v>97</v>
      </c>
      <c r="C14" s="3" t="s">
        <v>63</v>
      </c>
      <c r="D14" s="57"/>
      <c r="E14" s="3"/>
      <c r="F14" s="3"/>
      <c r="G14" s="8"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4" t="s">
        <v>79</v>
      </c>
      <c r="B15" s="54" t="s">
        <v>97</v>
      </c>
      <c r="C15" s="55" t="s">
        <v>63</v>
      </c>
      <c r="D15" s="56" t="s">
        <v>63</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7" t="s">
        <v>77</v>
      </c>
      <c r="B16" s="10" t="s">
        <v>98</v>
      </c>
      <c r="C16" s="3" t="s">
        <v>59</v>
      </c>
      <c r="D16" s="15" t="s">
        <v>108</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38" t="s">
        <v>79</v>
      </c>
      <c r="B17" s="38" t="s">
        <v>98</v>
      </c>
      <c r="C17" s="39" t="s">
        <v>59</v>
      </c>
      <c r="D17" s="40" t="s">
        <v>59</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7" t="s">
        <v>77</v>
      </c>
      <c r="B18" s="10" t="s">
        <v>99</v>
      </c>
      <c r="C18" s="3" t="s">
        <v>55</v>
      </c>
      <c r="D18" s="15"/>
      <c r="E18" s="3"/>
      <c r="F18" s="3"/>
      <c r="G18" s="8"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38" t="s">
        <v>79</v>
      </c>
      <c r="B19" s="38" t="s">
        <v>99</v>
      </c>
      <c r="C19" s="39" t="s">
        <v>55</v>
      </c>
      <c r="D19" s="40" t="s">
        <v>55</v>
      </c>
      <c r="E19" s="12"/>
      <c r="F19" s="13"/>
      <c r="G19" s="14"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0" t="s">
        <v>79</v>
      </c>
      <c r="B20" s="10" t="s">
        <v>106</v>
      </c>
      <c r="C20" s="15" t="s">
        <v>55</v>
      </c>
      <c r="D20" s="15" t="s">
        <v>57</v>
      </c>
      <c r="E20" s="3"/>
      <c r="F20" s="3"/>
      <c r="G20" s="8"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7" t="s">
        <v>77</v>
      </c>
      <c r="B21" s="10" t="s">
        <v>100</v>
      </c>
      <c r="C21" s="3" t="s">
        <v>0</v>
      </c>
      <c r="D21" s="15" t="s">
        <v>109</v>
      </c>
      <c r="E21" s="3"/>
      <c r="F21" s="3"/>
      <c r="G21" s="8"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38" t="s">
        <v>79</v>
      </c>
      <c r="B22" s="38" t="s">
        <v>100</v>
      </c>
      <c r="C22" s="39" t="s">
        <v>0</v>
      </c>
      <c r="D22" s="40" t="s">
        <v>0</v>
      </c>
      <c r="E22" s="12"/>
      <c r="F22" s="13"/>
      <c r="G22" s="14"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1" t="s">
        <v>79</v>
      </c>
      <c r="B23" s="11" t="s">
        <v>107</v>
      </c>
      <c r="C23" s="16" t="s">
        <v>0</v>
      </c>
      <c r="D23" s="15" t="s">
        <v>61</v>
      </c>
      <c r="E23" s="12"/>
      <c r="F23" s="13"/>
      <c r="G23" s="14"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0" t="s">
        <v>79</v>
      </c>
      <c r="B24" s="10" t="s">
        <v>101</v>
      </c>
      <c r="C24" s="15" t="s">
        <v>0</v>
      </c>
      <c r="D24" s="15" t="s">
        <v>52</v>
      </c>
      <c r="E24" s="3"/>
      <c r="F24" s="3"/>
      <c r="G24" s="8"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7" t="s">
        <v>77</v>
      </c>
      <c r="B25" s="10" t="s">
        <v>102</v>
      </c>
      <c r="C25" s="3" t="s">
        <v>30</v>
      </c>
      <c r="D25" s="57"/>
      <c r="E25" s="3"/>
      <c r="F25" s="3"/>
      <c r="G25" s="8"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4" t="s">
        <v>79</v>
      </c>
      <c r="B26" s="54" t="s">
        <v>102</v>
      </c>
      <c r="C26" s="55" t="s">
        <v>30</v>
      </c>
      <c r="D26" s="56" t="s">
        <v>30</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7" t="s">
        <v>77</v>
      </c>
      <c r="B27" s="10" t="s">
        <v>103</v>
      </c>
      <c r="C27" s="3" t="s">
        <v>34</v>
      </c>
      <c r="D27" s="57"/>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4" t="s">
        <v>79</v>
      </c>
      <c r="B28" s="54" t="s">
        <v>103</v>
      </c>
      <c r="C28" s="55" t="s">
        <v>34</v>
      </c>
      <c r="D28" s="56" t="s">
        <v>34</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7" t="s">
        <v>77</v>
      </c>
      <c r="B29" s="10" t="s">
        <v>104</v>
      </c>
      <c r="C29" s="3" t="s">
        <v>10</v>
      </c>
      <c r="D29" s="57"/>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4" t="s">
        <v>79</v>
      </c>
      <c r="B30" s="54" t="s">
        <v>104</v>
      </c>
      <c r="C30" s="55" t="s">
        <v>10</v>
      </c>
      <c r="D30" s="56" t="s">
        <v>10</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7" t="s">
        <v>77</v>
      </c>
      <c r="B31" s="10" t="s">
        <v>105</v>
      </c>
      <c r="C31" s="3" t="s">
        <v>11</v>
      </c>
      <c r="D31" s="57"/>
      <c r="E31" s="3"/>
      <c r="F31" s="3"/>
      <c r="G31" s="8"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4" t="s">
        <v>79</v>
      </c>
      <c r="B32" s="54" t="s">
        <v>105</v>
      </c>
      <c r="C32" s="55" t="s">
        <v>11</v>
      </c>
      <c r="D32" s="56" t="s">
        <v>11</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3" t="s">
        <v>77</v>
      </c>
      <c r="B33" s="33" t="s">
        <v>231</v>
      </c>
      <c r="C33" s="34" t="s">
        <v>160</v>
      </c>
      <c r="D33" s="5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4" t="s">
        <v>79</v>
      </c>
      <c r="B34" s="54" t="s">
        <v>231</v>
      </c>
      <c r="C34" s="55" t="s">
        <v>160</v>
      </c>
      <c r="D34" s="56" t="s">
        <v>160</v>
      </c>
      <c r="E34" s="12"/>
      <c r="F34" s="13"/>
      <c r="G34" s="14"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2" t="s">
        <v>77</v>
      </c>
      <c r="B35" s="42" t="s">
        <v>196</v>
      </c>
      <c r="C35" s="18" t="s">
        <v>185</v>
      </c>
      <c r="D35" s="43"/>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2" t="s">
        <v>79</v>
      </c>
      <c r="B36" s="42" t="s">
        <v>196</v>
      </c>
      <c r="C36" s="18" t="s">
        <v>185</v>
      </c>
      <c r="D36" s="43" t="s">
        <v>185</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2" t="s">
        <v>77</v>
      </c>
      <c r="B37" s="42" t="s">
        <v>239</v>
      </c>
      <c r="C37" s="44" t="s">
        <v>111</v>
      </c>
      <c r="D37" s="43"/>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2" t="s">
        <v>79</v>
      </c>
      <c r="B38" s="42" t="s">
        <v>239</v>
      </c>
      <c r="C38" s="44" t="s">
        <v>111</v>
      </c>
      <c r="D38" s="43" t="s">
        <v>111</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2" t="s">
        <v>77</v>
      </c>
      <c r="B39" s="42" t="s">
        <v>175</v>
      </c>
      <c r="C39" s="44" t="s">
        <v>155</v>
      </c>
      <c r="D39" s="43"/>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2" t="s">
        <v>79</v>
      </c>
      <c r="B40" s="42" t="s">
        <v>175</v>
      </c>
      <c r="C40" s="44" t="s">
        <v>155</v>
      </c>
      <c r="D40" s="43" t="s">
        <v>155</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2" t="s">
        <v>77</v>
      </c>
      <c r="B41" s="42" t="s">
        <v>240</v>
      </c>
      <c r="C41" s="44" t="s">
        <v>169</v>
      </c>
      <c r="D41" s="43"/>
      <c r="E41" s="12"/>
      <c r="F41" s="13"/>
      <c r="G41" s="14"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2" t="s">
        <v>79</v>
      </c>
      <c r="B42" s="42" t="s">
        <v>240</v>
      </c>
      <c r="C42" s="44" t="s">
        <v>169</v>
      </c>
      <c r="D42" s="43" t="s">
        <v>169</v>
      </c>
      <c r="E42" s="12"/>
      <c r="F42" s="13"/>
      <c r="G42" s="14"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2" t="s">
        <v>77</v>
      </c>
      <c r="B43" s="42" t="s">
        <v>241</v>
      </c>
      <c r="C43" s="44" t="s">
        <v>186</v>
      </c>
      <c r="D43" s="43"/>
      <c r="E43" s="12"/>
      <c r="F43" s="13"/>
      <c r="G43" s="14"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2" t="s">
        <v>79</v>
      </c>
      <c r="B44" s="42" t="s">
        <v>241</v>
      </c>
      <c r="C44" s="44" t="s">
        <v>186</v>
      </c>
      <c r="D44" s="43" t="s">
        <v>186</v>
      </c>
      <c r="E44" s="12"/>
      <c r="F44" s="13"/>
      <c r="G44" s="14"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2" t="s">
        <v>77</v>
      </c>
      <c r="B45" s="42" t="s">
        <v>242</v>
      </c>
      <c r="C45" s="44" t="s">
        <v>187</v>
      </c>
      <c r="D45" s="43"/>
      <c r="E45" s="12"/>
      <c r="F45" s="13"/>
      <c r="G45" s="14"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2" t="s">
        <v>79</v>
      </c>
      <c r="B46" s="42" t="s">
        <v>242</v>
      </c>
      <c r="C46" s="44" t="s">
        <v>187</v>
      </c>
      <c r="D46" s="43" t="s">
        <v>187</v>
      </c>
      <c r="E46" s="12"/>
      <c r="F46" s="13"/>
      <c r="G46" s="14"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2017-02-17T00:31:04Z</dcterms:modified>
</cp:coreProperties>
</file>