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240" yWindow="240" windowWidth="11136" windowHeight="7296"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defs.csv!$A$1:$Y$298</definedName>
    <definedName name="_xlnm._FilterDatabase" localSheetId="1" hidden="1">paths.csv!$A$1:$F$46</definedName>
  </definedNames>
  <calcPr calcId="171027"/>
</workbook>
</file>

<file path=xl/calcChain.xml><?xml version="1.0" encoding="utf-8"?>
<calcChain xmlns="http://schemas.openxmlformats.org/spreadsheetml/2006/main">
  <c r="I27" i="27" l="1"/>
  <c r="J27" i="27"/>
  <c r="K27" i="27"/>
  <c r="L27" i="27"/>
  <c r="M27" i="27"/>
  <c r="N27" i="27"/>
  <c r="O27" i="27"/>
  <c r="P27" i="27"/>
  <c r="Q27" i="27"/>
  <c r="R27" i="27"/>
  <c r="S27" i="27"/>
  <c r="T27" i="27"/>
  <c r="U27" i="27"/>
  <c r="V27" i="27"/>
  <c r="W27" i="27"/>
  <c r="Y27" i="27"/>
  <c r="I176" i="27"/>
  <c r="J176" i="27"/>
  <c r="K176" i="27"/>
  <c r="L176" i="27"/>
  <c r="M176" i="27"/>
  <c r="N176" i="27"/>
  <c r="O176" i="27"/>
  <c r="P176" i="27"/>
  <c r="Q176" i="27"/>
  <c r="R176" i="27"/>
  <c r="S176" i="27"/>
  <c r="T176" i="27"/>
  <c r="U176" i="27"/>
  <c r="V176" i="27"/>
  <c r="W176" i="27"/>
  <c r="Y176" i="27"/>
  <c r="X176" i="27"/>
  <c r="X27" i="27"/>
  <c r="I153" i="27" l="1"/>
  <c r="J153" i="27"/>
  <c r="K153" i="27"/>
  <c r="L153" i="27"/>
  <c r="M153" i="27"/>
  <c r="N153" i="27"/>
  <c r="O153" i="27"/>
  <c r="P153" i="27"/>
  <c r="Q153" i="27"/>
  <c r="R153" i="27"/>
  <c r="S153" i="27"/>
  <c r="T153" i="27"/>
  <c r="U153" i="27"/>
  <c r="V153" i="27"/>
  <c r="W153" i="27"/>
  <c r="Y153" i="27"/>
  <c r="I250" i="27"/>
  <c r="J250" i="27"/>
  <c r="K250" i="27"/>
  <c r="L250" i="27"/>
  <c r="M250" i="27"/>
  <c r="N250" i="27"/>
  <c r="O250" i="27"/>
  <c r="P250" i="27"/>
  <c r="Q250" i="27"/>
  <c r="R250" i="27"/>
  <c r="S250" i="27"/>
  <c r="T250" i="27"/>
  <c r="U250" i="27"/>
  <c r="V250" i="27"/>
  <c r="W250" i="27"/>
  <c r="Y250" i="27"/>
  <c r="Y254" i="27"/>
  <c r="W254" i="27"/>
  <c r="V254" i="27"/>
  <c r="U254" i="27"/>
  <c r="T254" i="27"/>
  <c r="S254" i="27"/>
  <c r="R254" i="27"/>
  <c r="Q254" i="27"/>
  <c r="P254" i="27"/>
  <c r="O254" i="27"/>
  <c r="N254" i="27"/>
  <c r="M254" i="27"/>
  <c r="L254" i="27"/>
  <c r="K254" i="27"/>
  <c r="J254" i="27"/>
  <c r="I254" i="27"/>
  <c r="Y253" i="27"/>
  <c r="W253" i="27"/>
  <c r="V253" i="27"/>
  <c r="U253" i="27"/>
  <c r="T253" i="27"/>
  <c r="S253" i="27"/>
  <c r="R253" i="27"/>
  <c r="Q253" i="27"/>
  <c r="P253" i="27"/>
  <c r="O253" i="27"/>
  <c r="N253" i="27"/>
  <c r="M253" i="27"/>
  <c r="L253" i="27"/>
  <c r="K253" i="27"/>
  <c r="J253" i="27"/>
  <c r="I253" i="27"/>
  <c r="I243" i="27"/>
  <c r="J243" i="27"/>
  <c r="K243" i="27"/>
  <c r="L243" i="27"/>
  <c r="M243" i="27"/>
  <c r="N243" i="27"/>
  <c r="O243" i="27"/>
  <c r="P243" i="27"/>
  <c r="Q243" i="27"/>
  <c r="R243" i="27"/>
  <c r="S243" i="27"/>
  <c r="T243" i="27"/>
  <c r="U243" i="27"/>
  <c r="V243" i="27"/>
  <c r="W243" i="27"/>
  <c r="Y243" i="27"/>
  <c r="I236" i="27"/>
  <c r="J236" i="27"/>
  <c r="K236" i="27"/>
  <c r="L236" i="27"/>
  <c r="M236" i="27"/>
  <c r="N236" i="27"/>
  <c r="O236" i="27"/>
  <c r="P236" i="27"/>
  <c r="Q236" i="27"/>
  <c r="R236" i="27"/>
  <c r="S236" i="27"/>
  <c r="T236" i="27"/>
  <c r="U236" i="27"/>
  <c r="V236" i="27"/>
  <c r="W236" i="27"/>
  <c r="Y236" i="27"/>
  <c r="I228" i="27"/>
  <c r="J228" i="27"/>
  <c r="K228" i="27"/>
  <c r="L228" i="27"/>
  <c r="M228" i="27"/>
  <c r="N228" i="27"/>
  <c r="O228" i="27"/>
  <c r="P228" i="27"/>
  <c r="Q228" i="27"/>
  <c r="R228" i="27"/>
  <c r="S228" i="27"/>
  <c r="T228" i="27"/>
  <c r="U228" i="27"/>
  <c r="V228" i="27"/>
  <c r="W228" i="27"/>
  <c r="Y228" i="27"/>
  <c r="I167" i="27"/>
  <c r="J167" i="27"/>
  <c r="K167" i="27"/>
  <c r="L167" i="27"/>
  <c r="M167" i="27"/>
  <c r="N167" i="27"/>
  <c r="O167" i="27"/>
  <c r="P167" i="27"/>
  <c r="Q167" i="27"/>
  <c r="R167" i="27"/>
  <c r="S167" i="27"/>
  <c r="T167" i="27"/>
  <c r="U167" i="27"/>
  <c r="V167" i="27"/>
  <c r="W167" i="27"/>
  <c r="Y167" i="27"/>
  <c r="I82" i="27"/>
  <c r="J82" i="27"/>
  <c r="K82" i="27"/>
  <c r="L82" i="27"/>
  <c r="M82" i="27"/>
  <c r="N82" i="27"/>
  <c r="O82" i="27"/>
  <c r="P82" i="27"/>
  <c r="Q82" i="27"/>
  <c r="R82" i="27"/>
  <c r="S82" i="27"/>
  <c r="T82" i="27"/>
  <c r="U82" i="27"/>
  <c r="V82" i="27"/>
  <c r="W82" i="27"/>
  <c r="Y82"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3" i="27"/>
  <c r="X31" i="27"/>
  <c r="X67" i="27"/>
  <c r="X167" i="27"/>
  <c r="X254" i="27"/>
  <c r="X82" i="27"/>
  <c r="X6" i="27"/>
  <c r="X250" i="27"/>
  <c r="X236" i="27"/>
  <c r="X228" i="27"/>
  <c r="X243" i="27"/>
  <c r="X253" i="27"/>
  <c r="X68"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4" i="27"/>
  <c r="Y155" i="27"/>
  <c r="Y156" i="27"/>
  <c r="Y157" i="27"/>
  <c r="Y158" i="27"/>
  <c r="Y159" i="27"/>
  <c r="Y160" i="27"/>
  <c r="Y161" i="27"/>
  <c r="Y162" i="27"/>
  <c r="Y163" i="27"/>
  <c r="Y164" i="27"/>
  <c r="Y165" i="27"/>
  <c r="Y166" i="27"/>
  <c r="Y168" i="27"/>
  <c r="Y169" i="27"/>
  <c r="Y170" i="27"/>
  <c r="Y171" i="27"/>
  <c r="Y172" i="27"/>
  <c r="Y173" i="27"/>
  <c r="Y174" i="27"/>
  <c r="Y175"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48" i="27"/>
  <c r="Y249" i="27"/>
  <c r="Y251" i="27"/>
  <c r="Y252" i="27"/>
  <c r="Y215" i="27"/>
  <c r="Y216" i="27"/>
  <c r="Y217" i="27"/>
  <c r="Y218" i="27"/>
  <c r="Y219" i="27"/>
  <c r="Y220" i="27"/>
  <c r="Y221" i="27"/>
  <c r="Y222" i="27"/>
  <c r="Y223" i="27"/>
  <c r="Y224" i="27"/>
  <c r="Y225" i="27"/>
  <c r="Y226" i="27"/>
  <c r="Y227" i="27"/>
  <c r="Y229" i="27"/>
  <c r="Y230" i="27"/>
  <c r="Y231" i="27"/>
  <c r="Y232" i="27"/>
  <c r="Y233" i="27"/>
  <c r="Y234" i="27"/>
  <c r="Y235" i="27"/>
  <c r="Y237" i="27"/>
  <c r="Y238" i="27"/>
  <c r="Y239" i="27"/>
  <c r="Y240" i="27"/>
  <c r="Y241" i="27"/>
  <c r="Y242" i="27"/>
  <c r="Y244" i="27"/>
  <c r="Y245" i="27"/>
  <c r="Y246" i="27"/>
  <c r="Y247"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V147" i="27"/>
  <c r="I147" i="27"/>
  <c r="J147" i="27"/>
  <c r="K147" i="27"/>
  <c r="L147" i="27"/>
  <c r="M147" i="27"/>
  <c r="N147" i="27"/>
  <c r="O147" i="27"/>
  <c r="P147" i="27"/>
  <c r="Q147" i="27"/>
  <c r="R147" i="27"/>
  <c r="S147" i="27"/>
  <c r="T147" i="27"/>
  <c r="U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V151" i="27"/>
  <c r="I151" i="27"/>
  <c r="J151" i="27"/>
  <c r="K151" i="27"/>
  <c r="L151" i="27"/>
  <c r="M151" i="27"/>
  <c r="N151" i="27"/>
  <c r="O151" i="27"/>
  <c r="P151" i="27"/>
  <c r="Q151" i="27"/>
  <c r="R151" i="27"/>
  <c r="S151" i="27"/>
  <c r="T151" i="27"/>
  <c r="U151" i="27"/>
  <c r="W151" i="27"/>
  <c r="I152" i="27"/>
  <c r="J152" i="27"/>
  <c r="K152" i="27"/>
  <c r="L152" i="27"/>
  <c r="M152" i="27"/>
  <c r="N152" i="27"/>
  <c r="O152" i="27"/>
  <c r="P152" i="27"/>
  <c r="Q152" i="27"/>
  <c r="R152" i="27"/>
  <c r="S152" i="27"/>
  <c r="T152" i="27"/>
  <c r="U152" i="27"/>
  <c r="V152" i="27"/>
  <c r="W152"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V165" i="27"/>
  <c r="I165" i="27"/>
  <c r="J165" i="27"/>
  <c r="K165" i="27"/>
  <c r="L165" i="27"/>
  <c r="M165" i="27"/>
  <c r="N165" i="27"/>
  <c r="O165" i="27"/>
  <c r="P165" i="27"/>
  <c r="Q165" i="27"/>
  <c r="R165" i="27"/>
  <c r="S165" i="27"/>
  <c r="T165" i="27"/>
  <c r="U165" i="27"/>
  <c r="W165" i="27"/>
  <c r="I166" i="27"/>
  <c r="J166" i="27"/>
  <c r="K166" i="27"/>
  <c r="L166" i="27"/>
  <c r="M166" i="27"/>
  <c r="N166" i="27"/>
  <c r="O166" i="27"/>
  <c r="P166" i="27"/>
  <c r="Q166" i="27"/>
  <c r="R166" i="27"/>
  <c r="S166" i="27"/>
  <c r="T166" i="27"/>
  <c r="U166" i="27"/>
  <c r="V166" i="27"/>
  <c r="W166"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V183" i="27"/>
  <c r="I183" i="27"/>
  <c r="J183" i="27"/>
  <c r="K183" i="27"/>
  <c r="L183" i="27"/>
  <c r="M183" i="27"/>
  <c r="N183" i="27"/>
  <c r="O183" i="27"/>
  <c r="P183" i="27"/>
  <c r="Q183" i="27"/>
  <c r="R183" i="27"/>
  <c r="S183" i="27"/>
  <c r="T183" i="27"/>
  <c r="U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V195" i="27"/>
  <c r="I195" i="27"/>
  <c r="J195" i="27"/>
  <c r="K195" i="27"/>
  <c r="L195" i="27"/>
  <c r="M195" i="27"/>
  <c r="N195" i="27"/>
  <c r="O195" i="27"/>
  <c r="P195" i="27"/>
  <c r="Q195" i="27"/>
  <c r="R195" i="27"/>
  <c r="S195" i="27"/>
  <c r="T195" i="27"/>
  <c r="U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15" i="27"/>
  <c r="J215" i="27"/>
  <c r="K215" i="27"/>
  <c r="L215" i="27"/>
  <c r="M215" i="27"/>
  <c r="N215" i="27"/>
  <c r="O215" i="27"/>
  <c r="P215" i="27"/>
  <c r="Q215" i="27"/>
  <c r="R215" i="27"/>
  <c r="S215" i="27"/>
  <c r="T215" i="27"/>
  <c r="U215" i="27"/>
  <c r="V215" i="27"/>
  <c r="W215" i="27"/>
  <c r="V216" i="27"/>
  <c r="I216" i="27"/>
  <c r="J216" i="27"/>
  <c r="K216" i="27"/>
  <c r="L216" i="27"/>
  <c r="M216" i="27"/>
  <c r="N216" i="27"/>
  <c r="O216" i="27"/>
  <c r="P216" i="27"/>
  <c r="Q216" i="27"/>
  <c r="R216" i="27"/>
  <c r="S216" i="27"/>
  <c r="T216" i="27"/>
  <c r="U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V226" i="27"/>
  <c r="I226" i="27"/>
  <c r="J226" i="27"/>
  <c r="K226" i="27"/>
  <c r="L226" i="27"/>
  <c r="M226" i="27"/>
  <c r="N226" i="27"/>
  <c r="O226" i="27"/>
  <c r="P226" i="27"/>
  <c r="Q226" i="27"/>
  <c r="R226" i="27"/>
  <c r="S226" i="27"/>
  <c r="T226" i="27"/>
  <c r="U226" i="27"/>
  <c r="W226" i="27"/>
  <c r="I227" i="27"/>
  <c r="J227" i="27"/>
  <c r="K227" i="27"/>
  <c r="L227" i="27"/>
  <c r="M227" i="27"/>
  <c r="N227" i="27"/>
  <c r="O227" i="27"/>
  <c r="P227" i="27"/>
  <c r="Q227" i="27"/>
  <c r="R227" i="27"/>
  <c r="S227" i="27"/>
  <c r="T227" i="27"/>
  <c r="U227" i="27"/>
  <c r="V227" i="27"/>
  <c r="W227"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V271" i="27"/>
  <c r="I271" i="27"/>
  <c r="J271" i="27"/>
  <c r="K271" i="27"/>
  <c r="L271" i="27"/>
  <c r="M271" i="27"/>
  <c r="N271" i="27"/>
  <c r="O271" i="27"/>
  <c r="P271" i="27"/>
  <c r="Q271" i="27"/>
  <c r="R271" i="27"/>
  <c r="S271" i="27"/>
  <c r="T271" i="27"/>
  <c r="U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V276" i="27"/>
  <c r="I276" i="27"/>
  <c r="J276" i="27"/>
  <c r="K276" i="27"/>
  <c r="L276" i="27"/>
  <c r="M276" i="27"/>
  <c r="N276" i="27"/>
  <c r="O276" i="27"/>
  <c r="P276" i="27"/>
  <c r="Q276" i="27"/>
  <c r="R276" i="27"/>
  <c r="S276" i="27"/>
  <c r="T276" i="27"/>
  <c r="U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V286" i="27"/>
  <c r="I286" i="27"/>
  <c r="J286" i="27"/>
  <c r="K286" i="27"/>
  <c r="L286" i="27"/>
  <c r="M286" i="27"/>
  <c r="N286" i="27"/>
  <c r="O286" i="27"/>
  <c r="P286" i="27"/>
  <c r="Q286" i="27"/>
  <c r="R286" i="27"/>
  <c r="S286" i="27"/>
  <c r="T286" i="27"/>
  <c r="U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X2" i="27"/>
  <c r="X179" i="27"/>
  <c r="X151" i="27"/>
  <c r="X78" i="27"/>
  <c r="X182" i="27"/>
  <c r="X231" i="27"/>
  <c r="X198" i="27"/>
  <c r="X44" i="27"/>
  <c r="X43" i="27"/>
  <c r="X112" i="27"/>
  <c r="X184" i="27"/>
  <c r="X296" i="27"/>
  <c r="X58" i="27"/>
  <c r="X101" i="27"/>
  <c r="X215" i="27"/>
  <c r="X145" i="27"/>
  <c r="X248" i="27"/>
  <c r="X163" i="27"/>
  <c r="X258" i="27"/>
  <c r="X270" i="27"/>
  <c r="X129" i="27"/>
  <c r="X201" i="27"/>
  <c r="X155" i="27"/>
  <c r="X131" i="27"/>
  <c r="X205" i="27"/>
  <c r="X158" i="27"/>
  <c r="X234" i="27"/>
  <c r="X80" i="27"/>
  <c r="X47" i="27"/>
  <c r="X246" i="27"/>
  <c r="X59" i="27"/>
  <c r="X219" i="27"/>
  <c r="X276" i="27"/>
  <c r="X100" i="27"/>
  <c r="X16" i="27"/>
  <c r="X126" i="27"/>
  <c r="X202" i="27"/>
  <c r="X72" i="27"/>
  <c r="X51" i="27"/>
  <c r="X169" i="27"/>
  <c r="X237" i="27"/>
  <c r="X139" i="27"/>
  <c r="X18" i="27"/>
  <c r="X204" i="27"/>
  <c r="X75" i="27"/>
  <c r="X87" i="27"/>
  <c r="X142" i="27"/>
  <c r="X157" i="27"/>
  <c r="X133" i="27"/>
  <c r="X199" i="27"/>
  <c r="X107" i="27"/>
  <c r="X279" i="27"/>
  <c r="X263" i="27"/>
  <c r="X57" i="27"/>
  <c r="X39" i="27"/>
  <c r="X281" i="27"/>
  <c r="X28" i="27"/>
  <c r="X152" i="27"/>
  <c r="X267" i="27"/>
  <c r="X162" i="27"/>
  <c r="X180" i="27"/>
  <c r="X22" i="27"/>
  <c r="X132" i="27"/>
  <c r="X290" i="27"/>
  <c r="X88" i="27"/>
  <c r="X102" i="27"/>
  <c r="X99" i="27"/>
  <c r="X76" i="27"/>
  <c r="X84" i="27"/>
  <c r="X123" i="27"/>
  <c r="X124" i="27"/>
  <c r="X256" i="27"/>
  <c r="X194" i="27"/>
  <c r="X240" i="27"/>
  <c r="X161" i="27"/>
  <c r="X91" i="27"/>
  <c r="X239" i="27"/>
  <c r="X275" i="27"/>
  <c r="X208" i="27"/>
  <c r="X61" i="27"/>
  <c r="X212" i="27"/>
  <c r="X106" i="27"/>
  <c r="X135" i="27"/>
  <c r="X62" i="27"/>
  <c r="X177" i="27"/>
  <c r="X40" i="27"/>
  <c r="X266" i="27"/>
  <c r="X230" i="27"/>
  <c r="X71" i="27"/>
  <c r="X20" i="27"/>
  <c r="X294" i="27"/>
  <c r="X277" i="27"/>
  <c r="X117" i="27"/>
  <c r="X19" i="27"/>
  <c r="X232" i="27"/>
  <c r="X210" i="27"/>
  <c r="X283" i="27"/>
  <c r="X260" i="27"/>
  <c r="X41" i="27"/>
  <c r="X25" i="27"/>
  <c r="X278" i="27"/>
  <c r="X30" i="27"/>
  <c r="X242" i="27"/>
  <c r="X146" i="27"/>
  <c r="X173" i="27"/>
  <c r="X192" i="27"/>
  <c r="X166" i="27"/>
  <c r="X247" i="27"/>
  <c r="X292" i="27"/>
  <c r="X213" i="27"/>
  <c r="X9" i="27"/>
  <c r="X255" i="27"/>
  <c r="X222" i="27"/>
  <c r="X103" i="27"/>
  <c r="X245" i="27"/>
  <c r="X52" i="27"/>
  <c r="X90" i="27"/>
  <c r="X220" i="27"/>
  <c r="X195" i="27"/>
  <c r="X26" i="27"/>
  <c r="X37" i="27"/>
  <c r="X214" i="27"/>
  <c r="X190" i="27"/>
  <c r="X189" i="27"/>
  <c r="X209" i="27"/>
  <c r="X174" i="27"/>
  <c r="X116" i="27"/>
  <c r="X291" i="27"/>
  <c r="X83" i="27"/>
  <c r="X295" i="27"/>
  <c r="X29" i="27"/>
  <c r="X8" i="27"/>
  <c r="X114" i="27"/>
  <c r="X229" i="27"/>
  <c r="X121" i="27"/>
  <c r="X73" i="27"/>
  <c r="X249" i="27"/>
  <c r="X24" i="27"/>
  <c r="X188" i="27"/>
  <c r="X81" i="27"/>
  <c r="X137" i="27"/>
  <c r="X108" i="27"/>
  <c r="X225" i="27"/>
  <c r="X268" i="27"/>
  <c r="X122" i="27"/>
  <c r="X178" i="27"/>
  <c r="X128" i="27"/>
  <c r="X280" i="27"/>
  <c r="X115" i="27"/>
  <c r="X171" i="27"/>
  <c r="X238" i="27"/>
  <c r="X217" i="27"/>
  <c r="X144" i="27"/>
  <c r="X79" i="27"/>
  <c r="X64" i="27"/>
  <c r="X60" i="27"/>
  <c r="X10" i="27"/>
  <c r="X140" i="27"/>
  <c r="X33" i="27"/>
  <c r="X138" i="27"/>
  <c r="X53" i="27"/>
  <c r="X45" i="27"/>
  <c r="X13" i="27"/>
  <c r="X32" i="27"/>
  <c r="X89" i="27"/>
  <c r="X216" i="27"/>
  <c r="X104" i="27"/>
  <c r="X293" i="27"/>
  <c r="X156" i="27"/>
  <c r="X274" i="27"/>
  <c r="X125" i="27"/>
  <c r="X56" i="27"/>
  <c r="X203" i="27"/>
  <c r="X185" i="27"/>
  <c r="X252" i="27"/>
  <c r="X150" i="27"/>
  <c r="X287" i="27"/>
  <c r="X272" i="27"/>
  <c r="X97" i="27"/>
  <c r="X261" i="27"/>
  <c r="X54" i="27"/>
  <c r="X227" i="27"/>
  <c r="X269" i="27"/>
  <c r="X4" i="27"/>
  <c r="X297" i="27"/>
  <c r="X264" i="27"/>
  <c r="X92" i="27"/>
  <c r="X23" i="27"/>
  <c r="X96" i="27"/>
  <c r="X211" i="27"/>
  <c r="X289" i="27"/>
  <c r="X265" i="27"/>
  <c r="X17" i="27"/>
  <c r="X200" i="27"/>
  <c r="X85" i="27"/>
  <c r="X66" i="27"/>
  <c r="X55" i="27"/>
  <c r="X130" i="27"/>
  <c r="X120" i="27"/>
  <c r="X94" i="27"/>
  <c r="X170" i="27"/>
  <c r="X38" i="27"/>
  <c r="X244" i="27"/>
  <c r="X65" i="27"/>
  <c r="X193" i="27"/>
  <c r="X148" i="27"/>
  <c r="X141" i="27"/>
  <c r="X172" i="27"/>
  <c r="X42" i="27"/>
  <c r="X183" i="27"/>
  <c r="X226" i="27"/>
  <c r="X127" i="27"/>
  <c r="X298" i="27"/>
  <c r="X224" i="27"/>
  <c r="X284" i="27"/>
  <c r="X11" i="27"/>
  <c r="X110" i="27"/>
  <c r="X235" i="27"/>
  <c r="X111" i="27"/>
  <c r="X109" i="27"/>
  <c r="X282" i="27"/>
  <c r="X165" i="27"/>
  <c r="X69" i="27"/>
  <c r="X251" i="27"/>
  <c r="X70" i="27"/>
  <c r="X119" i="27"/>
  <c r="X49" i="27"/>
  <c r="X7" i="27"/>
  <c r="X74" i="27"/>
  <c r="X3" i="27"/>
  <c r="X93" i="27"/>
  <c r="X197" i="27"/>
  <c r="X48" i="27"/>
  <c r="X196" i="27"/>
  <c r="X136" i="27"/>
  <c r="X181" i="27"/>
  <c r="X271" i="27"/>
  <c r="X187" i="27"/>
  <c r="X63" i="27"/>
  <c r="X86" i="27"/>
  <c r="X286" i="27"/>
  <c r="X241" i="27"/>
  <c r="X221" i="27"/>
  <c r="X95" i="27"/>
  <c r="X160" i="27"/>
  <c r="X223" i="27"/>
  <c r="X134" i="27"/>
  <c r="X34" i="27"/>
  <c r="X164" i="27"/>
  <c r="X159" i="27"/>
  <c r="X14" i="27"/>
  <c r="X15" i="27"/>
  <c r="X98" i="27"/>
  <c r="X21" i="27"/>
  <c r="X262" i="27"/>
  <c r="X36" i="27"/>
  <c r="X77" i="27"/>
  <c r="X46" i="27"/>
  <c r="X175" i="27"/>
  <c r="X285" i="27"/>
  <c r="X218" i="27"/>
  <c r="X288" i="27"/>
  <c r="X12" i="27"/>
  <c r="X149" i="27"/>
  <c r="X186" i="27"/>
  <c r="X206" i="27"/>
  <c r="X154" i="27"/>
  <c r="X233" i="27"/>
  <c r="X207" i="27"/>
  <c r="X118" i="27"/>
  <c r="X105" i="27"/>
  <c r="X50" i="27"/>
  <c r="X257" i="27"/>
  <c r="X191" i="27"/>
  <c r="X273" i="27"/>
  <c r="X113" i="27"/>
  <c r="X35" i="27"/>
  <c r="X147" i="27"/>
  <c r="X5" i="27"/>
  <c r="X168" i="27"/>
  <c r="X143" i="27"/>
  <c r="X259" i="27"/>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<sst xmlns="http://schemas.openxmlformats.org/spreadsheetml/2006/main" count="1689" uniqueCount="488">
  <si>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</si>
  <si>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</si>
  <si>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</si>
  <si>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</si>
  <si>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</si>
  <si>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</si>
  <si>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</si>
  <si>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</si>
  <si>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</si>
  <si>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</si>
  <si>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</si>
  <si>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</si>
  <si>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</si>
  <si>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</si>
  <si>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</si>
  <si>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</si>
  <si>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</si>
  <si>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</si>
  <si>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</si>
  <si>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</si>
  <si>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</si>
  <si>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</si>
  <si>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</si>
  <si>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</si>
  <si>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</si>
  <si>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</si>
  <si>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</si>
  <si>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</si>
  <si>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</si>
  <si>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</si>
  <si>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</si>
  <si>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</si>
  <si>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</si>
  <si>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</si>
  <si>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</si>
  <si>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</si>
  <si>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</si>
  <si>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</si>
  <si>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</si>
  <si>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</si>
  <si>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</si>
  <si>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</si>
  <si>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</si>
  <si>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</si>
  <si>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</si>
  <si>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</si>
  <si>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</si>
  <si>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</si>
  <si>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</si>
  <si>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</si>
  <si>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</si>
  <si>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</si>
  <si>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</si>
  <si>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</si>
  <si>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</si>
  <si>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</si>
  <si>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</si>
  <si>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</si>
  <si>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</si>
  <si>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</si>
  <si>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</si>
  <si>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</si>
  <si>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</si>
  <si>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</si>
  <si>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</si>
  <si>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</si>
  <si>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</si>
  <si>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</si>
  <si>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</si>
  <si>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</si>
  <si>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</si>
  <si>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</si>
  <si>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</si>
  <si>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</si>
  <si>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</si>
  <si>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</si>
  <si>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</si>
  <si>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</si>
  <si>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</si>
  <si>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</si>
  <si>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</si>
  <si>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</si>
  <si>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</si>
  <si>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</si>
  <si>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</si>
  <si>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</si>
  <si>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</si>
  <si>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</si>
  <si>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</si>
  <si>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</si>
  <si>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</si>
  <si>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</si>
  <si>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</si>
  <si>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</si>
  <si>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</si>
  <si>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</si>
  <si>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</si>
  <si>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</si>
  <si>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</si>
  <si>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</si>
  <si>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</si>
  <si>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</si>
  <si>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</si>
  <si>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</si>
  <si>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</si>
  <si>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</si>
  <si>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</si>
  <si>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</si>
  <si>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</si>
  <si>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</si>
  <si>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</si>
  <si>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</si>
  <si>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</si>
  <si>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</si>
  <si>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</si>
  <si>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</si>
  <si>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</si>
  <si>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</si>
  <si>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</si>
  <si>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</si>
  <si>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</si>
  <si>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</si>
  <si>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</si>
  <si>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</si>
  <si>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</si>
  <si>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</si>
  <si>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</si>
  <si>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</si>
  <si>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</si>
  <si>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</si>
  <si>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</si>
  <si>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</si>
  <si>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</si>
  <si>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</si>
  <si>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</si>
  <si>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</si>
  <si>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</si>
  <si>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</si>
  <si>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</si>
  <si>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</si>
  <si>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</si>
  <si>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</si>
  <si>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</si>
  <si>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</si>
  <si>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</si>
  <si>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</si>
  <si>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</si>
  <si>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</si>
  <si>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</si>
  <si>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</si>
  <si>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</si>
  <si>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</si>
  <si>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</si>
  <si>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</si>
  <si>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</si>
  <si>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</si>
  <si>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</si>
  <si>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</si>
  <si>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</si>
  <si>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</si>
  <si>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</si>
  <si>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</si>
  <si>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</si>
  <si>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</si>
  <si>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</si>
  <si>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</si>
  <si>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</si>
  <si>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</si>
  <si>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</si>
  <si>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</si>
  <si>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</si>
  <si>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</si>
  <si>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</si>
  <si>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</si>
  <si>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</si>
  <si>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</si>
  <si>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</si>
  <si>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</si>
  <si>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</si>
  <si>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</si>
  <si>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</si>
  <si>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</si>
  <si>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</si>
  <si>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</si>
  <si>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</si>
  <si>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</si>
  <si>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</si>
  <si>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</si>
  <si>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</si>
  <si>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</si>
  <si>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</si>
  <si>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</si>
  <si>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</si>
  <si>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</si>
  <si>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</si>
  <si>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</si>
  <si>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</si>
  <si>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</si>
  <si>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</si>
  <si>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</si>
  <si>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</si>
  <si>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</si>
  <si>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</si>
  <si>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</si>
  <si>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</si>
  <si>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</si>
  <si>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</si>
  <si>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</si>
  <si>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</si>
  <si>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</si>
  <si>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</si>
  <si>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</si>
  <si>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</si>
  <si>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</si>
  <si>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</si>
  <si>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</si>
  <si>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</si>
  <si>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</si>
  <si>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</si>
  <si>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</si>
  <si>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</si>
  <si>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</si>
  <si>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</si>
  <si>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</si>
  <si>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</si>
  <si>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</si>
  <si>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</si>
  <si>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</si>
  <si>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</si>
  <si>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</si>
  <si>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</si>
  <si>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</si>
  <si>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</si>
  <si>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</si>
  <si>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</si>
  <si>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</si>
  <si>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</si>
  <si>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</si>
  <si>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</si>
  <si>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</si>
  <si>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</si>
  <si>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</si>
  <si>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</si>
  <si>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</si>
  <si>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</si>
  <si>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</si>
  <si>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</si>
  <si>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</si>
  <si>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</si>
  <si>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</si>
  <si>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</si>
  <si>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</si>
  <si>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</si>
  <si>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</si>
  <si>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</si>
  <si>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</si>
  <si>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</si>
  <si>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</si>
  <si>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</si>
  <si>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</si>
  <si>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</si>
  <si>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</si>
  <si>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</si>
  <si>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</si>
  <si>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</si>
  <si>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</si>
  <si>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</si>
  <si>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</si>
  <si>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</si>
  <si>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</si>
  <si>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</si>
  <si>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</si>
  <si>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</si>
  <si>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</si>
  <si>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</si>
  <si>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</si>
  <si>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</si>
  <si>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</si>
  <si>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</si>
  <si>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</si>
  <si>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</si>
  <si>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</si>
  <si>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</si>
  <si>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</si>
  <si>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</si>
  <si>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</si>
  <si>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</si>
  <si>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</si>
  <si>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</si>
  <si>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</si>
  <si>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</si>
  <si>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</si>
  <si>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</si>
  <si>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</si>
  <si>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</si>
  <si>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</si>
  <si>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</si>
  <si>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</si>
  <si>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</si>
  <si>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</si>
  <si>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</si>
  <si>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</si>
  <si>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</si>
  <si>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</si>
  <si>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</si>
  <si>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</si>
  <si>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</si>
  <si>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</si>
  <si>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</si>
  <si>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</si>
  <si>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</si>
  <si>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</si>
  <si>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</si>
  <si>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</si>
  <si>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</si>
  <si>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</si>
  <si>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</si>
  <si>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</si>
  <si>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</si>
  <si>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</si>
  <si>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</si>
  <si>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</si>
  <si>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</si>
  <si>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</si>
  <si>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</si>
  <si>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</si>
  <si>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</si>
  <si>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</si>
  <si>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</si>
  <si>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</si>
  <si>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</si>
  <si>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</si>
  <si>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</si>
  <si>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</si>
  <si>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</si>
  <si>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</si>
  <si>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</si>
  <si>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</si>
  <si>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</si>
  <si>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</si>
  <si>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</si>
  <si>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</si>
  <si>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</si>
  <si>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</si>
  <si>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</si>
  <si>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</si>
  <si>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</si>
  <si>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</si>
  <si>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</si>
  <si>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</si>
  <si>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</si>
  <si>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</si>
  <si>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</si>
  <si>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</si>
  <si>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</si>
  <si>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</si>
  <si>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</si>
  <si>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</si>
  <si>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</si>
  <si>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</si>
  <si>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</si>
  <si>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</si>
  <si>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</si>
  <si>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</si>
  <si>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</si>
  <si>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</si>
  <si>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</si>
  <si>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</si>
  <si>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</si>
  <si>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</si>
  <si>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</si>
  <si>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</si>
  <si>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</si>
  <si>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</si>
  <si>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</si>
  <si>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</si>
  <si>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</si>
  <si>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</si>
  <si>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</si>
  <si>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</si>
  <si>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</si>
  <si>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</si>
  <si>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</si>
  <si>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</si>
  <si>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</si>
  <si>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</si>
  <si>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</si>
  <si>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</si>
  <si>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</si>
  <si>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</si>
  <si>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</si>
  <si>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</si>
  <si>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</si>
  <si>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</si>
  <si>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</si>
  <si>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</si>
  <si>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</si>
  <si>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</si>
  <si>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</si>
  <si>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</si>
  <si>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</si>
  <si>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</si>
  <si>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</si>
  <si>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</si>
  <si>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</si>
  <si>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</si>
  <si>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</si>
  <si>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</si>
  <si>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</si>
  <si>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</si>
  <si>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</si>
  <si>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</si>
  <si>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</si>
  <si>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</si>
  <si>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</si>
  <si>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</si>
  <si>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</si>
  <si>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</si>
  <si>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</si>
  <si>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</si>
  <si>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</si>
  <si>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</si>
  <si>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</si>
  <si>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</si>
  <si>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</si>
  <si>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</si>
  <si>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</si>
  <si>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</si>
  <si>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</si>
  <si>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</si>
  <si>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</si>
  <si>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</si>
  <si>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</si>
  <si>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</si>
  <si>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</si>
  <si>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</si>
  <si>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</si>
  <si>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</si>
  <si>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</si>
  <si>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</si>
  <si>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</si>
  <si>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</si>
  <si>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</si>
  <si>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</si>
  <si>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</si>
  <si>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</si>
  <si>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</si>
  <si>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</si>
  <si>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</si>
  <si>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</si>
  <si>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</si>
  <si>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</si>
  <si>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</si>
  <si>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</si>
  <si>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</si>
  <si>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</si>
  <si>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</si>
  <si>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</si>
  <si>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</si>
  <si>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</si>
  <si>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</si>
  <si>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</si>
  <si>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</si>
  <si>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</si>
  <si>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</si>
  <si>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</si>
  <si>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</si>
  <si>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</si>
  <si>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</si>
  <si>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</si>
  <si>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</si>
  <si>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</si>
  <si>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</si>
  <si>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</si>
  <si>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</si>
  <si>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</si>
  <si>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</si>
  <si>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</si>
  <si>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</si>
  <si>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</si>
  <si>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</si>
  <si>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</si>
  <si>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</si>
  <si>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RentalRequest</t>
  </si>
  <si>
    <t>RentalRequestRotationList</t>
  </si>
  <si>
    <t>rentalRequestRotationList</t>
  </si>
  <si>
    <t>rentalRequest</t>
  </si>
  <si>
    <t>rentalRequests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</si>
</sst>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8" fillId="0" borderId="0"/>
  </cellStyleXfs>
  <cellXfs count="99">
    <xf numFmtId="0" fontId="0" fillId="0" borderId="0" xfId="0"/>
    <xf numFmtId="0" fontId="32" fillId="0" borderId="0" xfId="719" applyFont="1" applyAlignment="1">
      <alignment vertical="top"/>
    </xf>
    <xf numFmtId="0" fontId="32" fillId="0" borderId="0" xfId="719" applyFont="1" applyAlignment="1">
      <alignment vertical="top" wrapText="1"/>
    </xf>
    <xf numFmtId="0" fontId="28" fillId="0" borderId="0" xfId="719"/>
    <xf numFmtId="0" fontId="28" fillId="0" borderId="0" xfId="719" applyNumberFormat="1" applyAlignment="1">
      <alignment vertical="top"/>
    </xf>
    <xf numFmtId="0" fontId="28" fillId="0" borderId="0" xfId="719" applyAlignment="1">
      <alignment vertical="top"/>
    </xf>
    <xf numFmtId="0" fontId="28" fillId="0" borderId="0" xfId="719" applyAlignment="1">
      <alignment vertical="top" wrapText="1"/>
    </xf>
    <xf numFmtId="0" fontId="31" fillId="0" borderId="0" xfId="0" applyFont="1"/>
    <xf numFmtId="0" fontId="27" fillId="0" borderId="0" xfId="719" applyFont="1"/>
    <xf numFmtId="0" fontId="0" fillId="0" borderId="0" xfId="0" applyAlignment="1">
      <alignment vertical="top"/>
    </xf>
    <xf numFmtId="0" fontId="32" fillId="0" borderId="0" xfId="0" applyFont="1" applyAlignment="1">
      <alignment vertical="top"/>
    </xf>
    <xf numFmtId="0" fontId="26" fillId="0" borderId="0" xfId="719" applyFont="1"/>
    <xf numFmtId="0" fontId="26" fillId="0" borderId="0" xfId="719" applyFont="1" applyAlignment="1">
      <alignment vertical="top"/>
    </xf>
    <xf numFmtId="0" fontId="28" fillId="0" borderId="0" xfId="719" applyFill="1" applyAlignment="1">
      <alignment vertical="top" wrapText="1"/>
    </xf>
    <xf numFmtId="0" fontId="28" fillId="0" borderId="0" xfId="719" applyNumberFormat="1" applyFill="1"/>
    <xf numFmtId="0" fontId="0" fillId="0" borderId="0" xfId="0" applyNumberFormat="1" applyAlignment="1">
      <alignment vertical="top"/>
    </xf>
    <xf numFmtId="0" fontId="25" fillId="0" borderId="0" xfId="719" applyFont="1"/>
    <xf numFmtId="0" fontId="25" fillId="0" borderId="0" xfId="719" applyFont="1" applyFill="1"/>
    <xf numFmtId="0" fontId="24" fillId="0" borderId="0" xfId="719" applyFont="1"/>
    <xf numFmtId="0" fontId="28" fillId="0" borderId="0" xfId="719" applyFill="1"/>
    <xf numFmtId="0" fontId="28" fillId="0" borderId="0" xfId="719" applyNumberFormat="1" applyFill="1" applyAlignment="1">
      <alignment vertical="top"/>
    </xf>
    <xf numFmtId="0" fontId="23" fillId="0" borderId="0" xfId="719" applyFont="1" applyFill="1" applyAlignment="1">
      <alignment vertical="top"/>
    </xf>
    <xf numFmtId="0" fontId="23" fillId="0" borderId="0" xfId="719" applyFont="1"/>
    <xf numFmtId="0" fontId="22" fillId="0" borderId="0" xfId="719" applyFont="1"/>
    <xf numFmtId="0" fontId="22" fillId="0" borderId="0" xfId="719" applyFont="1" applyFill="1" applyAlignment="1">
      <alignment vertical="top"/>
    </xf>
    <xf numFmtId="0" fontId="22" fillId="0" borderId="0" xfId="719" applyFont="1" applyFill="1" applyAlignment="1">
      <alignment vertical="top" wrapText="1"/>
    </xf>
    <xf numFmtId="0" fontId="21" fillId="0" borderId="0" xfId="719" applyFont="1" applyFill="1" applyAlignment="1">
      <alignment vertical="top"/>
    </xf>
    <xf numFmtId="0" fontId="21" fillId="0" borderId="0" xfId="719" applyFont="1" applyFill="1" applyAlignment="1">
      <alignment vertical="top" wrapText="1"/>
    </xf>
    <xf numFmtId="0" fontId="21" fillId="0" borderId="0" xfId="719" applyNumberFormat="1" applyFont="1" applyFill="1" applyAlignment="1">
      <alignment vertical="top"/>
    </xf>
    <xf numFmtId="0" fontId="21" fillId="0" borderId="0" xfId="719" applyFont="1"/>
    <xf numFmtId="0" fontId="20" fillId="0" borderId="0" xfId="719" applyFont="1" applyFill="1" applyAlignment="1">
      <alignment vertical="top"/>
    </xf>
    <xf numFmtId="0" fontId="20" fillId="0" borderId="0" xfId="719" applyFont="1" applyFill="1" applyAlignment="1">
      <alignment vertical="top" wrapText="1"/>
    </xf>
    <xf numFmtId="0" fontId="20" fillId="0" borderId="0" xfId="719" applyFont="1"/>
    <xf numFmtId="0" fontId="19" fillId="0" borderId="0" xfId="719" applyFont="1" applyFill="1" applyAlignment="1">
      <alignment vertical="top"/>
    </xf>
    <xf numFmtId="0" fontId="19" fillId="0" borderId="0" xfId="719" applyFont="1" applyAlignment="1">
      <alignment vertical="top"/>
    </xf>
    <xf numFmtId="0" fontId="19" fillId="0" borderId="0" xfId="719" applyFont="1" applyFill="1"/>
    <xf numFmtId="0" fontId="19" fillId="0" borderId="0" xfId="719" applyFont="1"/>
    <xf numFmtId="0" fontId="18" fillId="0" borderId="0" xfId="719" applyFont="1" applyFill="1" applyAlignment="1">
      <alignment vertical="top"/>
    </xf>
    <xf numFmtId="0" fontId="16" fillId="0" borderId="0" xfId="719" applyFont="1"/>
    <xf numFmtId="0" fontId="32" fillId="0" borderId="0" xfId="0" applyFont="1"/>
    <xf numFmtId="0" fontId="15" fillId="0" borderId="0" xfId="719" applyFont="1" applyAlignment="1">
      <alignment vertical="top"/>
    </xf>
    <xf numFmtId="0" fontId="15" fillId="0" borderId="0" xfId="719" applyFont="1" applyFill="1"/>
    <xf numFmtId="0" fontId="15" fillId="0" borderId="0" xfId="719" applyNumberFormat="1" applyFont="1" applyAlignment="1">
      <alignment vertical="top"/>
    </xf>
    <xf numFmtId="0" fontId="14" fillId="0" borderId="0" xfId="719" applyFont="1"/>
    <xf numFmtId="0" fontId="13" fillId="0" borderId="0" xfId="719" applyFont="1" applyAlignment="1">
      <alignment vertical="top"/>
    </xf>
    <xf numFmtId="0" fontId="13" fillId="0" borderId="0" xfId="719" applyNumberFormat="1" applyFont="1" applyAlignment="1">
      <alignment vertical="top"/>
    </xf>
    <xf numFmtId="0" fontId="13" fillId="0" borderId="0" xfId="719" applyFont="1" applyFill="1"/>
    <xf numFmtId="0" fontId="12" fillId="0" borderId="0" xfId="719" applyFont="1"/>
    <xf numFmtId="0" fontId="0" fillId="0" borderId="0" xfId="0" applyNumberFormat="1"/>
    <xf numFmtId="0" fontId="12" fillId="0" borderId="0" xfId="719" applyFont="1" applyFill="1" applyAlignment="1">
      <alignment vertical="top"/>
    </xf>
    <xf numFmtId="0" fontId="12" fillId="0" borderId="0" xfId="719" applyFont="1" applyFill="1" applyAlignment="1">
      <alignment vertical="top" wrapText="1"/>
    </xf>
    <xf numFmtId="0" fontId="11" fillId="0" borderId="0" xfId="719" applyFont="1"/>
    <xf numFmtId="0" fontId="11" fillId="0" borderId="0" xfId="719" applyFont="1" applyFill="1" applyAlignment="1">
      <alignment vertical="top"/>
    </xf>
    <xf numFmtId="0" fontId="10" fillId="0" borderId="0" xfId="719" applyFont="1"/>
    <xf numFmtId="0" fontId="9" fillId="0" borderId="0" xfId="719" applyFont="1"/>
    <xf numFmtId="0" fontId="9" fillId="0" borderId="0" xfId="719" applyNumberFormat="1" applyFont="1" applyAlignment="1">
      <alignment vertical="top"/>
    </xf>
    <xf numFmtId="0" fontId="7" fillId="0" borderId="0" xfId="719" applyFont="1" applyAlignment="1">
      <alignment vertical="top"/>
    </xf>
    <xf numFmtId="0" fontId="7" fillId="0" borderId="0" xfId="719" applyFont="1" applyFill="1"/>
    <xf numFmtId="0" fontId="7" fillId="0" borderId="0" xfId="719" applyNumberFormat="1" applyFont="1" applyAlignment="1">
      <alignment vertical="top"/>
    </xf>
    <xf numFmtId="0" fontId="7" fillId="0" borderId="0" xfId="719" applyFont="1"/>
    <xf numFmtId="49" fontId="32" fillId="0" borderId="0" xfId="719" applyNumberFormat="1" applyFont="1" applyAlignment="1">
      <alignment vertical="top" wrapText="1"/>
    </xf>
    <xf numFmtId="49" fontId="11" fillId="0" borderId="0" xfId="719" applyNumberFormat="1" applyFont="1" applyAlignment="1">
      <alignment wrapText="1"/>
    </xf>
    <xf numFmtId="49" fontId="28" fillId="0" borderId="0" xfId="719" applyNumberFormat="1" applyAlignment="1">
      <alignment wrapText="1"/>
    </xf>
    <xf numFmtId="49" fontId="28" fillId="0" borderId="0" xfId="719" applyNumberFormat="1" applyFill="1" applyAlignment="1">
      <alignment vertical="top" wrapText="1"/>
    </xf>
    <xf numFmtId="49" fontId="11" fillId="0" borderId="0" xfId="719" applyNumberFormat="1" applyFont="1" applyFill="1" applyAlignment="1">
      <alignment vertical="top" wrapText="1"/>
    </xf>
    <xf numFmtId="49" fontId="10" fillId="0" borderId="0" xfId="719" applyNumberFormat="1" applyFont="1" applyFill="1" applyAlignment="1">
      <alignment vertical="top" wrapText="1"/>
    </xf>
    <xf numFmtId="49" fontId="8" fillId="0" borderId="0" xfId="719" applyNumberFormat="1" applyFont="1" applyFill="1" applyAlignment="1">
      <alignment vertical="top" wrapText="1"/>
    </xf>
    <xf numFmtId="49" fontId="11" fillId="0" borderId="0" xfId="719" applyNumberFormat="1" applyFont="1" applyAlignment="1">
      <alignment horizontal="fill" wrapText="1"/>
    </xf>
    <xf numFmtId="49" fontId="10" fillId="0" borderId="0" xfId="719" applyNumberFormat="1" applyFont="1" applyAlignment="1">
      <alignment wrapText="1"/>
    </xf>
    <xf numFmtId="49" fontId="9" fillId="0" borderId="0" xfId="719" applyNumberFormat="1" applyFont="1" applyAlignment="1">
      <alignment wrapText="1"/>
    </xf>
    <xf numFmtId="49" fontId="7" fillId="0" borderId="0" xfId="719" applyNumberFormat="1" applyFont="1" applyAlignment="1">
      <alignment wrapText="1"/>
    </xf>
    <xf numFmtId="49" fontId="22" fillId="0" borderId="0" xfId="719" applyNumberFormat="1" applyFont="1" applyAlignment="1">
      <alignment wrapText="1"/>
    </xf>
    <xf numFmtId="49" fontId="21" fillId="0" borderId="0" xfId="719" applyNumberFormat="1" applyFont="1" applyAlignment="1">
      <alignment wrapText="1"/>
    </xf>
    <xf numFmtId="49" fontId="23" fillId="0" borderId="0" xfId="719" applyNumberFormat="1" applyFont="1" applyAlignment="1">
      <alignment wrapText="1"/>
    </xf>
    <xf numFmtId="49" fontId="17" fillId="0" borderId="0" xfId="719" applyNumberFormat="1" applyFont="1" applyAlignment="1">
      <alignment wrapText="1"/>
    </xf>
    <xf numFmtId="49" fontId="16" fillId="0" borderId="0" xfId="719" applyNumberFormat="1" applyFont="1" applyAlignment="1">
      <alignment horizontal="fill" wrapText="1"/>
    </xf>
    <xf numFmtId="49" fontId="23" fillId="0" borderId="0" xfId="719" applyNumberFormat="1" applyFont="1" applyFill="1" applyAlignment="1">
      <alignment vertical="top" wrapText="1"/>
    </xf>
    <xf numFmtId="49" fontId="24" fillId="0" borderId="0" xfId="719" applyNumberFormat="1" applyFont="1" applyAlignment="1">
      <alignment wrapText="1"/>
    </xf>
    <xf numFmtId="49" fontId="12" fillId="0" borderId="0" xfId="719" applyNumberFormat="1" applyFont="1" applyAlignment="1">
      <alignment vertical="top" wrapText="1"/>
    </xf>
    <xf numFmtId="49" fontId="12" fillId="0" borderId="0" xfId="719" applyNumberFormat="1" applyFont="1" applyFill="1" applyAlignment="1">
      <alignment vertical="top" wrapText="1"/>
    </xf>
    <xf numFmtId="49" fontId="28" fillId="0" borderId="0" xfId="719" applyNumberFormat="1" applyAlignment="1">
      <alignment vertical="top" wrapText="1"/>
    </xf>
    <xf numFmtId="0" fontId="6" fillId="0" borderId="0" xfId="719" applyFont="1"/>
    <xf numFmtId="0" fontId="6" fillId="0" borderId="0" xfId="719" applyFont="1" applyFill="1"/>
    <xf numFmtId="0" fontId="5" fillId="0" borderId="0" xfId="719" applyFont="1" applyAlignment="1">
      <alignment vertical="top"/>
    </xf>
    <xf numFmtId="0" fontId="5" fillId="0" borderId="0" xfId="719" applyFont="1" applyFill="1"/>
    <xf numFmtId="0" fontId="5" fillId="0" borderId="0" xfId="719" applyNumberFormat="1" applyFont="1" applyAlignment="1">
      <alignment vertical="top"/>
    </xf>
    <xf numFmtId="49" fontId="4" fillId="0" borderId="0" xfId="719" applyNumberFormat="1" applyFont="1" applyAlignment="1">
      <alignment wrapText="1"/>
    </xf>
    <xf numFmtId="49" fontId="4" fillId="0" borderId="0" xfId="719" applyNumberFormat="1" applyFont="1" applyFill="1" applyAlignment="1">
      <alignment vertical="top" wrapText="1"/>
    </xf>
    <xf numFmtId="0" fontId="4" fillId="0" borderId="0" xfId="719" applyFont="1" applyFill="1" applyAlignment="1">
      <alignment vertical="top"/>
    </xf>
    <xf numFmtId="0" fontId="4" fillId="0" borderId="0" xfId="719" applyFont="1" applyFill="1" applyAlignment="1">
      <alignment vertical="top" wrapText="1"/>
    </xf>
    <xf numFmtId="0" fontId="4" fillId="0" borderId="0" xfId="719" applyFont="1"/>
    <xf numFmtId="0" fontId="4" fillId="0" borderId="0" xfId="719" applyNumberFormat="1" applyFont="1" applyAlignment="1">
      <alignment vertical="top"/>
    </xf>
    <xf numFmtId="0" fontId="3" fillId="0" borderId="0" xfId="719" applyFont="1" applyFill="1" applyAlignment="1">
      <alignment vertical="top"/>
    </xf>
    <xf numFmtId="49" fontId="3" fillId="0" borderId="0" xfId="719" applyNumberFormat="1" applyFont="1" applyFill="1" applyAlignment="1">
      <alignment vertical="top" wrapText="1"/>
    </xf>
    <xf numFmtId="0" fontId="3" fillId="0" borderId="0" xfId="719" applyFont="1"/>
    <xf numFmtId="49" fontId="3" fillId="0" borderId="0" xfId="719" applyNumberFormat="1" applyFont="1" applyAlignment="1">
      <alignment wrapText="1"/>
    </xf>
    <xf numFmtId="49" fontId="2" fillId="0" borderId="0" xfId="719" applyNumberFormat="1" applyFont="1" applyAlignment="1">
      <alignment wrapText="1"/>
    </xf>
    <xf numFmtId="49" fontId="1" fillId="0" borderId="0" xfId="719" applyNumberFormat="1" applyFont="1" applyAlignment="1">
      <alignment wrapText="1"/>
    </xf>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98" totalsRowShown="0" headerRowDxfId="46" dataDxfId="45">
  <autoFilter ref="A1:Y298"/>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98"/>
  <sheetViews>
    <sheetView tabSelected="1" zoomScale="120" zoomScaleNormal="120" workbookViewId="0">
      <pane ySplit="1" topLeftCell="A2" activePane="bottomLeft" state="frozen"/>
      <selection pane="bottomLeft" activeCell="F27" sqref="F27"/>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0"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0" t="s">
        <v>90</v>
      </c>
      <c r="F1" s="2" t="s">
        <v>95</v>
      </c>
      <c r="G1" s="1" t="s">
        <v>69</v>
      </c>
      <c r="H1" s="1" t="s">
        <v>396</v>
      </c>
      <c r="I1" s="7" t="s">
        <v>67</v>
      </c>
      <c r="J1" s="39" t="s">
        <v>9</v>
      </c>
      <c r="K1" s="39"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397</v>
      </c>
    </row>
    <row r="2" spans="1:25" ht="28.8" x14ac:dyDescent="0.3">
      <c r="A2" s="3" t="s">
        <v>138</v>
      </c>
      <c r="B2" s="3" t="s">
        <v>4</v>
      </c>
      <c r="C2" s="3"/>
      <c r="D2" s="3" t="s">
        <v>138</v>
      </c>
      <c r="E2" s="86" t="s">
        <v>428</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2" t="s">
        <v>250</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29" t="s">
        <v>163</v>
      </c>
      <c r="E4" s="86" t="s">
        <v>429</v>
      </c>
      <c r="F4" s="29"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1" t="s">
        <v>248</v>
      </c>
      <c r="E5" s="96" t="s">
        <v>479</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8" t="s">
        <v>138</v>
      </c>
      <c r="B6" s="88" t="s">
        <v>7</v>
      </c>
      <c r="C6" s="19">
        <v>100</v>
      </c>
      <c r="D6" s="88" t="s">
        <v>15</v>
      </c>
      <c r="E6" s="87" t="s">
        <v>430</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0" t="s">
        <v>443</v>
      </c>
      <c r="E7" s="86" t="s">
        <v>444</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6" t="s">
        <v>19</v>
      </c>
      <c r="C8" s="19"/>
      <c r="D8" s="98" t="s">
        <v>487</v>
      </c>
      <c r="E8" s="63"/>
      <c r="F8" s="98" t="s">
        <v>483</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6" t="s">
        <v>8</v>
      </c>
      <c r="C9" s="19"/>
      <c r="D9" s="26" t="s">
        <v>215</v>
      </c>
      <c r="E9" s="64" t="s">
        <v>247</v>
      </c>
      <c r="F9" s="27"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6" t="s">
        <v>19</v>
      </c>
      <c r="C10" s="19"/>
      <c r="D10" s="26" t="s">
        <v>197</v>
      </c>
      <c r="E10" s="63"/>
      <c r="F10" s="27"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3"/>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3"/>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3"/>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98" t="s">
        <v>483</v>
      </c>
      <c r="B14" s="3" t="s">
        <v>4</v>
      </c>
      <c r="C14" s="3"/>
      <c r="D14" s="98" t="s">
        <v>483</v>
      </c>
      <c r="E14" s="87" t="s">
        <v>409</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98" t="s">
        <v>483</v>
      </c>
      <c r="B15" s="26" t="s">
        <v>6</v>
      </c>
      <c r="C15" s="19"/>
      <c r="D15" s="26" t="s">
        <v>6</v>
      </c>
      <c r="E15" s="62" t="s">
        <v>249</v>
      </c>
      <c r="F15" s="13"/>
      <c r="G15" s="28" t="s">
        <v>64</v>
      </c>
      <c r="H15" s="28"/>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98" t="s">
        <v>483</v>
      </c>
      <c r="B16" s="26" t="s">
        <v>8</v>
      </c>
      <c r="C16" s="19"/>
      <c r="D16" s="26" t="s">
        <v>159</v>
      </c>
      <c r="E16" s="63"/>
      <c r="F16" s="27"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98" t="s">
        <v>483</v>
      </c>
      <c r="B17" s="30" t="s">
        <v>8</v>
      </c>
      <c r="C17" s="19"/>
      <c r="D17" s="30" t="s">
        <v>193</v>
      </c>
      <c r="E17" s="63"/>
      <c r="F17" s="31"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98" t="s">
        <v>483</v>
      </c>
      <c r="B18" s="30" t="s">
        <v>8</v>
      </c>
      <c r="C18" s="19"/>
      <c r="D18" s="23" t="s">
        <v>202</v>
      </c>
      <c r="E18" s="62"/>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98" t="s">
        <v>483</v>
      </c>
      <c r="B19" s="30" t="s">
        <v>13</v>
      </c>
      <c r="C19" s="19"/>
      <c r="D19" s="30" t="s">
        <v>217</v>
      </c>
      <c r="E19" s="87" t="s">
        <v>434</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98" t="s">
        <v>483</v>
      </c>
      <c r="B20" s="30" t="s">
        <v>13</v>
      </c>
      <c r="C20" s="19"/>
      <c r="D20" s="30" t="s">
        <v>218</v>
      </c>
      <c r="E20" s="65" t="s">
        <v>293</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98" t="s">
        <v>483</v>
      </c>
      <c r="B21" s="30" t="s">
        <v>12</v>
      </c>
      <c r="C21" s="19"/>
      <c r="D21" s="30" t="s">
        <v>219</v>
      </c>
      <c r="E21" s="65" t="s">
        <v>292</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98" t="s">
        <v>483</v>
      </c>
      <c r="B22" s="30" t="s">
        <v>12</v>
      </c>
      <c r="C22" s="19"/>
      <c r="D22" s="30" t="s">
        <v>220</v>
      </c>
      <c r="E22" s="65" t="s">
        <v>291</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98" t="s">
        <v>483</v>
      </c>
      <c r="B23" s="88" t="s">
        <v>8</v>
      </c>
      <c r="C23" s="19"/>
      <c r="D23" s="88" t="s">
        <v>435</v>
      </c>
      <c r="E23" s="87" t="s">
        <v>436</v>
      </c>
      <c r="F23" s="89"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98" t="s">
        <v>483</v>
      </c>
      <c r="B24" s="24" t="s">
        <v>19</v>
      </c>
      <c r="C24" s="19"/>
      <c r="D24" s="24" t="s">
        <v>176</v>
      </c>
      <c r="E24" s="63"/>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98" t="s">
        <v>483</v>
      </c>
      <c r="B25" s="24" t="s">
        <v>19</v>
      </c>
      <c r="C25" s="19"/>
      <c r="D25" s="24" t="s">
        <v>196</v>
      </c>
      <c r="E25" s="63"/>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98" t="s">
        <v>483</v>
      </c>
      <c r="B26" s="24" t="s">
        <v>19</v>
      </c>
      <c r="C26" s="19"/>
      <c r="D26" s="24" t="s">
        <v>198</v>
      </c>
      <c r="E26" s="63"/>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8" t="s">
        <v>483</v>
      </c>
      <c r="B27" s="92" t="s">
        <v>19</v>
      </c>
      <c r="C27" s="19"/>
      <c r="D27" s="98" t="s">
        <v>485</v>
      </c>
      <c r="E27" s="63"/>
      <c r="F27" s="98" t="s">
        <v>484</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rentalRequestRotationList</v>
      </c>
      <c r="V27" s="4" t="str">
        <f>IF(LEN(Table2[[#This Row],[!Description]]) &gt; 0, Table2[[#This Row],[!Description]], "rg:None")</f>
        <v>rg:None</v>
      </c>
      <c r="W27" s="4" t="str">
        <f>IF(LEN(Table2[[#This Row],[!FK]])&gt;0,Table2[[#This Row],[!FK]],"rg:None")</f>
        <v>RentalRequestRotationList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98" t="s">
        <v>484</v>
      </c>
      <c r="B28" s="30" t="s">
        <v>4</v>
      </c>
      <c r="C28" s="19"/>
      <c r="D28" s="98" t="s">
        <v>484</v>
      </c>
      <c r="E28" s="87" t="s">
        <v>437</v>
      </c>
      <c r="F28" s="31"/>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98" t="s">
        <v>484</v>
      </c>
      <c r="B29" s="26" t="s">
        <v>6</v>
      </c>
      <c r="C29" s="19"/>
      <c r="D29" s="26" t="s">
        <v>6</v>
      </c>
      <c r="E29" s="86" t="s">
        <v>438</v>
      </c>
      <c r="F29" s="13"/>
      <c r="G29" s="28" t="s">
        <v>64</v>
      </c>
      <c r="H29" s="28"/>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98" t="s">
        <v>484</v>
      </c>
      <c r="B30" s="30" t="s">
        <v>8</v>
      </c>
      <c r="C30" s="19"/>
      <c r="D30" s="98" t="s">
        <v>486</v>
      </c>
      <c r="E30" s="63"/>
      <c r="F30" s="98" t="s">
        <v>483</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v>
      </c>
      <c r="V30" s="4" t="str">
        <f>IF(LEN(Table2[[#This Row],[!Description]]) &gt; 0, Table2[[#This Row],[!Description]], "rg:None")</f>
        <v>rg:None</v>
      </c>
      <c r="W30" s="4" t="str">
        <f>IF(LEN(Table2[[#This Row],[!FK]])&gt;0,Table2[[#This Row],[!FK]],"rg:None")</f>
        <v>RentalRequest</v>
      </c>
      <c r="X30" s="15" t="str">
        <f>IF(LEN(concatif2(A:A,Table2[[#This Row],[!Table]],G:G,"Y",D:D,",")) &gt; 0,"rg:[ { 'req' : '"&amp;concatif2(A:A,Table2[[#This Row],[!Table]],G:G,"Y",D:D,"' }, { 'req': '")&amp;"'} ]","rg:[]")</f>
        <v>rg:[ { 'req' : 'id'} ]</v>
      </c>
      <c r="Y30" s="4" t="str">
        <f>IF(LEN(Table2[[#This Row],[!Unique]])&gt;0,"rg:True","rg:None")</f>
        <v>rg:None</v>
      </c>
    </row>
    <row r="31" spans="1:25" ht="28.8" x14ac:dyDescent="0.3">
      <c r="A31" s="98" t="s">
        <v>484</v>
      </c>
      <c r="B31" s="88" t="s">
        <v>13</v>
      </c>
      <c r="C31" s="19"/>
      <c r="D31" s="92" t="s">
        <v>474</v>
      </c>
      <c r="E31" s="93" t="s">
        <v>475</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98" t="s">
        <v>484</v>
      </c>
      <c r="B32" s="30" t="s">
        <v>8</v>
      </c>
      <c r="C32" s="19"/>
      <c r="D32" s="30" t="s">
        <v>199</v>
      </c>
      <c r="E32" s="63"/>
      <c r="F32" s="31"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98" t="s">
        <v>484</v>
      </c>
      <c r="B33" s="30" t="s">
        <v>8</v>
      </c>
      <c r="C33" s="19"/>
      <c r="D33" s="30" t="s">
        <v>225</v>
      </c>
      <c r="E33" s="87" t="s">
        <v>439</v>
      </c>
      <c r="F33" s="30" t="s">
        <v>224</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98" t="s">
        <v>484</v>
      </c>
      <c r="B34" s="30" t="s">
        <v>9</v>
      </c>
      <c r="C34" s="19"/>
      <c r="D34" s="30" t="s">
        <v>223</v>
      </c>
      <c r="E34" s="87" t="s">
        <v>440</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98" t="s">
        <v>484</v>
      </c>
      <c r="B35" s="33" t="s">
        <v>9</v>
      </c>
      <c r="C35" s="19"/>
      <c r="D35" s="52" t="s">
        <v>251</v>
      </c>
      <c r="E35" s="64" t="s">
        <v>253</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98" t="s">
        <v>484</v>
      </c>
      <c r="B36" s="30" t="s">
        <v>12</v>
      </c>
      <c r="C36" s="19"/>
      <c r="D36" s="52" t="s">
        <v>252</v>
      </c>
      <c r="E36" s="66" t="s">
        <v>398</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98" t="s">
        <v>484</v>
      </c>
      <c r="B37" s="52" t="s">
        <v>7</v>
      </c>
      <c r="C37" s="19"/>
      <c r="D37" s="52" t="s">
        <v>254</v>
      </c>
      <c r="E37" s="67" t="s">
        <v>255</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98" t="s">
        <v>484</v>
      </c>
      <c r="B38" s="30" t="s">
        <v>7</v>
      </c>
      <c r="C38" s="19">
        <v>2048</v>
      </c>
      <c r="D38" s="30" t="s">
        <v>222</v>
      </c>
      <c r="E38" s="64" t="s">
        <v>256</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98" t="s">
        <v>484</v>
      </c>
      <c r="B39" s="30" t="s">
        <v>7</v>
      </c>
      <c r="C39" s="19">
        <v>2048</v>
      </c>
      <c r="D39" s="30" t="s">
        <v>165</v>
      </c>
      <c r="E39" s="64" t="s">
        <v>257</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0" t="s">
        <v>224</v>
      </c>
      <c r="B40" s="30" t="s">
        <v>4</v>
      </c>
      <c r="C40" s="19"/>
      <c r="D40" s="30" t="s">
        <v>224</v>
      </c>
      <c r="E40" s="87" t="s">
        <v>441</v>
      </c>
      <c r="F40" s="31"/>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0" t="s">
        <v>224</v>
      </c>
      <c r="B41" s="26" t="s">
        <v>6</v>
      </c>
      <c r="C41" s="19"/>
      <c r="D41" s="26" t="s">
        <v>6</v>
      </c>
      <c r="E41" s="62" t="s">
        <v>331</v>
      </c>
      <c r="F41" s="13"/>
      <c r="G41" s="28" t="s">
        <v>64</v>
      </c>
      <c r="H41" s="28"/>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0" t="s">
        <v>224</v>
      </c>
      <c r="B42" s="30" t="s">
        <v>8</v>
      </c>
      <c r="C42" s="19"/>
      <c r="D42" s="30" t="s">
        <v>199</v>
      </c>
      <c r="E42" s="63"/>
      <c r="F42" s="31"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0" t="s">
        <v>224</v>
      </c>
      <c r="B43" s="26" t="s">
        <v>8</v>
      </c>
      <c r="C43" s="19"/>
      <c r="D43" s="26" t="s">
        <v>159</v>
      </c>
      <c r="E43" s="63"/>
      <c r="F43" s="27"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0" t="s">
        <v>224</v>
      </c>
      <c r="B44" s="30" t="s">
        <v>19</v>
      </c>
      <c r="C44" s="19"/>
      <c r="D44" s="30" t="s">
        <v>226</v>
      </c>
      <c r="E44" s="63"/>
      <c r="F44" s="31" t="s">
        <v>227</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1" t="s">
        <v>227</v>
      </c>
      <c r="B45" s="30" t="s">
        <v>4</v>
      </c>
      <c r="C45" s="19"/>
      <c r="D45" s="31" t="s">
        <v>227</v>
      </c>
      <c r="E45" s="87" t="s">
        <v>410</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1" t="s">
        <v>227</v>
      </c>
      <c r="B46" s="26" t="s">
        <v>6</v>
      </c>
      <c r="C46" s="19"/>
      <c r="D46" s="26" t="s">
        <v>6</v>
      </c>
      <c r="E46" s="62" t="s">
        <v>330</v>
      </c>
      <c r="F46" s="13"/>
      <c r="G46" s="28" t="s">
        <v>64</v>
      </c>
      <c r="H46" s="28"/>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1" t="s">
        <v>227</v>
      </c>
      <c r="B47" s="30" t="s">
        <v>8</v>
      </c>
      <c r="C47" s="19"/>
      <c r="D47" s="30" t="s">
        <v>225</v>
      </c>
      <c r="E47" s="63"/>
      <c r="F47" s="31" t="s">
        <v>224</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1" t="s">
        <v>227</v>
      </c>
      <c r="B48" s="32" t="s">
        <v>12</v>
      </c>
      <c r="C48" s="3"/>
      <c r="D48" s="32" t="s">
        <v>228</v>
      </c>
      <c r="E48" s="64" t="s">
        <v>260</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1" t="s">
        <v>227</v>
      </c>
      <c r="B49" s="32" t="s">
        <v>12</v>
      </c>
      <c r="C49" s="3"/>
      <c r="D49" s="32" t="s">
        <v>229</v>
      </c>
      <c r="E49" s="66" t="s">
        <v>399</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2" t="s">
        <v>227</v>
      </c>
      <c r="B50" s="52" t="s">
        <v>7</v>
      </c>
      <c r="C50" s="19">
        <v>20</v>
      </c>
      <c r="D50" s="52" t="s">
        <v>258</v>
      </c>
      <c r="E50" s="64" t="s">
        <v>259</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1" t="s">
        <v>227</v>
      </c>
      <c r="B51" s="3" t="s">
        <v>110</v>
      </c>
      <c r="C51" s="3"/>
      <c r="D51" s="3" t="s">
        <v>149</v>
      </c>
      <c r="E51" s="64" t="s">
        <v>261</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1" t="s">
        <v>227</v>
      </c>
      <c r="B52" s="3" t="s">
        <v>110</v>
      </c>
      <c r="C52" s="3"/>
      <c r="D52" s="3" t="s">
        <v>150</v>
      </c>
      <c r="E52" s="64" t="s">
        <v>262</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1" t="s">
        <v>227</v>
      </c>
      <c r="B53" s="3" t="s">
        <v>110</v>
      </c>
      <c r="C53" s="3"/>
      <c r="D53" s="3" t="s">
        <v>151</v>
      </c>
      <c r="E53" s="64" t="s">
        <v>262</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1" t="s">
        <v>227</v>
      </c>
      <c r="B54" s="3" t="s">
        <v>110</v>
      </c>
      <c r="C54" s="3"/>
      <c r="D54" s="3" t="s">
        <v>152</v>
      </c>
      <c r="E54" s="64" t="s">
        <v>262</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1" t="s">
        <v>227</v>
      </c>
      <c r="B55" s="3" t="s">
        <v>110</v>
      </c>
      <c r="C55" s="3"/>
      <c r="D55" s="3" t="s">
        <v>153</v>
      </c>
      <c r="E55" s="64" t="s">
        <v>262</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1" t="s">
        <v>227</v>
      </c>
      <c r="B56" s="3" t="s">
        <v>110</v>
      </c>
      <c r="C56" s="3"/>
      <c r="D56" s="3" t="s">
        <v>154</v>
      </c>
      <c r="E56" s="64" t="s">
        <v>262</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6" t="s">
        <v>411</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2" t="s">
        <v>329</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2"/>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2"/>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2"/>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0" t="s">
        <v>263</v>
      </c>
      <c r="E62" s="86" t="s">
        <v>445</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4" t="s">
        <v>264</v>
      </c>
      <c r="E63" s="61" t="s">
        <v>265</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1" t="s">
        <v>266</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1" t="s">
        <v>267</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3" t="s">
        <v>12</v>
      </c>
      <c r="C66" s="3"/>
      <c r="D66" s="43" t="s">
        <v>240</v>
      </c>
      <c r="E66" s="61" t="s">
        <v>268</v>
      </c>
      <c r="F66" s="3" t="s">
        <v>5</v>
      </c>
      <c r="G66" s="4"/>
      <c r="H66" s="4"/>
      <c r="I66" s="4" t="str">
        <f t="shared" ref="I66:I88"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8" t="s">
        <v>201</v>
      </c>
      <c r="B67" s="88" t="s">
        <v>9</v>
      </c>
      <c r="C67" s="19"/>
      <c r="D67" s="88" t="s">
        <v>431</v>
      </c>
      <c r="E67" s="87" t="s">
        <v>442</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8" t="s">
        <v>201</v>
      </c>
      <c r="B68" s="88" t="s">
        <v>7</v>
      </c>
      <c r="C68" s="19">
        <v>2048</v>
      </c>
      <c r="D68" s="88" t="s">
        <v>432</v>
      </c>
      <c r="E68" s="87" t="s">
        <v>433</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1" t="s">
        <v>269</v>
      </c>
      <c r="E69" s="61" t="s">
        <v>270</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1" t="s">
        <v>271</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1" t="s">
        <v>272</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1" t="s">
        <v>273</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96" t="s">
        <v>480</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WITH THE BUSINESS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96" t="s">
        <v>480</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WITH THE BUSINESS - WHAT IS THIS?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96" t="s">
        <v>480</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WITH THE BUSINESS - WHAT IS THIS?</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96" t="s">
        <v>480</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WITH THE BUSINESS - WHAT IS THIS?</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1" t="s">
        <v>275</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1" t="s">
        <v>276</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96" t="s">
        <v>480</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TO BE REVIEWED WITH THE BUSINESS - 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3" t="s">
        <v>110</v>
      </c>
      <c r="C80" s="3"/>
      <c r="D80" s="23" t="s">
        <v>212</v>
      </c>
      <c r="E80" s="68" t="s">
        <v>277</v>
      </c>
      <c r="F80" s="3" t="s">
        <v>5</v>
      </c>
      <c r="G80" s="4"/>
      <c r="H80" s="4"/>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3" t="s">
        <v>110</v>
      </c>
      <c r="C81" s="3"/>
      <c r="D81" s="90" t="s">
        <v>140</v>
      </c>
      <c r="E81" s="68" t="s">
        <v>278</v>
      </c>
      <c r="F81" s="3" t="s">
        <v>5</v>
      </c>
      <c r="G81" s="4"/>
      <c r="H81" s="4"/>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28.8" x14ac:dyDescent="0.3">
      <c r="A82" s="88" t="s">
        <v>201</v>
      </c>
      <c r="B82" s="88" t="s">
        <v>12</v>
      </c>
      <c r="C82" s="19"/>
      <c r="D82" s="88" t="s">
        <v>448</v>
      </c>
      <c r="E82" s="87" t="s">
        <v>449</v>
      </c>
      <c r="F82" s="13"/>
      <c r="G82" s="20"/>
      <c r="H82" s="20"/>
      <c r="I82" s="4" t="str">
        <f>IF(LEN(A82) &gt; 0,"Defs","-")</f>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seniorityEffectiveDate</v>
      </c>
      <c r="V82" s="4" t="str">
        <f>IF(LEN(Table2[[#This Row],[!Description]]) &gt; 0, Table2[[#This Row],[!Description]], "rg:None")</f>
        <v>The time the seniority data in the record went into effect. Used to populate the SeniorityAudit table when the seniority data is next updated.</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23" t="s">
        <v>201</v>
      </c>
      <c r="B83" s="3" t="s">
        <v>110</v>
      </c>
      <c r="C83" s="3"/>
      <c r="D83" s="90" t="s">
        <v>446</v>
      </c>
      <c r="E83" s="61" t="s">
        <v>274</v>
      </c>
      <c r="F83" s="3" t="s">
        <v>5</v>
      </c>
      <c r="G83" s="4"/>
      <c r="H83" s="4"/>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float</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yearsOfService</v>
      </c>
      <c r="V83" s="4" t="str">
        <f>IF(LEN(Table2[[#This Row],[!Description]]) &gt; 0, Table2[[#This Row],[!Description]], "rg:None")</f>
        <v>The number of years of active service of this piece of equipment at the time seniority is calculated - April 1 of the current FY.</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x14ac:dyDescent="0.3">
      <c r="A84" s="23" t="s">
        <v>201</v>
      </c>
      <c r="B84" s="3" t="s">
        <v>110</v>
      </c>
      <c r="C84" s="3"/>
      <c r="D84" s="53" t="s">
        <v>279</v>
      </c>
      <c r="E84" s="68" t="s">
        <v>280</v>
      </c>
      <c r="F84" s="3" t="s">
        <v>5</v>
      </c>
      <c r="G84" s="4"/>
      <c r="H84" s="4"/>
      <c r="I84" s="4" t="str">
        <f t="shared" si="7"/>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float</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serviceHoursLastYear</v>
      </c>
      <c r="V84" s="4" t="str">
        <f>IF(LEN(Table2[[#This Row],[!Description]]) &gt; 0, Table2[[#This Row],[!Description]], "rg:None")</f>
        <v>Number of hours of service by this piece of equipment in the previous fiscal year</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53" t="s">
        <v>281</v>
      </c>
      <c r="E85" s="68" t="s">
        <v>282</v>
      </c>
      <c r="F85" s="3" t="s">
        <v>5</v>
      </c>
      <c r="G85" s="4"/>
      <c r="H85" s="4"/>
      <c r="I85" s="4" t="str">
        <f t="shared" si="7"/>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serviceHoursTwoYearsAgo</v>
      </c>
      <c r="V85" s="4" t="str">
        <f>IF(LEN(Table2[[#This Row],[!Description]]) &gt; 0, Table2[[#This Row],[!Description]], "rg:None")</f>
        <v>Number of hours of service by this piece of equipment in the fiscal year before the last one - e.g. if current year is FY2018 then hours in FY2016</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ht="28.8" x14ac:dyDescent="0.3">
      <c r="A86" s="23" t="s">
        <v>201</v>
      </c>
      <c r="B86" s="3" t="s">
        <v>110</v>
      </c>
      <c r="C86" s="3"/>
      <c r="D86" s="53" t="s">
        <v>284</v>
      </c>
      <c r="E86" s="68" t="s">
        <v>283</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serviceHoursThreeYearsAgo</v>
      </c>
      <c r="V86" s="4" t="str">
        <f>IF(LEN(Table2[[#This Row],[!Description]]) &gt; 0, Table2[[#This Row],[!Description]], "rg:None")</f>
        <v>Number of hours of service by this piece of equipment in the fiscal year three years ago - e.g. if current year is FY2018 then hours in FY2015</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x14ac:dyDescent="0.3">
      <c r="A87" s="23" t="s">
        <v>201</v>
      </c>
      <c r="B87" s="3" t="s">
        <v>7</v>
      </c>
      <c r="C87" s="3">
        <v>50</v>
      </c>
      <c r="D87" s="53" t="s">
        <v>285</v>
      </c>
      <c r="E87" s="95" t="s">
        <v>478</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50</v>
      </c>
      <c r="U87" s="4" t="str">
        <f>IF(LEN(Table2[[#This Row],[!Name]]) &gt; 0, Table2[[#This Row],[!Name]], "rg:None")</f>
        <v>archiveCode</v>
      </c>
      <c r="V87" s="4" t="str">
        <f>IF(LEN(Table2[[#This Row],[!Description]]) &gt; 0, Table2[[#This Row],[!Description]], "rg:None")</f>
        <v>TO BE REVIEWED - A reason code indicating why a piece of equipment has been archived.</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x14ac:dyDescent="0.3">
      <c r="A88" s="23" t="s">
        <v>201</v>
      </c>
      <c r="B88" s="3" t="s">
        <v>7</v>
      </c>
      <c r="C88" s="3">
        <v>2048</v>
      </c>
      <c r="D88" s="3" t="s">
        <v>143</v>
      </c>
      <c r="E88" s="68" t="s">
        <v>286</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string</v>
      </c>
      <c r="S88" s="4" t="str">
        <f>IF(Table2[[#This Row],[!Type]]=S$1, S$1,"rg:None")</f>
        <v>rg:None</v>
      </c>
      <c r="T88" s="4">
        <f>IF(LEN(Table2[[#This Row],[!Length]]) &gt; 0, Table2[[#This Row],[!Length]], "rg:None")</f>
        <v>2048</v>
      </c>
      <c r="U88" s="4" t="str">
        <f>IF(LEN(Table2[[#This Row],[!Name]]) &gt; 0, Table2[[#This Row],[!Name]], "rg:None")</f>
        <v>archiveReason</v>
      </c>
      <c r="V88" s="4" t="str">
        <f>IF(LEN(Table2[[#This Row],[!Description]]) &gt; 0, Table2[[#This Row],[!Description]], "rg:None")</f>
        <v>An optional comment about why this piece of equipment has been archived.</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23" t="s">
        <v>12</v>
      </c>
      <c r="C89" s="3"/>
      <c r="D89" s="23" t="s">
        <v>210</v>
      </c>
      <c r="E89" s="68" t="s">
        <v>287</v>
      </c>
      <c r="F89" s="3" t="s">
        <v>5</v>
      </c>
      <c r="G89" s="4"/>
      <c r="H89" s="4"/>
      <c r="I89" s="4" t="str">
        <f t="shared" ref="I89:I108" si="8">IF(LEN(A89) &gt; 0,"Defs","-")</f>
        <v>Defs</v>
      </c>
      <c r="J89" s="4" t="str">
        <f>IF(Table2[[#This Row],[!Type]]=J$1, J$1,"rg:None")</f>
        <v>rg:None</v>
      </c>
      <c r="K89" s="4" t="str">
        <f>IF(Table2[[#This Row],[!Type]]=K$1, K$1,"rg:None")</f>
        <v>rg:None</v>
      </c>
      <c r="L89" s="4" t="str">
        <f>IF(Table2[[#This Row],[!Type]]=L$1, L$1,"rg:None")</f>
        <v>datetime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archiveDate</v>
      </c>
      <c r="V89" s="4" t="str">
        <f>IF(LEN(Table2[[#This Row],[!Description]]) &gt; 0, Table2[[#This Row],[!Description]], "rg:None")</f>
        <v>The date on which a user most recenly marked this piece of equipment as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ht="28.8" x14ac:dyDescent="0.3">
      <c r="A90" s="23" t="s">
        <v>201</v>
      </c>
      <c r="B90" s="53" t="s">
        <v>8</v>
      </c>
      <c r="C90" s="3"/>
      <c r="D90" s="53" t="s">
        <v>288</v>
      </c>
      <c r="E90" s="68" t="s">
        <v>289</v>
      </c>
      <c r="F90" s="59" t="s">
        <v>111</v>
      </c>
      <c r="G90" s="4"/>
      <c r="H90" s="4"/>
      <c r="I90" s="4" t="str">
        <f t="shared" si="8"/>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dumpTruck</v>
      </c>
      <c r="V90" s="4" t="str">
        <f>IF(LEN(Table2[[#This Row],[!Description]]) &gt; 0, Table2[[#This Row],[!Description]], "rg:None")</f>
        <v>A link to a dump truck set if this piece of equipment is an equipment type flagged as a dump truck.</v>
      </c>
      <c r="W90" s="4" t="str">
        <f>IF(LEN(Table2[[#This Row],[!FK]])&gt;0,Table2[[#This Row],[!FK]],"rg:None")</f>
        <v>DumpTruck</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4" t="s">
        <v>19</v>
      </c>
      <c r="C91" s="19"/>
      <c r="D91" s="24" t="s">
        <v>213</v>
      </c>
      <c r="E91" s="63"/>
      <c r="F91" s="23" t="s">
        <v>204</v>
      </c>
      <c r="G91" s="20"/>
      <c r="H91" s="20"/>
      <c r="I91" s="4" t="str">
        <f t="shared" si="8"/>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links</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equipmentAttachments</v>
      </c>
      <c r="V91" s="4" t="str">
        <f>IF(LEN(Table2[[#This Row],[!Description]]) &gt; 0, Table2[[#This Row],[!Description]], "rg:None")</f>
        <v>rg:None</v>
      </c>
      <c r="W91" s="4" t="str">
        <f>IF(LEN(Table2[[#This Row],[!FK]])&gt;0,Table2[[#This Row],[!FK]],"rg:None")</f>
        <v>EquipmentAttachment</v>
      </c>
      <c r="X91" s="15" t="str">
        <f>IF(LEN(concatif2(A:A,Table2[[#This Row],[!Table]],G:G,"Y",D:D,",")) &gt; 0,"rg:[ { 'req' : '"&amp;concatif2(A:A,Table2[[#This Row],[!Table]],G:G,"Y",D:D,"' }, { 'req': '")&amp;"'} ]","rg:[]")</f>
        <v>rg:[ { 'req' : 'id'} ]</v>
      </c>
      <c r="Y91" s="4" t="str">
        <f>IF(LEN(Table2[[#This Row],[!Unique]])&gt;0,"rg:True","rg:None")</f>
        <v>rg:None</v>
      </c>
    </row>
    <row r="92" spans="1:25" x14ac:dyDescent="0.3">
      <c r="A92" s="23" t="s">
        <v>201</v>
      </c>
      <c r="B92" s="24" t="s">
        <v>19</v>
      </c>
      <c r="C92" s="19"/>
      <c r="D92" s="24" t="s">
        <v>176</v>
      </c>
      <c r="E92" s="63"/>
      <c r="F92" s="25" t="s">
        <v>156</v>
      </c>
      <c r="G92" s="20"/>
      <c r="H92" s="20"/>
      <c r="I92" s="4" t="str">
        <f t="shared" si="8"/>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links</v>
      </c>
      <c r="Q92" s="4" t="str">
        <f>IF(Table2[[#This Row],[!Type]]=Q$1, Q$1,"rg:None")</f>
        <v>rg:None</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notes</v>
      </c>
      <c r="V92" s="4" t="str">
        <f>IF(LEN(Table2[[#This Row],[!Description]]) &gt; 0, Table2[[#This Row],[!Description]], "rg:None")</f>
        <v>rg:None</v>
      </c>
      <c r="W92" s="4" t="str">
        <f>IF(LEN(Table2[[#This Row],[!FK]])&gt;0,Table2[[#This Row],[!FK]],"rg:None")</f>
        <v>Note</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196</v>
      </c>
      <c r="E93" s="63"/>
      <c r="F93" s="22" t="s">
        <v>170</v>
      </c>
      <c r="G93" s="20"/>
      <c r="H93" s="20"/>
      <c r="I93" s="4" t="str">
        <f t="shared" si="8"/>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attachments</v>
      </c>
      <c r="V93" s="4" t="str">
        <f>IF(LEN(Table2[[#This Row],[!Description]]) &gt; 0, Table2[[#This Row],[!Description]], "rg:None")</f>
        <v>rg:None</v>
      </c>
      <c r="W93" s="4" t="str">
        <f>IF(LEN(Table2[[#This Row],[!FK]])&gt;0,Table2[[#This Row],[!FK]],"rg:None")</f>
        <v>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198</v>
      </c>
      <c r="E94" s="63"/>
      <c r="F94" s="23" t="s">
        <v>172</v>
      </c>
      <c r="G94" s="20"/>
      <c r="H94" s="20"/>
      <c r="I94" s="4" t="str">
        <f t="shared" si="8"/>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history</v>
      </c>
      <c r="V94" s="4" t="str">
        <f>IF(LEN(Table2[[#This Row],[!Description]]) &gt; 0, Table2[[#This Row],[!Description]], "rg:None")</f>
        <v>rg:None</v>
      </c>
      <c r="W94" s="4" t="str">
        <f>IF(LEN(Table2[[#This Row],[!FK]])&gt;0,Table2[[#This Row],[!FK]],"rg:None")</f>
        <v>History</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214</v>
      </c>
      <c r="E95" s="63"/>
      <c r="F95" s="3" t="s">
        <v>157</v>
      </c>
      <c r="G95" s="20"/>
      <c r="H95" s="20"/>
      <c r="I95" s="4" t="str">
        <f t="shared" si="8"/>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seniorityAudit</v>
      </c>
      <c r="V95" s="4" t="str">
        <f>IF(LEN(Table2[[#This Row],[!Description]]) &gt; 0, Table2[[#This Row],[!Description]], "rg:None")</f>
        <v>rg:None</v>
      </c>
      <c r="W95" s="4" t="str">
        <f>IF(LEN(Table2[[#This Row],[!FK]])&gt;0,Table2[[#This Row],[!FK]],"rg:None")</f>
        <v>SeniorityAudit</v>
      </c>
      <c r="X95" s="15" t="str">
        <f>IF(LEN(concatif2(A:A,Table2[[#This Row],[!Table]],G:G,"Y",D:D,",")) &gt; 0,"rg:[ { 'req' : '"&amp;concatif2(A:A,Table2[[#This Row],[!Table]],G:G,"Y",D:D,"' }, { 'req': '")&amp;"'} ]","rg:[]")</f>
        <v>rg:[ { 'req' : 'id'} ]</v>
      </c>
      <c r="Y95" s="4" t="str">
        <f>IF(LEN(Table2[[#This Row],[!Unique]])&gt;0,"rg:True","rg:None")</f>
        <v>rg:None</v>
      </c>
    </row>
    <row r="96" spans="1:25" ht="115.2" x14ac:dyDescent="0.3">
      <c r="A96" s="3" t="s">
        <v>111</v>
      </c>
      <c r="B96" s="3" t="s">
        <v>4</v>
      </c>
      <c r="C96" s="3"/>
      <c r="D96" s="3" t="s">
        <v>111</v>
      </c>
      <c r="E96" s="97" t="s">
        <v>447</v>
      </c>
      <c r="F96" s="3" t="s">
        <v>5</v>
      </c>
      <c r="G96" s="4"/>
      <c r="H96" s="4"/>
      <c r="I96" s="4" t="str">
        <f t="shared" si="8"/>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table</v>
      </c>
      <c r="T96" s="4" t="str">
        <f>IF(LEN(Table2[[#This Row],[!Length]]) &gt; 0, Table2[[#This Row],[!Length]], "rg:None")</f>
        <v>rg:None</v>
      </c>
      <c r="U96" s="4" t="str">
        <f>IF(LEN(Table2[[#This Row],[!Name]]) &gt; 0, Table2[[#This Row],[!Name]], "rg:None")</f>
        <v>DumpTruck</v>
      </c>
      <c r="V96"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6" s="4" t="str">
        <f>IF(LEN(Table2[[#This Row],[!FK]])&gt;0,Table2[[#This Row],[!FK]],"rg:None")</f>
        <v>rg:None</v>
      </c>
      <c r="X96" s="15" t="str">
        <f>IF(LEN(concatif2(A:A,Table2[[#This Row],[!Table]],G:G,"Y",D:D,",")) &gt; 0,"rg:[ { 'req' : '"&amp;concatif2(A:A,Table2[[#This Row],[!Table]],G:G,"Y",D:D,"' }, { 'req': '")&amp;"'} ]","rg:[]")</f>
        <v>rg:[ { 'req' : 'id'} ]</v>
      </c>
      <c r="Y96" s="4" t="str">
        <f>IF(LEN(Table2[[#This Row],[!Unique]])&gt;0,"rg:True","rg:None")</f>
        <v>rg:None</v>
      </c>
    </row>
    <row r="97" spans="1:25" x14ac:dyDescent="0.3">
      <c r="A97" s="3" t="s">
        <v>111</v>
      </c>
      <c r="B97" s="3" t="s">
        <v>6</v>
      </c>
      <c r="C97" s="3"/>
      <c r="D97" s="3" t="s">
        <v>6</v>
      </c>
      <c r="E97" s="62" t="s">
        <v>328</v>
      </c>
      <c r="F97" s="3" t="s">
        <v>5</v>
      </c>
      <c r="G97" s="4" t="s">
        <v>64</v>
      </c>
      <c r="H97" s="4"/>
      <c r="I97" s="4" t="str">
        <f t="shared" si="8"/>
        <v>Defs</v>
      </c>
      <c r="J97" s="4" t="str">
        <f>IF(Table2[[#This Row],[!Type]]=J$1, J$1,"rg:None")</f>
        <v>rg:None</v>
      </c>
      <c r="K97" s="4" t="str">
        <f>IF(Table2[[#This Row],[!Type]]=K$1, K$1,"rg:None")</f>
        <v>rg:None</v>
      </c>
      <c r="L97" s="4" t="str">
        <f>IF(Table2[[#This Row],[!Type]]=L$1, L$1,"rg:None")</f>
        <v>rg:None</v>
      </c>
      <c r="M97" s="4" t="str">
        <f>IF(Table2[[#This Row],[!Type]]=M$1, M$1,"rg:None")</f>
        <v>id</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id</v>
      </c>
      <c r="V97" s="4" t="str">
        <f>IF(LEN(Table2[[#This Row],[!Description]]) &gt; 0, Table2[[#This Row],[!Description]], "rg:None")</f>
        <v>A system-generated unique identifier for a DumpTruck</v>
      </c>
      <c r="W97" s="4" t="str">
        <f>IF(LEN(Table2[[#This Row],[!FK]])&gt;0,Table2[[#This Row],[!FK]],"rg:None")</f>
        <v>rg:None</v>
      </c>
      <c r="X97" s="15" t="str">
        <f>IF(LEN(concatif2(A:A,Table2[[#This Row],[!Table]],G:G,"Y",D:D,",")) &gt; 0,"rg:[ { 'req' : '"&amp;concatif2(A:A,Table2[[#This Row],[!Table]],G:G,"Y",D:D,"' }, { 'req': '")&amp;"'} ]","rg:[]")</f>
        <v>rg:[ { 'req' : 'id'} ]</v>
      </c>
      <c r="Y97" s="4" t="str">
        <f>IF(LEN(Table2[[#This Row],[!Unique]])&gt;0,"rg:True","rg:None")</f>
        <v>rg:None</v>
      </c>
    </row>
    <row r="98" spans="1:25" x14ac:dyDescent="0.3">
      <c r="A98" s="23" t="s">
        <v>111</v>
      </c>
      <c r="B98" s="53" t="s">
        <v>9</v>
      </c>
      <c r="C98" s="3"/>
      <c r="D98" s="53" t="s">
        <v>290</v>
      </c>
      <c r="E98" s="68" t="s">
        <v>300</v>
      </c>
      <c r="F98" s="3" t="s">
        <v>5</v>
      </c>
      <c r="G98" s="4"/>
      <c r="H98" s="4"/>
      <c r="I98" s="4" t="str">
        <f t="shared" si="8"/>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isSingleAxle</v>
      </c>
      <c r="V98" s="4" t="str">
        <f>IF(LEN(Table2[[#This Row],[!Description]]) &gt; 0, Table2[[#This Row],[!Description]], "rg:None")</f>
        <v>True if the vehicle has a single axle. Can be false or null.</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53" t="s">
        <v>9</v>
      </c>
      <c r="C99" s="3"/>
      <c r="D99" s="53" t="s">
        <v>294</v>
      </c>
      <c r="E99" s="68" t="s">
        <v>299</v>
      </c>
      <c r="F99" s="3" t="s">
        <v>5</v>
      </c>
      <c r="G99" s="4"/>
      <c r="H99" s="4"/>
      <c r="I99" s="4" t="str">
        <f t="shared" si="8"/>
        <v>Defs</v>
      </c>
      <c r="J99" s="4" t="str">
        <f>IF(Table2[[#This Row],[!Type]]=J$1, J$1,"rg:None")</f>
        <v>boolean</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isTandemAxle</v>
      </c>
      <c r="V99" s="4" t="str">
        <f>IF(LEN(Table2[[#This Row],[!Description]]) &gt; 0, Table2[[#This Row],[!Description]], "rg:None")</f>
        <v>True if the vehicle has a tandem axle. Can be false or null.</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3" t="s">
        <v>111</v>
      </c>
      <c r="B100" s="53" t="s">
        <v>9</v>
      </c>
      <c r="C100" s="3"/>
      <c r="D100" s="53" t="s">
        <v>301</v>
      </c>
      <c r="E100" s="68" t="s">
        <v>302</v>
      </c>
      <c r="F100" s="3" t="s">
        <v>5</v>
      </c>
      <c r="G100" s="4"/>
      <c r="H100" s="4"/>
      <c r="I100" s="4" t="str">
        <f>IF(LEN(A100) &gt; 0,"Defs","-")</f>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isTridem</v>
      </c>
      <c r="V100" s="4" t="str">
        <f>IF(LEN(Table2[[#This Row],[!Description]]) &gt; 0, Table2[[#This Row],[!Description]], "rg:None")</f>
        <v xml:space="preserve">True if the Dump Truck is a tridem - a three axle dump truck. Can be false or null. </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ht="28.8" x14ac:dyDescent="0.3">
      <c r="A101" s="3" t="s">
        <v>111</v>
      </c>
      <c r="B101" s="53" t="s">
        <v>9</v>
      </c>
      <c r="C101" s="3"/>
      <c r="D101" s="53" t="s">
        <v>295</v>
      </c>
      <c r="E101" s="68" t="s">
        <v>296</v>
      </c>
      <c r="F101" s="3" t="s">
        <v>5</v>
      </c>
      <c r="G101" s="4"/>
      <c r="H101" s="4"/>
      <c r="I101" s="4" t="str">
        <f t="shared" si="8"/>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hasPUP</v>
      </c>
      <c r="V101" s="4" t="str">
        <f>IF(LEN(Table2[[#This Row],[!Description]]) &gt; 0, Table2[[#This Row],[!Description]], "rg:None")</f>
        <v>True if the Dump Truck has a PUP trailer - a trailer with it's own hydraulic unloading system.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3" t="s">
        <v>9</v>
      </c>
      <c r="C102" s="3"/>
      <c r="D102" s="53" t="s">
        <v>297</v>
      </c>
      <c r="E102" s="68" t="s">
        <v>298</v>
      </c>
      <c r="F102" s="3" t="s">
        <v>5</v>
      </c>
      <c r="G102" s="4"/>
      <c r="H102" s="4"/>
      <c r="I102" s="4" t="str">
        <f t="shared" si="8"/>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hasBellyDump</v>
      </c>
      <c r="V102" s="4" t="str">
        <f>IF(LEN(Table2[[#This Row],[!Description]]) &gt; 0, Table2[[#This Row],[!Description]], "rg:None")</f>
        <v>True if the Dump Truck has a belly dump capability. Can be false or null.</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x14ac:dyDescent="0.3">
      <c r="A103" s="3" t="s">
        <v>111</v>
      </c>
      <c r="B103" s="53" t="s">
        <v>9</v>
      </c>
      <c r="C103" s="3"/>
      <c r="D103" s="53" t="s">
        <v>303</v>
      </c>
      <c r="E103" s="68" t="s">
        <v>304</v>
      </c>
      <c r="F103" s="3" t="s">
        <v>5</v>
      </c>
      <c r="G103" s="4"/>
      <c r="H103" s="4"/>
      <c r="I103" s="4" t="str">
        <f t="shared" si="8"/>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hasRockBox</v>
      </c>
      <c r="V103" s="4" t="str">
        <f>IF(LEN(Table2[[#This Row],[!Description]]) &gt; 0, Table2[[#This Row],[!Description]], "rg:None")</f>
        <v>True if the Dump Truck has a rock box.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3" t="s">
        <v>9</v>
      </c>
      <c r="C104" s="3"/>
      <c r="D104" s="53" t="s">
        <v>305</v>
      </c>
      <c r="E104" s="68" t="s">
        <v>306</v>
      </c>
      <c r="F104" s="3" t="s">
        <v>5</v>
      </c>
      <c r="G104" s="4"/>
      <c r="H104" s="4"/>
      <c r="I104" s="4" t="str">
        <f t="shared" si="8"/>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hasHiliftGate</v>
      </c>
      <c r="V104" s="4" t="str">
        <f>IF(LEN(Table2[[#This Row],[!Description]]) &gt; 0, Table2[[#This Row],[!Description]], "rg:None")</f>
        <v>True if the Dump Truck has a high lift gate vs. a traditional gate.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3" t="s">
        <v>9</v>
      </c>
      <c r="C105" s="3"/>
      <c r="D105" s="53" t="s">
        <v>307</v>
      </c>
      <c r="E105" s="68" t="s">
        <v>308</v>
      </c>
      <c r="F105" s="3" t="s">
        <v>5</v>
      </c>
      <c r="G105" s="4"/>
      <c r="H105" s="4"/>
      <c r="I105" s="4" t="str">
        <f t="shared" si="8"/>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isWaterTruck</v>
      </c>
      <c r="V105" s="4" t="str">
        <f>IF(LEN(Table2[[#This Row],[!Description]]) &gt; 0, Table2[[#This Row],[!Description]], "rg:None")</f>
        <v xml:space="preserve">True if the Dump Truck is a Water Truck. Can be false or null. </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3" t="s">
        <v>9</v>
      </c>
      <c r="C106" s="53"/>
      <c r="D106" s="53" t="s">
        <v>309</v>
      </c>
      <c r="E106" s="68" t="s">
        <v>310</v>
      </c>
      <c r="F106" s="3" t="s">
        <v>5</v>
      </c>
      <c r="G106" s="4"/>
      <c r="H106" s="4"/>
      <c r="I106" s="4" t="str">
        <f t="shared" si="8"/>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hasSealcoatHitch</v>
      </c>
      <c r="V106" s="4" t="str">
        <f>IF(LEN(Table2[[#This Row],[!Description]]) &gt; 0, Table2[[#This Row],[!Description]], "rg:None")</f>
        <v>True if the Dump Truck has a hitch for using sealcoat trailers.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3" t="s">
        <v>7</v>
      </c>
      <c r="C107" s="3">
        <v>150</v>
      </c>
      <c r="D107" s="3" t="s">
        <v>112</v>
      </c>
      <c r="E107" s="68" t="s">
        <v>311</v>
      </c>
      <c r="F107" s="3" t="s">
        <v>5</v>
      </c>
      <c r="G107" s="4"/>
      <c r="H107" s="4"/>
      <c r="I107" s="4" t="str">
        <f t="shared" si="8"/>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150</v>
      </c>
      <c r="U107" s="4" t="str">
        <f>IF(LEN(Table2[[#This Row],[!Name]]) &gt; 0, Table2[[#This Row],[!Name]], "rg:None")</f>
        <v>rearAxleSpacing</v>
      </c>
      <c r="V107" s="4" t="str">
        <f>IF(LEN(Table2[[#This Row],[!Description]]) &gt; 0, Table2[[#This Row],[!Description]], "rg:None")</f>
        <v>The spacing of the rear axles, if applicable. Usually in metres.</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3" t="s">
        <v>7</v>
      </c>
      <c r="C108" s="3">
        <v>150</v>
      </c>
      <c r="D108" s="3" t="s">
        <v>113</v>
      </c>
      <c r="E108" s="68" t="s">
        <v>312</v>
      </c>
      <c r="F108" s="3" t="s">
        <v>5</v>
      </c>
      <c r="G108" s="4"/>
      <c r="H108" s="4"/>
      <c r="I108" s="4" t="str">
        <f t="shared" si="8"/>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150</v>
      </c>
      <c r="U108" s="4" t="str">
        <f>IF(LEN(Table2[[#This Row],[!Name]]) &gt; 0, Table2[[#This Row],[!Name]], "rg:None")</f>
        <v>frontTireSize</v>
      </c>
      <c r="V108" s="4" t="str">
        <f>IF(LEN(Table2[[#This Row],[!Description]]) &gt; 0, Table2[[#This Row],[!Description]], "rg:None")</f>
        <v>The size of of the Front Tires of the Dump Truck.</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114</v>
      </c>
      <c r="E109" s="68" t="s">
        <v>313</v>
      </c>
      <c r="F109" s="3" t="s">
        <v>5</v>
      </c>
      <c r="G109" s="4"/>
      <c r="H109" s="4"/>
      <c r="I109" s="4" t="str">
        <f t="shared" ref="I109:I128" si="9">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frontTireUOM</v>
      </c>
      <c r="V109" s="4" t="str">
        <f>IF(LEN(Table2[[#This Row],[!Description]]) &gt; 0, Table2[[#This Row],[!Description]], "rg:None")</f>
        <v>The Unit of Measure of the Front Tire Size.</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115</v>
      </c>
      <c r="E110" s="68" t="s">
        <v>314</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frontAxleCapacity</v>
      </c>
      <c r="V110" s="4" t="str">
        <f>IF(LEN(Table2[[#This Row],[!Description]]) &gt; 0, Table2[[#This Row],[!Description]], "rg:None")</f>
        <v>The rated capacity of the Front Axle.</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23" t="s">
        <v>211</v>
      </c>
      <c r="E111" s="68" t="s">
        <v>315</v>
      </c>
      <c r="F111" s="3" t="s">
        <v>5</v>
      </c>
      <c r="G111" s="4"/>
      <c r="H111" s="4"/>
      <c r="I111" s="4" t="str">
        <f t="shared" si="9"/>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rearAxleCapacity</v>
      </c>
      <c r="V111" s="4" t="str">
        <f>IF(LEN(Table2[[#This Row],[!Description]]) &gt; 0, Table2[[#This Row],[!Description]], "rg:None")</f>
        <v>The rated capacity of the Rear Axle.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116</v>
      </c>
      <c r="E112" s="68" t="s">
        <v>316</v>
      </c>
      <c r="F112" s="3" t="s">
        <v>5</v>
      </c>
      <c r="G112" s="4"/>
      <c r="H112" s="4"/>
      <c r="I112" s="4" t="str">
        <f t="shared" si="9"/>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legalLoad</v>
      </c>
      <c r="V112" s="4" t="str">
        <f>IF(LEN(Table2[[#This Row],[!Description]]) &gt; 0, Table2[[#This Row],[!Description]], "rg:None")</f>
        <v>The legal load of the vehicle in kg.</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3" t="s">
        <v>117</v>
      </c>
      <c r="E113" s="68" t="s">
        <v>317</v>
      </c>
      <c r="F113" s="3" t="s">
        <v>5</v>
      </c>
      <c r="G113" s="4"/>
      <c r="H113" s="4"/>
      <c r="I113" s="4" t="str">
        <f t="shared" si="9"/>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legalCapacity</v>
      </c>
      <c r="V113" s="4" t="str">
        <f>IF(LEN(Table2[[#This Row],[!Description]]) &gt; 0, Table2[[#This Row],[!Description]], "rg:None")</f>
        <v>The legal capacity of the dump truck.</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118</v>
      </c>
      <c r="E114" s="68" t="s">
        <v>321</v>
      </c>
      <c r="F114" s="3" t="s">
        <v>5</v>
      </c>
      <c r="G114" s="4"/>
      <c r="H114" s="4"/>
      <c r="I114" s="4" t="str">
        <f t="shared" si="9"/>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legalPUPTareWeight</v>
      </c>
      <c r="V114" s="4" t="str">
        <f>IF(LEN(Table2[[#This Row],[!Description]]) &gt; 0, Table2[[#This Row],[!Description]], "rg:None")</f>
        <v>The legal Tare Weight (weight when unloaded) of the PUP trailer.</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ht="43.2" x14ac:dyDescent="0.3">
      <c r="A115" s="3" t="s">
        <v>111</v>
      </c>
      <c r="B115" s="3" t="s">
        <v>7</v>
      </c>
      <c r="C115" s="3">
        <v>150</v>
      </c>
      <c r="D115" s="3" t="s">
        <v>119</v>
      </c>
      <c r="E115" s="68" t="s">
        <v>318</v>
      </c>
      <c r="F115" s="3" t="s">
        <v>5</v>
      </c>
      <c r="G115" s="4"/>
      <c r="H115" s="4"/>
      <c r="I115" s="4" t="str">
        <f t="shared" si="9"/>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licencedGVW</v>
      </c>
      <c r="V115"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120</v>
      </c>
      <c r="E116" s="68" t="s">
        <v>319</v>
      </c>
      <c r="F116" s="3" t="s">
        <v>5</v>
      </c>
      <c r="G116" s="4"/>
      <c r="H116" s="4"/>
      <c r="I116" s="4" t="str">
        <f t="shared" si="9"/>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licencedGVWUOM</v>
      </c>
      <c r="V116" s="4" t="str">
        <f>IF(LEN(Table2[[#This Row],[!Description]]) &gt; 0, Table2[[#This Row],[!Description]], "rg:None")</f>
        <v>The Unit of Measure (UOM) of the licenced GVW.</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x14ac:dyDescent="0.3">
      <c r="A117" s="3" t="s">
        <v>111</v>
      </c>
      <c r="B117" s="3" t="s">
        <v>7</v>
      </c>
      <c r="C117" s="3">
        <v>150</v>
      </c>
      <c r="D117" s="3" t="s">
        <v>121</v>
      </c>
      <c r="E117" s="68" t="s">
        <v>320</v>
      </c>
      <c r="F117" s="3" t="s">
        <v>5</v>
      </c>
      <c r="G117" s="4"/>
      <c r="H117" s="4"/>
      <c r="I117" s="4" t="str">
        <f t="shared" si="9"/>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licencedTareWeight</v>
      </c>
      <c r="V117" s="4" t="str">
        <f>IF(LEN(Table2[[#This Row],[!Description]]) &gt; 0, Table2[[#This Row],[!Description]], "rg:None")</f>
        <v>The licenced Tare Weight (weight when unloaded) of the vehicle.</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122</v>
      </c>
      <c r="E118" s="68" t="s">
        <v>322</v>
      </c>
      <c r="F118" s="3" t="s">
        <v>5</v>
      </c>
      <c r="G118" s="4"/>
      <c r="H118" s="4"/>
      <c r="I118" s="4" t="str">
        <f t="shared" si="9"/>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licencedPUPTareWeight</v>
      </c>
      <c r="V118" s="4" t="str">
        <f>IF(LEN(Table2[[#This Row],[!Description]]) &gt; 0, Table2[[#This Row],[!Description]], "rg:None")</f>
        <v>The licenced Tare Weight (weight when unloaded) of the PUP trailer.</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123</v>
      </c>
      <c r="E119" s="68" t="s">
        <v>323</v>
      </c>
      <c r="F119" s="3" t="s">
        <v>5</v>
      </c>
      <c r="G119" s="4"/>
      <c r="H119" s="4"/>
      <c r="I119" s="4" t="str">
        <f t="shared" si="9"/>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licencedLoad</v>
      </c>
      <c r="V119" s="4" t="str">
        <f>IF(LEN(Table2[[#This Row],[!Description]]) &gt; 0, Table2[[#This Row],[!Description]], "rg:None")</f>
        <v>The licenced maximum load of the vehicle in kg.</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124</v>
      </c>
      <c r="E120" s="68" t="s">
        <v>324</v>
      </c>
      <c r="F120" s="3" t="s">
        <v>5</v>
      </c>
      <c r="G120" s="4"/>
      <c r="H120" s="4"/>
      <c r="I120" s="4" t="str">
        <f t="shared" si="9"/>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licencedCapacity</v>
      </c>
      <c r="V120" s="4" t="str">
        <f>IF(LEN(Table2[[#This Row],[!Description]]) &gt; 0, Table2[[#This Row],[!Description]], "rg:None")</f>
        <v>The licenced maximum capacity of the vehicle.</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ht="28.8" x14ac:dyDescent="0.3">
      <c r="A121" s="3" t="s">
        <v>111</v>
      </c>
      <c r="B121" s="3" t="s">
        <v>7</v>
      </c>
      <c r="C121" s="3">
        <v>150</v>
      </c>
      <c r="D121" s="3" t="s">
        <v>125</v>
      </c>
      <c r="E121" s="70" t="s">
        <v>400</v>
      </c>
      <c r="F121" s="3" t="s">
        <v>5</v>
      </c>
      <c r="G121" s="4"/>
      <c r="H121" s="4"/>
      <c r="I121" s="4" t="str">
        <f t="shared" si="9"/>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boxLength</v>
      </c>
      <c r="V121" s="4" t="str">
        <f>IF(LEN(Table2[[#This Row],[!Description]]) &gt; 0, Table2[[#This Row],[!Description]], "rg:None")</f>
        <v>The length of the box, in metres. See - http-//www.bclaws.ca/EPLibraries/bclaws_new/document/ID/freeside/30_7, appendix B</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ht="28.8" x14ac:dyDescent="0.3">
      <c r="A122" s="3" t="s">
        <v>111</v>
      </c>
      <c r="B122" s="3" t="s">
        <v>7</v>
      </c>
      <c r="C122" s="3">
        <v>150</v>
      </c>
      <c r="D122" s="3" t="s">
        <v>126</v>
      </c>
      <c r="E122" s="70" t="s">
        <v>401</v>
      </c>
      <c r="F122" s="3" t="s">
        <v>5</v>
      </c>
      <c r="G122" s="4"/>
      <c r="H122" s="4"/>
      <c r="I122" s="4" t="str">
        <f t="shared" si="9"/>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boxWidth</v>
      </c>
      <c r="V122" s="4" t="str">
        <f>IF(LEN(Table2[[#This Row],[!Description]]) &gt; 0, Table2[[#This Row],[!Description]], "rg:None")</f>
        <v>The width of the box, in metres. See - http-//www.bclaws.ca/EPLibraries/bclaws_new/document/ID/freeside/30_7, appendix B</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127</v>
      </c>
      <c r="E123" s="70" t="s">
        <v>405</v>
      </c>
      <c r="F123" s="3" t="s">
        <v>5</v>
      </c>
      <c r="G123" s="4"/>
      <c r="H123" s="4"/>
      <c r="I123" s="4" t="str">
        <f t="shared" si="9"/>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boxHeight</v>
      </c>
      <c r="V123" s="4" t="str">
        <f>IF(LEN(Table2[[#This Row],[!Description]]) &gt; 0, Table2[[#This Row],[!Description]], "rg:None")</f>
        <v>The height of the box, in metres. See-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x14ac:dyDescent="0.3">
      <c r="A124" s="3" t="s">
        <v>111</v>
      </c>
      <c r="B124" s="3" t="s">
        <v>7</v>
      </c>
      <c r="C124" s="3">
        <v>150</v>
      </c>
      <c r="D124" s="3" t="s">
        <v>128</v>
      </c>
      <c r="E124" s="68" t="s">
        <v>325</v>
      </c>
      <c r="F124" s="3" t="s">
        <v>5</v>
      </c>
      <c r="G124" s="4"/>
      <c r="H124" s="4"/>
      <c r="I124" s="4" t="str">
        <f t="shared" si="9"/>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boxCapacity</v>
      </c>
      <c r="V124" s="4" t="str">
        <f>IF(LEN(Table2[[#This Row],[!Description]]) &gt; 0, Table2[[#This Row],[!Description]], "rg:None")</f>
        <v>The capacity of the box.</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129</v>
      </c>
      <c r="E125" s="70" t="s">
        <v>406</v>
      </c>
      <c r="F125" s="3" t="s">
        <v>5</v>
      </c>
      <c r="G125" s="4"/>
      <c r="H125" s="4"/>
      <c r="I125" s="4" t="str">
        <f t="shared" si="9"/>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trailerBoxLength</v>
      </c>
      <c r="V125" s="4" t="str">
        <f>IF(LEN(Table2[[#This Row],[!Description]]) &gt; 0, Table2[[#This Row],[!Description]], "rg:None")</f>
        <v>The length of the trailer box, in metres. See 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ht="28.8" x14ac:dyDescent="0.3">
      <c r="A126" s="3" t="s">
        <v>111</v>
      </c>
      <c r="B126" s="3" t="s">
        <v>7</v>
      </c>
      <c r="C126" s="3">
        <v>150</v>
      </c>
      <c r="D126" s="3" t="s">
        <v>130</v>
      </c>
      <c r="E126" s="70" t="s">
        <v>407</v>
      </c>
      <c r="F126" s="3" t="s">
        <v>5</v>
      </c>
      <c r="G126" s="4"/>
      <c r="H126" s="4"/>
      <c r="I126" s="4" t="str">
        <f t="shared" si="9"/>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trailerBoxWidth</v>
      </c>
      <c r="V126" s="4" t="str">
        <f>IF(LEN(Table2[[#This Row],[!Description]]) &gt; 0, Table2[[#This Row],[!Description]], "rg:None")</f>
        <v>The width of the trailer box, in metres. See www.bclaws.ca/EPLibraries/bclaws_new/document/ID/freeside/30_7, appendix B</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131</v>
      </c>
      <c r="E127" s="70" t="s">
        <v>408</v>
      </c>
      <c r="F127" s="3" t="s">
        <v>5</v>
      </c>
      <c r="G127" s="4"/>
      <c r="H127" s="4"/>
      <c r="I127" s="4" t="str">
        <f t="shared" si="9"/>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trailerBoxHeight</v>
      </c>
      <c r="V127" s="4" t="str">
        <f>IF(LEN(Table2[[#This Row],[!Description]]) &gt; 0, Table2[[#This Row],[!Description]], "rg:None")</f>
        <v>The height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x14ac:dyDescent="0.3">
      <c r="A128" s="3" t="s">
        <v>111</v>
      </c>
      <c r="B128" s="3" t="s">
        <v>7</v>
      </c>
      <c r="C128" s="3">
        <v>150</v>
      </c>
      <c r="D128" s="3" t="s">
        <v>132</v>
      </c>
      <c r="E128" s="68" t="s">
        <v>326</v>
      </c>
      <c r="F128" s="3" t="s">
        <v>5</v>
      </c>
      <c r="G128" s="4"/>
      <c r="H128" s="4"/>
      <c r="I128" s="4" t="str">
        <f t="shared" si="9"/>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trailerBoxCapacity</v>
      </c>
      <c r="V128" s="4" t="str">
        <f>IF(LEN(Table2[[#This Row],[!Description]]) &gt; 0, Table2[[#This Row],[!Description]], "rg:None")</f>
        <v>The capacity of the trailer box.</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100.8" x14ac:dyDescent="0.3">
      <c r="A129" s="23" t="s">
        <v>203</v>
      </c>
      <c r="B129" s="3" t="s">
        <v>4</v>
      </c>
      <c r="C129" s="3"/>
      <c r="D129" s="23" t="s">
        <v>203</v>
      </c>
      <c r="E129" s="69" t="s">
        <v>333</v>
      </c>
      <c r="F129" s="3" t="s">
        <v>5</v>
      </c>
      <c r="G129" s="4"/>
      <c r="H129" s="4"/>
      <c r="I129" s="4" t="str">
        <f t="shared" ref="I129:I139" si="10">IF(LEN(A129) &gt; 0,"Defs","-")</f>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EquipmentType</v>
      </c>
      <c r="V129"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23" t="s">
        <v>203</v>
      </c>
      <c r="B130" s="3" t="s">
        <v>6</v>
      </c>
      <c r="C130" s="3"/>
      <c r="D130" s="3" t="s">
        <v>6</v>
      </c>
      <c r="E130" s="69" t="s">
        <v>334</v>
      </c>
      <c r="F130" s="3" t="s">
        <v>5</v>
      </c>
      <c r="G130" s="4" t="s">
        <v>64</v>
      </c>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an EquipmentType</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x14ac:dyDescent="0.3">
      <c r="A131" s="23" t="s">
        <v>203</v>
      </c>
      <c r="B131" s="3" t="s">
        <v>8</v>
      </c>
      <c r="C131" s="3"/>
      <c r="D131" s="23" t="s">
        <v>193</v>
      </c>
      <c r="E131" s="62"/>
      <c r="F131" s="23" t="s">
        <v>161</v>
      </c>
      <c r="G131" s="4"/>
      <c r="H131" s="4"/>
      <c r="I131" s="4" t="str">
        <f t="shared" si="10"/>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localArea</v>
      </c>
      <c r="V131" s="4" t="str">
        <f>IF(LEN(Table2[[#This Row],[!Description]]) &gt; 0, Table2[[#This Row],[!Description]], "rg:None")</f>
        <v>rg:None</v>
      </c>
      <c r="W131" s="4" t="str">
        <f>IF(LEN(Table2[[#This Row],[!FK]])&gt;0,Table2[[#This Row],[!FK]],"rg:None")</f>
        <v>LocalArea</v>
      </c>
      <c r="X131" s="15" t="str">
        <f>IF(LEN(concatif2(A:A,Table2[[#This Row],[!Table]],G:G,"Y",D:D,",")) &gt; 0,"rg:[ { 'req' : '"&amp;concatif2(A:A,Table2[[#This Row],[!Table]],G:G,"Y",D:D,"' }, { 'req': '")&amp;"'} ]","rg:[]")</f>
        <v>rg:[ { 'req' : 'id'} ]</v>
      </c>
      <c r="Y131" s="4" t="str">
        <f>IF(LEN(Table2[[#This Row],[!Unique]])&gt;0,"rg:True","rg:None")</f>
        <v>rg:None</v>
      </c>
    </row>
    <row r="132" spans="1:25" ht="28.8" x14ac:dyDescent="0.3">
      <c r="A132" s="23" t="s">
        <v>203</v>
      </c>
      <c r="B132" s="3" t="s">
        <v>7</v>
      </c>
      <c r="C132" s="3">
        <v>50</v>
      </c>
      <c r="D132" s="23" t="s">
        <v>60</v>
      </c>
      <c r="E132" s="69" t="s">
        <v>335</v>
      </c>
      <c r="F132" s="3" t="s">
        <v>5</v>
      </c>
      <c r="G132" s="4"/>
      <c r="H132" s="4"/>
      <c r="I132" s="4" t="str">
        <f t="shared" si="10"/>
        <v>Defs</v>
      </c>
      <c r="J132" s="4" t="str">
        <f>IF(Table2[[#This Row],[!Type]]=J$1, J$1,"rg:None")</f>
        <v>rg:None</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4">
        <f>IF(LEN(Table2[[#This Row],[!Length]]) &gt; 0, Table2[[#This Row],[!Length]], "rg:None")</f>
        <v>50</v>
      </c>
      <c r="U132" s="4" t="str">
        <f>IF(LEN(Table2[[#This Row],[!Name]]) &gt; 0, Table2[[#This Row],[!Name]], "rg:None")</f>
        <v>code</v>
      </c>
      <c r="V132" s="4" t="str">
        <f>IF(LEN(Table2[[#This Row],[!Description]]) &gt; 0, Table2[[#This Row],[!Description]], "rg:None")</f>
        <v>CHECK WITH BUSINESS - IS THIS NEEDED - A unique but human-friendly code for the Equipment Type that can be displayed on screens with little screen real estate available.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7</v>
      </c>
      <c r="C133" s="3">
        <v>2048</v>
      </c>
      <c r="D133" s="23" t="s">
        <v>14</v>
      </c>
      <c r="E133" s="70" t="s">
        <v>336</v>
      </c>
      <c r="F133" s="3" t="s">
        <v>5</v>
      </c>
      <c r="G133" s="4"/>
      <c r="H133" s="4"/>
      <c r="I133" s="4" t="str">
        <f t="shared" si="10"/>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string</v>
      </c>
      <c r="S133" s="4" t="str">
        <f>IF(Table2[[#This Row],[!Type]]=S$1, S$1,"rg:None")</f>
        <v>rg:None</v>
      </c>
      <c r="T133" s="4">
        <f>IF(LEN(Table2[[#This Row],[!Length]]) &gt; 0, Table2[[#This Row],[!Length]], "rg:None")</f>
        <v>2048</v>
      </c>
      <c r="U133" s="4" t="str">
        <f>IF(LEN(Table2[[#This Row],[!Name]]) &gt; 0, Table2[[#This Row],[!Name]], "rg:None")</f>
        <v>description</v>
      </c>
      <c r="V133" s="4" t="str">
        <f>IF(LEN(Table2[[#This Row],[!Description]]) &gt; 0, Table2[[#This Row],[!Description]], "rg:None")</f>
        <v>The name of the equipment type, as specified by the HETS Clerk creating the equipment type.</v>
      </c>
      <c r="W133" s="4" t="str">
        <f>IF(LEN(Table2[[#This Row],[!FK]])&gt;0,Table2[[#This Row],[!FK]],"rg:None")</f>
        <v>rg:None</v>
      </c>
      <c r="X133" s="15" t="str">
        <f>IF(LEN(concatif2(A:A,Table2[[#This Row],[!Table]],G:G,"Y",D:D,",")) &gt; 0,"rg:[ { 'req' : '"&amp;concatif2(A:A,Table2[[#This Row],[!Table]],G:G,"Y",D:D,"' }, { 'req': '")&amp;"'} ]","rg:[]")</f>
        <v>rg:[ { 'req' : 'id'} ]</v>
      </c>
      <c r="Y133" s="4" t="str">
        <f>IF(LEN(Table2[[#This Row],[!Unique]])&gt;0,"rg:True","rg:None")</f>
        <v>rg:None</v>
      </c>
    </row>
    <row r="134" spans="1:25" x14ac:dyDescent="0.3">
      <c r="A134" s="23" t="s">
        <v>203</v>
      </c>
      <c r="B134" s="3" t="s">
        <v>110</v>
      </c>
      <c r="C134" s="3"/>
      <c r="D134" s="3" t="s">
        <v>144</v>
      </c>
      <c r="E134" s="96" t="s">
        <v>480</v>
      </c>
      <c r="F134" s="3" t="s">
        <v>5</v>
      </c>
      <c r="G134" s="4"/>
      <c r="H134" s="4"/>
      <c r="I134" s="4" t="str">
        <f t="shared" si="10"/>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float</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equipRentalRateNo</v>
      </c>
      <c r="V134" s="4" t="str">
        <f>IF(LEN(Table2[[#This Row],[!Description]]) &gt; 0, Table2[[#This Row],[!Description]], "rg:None")</f>
        <v>TO BE REVIEWED WITH THE BUSINESS - WHAT IS THIS?</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110</v>
      </c>
      <c r="C135" s="3"/>
      <c r="D135" s="3" t="s">
        <v>145</v>
      </c>
      <c r="E135" s="96" t="s">
        <v>480</v>
      </c>
      <c r="F135" s="3" t="s">
        <v>5</v>
      </c>
      <c r="G135" s="4"/>
      <c r="H135" s="4"/>
      <c r="I135" s="4" t="str">
        <f t="shared" si="10"/>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float</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equipRentalRatePage</v>
      </c>
      <c r="V135" s="4" t="str">
        <f>IF(LEN(Table2[[#This Row],[!Description]]) &gt; 0, Table2[[#This Row],[!Description]], "rg:None")</f>
        <v>TO BE REVIEWED WITH THE BUSINESS - WHAT IS THIS?</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146</v>
      </c>
      <c r="E136" s="96" t="s">
        <v>480</v>
      </c>
      <c r="F136" s="3" t="s">
        <v>5</v>
      </c>
      <c r="G136" s="4"/>
      <c r="H136" s="4"/>
      <c r="I136" s="4" t="str">
        <f t="shared" si="10"/>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maxHours</v>
      </c>
      <c r="V136" s="4" t="str">
        <f>IF(LEN(Table2[[#This Row],[!Description]]) &gt; 0, Table2[[#This Row],[!Description]], "rg:None")</f>
        <v>TO BE REVIEWED WITH THE BUSINESS - WHAT IS THIS?</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147</v>
      </c>
      <c r="E137" s="96" t="s">
        <v>480</v>
      </c>
      <c r="F137" s="3" t="s">
        <v>5</v>
      </c>
      <c r="G137" s="4"/>
      <c r="H137" s="4"/>
      <c r="I137" s="4" t="str">
        <f t="shared" si="10"/>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extendHours</v>
      </c>
      <c r="V137" s="4" t="str">
        <f>IF(LEN(Table2[[#This Row],[!Description]]) &gt; 0, Table2[[#This Row],[!Description]], "rg:None")</f>
        <v>TO BE REVIEWED WITH THE BUSINESS - WHAT IS THIS?</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148</v>
      </c>
      <c r="E138" s="96" t="s">
        <v>480</v>
      </c>
      <c r="F138" s="3" t="s">
        <v>5</v>
      </c>
      <c r="G138" s="4"/>
      <c r="H138" s="4"/>
      <c r="I138" s="4" t="str">
        <f t="shared" si="10"/>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maxHoursSub</v>
      </c>
      <c r="V138" s="4" t="str">
        <f>IF(LEN(Table2[[#This Row],[!Description]]) &gt; 0, Table2[[#This Row],[!Description]], "rg:None")</f>
        <v>TO BE REVIEWED WITH THE BUSINESS - WHAT IS THIS?</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ht="43.2" x14ac:dyDescent="0.3">
      <c r="A139" s="23" t="s">
        <v>203</v>
      </c>
      <c r="B139" s="54" t="s">
        <v>13</v>
      </c>
      <c r="C139" s="3"/>
      <c r="D139" s="94" t="s">
        <v>221</v>
      </c>
      <c r="E139" s="69" t="s">
        <v>337</v>
      </c>
      <c r="F139" s="3" t="s">
        <v>5</v>
      </c>
      <c r="G139" s="4"/>
      <c r="H139" s="4"/>
      <c r="I139" s="4" t="str">
        <f t="shared" si="10"/>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integer</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blocks</v>
      </c>
      <c r="V139"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204</v>
      </c>
      <c r="B140" s="3" t="s">
        <v>4</v>
      </c>
      <c r="C140" s="3"/>
      <c r="D140" s="23" t="s">
        <v>204</v>
      </c>
      <c r="E140" s="86" t="s">
        <v>412</v>
      </c>
      <c r="F140" s="3" t="s">
        <v>5</v>
      </c>
      <c r="G140" s="4"/>
      <c r="H140" s="4"/>
      <c r="I140" s="4" t="str">
        <f t="shared" ref="I140:I163" si="11">IF(LEN(A140) &gt; 0,"Defs","-")</f>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table</v>
      </c>
      <c r="T140" s="4" t="str">
        <f>IF(LEN(Table2[[#This Row],[!Length]]) &gt; 0, Table2[[#This Row],[!Length]], "rg:None")</f>
        <v>rg:None</v>
      </c>
      <c r="U140" s="4" t="str">
        <f>IF(LEN(Table2[[#This Row],[!Name]]) &gt; 0, Table2[[#This Row],[!Name]], "rg:None")</f>
        <v>EquipmentAttachment</v>
      </c>
      <c r="V140" s="4" t="str">
        <f>IF(LEN(Table2[[#This Row],[!Description]]) &gt; 0, Table2[[#This Row],[!Description]], "rg:None")</f>
        <v>An Equipment Attachment associated with a piece of Equipment.</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x14ac:dyDescent="0.3">
      <c r="A141" s="23" t="s">
        <v>204</v>
      </c>
      <c r="B141" s="3" t="s">
        <v>6</v>
      </c>
      <c r="C141" s="3"/>
      <c r="D141" s="3" t="s">
        <v>6</v>
      </c>
      <c r="E141" s="62" t="s">
        <v>332</v>
      </c>
      <c r="F141" s="3" t="s">
        <v>5</v>
      </c>
      <c r="G141" s="4" t="s">
        <v>64</v>
      </c>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id</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id</v>
      </c>
      <c r="V141" s="4" t="str">
        <f>IF(LEN(Table2[[#This Row],[!Description]]) &gt; 0, Table2[[#This Row],[!Description]], "rg:None")</f>
        <v>A system-generated unique identifier for an EquipmentAttachment</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8</v>
      </c>
      <c r="C142" s="3"/>
      <c r="D142" s="23" t="s">
        <v>199</v>
      </c>
      <c r="E142" s="62"/>
      <c r="F142" s="23" t="s">
        <v>201</v>
      </c>
      <c r="G142" s="4"/>
      <c r="H142" s="4"/>
      <c r="I142" s="4" t="str">
        <f t="shared" si="11"/>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ref</v>
      </c>
      <c r="R142" s="4" t="str">
        <f>IF(Table2[[#This Row],[!Type]]=R$1, R$1,"rg:None")</f>
        <v>rg:None</v>
      </c>
      <c r="S142" s="4" t="str">
        <f>IF(Table2[[#This Row],[!Type]]=S$1, S$1,"rg:None")</f>
        <v>rg:None</v>
      </c>
      <c r="T142" s="4" t="str">
        <f>IF(LEN(Table2[[#This Row],[!Length]]) &gt; 0, Table2[[#This Row],[!Length]], "rg:None")</f>
        <v>rg:None</v>
      </c>
      <c r="U142" s="4" t="str">
        <f>IF(LEN(Table2[[#This Row],[!Name]]) &gt; 0, Table2[[#This Row],[!Name]], "rg:None")</f>
        <v>equipment</v>
      </c>
      <c r="V142" s="4" t="str">
        <f>IF(LEN(Table2[[#This Row],[!Description]]) &gt; 0, Table2[[#This Row],[!Description]], "rg:None")</f>
        <v>rg:None</v>
      </c>
      <c r="W142" s="4" t="str">
        <f>IF(LEN(Table2[[#This Row],[!FK]])&gt;0,Table2[[#This Row],[!FK]],"rg:None")</f>
        <v>Equipment</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8</v>
      </c>
      <c r="C143" s="3"/>
      <c r="D143" s="23" t="s">
        <v>20</v>
      </c>
      <c r="E143" s="71"/>
      <c r="F143" s="23" t="s">
        <v>206</v>
      </c>
      <c r="G143" s="4"/>
      <c r="H143" s="4"/>
      <c r="I143" s="4" t="str">
        <f t="shared" si="11"/>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ref</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type</v>
      </c>
      <c r="V143" s="4" t="str">
        <f>IF(LEN(Table2[[#This Row],[!Description]]) &gt; 0, Table2[[#This Row],[!Description]], "rg:None")</f>
        <v>rg:None</v>
      </c>
      <c r="W143" s="4" t="str">
        <f>IF(LEN(Table2[[#This Row],[!FK]])&gt;0,Table2[[#This Row],[!FK]],"rg:None")</f>
        <v>EquipmentAttachmentType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13</v>
      </c>
      <c r="C144" s="3"/>
      <c r="D144" s="23" t="s">
        <v>205</v>
      </c>
      <c r="E144" s="96" t="s">
        <v>480</v>
      </c>
      <c r="F144" s="3" t="s">
        <v>5</v>
      </c>
      <c r="G144" s="4"/>
      <c r="H144" s="4"/>
      <c r="I144" s="4" t="str">
        <f t="shared" si="11"/>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integer</v>
      </c>
      <c r="O144" s="4" t="str">
        <f>IF(Table2[[#This Row],[!Type]]=O$1, O$1,"rg:None")</f>
        <v>rg:None</v>
      </c>
      <c r="P144" s="4" t="str">
        <f>IF(Table2[[#This Row],[!Type]]=P$1, P$1,"rg:None")</f>
        <v>rg:None</v>
      </c>
      <c r="Q144" s="4" t="str">
        <f>IF(Table2[[#This Row],[!Type]]=Q$1, Q$1,"rg:None")</f>
        <v>rg:None</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seqNum</v>
      </c>
      <c r="V144" s="4" t="str">
        <f>IF(LEN(Table2[[#This Row],[!Description]]) &gt; 0, Table2[[#This Row],[!Description]], "rg:None")</f>
        <v>TO BE REVIEWED WITH THE BUSINESS - WHAT IS THIS?</v>
      </c>
      <c r="W144" s="4" t="str">
        <f>IF(LEN(Table2[[#This Row],[!FK]])&gt;0,Table2[[#This Row],[!FK]],"rg:None")</f>
        <v>rg:None</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7</v>
      </c>
      <c r="C145" s="3">
        <v>2048</v>
      </c>
      <c r="D145" s="23" t="s">
        <v>14</v>
      </c>
      <c r="E145" s="69" t="s">
        <v>327</v>
      </c>
      <c r="F145" s="3" t="s">
        <v>5</v>
      </c>
      <c r="G145" s="4"/>
      <c r="H145" s="4"/>
      <c r="I145" s="4" t="str">
        <f t="shared" si="11"/>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2048</v>
      </c>
      <c r="U145" s="4" t="str">
        <f>IF(LEN(Table2[[#This Row],[!Name]]) &gt; 0, Table2[[#This Row],[!Name]], "rg:None")</f>
        <v>description</v>
      </c>
      <c r="V145" s="4" t="str">
        <f>IF(LEN(Table2[[#This Row],[!Description]]) &gt; 0, Table2[[#This Row],[!Description]], "rg:None")</f>
        <v>A description of the equipment attachment if the Equipment Attachment Type is insufficient.</v>
      </c>
      <c r="W145" s="4" t="str">
        <f>IF(LEN(Table2[[#This Row],[!FK]])&gt;0,Table2[[#This Row],[!FK]],"rg:None")</f>
        <v>rg:None</v>
      </c>
      <c r="X145" s="15" t="str">
        <f>IF(LEN(concatif2(A:A,Table2[[#This Row],[!Table]],G:G,"Y",D:D,",")) &gt; 0,"rg:[ { 'req' : '"&amp;concatif2(A:A,Table2[[#This Row],[!Table]],G:G,"Y",D:D,"' }, { 'req': '")&amp;"'} ]","rg:[]")</f>
        <v>rg:[ { 'req' : 'id'} ]</v>
      </c>
      <c r="Y145" s="4" t="str">
        <f>IF(LEN(Table2[[#This Row],[!Unique]])&gt;0,"rg:True","rg:None")</f>
        <v>rg:None</v>
      </c>
    </row>
    <row r="146" spans="1:25" x14ac:dyDescent="0.3">
      <c r="A146" s="23" t="s">
        <v>206</v>
      </c>
      <c r="B146" s="3" t="s">
        <v>4</v>
      </c>
      <c r="C146" s="3"/>
      <c r="D146" s="23" t="s">
        <v>206</v>
      </c>
      <c r="E146" s="86" t="s">
        <v>413</v>
      </c>
      <c r="F146" s="3" t="s">
        <v>5</v>
      </c>
      <c r="G146" s="4"/>
      <c r="H146" s="4"/>
      <c r="I146" s="4" t="str">
        <f t="shared" si="11"/>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table</v>
      </c>
      <c r="T146" s="4" t="str">
        <f>IF(LEN(Table2[[#This Row],[!Length]]) &gt; 0, Table2[[#This Row],[!Length]], "rg:None")</f>
        <v>rg:None</v>
      </c>
      <c r="U146" s="4" t="str">
        <f>IF(LEN(Table2[[#This Row],[!Name]]) &gt; 0, Table2[[#This Row],[!Name]], "rg:None")</f>
        <v>EquipmentAttachmentType</v>
      </c>
      <c r="V146" s="4" t="str">
        <f>IF(LEN(Table2[[#This Row],[!Description]]) &gt; 0, Table2[[#This Row],[!Description]], "rg:None")</f>
        <v>An Equipment Attachment Type.</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206</v>
      </c>
      <c r="B147" s="3" t="s">
        <v>6</v>
      </c>
      <c r="C147" s="3"/>
      <c r="D147" s="3" t="s">
        <v>6</v>
      </c>
      <c r="E147" s="62" t="s">
        <v>402</v>
      </c>
      <c r="F147" s="3" t="s">
        <v>5</v>
      </c>
      <c r="G147" s="4" t="s">
        <v>64</v>
      </c>
      <c r="H147" s="4"/>
      <c r="I147" s="4" t="str">
        <f t="shared" si="11"/>
        <v>Defs</v>
      </c>
      <c r="J147" s="4" t="str">
        <f>IF(Table2[[#This Row],[!Type]]=J$1, J$1,"rg:None")</f>
        <v>rg:None</v>
      </c>
      <c r="K147" s="4" t="str">
        <f>IF(Table2[[#This Row],[!Type]]=K$1, K$1,"rg:None")</f>
        <v>rg:None</v>
      </c>
      <c r="L147" s="4" t="str">
        <f>IF(Table2[[#This Row],[!Type]]=L$1, L$1,"rg:None")</f>
        <v>rg:None</v>
      </c>
      <c r="M147" s="4" t="str">
        <f>IF(Table2[[#This Row],[!Type]]=M$1, M$1,"rg:None")</f>
        <v>id</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rg:None</v>
      </c>
      <c r="T147" s="4" t="str">
        <f>IF(LEN(Table2[[#This Row],[!Length]]) &gt; 0, Table2[[#This Row],[!Length]], "rg:None")</f>
        <v>rg:None</v>
      </c>
      <c r="U147" s="4" t="str">
        <f>IF(LEN(Table2[[#This Row],[!Name]]) &gt; 0, Table2[[#This Row],[!Name]], "rg:None")</f>
        <v>id</v>
      </c>
      <c r="V147" s="4" t="str">
        <f>IF(LEN(Table2[[#This Row],[!Description]]) &gt; 0, Table2[[#This Row],[!Description]], "rg:None")</f>
        <v>A system-generated unique identifier for a EquipmentAttachmentType</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ht="43.2" x14ac:dyDescent="0.3">
      <c r="A148" s="23" t="s">
        <v>206</v>
      </c>
      <c r="B148" s="3" t="s">
        <v>7</v>
      </c>
      <c r="C148" s="3">
        <v>50</v>
      </c>
      <c r="D148" s="23" t="s">
        <v>60</v>
      </c>
      <c r="E148" s="96" t="s">
        <v>481</v>
      </c>
      <c r="F148" s="3" t="s">
        <v>5</v>
      </c>
      <c r="G148" s="20"/>
      <c r="H148" s="20"/>
      <c r="I148" s="4" t="str">
        <f t="shared" si="11"/>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50</v>
      </c>
      <c r="U148" s="4" t="str">
        <f>IF(LEN(Table2[[#This Row],[!Name]]) &gt; 0, Table2[[#This Row],[!Name]], "rg:None")</f>
        <v>code</v>
      </c>
      <c r="V148" s="4" t="str">
        <f>IF(LEN(Table2[[#This Row],[!Description]]) &gt; 0, Table2[[#This Row],[!Description]], "rg:None")</f>
        <v>TO BE REVIEWED WITH THE BUSINESS - IS THIS NEEDED - A unique but human-friendly code for the Equipment Attachment Type that can be displayed on screens with little screen real estate available.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ht="28.8" x14ac:dyDescent="0.3">
      <c r="A149" s="23" t="s">
        <v>206</v>
      </c>
      <c r="B149" s="3" t="s">
        <v>7</v>
      </c>
      <c r="C149" s="3">
        <v>2048</v>
      </c>
      <c r="D149" s="23" t="s">
        <v>14</v>
      </c>
      <c r="E149" s="69" t="s">
        <v>338</v>
      </c>
      <c r="F149" s="3" t="s">
        <v>5</v>
      </c>
      <c r="G149" s="20"/>
      <c r="H149" s="20"/>
      <c r="I149" s="4" t="str">
        <f t="shared" si="11"/>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2048</v>
      </c>
      <c r="U149" s="4" t="str">
        <f>IF(LEN(Table2[[#This Row],[!Name]]) &gt; 0, Table2[[#This Row],[!Name]], "rg:None")</f>
        <v>description</v>
      </c>
      <c r="V149" s="4" t="str">
        <f>IF(LEN(Table2[[#This Row],[!Description]]) &gt; 0, Table2[[#This Row],[!Description]], "rg:None")</f>
        <v>The name of the equipment attachment type, as specified by the HETS Clerk creating the equipment 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86.4" x14ac:dyDescent="0.3">
      <c r="A150" s="3" t="s">
        <v>157</v>
      </c>
      <c r="B150" s="3" t="s">
        <v>4</v>
      </c>
      <c r="C150" s="3"/>
      <c r="D150" s="3" t="s">
        <v>157</v>
      </c>
      <c r="E150" s="69" t="s">
        <v>339</v>
      </c>
      <c r="F150" s="3" t="s">
        <v>5</v>
      </c>
      <c r="G150" s="4"/>
      <c r="H150" s="4"/>
      <c r="I150" s="4" t="str">
        <f t="shared" si="11"/>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rg:None</v>
      </c>
      <c r="S150" s="4" t="str">
        <f>IF(Table2[[#This Row],[!Type]]=S$1, S$1,"rg:None")</f>
        <v>table</v>
      </c>
      <c r="T150" s="4" t="str">
        <f>IF(LEN(Table2[[#This Row],[!Length]]) &gt; 0, Table2[[#This Row],[!Length]], "rg:None")</f>
        <v>rg:None</v>
      </c>
      <c r="U150" s="4" t="str">
        <f>IF(LEN(Table2[[#This Row],[!Name]]) &gt; 0, Table2[[#This Row],[!Name]], "rg:None")</f>
        <v>SeniorityAudit</v>
      </c>
      <c r="V150"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x14ac:dyDescent="0.3">
      <c r="A151" s="3" t="s">
        <v>157</v>
      </c>
      <c r="B151" s="3" t="s">
        <v>6</v>
      </c>
      <c r="C151" s="3"/>
      <c r="D151" s="3" t="s">
        <v>6</v>
      </c>
      <c r="E151" s="62" t="s">
        <v>403</v>
      </c>
      <c r="F151" s="3" t="s">
        <v>5</v>
      </c>
      <c r="G151" s="4" t="s">
        <v>64</v>
      </c>
      <c r="H151" s="4"/>
      <c r="I151" s="4" t="str">
        <f t="shared" si="11"/>
        <v>Defs</v>
      </c>
      <c r="J151" s="4" t="str">
        <f>IF(Table2[[#This Row],[!Type]]=J$1, J$1,"rg:None")</f>
        <v>rg:None</v>
      </c>
      <c r="K151" s="4" t="str">
        <f>IF(Table2[[#This Row],[!Type]]=K$1, K$1,"rg:None")</f>
        <v>rg:None</v>
      </c>
      <c r="L151" s="4" t="str">
        <f>IF(Table2[[#This Row],[!Type]]=L$1, L$1,"rg:None")</f>
        <v>rg:None</v>
      </c>
      <c r="M151" s="4" t="str">
        <f>IF(Table2[[#This Row],[!Type]]=M$1, M$1,"rg:None")</f>
        <v>id</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rg:None</v>
      </c>
      <c r="S151" s="4" t="str">
        <f>IF(Table2[[#This Row],[!Type]]=S$1, S$1,"rg:None")</f>
        <v>rg:None</v>
      </c>
      <c r="T151" s="4" t="str">
        <f>IF(LEN(Table2[[#This Row],[!Length]]) &gt; 0, Table2[[#This Row],[!Length]], "rg:None")</f>
        <v>rg:None</v>
      </c>
      <c r="U151" s="4" t="str">
        <f>IF(LEN(Table2[[#This Row],[!Name]]) &gt; 0, Table2[[#This Row],[!Name]], "rg:None")</f>
        <v>id</v>
      </c>
      <c r="V151" s="4" t="str">
        <f>IF(LEN(Table2[[#This Row],[!Description]]) &gt; 0, Table2[[#This Row],[!Description]], "rg:None")</f>
        <v>A system-generated unique identifier for a SeniorityAudit</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x14ac:dyDescent="0.3">
      <c r="A152" s="3" t="s">
        <v>157</v>
      </c>
      <c r="B152" s="3" t="s">
        <v>12</v>
      </c>
      <c r="C152" s="3"/>
      <c r="D152" s="90" t="s">
        <v>32</v>
      </c>
      <c r="E152" s="86" t="s">
        <v>472</v>
      </c>
      <c r="F152" s="3" t="s">
        <v>5</v>
      </c>
      <c r="G152" s="4"/>
      <c r="H152" s="4"/>
      <c r="I152" s="4" t="str">
        <f t="shared" si="11"/>
        <v>Defs</v>
      </c>
      <c r="J152" s="4" t="str">
        <f>IF(Table2[[#This Row],[!Type]]=J$1, J$1,"rg:None")</f>
        <v>rg:None</v>
      </c>
      <c r="K152" s="4" t="str">
        <f>IF(Table2[[#This Row],[!Type]]=K$1, K$1,"rg:None")</f>
        <v>rg:None</v>
      </c>
      <c r="L152" s="4" t="str">
        <f>IF(Table2[[#This Row],[!Type]]=L$1, L$1,"rg:None")</f>
        <v>datetime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rg:None</v>
      </c>
      <c r="T152" s="4" t="str">
        <f>IF(LEN(Table2[[#This Row],[!Length]]) &gt; 0, Table2[[#This Row],[!Length]], "rg:None")</f>
        <v>rg:None</v>
      </c>
      <c r="U152" s="4" t="str">
        <f>IF(LEN(Table2[[#This Row],[!Name]]) &gt; 0, Table2[[#This Row],[!Name]], "rg:None")</f>
        <v>startDate</v>
      </c>
      <c r="V152" s="4" t="str">
        <f>IF(LEN(Table2[[#This Row],[!Description]]) &gt; 0, Table2[[#This Row],[!Description]], "rg:None")</f>
        <v>The effective date that the Seniority data in this record went into effect.</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88" t="s">
        <v>157</v>
      </c>
      <c r="B153" s="88" t="s">
        <v>12</v>
      </c>
      <c r="C153" s="19"/>
      <c r="D153" s="88" t="s">
        <v>33</v>
      </c>
      <c r="E153" s="87" t="s">
        <v>473</v>
      </c>
      <c r="F153" s="13"/>
      <c r="G153" s="20"/>
      <c r="H153" s="20"/>
      <c r="I153" s="4" t="str">
        <f>IF(LEN(A153) &gt; 0,"Defs","-")</f>
        <v>Defs</v>
      </c>
      <c r="J153" s="4" t="str">
        <f>IF(Table2[[#This Row],[!Type]]=J$1, J$1,"rg:None")</f>
        <v>rg:None</v>
      </c>
      <c r="K153" s="4" t="str">
        <f>IF(Table2[[#This Row],[!Type]]=K$1, K$1,"rg:None")</f>
        <v>rg:None</v>
      </c>
      <c r="L153" s="4" t="str">
        <f>IF(Table2[[#This Row],[!Type]]=L$1, L$1,"rg:None")</f>
        <v>datetime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endDate</v>
      </c>
      <c r="V153" s="4" t="str">
        <f>IF(LEN(Table2[[#This Row],[!Description]]) &gt; 0, Table2[[#This Row],[!Description]], "rg:None")</f>
        <v>The effective date at which the Seniority data in this record ceased to be in effect.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8</v>
      </c>
      <c r="C154" s="3"/>
      <c r="D154" s="23" t="s">
        <v>193</v>
      </c>
      <c r="E154" s="62"/>
      <c r="F154" s="23" t="s">
        <v>161</v>
      </c>
      <c r="G154" s="4"/>
      <c r="H154" s="4"/>
      <c r="I154" s="4" t="str">
        <f t="shared" si="11"/>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ref</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localArea</v>
      </c>
      <c r="V154" s="4" t="str">
        <f>IF(LEN(Table2[[#This Row],[!Description]]) &gt; 0, Table2[[#This Row],[!Description]], "rg:None")</f>
        <v>rg:None</v>
      </c>
      <c r="W154" s="4" t="str">
        <f>IF(LEN(Table2[[#This Row],[!FK]])&gt;0,Table2[[#This Row],[!FK]],"rg:None")</f>
        <v>LocalArea</v>
      </c>
      <c r="X154" s="15" t="str">
        <f>IF(LEN(concatif2(A:A,Table2[[#This Row],[!Table]],G:G,"Y",D:D,",")) &gt; 0,"rg:[ { 'req' : '"&amp;concatif2(A:A,Table2[[#This Row],[!Table]],G:G,"Y",D:D,"' }, { 'req': '")&amp;"'} ]","rg:[]")</f>
        <v>rg:[ { 'req' : 'id'} ]</v>
      </c>
      <c r="Y154" s="4" t="str">
        <f>IF(LEN(Table2[[#This Row],[!Unique]])&gt;0,"rg:True","rg:None")</f>
        <v>rg:None</v>
      </c>
    </row>
    <row r="155" spans="1:25" x14ac:dyDescent="0.3">
      <c r="A155" s="3" t="s">
        <v>157</v>
      </c>
      <c r="B155" s="3" t="s">
        <v>8</v>
      </c>
      <c r="C155" s="3"/>
      <c r="D155" s="23" t="s">
        <v>199</v>
      </c>
      <c r="E155" s="62"/>
      <c r="F155" s="23" t="s">
        <v>201</v>
      </c>
      <c r="G155" s="4"/>
      <c r="H155" s="4"/>
      <c r="I155" s="4" t="str">
        <f t="shared" si="11"/>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ref</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equipment</v>
      </c>
      <c r="V155" s="4" t="str">
        <f>IF(LEN(Table2[[#This Row],[!Description]]) &gt; 0, Table2[[#This Row],[!Description]], "rg:None")</f>
        <v>rg:None</v>
      </c>
      <c r="W155" s="4" t="str">
        <f>IF(LEN(Table2[[#This Row],[!FK]])&gt;0,Table2[[#This Row],[!FK]],"rg:None")</f>
        <v>Equipment</v>
      </c>
      <c r="X155" s="15" t="str">
        <f>IF(LEN(concatif2(A:A,Table2[[#This Row],[!Table]],G:G,"Y",D:D,",")) &gt; 0,"rg:[ { 'req' : '"&amp;concatif2(A:A,Table2[[#This Row],[!Table]],G:G,"Y",D:D,"' }, { 'req': '")&amp;"'} ]","rg:[]")</f>
        <v>rg:[ { 'req' : 'id'} ]</v>
      </c>
      <c r="Y155" s="4" t="str">
        <f>IF(LEN(Table2[[#This Row],[!Unique]])&gt;0,"rg:True","rg:None")</f>
        <v>rg:None</v>
      </c>
    </row>
    <row r="156" spans="1:25" ht="28.8" x14ac:dyDescent="0.3">
      <c r="A156" s="3" t="s">
        <v>157</v>
      </c>
      <c r="B156" s="3" t="s">
        <v>110</v>
      </c>
      <c r="C156" s="3"/>
      <c r="D156" s="23" t="s">
        <v>212</v>
      </c>
      <c r="E156" s="69" t="s">
        <v>342</v>
      </c>
      <c r="F156" s="3" t="s">
        <v>5</v>
      </c>
      <c r="G156" s="4"/>
      <c r="H156" s="4"/>
      <c r="I156" s="4" t="str">
        <f t="shared" si="11"/>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float</v>
      </c>
      <c r="P156" s="4" t="str">
        <f>IF(Table2[[#This Row],[!Type]]=P$1, P$1,"rg:None")</f>
        <v>rg:None</v>
      </c>
      <c r="Q156" s="4" t="str">
        <f>IF(Table2[[#This Row],[!Type]]=Q$1, Q$1,"rg:None")</f>
        <v>rg:None</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blockNumber</v>
      </c>
      <c r="V156" s="4" t="str">
        <f>IF(LEN(Table2[[#This Row],[!Description]]) &gt; 0, Table2[[#This Row],[!Description]], "rg:None")</f>
        <v>The block number for the piece of equipment as calculated by the Seniority Algorthm for this equipment type in the local area. As currently defined by the business - 1, 2 or Open</v>
      </c>
      <c r="W156" s="4" t="str">
        <f>IF(LEN(Table2[[#This Row],[!FK]])&gt;0,Table2[[#This Row],[!FK]],"rg:None")</f>
        <v>rg:None</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158</v>
      </c>
      <c r="E157" s="62"/>
      <c r="F157" s="23" t="s">
        <v>155</v>
      </c>
      <c r="G157" s="4"/>
      <c r="H157" s="4"/>
      <c r="I157" s="4" t="str">
        <f t="shared" si="11"/>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owner</v>
      </c>
      <c r="V157" s="4" t="str">
        <f>IF(LEN(Table2[[#This Row],[!Description]]) &gt; 0, Table2[[#This Row],[!Description]], "rg:None")</f>
        <v>rg:None</v>
      </c>
      <c r="W157" s="4" t="str">
        <f>IF(LEN(Table2[[#This Row],[!FK]])&gt;0,Table2[[#This Row],[!FK]],"rg:None")</f>
        <v>Owner</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7</v>
      </c>
      <c r="C158" s="3">
        <v>150</v>
      </c>
      <c r="D158" s="90" t="s">
        <v>453</v>
      </c>
      <c r="E158" s="86" t="s">
        <v>454</v>
      </c>
      <c r="F158" s="3" t="s">
        <v>5</v>
      </c>
      <c r="G158" s="4"/>
      <c r="H158" s="4"/>
      <c r="I158" s="4" t="str">
        <f t="shared" si="11"/>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ownerOrganizationName</v>
      </c>
      <c r="V158" s="4" t="str">
        <f>IF(LEN(Table2[[#This Row],[!Description]]) &gt; 0, Table2[[#This Row],[!Description]], "rg:None")</f>
        <v>The name of the organization of the owner from the Owner Record, captured at the time this record was created.</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ht="57.6" x14ac:dyDescent="0.3">
      <c r="A159" s="3" t="s">
        <v>157</v>
      </c>
      <c r="B159" s="3" t="s">
        <v>110</v>
      </c>
      <c r="C159" s="3"/>
      <c r="D159" s="3" t="s">
        <v>140</v>
      </c>
      <c r="E159" s="69" t="s">
        <v>340</v>
      </c>
      <c r="F159" s="3" t="s">
        <v>5</v>
      </c>
      <c r="G159" s="4"/>
      <c r="H159" s="4"/>
      <c r="I159" s="4" t="str">
        <f t="shared" si="11"/>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float</v>
      </c>
      <c r="P159" s="4" t="str">
        <f>IF(Table2[[#This Row],[!Type]]=P$1, P$1,"rg:None")</f>
        <v>rg:None</v>
      </c>
      <c r="Q159" s="4" t="str">
        <f>IF(Table2[[#This Row],[!Type]]=Q$1, Q$1,"rg:None")</f>
        <v>rg:None</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seniority</v>
      </c>
      <c r="V159"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59" s="4" t="str">
        <f>IF(LEN(Table2[[#This Row],[!FK]])&gt;0,Table2[[#This Row],[!FK]],"rg:None")</f>
        <v>rg:None</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110</v>
      </c>
      <c r="C160" s="3"/>
      <c r="D160" s="90" t="s">
        <v>450</v>
      </c>
      <c r="E160" s="69" t="s">
        <v>341</v>
      </c>
      <c r="F160" s="3" t="s">
        <v>5</v>
      </c>
      <c r="G160" s="4"/>
      <c r="H160" s="4"/>
      <c r="I160" s="4" t="str">
        <f t="shared" si="11"/>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float</v>
      </c>
      <c r="P160" s="4" t="str">
        <f>IF(Table2[[#This Row],[!Type]]=P$1, P$1,"rg:None")</f>
        <v>rg:None</v>
      </c>
      <c r="Q160" s="4" t="str">
        <f>IF(Table2[[#This Row],[!Type]]=Q$1, Q$1,"rg:None")</f>
        <v>rg:None</v>
      </c>
      <c r="R160" s="4" t="str">
        <f>IF(Table2[[#This Row],[!Type]]=R$1, R$1,"rg:None")</f>
        <v>rg:None</v>
      </c>
      <c r="S160" s="4" t="str">
        <f>IF(Table2[[#This Row],[!Type]]=S$1, S$1,"rg:None")</f>
        <v>rg:None</v>
      </c>
      <c r="T160" s="4" t="str">
        <f>IF(LEN(Table2[[#This Row],[!Length]]) &gt; 0, Table2[[#This Row],[!Length]], "rg:None")</f>
        <v>rg:None</v>
      </c>
      <c r="U160" s="4" t="str">
        <f>IF(LEN(Table2[[#This Row],[!Name]]) &gt; 0, Table2[[#This Row],[!Name]], "rg:None")</f>
        <v>serviceHoursCurrentYearToDate</v>
      </c>
      <c r="V160" s="4" t="str">
        <f>IF(LEN(Table2[[#This Row],[!Description]]) &gt; 0, Table2[[#This Row],[!Description]], "rg:None")</f>
        <v>Sum of hours in the current fiscal year's time cards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x14ac:dyDescent="0.3">
      <c r="A161" s="3" t="s">
        <v>157</v>
      </c>
      <c r="B161" s="3" t="s">
        <v>110</v>
      </c>
      <c r="C161" s="3"/>
      <c r="D161" s="53" t="s">
        <v>279</v>
      </c>
      <c r="E161" s="68" t="s">
        <v>280</v>
      </c>
      <c r="F161" s="3" t="s">
        <v>5</v>
      </c>
      <c r="G161" s="4"/>
      <c r="H161" s="4"/>
      <c r="I161" s="4" t="str">
        <f t="shared" si="11"/>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serviceHoursLastYear</v>
      </c>
      <c r="V161" s="4" t="str">
        <f>IF(LEN(Table2[[#This Row],[!Description]]) &gt; 0, Table2[[#This Row],[!Description]], "rg:None")</f>
        <v>Number of hours of service by this piece of equipment in the previous fiscal year</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53" t="s">
        <v>281</v>
      </c>
      <c r="E162" s="68" t="s">
        <v>282</v>
      </c>
      <c r="F162" s="3" t="s">
        <v>5</v>
      </c>
      <c r="G162" s="4"/>
      <c r="H162" s="4"/>
      <c r="I162" s="4" t="str">
        <f t="shared" si="11"/>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serviceHoursTwoYearsAgo</v>
      </c>
      <c r="V162" s="4" t="str">
        <f>IF(LEN(Table2[[#This Row],[!Description]]) &gt; 0, Table2[[#This Row],[!Description]], "rg:None")</f>
        <v>Number of hours of service by this piece of equipment in the fiscal year before the last one - e.g. if current year is FY2018 then hours in FY2016</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ht="28.8" x14ac:dyDescent="0.3">
      <c r="A163" s="3" t="s">
        <v>157</v>
      </c>
      <c r="B163" s="3" t="s">
        <v>110</v>
      </c>
      <c r="C163" s="3"/>
      <c r="D163" s="53" t="s">
        <v>284</v>
      </c>
      <c r="E163" s="68" t="s">
        <v>283</v>
      </c>
      <c r="F163" s="3" t="s">
        <v>5</v>
      </c>
      <c r="G163" s="4"/>
      <c r="H163" s="4"/>
      <c r="I163" s="4" t="str">
        <f t="shared" si="11"/>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serviceHoursThreeYearsAgo</v>
      </c>
      <c r="V163" s="4" t="str">
        <f>IF(LEN(Table2[[#This Row],[!Description]]) &gt; 0, Table2[[#This Row],[!Description]], "rg:None")</f>
        <v>Number of hours of service by this piece of equipment in the fiscal year three years ago - e.g. if current year is FY2018 then hours in FY2015</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x14ac:dyDescent="0.3">
      <c r="A164" s="3" t="s">
        <v>155</v>
      </c>
      <c r="B164" s="3" t="s">
        <v>4</v>
      </c>
      <c r="C164" s="3"/>
      <c r="D164" s="3" t="s">
        <v>155</v>
      </c>
      <c r="E164" s="86" t="s">
        <v>414</v>
      </c>
      <c r="F164" s="3" t="s">
        <v>5</v>
      </c>
      <c r="G164" s="4"/>
      <c r="H164" s="4"/>
      <c r="I164" s="4" t="str">
        <f t="shared" ref="I164:I175" si="12">IF(LEN(A164) &gt; 0,"Defs","-")</f>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4" t="str">
        <f>IF(LEN(Table2[[#This Row],[!Length]]) &gt; 0, Table2[[#This Row],[!Length]], "rg:None")</f>
        <v>rg:None</v>
      </c>
      <c r="U164" s="4" t="str">
        <f>IF(LEN(Table2[[#This Row],[!Name]]) &gt; 0, Table2[[#This Row],[!Name]], "rg:None")</f>
        <v>Owner</v>
      </c>
      <c r="V164" s="4" t="str">
        <f>IF(LEN(Table2[[#This Row],[!Description]]) &gt; 0, Table2[[#This Row],[!Description]], "rg:None")</f>
        <v>The person or company to which a piece of construction equipment belongs.</v>
      </c>
      <c r="W164" s="4" t="str">
        <f>IF(LEN(Table2[[#This Row],[!FK]])&gt;0,Table2[[#This Row],[!FK]],"rg:None")</f>
        <v>rg:None</v>
      </c>
      <c r="X164" s="15" t="str">
        <f>IF(LEN(concatif2(A:A,Table2[[#This Row],[!Table]],G:G,"Y",D:D,",")) &gt; 0,"rg:[ { 'req' : '"&amp;concatif2(A:A,Table2[[#This Row],[!Table]],G:G,"Y",D:D,"' }, { 'req': '")&amp;"'} ]","rg:[]")</f>
        <v>rg:[ { 'req' : 'id' }, { 'req': 'ownerEquipmentCodePrefix'} ]</v>
      </c>
      <c r="Y164" s="4" t="str">
        <f>IF(LEN(Table2[[#This Row],[!Unique]])&gt;0,"rg:True","rg:None")</f>
        <v>rg:None</v>
      </c>
    </row>
    <row r="165" spans="1:25" x14ac:dyDescent="0.3">
      <c r="A165" s="3" t="s">
        <v>155</v>
      </c>
      <c r="B165" s="3" t="s">
        <v>6</v>
      </c>
      <c r="C165" s="3"/>
      <c r="D165" s="3" t="s">
        <v>6</v>
      </c>
      <c r="E165" s="62" t="s">
        <v>404</v>
      </c>
      <c r="F165" s="3" t="s">
        <v>5</v>
      </c>
      <c r="G165" s="4" t="s">
        <v>64</v>
      </c>
      <c r="H165" s="91" t="s">
        <v>64</v>
      </c>
      <c r="I165" s="4" t="str">
        <f t="shared" si="12"/>
        <v>Defs</v>
      </c>
      <c r="J165" s="4" t="str">
        <f>IF(Table2[[#This Row],[!Type]]=J$1, J$1,"rg:None")</f>
        <v>rg:None</v>
      </c>
      <c r="K165" s="4" t="str">
        <f>IF(Table2[[#This Row],[!Type]]=K$1, K$1,"rg:None")</f>
        <v>rg:None</v>
      </c>
      <c r="L165" s="4" t="str">
        <f>IF(Table2[[#This Row],[!Type]]=L$1, L$1,"rg:None")</f>
        <v>rg:None</v>
      </c>
      <c r="M165" s="4" t="str">
        <f>IF(Table2[[#This Row],[!Type]]=M$1, M$1,"rg:None")</f>
        <v>id</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id</v>
      </c>
      <c r="V165" s="4" t="str">
        <f>IF(LEN(Table2[[#This Row],[!Description]]) &gt; 0, Table2[[#This Row],[!Description]], "rg:None")</f>
        <v>A system-generated unique identifier for a Owner</v>
      </c>
      <c r="W165" s="4" t="str">
        <f>IF(LEN(Table2[[#This Row],[!FK]])&gt;0,Table2[[#This Row],[!FK]],"rg:None")</f>
        <v>rg:None</v>
      </c>
      <c r="X165" s="15" t="str">
        <f>IF(LEN(concatif2(A:A,Table2[[#This Row],[!Table]],G:G,"Y",D:D,",")) &gt; 0,"rg:[ { 'req' : '"&amp;concatif2(A:A,Table2[[#This Row],[!Table]],G:G,"Y",D:D,"' }, { 'req': '")&amp;"'} ]","rg:[]")</f>
        <v>rg:[ { 'req' : 'id' }, { 'req': 'ownerEquipmentCodePrefix'} ]</v>
      </c>
      <c r="Y165" s="4" t="str">
        <f>IF(LEN(Table2[[#This Row],[!Unique]])&gt;0,"rg:True","rg:None")</f>
        <v>rg:True</v>
      </c>
    </row>
    <row r="166" spans="1:25" ht="43.2" x14ac:dyDescent="0.3">
      <c r="A166" s="3" t="s">
        <v>155</v>
      </c>
      <c r="B166" s="3" t="s">
        <v>7</v>
      </c>
      <c r="C166" s="3">
        <v>20</v>
      </c>
      <c r="D166" s="94" t="s">
        <v>476</v>
      </c>
      <c r="E166" s="70" t="s">
        <v>343</v>
      </c>
      <c r="F166" s="3" t="s">
        <v>5</v>
      </c>
      <c r="G166" s="91" t="s">
        <v>64</v>
      </c>
      <c r="H166" s="91" t="s">
        <v>64</v>
      </c>
      <c r="I166" s="4" t="str">
        <f t="shared" si="12"/>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v>
      </c>
      <c r="U166" s="4" t="str">
        <f>IF(LEN(Table2[[#This Row],[!Name]]) &gt; 0, Table2[[#This Row],[!Name]], "rg:None")</f>
        <v>ownerEquipmentCodePrefix</v>
      </c>
      <c r="V166"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rg:True</v>
      </c>
    </row>
    <row r="167" spans="1:25" ht="28.8" x14ac:dyDescent="0.3">
      <c r="A167" s="88" t="s">
        <v>155</v>
      </c>
      <c r="B167" s="88" t="s">
        <v>7</v>
      </c>
      <c r="C167" s="19">
        <v>150</v>
      </c>
      <c r="D167" s="88" t="s">
        <v>451</v>
      </c>
      <c r="E167" s="87" t="s">
        <v>452</v>
      </c>
      <c r="F167" s="13"/>
      <c r="G167" s="20"/>
      <c r="H167" s="20"/>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150</v>
      </c>
      <c r="U167" s="4" t="str">
        <f>IF(LEN(Table2[[#This Row],[!Name]]) &gt; 0, Table2[[#This Row],[!Name]], "rg:None")</f>
        <v>organizationName</v>
      </c>
      <c r="V167" s="4" t="str">
        <f>IF(LEN(Table2[[#This Row],[!Description]]) &gt; 0, Table2[[#This Row],[!Description]], "rg:None")</f>
        <v>The name of the organization of the Owner. May simply be the First Name, Last Name of the Owner if the Owner is a sole proprietorship, or the name of a company.</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rg:None</v>
      </c>
    </row>
    <row r="168" spans="1:25" x14ac:dyDescent="0.3">
      <c r="A168" s="3" t="s">
        <v>155</v>
      </c>
      <c r="B168" s="26" t="s">
        <v>8</v>
      </c>
      <c r="C168" s="19"/>
      <c r="D168" s="26" t="s">
        <v>215</v>
      </c>
      <c r="E168" s="72" t="s">
        <v>216</v>
      </c>
      <c r="F168" s="29" t="s">
        <v>186</v>
      </c>
      <c r="G168" s="20"/>
      <c r="H168" s="20"/>
      <c r="I168" s="4" t="str">
        <f t="shared" si="12"/>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ref</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primaryContact</v>
      </c>
      <c r="V168" s="4" t="str">
        <f>IF(LEN(Table2[[#This Row],[!Description]]) &gt; 0, Table2[[#This Row],[!Description]], "rg:None")</f>
        <v>Link to the designated Primary Contact.</v>
      </c>
      <c r="W168" s="4" t="str">
        <f>IF(LEN(Table2[[#This Row],[!FK]])&gt;0,Table2[[#This Row],[!FK]],"rg:None")</f>
        <v>Contact</v>
      </c>
      <c r="X168" s="15" t="str">
        <f>IF(LEN(concatif2(A:A,Table2[[#This Row],[!Table]],G:G,"Y",D:D,",")) &gt; 0,"rg:[ { 'req' : '"&amp;concatif2(A:A,Table2[[#This Row],[!Table]],G:G,"Y",D:D,"' }, { 'req': '")&amp;"'} ]","rg:[]")</f>
        <v>rg:[ { 'req' : 'id' }, { 'req': 'ownerEquipmentCodePrefix'} ]</v>
      </c>
      <c r="Y168" s="4" t="str">
        <f>IF(LEN(Table2[[#This Row],[!Unique]])&gt;0,"rg:True","rg:None")</f>
        <v>rg:None</v>
      </c>
    </row>
    <row r="169" spans="1:25" x14ac:dyDescent="0.3">
      <c r="A169" s="3" t="s">
        <v>155</v>
      </c>
      <c r="B169" s="54" t="s">
        <v>8</v>
      </c>
      <c r="C169" s="3"/>
      <c r="D169" s="54" t="s">
        <v>193</v>
      </c>
      <c r="E169" s="62"/>
      <c r="F169" s="54" t="s">
        <v>161</v>
      </c>
      <c r="G169" s="4"/>
      <c r="H169" s="4"/>
      <c r="I169" s="4" t="str">
        <f t="shared" si="12"/>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ref</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localArea</v>
      </c>
      <c r="V169" s="4" t="str">
        <f>IF(LEN(Table2[[#This Row],[!Description]]) &gt; 0, Table2[[#This Row],[!Description]], "rg:None")</f>
        <v>rg:None</v>
      </c>
      <c r="W169" s="4" t="str">
        <f>IF(LEN(Table2[[#This Row],[!FK]])&gt;0,Table2[[#This Row],[!FK]],"rg:None")</f>
        <v>LocalArea</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3" t="s">
        <v>155</v>
      </c>
      <c r="B170" s="54" t="s">
        <v>9</v>
      </c>
      <c r="C170" s="3"/>
      <c r="D170" s="54" t="s">
        <v>344</v>
      </c>
      <c r="E170" s="69" t="s">
        <v>345</v>
      </c>
      <c r="F170" s="3" t="s">
        <v>5</v>
      </c>
      <c r="G170" s="4"/>
      <c r="H170" s="4"/>
      <c r="I170" s="4" t="str">
        <f t="shared" si="12"/>
        <v>Defs</v>
      </c>
      <c r="J170" s="4" t="str">
        <f>IF(Table2[[#This Row],[!Type]]=J$1, J$1,"rg:None")</f>
        <v>boolean</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isMaintenanceContractor</v>
      </c>
      <c r="V170" s="4" t="str">
        <f>IF(LEN(Table2[[#This Row],[!Description]]) &gt; 0, Table2[[#This Row],[!Description]], "rg:None")</f>
        <v>True if the owner is contracted by MOTI to handle Maintenance activities in the area - e.g. provided services in address unscheduled issues on the roads in the area.</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x14ac:dyDescent="0.3">
      <c r="A171" s="3" t="s">
        <v>155</v>
      </c>
      <c r="B171" s="23" t="s">
        <v>12</v>
      </c>
      <c r="C171" s="3"/>
      <c r="D171" s="23" t="s">
        <v>194</v>
      </c>
      <c r="E171" s="69" t="s">
        <v>346</v>
      </c>
      <c r="F171" s="3" t="s">
        <v>5</v>
      </c>
      <c r="G171" s="4"/>
      <c r="H171" s="4"/>
      <c r="I171" s="4" t="str">
        <f t="shared" si="12"/>
        <v>Defs</v>
      </c>
      <c r="J171" s="4" t="str">
        <f>IF(Table2[[#This Row],[!Type]]=J$1, J$1,"rg:None")</f>
        <v>rg:None</v>
      </c>
      <c r="K171" s="4" t="str">
        <f>IF(Table2[[#This Row],[!Type]]=K$1, K$1,"rg:None")</f>
        <v>rg:None</v>
      </c>
      <c r="L171" s="4" t="str">
        <f>IF(Table2[[#This Row],[!Type]]=L$1, L$1,"rg:None")</f>
        <v>datetime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WCBExpiryDate</v>
      </c>
      <c r="V171" s="4" t="str">
        <f>IF(LEN(Table2[[#This Row],[!Description]]) &gt; 0, Table2[[#This Row],[!Description]], "rg:None")</f>
        <v>The expiration of the owner's current WCB permit.</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57.6" x14ac:dyDescent="0.3">
      <c r="A172" s="3" t="s">
        <v>155</v>
      </c>
      <c r="B172" s="23" t="s">
        <v>12</v>
      </c>
      <c r="C172" s="3"/>
      <c r="D172" s="23" t="s">
        <v>195</v>
      </c>
      <c r="E172" s="69" t="s">
        <v>347</v>
      </c>
      <c r="F172" s="3" t="s">
        <v>5</v>
      </c>
      <c r="G172" s="4"/>
      <c r="H172" s="4"/>
      <c r="I172" s="4" t="str">
        <f t="shared" si="12"/>
        <v>Defs</v>
      </c>
      <c r="J172" s="4" t="str">
        <f>IF(Table2[[#This Row],[!Type]]=J$1, J$1,"rg:None")</f>
        <v>rg:None</v>
      </c>
      <c r="K172" s="4" t="str">
        <f>IF(Table2[[#This Row],[!Type]]=K$1, K$1,"rg:None")</f>
        <v>rg:None</v>
      </c>
      <c r="L172" s="4" t="str">
        <f>IF(Table2[[#This Row],[!Type]]=L$1, L$1,"rg:None")</f>
        <v>datetime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CGLEndDate</v>
      </c>
      <c r="V172"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ht="57.6" x14ac:dyDescent="0.3">
      <c r="A173" s="3" t="s">
        <v>155</v>
      </c>
      <c r="B173" s="3" t="s">
        <v>7</v>
      </c>
      <c r="C173" s="3">
        <v>50</v>
      </c>
      <c r="D173" s="54" t="s">
        <v>264</v>
      </c>
      <c r="E173" s="69" t="s">
        <v>348</v>
      </c>
      <c r="F173" s="3" t="s">
        <v>5</v>
      </c>
      <c r="G173" s="4"/>
      <c r="H173" s="4"/>
      <c r="I173" s="4" t="str">
        <f t="shared" si="12"/>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string</v>
      </c>
      <c r="S173" s="4" t="str">
        <f>IF(Table2[[#This Row],[!Type]]=S$1, S$1,"rg:None")</f>
        <v>rg:None</v>
      </c>
      <c r="T173" s="4">
        <f>IF(LEN(Table2[[#This Row],[!Length]]) &gt; 0, Table2[[#This Row],[!Length]], "rg:None")</f>
        <v>50</v>
      </c>
      <c r="U173" s="4" t="str">
        <f>IF(LEN(Table2[[#This Row],[!Name]]) &gt; 0, Table2[[#This Row],[!Name]], "rg:None")</f>
        <v>status</v>
      </c>
      <c r="V173"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3" s="4" t="str">
        <f>IF(LEN(Table2[[#This Row],[!FK]])&gt;0,Table2[[#This Row],[!FK]],"rg:None")</f>
        <v>rg:None</v>
      </c>
      <c r="X173" s="15" t="str">
        <f>IF(LEN(concatif2(A:A,Table2[[#This Row],[!Table]],G:G,"Y",D:D,",")) &gt; 0,"rg:[ { 'req' : '"&amp;concatif2(A:A,Table2[[#This Row],[!Table]],G:G,"Y",D:D,"' }, { 'req': '")&amp;"'} ]","rg:[]")</f>
        <v>rg:[ { 'req' : 'id' }, { 'req': 'ownerEquipmentCodePrefix'} ]</v>
      </c>
      <c r="Y173" s="4" t="str">
        <f>IF(LEN(Table2[[#This Row],[!Unique]])&gt;0,"rg:True","rg:None")</f>
        <v>rg:None</v>
      </c>
    </row>
    <row r="174" spans="1:25" ht="28.8" x14ac:dyDescent="0.3">
      <c r="A174" s="3" t="s">
        <v>155</v>
      </c>
      <c r="B174" s="3" t="s">
        <v>7</v>
      </c>
      <c r="C174" s="3">
        <v>50</v>
      </c>
      <c r="D174" s="54" t="s">
        <v>285</v>
      </c>
      <c r="E174" s="96" t="s">
        <v>482</v>
      </c>
      <c r="F174" s="3" t="s">
        <v>5</v>
      </c>
      <c r="G174" s="4"/>
      <c r="H174" s="4"/>
      <c r="I174" s="4" t="str">
        <f t="shared" si="12"/>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string</v>
      </c>
      <c r="S174" s="4" t="str">
        <f>IF(Table2[[#This Row],[!Type]]=S$1, S$1,"rg:None")</f>
        <v>rg:None</v>
      </c>
      <c r="T174" s="4">
        <f>IF(LEN(Table2[[#This Row],[!Length]]) &gt; 0, Table2[[#This Row],[!Length]], "rg:None")</f>
        <v>50</v>
      </c>
      <c r="U174" s="4" t="str">
        <f>IF(LEN(Table2[[#This Row],[!Name]]) &gt; 0, Table2[[#This Row],[!Name]], "rg:None")</f>
        <v>archiveCode</v>
      </c>
      <c r="V174" s="4" t="str">
        <f>IF(LEN(Table2[[#This Row],[!Description]]) &gt; 0, Table2[[#This Row],[!Description]], "rg:None")</f>
        <v>TO BE REVIEWED WITH THE BUSINESS - IS THIS NEEDED -A coded reason for why an owner record has been moved to Archived.</v>
      </c>
      <c r="W174" s="4" t="str">
        <f>IF(LEN(Table2[[#This Row],[!FK]])&gt;0,Table2[[#This Row],[!FK]],"rg:None")</f>
        <v>rg:None</v>
      </c>
      <c r="X174" s="15" t="str">
        <f>IF(LEN(concatif2(A:A,Table2[[#This Row],[!Table]],G:G,"Y",D:D,",")) &gt; 0,"rg:[ { 'req' : '"&amp;concatif2(A:A,Table2[[#This Row],[!Table]],G:G,"Y",D:D,"' }, { 'req': '")&amp;"'} ]","rg:[]")</f>
        <v>rg:[ { 'req' : 'id' }, { 'req': 'ownerEquipmentCodePrefix'} ]</v>
      </c>
      <c r="Y174" s="4" t="str">
        <f>IF(LEN(Table2[[#This Row],[!Unique]])&gt;0,"rg:True","rg:None")</f>
        <v>rg:None</v>
      </c>
    </row>
    <row r="175" spans="1:25" x14ac:dyDescent="0.3">
      <c r="A175" s="3" t="s">
        <v>155</v>
      </c>
      <c r="B175" s="3" t="s">
        <v>7</v>
      </c>
      <c r="C175" s="3">
        <v>2048</v>
      </c>
      <c r="D175" s="3" t="s">
        <v>143</v>
      </c>
      <c r="E175" s="69" t="s">
        <v>349</v>
      </c>
      <c r="F175" s="3" t="s">
        <v>5</v>
      </c>
      <c r="G175" s="4"/>
      <c r="H175" s="4"/>
      <c r="I175" s="4" t="str">
        <f t="shared" si="12"/>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2048</v>
      </c>
      <c r="U175" s="4" t="str">
        <f>IF(LEN(Table2[[#This Row],[!Name]]) &gt; 0, Table2[[#This Row],[!Name]], "rg:None")</f>
        <v>archiveReason</v>
      </c>
      <c r="V175" s="4" t="str">
        <f>IF(LEN(Table2[[#This Row],[!Description]]) &gt; 0, Table2[[#This Row],[!Description]], "rg:None")</f>
        <v>A text note about why the owner record has been changed to Archived.</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ht="28.8" x14ac:dyDescent="0.3">
      <c r="A176" s="92" t="s">
        <v>155</v>
      </c>
      <c r="B176" s="92" t="s">
        <v>12</v>
      </c>
      <c r="C176" s="19"/>
      <c r="D176" s="92" t="s">
        <v>210</v>
      </c>
      <c r="E176" s="93" t="s">
        <v>477</v>
      </c>
      <c r="F176" s="13"/>
      <c r="G176" s="20"/>
      <c r="H176" s="20"/>
      <c r="I176" s="4" t="str">
        <f>IF(LEN(A176) &gt; 0,"Defs","-")</f>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archiveDate</v>
      </c>
      <c r="V176" s="4" t="str">
        <f>IF(LEN(Table2[[#This Row],[!Description]]) &gt; 0, Table2[[#This Row],[!Description]], "rg:None")</f>
        <v>The date the Owner record was changed to Archived and removed from active use in the system.</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x14ac:dyDescent="0.3">
      <c r="A177" s="24" t="s">
        <v>155</v>
      </c>
      <c r="B177" s="24" t="s">
        <v>19</v>
      </c>
      <c r="C177" s="19"/>
      <c r="D177" s="24" t="s">
        <v>197</v>
      </c>
      <c r="E177" s="63"/>
      <c r="F177" s="23" t="s">
        <v>186</v>
      </c>
      <c r="G177" s="20"/>
      <c r="H177" s="20"/>
      <c r="I177" s="4" t="str">
        <f t="shared" ref="I177:I181" si="13">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links</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contacts</v>
      </c>
      <c r="V177" s="4" t="str">
        <f>IF(LEN(Table2[[#This Row],[!Description]]) &gt; 0, Table2[[#This Row],[!Description]], "rg:None")</f>
        <v>rg:None</v>
      </c>
      <c r="W177" s="4" t="str">
        <f>IF(LEN(Table2[[#This Row],[!FK]])&gt;0,Table2[[#This Row],[!FK]],"rg:None")</f>
        <v>Contact</v>
      </c>
      <c r="X177" s="15" t="str">
        <f>IF(LEN(concatif2(A:A,Table2[[#This Row],[!Table]],G:G,"Y",D:D,",")) &gt; 0,"rg:[ { 'req' : '"&amp;concatif2(A:A,Table2[[#This Row],[!Table]],G:G,"Y",D:D,"' }, { 'req': '")&amp;"'} ]","rg:[]")</f>
        <v>rg:[ { 'req' : 'id' }, { 'req': 'ownerEquipmentCodePrefix'} ]</v>
      </c>
      <c r="Y177" s="4" t="str">
        <f>IF(LEN(Table2[[#This Row],[!Unique]])&gt;0,"rg:True","rg:None")</f>
        <v>rg:None</v>
      </c>
    </row>
    <row r="178" spans="1:25" x14ac:dyDescent="0.3">
      <c r="A178" s="24" t="s">
        <v>155</v>
      </c>
      <c r="B178" s="24" t="s">
        <v>19</v>
      </c>
      <c r="C178" s="19"/>
      <c r="D178" s="24" t="s">
        <v>176</v>
      </c>
      <c r="E178" s="63"/>
      <c r="F178" s="25" t="s">
        <v>156</v>
      </c>
      <c r="G178" s="20"/>
      <c r="H178" s="20"/>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links</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notes</v>
      </c>
      <c r="V178" s="4" t="str">
        <f>IF(LEN(Table2[[#This Row],[!Description]]) &gt; 0, Table2[[#This Row],[!Description]], "rg:None")</f>
        <v>rg:None</v>
      </c>
      <c r="W178" s="4" t="str">
        <f>IF(LEN(Table2[[#This Row],[!FK]])&gt;0,Table2[[#This Row],[!FK]],"rg:None")</f>
        <v>Note</v>
      </c>
      <c r="X178" s="15" t="str">
        <f>IF(LEN(concatif2(A:A,Table2[[#This Row],[!Table]],G:G,"Y",D:D,",")) &gt; 0,"rg:[ { 'req' : '"&amp;concatif2(A:A,Table2[[#This Row],[!Table]],G:G,"Y",D:D,"' }, { 'req': '")&amp;"'} ]","rg:[]")</f>
        <v>rg:[ { 'req' : 'id' }, { 'req': 'ownerEquipmentCodePrefix'} ]</v>
      </c>
      <c r="Y178" s="4" t="str">
        <f>IF(LEN(Table2[[#This Row],[!Unique]])&gt;0,"rg:True","rg:None")</f>
        <v>rg:None</v>
      </c>
    </row>
    <row r="179" spans="1:25" x14ac:dyDescent="0.3">
      <c r="A179" s="24" t="s">
        <v>155</v>
      </c>
      <c r="B179" s="24" t="s">
        <v>19</v>
      </c>
      <c r="C179" s="19"/>
      <c r="D179" s="24" t="s">
        <v>196</v>
      </c>
      <c r="E179" s="63"/>
      <c r="F179" s="22" t="s">
        <v>170</v>
      </c>
      <c r="G179" s="20"/>
      <c r="H179" s="20"/>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links</v>
      </c>
      <c r="Q179" s="4" t="str">
        <f>IF(Table2[[#This Row],[!Type]]=Q$1, Q$1,"rg:None")</f>
        <v>rg:None</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attachments</v>
      </c>
      <c r="V179" s="4" t="str">
        <f>IF(LEN(Table2[[#This Row],[!Description]]) &gt; 0, Table2[[#This Row],[!Description]], "rg:None")</f>
        <v>rg:None</v>
      </c>
      <c r="W179" s="4" t="str">
        <f>IF(LEN(Table2[[#This Row],[!FK]])&gt;0,Table2[[#This Row],[!FK]],"rg:None")</f>
        <v>Attachment</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24" t="s">
        <v>155</v>
      </c>
      <c r="B180" s="24" t="s">
        <v>19</v>
      </c>
      <c r="C180" s="19"/>
      <c r="D180" s="24" t="s">
        <v>198</v>
      </c>
      <c r="E180" s="63"/>
      <c r="F180" s="23" t="s">
        <v>172</v>
      </c>
      <c r="G180" s="20"/>
      <c r="H180" s="20"/>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links</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history</v>
      </c>
      <c r="V180" s="4" t="str">
        <f>IF(LEN(Table2[[#This Row],[!Description]]) &gt; 0, Table2[[#This Row],[!Description]], "rg:None")</f>
        <v>rg:None</v>
      </c>
      <c r="W180" s="4" t="str">
        <f>IF(LEN(Table2[[#This Row],[!FK]])&gt;0,Table2[[#This Row],[!FK]],"rg:None")</f>
        <v>History</v>
      </c>
      <c r="X180" s="15" t="str">
        <f>IF(LEN(concatif2(A:A,Table2[[#This Row],[!Table]],G:G,"Y",D:D,",")) &gt; 0,"rg:[ { 'req' : '"&amp;concatif2(A:A,Table2[[#This Row],[!Table]],G:G,"Y",D:D,"' }, { 'req': '")&amp;"'} ]","rg:[]")</f>
        <v>rg:[ { 'req' : 'id' }, { 'req': 'ownerEquipmentCodePrefix'} ]</v>
      </c>
      <c r="Y180" s="4" t="str">
        <f>IF(LEN(Table2[[#This Row],[!Unique]])&gt;0,"rg:True","rg:None")</f>
        <v>rg:None</v>
      </c>
    </row>
    <row r="181" spans="1:25" x14ac:dyDescent="0.3">
      <c r="A181" s="24" t="s">
        <v>155</v>
      </c>
      <c r="B181" s="24" t="s">
        <v>19</v>
      </c>
      <c r="C181" s="19"/>
      <c r="D181" s="24" t="s">
        <v>200</v>
      </c>
      <c r="E181" s="63"/>
      <c r="F181" s="23" t="s">
        <v>201</v>
      </c>
      <c r="G181" s="20"/>
      <c r="H181" s="20"/>
      <c r="I181" s="4" t="str">
        <f t="shared" si="13"/>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links</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equipmentList</v>
      </c>
      <c r="V181" s="4" t="str">
        <f>IF(LEN(Table2[[#This Row],[!Description]]) &gt; 0, Table2[[#This Row],[!Description]], "rg:None")</f>
        <v>rg:None</v>
      </c>
      <c r="W181" s="4" t="str">
        <f>IF(LEN(Table2[[#This Row],[!FK]])&gt;0,Table2[[#This Row],[!FK]],"rg:None")</f>
        <v>Equipment</v>
      </c>
      <c r="X181" s="15" t="str">
        <f>IF(LEN(concatif2(A:A,Table2[[#This Row],[!Table]],G:G,"Y",D:D,",")) &gt; 0,"rg:[ { 'req' : '"&amp;concatif2(A:A,Table2[[#This Row],[!Table]],G:G,"Y",D:D,"' }, { 'req': '")&amp;"'} ]","rg:[]")</f>
        <v>rg:[ { 'req' : 'id' }, { 'req': 'ownerEquipmentCodePrefix'} ]</v>
      </c>
      <c r="Y181" s="4" t="str">
        <f>IF(LEN(Table2[[#This Row],[!Unique]])&gt;0,"rg:True","rg:None")</f>
        <v>rg:None</v>
      </c>
    </row>
    <row r="182" spans="1:25" ht="28.8" x14ac:dyDescent="0.3">
      <c r="A182" s="22" t="s">
        <v>186</v>
      </c>
      <c r="B182" s="3" t="s">
        <v>4</v>
      </c>
      <c r="C182" s="3"/>
      <c r="D182" s="22" t="s">
        <v>186</v>
      </c>
      <c r="E182" s="86" t="s">
        <v>415</v>
      </c>
      <c r="F182" s="3" t="s">
        <v>5</v>
      </c>
      <c r="G182" s="4"/>
      <c r="H182" s="4"/>
      <c r="I182" s="5" t="str">
        <f t="shared" ref="I182:I201"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rg:None</v>
      </c>
      <c r="S182" s="4" t="str">
        <f>IF(Table2[[#This Row],[!Type]]=S$1, S$1,"rg:None")</f>
        <v>table</v>
      </c>
      <c r="T182" s="4" t="str">
        <f>IF(LEN(Table2[[#This Row],[!Length]]) &gt; 0, Table2[[#This Row],[!Length]], "rg:None")</f>
        <v>rg:None</v>
      </c>
      <c r="U182" s="4" t="str">
        <f>IF(LEN(Table2[[#This Row],[!Name]]) &gt; 0, Table2[[#This Row],[!Name]], "rg:None")</f>
        <v>Contact</v>
      </c>
      <c r="V182" s="4" t="str">
        <f>IF(LEN(Table2[[#This Row],[!Description]]) &gt; 0, Table2[[#This Row],[!Description]], "rg:None")</f>
        <v>A person and their related contact information linked to one or more entities in the system. For examples, there are contacts for Owners, Projects.</v>
      </c>
      <c r="W182" s="4" t="str">
        <f>IF(LEN(Table2[[#This Row],[!FK]])&gt;0,Table2[[#This Row],[!FK]],"rg:None")</f>
        <v>rg:None</v>
      </c>
      <c r="X182" s="15" t="str">
        <f>IF(LEN(concatif2(A:A,Table2[[#This Row],[!Table]],G:G,"Y",D:D,",")) &gt; 0,"rg:[ { 'req' : '"&amp;concatif2(A:A,Table2[[#This Row],[!Table]],G:G,"Y",D:D,"' }, { 'req': '")&amp;"'} ]","rg:[]")</f>
        <v>rg:[ { 'req' : 'id' }, { 'req': 'givenName' }, { 'req': 'surname' }, { 'req': 'role'} ]</v>
      </c>
      <c r="Y182" s="4" t="str">
        <f>IF(LEN(Table2[[#This Row],[!Unique]])&gt;0,"rg:True","rg:None")</f>
        <v>rg:None</v>
      </c>
    </row>
    <row r="183" spans="1:25" x14ac:dyDescent="0.3">
      <c r="A183" s="22" t="s">
        <v>186</v>
      </c>
      <c r="B183" s="3" t="s">
        <v>6</v>
      </c>
      <c r="C183" s="3"/>
      <c r="D183" s="3" t="s">
        <v>6</v>
      </c>
      <c r="E183" s="62" t="s">
        <v>350</v>
      </c>
      <c r="F183" s="3" t="s">
        <v>5</v>
      </c>
      <c r="G183" s="4" t="s">
        <v>64</v>
      </c>
      <c r="H183" s="55" t="s">
        <v>64</v>
      </c>
      <c r="I183" s="5" t="str">
        <f t="shared" si="14"/>
        <v>Defs</v>
      </c>
      <c r="J183" s="4" t="str">
        <f>IF(Table2[[#This Row],[!Type]]=J$1, J$1,"rg:None")</f>
        <v>rg:None</v>
      </c>
      <c r="K183" s="4" t="str">
        <f>IF(Table2[[#This Row],[!Type]]=K$1, K$1,"rg:None")</f>
        <v>rg:None</v>
      </c>
      <c r="L183" s="4" t="str">
        <f>IF(Table2[[#This Row],[!Type]]=L$1, L$1,"rg:None")</f>
        <v>rg:None</v>
      </c>
      <c r="M183" s="4" t="str">
        <f>IF(Table2[[#This Row],[!Type]]=M$1, M$1,"rg:None")</f>
        <v>id</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id</v>
      </c>
      <c r="V183" s="4" t="str">
        <f>IF(LEN(Table2[[#This Row],[!Description]]) &gt; 0, Table2[[#This Row],[!Description]], "rg:None")</f>
        <v>A system-generated unique identifier for a Contact</v>
      </c>
      <c r="W183" s="4" t="str">
        <f>IF(LEN(Table2[[#This Row],[!FK]])&gt;0,Table2[[#This Row],[!FK]],"rg:None")</f>
        <v>rg:None</v>
      </c>
      <c r="X183" s="15" t="str">
        <f>IF(LEN(concatif2(A:A,Table2[[#This Row],[!Table]],G:G,"Y",D:D,",")) &gt; 0,"rg:[ { 'req' : '"&amp;concatif2(A:A,Table2[[#This Row],[!Table]],G:G,"Y",D:D,"' }, { 'req': '")&amp;"'} ]","rg:[]")</f>
        <v>rg:[ { 'req' : 'id' }, { 'req': 'givenName' }, { 'req': 'surname' }, { 'req': 'role'} ]</v>
      </c>
      <c r="Y183" s="4" t="str">
        <f>IF(LEN(Table2[[#This Row],[!Unique]])&gt;0,"rg:True","rg:None")</f>
        <v>rg:True</v>
      </c>
    </row>
    <row r="184" spans="1:25" x14ac:dyDescent="0.3">
      <c r="A184" s="22" t="s">
        <v>186</v>
      </c>
      <c r="B184" s="3" t="s">
        <v>7</v>
      </c>
      <c r="C184" s="3">
        <v>50</v>
      </c>
      <c r="D184" s="3" t="s">
        <v>16</v>
      </c>
      <c r="E184" s="62" t="s">
        <v>174</v>
      </c>
      <c r="F184" s="3" t="s">
        <v>5</v>
      </c>
      <c r="G184" s="55" t="s">
        <v>64</v>
      </c>
      <c r="H184" s="55"/>
      <c r="I184" s="5"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string</v>
      </c>
      <c r="S184" s="4" t="str">
        <f>IF(Table2[[#This Row],[!Type]]=S$1, S$1,"rg:None")</f>
        <v>rg:None</v>
      </c>
      <c r="T184" s="4">
        <f>IF(LEN(Table2[[#This Row],[!Length]]) &gt; 0, Table2[[#This Row],[!Length]], "rg:None")</f>
        <v>50</v>
      </c>
      <c r="U184" s="4" t="str">
        <f>IF(LEN(Table2[[#This Row],[!Name]]) &gt; 0, Table2[[#This Row],[!Name]], "rg:None")</f>
        <v>givenName</v>
      </c>
      <c r="V184" s="4" t="str">
        <f>IF(LEN(Table2[[#This Row],[!Description]]) &gt; 0, Table2[[#This Row],[!Description]], "rg:None")</f>
        <v>The given name of the contact.</v>
      </c>
      <c r="W184" s="4" t="str">
        <f>IF(LEN(Table2[[#This Row],[!FK]])&gt;0,Table2[[#This Row],[!FK]],"rg:None")</f>
        <v>rg:None</v>
      </c>
      <c r="X184" s="15" t="str">
        <f>IF(LEN(concatif2(A:A,Table2[[#This Row],[!Table]],G:G,"Y",D:D,",")) &gt; 0,"rg:[ { 'req' : '"&amp;concatif2(A:A,Table2[[#This Row],[!Table]],G:G,"Y",D:D,"' }, { 'req': '")&amp;"'} ]","rg:[]")</f>
        <v>rg:[ { 'req' : 'id' }, { 'req': 'givenName' }, { 'req': 'surname' }, { 'req': 'role'} ]</v>
      </c>
      <c r="Y184" s="4" t="str">
        <f>IF(LEN(Table2[[#This Row],[!Unique]])&gt;0,"rg:True","rg:None")</f>
        <v>rg:None</v>
      </c>
    </row>
    <row r="185" spans="1:25" x14ac:dyDescent="0.3">
      <c r="A185" s="22" t="s">
        <v>186</v>
      </c>
      <c r="B185" s="3" t="s">
        <v>7</v>
      </c>
      <c r="C185" s="3">
        <v>50</v>
      </c>
      <c r="D185" s="3" t="s">
        <v>17</v>
      </c>
      <c r="E185" s="62" t="s">
        <v>175</v>
      </c>
      <c r="F185" s="3" t="s">
        <v>5</v>
      </c>
      <c r="G185" s="55" t="s">
        <v>64</v>
      </c>
      <c r="H185" s="55"/>
      <c r="I185" s="5"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string</v>
      </c>
      <c r="S185" s="4" t="str">
        <f>IF(Table2[[#This Row],[!Type]]=S$1, S$1,"rg:None")</f>
        <v>rg:None</v>
      </c>
      <c r="T185" s="4">
        <f>IF(LEN(Table2[[#This Row],[!Length]]) &gt; 0, Table2[[#This Row],[!Length]], "rg:None")</f>
        <v>50</v>
      </c>
      <c r="U185" s="4" t="str">
        <f>IF(LEN(Table2[[#This Row],[!Name]]) &gt; 0, Table2[[#This Row],[!Name]], "rg:None")</f>
        <v>surname</v>
      </c>
      <c r="V185" s="4" t="str">
        <f>IF(LEN(Table2[[#This Row],[!Description]]) &gt; 0, Table2[[#This Row],[!Description]], "rg:None")</f>
        <v>The surname of the contact.</v>
      </c>
      <c r="W185" s="4" t="str">
        <f>IF(LEN(Table2[[#This Row],[!FK]])&gt;0,Table2[[#This Row],[!FK]],"rg:None")</f>
        <v>rg:None</v>
      </c>
      <c r="X185" s="15" t="str">
        <f>IF(LEN(concatif2(A:A,Table2[[#This Row],[!Table]],G:G,"Y",D:D,",")) &gt; 0,"rg:[ { 'req' : '"&amp;concatif2(A:A,Table2[[#This Row],[!Table]],G:G,"Y",D:D,"' }, { 'req': '")&amp;"'} ]","rg:[]")</f>
        <v>rg:[ { 'req' : 'id' }, { 'req': 'givenName' }, { 'req': 'surname' }, { 'req': 'role'} ]</v>
      </c>
      <c r="Y185" s="4" t="str">
        <f>IF(LEN(Table2[[#This Row],[!Unique]])&gt;0,"rg:True","rg:None")</f>
        <v>rg:None</v>
      </c>
    </row>
    <row r="186" spans="1:25" ht="28.8" x14ac:dyDescent="0.3">
      <c r="A186" s="22" t="s">
        <v>186</v>
      </c>
      <c r="B186" s="3" t="s">
        <v>7</v>
      </c>
      <c r="C186" s="3">
        <v>100</v>
      </c>
      <c r="D186" s="3" t="s">
        <v>18</v>
      </c>
      <c r="E186" s="62" t="s">
        <v>351</v>
      </c>
      <c r="F186" s="3" t="s">
        <v>5</v>
      </c>
      <c r="G186" s="55" t="s">
        <v>64</v>
      </c>
      <c r="H186" s="55"/>
      <c r="I186" s="5"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100</v>
      </c>
      <c r="U186" s="4" t="str">
        <f>IF(LEN(Table2[[#This Row],[!Name]]) &gt; 0, Table2[[#This Row],[!Name]], "rg:None")</f>
        <v>role</v>
      </c>
      <c r="V186" s="4" t="str">
        <f>IF(LEN(Table2[[#This Row],[!Description]]) &gt; 0, Table2[[#This Row],[!Description]], "rg:None")</f>
        <v>The role of the contact. UI controlled as to whether it is free form or selected from an enumerated list - for initial implementation, the field is freeform.</v>
      </c>
      <c r="W186" s="4" t="str">
        <f>IF(LEN(Table2[[#This Row],[!FK]])&gt;0,Table2[[#This Row],[!FK]],"rg:None")</f>
        <v>rg:None</v>
      </c>
      <c r="X186" s="15" t="str">
        <f>IF(LEN(concatif2(A:A,Table2[[#This Row],[!Table]],G:G,"Y",D:D,",")) &gt; 0,"rg:[ { 'req' : '"&amp;concatif2(A:A,Table2[[#This Row],[!Table]],G:G,"Y",D:D,"' }, { 'req': '")&amp;"'} ]","rg:[]")</f>
        <v>rg:[ { 'req' : 'id' }, { 'req': 'givenName' }, { 'req': 'surname' }, { 'req': 'role'} ]</v>
      </c>
      <c r="Y186" s="4" t="str">
        <f>IF(LEN(Table2[[#This Row],[!Unique]])&gt;0,"rg:True","rg:None")</f>
        <v>rg:None</v>
      </c>
    </row>
    <row r="187" spans="1:25" x14ac:dyDescent="0.3">
      <c r="A187" s="22" t="s">
        <v>186</v>
      </c>
      <c r="B187" s="3" t="s">
        <v>7</v>
      </c>
      <c r="C187" s="3">
        <v>150</v>
      </c>
      <c r="D187" s="3" t="s">
        <v>176</v>
      </c>
      <c r="E187" s="62" t="s">
        <v>352</v>
      </c>
      <c r="F187" s="3" t="s">
        <v>5</v>
      </c>
      <c r="G187" s="4"/>
      <c r="H187" s="4"/>
      <c r="I187" s="5" t="str">
        <f t="shared" si="14"/>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string</v>
      </c>
      <c r="S187" s="4" t="str">
        <f>IF(Table2[[#This Row],[!Type]]=S$1, S$1,"rg:None")</f>
        <v>rg:None</v>
      </c>
      <c r="T187" s="4">
        <f>IF(LEN(Table2[[#This Row],[!Length]]) &gt; 0, Table2[[#This Row],[!Length]], "rg:None")</f>
        <v>150</v>
      </c>
      <c r="U187" s="4" t="str">
        <f>IF(LEN(Table2[[#This Row],[!Name]]) &gt; 0, Table2[[#This Row],[!Name]], "rg:None")</f>
        <v>notes</v>
      </c>
      <c r="V187" s="4" t="str">
        <f>IF(LEN(Table2[[#This Row],[!Description]]) &gt; 0, Table2[[#This Row],[!Description]], "rg:None")</f>
        <v>A note about the contact maintained by the users.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19</v>
      </c>
      <c r="C188" s="3"/>
      <c r="D188" s="22" t="s">
        <v>189</v>
      </c>
      <c r="E188" s="62"/>
      <c r="F188" s="22" t="s">
        <v>187</v>
      </c>
      <c r="G188" s="4"/>
      <c r="H188" s="4"/>
      <c r="I188" s="5" t="str">
        <f t="shared" si="14"/>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phones</v>
      </c>
      <c r="V188" s="4" t="str">
        <f>IF(LEN(Table2[[#This Row],[!Description]]) &gt; 0, Table2[[#This Row],[!Description]], "rg:None")</f>
        <v>rg:None</v>
      </c>
      <c r="W188" s="4" t="str">
        <f>IF(LEN(Table2[[#This Row],[!FK]])&gt;0,Table2[[#This Row],[!FK]],"rg:None")</f>
        <v>ContactPhone</v>
      </c>
      <c r="X188" s="15" t="str">
        <f>IF(LEN(concatif2(A:A,Table2[[#This Row],[!Table]],G:G,"Y",D:D,",")) &gt; 0,"rg:[ { 'req' : '"&amp;concatif2(A:A,Table2[[#This Row],[!Table]],G:G,"Y",D:D,"' }, { 'req': '")&amp;"'} ]","rg:[]")</f>
        <v>rg:[ { 'req' : 'id' }, { 'req': 'givenName' }, { 'req': 'surname' }, { 'req': 'role'} ]</v>
      </c>
      <c r="Y188" s="4" t="str">
        <f>IF(LEN(Table2[[#This Row],[!Unique]])&gt;0,"rg:True","rg:None")</f>
        <v>rg:None</v>
      </c>
    </row>
    <row r="189" spans="1:25" x14ac:dyDescent="0.3">
      <c r="A189" s="22" t="s">
        <v>186</v>
      </c>
      <c r="B189" s="3" t="s">
        <v>19</v>
      </c>
      <c r="C189" s="3"/>
      <c r="D189" s="22" t="s">
        <v>190</v>
      </c>
      <c r="E189" s="62"/>
      <c r="F189" s="22" t="s">
        <v>188</v>
      </c>
      <c r="G189" s="4"/>
      <c r="H189" s="4"/>
      <c r="I189" s="5" t="str">
        <f t="shared" si="14"/>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addresses</v>
      </c>
      <c r="V189" s="4" t="str">
        <f>IF(LEN(Table2[[#This Row],[!Description]]) &gt; 0, Table2[[#This Row],[!Description]], "rg:None")</f>
        <v>rg:None</v>
      </c>
      <c r="W189" s="4" t="str">
        <f>IF(LEN(Table2[[#This Row],[!FK]])&gt;0,Table2[[#This Row],[!FK]],"rg:None")</f>
        <v>ContactAddress</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187</v>
      </c>
      <c r="B190" s="3" t="s">
        <v>4</v>
      </c>
      <c r="C190" s="3"/>
      <c r="D190" s="22" t="s">
        <v>187</v>
      </c>
      <c r="E190" s="86" t="s">
        <v>416</v>
      </c>
      <c r="F190" s="3" t="s">
        <v>5</v>
      </c>
      <c r="G190" s="4"/>
      <c r="H190" s="4"/>
      <c r="I190" s="5" t="str">
        <f t="shared" si="14"/>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table</v>
      </c>
      <c r="T190" s="4" t="str">
        <f>IF(LEN(Table2[[#This Row],[!Length]]) &gt; 0, Table2[[#This Row],[!Length]], "rg:None")</f>
        <v>rg:None</v>
      </c>
      <c r="U190" s="4" t="str">
        <f>IF(LEN(Table2[[#This Row],[!Name]]) &gt; 0, Table2[[#This Row],[!Name]], "rg:None")</f>
        <v>ContactPhone</v>
      </c>
      <c r="V190" s="4" t="str">
        <f>IF(LEN(Table2[[#This Row],[!Description]]) &gt; 0, Table2[[#This Row],[!Description]], "rg:None")</f>
        <v>Phone number information related to a contact.</v>
      </c>
      <c r="W190" s="4" t="str">
        <f>IF(LEN(Table2[[#This Row],[!FK]])&gt;0,Table2[[#This Row],[!FK]],"rg:None")</f>
        <v>rg:None</v>
      </c>
      <c r="X190" s="15" t="str">
        <f>IF(LEN(concatif2(A:A,Table2[[#This Row],[!Table]],G:G,"Y",D:D,",")) &gt; 0,"rg:[ { 'req' : '"&amp;concatif2(A:A,Table2[[#This Row],[!Table]],G:G,"Y",D:D,"' }, { 'req': '")&amp;"'} ]","rg:[]")</f>
        <v>rg:[ { 'req' : 'id' }, { 'req': 'type' }, { 'req': 'phoneNumber'} ]</v>
      </c>
      <c r="Y190" s="4" t="str">
        <f>IF(LEN(Table2[[#This Row],[!Unique]])&gt;0,"rg:True","rg:None")</f>
        <v>rg:None</v>
      </c>
    </row>
    <row r="191" spans="1:25" x14ac:dyDescent="0.3">
      <c r="A191" s="22" t="s">
        <v>187</v>
      </c>
      <c r="B191" s="3" t="s">
        <v>6</v>
      </c>
      <c r="C191" s="3"/>
      <c r="D191" s="3" t="s">
        <v>6</v>
      </c>
      <c r="E191" s="62" t="s">
        <v>353</v>
      </c>
      <c r="F191" s="3" t="s">
        <v>5</v>
      </c>
      <c r="G191" s="4" t="s">
        <v>64</v>
      </c>
      <c r="H191" s="55" t="s">
        <v>64</v>
      </c>
      <c r="I191" s="5" t="str">
        <f t="shared" si="14"/>
        <v>Defs</v>
      </c>
      <c r="J191" s="4" t="str">
        <f>IF(Table2[[#This Row],[!Type]]=J$1, J$1,"rg:None")</f>
        <v>rg:None</v>
      </c>
      <c r="K191" s="4" t="str">
        <f>IF(Table2[[#This Row],[!Type]]=K$1, K$1,"rg:None")</f>
        <v>rg:None</v>
      </c>
      <c r="L191" s="4" t="str">
        <f>IF(Table2[[#This Row],[!Type]]=L$1, L$1,"rg:None")</f>
        <v>rg:None</v>
      </c>
      <c r="M191" s="4" t="str">
        <f>IF(Table2[[#This Row],[!Type]]=M$1, M$1,"rg:None")</f>
        <v>id</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id</v>
      </c>
      <c r="V191" s="4" t="str">
        <f>IF(LEN(Table2[[#This Row],[!Description]]) &gt; 0, Table2[[#This Row],[!Description]], "rg:None")</f>
        <v>A system-generated unique identifier for a ContactPhone</v>
      </c>
      <c r="W191" s="4" t="str">
        <f>IF(LEN(Table2[[#This Row],[!FK]])&gt;0,Table2[[#This Row],[!FK]],"rg:None")</f>
        <v>rg:None</v>
      </c>
      <c r="X191" s="15" t="str">
        <f>IF(LEN(concatif2(A:A,Table2[[#This Row],[!Table]],G:G,"Y",D:D,",")) &gt; 0,"rg:[ { 'req' : '"&amp;concatif2(A:A,Table2[[#This Row],[!Table]],G:G,"Y",D:D,"' }, { 'req': '")&amp;"'} ]","rg:[]")</f>
        <v>rg:[ { 'req' : 'id' }, { 'req': 'type' }, { 'req': 'phoneNumber'} ]</v>
      </c>
      <c r="Y191" s="4" t="str">
        <f>IF(LEN(Table2[[#This Row],[!Unique]])&gt;0,"rg:True","rg:None")</f>
        <v>rg:True</v>
      </c>
    </row>
    <row r="192" spans="1:25" ht="28.8" x14ac:dyDescent="0.3">
      <c r="A192" s="22" t="s">
        <v>187</v>
      </c>
      <c r="B192" s="3" t="s">
        <v>7</v>
      </c>
      <c r="C192" s="3">
        <v>100</v>
      </c>
      <c r="D192" s="3" t="s">
        <v>20</v>
      </c>
      <c r="E192" s="62" t="s">
        <v>354</v>
      </c>
      <c r="F192" s="3" t="s">
        <v>5</v>
      </c>
      <c r="G192" s="55" t="s">
        <v>64</v>
      </c>
      <c r="H192" s="55"/>
      <c r="I192" s="5" t="str">
        <f t="shared" si="14"/>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100</v>
      </c>
      <c r="U192" s="4" t="str">
        <f>IF(LEN(Table2[[#This Row],[!Name]]) &gt; 0, Table2[[#This Row],[!Name]], "rg:None")</f>
        <v>type</v>
      </c>
      <c r="V192" s="4" t="str">
        <f>IF(LEN(Table2[[#This Row],[!Description]]) &gt; 0, Table2[[#This Row],[!Description]], "rg:None")</f>
        <v>The type of the phone number. UI controlled as to whether it is free form or selected from an enumerated list.  Ex. Home, Cell, Work etc..</v>
      </c>
      <c r="W192" s="4" t="str">
        <f>IF(LEN(Table2[[#This Row],[!FK]])&gt;0,Table2[[#This Row],[!FK]],"rg:None")</f>
        <v>rg:None</v>
      </c>
      <c r="X192" s="15" t="str">
        <f>IF(LEN(concatif2(A:A,Table2[[#This Row],[!Table]],G:G,"Y",D:D,",")) &gt; 0,"rg:[ { 'req' : '"&amp;concatif2(A:A,Table2[[#This Row],[!Table]],G:G,"Y",D:D,"' }, { 'req': '")&amp;"'} ]","rg:[]")</f>
        <v>rg:[ { 'req' : 'id' }, { 'req': 'type' }, { 'req': 'phoneNumber'} ]</v>
      </c>
      <c r="Y192" s="4" t="str">
        <f>IF(LEN(Table2[[#This Row],[!Unique]])&gt;0,"rg:True","rg:None")</f>
        <v>rg:None</v>
      </c>
    </row>
    <row r="193" spans="1:25" x14ac:dyDescent="0.3">
      <c r="A193" s="22" t="s">
        <v>187</v>
      </c>
      <c r="B193" s="3" t="s">
        <v>7</v>
      </c>
      <c r="C193" s="3">
        <v>20</v>
      </c>
      <c r="D193" s="3" t="s">
        <v>177</v>
      </c>
      <c r="E193" s="62" t="s">
        <v>178</v>
      </c>
      <c r="F193" s="3" t="s">
        <v>5</v>
      </c>
      <c r="G193" s="55" t="s">
        <v>64</v>
      </c>
      <c r="H193" s="55"/>
      <c r="I193" s="5" t="str">
        <f t="shared" si="14"/>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string</v>
      </c>
      <c r="S193" s="4" t="str">
        <f>IF(Table2[[#This Row],[!Type]]=S$1, S$1,"rg:None")</f>
        <v>rg:None</v>
      </c>
      <c r="T193" s="4">
        <f>IF(LEN(Table2[[#This Row],[!Length]]) &gt; 0, Table2[[#This Row],[!Length]], "rg:None")</f>
        <v>20</v>
      </c>
      <c r="U193" s="4" t="str">
        <f>IF(LEN(Table2[[#This Row],[!Name]]) &gt; 0, Table2[[#This Row],[!Name]], "rg:None")</f>
        <v>phoneNumber</v>
      </c>
      <c r="V193" s="4" t="str">
        <f>IF(LEN(Table2[[#This Row],[!Description]]) &gt; 0, Table2[[#This Row],[!Description]], "rg:None")</f>
        <v>The phone number of the contact. Entered as free form to support a range of formats.</v>
      </c>
      <c r="W193" s="4" t="str">
        <f>IF(LEN(Table2[[#This Row],[!FK]])&gt;0,Table2[[#This Row],[!FK]],"rg:None")</f>
        <v>rg:None</v>
      </c>
      <c r="X193" s="15" t="str">
        <f>IF(LEN(concatif2(A:A,Table2[[#This Row],[!Table]],G:G,"Y",D:D,",")) &gt; 0,"rg:[ { 'req' : '"&amp;concatif2(A:A,Table2[[#This Row],[!Table]],G:G,"Y",D:D,"' }, { 'req': '")&amp;"'} ]","rg:[]")</f>
        <v>rg:[ { 'req' : 'id' }, { 'req': 'type' }, { 'req': 'phoneNumber'} ]</v>
      </c>
      <c r="Y193" s="4" t="str">
        <f>IF(LEN(Table2[[#This Row],[!Unique]])&gt;0,"rg:True","rg:None")</f>
        <v>rg:None</v>
      </c>
    </row>
    <row r="194" spans="1:25" x14ac:dyDescent="0.3">
      <c r="A194" s="22" t="s">
        <v>188</v>
      </c>
      <c r="B194" s="3" t="s">
        <v>4</v>
      </c>
      <c r="C194" s="3"/>
      <c r="D194" s="22" t="s">
        <v>188</v>
      </c>
      <c r="E194" s="86" t="s">
        <v>417</v>
      </c>
      <c r="F194" s="3" t="s">
        <v>5</v>
      </c>
      <c r="G194" s="4"/>
      <c r="H194" s="4"/>
      <c r="I194" s="5" t="str">
        <f t="shared" si="14"/>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ContactAddress</v>
      </c>
      <c r="V194" s="4" t="str">
        <f>IF(LEN(Table2[[#This Row],[!Description]]) &gt; 0, Table2[[#This Row],[!Description]], "rg:None")</f>
        <v>Address information related to a contact.</v>
      </c>
      <c r="W194" s="4" t="str">
        <f>IF(LEN(Table2[[#This Row],[!FK]])&gt;0,Table2[[#This Row],[!FK]],"rg:None")</f>
        <v>rg:None</v>
      </c>
      <c r="X194" s="15" t="str">
        <f>IF(LEN(concatif2(A:A,Table2[[#This Row],[!Table]],G:G,"Y",D:D,",")) &gt; 0,"rg:[ { 'req' : '"&amp;concatif2(A:A,Table2[[#This Row],[!Table]],G:G,"Y",D:D,"' }, { 'req': '")&amp;"'} ]","rg:[]")</f>
        <v>rg:[ { 'req' : 'id'} ]</v>
      </c>
      <c r="Y194" s="4" t="str">
        <f>IF(LEN(Table2[[#This Row],[!Unique]])&gt;0,"rg:True","rg:None")</f>
        <v>rg:None</v>
      </c>
    </row>
    <row r="195" spans="1:25" x14ac:dyDescent="0.3">
      <c r="A195" s="22" t="s">
        <v>188</v>
      </c>
      <c r="B195" s="3" t="s">
        <v>6</v>
      </c>
      <c r="C195" s="3"/>
      <c r="D195" s="3" t="s">
        <v>6</v>
      </c>
      <c r="E195" s="62" t="s">
        <v>355</v>
      </c>
      <c r="F195" s="3" t="s">
        <v>5</v>
      </c>
      <c r="G195" s="4" t="s">
        <v>64</v>
      </c>
      <c r="H195" s="55" t="s">
        <v>64</v>
      </c>
      <c r="I195" s="5" t="str">
        <f t="shared" si="14"/>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ContactAddress</v>
      </c>
      <c r="W195" s="4" t="str">
        <f>IF(LEN(Table2[[#This Row],[!FK]])&gt;0,Table2[[#This Row],[!FK]],"rg:None")</f>
        <v>rg:None</v>
      </c>
      <c r="X195" s="15" t="str">
        <f>IF(LEN(concatif2(A:A,Table2[[#This Row],[!Table]],G:G,"Y",D:D,",")) &gt; 0,"rg:[ { 'req' : '"&amp;concatif2(A:A,Table2[[#This Row],[!Table]],G:G,"Y",D:D,"' }, { 'req': '")&amp;"'} ]","rg:[]")</f>
        <v>rg:[ { 'req' : 'id'} ]</v>
      </c>
      <c r="Y195" s="4" t="str">
        <f>IF(LEN(Table2[[#This Row],[!Unique]])&gt;0,"rg:True","rg:None")</f>
        <v>rg:True</v>
      </c>
    </row>
    <row r="196" spans="1:25" ht="28.8" x14ac:dyDescent="0.3">
      <c r="A196" s="22" t="s">
        <v>188</v>
      </c>
      <c r="B196" s="3" t="s">
        <v>7</v>
      </c>
      <c r="C196" s="3">
        <v>100</v>
      </c>
      <c r="D196" s="3" t="s">
        <v>20</v>
      </c>
      <c r="E196" s="62" t="s">
        <v>356</v>
      </c>
      <c r="F196" s="3" t="s">
        <v>5</v>
      </c>
      <c r="G196" s="4"/>
      <c r="H196" s="4"/>
      <c r="I196" s="5" t="str">
        <f t="shared" si="14"/>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100</v>
      </c>
      <c r="U196" s="4" t="str">
        <f>IF(LEN(Table2[[#This Row],[!Name]]) &gt; 0, Table2[[#This Row],[!Name]], "rg:None")</f>
        <v>type</v>
      </c>
      <c r="V196" s="4" t="str">
        <f>IF(LEN(Table2[[#This Row],[!Description]]) &gt; 0, Table2[[#This Row],[!Description]], "rg:None")</f>
        <v>The type of the address. UI controlled as to whether it is free form or selected from an enumerated list ex. Home, Office, etc..</v>
      </c>
      <c r="W196" s="4" t="str">
        <f>IF(LEN(Table2[[#This Row],[!FK]])&gt;0,Table2[[#This Row],[!FK]],"rg:None")</f>
        <v>rg:None</v>
      </c>
      <c r="X196" s="15" t="str">
        <f>IF(LEN(concatif2(A:A,Table2[[#This Row],[!Table]],G:G,"Y",D:D,",")) &gt; 0,"rg:[ { 'req' : '"&amp;concatif2(A:A,Table2[[#This Row],[!Table]],G:G,"Y",D:D,"' }, { 'req': '")&amp;"'} ]","rg:[]")</f>
        <v>rg:[ { 'req' : 'id'} ]</v>
      </c>
      <c r="Y196" s="4" t="str">
        <f>IF(LEN(Table2[[#This Row],[!Unique]])&gt;0,"rg:True","rg:None")</f>
        <v>rg:None</v>
      </c>
    </row>
    <row r="197" spans="1:25" x14ac:dyDescent="0.3">
      <c r="A197" s="22" t="s">
        <v>188</v>
      </c>
      <c r="B197" s="3" t="s">
        <v>7</v>
      </c>
      <c r="C197" s="3">
        <v>150</v>
      </c>
      <c r="D197" s="22" t="s">
        <v>191</v>
      </c>
      <c r="E197" s="62" t="s">
        <v>179</v>
      </c>
      <c r="F197" s="3" t="s">
        <v>5</v>
      </c>
      <c r="G197" s="4"/>
      <c r="H197" s="4"/>
      <c r="I197" s="5" t="str">
        <f t="shared" si="14"/>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150</v>
      </c>
      <c r="U197" s="4" t="str">
        <f>IF(LEN(Table2[[#This Row],[!Name]]) &gt; 0, Table2[[#This Row],[!Name]], "rg:None")</f>
        <v>addressLine1</v>
      </c>
      <c r="V197" s="4" t="str">
        <f>IF(LEN(Table2[[#This Row],[!Description]]) &gt; 0, Table2[[#This Row],[!Description]], "rg:None")</f>
        <v>Address 1 line of the address.</v>
      </c>
      <c r="W197" s="4" t="str">
        <f>IF(LEN(Table2[[#This Row],[!FK]])&gt;0,Table2[[#This Row],[!FK]],"rg:None")</f>
        <v>rg:None</v>
      </c>
      <c r="X197" s="15" t="str">
        <f>IF(LEN(concatif2(A:A,Table2[[#This Row],[!Table]],G:G,"Y",D:D,",")) &gt; 0,"rg:[ { 'req' : '"&amp;concatif2(A:A,Table2[[#This Row],[!Table]],G:G,"Y",D:D,"' }, { 'req': '")&amp;"'} ]","rg:[]")</f>
        <v>rg:[ { 'req' : 'id'} ]</v>
      </c>
      <c r="Y197" s="4" t="str">
        <f>IF(LEN(Table2[[#This Row],[!Unique]])&gt;0,"rg:True","rg:None")</f>
        <v>rg:None</v>
      </c>
    </row>
    <row r="198" spans="1:25" x14ac:dyDescent="0.3">
      <c r="A198" s="22" t="s">
        <v>188</v>
      </c>
      <c r="B198" s="3" t="s">
        <v>7</v>
      </c>
      <c r="C198" s="3">
        <v>150</v>
      </c>
      <c r="D198" s="22" t="s">
        <v>192</v>
      </c>
      <c r="E198" s="62" t="s">
        <v>180</v>
      </c>
      <c r="F198" s="3" t="s">
        <v>5</v>
      </c>
      <c r="G198" s="4"/>
      <c r="H198" s="4"/>
      <c r="I198" s="5" t="str">
        <f t="shared" si="14"/>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150</v>
      </c>
      <c r="U198" s="4" t="str">
        <f>IF(LEN(Table2[[#This Row],[!Name]]) &gt; 0, Table2[[#This Row],[!Name]], "rg:None")</f>
        <v>addressLine2</v>
      </c>
      <c r="V198" s="4" t="str">
        <f>IF(LEN(Table2[[#This Row],[!Description]]) &gt; 0, Table2[[#This Row],[!Description]], "rg:None")</f>
        <v>Address 2 line of the address.</v>
      </c>
      <c r="W198" s="4" t="str">
        <f>IF(LEN(Table2[[#This Row],[!FK]])&gt;0,Table2[[#This Row],[!FK]],"rg:None")</f>
        <v>rg:None</v>
      </c>
      <c r="X198" s="15" t="str">
        <f>IF(LEN(concatif2(A:A,Table2[[#This Row],[!Table]],G:G,"Y",D:D,",")) &gt; 0,"rg:[ { 'req' : '"&amp;concatif2(A:A,Table2[[#This Row],[!Table]],G:G,"Y",D:D,"' }, { 'req': '")&amp;"'} ]","rg:[]")</f>
        <v>rg:[ { 'req' : 'id'} ]</v>
      </c>
      <c r="Y198" s="4" t="str">
        <f>IF(LEN(Table2[[#This Row],[!Unique]])&gt;0,"rg:True","rg:None")</f>
        <v>rg:None</v>
      </c>
    </row>
    <row r="199" spans="1:25" x14ac:dyDescent="0.3">
      <c r="A199" s="22" t="s">
        <v>188</v>
      </c>
      <c r="B199" s="3" t="s">
        <v>7</v>
      </c>
      <c r="C199" s="3">
        <v>100</v>
      </c>
      <c r="D199" s="3" t="s">
        <v>21</v>
      </c>
      <c r="E199" s="62" t="s">
        <v>181</v>
      </c>
      <c r="F199" s="3" t="s">
        <v>5</v>
      </c>
      <c r="G199" s="4"/>
      <c r="H199" s="4"/>
      <c r="I199" s="5" t="str">
        <f t="shared" si="14"/>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100</v>
      </c>
      <c r="U199" s="4" t="str">
        <f>IF(LEN(Table2[[#This Row],[!Name]]) &gt; 0, Table2[[#This Row],[!Name]], "rg:None")</f>
        <v>city</v>
      </c>
      <c r="V199" s="4" t="str">
        <f>IF(LEN(Table2[[#This Row],[!Description]]) &gt; 0, Table2[[#This Row],[!Description]], "rg:None")</f>
        <v>The City of the address.</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7</v>
      </c>
      <c r="C200" s="3">
        <v>50</v>
      </c>
      <c r="D200" s="3" t="s">
        <v>182</v>
      </c>
      <c r="E200" s="62" t="s">
        <v>183</v>
      </c>
      <c r="F200" s="3" t="s">
        <v>5</v>
      </c>
      <c r="G200" s="4"/>
      <c r="H200" s="4"/>
      <c r="I200" s="5" t="str">
        <f t="shared" si="14"/>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50</v>
      </c>
      <c r="U200" s="4" t="str">
        <f>IF(LEN(Table2[[#This Row],[!Name]]) &gt; 0, Table2[[#This Row],[!Name]], "rg:None")</f>
        <v>province</v>
      </c>
      <c r="V200" s="4" t="str">
        <f>IF(LEN(Table2[[#This Row],[!Description]]) &gt; 0, Table2[[#This Row],[!Description]], "rg:None")</f>
        <v>The Province of the 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x14ac:dyDescent="0.3">
      <c r="A201" s="22" t="s">
        <v>188</v>
      </c>
      <c r="B201" s="3" t="s">
        <v>7</v>
      </c>
      <c r="C201" s="3">
        <v>15</v>
      </c>
      <c r="D201" s="3" t="s">
        <v>184</v>
      </c>
      <c r="E201" s="62" t="s">
        <v>185</v>
      </c>
      <c r="F201" s="3" t="s">
        <v>5</v>
      </c>
      <c r="G201" s="4"/>
      <c r="H201" s="4"/>
      <c r="I201" s="5" t="str">
        <f t="shared" si="14"/>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v>
      </c>
      <c r="U201" s="4" t="str">
        <f>IF(LEN(Table2[[#This Row],[!Name]]) &gt; 0, Table2[[#This Row],[!Name]], "rg:None")</f>
        <v>postalCode</v>
      </c>
      <c r="V201" s="4" t="str">
        <f>IF(LEN(Table2[[#This Row],[!Description]]) &gt; 0, Table2[[#This Row],[!Description]], "rg:None")</f>
        <v>The postal code of the address.</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ht="28.8" x14ac:dyDescent="0.3">
      <c r="A202" s="22" t="s">
        <v>156</v>
      </c>
      <c r="B202" s="3" t="s">
        <v>4</v>
      </c>
      <c r="C202" s="3"/>
      <c r="D202" s="3" t="s">
        <v>156</v>
      </c>
      <c r="E202" s="86" t="s">
        <v>418</v>
      </c>
      <c r="F202" s="3" t="s">
        <v>5</v>
      </c>
      <c r="G202" s="4"/>
      <c r="H202" s="4"/>
      <c r="I202" s="5" t="str">
        <f t="shared" ref="I202:I213" si="15">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table</v>
      </c>
      <c r="T202" s="4" t="str">
        <f>IF(LEN(Table2[[#This Row],[!Length]]) &gt; 0, Table2[[#This Row],[!Length]], "rg:None")</f>
        <v>rg:None</v>
      </c>
      <c r="U202" s="4" t="str">
        <f>IF(LEN(Table2[[#This Row],[!Name]]) &gt; 0, Table2[[#This Row],[!Name]], "rg:None")</f>
        <v>Note</v>
      </c>
      <c r="V202" s="4" t="str">
        <f>IF(LEN(Table2[[#This Row],[!Description]]) &gt; 0, Table2[[#This Row],[!Description]], "rg:None")</f>
        <v>Text entered about an entity in the application - e.g. piece of Equipment, an Owner, a Project and so on.</v>
      </c>
      <c r="W202" s="4" t="str">
        <f>IF(LEN(Table2[[#This Row],[!FK]])&gt;0,Table2[[#This Row],[!FK]],"rg:None")</f>
        <v>rg:None</v>
      </c>
      <c r="X202" s="15" t="str">
        <f>IF(LEN(concatif2(A:A,Table2[[#This Row],[!Table]],G:G,"Y",D:D,",")) &gt; 0,"rg:[ { 'req' : '"&amp;concatif2(A:A,Table2[[#This Row],[!Table]],G:G,"Y",D:D,"' }, { 'req': '")&amp;"'} ]","rg:[]")</f>
        <v>rg:[ { 'req' : 'id' }, { 'req': 'text'} ]</v>
      </c>
      <c r="Y202" s="4" t="str">
        <f>IF(LEN(Table2[[#This Row],[!Unique]])&gt;0,"rg:True","rg:None")</f>
        <v>rg:None</v>
      </c>
    </row>
    <row r="203" spans="1:25" x14ac:dyDescent="0.3">
      <c r="A203" s="22" t="s">
        <v>156</v>
      </c>
      <c r="B203" s="3" t="s">
        <v>6</v>
      </c>
      <c r="C203" s="3"/>
      <c r="D203" s="3" t="s">
        <v>6</v>
      </c>
      <c r="E203" s="62" t="s">
        <v>358</v>
      </c>
      <c r="F203" s="3" t="s">
        <v>5</v>
      </c>
      <c r="G203" s="4" t="s">
        <v>64</v>
      </c>
      <c r="H203" s="55" t="s">
        <v>64</v>
      </c>
      <c r="I203" s="5" t="str">
        <f t="shared" si="15"/>
        <v>Defs</v>
      </c>
      <c r="J203" s="4" t="str">
        <f>IF(Table2[[#This Row],[!Type]]=J$1, J$1,"rg:None")</f>
        <v>rg:None</v>
      </c>
      <c r="K203" s="4" t="str">
        <f>IF(Table2[[#This Row],[!Type]]=K$1, K$1,"rg:None")</f>
        <v>rg:None</v>
      </c>
      <c r="L203" s="4" t="str">
        <f>IF(Table2[[#This Row],[!Type]]=L$1, L$1,"rg:None")</f>
        <v>rg:None</v>
      </c>
      <c r="M203" s="4" t="str">
        <f>IF(Table2[[#This Row],[!Type]]=M$1, M$1,"rg:None")</f>
        <v>id</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id</v>
      </c>
      <c r="V203" s="4" t="str">
        <f>IF(LEN(Table2[[#This Row],[!Description]]) &gt; 0, Table2[[#This Row],[!Description]], "rg:None")</f>
        <v>A system-generated unique identifier for a Note</v>
      </c>
      <c r="W203" s="4" t="str">
        <f>IF(LEN(Table2[[#This Row],[!FK]])&gt;0,Table2[[#This Row],[!FK]],"rg:None")</f>
        <v>rg:None</v>
      </c>
      <c r="X203" s="15" t="str">
        <f>IF(LEN(concatif2(A:A,Table2[[#This Row],[!Table]],G:G,"Y",D:D,",")) &gt; 0,"rg:[ { 'req' : '"&amp;concatif2(A:A,Table2[[#This Row],[!Table]],G:G,"Y",D:D,"' }, { 'req': '")&amp;"'} ]","rg:[]")</f>
        <v>rg:[ { 'req' : 'id' }, { 'req': 'text'} ]</v>
      </c>
      <c r="Y203" s="4" t="str">
        <f>IF(LEN(Table2[[#This Row],[!Unique]])&gt;0,"rg:True","rg:None")</f>
        <v>rg:True</v>
      </c>
    </row>
    <row r="204" spans="1:25" x14ac:dyDescent="0.3">
      <c r="A204" s="22" t="s">
        <v>156</v>
      </c>
      <c r="B204" s="3" t="s">
        <v>7</v>
      </c>
      <c r="C204" s="3">
        <v>2048</v>
      </c>
      <c r="D204" s="54" t="s">
        <v>393</v>
      </c>
      <c r="E204" s="69" t="s">
        <v>357</v>
      </c>
      <c r="F204" s="3" t="s">
        <v>5</v>
      </c>
      <c r="G204" s="55" t="s">
        <v>64</v>
      </c>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2048</v>
      </c>
      <c r="U204" s="4" t="str">
        <f>IF(LEN(Table2[[#This Row],[!Name]]) &gt; 0, Table2[[#This Row],[!Name]], "rg:None")</f>
        <v>text</v>
      </c>
      <c r="V204" s="4" t="str">
        <f>IF(LEN(Table2[[#This Row],[!Description]]) &gt; 0, Table2[[#This Row],[!Description]], "rg:None")</f>
        <v>Notes entered by users about instance of entities - e.g. School Buses and School Bus Owners</v>
      </c>
      <c r="W204" s="4" t="str">
        <f>IF(LEN(Table2[[#This Row],[!FK]])&gt;0,Table2[[#This Row],[!FK]],"rg:None")</f>
        <v>rg:None</v>
      </c>
      <c r="X204" s="15" t="str">
        <f>IF(LEN(concatif2(A:A,Table2[[#This Row],[!Table]],G:G,"Y",D:D,",")) &gt; 0,"rg:[ { 'req' : '"&amp;concatif2(A:A,Table2[[#This Row],[!Table]],G:G,"Y",D:D,"' }, { 'req': '")&amp;"'} ]","rg:[]")</f>
        <v>rg:[ { 'req' : 'id' }, { 'req': 'text'} ]</v>
      </c>
      <c r="Y204" s="4" t="str">
        <f>IF(LEN(Table2[[#This Row],[!Unique]])&gt;0,"rg:True","rg:None")</f>
        <v>rg:None</v>
      </c>
    </row>
    <row r="205" spans="1:25" ht="28.8" x14ac:dyDescent="0.3">
      <c r="A205" s="22" t="s">
        <v>156</v>
      </c>
      <c r="B205" s="3" t="s">
        <v>9</v>
      </c>
      <c r="C205" s="3"/>
      <c r="D205" s="3" t="s">
        <v>166</v>
      </c>
      <c r="E205" s="74" t="s">
        <v>359</v>
      </c>
      <c r="F205" s="3" t="s">
        <v>5</v>
      </c>
      <c r="G205" s="4"/>
      <c r="H205" s="4"/>
      <c r="I205" s="5" t="str">
        <f t="shared" si="15"/>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isNoLongerRelevant</v>
      </c>
      <c r="V205" s="4" t="str">
        <f>IF(LEN(Table2[[#This Row],[!Description]]) &gt; 0, Table2[[#This Row],[!Description]], "rg:None")</f>
        <v>A user set flag that the note is no longer relevant. Allows the note to be retained for historical reasons,  but identified to other users as no longer applicable.</v>
      </c>
      <c r="W205" s="4" t="str">
        <f>IF(LEN(Table2[[#This Row],[!FK]])&gt;0,Table2[[#This Row],[!FK]],"rg:None")</f>
        <v>rg:None</v>
      </c>
      <c r="X205" s="15" t="str">
        <f>IF(LEN(concatif2(A:A,Table2[[#This Row],[!Table]],G:G,"Y",D:D,",")) &gt; 0,"rg:[ { 'req' : '"&amp;concatif2(A:A,Table2[[#This Row],[!Table]],G:G,"Y",D:D,"' }, { 'req': '")&amp;"'} ]","rg:[]")</f>
        <v>rg:[ { 'req' : 'id' }, { 'req': 'text'} ]</v>
      </c>
      <c r="Y205" s="4" t="str">
        <f>IF(LEN(Table2[[#This Row],[!Unique]])&gt;0,"rg:True","rg:None")</f>
        <v>rg:None</v>
      </c>
    </row>
    <row r="206" spans="1:25" ht="28.8" x14ac:dyDescent="0.3">
      <c r="A206" s="22" t="s">
        <v>170</v>
      </c>
      <c r="B206" s="3" t="s">
        <v>4</v>
      </c>
      <c r="C206" s="3"/>
      <c r="D206" s="22" t="s">
        <v>170</v>
      </c>
      <c r="E206" s="86" t="s">
        <v>419</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Attachment</v>
      </c>
      <c r="V206" s="4" t="str">
        <f>IF(LEN(Table2[[#This Row],[!Description]]) &gt; 0, Table2[[#This Row],[!Description]], "rg:None")</f>
        <v>Uploaded documents related to entity in the application - e.g. piece of Equipment, an Owner, a Project and so on.</v>
      </c>
      <c r="W206" s="4" t="str">
        <f>IF(LEN(Table2[[#This Row],[!FK]])&gt;0,Table2[[#This Row],[!FK]],"rg:None")</f>
        <v>rg:None</v>
      </c>
      <c r="X206" s="15" t="str">
        <f>IF(LEN(concatif2(A:A,Table2[[#This Row],[!Table]],G:G,"Y",D:D,",")) &gt; 0,"rg:[ { 'req' : '"&amp;concatif2(A:A,Table2[[#This Row],[!Table]],G:G,"Y",D:D,"' }, { 'req': '")&amp;"'} ]","rg:[]")</f>
        <v>rg:[ { 'req' : 'id' }, { 'req': 'internalFileName' }, { 'req': 'externalFileName'} ]</v>
      </c>
      <c r="Y206" s="4" t="str">
        <f>IF(LEN(Table2[[#This Row],[!Unique]])&gt;0,"rg:True","rg:None")</f>
        <v>rg:None</v>
      </c>
    </row>
    <row r="207" spans="1:25" x14ac:dyDescent="0.3">
      <c r="A207" s="22" t="s">
        <v>170</v>
      </c>
      <c r="B207" s="3" t="s">
        <v>6</v>
      </c>
      <c r="C207" s="3"/>
      <c r="D207" s="3" t="s">
        <v>6</v>
      </c>
      <c r="E207" s="62" t="s">
        <v>360</v>
      </c>
      <c r="F207" s="3" t="s">
        <v>5</v>
      </c>
      <c r="G207" s="4" t="s">
        <v>64</v>
      </c>
      <c r="H207" s="55" t="s">
        <v>64</v>
      </c>
      <c r="I207" s="5" t="str">
        <f t="shared" si="15"/>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an Attachment</v>
      </c>
      <c r="W207" s="4" t="str">
        <f>IF(LEN(Table2[[#This Row],[!FK]])&gt;0,Table2[[#This Row],[!FK]],"rg:None")</f>
        <v>rg:None</v>
      </c>
      <c r="X207" s="15" t="str">
        <f>IF(LEN(concatif2(A:A,Table2[[#This Row],[!Table]],G:G,"Y",D:D,",")) &gt; 0,"rg:[ { 'req' : '"&amp;concatif2(A:A,Table2[[#This Row],[!Table]],G:G,"Y",D:D,"' }, { 'req': '")&amp;"'} ]","rg:[]")</f>
        <v>rg:[ { 'req' : 'id' }, { 'req': 'internalFileName' }, { 'req': 'externalFileName'} ]</v>
      </c>
      <c r="Y207" s="4" t="str">
        <f>IF(LEN(Table2[[#This Row],[!Unique]])&gt;0,"rg:True","rg:None")</f>
        <v>rg:True</v>
      </c>
    </row>
    <row r="208" spans="1:25" x14ac:dyDescent="0.3">
      <c r="A208" s="22" t="s">
        <v>170</v>
      </c>
      <c r="B208" s="3" t="s">
        <v>7</v>
      </c>
      <c r="C208" s="3">
        <v>2048</v>
      </c>
      <c r="D208" s="3" t="s">
        <v>236</v>
      </c>
      <c r="E208" s="62" t="s">
        <v>237</v>
      </c>
      <c r="F208" s="3" t="s">
        <v>5</v>
      </c>
      <c r="G208" s="55" t="s">
        <v>64</v>
      </c>
      <c r="H208" s="55"/>
      <c r="I208" s="5" t="str">
        <f t="shared" si="15"/>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2048</v>
      </c>
      <c r="U208" s="4" t="str">
        <f>IF(LEN(Table2[[#This Row],[!Name]]) &gt; 0, Table2[[#This Row],[!Name]], "rg:None")</f>
        <v>internalFileName</v>
      </c>
      <c r="V208" s="4" t="str">
        <f>IF(LEN(Table2[[#This Row],[!Description]]) &gt; 0, Table2[[#This Row],[!Description]], "rg:None")</f>
        <v>The physical location of the attachment on the file system.</v>
      </c>
      <c r="W208" s="4" t="str">
        <f>IF(LEN(Table2[[#This Row],[!FK]])&gt;0,Table2[[#This Row],[!FK]],"rg:None")</f>
        <v>rg:None</v>
      </c>
      <c r="X208" s="15" t="str">
        <f>IF(LEN(concatif2(A:A,Table2[[#This Row],[!Table]],G:G,"Y",D:D,",")) &gt; 0,"rg:[ { 'req' : '"&amp;concatif2(A:A,Table2[[#This Row],[!Table]],G:G,"Y",D:D,"' }, { 'req': '")&amp;"'} ]","rg:[]")</f>
        <v>rg:[ { 'req' : 'id' }, { 'req': 'internalFileName' }, { 'req': 'externalFileName'} ]</v>
      </c>
      <c r="Y208" s="4" t="str">
        <f>IF(LEN(Table2[[#This Row],[!Unique]])&gt;0,"rg:True","rg:None")</f>
        <v>rg:None</v>
      </c>
    </row>
    <row r="209" spans="1:25" x14ac:dyDescent="0.3">
      <c r="A209" s="22" t="s">
        <v>170</v>
      </c>
      <c r="B209" s="3" t="s">
        <v>7</v>
      </c>
      <c r="C209" s="3">
        <v>2048</v>
      </c>
      <c r="D209" s="3" t="s">
        <v>167</v>
      </c>
      <c r="E209" s="73" t="s">
        <v>168</v>
      </c>
      <c r="F209" s="3" t="s">
        <v>5</v>
      </c>
      <c r="G209" s="55" t="s">
        <v>64</v>
      </c>
      <c r="H209" s="55"/>
      <c r="I209" s="5" t="str">
        <f t="shared" si="15"/>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externalFileName</v>
      </c>
      <c r="V209" s="4" t="str">
        <f>IF(LEN(Table2[[#This Row],[!Description]]) &gt; 0, Table2[[#This Row],[!Description]], "rg:None")</f>
        <v>The name of the attachment as defined by the user in uploading the document.</v>
      </c>
      <c r="W209" s="4" t="str">
        <f>IF(LEN(Table2[[#This Row],[!FK]])&gt;0,Table2[[#This Row],[!FK]],"rg:None")</f>
        <v>rg:None</v>
      </c>
      <c r="X209" s="15" t="str">
        <f>IF(LEN(concatif2(A:A,Table2[[#This Row],[!Table]],G:G,"Y",D:D,",")) &gt; 0,"rg:[ { 'req' : '"&amp;concatif2(A:A,Table2[[#This Row],[!Table]],G:G,"Y",D:D,"' }, { 'req': '")&amp;"'} ]","rg:[]")</f>
        <v>rg:[ { 'req' : 'id' }, { 'req': 'internalFileName' }, { 'req': 'externalFileName'} ]</v>
      </c>
      <c r="Y209" s="4" t="str">
        <f>IF(LEN(Table2[[#This Row],[!Unique]])&gt;0,"rg:True","rg:None")</f>
        <v>rg:None</v>
      </c>
    </row>
    <row r="210" spans="1:25" x14ac:dyDescent="0.3">
      <c r="A210" s="22" t="s">
        <v>170</v>
      </c>
      <c r="B210" s="3" t="s">
        <v>7</v>
      </c>
      <c r="C210" s="3">
        <v>2048</v>
      </c>
      <c r="D210" s="3" t="s">
        <v>14</v>
      </c>
      <c r="E210" s="73" t="s">
        <v>169</v>
      </c>
      <c r="F210" s="3" t="s">
        <v>5</v>
      </c>
      <c r="G210" s="4"/>
      <c r="H210" s="4"/>
      <c r="I210" s="5" t="str">
        <f t="shared" si="15"/>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2048</v>
      </c>
      <c r="U210" s="4" t="str">
        <f>IF(LEN(Table2[[#This Row],[!Name]]) &gt; 0, Table2[[#This Row],[!Name]], "rg:None")</f>
        <v>description</v>
      </c>
      <c r="V210" s="4" t="str">
        <f>IF(LEN(Table2[[#This Row],[!Description]]) &gt; 0, Table2[[#This Row],[!Description]], "rg:None")</f>
        <v>A note about the attachment,  optionally maintained by the user.</v>
      </c>
      <c r="W210" s="4" t="str">
        <f>IF(LEN(Table2[[#This Row],[!FK]])&gt;0,Table2[[#This Row],[!FK]],"rg:None")</f>
        <v>rg:None</v>
      </c>
      <c r="X210" s="15" t="str">
        <f>IF(LEN(concatif2(A:A,Table2[[#This Row],[!Table]],G:G,"Y",D:D,",")) &gt; 0,"rg:[ { 'req' : '"&amp;concatif2(A:A,Table2[[#This Row],[!Table]],G:G,"Y",D:D,"' }, { 'req': '")&amp;"'} ]","rg:[]")</f>
        <v>rg:[ { 'req' : 'id' }, { 'req': 'internalFileName' }, { 'req': 'externalFileName'} ]</v>
      </c>
      <c r="Y210" s="4" t="str">
        <f>IF(LEN(Table2[[#This Row],[!Unique]])&gt;0,"rg:True","rg:None")</f>
        <v>rg:None</v>
      </c>
    </row>
    <row r="211" spans="1:25" ht="28.8" x14ac:dyDescent="0.3">
      <c r="A211" s="22" t="s">
        <v>172</v>
      </c>
      <c r="B211" s="3" t="s">
        <v>4</v>
      </c>
      <c r="C211" s="3"/>
      <c r="D211" s="22" t="s">
        <v>172</v>
      </c>
      <c r="E211" s="86" t="s">
        <v>420</v>
      </c>
      <c r="F211" s="3" t="s">
        <v>5</v>
      </c>
      <c r="G211" s="4"/>
      <c r="H211" s="4"/>
      <c r="I211" s="5" t="str">
        <f t="shared" si="15"/>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History</v>
      </c>
      <c r="V211" s="4" t="str">
        <f>IF(LEN(Table2[[#This Row],[!Description]]) &gt; 0, Table2[[#This Row],[!Description]], "rg:None")</f>
        <v>A log entry created by the system based on a triggering event and related to an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'historyText'} ]</v>
      </c>
      <c r="Y211" s="4" t="str">
        <f>IF(LEN(Table2[[#This Row],[!Unique]])&gt;0,"rg:True","rg:None")</f>
        <v>rg:None</v>
      </c>
    </row>
    <row r="212" spans="1:25" x14ac:dyDescent="0.3">
      <c r="A212" s="22" t="s">
        <v>172</v>
      </c>
      <c r="B212" s="3" t="s">
        <v>6</v>
      </c>
      <c r="C212" s="3"/>
      <c r="D212" s="3" t="s">
        <v>6</v>
      </c>
      <c r="E212" s="62" t="s">
        <v>361</v>
      </c>
      <c r="F212" s="3" t="s">
        <v>5</v>
      </c>
      <c r="G212" s="4" t="s">
        <v>64</v>
      </c>
      <c r="H212" s="55" t="s">
        <v>64</v>
      </c>
      <c r="I212" s="5" t="str">
        <f t="shared" si="15"/>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 History</v>
      </c>
      <c r="W212" s="4" t="str">
        <f>IF(LEN(Table2[[#This Row],[!FK]])&gt;0,Table2[[#This Row],[!FK]],"rg:None")</f>
        <v>rg:None</v>
      </c>
      <c r="X212" s="15" t="str">
        <f>IF(LEN(concatif2(A:A,Table2[[#This Row],[!Table]],G:G,"Y",D:D,",")) &gt; 0,"rg:[ { 'req' : '"&amp;concatif2(A:A,Table2[[#This Row],[!Table]],G:G,"Y",D:D,"' }, { 'req': '")&amp;"'} ]","rg:[]")</f>
        <v>rg:[ { 'req' : 'id' }, { 'req': 'historyText'} ]</v>
      </c>
      <c r="Y212" s="4" t="str">
        <f>IF(LEN(Table2[[#This Row],[!Unique]])&gt;0,"rg:True","rg:None")</f>
        <v>rg:True</v>
      </c>
    </row>
    <row r="213" spans="1:25" x14ac:dyDescent="0.3">
      <c r="A213" s="22" t="s">
        <v>172</v>
      </c>
      <c r="B213" s="22" t="s">
        <v>7</v>
      </c>
      <c r="C213" s="3">
        <v>2048</v>
      </c>
      <c r="D213" s="38" t="s">
        <v>238</v>
      </c>
      <c r="E213" s="75" t="s">
        <v>239</v>
      </c>
      <c r="F213" s="3"/>
      <c r="G213" s="55" t="s">
        <v>64</v>
      </c>
      <c r="H213" s="55"/>
      <c r="I213" s="5" t="str">
        <f t="shared" si="15"/>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historyText</v>
      </c>
      <c r="V213" s="4" t="str">
        <f>IF(LEN(Table2[[#This Row],[!Description]]) &gt; 0, Table2[[#This Row],[!Description]], "rg:None")</f>
        <v>The text of the history entry tracked against the related entity.</v>
      </c>
      <c r="W213" s="4" t="str">
        <f>IF(LEN(Table2[[#This Row],[!FK]])&gt;0,Table2[[#This Row],[!FK]],"rg:None")</f>
        <v>rg:None</v>
      </c>
      <c r="X213" s="15" t="str">
        <f>IF(LEN(concatif2(A:A,Table2[[#This Row],[!Table]],G:G,"Y",D:D,",")) &gt; 0,"rg:[ { 'req' : '"&amp;concatif2(A:A,Table2[[#This Row],[!Table]],G:G,"Y",D:D,"' }, { 'req': '")&amp;"'} ]","rg:[]")</f>
        <v>rg:[ { 'req' : 'id' }, { 'req': 'historyText'} ]</v>
      </c>
      <c r="Y213" s="4" t="str">
        <f>IF(LEN(Table2[[#This Row],[!Unique]])&gt;0,"rg:True","rg:None")</f>
        <v>rg:None</v>
      </c>
    </row>
    <row r="214" spans="1:25" x14ac:dyDescent="0.3">
      <c r="A214" s="22" t="s">
        <v>172</v>
      </c>
      <c r="B214" s="21" t="s">
        <v>12</v>
      </c>
      <c r="C214" s="19"/>
      <c r="D214" s="37" t="s">
        <v>235</v>
      </c>
      <c r="E214" s="76" t="s">
        <v>173</v>
      </c>
      <c r="F214" s="13"/>
      <c r="G214" s="20"/>
      <c r="H214" s="20"/>
      <c r="I214" s="4" t="str">
        <f>IF(LEN(A214) &gt; 0,"Defs","-")</f>
        <v>Defs</v>
      </c>
      <c r="J214" s="15" t="str">
        <f>IF(Table2[[#This Row],[!Type]]=J$1, J$1,"rg:None")</f>
        <v>rg:None</v>
      </c>
      <c r="K214" s="15" t="str">
        <f>IF(Table2[[#This Row],[!Type]]=K$1, K$1,"rg:None")</f>
        <v>rg:None</v>
      </c>
      <c r="L214" s="15" t="str">
        <f>IF(Table2[[#This Row],[!Type]]=L$1, L$1,"rg:None")</f>
        <v>datetime</v>
      </c>
      <c r="M214" s="15" t="str">
        <f>IF(Table2[[#This Row],[!Type]]=M$1, M$1,"rg:None")</f>
        <v>rg:None</v>
      </c>
      <c r="N214" s="15" t="str">
        <f>IF(Table2[[#This Row],[!Type]]=N$1, N$1,"rg:None")</f>
        <v>rg:None</v>
      </c>
      <c r="O214" s="15"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15" t="str">
        <f>IF(LEN(Table2[[#This Row],[!Length]]) &gt; 0, Table2[[#This Row],[!Length]], "rg:None")</f>
        <v>rg:None</v>
      </c>
      <c r="U214" s="15" t="str">
        <f>IF(LEN(Table2[[#This Row],[!Name]]) &gt; 0, Table2[[#This Row],[!Name]], "rg:None")</f>
        <v>createdDate</v>
      </c>
      <c r="V214" s="15" t="str">
        <f>IF(LEN(Table2[[#This Row],[!Description]]) &gt; 0, Table2[[#This Row],[!Description]], "rg:None")</f>
        <v>Date the record is created.</v>
      </c>
      <c r="W214" s="15" t="str">
        <f>IF(LEN(Table2[[#This Row],[!FK]])&gt;0,Table2[[#This Row],[!FK]],"rg:None")</f>
        <v>rg:None</v>
      </c>
      <c r="X214" s="15" t="str">
        <f>IF(LEN(concatif2(A:A,Table2[[#This Row],[!Table]],G:G,"Y",D:D,",")) &gt; 0,"rg:[ { 'req' : '"&amp;concatif2(A:A,Table2[[#This Row],[!Table]],G:G,"Y",D:D,"' }, { 'req': '")&amp;"'} ]","rg:[]")</f>
        <v>rg:[ { 'req' : 'id' }, { 'req': 'historyText'} ]</v>
      </c>
      <c r="Y214" s="15" t="str">
        <f>IF(LEN(Table2[[#This Row],[!Unique]])&gt;0,"rg:True","rg:None")</f>
        <v>rg:None</v>
      </c>
    </row>
    <row r="215" spans="1:25" ht="28.8" x14ac:dyDescent="0.3">
      <c r="A215" s="3" t="s">
        <v>22</v>
      </c>
      <c r="B215" s="3" t="s">
        <v>4</v>
      </c>
      <c r="C215" s="3"/>
      <c r="D215" s="90" t="s">
        <v>22</v>
      </c>
      <c r="E215" s="86" t="s">
        <v>422</v>
      </c>
      <c r="F215" s="3" t="s">
        <v>5</v>
      </c>
      <c r="G215" s="4"/>
      <c r="H215" s="4"/>
      <c r="I215" s="5" t="str">
        <f t="shared" ref="I215:I260" si="16">IF(LEN(A215) &gt; 0,"Defs","-")</f>
        <v>Defs</v>
      </c>
      <c r="J215" t="str">
        <f>IF(Table2[[#This Row],[!Type]]=J$1, J$1,"rg:None")</f>
        <v>rg:None</v>
      </c>
      <c r="K215" t="str">
        <f>IF(Table2[[#This Row],[!Type]]=K$1, K$1,"rg:None")</f>
        <v>rg:None</v>
      </c>
      <c r="L215" t="str">
        <f>IF(Table2[[#This Row],[!Type]]=L$1, L$1,"rg:None")</f>
        <v>rg:None</v>
      </c>
      <c r="M215" t="str">
        <f>IF(Table2[[#This Row],[!Type]]=M$1, M$1,"rg:None")</f>
        <v>rg:None</v>
      </c>
      <c r="N215" s="9" t="str">
        <f>IF(Table2[[#This Row],[!Type]]=N$1, N$1,"rg:None")</f>
        <v>rg:None</v>
      </c>
      <c r="O215" s="9"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9" t="str">
        <f>IF(LEN(Table2[[#This Row],[!Length]]) &gt; 0, Table2[[#This Row],[!Length]], "rg:None")</f>
        <v>rg:None</v>
      </c>
      <c r="U215" s="9" t="str">
        <f>IF(LEN(Table2[[#This Row],[!Name]]) &gt; 0, Table2[[#This Row],[!Name]], "rg:None")</f>
        <v>FavouriteContextType</v>
      </c>
      <c r="V215" s="9" t="str">
        <f>IF(LEN(Table2[[#This Row],[!Description]]) &gt; 0, Table2[[#This Row],[!Description]], "rg:None")</f>
        <v>The name for a place in the UI where per user settings can be stored - for example, the Equipment search screen, Owner search screen, etc.</v>
      </c>
      <c r="W215" s="9" t="str">
        <f>IF(LEN(Table2[[#This Row],[!FK]])&gt;0,Table2[[#This Row],[!FK]],"rg:None")</f>
        <v>rg:None</v>
      </c>
      <c r="X215" s="9" t="str">
        <f>IF(LEN(concatif2(A:A,Table2[[#This Row],[!Table]],G:G,"Y",D:D,",")) &gt; 0,"rg:[ { 'req' : '"&amp;concatif2(A:A,Table2[[#This Row],[!Table]],G:G,"Y",D:D,"' }, { 'req': '")&amp;"'} ]","rg:[]")</f>
        <v>rg:[ { 'req' : 'id'} ]</v>
      </c>
      <c r="Y215" s="9" t="str">
        <f>IF(LEN(Table2[[#This Row],[!Unique]])&gt;0,"rg:True","rg:None")</f>
        <v>rg:None</v>
      </c>
    </row>
    <row r="216" spans="1:25" x14ac:dyDescent="0.3">
      <c r="A216" s="3" t="s">
        <v>22</v>
      </c>
      <c r="B216" s="3" t="s">
        <v>6</v>
      </c>
      <c r="C216" s="3"/>
      <c r="D216" s="3" t="s">
        <v>6</v>
      </c>
      <c r="E216" s="62" t="s">
        <v>395</v>
      </c>
      <c r="F216" s="3" t="s">
        <v>5</v>
      </c>
      <c r="G216" s="4" t="s">
        <v>64</v>
      </c>
      <c r="H216" s="4"/>
      <c r="I216" s="5" t="str">
        <f t="shared" si="16"/>
        <v>Defs</v>
      </c>
      <c r="J216" t="str">
        <f>IF(Table2[[#This Row],[!Type]]=J$1, J$1,"rg:None")</f>
        <v>rg:None</v>
      </c>
      <c r="K216" t="str">
        <f>IF(Table2[[#This Row],[!Type]]=K$1, K$1,"rg:None")</f>
        <v>rg:None</v>
      </c>
      <c r="L216" t="str">
        <f>IF(Table2[[#This Row],[!Type]]=L$1, L$1,"rg:None")</f>
        <v>rg:None</v>
      </c>
      <c r="M216" t="str">
        <f>IF(Table2[[#This Row],[!Type]]=M$1, M$1,"rg:None")</f>
        <v>id</v>
      </c>
      <c r="N216" s="9" t="str">
        <f>IF(Table2[[#This Row],[!Type]]=N$1, N$1,"rg:None")</f>
        <v>rg:None</v>
      </c>
      <c r="O216" s="9"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9" t="str">
        <f>IF(LEN(Table2[[#This Row],[!Length]]) &gt; 0, Table2[[#This Row],[!Length]], "rg:None")</f>
        <v>rg:None</v>
      </c>
      <c r="U216" s="9" t="str">
        <f>IF(LEN(Table2[[#This Row],[!Name]]) &gt; 0, Table2[[#This Row],[!Name]], "rg:None")</f>
        <v>id</v>
      </c>
      <c r="V216" s="9" t="str">
        <f>IF(LEN(Table2[[#This Row],[!Description]]) &gt; 0, Table2[[#This Row],[!Description]], "rg:None")</f>
        <v>A system-generated unique identifier for a FavouriteContextType</v>
      </c>
      <c r="W216" s="9" t="str">
        <f>IF(LEN(Table2[[#This Row],[!FK]])&gt;0,Table2[[#This Row],[!FK]],"rg:None")</f>
        <v>rg:None</v>
      </c>
      <c r="X216" s="9" t="str">
        <f>IF(LEN(concatif2(A:A,Table2[[#This Row],[!Table]],G:G,"Y",D:D,",")) &gt; 0,"rg:[ { 'req' : '"&amp;concatif2(A:A,Table2[[#This Row],[!Table]],G:G,"Y",D:D,"' }, { 'req': '")&amp;"'} ]","rg:[]")</f>
        <v>rg:[ { 'req' : 'id'} ]</v>
      </c>
      <c r="Y216" s="9" t="str">
        <f>IF(LEN(Table2[[#This Row],[!Unique]])&gt;0,"rg:True","rg:None")</f>
        <v>rg:None</v>
      </c>
    </row>
    <row r="217" spans="1:25" x14ac:dyDescent="0.3">
      <c r="A217" s="3" t="s">
        <v>22</v>
      </c>
      <c r="B217" s="3" t="s">
        <v>7</v>
      </c>
      <c r="C217" s="3">
        <v>150</v>
      </c>
      <c r="D217" s="3" t="s">
        <v>15</v>
      </c>
      <c r="E217" s="62" t="s">
        <v>23</v>
      </c>
      <c r="F217" s="3" t="s">
        <v>5</v>
      </c>
      <c r="G217" s="4"/>
      <c r="H217" s="4"/>
      <c r="I217" s="5" t="str">
        <f t="shared" si="16"/>
        <v>Defs</v>
      </c>
      <c r="J217" t="str">
        <f>IF(Table2[[#This Row],[!Type]]=J$1, J$1,"rg:None")</f>
        <v>rg:None</v>
      </c>
      <c r="K217" t="str">
        <f>IF(Table2[[#This Row],[!Type]]=K$1, K$1,"rg:None")</f>
        <v>rg:None</v>
      </c>
      <c r="L217" t="str">
        <f>IF(Table2[[#This Row],[!Type]]=L$1, L$1,"rg:None")</f>
        <v>rg:None</v>
      </c>
      <c r="M217" t="str">
        <f>IF(Table2[[#This Row],[!Type]]=M$1, M$1,"rg:None")</f>
        <v>rg:None</v>
      </c>
      <c r="N217" s="9" t="str">
        <f>IF(Table2[[#This Row],[!Type]]=N$1, N$1,"rg:None")</f>
        <v>rg:None</v>
      </c>
      <c r="O217" s="9"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9">
        <f>IF(LEN(Table2[[#This Row],[!Length]]) &gt; 0, Table2[[#This Row],[!Length]], "rg:None")</f>
        <v>150</v>
      </c>
      <c r="U217" s="9" t="str">
        <f>IF(LEN(Table2[[#This Row],[!Name]]) &gt; 0, Table2[[#This Row],[!Name]], "rg:None")</f>
        <v>name</v>
      </c>
      <c r="V217" s="9" t="str">
        <f>IF(LEN(Table2[[#This Row],[!Description]]) &gt; 0, Table2[[#This Row],[!Description]], "rg:None")</f>
        <v>Context Name known by the UI.</v>
      </c>
      <c r="W217" s="9" t="str">
        <f>IF(LEN(Table2[[#This Row],[!FK]])&gt;0,Table2[[#This Row],[!FK]],"rg:None")</f>
        <v>rg:None</v>
      </c>
      <c r="X217" s="9" t="str">
        <f>IF(LEN(concatif2(A:A,Table2[[#This Row],[!Table]],G:G,"Y",D:D,",")) &gt; 0,"rg:[ { 'req' : '"&amp;concatif2(A:A,Table2[[#This Row],[!Table]],G:G,"Y",D:D,"' }, { 'req': '")&amp;"'} ]","rg:[]")</f>
        <v>rg:[ { 'req' : 'id'} ]</v>
      </c>
      <c r="Y217" s="9" t="str">
        <f>IF(LEN(Table2[[#This Row],[!Unique]])&gt;0,"rg:True","rg:None")</f>
        <v>rg:None</v>
      </c>
    </row>
    <row r="218" spans="1:25" ht="28.8" x14ac:dyDescent="0.3">
      <c r="A218" s="3" t="s">
        <v>24</v>
      </c>
      <c r="B218" s="3" t="s">
        <v>4</v>
      </c>
      <c r="C218" s="3"/>
      <c r="D218" s="3" t="s">
        <v>24</v>
      </c>
      <c r="E218" s="62" t="s">
        <v>65</v>
      </c>
      <c r="F218" s="3" t="s">
        <v>5</v>
      </c>
      <c r="G218" s="4"/>
      <c r="H218" s="4"/>
      <c r="I218" s="5" t="str">
        <f t="shared" si="16"/>
        <v>Defs</v>
      </c>
      <c r="J218" t="str">
        <f>IF(Table2[[#This Row],[!Type]]=J$1, J$1,"rg:None")</f>
        <v>rg:None</v>
      </c>
      <c r="K218" t="str">
        <f>IF(Table2[[#This Row],[!Type]]=K$1, K$1,"rg:None")</f>
        <v>rg:None</v>
      </c>
      <c r="L218" t="str">
        <f>IF(Table2[[#This Row],[!Type]]=L$1, L$1,"rg:None")</f>
        <v>rg:None</v>
      </c>
      <c r="M218" t="str">
        <f>IF(Table2[[#This Row],[!Type]]=M$1, M$1,"rg:None")</f>
        <v>rg:None</v>
      </c>
      <c r="N218" s="9" t="str">
        <f>IF(Table2[[#This Row],[!Type]]=N$1, N$1,"rg:None")</f>
        <v>rg:None</v>
      </c>
      <c r="O218" s="9" t="str">
        <f>IF(Table2[[#This Row],[!Type]]=O$1, O$1,"rg:None")</f>
        <v>rg:None</v>
      </c>
      <c r="P218" s="5" t="str">
        <f>IF(Table2[[#This Row],[!Type]]=P$1, P$1,"rg:None")</f>
        <v>rg:None</v>
      </c>
      <c r="Q218" s="5" t="str">
        <f>IF(Table2[[#This Row],[!Type]]=Q$1, Q$1,"rg:None")</f>
        <v>rg:None</v>
      </c>
      <c r="R218" s="5" t="str">
        <f>IF(Table2[[#This Row],[!Type]]=R$1, R$1,"rg:None")</f>
        <v>rg:None</v>
      </c>
      <c r="S218" s="5" t="str">
        <f>IF(Table2[[#This Row],[!Type]]=S$1, S$1,"rg:None")</f>
        <v>table</v>
      </c>
      <c r="T218" s="9" t="str">
        <f>IF(LEN(Table2[[#This Row],[!Length]]) &gt; 0, Table2[[#This Row],[!Length]], "rg:None")</f>
        <v>rg:None</v>
      </c>
      <c r="U218" s="9" t="str">
        <f>IF(LEN(Table2[[#This Row],[!Name]]) &gt; 0, Table2[[#This Row],[!Name]], "rg:None")</f>
        <v>UserFavourite</v>
      </c>
      <c r="V218" s="9" t="str">
        <f>IF(LEN(Table2[[#This Row],[!Description]]) &gt; 0, Table2[[#This Row],[!Description]], "rg:None")</f>
        <v>User specific settings for a specific location in the UI. The location and saved settings are internally defined by the UI.</v>
      </c>
      <c r="W218" s="9" t="str">
        <f>IF(LEN(Table2[[#This Row],[!FK]])&gt;0,Table2[[#This Row],[!FK]],"rg:None")</f>
        <v>rg:None</v>
      </c>
      <c r="X218" s="9" t="str">
        <f>IF(LEN(concatif2(A:A,Table2[[#This Row],[!Table]],G:G,"Y",D:D,",")) &gt; 0,"rg:[ { 'req' : '"&amp;concatif2(A:A,Table2[[#This Row],[!Table]],G:G,"Y",D:D,"' }, { 'req': '")&amp;"'} ]","rg:[]")</f>
        <v>rg:[ { 'req' : 'id'} ]</v>
      </c>
      <c r="Y218" s="9" t="str">
        <f>IF(LEN(Table2[[#This Row],[!Unique]])&gt;0,"rg:True","rg:None")</f>
        <v>rg:None</v>
      </c>
    </row>
    <row r="219" spans="1:25" x14ac:dyDescent="0.3">
      <c r="A219" s="3" t="s">
        <v>24</v>
      </c>
      <c r="B219" s="3" t="s">
        <v>6</v>
      </c>
      <c r="C219" s="3"/>
      <c r="D219" s="3" t="s">
        <v>6</v>
      </c>
      <c r="E219" s="62" t="s">
        <v>362</v>
      </c>
      <c r="F219" s="3" t="s">
        <v>5</v>
      </c>
      <c r="G219" s="4" t="s">
        <v>64</v>
      </c>
      <c r="H219" s="55" t="s">
        <v>64</v>
      </c>
      <c r="I219" s="5" t="str">
        <f t="shared" si="16"/>
        <v>Defs</v>
      </c>
      <c r="J219" t="str">
        <f>IF(Table2[[#This Row],[!Type]]=J$1, J$1,"rg:None")</f>
        <v>rg:None</v>
      </c>
      <c r="K219" t="str">
        <f>IF(Table2[[#This Row],[!Type]]=K$1, K$1,"rg:None")</f>
        <v>rg:None</v>
      </c>
      <c r="L219" t="str">
        <f>IF(Table2[[#This Row],[!Type]]=L$1, L$1,"rg:None")</f>
        <v>rg:None</v>
      </c>
      <c r="M219" t="str">
        <f>IF(Table2[[#This Row],[!Type]]=M$1, M$1,"rg:None")</f>
        <v>id</v>
      </c>
      <c r="N219" s="9" t="str">
        <f>IF(Table2[[#This Row],[!Type]]=N$1, N$1,"rg:None")</f>
        <v>rg:None</v>
      </c>
      <c r="O219" s="9"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rg:None</v>
      </c>
      <c r="T219" s="9" t="str">
        <f>IF(LEN(Table2[[#This Row],[!Length]]) &gt; 0, Table2[[#This Row],[!Length]], "rg:None")</f>
        <v>rg:None</v>
      </c>
      <c r="U219" s="9" t="str">
        <f>IF(LEN(Table2[[#This Row],[!Name]]) &gt; 0, Table2[[#This Row],[!Name]], "rg:None")</f>
        <v>id</v>
      </c>
      <c r="V219" s="9" t="str">
        <f>IF(LEN(Table2[[#This Row],[!Description]]) &gt; 0, Table2[[#This Row],[!Description]], "rg:None")</f>
        <v>A system-generated unique identifier for a UserFavourite</v>
      </c>
      <c r="W219" s="9" t="str">
        <f>IF(LEN(Table2[[#This Row],[!FK]])&gt;0,Table2[[#This Row],[!FK]],"rg:None")</f>
        <v>rg:None</v>
      </c>
      <c r="X219" s="9" t="str">
        <f>IF(LEN(concatif2(A:A,Table2[[#This Row],[!Table]],G:G,"Y",D:D,",")) &gt; 0,"rg:[ { 'req' : '"&amp;concatif2(A:A,Table2[[#This Row],[!Table]],G:G,"Y",D:D,"' }, { 'req': '")&amp;"'} ]","rg:[]")</f>
        <v>rg:[ { 'req' : 'id'} ]</v>
      </c>
      <c r="Y219" s="9" t="str">
        <f>IF(LEN(Table2[[#This Row],[!Unique]])&gt;0,"rg:True","rg:None")</f>
        <v>rg:True</v>
      </c>
    </row>
    <row r="220" spans="1:25" ht="28.8" x14ac:dyDescent="0.3">
      <c r="A220" s="3" t="s">
        <v>24</v>
      </c>
      <c r="B220" s="3" t="s">
        <v>7</v>
      </c>
      <c r="C220" s="3">
        <v>150</v>
      </c>
      <c r="D220" s="3" t="s">
        <v>15</v>
      </c>
      <c r="E220" s="62" t="s">
        <v>25</v>
      </c>
      <c r="F220" s="3" t="s">
        <v>5</v>
      </c>
      <c r="G220" s="4"/>
      <c r="H220" s="4"/>
      <c r="I220" s="5" t="str">
        <f t="shared" si="16"/>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string</v>
      </c>
      <c r="S220" s="5" t="str">
        <f>IF(Table2[[#This Row],[!Type]]=S$1, S$1,"rg:None")</f>
        <v>rg:None</v>
      </c>
      <c r="T220" s="9">
        <f>IF(LEN(Table2[[#This Row],[!Length]]) &gt; 0, Table2[[#This Row],[!Length]], "rg:None")</f>
        <v>150</v>
      </c>
      <c r="U220" s="9" t="str">
        <f>IF(LEN(Table2[[#This Row],[!Name]]) &gt; 0, Table2[[#This Row],[!Name]], "rg:None")</f>
        <v>name</v>
      </c>
      <c r="V220" s="9" t="str">
        <f>IF(LEN(Table2[[#This Row],[!Description]]) &gt; 0, Table2[[#This Row],[!Description]], "rg:None")</f>
        <v>The user-defined name for the recorded settings. Allows the user to save different groups of settings and access each one easily when needed.</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ht="28.8" x14ac:dyDescent="0.3">
      <c r="A221" s="3" t="s">
        <v>24</v>
      </c>
      <c r="B221" s="3" t="s">
        <v>7</v>
      </c>
      <c r="C221" s="3">
        <v>2048</v>
      </c>
      <c r="D221" s="3" t="s">
        <v>26</v>
      </c>
      <c r="E221" s="62" t="s">
        <v>27</v>
      </c>
      <c r="F221" s="3" t="s">
        <v>5</v>
      </c>
      <c r="G221" s="4"/>
      <c r="H221" s="4"/>
      <c r="I221" s="5" t="str">
        <f t="shared" si="16"/>
        <v>Defs</v>
      </c>
      <c r="J221" t="str">
        <f>IF(Table2[[#This Row],[!Type]]=J$1, J$1,"rg:None")</f>
        <v>rg:None</v>
      </c>
      <c r="K221" t="str">
        <f>IF(Table2[[#This Row],[!Type]]=K$1, K$1,"rg:None")</f>
        <v>rg:None</v>
      </c>
      <c r="L221" t="str">
        <f>IF(Table2[[#This Row],[!Type]]=L$1, L$1,"rg:None")</f>
        <v>rg:None</v>
      </c>
      <c r="M221" t="str">
        <f>IF(Table2[[#This Row],[!Type]]=M$1, M$1,"rg:None")</f>
        <v>rg:None</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9">
        <f>IF(LEN(Table2[[#This Row],[!Length]]) &gt; 0, Table2[[#This Row],[!Length]], "rg:None")</f>
        <v>2048</v>
      </c>
      <c r="U221" s="9" t="str">
        <f>IF(LEN(Table2[[#This Row],[!Name]]) &gt; 0, Table2[[#This Row],[!Name]], "rg:None")</f>
        <v>value</v>
      </c>
      <c r="V221" s="9" t="str">
        <f>IF(LEN(Table2[[#This Row],[!Description]]) &gt; 0, Table2[[#This Row],[!Description]], "rg:None")</f>
        <v>The settings saved by the user. In general,  a UI defined chunk of json that stores the settings in place when the user created the favourite.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ht="57.6" x14ac:dyDescent="0.3">
      <c r="A222" s="3" t="s">
        <v>24</v>
      </c>
      <c r="B222" s="3" t="s">
        <v>9</v>
      </c>
      <c r="C222" s="3"/>
      <c r="D222" s="3" t="s">
        <v>28</v>
      </c>
      <c r="E222" s="62" t="s">
        <v>29</v>
      </c>
      <c r="F222" s="3" t="s">
        <v>5</v>
      </c>
      <c r="G222" s="4"/>
      <c r="H222" s="4"/>
      <c r="I222" s="5" t="str">
        <f t="shared" si="16"/>
        <v>Defs</v>
      </c>
      <c r="J222" t="str">
        <f>IF(Table2[[#This Row],[!Type]]=J$1, J$1,"rg:None")</f>
        <v>boolean</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rg:None</v>
      </c>
      <c r="S222" s="5" t="str">
        <f>IF(Table2[[#This Row],[!Type]]=S$1, S$1,"rg:None")</f>
        <v>rg:None</v>
      </c>
      <c r="T222" s="9" t="str">
        <f>IF(LEN(Table2[[#This Row],[!Length]]) &gt; 0, Table2[[#This Row],[!Length]], "rg:None")</f>
        <v>rg:None</v>
      </c>
      <c r="U222" s="9" t="str">
        <f>IF(LEN(Table2[[#This Row],[!Name]]) &gt; 0, Table2[[#This Row],[!Name]], "rg:None")</f>
        <v>isDefault</v>
      </c>
      <c r="V222"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x14ac:dyDescent="0.3">
      <c r="A223" s="3" t="s">
        <v>24</v>
      </c>
      <c r="B223" s="47" t="s">
        <v>7</v>
      </c>
      <c r="C223" s="3">
        <v>150</v>
      </c>
      <c r="D223" s="47" t="s">
        <v>20</v>
      </c>
      <c r="E223" s="78" t="s">
        <v>245</v>
      </c>
      <c r="F223" s="3"/>
      <c r="G223" s="4"/>
      <c r="H223" s="4"/>
      <c r="I223" s="5" t="str">
        <f t="shared" si="16"/>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9">
        <f>IF(LEN(Table2[[#This Row],[!Length]]) &gt; 0, Table2[[#This Row],[!Length]], "rg:None")</f>
        <v>150</v>
      </c>
      <c r="U223" s="9" t="str">
        <f>IF(LEN(Table2[[#This Row],[!Name]]) &gt; 0, Table2[[#This Row],[!Name]], "rg:None")</f>
        <v>type</v>
      </c>
      <c r="V223" s="9" t="str">
        <f>IF(LEN(Table2[[#This Row],[!Description]]) &gt; 0, Table2[[#This Row],[!Description]], "rg:None")</f>
        <v>The type of Favourite</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49" t="s">
        <v>24</v>
      </c>
      <c r="B224" s="49" t="s">
        <v>8</v>
      </c>
      <c r="C224" s="19"/>
      <c r="D224" s="49" t="s">
        <v>0</v>
      </c>
      <c r="E224" s="79" t="s">
        <v>246</v>
      </c>
      <c r="F224" s="50" t="s">
        <v>0</v>
      </c>
      <c r="G224" s="20"/>
      <c r="H224" s="20"/>
      <c r="I224" s="4" t="str">
        <f>IF(LEN(A224) &gt; 0,"Defs","-")</f>
        <v>Defs</v>
      </c>
      <c r="J224" s="15" t="str">
        <f>IF(Table2[[#This Row],[!Type]]=J$1, J$1,"rg:None")</f>
        <v>rg:None</v>
      </c>
      <c r="K224" s="48" t="str">
        <f>IF(Table2[[#This Row],[!Type]]=K$1, K$1,"rg:None")</f>
        <v>rg:None</v>
      </c>
      <c r="L224" s="15" t="str">
        <f>IF(Table2[[#This Row],[!Type]]=L$1, L$1,"rg:None")</f>
        <v>rg:None</v>
      </c>
      <c r="M224" s="15" t="str">
        <f>IF(Table2[[#This Row],[!Type]]=M$1, M$1,"rg:None")</f>
        <v>rg:None</v>
      </c>
      <c r="N224" s="15" t="str">
        <f>IF(Table2[[#This Row],[!Type]]=N$1, N$1,"rg:None")</f>
        <v>rg:None</v>
      </c>
      <c r="O224" s="15" t="str">
        <f>IF(Table2[[#This Row],[!Type]]=O$1, O$1,"rg:None")</f>
        <v>rg:None</v>
      </c>
      <c r="P224" s="4" t="str">
        <f>IF(Table2[[#This Row],[!Type]]=P$1, P$1,"rg:None")</f>
        <v>rg:None</v>
      </c>
      <c r="Q224" s="4" t="str">
        <f>IF(Table2[[#This Row],[!Type]]=Q$1, Q$1,"rg:None")</f>
        <v>ref</v>
      </c>
      <c r="R224" s="4" t="str">
        <f>IF(Table2[[#This Row],[!Type]]=R$1, R$1,"rg:None")</f>
        <v>rg:None</v>
      </c>
      <c r="S224" s="4" t="str">
        <f>IF(Table2[[#This Row],[!Type]]=S$1, S$1,"rg:None")</f>
        <v>rg:None</v>
      </c>
      <c r="T224" s="15" t="str">
        <f>IF(LEN(Table2[[#This Row],[!Length]]) &gt; 0, Table2[[#This Row],[!Length]], "rg:None")</f>
        <v>rg:None</v>
      </c>
      <c r="U224" s="15" t="str">
        <f>IF(LEN(Table2[[#This Row],[!Name]]) &gt; 0, Table2[[#This Row],[!Name]], "rg:None")</f>
        <v>User</v>
      </c>
      <c r="V224" s="15" t="str">
        <f>IF(LEN(Table2[[#This Row],[!Description]]) &gt; 0, Table2[[#This Row],[!Description]], "rg:None")</f>
        <v>The User who has this Favourite</v>
      </c>
      <c r="W224" s="15" t="str">
        <f>IF(LEN(Table2[[#This Row],[!FK]])&gt;0,Table2[[#This Row],[!FK]],"rg:None")</f>
        <v>User</v>
      </c>
      <c r="X224" s="15" t="str">
        <f>IF(LEN(concatif2(A:A,Table2[[#This Row],[!Table]],G:G,"Y",D:D,",")) &gt; 0,"rg:[ { 'req' : '"&amp;concatif2(A:A,Table2[[#This Row],[!Table]],G:G,"Y",D:D,"' }, { 'req': '")&amp;"'} ]","rg:[]")</f>
        <v>rg:[ { 'req' : 'id'} ]</v>
      </c>
      <c r="Y224" s="15" t="str">
        <f>IF(LEN(Table2[[#This Row],[!Unique]])&gt;0,"rg:True","rg:None")</f>
        <v>rg:None</v>
      </c>
    </row>
    <row r="225" spans="1:25" x14ac:dyDescent="0.3">
      <c r="A225" s="3" t="s">
        <v>30</v>
      </c>
      <c r="B225" s="3" t="s">
        <v>4</v>
      </c>
      <c r="C225" s="3"/>
      <c r="D225" s="3" t="s">
        <v>30</v>
      </c>
      <c r="E225" s="86" t="s">
        <v>455</v>
      </c>
      <c r="F225" s="3" t="s">
        <v>5</v>
      </c>
      <c r="G225" s="4"/>
      <c r="H225" s="4"/>
      <c r="I225" s="5" t="str">
        <f t="shared" si="16"/>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table</v>
      </c>
      <c r="T225" s="9" t="str">
        <f>IF(LEN(Table2[[#This Row],[!Length]]) &gt; 0, Table2[[#This Row],[!Length]], "rg:None")</f>
        <v>rg:None</v>
      </c>
      <c r="U225" s="9" t="str">
        <f>IF(LEN(Table2[[#This Row],[!Name]]) &gt; 0, Table2[[#This Row],[!Name]], "rg:None")</f>
        <v>Region</v>
      </c>
      <c r="V225" s="9" t="str">
        <f>IF(LEN(Table2[[#This Row],[!Description]]) &gt; 0, Table2[[#This Row],[!Description]], "rg:None")</f>
        <v>The Ministry of Transportion and Infrastructure REGION.</v>
      </c>
      <c r="W225" s="9" t="str">
        <f>IF(LEN(Table2[[#This Row],[!FK]])&gt;0,Table2[[#This Row],[!FK]],"rg:None")</f>
        <v>rg:None</v>
      </c>
      <c r="X225" s="9" t="str">
        <f>IF(LEN(concatif2(A:A,Table2[[#This Row],[!Table]],G:G,"Y",D:D,",")) &gt; 0,"rg:[ { 'req' : '"&amp;concatif2(A:A,Table2[[#This Row],[!Table]],G:G,"Y",D:D,"' }, { 'req': '")&amp;"'} ]","rg:[]")</f>
        <v>rg:[ { 'req' : 'id' }, { 'req': 'ministryRegionID' }, { 'req': 'name' }, { 'req': 'startDate'} ]</v>
      </c>
      <c r="Y225" s="9" t="str">
        <f>IF(LEN(Table2[[#This Row],[!Unique]])&gt;0,"rg:True","rg:None")</f>
        <v>rg:None</v>
      </c>
    </row>
    <row r="226" spans="1:25" x14ac:dyDescent="0.3">
      <c r="A226" s="3" t="s">
        <v>30</v>
      </c>
      <c r="B226" s="3" t="s">
        <v>6</v>
      </c>
      <c r="C226" s="3"/>
      <c r="D226" s="3" t="s">
        <v>6</v>
      </c>
      <c r="E226" s="62" t="s">
        <v>363</v>
      </c>
      <c r="F226" s="3" t="s">
        <v>5</v>
      </c>
      <c r="G226" s="4" t="s">
        <v>64</v>
      </c>
      <c r="H226" s="55" t="s">
        <v>64</v>
      </c>
      <c r="I226" s="5" t="str">
        <f t="shared" si="16"/>
        <v>Defs</v>
      </c>
      <c r="J226" t="str">
        <f>IF(Table2[[#This Row],[!Type]]=J$1, J$1,"rg:None")</f>
        <v>rg:None</v>
      </c>
      <c r="K226" t="str">
        <f>IF(Table2[[#This Row],[!Type]]=K$1, K$1,"rg:None")</f>
        <v>rg:None</v>
      </c>
      <c r="L226" t="str">
        <f>IF(Table2[[#This Row],[!Type]]=L$1, L$1,"rg:None")</f>
        <v>rg:None</v>
      </c>
      <c r="M226" t="str">
        <f>IF(Table2[[#This Row],[!Type]]=M$1, M$1,"rg:None")</f>
        <v>id</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9" t="str">
        <f>IF(LEN(Table2[[#This Row],[!Length]]) &gt; 0, Table2[[#This Row],[!Length]], "rg:None")</f>
        <v>rg:None</v>
      </c>
      <c r="U226" s="9" t="str">
        <f>IF(LEN(Table2[[#This Row],[!Name]]) &gt; 0, Table2[[#This Row],[!Name]], "rg:None")</f>
        <v>id</v>
      </c>
      <c r="V226" s="9" t="str">
        <f>IF(LEN(Table2[[#This Row],[!Description]]) &gt; 0, Table2[[#This Row],[!Description]], "rg:None")</f>
        <v>A system-generated unique identifier for a Region</v>
      </c>
      <c r="W226" s="9" t="str">
        <f>IF(LEN(Table2[[#This Row],[!FK]])&gt;0,Table2[[#This Row],[!FK]],"rg:None")</f>
        <v>rg:None</v>
      </c>
      <c r="X226" s="9" t="str">
        <f>IF(LEN(concatif2(A:A,Table2[[#This Row],[!Table]],G:G,"Y",D:D,",")) &gt; 0,"rg:[ { 'req' : '"&amp;concatif2(A:A,Table2[[#This Row],[!Table]],G:G,"Y",D:D,"' }, { 'req': '")&amp;"'} ]","rg:[]")</f>
        <v>rg:[ { 'req' : 'id' }, { 'req': 'ministryRegionID' }, { 'req': 'name' }, { 'req': 'startDate'} ]</v>
      </c>
      <c r="Y226" s="9" t="str">
        <f>IF(LEN(Table2[[#This Row],[!Unique]])&gt;0,"rg:True","rg:None")</f>
        <v>rg:True</v>
      </c>
    </row>
    <row r="227" spans="1:25" x14ac:dyDescent="0.3">
      <c r="A227" s="3" t="s">
        <v>30</v>
      </c>
      <c r="B227" s="3" t="s">
        <v>13</v>
      </c>
      <c r="C227" s="3"/>
      <c r="D227" s="3" t="s">
        <v>31</v>
      </c>
      <c r="E227" s="86" t="s">
        <v>460</v>
      </c>
      <c r="F227" s="3" t="s">
        <v>5</v>
      </c>
      <c r="G227" s="55" t="s">
        <v>64</v>
      </c>
      <c r="H227" s="55" t="s">
        <v>64</v>
      </c>
      <c r="I227" s="5" t="str">
        <f t="shared" si="16"/>
        <v>Defs</v>
      </c>
      <c r="J227" t="str">
        <f>IF(Table2[[#This Row],[!Type]]=J$1, J$1,"rg:None")</f>
        <v>rg:None</v>
      </c>
      <c r="K227" t="str">
        <f>IF(Table2[[#This Row],[!Type]]=K$1, K$1,"rg:None")</f>
        <v>rg:None</v>
      </c>
      <c r="L227" t="str">
        <f>IF(Table2[[#This Row],[!Type]]=L$1, L$1,"rg:None")</f>
        <v>rg:None</v>
      </c>
      <c r="M227" t="str">
        <f>IF(Table2[[#This Row],[!Type]]=M$1, M$1,"rg:None")</f>
        <v>rg:None</v>
      </c>
      <c r="N227" s="9" t="str">
        <f>IF(Table2[[#This Row],[!Type]]=N$1, N$1,"rg:None")</f>
        <v>integer</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ministryRegionID</v>
      </c>
      <c r="V227" s="9" t="str">
        <f>IF(LEN(Table2[[#This Row],[!Description]]) &gt; 0, Table2[[#This Row],[!Description]], "rg:None")</f>
        <v>A system generated unique identifier. NOT GENERATED IN THIS SYSTEM.</v>
      </c>
      <c r="W227" s="9" t="str">
        <f>IF(LEN(Table2[[#This Row],[!FK]])&gt;0,Table2[[#This Row],[!FK]],"rg:None")</f>
        <v>rg:None</v>
      </c>
      <c r="X227" s="9" t="str">
        <f>IF(LEN(concatif2(A:A,Table2[[#This Row],[!Table]],G:G,"Y",D:D,",")) &gt; 0,"rg:[ { 'req' : '"&amp;concatif2(A:A,Table2[[#This Row],[!Table]],G:G,"Y",D:D,"' }, { 'req': '")&amp;"'} ]","rg:[]")</f>
        <v>rg:[ { 'req' : 'id' }, { 'req': 'ministryRegionID' }, { 'req': 'name' }, { 'req': 'startDate'} ]</v>
      </c>
      <c r="Y227" s="9" t="str">
        <f>IF(LEN(Table2[[#This Row],[!Unique]])&gt;0,"rg:True","rg:None")</f>
        <v>rg:True</v>
      </c>
    </row>
    <row r="228" spans="1:25" x14ac:dyDescent="0.3">
      <c r="A228" s="88" t="s">
        <v>30</v>
      </c>
      <c r="B228" s="88" t="s">
        <v>13</v>
      </c>
      <c r="C228" s="19"/>
      <c r="D228" s="88" t="s">
        <v>456</v>
      </c>
      <c r="E228" s="87" t="s">
        <v>457</v>
      </c>
      <c r="F228" s="13"/>
      <c r="G228" s="20"/>
      <c r="H228" s="20"/>
      <c r="I228" s="4" t="str">
        <f>IF(LEN(A228) &gt; 0,"Defs","-")</f>
        <v>Defs</v>
      </c>
      <c r="J228" s="15" t="str">
        <f>IF(Table2[[#This Row],[!Type]]=J$1, J$1,"rg:None")</f>
        <v>rg:None</v>
      </c>
      <c r="K228" s="48" t="str">
        <f>IF(Table2[[#This Row],[!Type]]=K$1, K$1,"rg:None")</f>
        <v>rg:None</v>
      </c>
      <c r="L228" s="15" t="str">
        <f>IF(Table2[[#This Row],[!Type]]=L$1, L$1,"rg:None")</f>
        <v>rg:None</v>
      </c>
      <c r="M228" s="15" t="str">
        <f>IF(Table2[[#This Row],[!Type]]=M$1, M$1,"rg:None")</f>
        <v>rg:None</v>
      </c>
      <c r="N228" s="15" t="str">
        <f>IF(Table2[[#This Row],[!Type]]=N$1, N$1,"rg:None")</f>
        <v>integer</v>
      </c>
      <c r="O228" s="15"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15" t="str">
        <f>IF(LEN(Table2[[#This Row],[!Length]]) &gt; 0, Table2[[#This Row],[!Length]], "rg:None")</f>
        <v>rg:None</v>
      </c>
      <c r="U228" s="15" t="str">
        <f>IF(LEN(Table2[[#This Row],[!Name]]) &gt; 0, Table2[[#This Row],[!Name]], "rg:None")</f>
        <v>regionNumber</v>
      </c>
      <c r="V228" s="15" t="str">
        <f>IF(LEN(Table2[[#This Row],[!Description]]) &gt; 0, Table2[[#This Row],[!Description]], "rg:None")</f>
        <v>A code that uniquely defines a Region.</v>
      </c>
      <c r="W228" s="15" t="str">
        <f>IF(LEN(Table2[[#This Row],[!FK]])&gt;0,Table2[[#This Row],[!FK]],"rg:None")</f>
        <v>rg:None</v>
      </c>
      <c r="X228" s="15" t="str">
        <f>IF(LEN(concatif2(A:A,Table2[[#This Row],[!Table]],G:G,"Y",D:D,",")) &gt; 0,"rg:[ { 'req' : '"&amp;concatif2(A:A,Table2[[#This Row],[!Table]],G:G,"Y",D:D,"' }, { 'req': '")&amp;"'} ]","rg:[]")</f>
        <v>rg:[ { 'req' : 'id' }, { 'req': 'ministryRegionID' }, { 'req': 'name' }, { 'req': 'startDate'} ]</v>
      </c>
      <c r="Y228" s="15" t="str">
        <f>IF(LEN(Table2[[#This Row],[!Unique]])&gt;0,"rg:True","rg:None")</f>
        <v>rg:None</v>
      </c>
    </row>
    <row r="229" spans="1:25" x14ac:dyDescent="0.3">
      <c r="A229" s="3" t="s">
        <v>30</v>
      </c>
      <c r="B229" s="3" t="s">
        <v>7</v>
      </c>
      <c r="C229" s="3">
        <v>150</v>
      </c>
      <c r="D229" s="3" t="s">
        <v>15</v>
      </c>
      <c r="E229" s="86" t="s">
        <v>458</v>
      </c>
      <c r="F229" s="3" t="s">
        <v>5</v>
      </c>
      <c r="G229" s="55" t="s">
        <v>64</v>
      </c>
      <c r="H229" s="55"/>
      <c r="I229" s="5" t="str">
        <f t="shared" si="16"/>
        <v>Defs</v>
      </c>
      <c r="J229" t="str">
        <f>IF(Table2[[#This Row],[!Type]]=J$1, J$1,"rg:None")</f>
        <v>rg:None</v>
      </c>
      <c r="K229" t="str">
        <f>IF(Table2[[#This Row],[!Type]]=K$1, K$1,"rg:None")</f>
        <v>rg:None</v>
      </c>
      <c r="L229" t="str">
        <f>IF(Table2[[#This Row],[!Type]]=L$1, L$1,"rg:None")</f>
        <v>rg:None</v>
      </c>
      <c r="M229" t="str">
        <f>IF(Table2[[#This Row],[!Type]]=M$1, M$1,"rg:None")</f>
        <v>rg:None</v>
      </c>
      <c r="N229" s="9" t="str">
        <f>IF(Table2[[#This Row],[!Type]]=N$1, N$1,"rg:None")</f>
        <v>rg:None</v>
      </c>
      <c r="O229" s="9" t="str">
        <f>IF(Table2[[#This Row],[!Type]]=O$1, O$1,"rg:None")</f>
        <v>rg:None</v>
      </c>
      <c r="P229" s="5" t="str">
        <f>IF(Table2[[#This Row],[!Type]]=P$1, P$1,"rg:None")</f>
        <v>rg:None</v>
      </c>
      <c r="Q229" s="5" t="str">
        <f>IF(Table2[[#This Row],[!Type]]=Q$1, Q$1,"rg:None")</f>
        <v>rg:None</v>
      </c>
      <c r="R229" s="5" t="str">
        <f>IF(Table2[[#This Row],[!Type]]=R$1, R$1,"rg:None")</f>
        <v>string</v>
      </c>
      <c r="S229" s="5" t="str">
        <f>IF(Table2[[#This Row],[!Type]]=S$1, S$1,"rg:None")</f>
        <v>rg:None</v>
      </c>
      <c r="T229" s="9">
        <f>IF(LEN(Table2[[#This Row],[!Length]]) &gt; 0, Table2[[#This Row],[!Length]], "rg:None")</f>
        <v>150</v>
      </c>
      <c r="U229" s="9" t="str">
        <f>IF(LEN(Table2[[#This Row],[!Name]]) &gt; 0, Table2[[#This Row],[!Name]], "rg:None")</f>
        <v>name</v>
      </c>
      <c r="V229" s="9" t="str">
        <f>IF(LEN(Table2[[#This Row],[!Description]]) &gt; 0, Table2[[#This Row],[!Description]], "rg:None")</f>
        <v>The name of a Minsitry Region.</v>
      </c>
      <c r="W229" s="9" t="str">
        <f>IF(LEN(Table2[[#This Row],[!FK]])&gt;0,Table2[[#This Row],[!FK]],"rg:None")</f>
        <v>rg:None</v>
      </c>
      <c r="X229" s="9" t="str">
        <f>IF(LEN(concatif2(A:A,Table2[[#This Row],[!Table]],G:G,"Y",D:D,",")) &gt; 0,"rg:[ { 'req' : '"&amp;concatif2(A:A,Table2[[#This Row],[!Table]],G:G,"Y",D:D,"' }, { 'req': '")&amp;"'} ]","rg:[]")</f>
        <v>rg:[ { 'req' : 'id' }, { 'req': 'ministryRegionID' }, { 'req': 'name' }, { 'req': 'startDate'} ]</v>
      </c>
      <c r="Y229" s="9" t="str">
        <f>IF(LEN(Table2[[#This Row],[!Unique]])&gt;0,"rg:True","rg:None")</f>
        <v>rg:None</v>
      </c>
    </row>
    <row r="230" spans="1:25" ht="28.8" x14ac:dyDescent="0.3">
      <c r="A230" s="3" t="s">
        <v>30</v>
      </c>
      <c r="B230" s="3" t="s">
        <v>12</v>
      </c>
      <c r="C230" s="3"/>
      <c r="D230" s="3" t="s">
        <v>32</v>
      </c>
      <c r="E230" s="86" t="s">
        <v>464</v>
      </c>
      <c r="F230" s="3" t="s">
        <v>5</v>
      </c>
      <c r="G230" s="91" t="s">
        <v>64</v>
      </c>
      <c r="H230" s="4"/>
      <c r="I230" s="5" t="str">
        <f t="shared" si="16"/>
        <v>Defs</v>
      </c>
      <c r="J230" t="str">
        <f>IF(Table2[[#This Row],[!Type]]=J$1, J$1,"rg:None")</f>
        <v>rg:None</v>
      </c>
      <c r="K230" t="str">
        <f>IF(Table2[[#This Row],[!Type]]=K$1, K$1,"rg:None")</f>
        <v>rg:None</v>
      </c>
      <c r="L230" t="str">
        <f>IF(Table2[[#This Row],[!Type]]=L$1, L$1,"rg:None")</f>
        <v>datetime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9" t="str">
        <f>IF(LEN(Table2[[#This Row],[!Length]]) &gt; 0, Table2[[#This Row],[!Length]], "rg:None")</f>
        <v>rg:None</v>
      </c>
      <c r="U230" s="9" t="str">
        <f>IF(LEN(Table2[[#This Row],[!Name]]) &gt; 0, Table2[[#This Row],[!Name]], "rg:None")</f>
        <v>startDate</v>
      </c>
      <c r="V230" s="9" t="str">
        <f>IF(LEN(Table2[[#This Row],[!Description]]) &gt; 0, Table2[[#This Row],[!Description]], "rg:None")</f>
        <v>The DATE the business information came into effect. - NOT CURRENTLY ENFORCED IN THIS SYSTEM</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ht="28.8" x14ac:dyDescent="0.3">
      <c r="A231" s="3" t="s">
        <v>30</v>
      </c>
      <c r="B231" s="3" t="s">
        <v>12</v>
      </c>
      <c r="C231" s="3"/>
      <c r="D231" s="3" t="s">
        <v>33</v>
      </c>
      <c r="E231" s="86" t="s">
        <v>465</v>
      </c>
      <c r="F231" s="3" t="s">
        <v>5</v>
      </c>
      <c r="G231" s="4"/>
      <c r="H231" s="4"/>
      <c r="I231" s="5" t="str">
        <f t="shared" si="16"/>
        <v>Defs</v>
      </c>
      <c r="J231" t="str">
        <f>IF(Table2[[#This Row],[!Type]]=J$1, J$1,"rg:None")</f>
        <v>rg:None</v>
      </c>
      <c r="K231" t="str">
        <f>IF(Table2[[#This Row],[!Type]]=K$1, K$1,"rg:None")</f>
        <v>rg:None</v>
      </c>
      <c r="L231" t="str">
        <f>IF(Table2[[#This Row],[!Type]]=L$1, L$1,"rg:None")</f>
        <v>datetime</v>
      </c>
      <c r="M231" t="str">
        <f>IF(Table2[[#This Row],[!Type]]=M$1, M$1,"rg:None")</f>
        <v>rg:None</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endDate</v>
      </c>
      <c r="V231" s="9" t="str">
        <f>IF(LEN(Table2[[#This Row],[!Description]]) &gt; 0, Table2[[#This Row],[!Description]], "rg:None")</f>
        <v>The DATE the business information ceased to be in effect. - NOT CURRENTLY ENFORCED IN THIS SYSTEM</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34</v>
      </c>
      <c r="B232" s="3" t="s">
        <v>4</v>
      </c>
      <c r="C232" s="3"/>
      <c r="D232" s="3" t="s">
        <v>34</v>
      </c>
      <c r="E232" s="86" t="s">
        <v>459</v>
      </c>
      <c r="F232" s="3" t="s">
        <v>5</v>
      </c>
      <c r="G232" s="4"/>
      <c r="H232" s="4"/>
      <c r="I232" s="5" t="str">
        <f t="shared" si="16"/>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rg:None</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table</v>
      </c>
      <c r="T232" s="9" t="str">
        <f>IF(LEN(Table2[[#This Row],[!Length]]) &gt; 0, Table2[[#This Row],[!Length]], "rg:None")</f>
        <v>rg:None</v>
      </c>
      <c r="U232" s="9" t="str">
        <f>IF(LEN(Table2[[#This Row],[!Name]]) &gt; 0, Table2[[#This Row],[!Name]], "rg:None")</f>
        <v>District</v>
      </c>
      <c r="V232" s="9" t="str">
        <f>IF(LEN(Table2[[#This Row],[!Description]]) &gt; 0, Table2[[#This Row],[!Description]], "rg:None")</f>
        <v>The Ministry of Transportion and Infrastructure DISTRICT</v>
      </c>
      <c r="W232" s="9" t="str">
        <f>IF(LEN(Table2[[#This Row],[!FK]])&gt;0,Table2[[#This Row],[!FK]],"rg:None")</f>
        <v>rg:None</v>
      </c>
      <c r="X232" s="9" t="str">
        <f>IF(LEN(concatif2(A:A,Table2[[#This Row],[!Table]],G:G,"Y",D:D,",")) &gt; 0,"rg:[ { 'req' : '"&amp;concatif2(A:A,Table2[[#This Row],[!Table]],G:G,"Y",D:D,"' }, { 'req': '")&amp;"'} ]","rg:[]")</f>
        <v>rg:[ { 'req' : 'id' }, { 'req': 'ministryDistrictID' }, { 'req': 'name' }, { 'req': 'region' }, { 'req': 'startDate'} ]</v>
      </c>
      <c r="Y232" s="9" t="str">
        <f>IF(LEN(Table2[[#This Row],[!Unique]])&gt;0,"rg:True","rg:None")</f>
        <v>rg:None</v>
      </c>
    </row>
    <row r="233" spans="1:25" x14ac:dyDescent="0.3">
      <c r="A233" s="3" t="s">
        <v>34</v>
      </c>
      <c r="B233" s="3" t="s">
        <v>6</v>
      </c>
      <c r="C233" s="3"/>
      <c r="D233" s="3" t="s">
        <v>6</v>
      </c>
      <c r="E233" s="62" t="s">
        <v>364</v>
      </c>
      <c r="F233" s="3" t="s">
        <v>5</v>
      </c>
      <c r="G233" s="4" t="s">
        <v>64</v>
      </c>
      <c r="H233" s="55" t="s">
        <v>64</v>
      </c>
      <c r="I233" s="5" t="str">
        <f t="shared" si="16"/>
        <v>Defs</v>
      </c>
      <c r="J233" t="str">
        <f>IF(Table2[[#This Row],[!Type]]=J$1, J$1,"rg:None")</f>
        <v>rg:None</v>
      </c>
      <c r="K233" t="str">
        <f>IF(Table2[[#This Row],[!Type]]=K$1, K$1,"rg:None")</f>
        <v>rg:None</v>
      </c>
      <c r="L233" t="str">
        <f>IF(Table2[[#This Row],[!Type]]=L$1, L$1,"rg:None")</f>
        <v>rg:None</v>
      </c>
      <c r="M233" t="str">
        <f>IF(Table2[[#This Row],[!Type]]=M$1, M$1,"rg:None")</f>
        <v>id</v>
      </c>
      <c r="N233" s="9" t="str">
        <f>IF(Table2[[#This Row],[!Type]]=N$1, N$1,"rg:None")</f>
        <v>rg:None</v>
      </c>
      <c r="O233" s="9" t="str">
        <f>IF(Table2[[#This Row],[!Type]]=O$1, O$1,"rg:None")</f>
        <v>rg:None</v>
      </c>
      <c r="P233" s="5" t="str">
        <f>IF(Table2[[#This Row],[!Type]]=P$1, P$1,"rg:None")</f>
        <v>rg:None</v>
      </c>
      <c r="Q233" s="5" t="str">
        <f>IF(Table2[[#This Row],[!Type]]=Q$1, Q$1,"rg:None")</f>
        <v>rg:None</v>
      </c>
      <c r="R233" s="5" t="str">
        <f>IF(Table2[[#This Row],[!Type]]=R$1, R$1,"rg:None")</f>
        <v>rg:None</v>
      </c>
      <c r="S233" s="5" t="str">
        <f>IF(Table2[[#This Row],[!Type]]=S$1, S$1,"rg:None")</f>
        <v>rg:None</v>
      </c>
      <c r="T233" s="9" t="str">
        <f>IF(LEN(Table2[[#This Row],[!Length]]) &gt; 0, Table2[[#This Row],[!Length]], "rg:None")</f>
        <v>rg:None</v>
      </c>
      <c r="U233" s="9" t="str">
        <f>IF(LEN(Table2[[#This Row],[!Name]]) &gt; 0, Table2[[#This Row],[!Name]], "rg:None")</f>
        <v>id</v>
      </c>
      <c r="V233" s="9" t="str">
        <f>IF(LEN(Table2[[#This Row],[!Description]]) &gt; 0, Table2[[#This Row],[!Description]], "rg:None")</f>
        <v>A system-generated unique identifier for a District</v>
      </c>
      <c r="W233" s="9" t="str">
        <f>IF(LEN(Table2[[#This Row],[!FK]])&gt;0,Table2[[#This Row],[!FK]],"rg:None")</f>
        <v>rg:None</v>
      </c>
      <c r="X233" s="9" t="str">
        <f>IF(LEN(concatif2(A:A,Table2[[#This Row],[!Table]],G:G,"Y",D:D,",")) &gt; 0,"rg:[ { 'req' : '"&amp;concatif2(A:A,Table2[[#This Row],[!Table]],G:G,"Y",D:D,"' }, { 'req': '")&amp;"'} ]","rg:[]")</f>
        <v>rg:[ { 'req' : 'id' }, { 'req': 'ministryDistrictID' }, { 'req': 'name' }, { 'req': 'region' }, { 'req': 'startDate'} ]</v>
      </c>
      <c r="Y233" s="9" t="str">
        <f>IF(LEN(Table2[[#This Row],[!Unique]])&gt;0,"rg:True","rg:None")</f>
        <v>rg:True</v>
      </c>
    </row>
    <row r="234" spans="1:25" x14ac:dyDescent="0.3">
      <c r="A234" s="3" t="s">
        <v>34</v>
      </c>
      <c r="B234" s="3" t="s">
        <v>13</v>
      </c>
      <c r="C234" s="3"/>
      <c r="D234" s="3" t="s">
        <v>35</v>
      </c>
      <c r="E234" s="86" t="s">
        <v>460</v>
      </c>
      <c r="F234" s="3" t="s">
        <v>5</v>
      </c>
      <c r="G234" s="55" t="s">
        <v>64</v>
      </c>
      <c r="H234" s="55"/>
      <c r="I234" s="5" t="str">
        <f t="shared" si="16"/>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integer</v>
      </c>
      <c r="O234" s="9" t="str">
        <f>IF(Table2[[#This Row],[!Type]]=O$1, O$1,"rg:None")</f>
        <v>rg:None</v>
      </c>
      <c r="P234" s="5" t="str">
        <f>IF(Table2[[#This Row],[!Type]]=P$1, P$1,"rg:None")</f>
        <v>rg:None</v>
      </c>
      <c r="Q234" s="5" t="str">
        <f>IF(Table2[[#This Row],[!Type]]=Q$1, Q$1,"rg:None")</f>
        <v>rg:None</v>
      </c>
      <c r="R234" s="5" t="str">
        <f>IF(Table2[[#This Row],[!Type]]=R$1, R$1,"rg:None")</f>
        <v>rg:None</v>
      </c>
      <c r="S234" s="5" t="str">
        <f>IF(Table2[[#This Row],[!Type]]=S$1, S$1,"rg:None")</f>
        <v>rg:None</v>
      </c>
      <c r="T234" s="9" t="str">
        <f>IF(LEN(Table2[[#This Row],[!Length]]) &gt; 0, Table2[[#This Row],[!Length]], "rg:None")</f>
        <v>rg:None</v>
      </c>
      <c r="U234" s="9" t="str">
        <f>IF(LEN(Table2[[#This Row],[!Name]]) &gt; 0, Table2[[#This Row],[!Name]], "rg:None")</f>
        <v>ministryDistrictID</v>
      </c>
      <c r="V234" s="9" t="str">
        <f>IF(LEN(Table2[[#This Row],[!Description]]) &gt; 0, Table2[[#This Row],[!Description]], "rg:None")</f>
        <v>A system generated unique identifier. NOT GENERATED IN THIS SYSTEM.</v>
      </c>
      <c r="W234" s="9" t="str">
        <f>IF(LEN(Table2[[#This Row],[!FK]])&gt;0,Table2[[#This Row],[!FK]],"rg:None")</f>
        <v>rg:None</v>
      </c>
      <c r="X234" s="9" t="str">
        <f>IF(LEN(concatif2(A:A,Table2[[#This Row],[!Table]],G:G,"Y",D:D,",")) &gt; 0,"rg:[ { 'req' : '"&amp;concatif2(A:A,Table2[[#This Row],[!Table]],G:G,"Y",D:D,"' }, { 'req': '")&amp;"'} ]","rg:[]")</f>
        <v>rg:[ { 'req' : 'id' }, { 'req': 'ministryDistrictID' }, { 'req': 'name' }, { 'req': 'region' }, { 'req': 'startDate'} ]</v>
      </c>
      <c r="Y234" s="9" t="str">
        <f>IF(LEN(Table2[[#This Row],[!Unique]])&gt;0,"rg:True","rg:None")</f>
        <v>rg:None</v>
      </c>
    </row>
    <row r="235" spans="1:25" x14ac:dyDescent="0.3">
      <c r="A235" s="3" t="s">
        <v>34</v>
      </c>
      <c r="B235" s="3" t="s">
        <v>7</v>
      </c>
      <c r="C235" s="3">
        <v>150</v>
      </c>
      <c r="D235" s="3" t="s">
        <v>15</v>
      </c>
      <c r="E235" s="86" t="s">
        <v>461</v>
      </c>
      <c r="F235" s="3" t="s">
        <v>5</v>
      </c>
      <c r="G235" s="55" t="s">
        <v>64</v>
      </c>
      <c r="H235" s="55"/>
      <c r="I235" s="5" t="str">
        <f t="shared" si="16"/>
        <v>Defs</v>
      </c>
      <c r="J235" t="str">
        <f>IF(Table2[[#This Row],[!Type]]=J$1, J$1,"rg:None")</f>
        <v>rg:None</v>
      </c>
      <c r="K235" t="str">
        <f>IF(Table2[[#This Row],[!Type]]=K$1, K$1,"rg:None")</f>
        <v>rg:None</v>
      </c>
      <c r="L235" t="str">
        <f>IF(Table2[[#This Row],[!Type]]=L$1, L$1,"rg:None")</f>
        <v>rg:None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string</v>
      </c>
      <c r="S235" s="5" t="str">
        <f>IF(Table2[[#This Row],[!Type]]=S$1, S$1,"rg:None")</f>
        <v>rg:None</v>
      </c>
      <c r="T235" s="9">
        <f>IF(LEN(Table2[[#This Row],[!Length]]) &gt; 0, Table2[[#This Row],[!Length]], "rg:None")</f>
        <v>150</v>
      </c>
      <c r="U235" s="9" t="str">
        <f>IF(LEN(Table2[[#This Row],[!Name]]) &gt; 0, Table2[[#This Row],[!Name]], "rg:None")</f>
        <v>name</v>
      </c>
      <c r="V235" s="9" t="str">
        <f>IF(LEN(Table2[[#This Row],[!Description]]) &gt; 0, Table2[[#This Row],[!Description]], "rg:None")</f>
        <v>The Name of a Ministry District.</v>
      </c>
      <c r="W235" s="9" t="str">
        <f>IF(LEN(Table2[[#This Row],[!FK]])&gt;0,Table2[[#This Row],[!FK]],"rg:None")</f>
        <v>rg:None</v>
      </c>
      <c r="X235" s="9" t="str">
        <f>IF(LEN(concatif2(A:A,Table2[[#This Row],[!Table]],G:G,"Y",D:D,",")) &gt; 0,"rg:[ { 'req' : '"&amp;concatif2(A:A,Table2[[#This Row],[!Table]],G:G,"Y",D:D,"' }, { 'req': '")&amp;"'} ]","rg:[]")</f>
        <v>rg:[ { 'req' : 'id' }, { 'req': 'ministryDistrictID' }, { 'req': 'name' }, { 'req': 'region' }, { 'req': 'startDate'} ]</v>
      </c>
      <c r="Y235" s="9" t="str">
        <f>IF(LEN(Table2[[#This Row],[!Unique]])&gt;0,"rg:True","rg:None")</f>
        <v>rg:None</v>
      </c>
    </row>
    <row r="236" spans="1:25" x14ac:dyDescent="0.3">
      <c r="A236" s="88" t="s">
        <v>34</v>
      </c>
      <c r="B236" s="88" t="s">
        <v>13</v>
      </c>
      <c r="C236" s="19"/>
      <c r="D236" s="88" t="s">
        <v>462</v>
      </c>
      <c r="E236" s="63" t="s">
        <v>463</v>
      </c>
      <c r="F236" s="13"/>
      <c r="G236" s="20"/>
      <c r="H236" s="20"/>
      <c r="I236" s="4" t="str">
        <f>IF(LEN(A236) &gt; 0,"Defs","-")</f>
        <v>Defs</v>
      </c>
      <c r="J236" s="15" t="str">
        <f>IF(Table2[[#This Row],[!Type]]=J$1, J$1,"rg:None")</f>
        <v>rg:None</v>
      </c>
      <c r="K236" s="48" t="str">
        <f>IF(Table2[[#This Row],[!Type]]=K$1, K$1,"rg:None")</f>
        <v>rg:None</v>
      </c>
      <c r="L236" s="15" t="str">
        <f>IF(Table2[[#This Row],[!Type]]=L$1, L$1,"rg:None")</f>
        <v>rg:None</v>
      </c>
      <c r="M236" s="15" t="str">
        <f>IF(Table2[[#This Row],[!Type]]=M$1, M$1,"rg:None")</f>
        <v>rg:None</v>
      </c>
      <c r="N236" s="15" t="str">
        <f>IF(Table2[[#This Row],[!Type]]=N$1, N$1,"rg:None")</f>
        <v>integer</v>
      </c>
      <c r="O236" s="15"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15" t="str">
        <f>IF(LEN(Table2[[#This Row],[!Length]]) &gt; 0, Table2[[#This Row],[!Length]], "rg:None")</f>
        <v>rg:None</v>
      </c>
      <c r="U236" s="15" t="str">
        <f>IF(LEN(Table2[[#This Row],[!Name]]) &gt; 0, Table2[[#This Row],[!Name]], "rg:None")</f>
        <v>districtNumber</v>
      </c>
      <c r="V236" s="15" t="str">
        <f>IF(LEN(Table2[[#This Row],[!Description]]) &gt; 0, Table2[[#This Row],[!Description]], "rg:None")</f>
        <v>A number that uniquely defines a Ministry District.</v>
      </c>
      <c r="W236" s="15" t="str">
        <f>IF(LEN(Table2[[#This Row],[!FK]])&gt;0,Table2[[#This Row],[!FK]],"rg:None")</f>
        <v>rg:None</v>
      </c>
      <c r="X236" s="15" t="str">
        <f>IF(LEN(concatif2(A:A,Table2[[#This Row],[!Table]],G:G,"Y",D:D,",")) &gt; 0,"rg:[ { 'req' : '"&amp;concatif2(A:A,Table2[[#This Row],[!Table]],G:G,"Y",D:D,"' }, { 'req': '")&amp;"'} ]","rg:[]")</f>
        <v>rg:[ { 'req' : 'id' }, { 'req': 'ministryDistrictID' }, { 'req': 'name' }, { 'req': 'region' }, { 'req': 'startDate'} ]</v>
      </c>
      <c r="Y236" s="15" t="str">
        <f>IF(LEN(Table2[[#This Row],[!Unique]])&gt;0,"rg:True","rg:None")</f>
        <v>rg:None</v>
      </c>
    </row>
    <row r="237" spans="1:25" x14ac:dyDescent="0.3">
      <c r="A237" s="3" t="s">
        <v>34</v>
      </c>
      <c r="B237" s="3" t="s">
        <v>8</v>
      </c>
      <c r="C237" s="3"/>
      <c r="D237" s="3" t="s">
        <v>36</v>
      </c>
      <c r="E237" s="62" t="s">
        <v>37</v>
      </c>
      <c r="F237" s="3" t="s">
        <v>30</v>
      </c>
      <c r="G237" s="91" t="s">
        <v>64</v>
      </c>
      <c r="H237" s="4"/>
      <c r="I237" s="5" t="str">
        <f t="shared" si="16"/>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ref</v>
      </c>
      <c r="R237" s="5" t="str">
        <f>IF(Table2[[#This Row],[!Type]]=R$1, R$1,"rg:None")</f>
        <v>rg:None</v>
      </c>
      <c r="S237" s="5" t="str">
        <f>IF(Table2[[#This Row],[!Type]]=S$1, S$1,"rg:None")</f>
        <v>rg:None</v>
      </c>
      <c r="T237" s="9" t="str">
        <f>IF(LEN(Table2[[#This Row],[!Length]]) &gt; 0, Table2[[#This Row],[!Length]], "rg:None")</f>
        <v>rg:None</v>
      </c>
      <c r="U237" s="9" t="str">
        <f>IF(LEN(Table2[[#This Row],[!Name]]) &gt; 0, Table2[[#This Row],[!Name]], "rg:None")</f>
        <v>region</v>
      </c>
      <c r="V237" s="9" t="str">
        <f>IF(LEN(Table2[[#This Row],[!Description]]) &gt; 0, Table2[[#This Row],[!Description]], "rg:None")</f>
        <v>The region in which the District is found.</v>
      </c>
      <c r="W237" s="9" t="str">
        <f>IF(LEN(Table2[[#This Row],[!FK]])&gt;0,Table2[[#This Row],[!FK]],"rg:None")</f>
        <v>Region</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ht="28.8" x14ac:dyDescent="0.3">
      <c r="A238" s="3" t="s">
        <v>34</v>
      </c>
      <c r="B238" s="3" t="s">
        <v>12</v>
      </c>
      <c r="C238" s="3"/>
      <c r="D238" s="3" t="s">
        <v>32</v>
      </c>
      <c r="E238" s="86" t="s">
        <v>464</v>
      </c>
      <c r="F238" s="3" t="s">
        <v>5</v>
      </c>
      <c r="G238" s="91" t="s">
        <v>64</v>
      </c>
      <c r="H238" s="4"/>
      <c r="I238" s="5" t="str">
        <f t="shared" si="16"/>
        <v>Defs</v>
      </c>
      <c r="J238" t="str">
        <f>IF(Table2[[#This Row],[!Type]]=J$1, J$1,"rg:None")</f>
        <v>rg:None</v>
      </c>
      <c r="K238" t="str">
        <f>IF(Table2[[#This Row],[!Type]]=K$1, K$1,"rg:None")</f>
        <v>rg:None</v>
      </c>
      <c r="L238" t="str">
        <f>IF(Table2[[#This Row],[!Type]]=L$1, L$1,"rg:None")</f>
        <v>datetime</v>
      </c>
      <c r="M238" t="str">
        <f>IF(Table2[[#This Row],[!Type]]=M$1, M$1,"rg:None")</f>
        <v>rg:None</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startDate</v>
      </c>
      <c r="V238" s="9" t="str">
        <f>IF(LEN(Table2[[#This Row],[!Description]]) &gt; 0, Table2[[#This Row],[!Description]], "rg:None")</f>
        <v>The DATE the business information came into effect. - NOT CURRENTLY ENFORCED IN THIS SYSTEM</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ht="28.8" x14ac:dyDescent="0.3">
      <c r="A239" s="3" t="s">
        <v>34</v>
      </c>
      <c r="B239" s="3" t="s">
        <v>12</v>
      </c>
      <c r="C239" s="3"/>
      <c r="D239" s="3" t="s">
        <v>33</v>
      </c>
      <c r="E239" s="86" t="s">
        <v>465</v>
      </c>
      <c r="F239" s="3" t="s">
        <v>5</v>
      </c>
      <c r="G239" s="4"/>
      <c r="H239" s="4"/>
      <c r="I239" s="5" t="str">
        <f t="shared" si="16"/>
        <v>Defs</v>
      </c>
      <c r="J239" t="str">
        <f>IF(Table2[[#This Row],[!Type]]=J$1, J$1,"rg:None")</f>
        <v>rg:None</v>
      </c>
      <c r="K239" t="str">
        <f>IF(Table2[[#This Row],[!Type]]=K$1, K$1,"rg:None")</f>
        <v>rg:None</v>
      </c>
      <c r="L239" t="str">
        <f>IF(Table2[[#This Row],[!Type]]=L$1, L$1,"rg:None")</f>
        <v>datetime</v>
      </c>
      <c r="M239" t="str">
        <f>IF(Table2[[#This Row],[!Type]]=M$1, M$1,"rg:None")</f>
        <v>rg:None</v>
      </c>
      <c r="N239" s="9" t="str">
        <f>IF(Table2[[#This Row],[!Type]]=N$1, N$1,"rg:None")</f>
        <v>rg:None</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endDate</v>
      </c>
      <c r="V239" s="9" t="str">
        <f>IF(LEN(Table2[[#This Row],[!Description]]) &gt; 0, Table2[[#This Row],[!Description]], "rg:None")</f>
        <v>The DATE the business information ceased to be in effect. - NOT CURRENTLY ENFORCED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10</v>
      </c>
      <c r="B240" s="3" t="s">
        <v>4</v>
      </c>
      <c r="C240" s="3"/>
      <c r="D240" s="3" t="s">
        <v>10</v>
      </c>
      <c r="E240" s="62" t="s">
        <v>469</v>
      </c>
      <c r="F240" s="3" t="s">
        <v>5</v>
      </c>
      <c r="G240" s="4"/>
      <c r="H240" s="4"/>
      <c r="I240" s="5" t="str">
        <f t="shared" si="16"/>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rg:None</v>
      </c>
      <c r="S240" s="5" t="str">
        <f>IF(Table2[[#This Row],[!Type]]=S$1, S$1,"rg:None")</f>
        <v>table</v>
      </c>
      <c r="T240" s="9" t="str">
        <f>IF(LEN(Table2[[#This Row],[!Length]]) &gt; 0, Table2[[#This Row],[!Length]], "rg:None")</f>
        <v>rg:None</v>
      </c>
      <c r="U240" s="9" t="str">
        <f>IF(LEN(Table2[[#This Row],[!Name]]) &gt; 0, Table2[[#This Row],[!Name]], "rg:None")</f>
        <v>ServiceArea</v>
      </c>
      <c r="V240" s="9" t="str">
        <f>IF(LEN(Table2[[#This Row],[!Description]]) &gt; 0, Table2[[#This Row],[!Description]], "rg:None")</f>
        <v>The Ministry of Transportation and Infrastructure SERVICE AREA.</v>
      </c>
      <c r="W240" s="9" t="str">
        <f>IF(LEN(Table2[[#This Row],[!FK]])&gt;0,Table2[[#This Row],[!FK]],"rg:None")</f>
        <v>rg:None</v>
      </c>
      <c r="X240" s="9" t="str">
        <f>IF(LEN(concatif2(A:A,Table2[[#This Row],[!Table]],G:G,"Y",D:D,",")) &gt; 0,"rg:[ { 'req' : '"&amp;concatif2(A:A,Table2[[#This Row],[!Table]],G:G,"Y",D:D,"' }, { 'req': '")&amp;"'} ]","rg:[]")</f>
        <v>rg:[ { 'req' : 'id' }, { 'req': 'ministryServiceAreaID' }, { 'req': 'name' }, { 'req': 'district' }, { 'req': 'startDate'} ]</v>
      </c>
      <c r="Y240" s="9" t="str">
        <f>IF(LEN(Table2[[#This Row],[!Unique]])&gt;0,"rg:True","rg:None")</f>
        <v>rg:None</v>
      </c>
    </row>
    <row r="241" spans="1:25" x14ac:dyDescent="0.3">
      <c r="A241" s="3" t="s">
        <v>10</v>
      </c>
      <c r="B241" s="3" t="s">
        <v>6</v>
      </c>
      <c r="C241" s="3"/>
      <c r="D241" s="3" t="s">
        <v>6</v>
      </c>
      <c r="E241" s="62" t="s">
        <v>365</v>
      </c>
      <c r="F241" s="3" t="s">
        <v>5</v>
      </c>
      <c r="G241" s="4" t="s">
        <v>64</v>
      </c>
      <c r="H241" s="55" t="s">
        <v>64</v>
      </c>
      <c r="I241" s="5" t="str">
        <f t="shared" si="16"/>
        <v>Defs</v>
      </c>
      <c r="J241" t="str">
        <f>IF(Table2[[#This Row],[!Type]]=J$1, J$1,"rg:None")</f>
        <v>rg:None</v>
      </c>
      <c r="K241" t="str">
        <f>IF(Table2[[#This Row],[!Type]]=K$1, K$1,"rg:None")</f>
        <v>rg:None</v>
      </c>
      <c r="L241" t="str">
        <f>IF(Table2[[#This Row],[!Type]]=L$1, L$1,"rg:None")</f>
        <v>rg:None</v>
      </c>
      <c r="M241" t="str">
        <f>IF(Table2[[#This Row],[!Type]]=M$1, M$1,"rg:None")</f>
        <v>id</v>
      </c>
      <c r="N241" s="9" t="str">
        <f>IF(Table2[[#This Row],[!Type]]=N$1, N$1,"rg:None")</f>
        <v>rg:None</v>
      </c>
      <c r="O241" s="9" t="str">
        <f>IF(Table2[[#This Row],[!Type]]=O$1, O$1,"rg:None")</f>
        <v>rg:None</v>
      </c>
      <c r="P241" s="5" t="str">
        <f>IF(Table2[[#This Row],[!Type]]=P$1, P$1,"rg:None")</f>
        <v>rg:None</v>
      </c>
      <c r="Q241" s="5" t="str">
        <f>IF(Table2[[#This Row],[!Type]]=Q$1, Q$1,"rg:None")</f>
        <v>rg:None</v>
      </c>
      <c r="R241" s="5" t="str">
        <f>IF(Table2[[#This Row],[!Type]]=R$1, R$1,"rg:None")</f>
        <v>rg:None</v>
      </c>
      <c r="S241" s="5" t="str">
        <f>IF(Table2[[#This Row],[!Type]]=S$1, S$1,"rg:None")</f>
        <v>rg:None</v>
      </c>
      <c r="T241" s="9" t="str">
        <f>IF(LEN(Table2[[#This Row],[!Length]]) &gt; 0, Table2[[#This Row],[!Length]], "rg:None")</f>
        <v>rg:None</v>
      </c>
      <c r="U241" s="9" t="str">
        <f>IF(LEN(Table2[[#This Row],[!Name]]) &gt; 0, Table2[[#This Row],[!Name]], "rg:None")</f>
        <v>id</v>
      </c>
      <c r="V241" s="9" t="str">
        <f>IF(LEN(Table2[[#This Row],[!Description]]) &gt; 0, Table2[[#This Row],[!Description]], "rg:None")</f>
        <v>A system-generated unique identifier for a ServiceArea</v>
      </c>
      <c r="W241" s="9" t="str">
        <f>IF(LEN(Table2[[#This Row],[!FK]])&gt;0,Table2[[#This Row],[!FK]],"rg:None")</f>
        <v>rg:None</v>
      </c>
      <c r="X241" s="9" t="str">
        <f>IF(LEN(concatif2(A:A,Table2[[#This Row],[!Table]],G:G,"Y",D:D,",")) &gt; 0,"rg:[ { 'req' : '"&amp;concatif2(A:A,Table2[[#This Row],[!Table]],G:G,"Y",D:D,"' }, { 'req': '")&amp;"'} ]","rg:[]")</f>
        <v>rg:[ { 'req' : 'id' }, { 'req': 'ministryServiceAreaID' }, { 'req': 'name' }, { 'req': 'district' }, { 'req': 'startDate'} ]</v>
      </c>
      <c r="Y241" s="9" t="str">
        <f>IF(LEN(Table2[[#This Row],[!Unique]])&gt;0,"rg:True","rg:None")</f>
        <v>rg:True</v>
      </c>
    </row>
    <row r="242" spans="1:25" x14ac:dyDescent="0.3">
      <c r="A242" s="3" t="s">
        <v>10</v>
      </c>
      <c r="B242" s="3" t="s">
        <v>13</v>
      </c>
      <c r="C242" s="3"/>
      <c r="D242" s="3" t="s">
        <v>38</v>
      </c>
      <c r="E242" s="86" t="s">
        <v>460</v>
      </c>
      <c r="F242" s="3" t="s">
        <v>5</v>
      </c>
      <c r="G242" s="55" t="s">
        <v>64</v>
      </c>
      <c r="H242" s="55"/>
      <c r="I242" s="5" t="str">
        <f t="shared" si="16"/>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integer</v>
      </c>
      <c r="O242" s="9" t="str">
        <f>IF(Table2[[#This Row],[!Type]]=O$1, O$1,"rg:None")</f>
        <v>rg:None</v>
      </c>
      <c r="P242" s="5" t="str">
        <f>IF(Table2[[#This Row],[!Type]]=P$1, P$1,"rg:None")</f>
        <v>rg:None</v>
      </c>
      <c r="Q242" s="5" t="str">
        <f>IF(Table2[[#This Row],[!Type]]=Q$1, Q$1,"rg:None")</f>
        <v>rg:None</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ministryServiceAreaID</v>
      </c>
      <c r="V242" s="9" t="str">
        <f>IF(LEN(Table2[[#This Row],[!Description]]) &gt; 0, Table2[[#This Row],[!Description]], "rg:None")</f>
        <v>A system generated unique identifier. NOT GENERATED IN THIS SYSTEM.</v>
      </c>
      <c r="W242" s="9" t="str">
        <f>IF(LEN(Table2[[#This Row],[!FK]])&gt;0,Table2[[#This Row],[!FK]],"rg:None")</f>
        <v>rg:None</v>
      </c>
      <c r="X242" s="9" t="str">
        <f>IF(LEN(concatif2(A:A,Table2[[#This Row],[!Table]],G:G,"Y",D:D,",")) &gt; 0,"rg:[ { 'req' : '"&amp;concatif2(A:A,Table2[[#This Row],[!Table]],G:G,"Y",D:D,"' }, { 'req': '")&amp;"'} ]","rg:[]")</f>
        <v>rg:[ { 'req' : 'id' }, { 'req': 'ministryServiceAreaID' }, { 'req': 'name' }, { 'req': 'district' }, { 'req': 'startDate'} ]</v>
      </c>
      <c r="Y242" s="9" t="str">
        <f>IF(LEN(Table2[[#This Row],[!Unique]])&gt;0,"rg:True","rg:None")</f>
        <v>rg:None</v>
      </c>
    </row>
    <row r="243" spans="1:25" x14ac:dyDescent="0.3">
      <c r="A243" s="88" t="s">
        <v>10</v>
      </c>
      <c r="B243" s="88" t="s">
        <v>13</v>
      </c>
      <c r="C243" s="19"/>
      <c r="D243" s="88" t="s">
        <v>467</v>
      </c>
      <c r="E243" s="63" t="s">
        <v>468</v>
      </c>
      <c r="F243" s="13"/>
      <c r="G243" s="20"/>
      <c r="H243" s="20"/>
      <c r="I243" s="4" t="str">
        <f>IF(LEN(A243) &gt; 0,"Defs","-")</f>
        <v>Defs</v>
      </c>
      <c r="J243" s="15" t="str">
        <f>IF(Table2[[#This Row],[!Type]]=J$1, J$1,"rg:None")</f>
        <v>rg:None</v>
      </c>
      <c r="K243" s="48" t="str">
        <f>IF(Table2[[#This Row],[!Type]]=K$1, K$1,"rg:None")</f>
        <v>rg:None</v>
      </c>
      <c r="L243" s="15" t="str">
        <f>IF(Table2[[#This Row],[!Type]]=L$1, L$1,"rg:None")</f>
        <v>rg:None</v>
      </c>
      <c r="M243" s="15" t="str">
        <f>IF(Table2[[#This Row],[!Type]]=M$1, M$1,"rg:None")</f>
        <v>rg:None</v>
      </c>
      <c r="N243" s="15" t="str">
        <f>IF(Table2[[#This Row],[!Type]]=N$1, N$1,"rg:None")</f>
        <v>integer</v>
      </c>
      <c r="O243" s="15"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15" t="str">
        <f>IF(LEN(Table2[[#This Row],[!Length]]) &gt; 0, Table2[[#This Row],[!Length]], "rg:None")</f>
        <v>rg:None</v>
      </c>
      <c r="U243" s="15" t="str">
        <f>IF(LEN(Table2[[#This Row],[!Name]]) &gt; 0, Table2[[#This Row],[!Name]], "rg:None")</f>
        <v>areaNumber</v>
      </c>
      <c r="V243" s="15" t="str">
        <f>IF(LEN(Table2[[#This Row],[!Description]]) &gt; 0, Table2[[#This Row],[!Description]], "rg:None")</f>
        <v>A number that uniquely defines a Ministry Service Area.</v>
      </c>
      <c r="W243" s="15" t="str">
        <f>IF(LEN(Table2[[#This Row],[!FK]])&gt;0,Table2[[#This Row],[!FK]],"rg:None")</f>
        <v>rg:None</v>
      </c>
      <c r="X243" s="15" t="str">
        <f>IF(LEN(concatif2(A:A,Table2[[#This Row],[!Table]],G:G,"Y",D:D,",")) &gt; 0,"rg:[ { 'req' : '"&amp;concatif2(A:A,Table2[[#This Row],[!Table]],G:G,"Y",D:D,"' }, { 'req': '")&amp;"'} ]","rg:[]")</f>
        <v>rg:[ { 'req' : 'id' }, { 'req': 'ministryServiceAreaID' }, { 'req': 'name' }, { 'req': 'district' }, { 'req': 'startDate'} ]</v>
      </c>
      <c r="Y243" s="15" t="str">
        <f>IF(LEN(Table2[[#This Row],[!Unique]])&gt;0,"rg:True","rg:None")</f>
        <v>rg:None</v>
      </c>
    </row>
    <row r="244" spans="1:25" x14ac:dyDescent="0.3">
      <c r="A244" s="3" t="s">
        <v>10</v>
      </c>
      <c r="B244" s="3" t="s">
        <v>7</v>
      </c>
      <c r="C244" s="3">
        <v>150</v>
      </c>
      <c r="D244" s="3" t="s">
        <v>15</v>
      </c>
      <c r="E244" s="86" t="s">
        <v>466</v>
      </c>
      <c r="F244" s="3" t="s">
        <v>5</v>
      </c>
      <c r="G244" s="55" t="s">
        <v>64</v>
      </c>
      <c r="H244" s="55"/>
      <c r="I244" s="5" t="str">
        <f t="shared" si="16"/>
        <v>Defs</v>
      </c>
      <c r="J244" t="str">
        <f>IF(Table2[[#This Row],[!Type]]=J$1, J$1,"rg:None")</f>
        <v>rg:None</v>
      </c>
      <c r="K244" t="str">
        <f>IF(Table2[[#This Row],[!Type]]=K$1, K$1,"rg:None")</f>
        <v>rg:None</v>
      </c>
      <c r="L244" t="str">
        <f>IF(Table2[[#This Row],[!Type]]=L$1, L$1,"rg:None")</f>
        <v>rg:None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string</v>
      </c>
      <c r="S244" s="5" t="str">
        <f>IF(Table2[[#This Row],[!Type]]=S$1, S$1,"rg:None")</f>
        <v>rg:None</v>
      </c>
      <c r="T244" s="9">
        <f>IF(LEN(Table2[[#This Row],[!Length]]) &gt; 0, Table2[[#This Row],[!Length]], "rg:None")</f>
        <v>150</v>
      </c>
      <c r="U244" s="9" t="str">
        <f>IF(LEN(Table2[[#This Row],[!Name]]) &gt; 0, Table2[[#This Row],[!Name]], "rg:None")</f>
        <v>name</v>
      </c>
      <c r="V244" s="9" t="str">
        <f>IF(LEN(Table2[[#This Row],[!Description]]) &gt; 0, Table2[[#This Row],[!Description]], "rg:None")</f>
        <v>The Name of a Ministry Service Area.</v>
      </c>
      <c r="W244" s="9" t="str">
        <f>IF(LEN(Table2[[#This Row],[!FK]])&gt;0,Table2[[#This Row],[!FK]],"rg:None")</f>
        <v>rg:None</v>
      </c>
      <c r="X244" s="9" t="str">
        <f>IF(LEN(concatif2(A:A,Table2[[#This Row],[!Table]],G:G,"Y",D:D,",")) &gt; 0,"rg:[ { 'req' : '"&amp;concatif2(A:A,Table2[[#This Row],[!Table]],G:G,"Y",D:D,"' }, { 'req': '")&amp;"'} ]","rg:[]")</f>
        <v>rg:[ { 'req' : 'id' }, { 'req': 'ministryServiceAreaID' }, { 'req': 'name' }, { 'req': 'district' }, { 'req': 'startDate'} ]</v>
      </c>
      <c r="Y244" s="9" t="str">
        <f>IF(LEN(Table2[[#This Row],[!Unique]])&gt;0,"rg:True","rg:None")</f>
        <v>rg:None</v>
      </c>
    </row>
    <row r="245" spans="1:25" x14ac:dyDescent="0.3">
      <c r="A245" s="3" t="s">
        <v>10</v>
      </c>
      <c r="B245" s="3" t="s">
        <v>8</v>
      </c>
      <c r="C245" s="3"/>
      <c r="D245" s="3" t="s">
        <v>39</v>
      </c>
      <c r="E245" s="62" t="s">
        <v>40</v>
      </c>
      <c r="F245" s="3" t="s">
        <v>34</v>
      </c>
      <c r="G245" s="91" t="s">
        <v>64</v>
      </c>
      <c r="H245" s="4"/>
      <c r="I245" s="5" t="str">
        <f t="shared" si="16"/>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ref</v>
      </c>
      <c r="R245" s="5" t="str">
        <f>IF(Table2[[#This Row],[!Type]]=R$1, R$1,"rg:None")</f>
        <v>rg:None</v>
      </c>
      <c r="S245" s="5" t="str">
        <f>IF(Table2[[#This Row],[!Type]]=S$1, S$1,"rg:None")</f>
        <v>rg:None</v>
      </c>
      <c r="T245" s="9" t="str">
        <f>IF(LEN(Table2[[#This Row],[!Length]]) &gt; 0, Table2[[#This Row],[!Length]], "rg:None")</f>
        <v>rg:None</v>
      </c>
      <c r="U245" s="9" t="str">
        <f>IF(LEN(Table2[[#This Row],[!Name]]) &gt; 0, Table2[[#This Row],[!Name]], "rg:None")</f>
        <v>district</v>
      </c>
      <c r="V245" s="9" t="str">
        <f>IF(LEN(Table2[[#This Row],[!Description]]) &gt; 0, Table2[[#This Row],[!Description]], "rg:None")</f>
        <v>The district in which the Service Area is found.</v>
      </c>
      <c r="W245" s="9" t="str">
        <f>IF(LEN(Table2[[#This Row],[!FK]])&gt;0,Table2[[#This Row],[!FK]],"rg:None")</f>
        <v>District</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ht="28.8" x14ac:dyDescent="0.3">
      <c r="A246" s="3" t="s">
        <v>10</v>
      </c>
      <c r="B246" s="3" t="s">
        <v>12</v>
      </c>
      <c r="C246" s="3"/>
      <c r="D246" s="3" t="s">
        <v>32</v>
      </c>
      <c r="E246" s="86" t="s">
        <v>464</v>
      </c>
      <c r="F246" s="3" t="s">
        <v>5</v>
      </c>
      <c r="G246" s="91" t="s">
        <v>64</v>
      </c>
      <c r="H246" s="4"/>
      <c r="I246" s="5" t="str">
        <f t="shared" si="16"/>
        <v>Defs</v>
      </c>
      <c r="J246" t="str">
        <f>IF(Table2[[#This Row],[!Type]]=J$1, J$1,"rg:None")</f>
        <v>rg:None</v>
      </c>
      <c r="K246" t="str">
        <f>IF(Table2[[#This Row],[!Type]]=K$1, K$1,"rg:None")</f>
        <v>rg:None</v>
      </c>
      <c r="L246" t="str">
        <f>IF(Table2[[#This Row],[!Type]]=L$1, L$1,"rg:None")</f>
        <v>datetime</v>
      </c>
      <c r="M246" t="str">
        <f>IF(Table2[[#This Row],[!Type]]=M$1, M$1,"rg:None")</f>
        <v>rg:None</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startDate</v>
      </c>
      <c r="V246" s="9" t="str">
        <f>IF(LEN(Table2[[#This Row],[!Description]]) &gt; 0, Table2[[#This Row],[!Description]], "rg:None")</f>
        <v>The DATE the business information came into effect. - NOT CURRENTLY ENFORCED IN THIS SYSTEM</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rg:None</v>
      </c>
    </row>
    <row r="247" spans="1:25" ht="28.8" x14ac:dyDescent="0.3">
      <c r="A247" s="3" t="s">
        <v>10</v>
      </c>
      <c r="B247" s="3" t="s">
        <v>12</v>
      </c>
      <c r="C247" s="3"/>
      <c r="D247" s="3" t="s">
        <v>33</v>
      </c>
      <c r="E247" s="86" t="s">
        <v>465</v>
      </c>
      <c r="F247" s="3" t="s">
        <v>5</v>
      </c>
      <c r="G247" s="4"/>
      <c r="H247" s="4"/>
      <c r="I247" s="5" t="str">
        <f t="shared" si="16"/>
        <v>Defs</v>
      </c>
      <c r="J247" t="str">
        <f>IF(Table2[[#This Row],[!Type]]=J$1, J$1,"rg:None")</f>
        <v>rg:None</v>
      </c>
      <c r="K247" t="str">
        <f>IF(Table2[[#This Row],[!Type]]=K$1, K$1,"rg:None")</f>
        <v>rg:None</v>
      </c>
      <c r="L247" t="str">
        <f>IF(Table2[[#This Row],[!Type]]=L$1, L$1,"rg:None")</f>
        <v>datetime</v>
      </c>
      <c r="M247" t="str">
        <f>IF(Table2[[#This Row],[!Type]]=M$1, M$1,"rg:None")</f>
        <v>rg:None</v>
      </c>
      <c r="N247" s="9" t="str">
        <f>IF(Table2[[#This Row],[!Type]]=N$1, N$1,"rg:None")</f>
        <v>rg:None</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endDate</v>
      </c>
      <c r="V247" s="9" t="str">
        <f>IF(LEN(Table2[[#This Row],[!Description]]) &gt; 0, Table2[[#This Row],[!Description]], "rg:None")</f>
        <v>The DATE the business information ceased to be in effect. - NOT CURRENTLY ENFORCED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18" t="s">
        <v>161</v>
      </c>
      <c r="B248" s="3" t="s">
        <v>4</v>
      </c>
      <c r="C248" s="3"/>
      <c r="D248" s="18" t="s">
        <v>161</v>
      </c>
      <c r="E248" s="86" t="s">
        <v>421</v>
      </c>
      <c r="F248" s="3" t="s">
        <v>5</v>
      </c>
      <c r="G248" s="4"/>
      <c r="H248" s="4"/>
      <c r="I248" s="5" t="str">
        <f>IF(LEN(A248) &gt; 0,"Defs","-")</f>
        <v>Defs</v>
      </c>
      <c r="J248" t="str">
        <f>IF(Table2[[#This Row],[!Type]]=J$1, J$1,"rg:None")</f>
        <v>rg:None</v>
      </c>
      <c r="K248" t="str">
        <f>IF(Table2[[#This Row],[!Type]]=K$1, K$1,"rg:None")</f>
        <v>rg:None</v>
      </c>
      <c r="L248" t="str">
        <f>IF(Table2[[#This Row],[!Type]]=L$1, L$1,"rg:None")</f>
        <v>rg:None</v>
      </c>
      <c r="M248" t="str">
        <f>IF(Table2[[#This Row],[!Type]]=M$1, M$1,"rg:None")</f>
        <v>rg:None</v>
      </c>
      <c r="N248" s="9" t="str">
        <f>IF(Table2[[#This Row],[!Type]]=N$1, N$1,"rg:None")</f>
        <v>rg:None</v>
      </c>
      <c r="O248" s="9" t="str">
        <f>IF(Table2[[#This Row],[!Type]]=O$1, O$1,"rg:None")</f>
        <v>rg:None</v>
      </c>
      <c r="P248" s="5" t="str">
        <f>IF(Table2[[#This Row],[!Type]]=P$1, P$1,"rg:None")</f>
        <v>rg:None</v>
      </c>
      <c r="Q248" s="5" t="str">
        <f>IF(Table2[[#This Row],[!Type]]=Q$1, Q$1,"rg:None")</f>
        <v>rg:None</v>
      </c>
      <c r="R248" s="5" t="str">
        <f>IF(Table2[[#This Row],[!Type]]=R$1, R$1,"rg:None")</f>
        <v>rg:None</v>
      </c>
      <c r="S248" s="5" t="str">
        <f>IF(Table2[[#This Row],[!Type]]=S$1, S$1,"rg:None")</f>
        <v>table</v>
      </c>
      <c r="T248" s="9" t="str">
        <f>IF(LEN(Table2[[#This Row],[!Length]]) &gt; 0, Table2[[#This Row],[!Length]], "rg:None")</f>
        <v>rg:None</v>
      </c>
      <c r="U248" s="9" t="str">
        <f>IF(LEN(Table2[[#This Row],[!Name]]) &gt; 0, Table2[[#This Row],[!Name]], "rg:None")</f>
        <v>LocalArea</v>
      </c>
      <c r="V248" s="9" t="str">
        <f>IF(LEN(Table2[[#This Row],[!Description]]) &gt; 0, Table2[[#This Row],[!Description]], "rg:None")</f>
        <v>A HETS-application defined area that is within a Service Area.</v>
      </c>
      <c r="W248" s="9" t="str">
        <f>IF(LEN(Table2[[#This Row],[!FK]])&gt;0,Table2[[#This Row],[!FK]],"rg:None")</f>
        <v>rg:None</v>
      </c>
      <c r="X248" s="9" t="str">
        <f>IF(LEN(concatif2(A:A,Table2[[#This Row],[!Table]],G:G,"Y",D:D,",")) &gt; 0,"rg:[ { 'req' : '"&amp;concatif2(A:A,Table2[[#This Row],[!Table]],G:G,"Y",D:D,"' }, { 'req': '")&amp;"'} ]","rg:[]")</f>
        <v>rg:[ { 'req' : 'id' }, { 'req': 'startDate'} ]</v>
      </c>
      <c r="Y248" s="9" t="str">
        <f>IF(LEN(Table2[[#This Row],[!Unique]])&gt;0,"rg:True","rg:None")</f>
        <v>rg:None</v>
      </c>
    </row>
    <row r="249" spans="1:25" x14ac:dyDescent="0.3">
      <c r="A249" s="18" t="s">
        <v>161</v>
      </c>
      <c r="B249" s="3" t="s">
        <v>6</v>
      </c>
      <c r="C249" s="3"/>
      <c r="D249" s="3" t="s">
        <v>6</v>
      </c>
      <c r="E249" s="62" t="s">
        <v>394</v>
      </c>
      <c r="F249" s="3" t="s">
        <v>5</v>
      </c>
      <c r="G249" s="4" t="s">
        <v>64</v>
      </c>
      <c r="H249" s="4"/>
      <c r="I249" s="5" t="str">
        <f>IF(LEN(A249) &gt; 0,"Defs","-")</f>
        <v>Defs</v>
      </c>
      <c r="J249" t="str">
        <f>IF(Table2[[#This Row],[!Type]]=J$1, J$1,"rg:None")</f>
        <v>rg:None</v>
      </c>
      <c r="K249" t="str">
        <f>IF(Table2[[#This Row],[!Type]]=K$1, K$1,"rg:None")</f>
        <v>rg:None</v>
      </c>
      <c r="L249" t="str">
        <f>IF(Table2[[#This Row],[!Type]]=L$1, L$1,"rg:None")</f>
        <v>rg:None</v>
      </c>
      <c r="M249" t="str">
        <f>IF(Table2[[#This Row],[!Type]]=M$1, M$1,"rg:None")</f>
        <v>id</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rg:None</v>
      </c>
      <c r="S249" s="5" t="str">
        <f>IF(Table2[[#This Row],[!Type]]=S$1, S$1,"rg:None")</f>
        <v>rg:None</v>
      </c>
      <c r="T249" s="9" t="str">
        <f>IF(LEN(Table2[[#This Row],[!Length]]) &gt; 0, Table2[[#This Row],[!Length]], "rg:None")</f>
        <v>rg:None</v>
      </c>
      <c r="U249" s="9" t="str">
        <f>IF(LEN(Table2[[#This Row],[!Name]]) &gt; 0, Table2[[#This Row],[!Name]], "rg:None")</f>
        <v>id</v>
      </c>
      <c r="V249" s="9" t="str">
        <f>IF(LEN(Table2[[#This Row],[!Description]]) &gt; 0, Table2[[#This Row],[!Description]], "rg:None")</f>
        <v>A system-generated unique identifier for a LocalArea</v>
      </c>
      <c r="W249" s="9" t="str">
        <f>IF(LEN(Table2[[#This Row],[!FK]])&gt;0,Table2[[#This Row],[!FK]],"rg:None")</f>
        <v>rg:None</v>
      </c>
      <c r="X249" s="9" t="str">
        <f>IF(LEN(concatif2(A:A,Table2[[#This Row],[!Table]],G:G,"Y",D:D,",")) &gt; 0,"rg:[ { 'req' : '"&amp;concatif2(A:A,Table2[[#This Row],[!Table]],G:G,"Y",D:D,"' }, { 'req': '")&amp;"'} ]","rg:[]")</f>
        <v>rg:[ { 'req' : 'id' }, { 'req': 'startDate'} ]</v>
      </c>
      <c r="Y249" s="9" t="str">
        <f>IF(LEN(Table2[[#This Row],[!Unique]])&gt;0,"rg:True","rg:None")</f>
        <v>rg:None</v>
      </c>
    </row>
    <row r="250" spans="1:25" x14ac:dyDescent="0.3">
      <c r="A250" s="88" t="s">
        <v>161</v>
      </c>
      <c r="B250" s="88" t="s">
        <v>13</v>
      </c>
      <c r="C250" s="19"/>
      <c r="D250" s="88" t="s">
        <v>471</v>
      </c>
      <c r="E250" s="87" t="s">
        <v>470</v>
      </c>
      <c r="F250" s="13"/>
      <c r="G250" s="20"/>
      <c r="H250" s="20"/>
      <c r="I250" s="4" t="str">
        <f>IF(LEN(A250) &gt; 0,"Defs","-")</f>
        <v>Defs</v>
      </c>
      <c r="J250" s="15" t="str">
        <f>IF(Table2[[#This Row],[!Type]]=J$1, J$1,"rg:None")</f>
        <v>rg:None</v>
      </c>
      <c r="K250" s="48" t="str">
        <f>IF(Table2[[#This Row],[!Type]]=K$1, K$1,"rg:None")</f>
        <v>rg:None</v>
      </c>
      <c r="L250" s="15" t="str">
        <f>IF(Table2[[#This Row],[!Type]]=L$1, L$1,"rg:None")</f>
        <v>rg:None</v>
      </c>
      <c r="M250" s="15" t="str">
        <f>IF(Table2[[#This Row],[!Type]]=M$1, M$1,"rg:None")</f>
        <v>rg:None</v>
      </c>
      <c r="N250" s="15" t="str">
        <f>IF(Table2[[#This Row],[!Type]]=N$1, N$1,"rg:None")</f>
        <v>integer</v>
      </c>
      <c r="O250" s="15"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15" t="str">
        <f>IF(LEN(Table2[[#This Row],[!Length]]) &gt; 0, Table2[[#This Row],[!Length]], "rg:None")</f>
        <v>rg:None</v>
      </c>
      <c r="U250" s="15" t="str">
        <f>IF(LEN(Table2[[#This Row],[!Name]]) &gt; 0, Table2[[#This Row],[!Name]], "rg:None")</f>
        <v>localAreaNumber</v>
      </c>
      <c r="V250" s="15" t="str">
        <f>IF(LEN(Table2[[#This Row],[!Description]]) &gt; 0, Table2[[#This Row],[!Description]], "rg:None")</f>
        <v>A system-generated, visible to the user number for the Local Area</v>
      </c>
      <c r="W250" s="15" t="str">
        <f>IF(LEN(Table2[[#This Row],[!FK]])&gt;0,Table2[[#This Row],[!FK]],"rg:None")</f>
        <v>rg:None</v>
      </c>
      <c r="X250" s="15" t="str">
        <f>IF(LEN(concatif2(A:A,Table2[[#This Row],[!Table]],G:G,"Y",D:D,",")) &gt; 0,"rg:[ { 'req' : '"&amp;concatif2(A:A,Table2[[#This Row],[!Table]],G:G,"Y",D:D,"' }, { 'req': '")&amp;"'} ]","rg:[]")</f>
        <v>rg:[ { 'req' : 'id' }, { 'req': 'startDate'} ]</v>
      </c>
      <c r="Y250" s="15" t="str">
        <f>IF(LEN(Table2[[#This Row],[!Unique]])&gt;0,"rg:True","rg:None")</f>
        <v>rg:None</v>
      </c>
    </row>
    <row r="251" spans="1:25" x14ac:dyDescent="0.3">
      <c r="A251" s="18" t="s">
        <v>161</v>
      </c>
      <c r="B251" s="3" t="s">
        <v>7</v>
      </c>
      <c r="C251" s="3">
        <v>150</v>
      </c>
      <c r="D251" s="3" t="s">
        <v>15</v>
      </c>
      <c r="E251" s="77" t="s">
        <v>162</v>
      </c>
      <c r="F251" s="3" t="s">
        <v>5</v>
      </c>
      <c r="G251" s="4"/>
      <c r="H251" s="4"/>
      <c r="I251" s="5" t="str">
        <f>IF(LEN(A251) &gt; 0,"Defs","-")</f>
        <v>Defs</v>
      </c>
      <c r="J251" t="str">
        <f>IF(Table2[[#This Row],[!Type]]=J$1, J$1,"rg:None")</f>
        <v>rg:None</v>
      </c>
      <c r="K251" t="str">
        <f>IF(Table2[[#This Row],[!Type]]=K$1, K$1,"rg:None")</f>
        <v>rg:None</v>
      </c>
      <c r="L251" t="str">
        <f>IF(Table2[[#This Row],[!Type]]=L$1, L$1,"rg:None")</f>
        <v>rg:None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string</v>
      </c>
      <c r="S251" s="5" t="str">
        <f>IF(Table2[[#This Row],[!Type]]=S$1, S$1,"rg:None")</f>
        <v>rg:None</v>
      </c>
      <c r="T251" s="9">
        <f>IF(LEN(Table2[[#This Row],[!Length]]) &gt; 0, Table2[[#This Row],[!Length]], "rg:None")</f>
        <v>150</v>
      </c>
      <c r="U251" s="9" t="str">
        <f>IF(LEN(Table2[[#This Row],[!Name]]) &gt; 0, Table2[[#This Row],[!Name]], "rg:None")</f>
        <v>name</v>
      </c>
      <c r="V251" s="9" t="str">
        <f>IF(LEN(Table2[[#This Row],[!Description]]) &gt; 0, Table2[[#This Row],[!Description]], "rg:None")</f>
        <v>The full name of the Local Area</v>
      </c>
      <c r="W251" s="9" t="str">
        <f>IF(LEN(Table2[[#This Row],[!FK]])&gt;0,Table2[[#This Row],[!FK]],"rg:None")</f>
        <v>rg:None</v>
      </c>
      <c r="X251" s="9" t="str">
        <f>IF(LEN(concatif2(A:A,Table2[[#This Row],[!Table]],G:G,"Y",D:D,",")) &gt; 0,"rg:[ { 'req' : '"&amp;concatif2(A:A,Table2[[#This Row],[!Table]],G:G,"Y",D:D,"' }, { 'req': '")&amp;"'} ]","rg:[]")</f>
        <v>rg:[ { 'req' : 'id' }, { 'req': 'startDate'} ]</v>
      </c>
      <c r="Y251" s="9" t="str">
        <f>IF(LEN(Table2[[#This Row],[!Unique]])&gt;0,"rg:True","rg:None")</f>
        <v>rg:None</v>
      </c>
    </row>
    <row r="252" spans="1:25" x14ac:dyDescent="0.3">
      <c r="A252" s="18" t="s">
        <v>161</v>
      </c>
      <c r="B252" s="3" t="s">
        <v>8</v>
      </c>
      <c r="C252" s="3"/>
      <c r="D252" s="18" t="s">
        <v>163</v>
      </c>
      <c r="E252" s="77" t="s">
        <v>164</v>
      </c>
      <c r="F252" s="18" t="s">
        <v>10</v>
      </c>
      <c r="G252" s="4"/>
      <c r="H252" s="4"/>
      <c r="I252" s="5" t="str">
        <f>IF(LEN(A252) &gt; 0,"Defs","-")</f>
        <v>Defs</v>
      </c>
      <c r="J252" t="str">
        <f>IF(Table2[[#This Row],[!Type]]=J$1, J$1,"rg:None")</f>
        <v>rg:None</v>
      </c>
      <c r="K252" t="str">
        <f>IF(Table2[[#This Row],[!Type]]=K$1, K$1,"rg:None")</f>
        <v>rg:None</v>
      </c>
      <c r="L252" t="str">
        <f>IF(Table2[[#This Row],[!Type]]=L$1, L$1,"rg:None")</f>
        <v>rg:None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ref</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serviceArea</v>
      </c>
      <c r="V252" s="9" t="str">
        <f>IF(LEN(Table2[[#This Row],[!Description]]) &gt; 0, Table2[[#This Row],[!Description]], "rg:None")</f>
        <v>The Service Area in which the Local Area is found.</v>
      </c>
      <c r="W252" s="9" t="str">
        <f>IF(LEN(Table2[[#This Row],[!FK]])&gt;0,Table2[[#This Row],[!FK]],"rg:None")</f>
        <v>ServiceArea</v>
      </c>
      <c r="X252" s="9" t="str">
        <f>IF(LEN(concatif2(A:A,Table2[[#This Row],[!Table]],G:G,"Y",D:D,",")) &gt; 0,"rg:[ { 'req' : '"&amp;concatif2(A:A,Table2[[#This Row],[!Table]],G:G,"Y",D:D,"' }, { 'req': '")&amp;"'} ]","rg:[]")</f>
        <v>rg:[ { 'req' : 'id' }, { 'req': 'startDate'} ]</v>
      </c>
      <c r="Y252" s="9" t="str">
        <f>IF(LEN(Table2[[#This Row],[!Unique]])&gt;0,"rg:True","rg:None")</f>
        <v>rg:None</v>
      </c>
    </row>
    <row r="253" spans="1:25" ht="28.8" x14ac:dyDescent="0.3">
      <c r="A253" s="88" t="s">
        <v>161</v>
      </c>
      <c r="B253" s="3" t="s">
        <v>12</v>
      </c>
      <c r="C253" s="3"/>
      <c r="D253" s="3" t="s">
        <v>32</v>
      </c>
      <c r="E253" s="86" t="s">
        <v>464</v>
      </c>
      <c r="F253" s="3" t="s">
        <v>5</v>
      </c>
      <c r="G253" s="91" t="s">
        <v>64</v>
      </c>
      <c r="H253" s="4"/>
      <c r="I253" s="5" t="str">
        <f t="shared" ref="I253:I254" si="17">IF(LEN(A253) &gt; 0,"Defs","-")</f>
        <v>Defs</v>
      </c>
      <c r="J253" t="str">
        <f>IF(Table2[[#This Row],[!Type]]=J$1, J$1,"rg:None")</f>
        <v>rg:None</v>
      </c>
      <c r="K253" t="str">
        <f>IF(Table2[[#This Row],[!Type]]=K$1, K$1,"rg:None")</f>
        <v>rg:None</v>
      </c>
      <c r="L253" t="str">
        <f>IF(Table2[[#This Row],[!Type]]=L$1, L$1,"rg:None")</f>
        <v>datetime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9" t="str">
        <f>IF(LEN(Table2[[#This Row],[!Length]]) &gt; 0, Table2[[#This Row],[!Length]], "rg:None")</f>
        <v>rg:None</v>
      </c>
      <c r="U253" s="9" t="str">
        <f>IF(LEN(Table2[[#This Row],[!Name]]) &gt; 0, Table2[[#This Row],[!Name]], "rg:None")</f>
        <v>startDate</v>
      </c>
      <c r="V253" s="9" t="str">
        <f>IF(LEN(Table2[[#This Row],[!Description]]) &gt; 0, Table2[[#This Row],[!Description]], "rg:None")</f>
        <v>The DATE the business information came into effect. - NOT CURRENTLY ENFORCED IN THIS SYSTEM</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ht="28.8" x14ac:dyDescent="0.3">
      <c r="A254" s="88" t="s">
        <v>161</v>
      </c>
      <c r="B254" s="3" t="s">
        <v>12</v>
      </c>
      <c r="C254" s="3"/>
      <c r="D254" s="3" t="s">
        <v>33</v>
      </c>
      <c r="E254" s="86" t="s">
        <v>465</v>
      </c>
      <c r="F254" s="3" t="s">
        <v>5</v>
      </c>
      <c r="G254" s="4"/>
      <c r="H254" s="4"/>
      <c r="I254" s="5" t="str">
        <f t="shared" si="17"/>
        <v>Defs</v>
      </c>
      <c r="J254" t="str">
        <f>IF(Table2[[#This Row],[!Type]]=J$1, J$1,"rg:None")</f>
        <v>rg:None</v>
      </c>
      <c r="K254" t="str">
        <f>IF(Table2[[#This Row],[!Type]]=K$1, K$1,"rg:None")</f>
        <v>rg:None</v>
      </c>
      <c r="L254" t="str">
        <f>IF(Table2[[#This Row],[!Type]]=L$1, L$1,"rg:None")</f>
        <v>datetime</v>
      </c>
      <c r="M254" t="str">
        <f>IF(Table2[[#This Row],[!Type]]=M$1, M$1,"rg:None")</f>
        <v>rg:None</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endDate</v>
      </c>
      <c r="V254" s="9" t="str">
        <f>IF(LEN(Table2[[#This Row],[!Description]]) &gt; 0, Table2[[#This Row],[!Description]], "rg:None")</f>
        <v>The DATE the business information ceased to be in effect. - NOT CURRENTLY ENFORCED IN THIS SYSTEM</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3" t="s">
        <v>11</v>
      </c>
      <c r="B255" s="3" t="s">
        <v>4</v>
      </c>
      <c r="C255" s="3"/>
      <c r="D255" s="3" t="s">
        <v>11</v>
      </c>
      <c r="E255" s="62" t="s">
        <v>66</v>
      </c>
      <c r="F255" s="3" t="s">
        <v>5</v>
      </c>
      <c r="G255" s="4"/>
      <c r="H255" s="4"/>
      <c r="I255" s="5" t="str">
        <f t="shared" si="16"/>
        <v>Defs</v>
      </c>
      <c r="J255" t="str">
        <f>IF(Table2[[#This Row],[!Type]]=J$1, J$1,"rg:None")</f>
        <v>rg:None</v>
      </c>
      <c r="K255" t="str">
        <f>IF(Table2[[#This Row],[!Type]]=K$1, K$1,"rg:None")</f>
        <v>rg:None</v>
      </c>
      <c r="L255" t="str">
        <f>IF(Table2[[#This Row],[!Type]]=L$1, L$1,"rg:None")</f>
        <v>rg:None</v>
      </c>
      <c r="M255" t="str">
        <f>IF(Table2[[#This Row],[!Type]]=M$1, M$1,"rg:None")</f>
        <v>rg:None</v>
      </c>
      <c r="N255" s="9" t="str">
        <f>IF(Table2[[#This Row],[!Type]]=N$1, N$1,"rg:None")</f>
        <v>rg:None</v>
      </c>
      <c r="O255" s="9" t="str">
        <f>IF(Table2[[#This Row],[!Type]]=O$1, O$1,"rg:None")</f>
        <v>rg:None</v>
      </c>
      <c r="P255" s="5" t="str">
        <f>IF(Table2[[#This Row],[!Type]]=P$1, P$1,"rg:None")</f>
        <v>rg:None</v>
      </c>
      <c r="Q255" s="5" t="str">
        <f>IF(Table2[[#This Row],[!Type]]=Q$1, Q$1,"rg:None")</f>
        <v>rg:None</v>
      </c>
      <c r="R255" s="5" t="str">
        <f>IF(Table2[[#This Row],[!Type]]=R$1, R$1,"rg:None")</f>
        <v>rg:None</v>
      </c>
      <c r="S255" s="5" t="str">
        <f>IF(Table2[[#This Row],[!Type]]=S$1, S$1,"rg:None")</f>
        <v>table</v>
      </c>
      <c r="T255" s="9" t="str">
        <f>IF(LEN(Table2[[#This Row],[!Length]]) &gt; 0, Table2[[#This Row],[!Length]], "rg:None")</f>
        <v>rg:None</v>
      </c>
      <c r="U255" s="9" t="str">
        <f>IF(LEN(Table2[[#This Row],[!Name]]) &gt; 0, Table2[[#This Row],[!Name]], "rg:None")</f>
        <v>City</v>
      </c>
      <c r="V255" s="9" t="str">
        <f>IF(LEN(Table2[[#This Row],[!Description]]) &gt; 0, Table2[[#This Row],[!Description]], "rg:None")</f>
        <v>A list of cities in BC. Authoritative source to be determined.</v>
      </c>
      <c r="W255" s="9" t="str">
        <f>IF(LEN(Table2[[#This Row],[!FK]])&gt;0,Table2[[#This Row],[!FK]],"rg:None")</f>
        <v>rg:None</v>
      </c>
      <c r="X255" s="9" t="str">
        <f>IF(LEN(concatif2(A:A,Table2[[#This Row],[!Table]],G:G,"Y",D:D,",")) &gt; 0,"rg:[ { 'req' : '"&amp;concatif2(A:A,Table2[[#This Row],[!Table]],G:G,"Y",D:D,"' }, { 'req': '")&amp;"'} ]","rg:[]")</f>
        <v>rg:[ { 'req' : 'id'} ]</v>
      </c>
      <c r="Y255" s="9" t="str">
        <f>IF(LEN(Table2[[#This Row],[!Unique]])&gt;0,"rg:True","rg:None")</f>
        <v>rg:None</v>
      </c>
    </row>
    <row r="256" spans="1:25" x14ac:dyDescent="0.3">
      <c r="A256" s="3" t="s">
        <v>11</v>
      </c>
      <c r="B256" s="3" t="s">
        <v>6</v>
      </c>
      <c r="C256" s="3"/>
      <c r="D256" s="3" t="s">
        <v>6</v>
      </c>
      <c r="E256" s="62" t="s">
        <v>366</v>
      </c>
      <c r="F256" s="3" t="s">
        <v>5</v>
      </c>
      <c r="G256" s="4" t="s">
        <v>64</v>
      </c>
      <c r="H256" s="55" t="s">
        <v>64</v>
      </c>
      <c r="I256" s="5" t="str">
        <f t="shared" si="16"/>
        <v>Defs</v>
      </c>
      <c r="J256" t="str">
        <f>IF(Table2[[#This Row],[!Type]]=J$1, J$1,"rg:None")</f>
        <v>rg:None</v>
      </c>
      <c r="K256" t="str">
        <f>IF(Table2[[#This Row],[!Type]]=K$1, K$1,"rg:None")</f>
        <v>rg:None</v>
      </c>
      <c r="L256" t="str">
        <f>IF(Table2[[#This Row],[!Type]]=L$1, L$1,"rg:None")</f>
        <v>rg:None</v>
      </c>
      <c r="M256" t="str">
        <f>IF(Table2[[#This Row],[!Type]]=M$1, M$1,"rg:None")</f>
        <v>id</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9" t="str">
        <f>IF(LEN(Table2[[#This Row],[!Length]]) &gt; 0, Table2[[#This Row],[!Length]], "rg:None")</f>
        <v>rg:None</v>
      </c>
      <c r="U256" s="9" t="str">
        <f>IF(LEN(Table2[[#This Row],[!Name]]) &gt; 0, Table2[[#This Row],[!Name]], "rg:None")</f>
        <v>id</v>
      </c>
      <c r="V256" s="9" t="str">
        <f>IF(LEN(Table2[[#This Row],[!Description]]) &gt; 0, Table2[[#This Row],[!Description]], "rg:None")</f>
        <v>A system-generated unique identifier for a City</v>
      </c>
      <c r="W256" s="9" t="str">
        <f>IF(LEN(Table2[[#This Row],[!FK]])&gt;0,Table2[[#This Row],[!FK]],"rg:None")</f>
        <v>rg:None</v>
      </c>
      <c r="X256" s="9" t="str">
        <f>IF(LEN(concatif2(A:A,Table2[[#This Row],[!Table]],G:G,"Y",D:D,",")) &gt; 0,"rg:[ { 'req' : '"&amp;concatif2(A:A,Table2[[#This Row],[!Table]],G:G,"Y",D:D,"' }, { 'req': '")&amp;"'} ]","rg:[]")</f>
        <v>rg:[ { 'req' : 'id'} ]</v>
      </c>
      <c r="Y256" s="9" t="str">
        <f>IF(LEN(Table2[[#This Row],[!Unique]])&gt;0,"rg:True","rg:None")</f>
        <v>rg:True</v>
      </c>
    </row>
    <row r="257" spans="1:25" x14ac:dyDescent="0.3">
      <c r="A257" s="3" t="s">
        <v>11</v>
      </c>
      <c r="B257" s="3" t="s">
        <v>7</v>
      </c>
      <c r="C257" s="3">
        <v>150</v>
      </c>
      <c r="D257" s="3" t="s">
        <v>15</v>
      </c>
      <c r="E257" s="62" t="s">
        <v>41</v>
      </c>
      <c r="F257" s="3" t="s">
        <v>5</v>
      </c>
      <c r="G257" s="4"/>
      <c r="H257" s="4"/>
      <c r="I257" s="5" t="str">
        <f t="shared" si="16"/>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9">
        <f>IF(LEN(Table2[[#This Row],[!Length]]) &gt; 0, Table2[[#This Row],[!Length]], "rg:None")</f>
        <v>150</v>
      </c>
      <c r="U257" s="9" t="str">
        <f>IF(LEN(Table2[[#This Row],[!Name]]) &gt; 0, Table2[[#This Row],[!Name]], "rg:None")</f>
        <v>name</v>
      </c>
      <c r="V257" s="9" t="str">
        <f>IF(LEN(Table2[[#This Row],[!Description]]) &gt; 0, Table2[[#This Row],[!Description]], "rg:None")</f>
        <v>The name of the City</v>
      </c>
      <c r="W257" s="9" t="str">
        <f>IF(LEN(Table2[[#This Row],[!FK]])&gt;0,Table2[[#This Row],[!FK]],"rg:None")</f>
        <v>rg:None</v>
      </c>
      <c r="X257" s="9" t="str">
        <f>IF(LEN(concatif2(A:A,Table2[[#This Row],[!Table]],G:G,"Y",D:D,",")) &gt; 0,"rg:[ { 'req' : '"&amp;concatif2(A:A,Table2[[#This Row],[!Table]],G:G,"Y",D:D,"' }, { 'req': '")&amp;"'} ]","rg:[]")</f>
        <v>rg:[ { 'req' : 'id'} ]</v>
      </c>
      <c r="Y257" s="9" t="str">
        <f>IF(LEN(Table2[[#This Row],[!Unique]])&gt;0,"rg:True","rg:None")</f>
        <v>rg:None</v>
      </c>
    </row>
    <row r="258" spans="1:25" x14ac:dyDescent="0.3">
      <c r="A258" s="3" t="s">
        <v>0</v>
      </c>
      <c r="B258" s="3" t="s">
        <v>4</v>
      </c>
      <c r="C258" s="3"/>
      <c r="D258" s="3" t="s">
        <v>0</v>
      </c>
      <c r="E258" s="86" t="s">
        <v>423</v>
      </c>
      <c r="F258" s="3" t="s">
        <v>5</v>
      </c>
      <c r="G258" s="4"/>
      <c r="H258" s="4"/>
      <c r="I258" s="5" t="str">
        <f t="shared" si="16"/>
        <v>Defs</v>
      </c>
      <c r="J258" t="str">
        <f>IF(Table2[[#This Row],[!Type]]=J$1, J$1,"rg:None")</f>
        <v>rg:None</v>
      </c>
      <c r="K258" t="str">
        <f>IF(Table2[[#This Row],[!Type]]=K$1, K$1,"rg:None")</f>
        <v>rg:None</v>
      </c>
      <c r="L258" t="str">
        <f>IF(Table2[[#This Row],[!Type]]=L$1, L$1,"rg:None")</f>
        <v>rg:None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table</v>
      </c>
      <c r="T258" s="9" t="str">
        <f>IF(LEN(Table2[[#This Row],[!Length]]) &gt; 0, Table2[[#This Row],[!Length]], "rg:None")</f>
        <v>rg:None</v>
      </c>
      <c r="U258" s="9" t="str">
        <f>IF(LEN(Table2[[#This Row],[!Name]]) &gt; 0, Table2[[#This Row],[!Name]], "rg:None")</f>
        <v>User</v>
      </c>
      <c r="V258" s="9" t="str">
        <f>IF(LEN(Table2[[#This Row],[!Description]]) &gt; 0, Table2[[#This Row],[!Description]], "rg:None")</f>
        <v>An identified user in the HETS Application that has a defined authorization level.</v>
      </c>
      <c r="W258" s="9" t="str">
        <f>IF(LEN(Table2[[#This Row],[!FK]])&gt;0,Table2[[#This Row],[!FK]],"rg:None")</f>
        <v>rg:None</v>
      </c>
      <c r="X258" s="9" t="str">
        <f>IF(LEN(concatif2(A:A,Table2[[#This Row],[!Table]],G:G,"Y",D:D,",")) &gt; 0,"rg:[ { 'req' : '"&amp;concatif2(A:A,Table2[[#This Row],[!Table]],G:G,"Y",D:D,"' }, { 'req': '")&amp;"'} ]","rg:[]")</f>
        <v>rg:[ { 'req' : 'id' }, { 'req': 'givenName' }, { 'req': 'surname' }, { 'req': 'active'} ]</v>
      </c>
      <c r="Y258" s="9" t="str">
        <f>IF(LEN(Table2[[#This Row],[!Unique]])&gt;0,"rg:True","rg:None")</f>
        <v>rg:None</v>
      </c>
    </row>
    <row r="259" spans="1:25" x14ac:dyDescent="0.3">
      <c r="A259" s="3" t="s">
        <v>0</v>
      </c>
      <c r="B259" s="3" t="s">
        <v>6</v>
      </c>
      <c r="C259" s="3"/>
      <c r="D259" s="3" t="s">
        <v>6</v>
      </c>
      <c r="E259" s="62" t="s">
        <v>367</v>
      </c>
      <c r="F259" s="3" t="s">
        <v>5</v>
      </c>
      <c r="G259" s="4" t="s">
        <v>64</v>
      </c>
      <c r="H259" s="55" t="s">
        <v>64</v>
      </c>
      <c r="I259" s="5" t="str">
        <f t="shared" si="16"/>
        <v>Defs</v>
      </c>
      <c r="J259" t="str">
        <f>IF(Table2[[#This Row],[!Type]]=J$1, J$1,"rg:None")</f>
        <v>rg:None</v>
      </c>
      <c r="K259" t="str">
        <f>IF(Table2[[#This Row],[!Type]]=K$1, K$1,"rg:None")</f>
        <v>rg:None</v>
      </c>
      <c r="L259" t="str">
        <f>IF(Table2[[#This Row],[!Type]]=L$1, L$1,"rg:None")</f>
        <v>rg:None</v>
      </c>
      <c r="M259" t="str">
        <f>IF(Table2[[#This Row],[!Type]]=M$1, M$1,"rg:None")</f>
        <v>id</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id</v>
      </c>
      <c r="V259" s="9" t="str">
        <f>IF(LEN(Table2[[#This Row],[!Description]]) &gt; 0, Table2[[#This Row],[!Description]], "rg:None")</f>
        <v>A system-generated unique identifier for a User</v>
      </c>
      <c r="W259" s="9" t="str">
        <f>IF(LEN(Table2[[#This Row],[!FK]])&gt;0,Table2[[#This Row],[!FK]],"rg:None")</f>
        <v>rg:None</v>
      </c>
      <c r="X259" s="9" t="str">
        <f>IF(LEN(concatif2(A:A,Table2[[#This Row],[!Table]],G:G,"Y",D:D,",")) &gt; 0,"rg:[ { 'req' : '"&amp;concatif2(A:A,Table2[[#This Row],[!Table]],G:G,"Y",D:D,"' }, { 'req': '")&amp;"'} ]","rg:[]")</f>
        <v>rg:[ { 'req' : 'id' }, { 'req': 'givenName' }, { 'req': 'surname' }, { 'req': 'active'} ]</v>
      </c>
      <c r="Y259" s="9" t="str">
        <f>IF(LEN(Table2[[#This Row],[!Unique]])&gt;0,"rg:True","rg:None")</f>
        <v>rg:True</v>
      </c>
    </row>
    <row r="260" spans="1:25" x14ac:dyDescent="0.3">
      <c r="A260" s="3" t="s">
        <v>0</v>
      </c>
      <c r="B260" s="3" t="s">
        <v>7</v>
      </c>
      <c r="C260" s="3">
        <v>50</v>
      </c>
      <c r="D260" s="3" t="s">
        <v>16</v>
      </c>
      <c r="E260" s="62" t="s">
        <v>368</v>
      </c>
      <c r="F260" s="3" t="s">
        <v>5</v>
      </c>
      <c r="G260" s="55" t="s">
        <v>64</v>
      </c>
      <c r="H260" s="55"/>
      <c r="I260" s="5" t="str">
        <f t="shared" si="16"/>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string</v>
      </c>
      <c r="S260" s="5" t="str">
        <f>IF(Table2[[#This Row],[!Type]]=S$1, S$1,"rg:None")</f>
        <v>rg:None</v>
      </c>
      <c r="T260" s="9">
        <f>IF(LEN(Table2[[#This Row],[!Length]]) &gt; 0, Table2[[#This Row],[!Length]], "rg:None")</f>
        <v>50</v>
      </c>
      <c r="U260" s="9" t="str">
        <f>IF(LEN(Table2[[#This Row],[!Name]]) &gt; 0, Table2[[#This Row],[!Name]], "rg:None")</f>
        <v>givenName</v>
      </c>
      <c r="V260" s="9" t="str">
        <f>IF(LEN(Table2[[#This Row],[!Description]]) &gt; 0, Table2[[#This Row],[!Description]], "rg:None")</f>
        <v>Given name of the user.</v>
      </c>
      <c r="W260" s="9" t="str">
        <f>IF(LEN(Table2[[#This Row],[!FK]])&gt;0,Table2[[#This Row],[!FK]],"rg:None")</f>
        <v>rg:None</v>
      </c>
      <c r="X260" s="9" t="str">
        <f>IF(LEN(concatif2(A:A,Table2[[#This Row],[!Table]],G:G,"Y",D:D,",")) &gt; 0,"rg:[ { 'req' : '"&amp;concatif2(A:A,Table2[[#This Row],[!Table]],G:G,"Y",D:D,"' }, { 'req': '")&amp;"'} ]","rg:[]")</f>
        <v>rg:[ { 'req' : 'id' }, { 'req': 'givenName' }, { 'req': 'surname' }, { 'req': 'active'} ]</v>
      </c>
      <c r="Y260" s="9" t="str">
        <f>IF(LEN(Table2[[#This Row],[!Unique]])&gt;0,"rg:True","rg:None")</f>
        <v>rg:None</v>
      </c>
    </row>
    <row r="261" spans="1:25" x14ac:dyDescent="0.3">
      <c r="A261" s="3" t="s">
        <v>0</v>
      </c>
      <c r="B261" s="3" t="s">
        <v>7</v>
      </c>
      <c r="C261" s="3">
        <v>50</v>
      </c>
      <c r="D261" s="3" t="s">
        <v>17</v>
      </c>
      <c r="E261" s="62" t="s">
        <v>369</v>
      </c>
      <c r="F261" s="3" t="s">
        <v>5</v>
      </c>
      <c r="G261" s="55" t="s">
        <v>64</v>
      </c>
      <c r="H261" s="55"/>
      <c r="I261" s="5" t="str">
        <f t="shared" ref="I261:I298" si="18">IF(LEN(A261) &gt; 0,"Defs","-")</f>
        <v>Defs</v>
      </c>
      <c r="J261" t="str">
        <f>IF(Table2[[#This Row],[!Type]]=J$1, J$1,"rg:None")</f>
        <v>rg:None</v>
      </c>
      <c r="K261" t="str">
        <f>IF(Table2[[#This Row],[!Type]]=K$1, K$1,"rg:None")</f>
        <v>rg:None</v>
      </c>
      <c r="L261" t="str">
        <f>IF(Table2[[#This Row],[!Type]]=L$1, L$1,"rg:None")</f>
        <v>rg:None</v>
      </c>
      <c r="M261" t="str">
        <f>IF(Table2[[#This Row],[!Type]]=M$1, M$1,"rg:None")</f>
        <v>rg:None</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9">
        <f>IF(LEN(Table2[[#This Row],[!Length]]) &gt; 0, Table2[[#This Row],[!Length]], "rg:None")</f>
        <v>50</v>
      </c>
      <c r="U261" s="9" t="str">
        <f>IF(LEN(Table2[[#This Row],[!Name]]) &gt; 0, Table2[[#This Row],[!Name]], "rg:None")</f>
        <v>surname</v>
      </c>
      <c r="V261" s="9" t="str">
        <f>IF(LEN(Table2[[#This Row],[!Description]]) &gt; 0, Table2[[#This Row],[!Description]], "rg:None")</f>
        <v>Surname of the user.</v>
      </c>
      <c r="W261" s="9" t="str">
        <f>IF(LEN(Table2[[#This Row],[!FK]])&gt;0,Table2[[#This Row],[!FK]],"rg:None")</f>
        <v>rg:None</v>
      </c>
      <c r="X261" s="9" t="str">
        <f>IF(LEN(concatif2(A:A,Table2[[#This Row],[!Table]],G:G,"Y",D:D,",")) &gt; 0,"rg:[ { 'req' : '"&amp;concatif2(A:A,Table2[[#This Row],[!Table]],G:G,"Y",D:D,"' }, { 'req': '")&amp;"'} ]","rg:[]")</f>
        <v>rg:[ { 'req' : 'id' }, { 'req': 'givenName' }, { 'req': 'surname' }, { 'req': 'active'} ]</v>
      </c>
      <c r="Y261" s="9" t="str">
        <f>IF(LEN(Table2[[#This Row],[!Unique]])&gt;0,"rg:True","rg:None")</f>
        <v>rg:None</v>
      </c>
    </row>
    <row r="262" spans="1:25" x14ac:dyDescent="0.3">
      <c r="A262" s="3" t="s">
        <v>0</v>
      </c>
      <c r="B262" s="3" t="s">
        <v>7</v>
      </c>
      <c r="C262" s="3">
        <v>10</v>
      </c>
      <c r="D262" s="3" t="s">
        <v>44</v>
      </c>
      <c r="E262" s="62" t="s">
        <v>370</v>
      </c>
      <c r="F262" s="3" t="s">
        <v>5</v>
      </c>
      <c r="G262" s="4"/>
      <c r="H262" s="4"/>
      <c r="I262" s="5" t="str">
        <f t="shared" si="18"/>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10</v>
      </c>
      <c r="U262" s="9" t="str">
        <f>IF(LEN(Table2[[#This Row],[!Name]]) &gt; 0, Table2[[#This Row],[!Name]], "rg:None")</f>
        <v>initials</v>
      </c>
      <c r="V262" s="9" t="str">
        <f>IF(LEN(Table2[[#This Row],[!Description]]) &gt; 0, Table2[[#This Row],[!Description]], "rg:None")</f>
        <v>Initials of the user, to be presented where screen space is at a premium.</v>
      </c>
      <c r="W262" s="9" t="str">
        <f>IF(LEN(Table2[[#This Row],[!FK]])&gt;0,Table2[[#This Row],[!FK]],"rg:None")</f>
        <v>rg:None</v>
      </c>
      <c r="X262" s="9" t="str">
        <f>IF(LEN(concatif2(A:A,Table2[[#This Row],[!Table]],G:G,"Y",D:D,",")) &gt; 0,"rg:[ { 'req' : '"&amp;concatif2(A:A,Table2[[#This Row],[!Table]],G:G,"Y",D:D,"' }, { 'req': '")&amp;"'} ]","rg:[]")</f>
        <v>rg:[ { 'req' : 'id' }, { 'req': 'givenName' }, { 'req': 'surname' }, { 'req': 'active'} ]</v>
      </c>
      <c r="Y262" s="9" t="str">
        <f>IF(LEN(Table2[[#This Row],[!Unique]])&gt;0,"rg:True","rg:None")</f>
        <v>rg:None</v>
      </c>
    </row>
    <row r="263" spans="1:25" x14ac:dyDescent="0.3">
      <c r="A263" s="3" t="s">
        <v>0</v>
      </c>
      <c r="B263" s="3" t="s">
        <v>7</v>
      </c>
      <c r="C263" s="3">
        <v>255</v>
      </c>
      <c r="D263" s="3" t="s">
        <v>45</v>
      </c>
      <c r="E263" s="62" t="s">
        <v>371</v>
      </c>
      <c r="F263" s="3" t="s">
        <v>5</v>
      </c>
      <c r="G263" s="4"/>
      <c r="H263" s="4"/>
      <c r="I263" s="5" t="str">
        <f t="shared" si="18"/>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9">
        <f>IF(LEN(Table2[[#This Row],[!Length]]) &gt; 0, Table2[[#This Row],[!Length]], "rg:None")</f>
        <v>255</v>
      </c>
      <c r="U263" s="9" t="str">
        <f>IF(LEN(Table2[[#This Row],[!Name]]) &gt; 0, Table2[[#This Row],[!Name]], "rg:None")</f>
        <v>email</v>
      </c>
      <c r="V263" s="9" t="str">
        <f>IF(LEN(Table2[[#This Row],[!Description]]) &gt; 0, Table2[[#This Row],[!Description]], "rg:None")</f>
        <v>The email address of the user in the system.</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ht="28.8" x14ac:dyDescent="0.3">
      <c r="A264" s="3" t="s">
        <v>0</v>
      </c>
      <c r="B264" s="3" t="s">
        <v>9</v>
      </c>
      <c r="C264" s="3"/>
      <c r="D264" s="3" t="s">
        <v>43</v>
      </c>
      <c r="E264" s="62" t="s">
        <v>372</v>
      </c>
      <c r="F264" s="3" t="s">
        <v>5</v>
      </c>
      <c r="G264" s="4" t="s">
        <v>64</v>
      </c>
      <c r="H264" s="4"/>
      <c r="I264" s="5" t="str">
        <f t="shared" si="18"/>
        <v>Defs</v>
      </c>
      <c r="J264" t="str">
        <f>IF(Table2[[#This Row],[!Type]]=J$1, J$1,"rg:None")</f>
        <v>boolean</v>
      </c>
      <c r="K264" t="str">
        <f>IF(Table2[[#This Row],[!Type]]=K$1, K$1,"rg:None")</f>
        <v>rg:None</v>
      </c>
      <c r="L264" t="str">
        <f>IF(Table2[[#This Row],[!Type]]=L$1, L$1,"rg:None")</f>
        <v>rg:None</v>
      </c>
      <c r="M264" t="str">
        <f>IF(Table2[[#This Row],[!Type]]=M$1, M$1,"rg:None")</f>
        <v>rg:None</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active</v>
      </c>
      <c r="V264" s="9" t="str">
        <f>IF(LEN(Table2[[#This Row],[!Description]]) &gt; 0, Table2[[#This Row],[!Description]], "rg:None")</f>
        <v>A flag indicating the User is active in the system. Set false to remove access to the system for the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255</v>
      </c>
      <c r="D265" s="3" t="s">
        <v>46</v>
      </c>
      <c r="E265" s="62" t="s">
        <v>47</v>
      </c>
      <c r="F265" s="3" t="s">
        <v>5</v>
      </c>
      <c r="G265" s="4"/>
      <c r="H265" s="4"/>
      <c r="I265" s="5" t="str">
        <f t="shared" si="18"/>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255</v>
      </c>
      <c r="U265" s="9" t="str">
        <f>IF(LEN(Table2[[#This Row],[!Name]]) &gt; 0, Table2[[#This Row],[!Name]], "rg:None")</f>
        <v>smUserId</v>
      </c>
      <c r="V265" s="9" t="str">
        <f>IF(LEN(Table2[[#This Row],[!Description]]) &gt; 0, Table2[[#This Row],[!Description]], "rg:None")</f>
        <v>Security Manager User ID</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ht="57.6" x14ac:dyDescent="0.3">
      <c r="A266" s="3" t="s">
        <v>0</v>
      </c>
      <c r="B266" s="3" t="s">
        <v>7</v>
      </c>
      <c r="C266" s="3">
        <v>255</v>
      </c>
      <c r="D266" s="3" t="s">
        <v>48</v>
      </c>
      <c r="E266" s="62" t="s">
        <v>373</v>
      </c>
      <c r="F266" s="3" t="s">
        <v>5</v>
      </c>
      <c r="G266" s="4"/>
      <c r="H266" s="4"/>
      <c r="I266" s="5" t="str">
        <f t="shared" si="18"/>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255</v>
      </c>
      <c r="U266" s="9" t="str">
        <f>IF(LEN(Table2[[#This Row],[!Name]]) &gt; 0, Table2[[#This Row],[!Name]], "rg:None")</f>
        <v>guid</v>
      </c>
      <c r="V266"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255</v>
      </c>
      <c r="D267" s="3" t="s">
        <v>49</v>
      </c>
      <c r="E267" s="62" t="s">
        <v>374</v>
      </c>
      <c r="F267" s="3" t="s">
        <v>5</v>
      </c>
      <c r="G267" s="4"/>
      <c r="H267" s="4"/>
      <c r="I267" s="5" t="str">
        <f t="shared" si="18"/>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255</v>
      </c>
      <c r="U267" s="9" t="str">
        <f>IF(LEN(Table2[[#This Row],[!Name]]) &gt; 0, Table2[[#This Row],[!Name]], "rg:None")</f>
        <v>smAuthorizationDirectory</v>
      </c>
      <c r="V267" s="9" t="str">
        <f>IF(LEN(Table2[[#This Row],[!Description]]) &gt; 0, Table2[[#This Row],[!Description]], "rg:None")</f>
        <v>The user directory service used by Siteminder to authenticate the user - usually IDIR or BCeID.</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19</v>
      </c>
      <c r="C268" s="3"/>
      <c r="D268" s="3" t="s">
        <v>50</v>
      </c>
      <c r="E268" s="62"/>
      <c r="F268" s="3" t="s">
        <v>52</v>
      </c>
      <c r="G268" s="4"/>
      <c r="H268" s="4"/>
      <c r="I268" s="5" t="str">
        <f t="shared" si="18"/>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links</v>
      </c>
      <c r="Q268" s="5" t="str">
        <f>IF(Table2[[#This Row],[!Type]]=Q$1, Q$1,"rg:None")</f>
        <v>rg:None</v>
      </c>
      <c r="R268" s="5" t="str">
        <f>IF(Table2[[#This Row],[!Type]]=R$1, R$1,"rg:None")</f>
        <v>rg:None</v>
      </c>
      <c r="S268" s="5" t="str">
        <f>IF(Table2[[#This Row],[!Type]]=S$1, S$1,"rg:None")</f>
        <v>rg:None</v>
      </c>
      <c r="T268" s="9" t="str">
        <f>IF(LEN(Table2[[#This Row],[!Length]]) &gt; 0, Table2[[#This Row],[!Length]], "rg:None")</f>
        <v>rg:None</v>
      </c>
      <c r="U268" s="9" t="str">
        <f>IF(LEN(Table2[[#This Row],[!Name]]) &gt; 0, Table2[[#This Row],[!Name]], "rg:None")</f>
        <v>userRoles</v>
      </c>
      <c r="V268" s="9" t="str">
        <f>IF(LEN(Table2[[#This Row],[!Description]]) &gt; 0, Table2[[#This Row],[!Description]], "rg:None")</f>
        <v>rg:None</v>
      </c>
      <c r="W268" s="9" t="str">
        <f>IF(LEN(Table2[[#This Row],[!FK]])&gt;0,Table2[[#This Row],[!FK]],"rg:None")</f>
        <v>UserRole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x14ac:dyDescent="0.3">
      <c r="A269" s="3" t="s">
        <v>0</v>
      </c>
      <c r="B269" s="3" t="s">
        <v>19</v>
      </c>
      <c r="C269" s="3"/>
      <c r="D269" s="3" t="s">
        <v>51</v>
      </c>
      <c r="E269" s="62"/>
      <c r="F269" s="3" t="s">
        <v>61</v>
      </c>
      <c r="G269" s="4"/>
      <c r="H269" s="4"/>
      <c r="I269" s="5" t="str">
        <f t="shared" si="18"/>
        <v>Defs</v>
      </c>
      <c r="J269" t="str">
        <f>IF(Table2[[#This Row],[!Type]]=J$1, J$1,"rg:None")</f>
        <v>rg:None</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links</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groupMemberships</v>
      </c>
      <c r="V269" s="9" t="str">
        <f>IF(LEN(Table2[[#This Row],[!Description]]) &gt; 0, Table2[[#This Row],[!Description]], "rg:None")</f>
        <v>rg:None</v>
      </c>
      <c r="W269" s="9" t="str">
        <f>IF(LEN(Table2[[#This Row],[!FK]])&gt;0,Table2[[#This Row],[!FK]],"rg:None")</f>
        <v>GroupMembership</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ht="28.8" x14ac:dyDescent="0.3">
      <c r="A270" s="3" t="s">
        <v>52</v>
      </c>
      <c r="B270" s="3" t="s">
        <v>4</v>
      </c>
      <c r="C270" s="3"/>
      <c r="D270" s="3" t="s">
        <v>52</v>
      </c>
      <c r="E270" s="62" t="s">
        <v>375</v>
      </c>
      <c r="F270" s="3" t="s">
        <v>5</v>
      </c>
      <c r="G270" s="4"/>
      <c r="H270" s="4"/>
      <c r="I270" s="5" t="str">
        <f t="shared" si="18"/>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table</v>
      </c>
      <c r="T270" s="9" t="str">
        <f>IF(LEN(Table2[[#This Row],[!Length]]) &gt; 0, Table2[[#This Row],[!Length]], "rg:None")</f>
        <v>rg:None</v>
      </c>
      <c r="U270" s="9" t="str">
        <f>IF(LEN(Table2[[#This Row],[!Name]]) &gt; 0, Table2[[#This Row],[!Name]], "rg:None")</f>
        <v>UserRole</v>
      </c>
      <c r="V270"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0" s="9" t="str">
        <f>IF(LEN(Table2[[#This Row],[!FK]])&gt;0,Table2[[#This Row],[!FK]],"rg:None")</f>
        <v>rg:None</v>
      </c>
      <c r="X270" s="9" t="str">
        <f>IF(LEN(concatif2(A:A,Table2[[#This Row],[!Table]],G:G,"Y",D:D,",")) &gt; 0,"rg:[ { 'req' : '"&amp;concatif2(A:A,Table2[[#This Row],[!Table]],G:G,"Y",D:D,"' }, { 'req': '")&amp;"'} ]","rg:[]")</f>
        <v>rg:[ { 'req' : 'id' }, { 'req': 'effectiveDate'} ]</v>
      </c>
      <c r="Y270" s="9" t="str">
        <f>IF(LEN(Table2[[#This Row],[!Unique]])&gt;0,"rg:True","rg:None")</f>
        <v>rg:None</v>
      </c>
    </row>
    <row r="271" spans="1:25" x14ac:dyDescent="0.3">
      <c r="A271" s="3" t="s">
        <v>52</v>
      </c>
      <c r="B271" s="3" t="s">
        <v>6</v>
      </c>
      <c r="C271" s="3"/>
      <c r="D271" s="3" t="s">
        <v>6</v>
      </c>
      <c r="E271" s="62" t="s">
        <v>376</v>
      </c>
      <c r="F271" s="3" t="s">
        <v>5</v>
      </c>
      <c r="G271" s="4" t="s">
        <v>64</v>
      </c>
      <c r="H271" s="4"/>
      <c r="I271" s="5" t="str">
        <f t="shared" si="18"/>
        <v>Defs</v>
      </c>
      <c r="J271" t="str">
        <f>IF(Table2[[#This Row],[!Type]]=J$1, J$1,"rg:None")</f>
        <v>rg:None</v>
      </c>
      <c r="K271" t="str">
        <f>IF(Table2[[#This Row],[!Type]]=K$1, K$1,"rg:None")</f>
        <v>rg:None</v>
      </c>
      <c r="L271" t="str">
        <f>IF(Table2[[#This Row],[!Type]]=L$1, L$1,"rg:None")</f>
        <v>rg:None</v>
      </c>
      <c r="M271" t="str">
        <f>IF(Table2[[#This Row],[!Type]]=M$1, M$1,"rg:None")</f>
        <v>id</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9" t="str">
        <f>IF(LEN(Table2[[#This Row],[!Length]]) &gt; 0, Table2[[#This Row],[!Length]], "rg:None")</f>
        <v>rg:None</v>
      </c>
      <c r="U271" s="9" t="str">
        <f>IF(LEN(Table2[[#This Row],[!Name]]) &gt; 0, Table2[[#This Row],[!Name]], "rg:None")</f>
        <v>id</v>
      </c>
      <c r="V271" s="9" t="str">
        <f>IF(LEN(Table2[[#This Row],[!Description]]) &gt; 0, Table2[[#This Row],[!Description]], "rg:None")</f>
        <v>A system-generated unique identifier for a UserRole</v>
      </c>
      <c r="W271" s="9" t="str">
        <f>IF(LEN(Table2[[#This Row],[!FK]])&gt;0,Table2[[#This Row],[!FK]],"rg:None")</f>
        <v>rg:None</v>
      </c>
      <c r="X271" s="9" t="str">
        <f>IF(LEN(concatif2(A:A,Table2[[#This Row],[!Table]],G:G,"Y",D:D,",")) &gt; 0,"rg:[ { 'req' : '"&amp;concatif2(A:A,Table2[[#This Row],[!Table]],G:G,"Y",D:D,"' }, { 'req': '")&amp;"'} ]","rg:[]")</f>
        <v>rg:[ { 'req' : 'id' }, { 'req': 'effectiveDate'} ]</v>
      </c>
      <c r="Y271" s="9" t="str">
        <f>IF(LEN(Table2[[#This Row],[!Unique]])&gt;0,"rg:True","rg:None")</f>
        <v>rg:None</v>
      </c>
    </row>
    <row r="272" spans="1:25" x14ac:dyDescent="0.3">
      <c r="A272" s="3" t="s">
        <v>52</v>
      </c>
      <c r="B272" s="3" t="s">
        <v>12</v>
      </c>
      <c r="C272" s="3"/>
      <c r="D272" s="3" t="s">
        <v>53</v>
      </c>
      <c r="E272" s="62" t="s">
        <v>377</v>
      </c>
      <c r="F272" s="3" t="s">
        <v>5</v>
      </c>
      <c r="G272" s="4" t="s">
        <v>64</v>
      </c>
      <c r="H272" s="4"/>
      <c r="I272" s="5" t="str">
        <f t="shared" si="18"/>
        <v>Defs</v>
      </c>
      <c r="J272" t="str">
        <f>IF(Table2[[#This Row],[!Type]]=J$1, J$1,"rg:None")</f>
        <v>rg:None</v>
      </c>
      <c r="K272" t="str">
        <f>IF(Table2[[#This Row],[!Type]]=K$1, K$1,"rg:None")</f>
        <v>rg:None</v>
      </c>
      <c r="L272" t="str">
        <f>IF(Table2[[#This Row],[!Type]]=L$1, L$1,"rg:None")</f>
        <v>datetime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9" t="str">
        <f>IF(LEN(Table2[[#This Row],[!Length]]) &gt; 0, Table2[[#This Row],[!Length]], "rg:None")</f>
        <v>rg:None</v>
      </c>
      <c r="U272" s="9" t="str">
        <f>IF(LEN(Table2[[#This Row],[!Name]]) &gt; 0, Table2[[#This Row],[!Name]], "rg:None")</f>
        <v>effectiveDate</v>
      </c>
      <c r="V272" s="9" t="str">
        <f>IF(LEN(Table2[[#This Row],[!Description]]) &gt; 0, Table2[[#This Row],[!Description]], "rg:None")</f>
        <v>The date on which the user was given the related role.</v>
      </c>
      <c r="W272" s="9" t="str">
        <f>IF(LEN(Table2[[#This Row],[!FK]])&gt;0,Table2[[#This Row],[!FK]],"rg:None")</f>
        <v>rg:None</v>
      </c>
      <c r="X272" s="9" t="str">
        <f>IF(LEN(concatif2(A:A,Table2[[#This Row],[!Table]],G:G,"Y",D:D,",")) &gt; 0,"rg:[ { 'req' : '"&amp;concatif2(A:A,Table2[[#This Row],[!Table]],G:G,"Y",D:D,"' }, { 'req': '")&amp;"'} ]","rg:[]")</f>
        <v>rg:[ { 'req' : 'id' }, { 'req': 'effectiveDate'} ]</v>
      </c>
      <c r="Y272" s="9" t="str">
        <f>IF(LEN(Table2[[#This Row],[!Unique]])&gt;0,"rg:True","rg:None")</f>
        <v>rg:None</v>
      </c>
    </row>
    <row r="273" spans="1:25" x14ac:dyDescent="0.3">
      <c r="A273" s="3" t="s">
        <v>52</v>
      </c>
      <c r="B273" s="3" t="s">
        <v>12</v>
      </c>
      <c r="C273" s="3"/>
      <c r="D273" s="3" t="s">
        <v>54</v>
      </c>
      <c r="E273" s="62" t="s">
        <v>378</v>
      </c>
      <c r="F273" s="3" t="s">
        <v>5</v>
      </c>
      <c r="G273" s="4"/>
      <c r="H273" s="4"/>
      <c r="I273" s="5" t="str">
        <f t="shared" si="18"/>
        <v>Defs</v>
      </c>
      <c r="J273" t="str">
        <f>IF(Table2[[#This Row],[!Type]]=J$1, J$1,"rg:None")</f>
        <v>rg:None</v>
      </c>
      <c r="K273" t="str">
        <f>IF(Table2[[#This Row],[!Type]]=K$1, K$1,"rg:None")</f>
        <v>rg:None</v>
      </c>
      <c r="L273" t="str">
        <f>IF(Table2[[#This Row],[!Type]]=L$1, L$1,"rg:None")</f>
        <v>datetime</v>
      </c>
      <c r="M273" t="str">
        <f>IF(Table2[[#This Row],[!Type]]=M$1, M$1,"rg:None")</f>
        <v>rg:None</v>
      </c>
      <c r="N273" s="9" t="str">
        <f>IF(Table2[[#This Row],[!Type]]=N$1, N$1,"rg:None")</f>
        <v>rg:None</v>
      </c>
      <c r="O273" s="9"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expiryDate</v>
      </c>
      <c r="V273" s="9" t="str">
        <f>IF(LEN(Table2[[#This Row],[!Description]]) &gt; 0, Table2[[#This Row],[!Description]], "rg:None")</f>
        <v>The date on which a role previously assigned to a user was removed from that user.</v>
      </c>
      <c r="W273" s="9" t="str">
        <f>IF(LEN(Table2[[#This Row],[!FK]])&gt;0,Table2[[#This Row],[!FK]],"rg:None")</f>
        <v>rg:None</v>
      </c>
      <c r="X273" s="9" t="str">
        <f>IF(LEN(concatif2(A:A,Table2[[#This Row],[!Table]],G:G,"Y",D:D,",")) &gt; 0,"rg:[ { 'req' : '"&amp;concatif2(A:A,Table2[[#This Row],[!Table]],G:G,"Y",D:D,"' }, { 'req': '")&amp;"'} ]","rg:[]")</f>
        <v>rg:[ { 'req' : 'id' }, { 'req': 'effectiveDate'} ]</v>
      </c>
      <c r="Y273" s="9" t="str">
        <f>IF(LEN(Table2[[#This Row],[!Unique]])&gt;0,"rg:True","rg:None")</f>
        <v>rg:None</v>
      </c>
    </row>
    <row r="274" spans="1:25" x14ac:dyDescent="0.3">
      <c r="A274" s="3" t="s">
        <v>52</v>
      </c>
      <c r="B274" s="3" t="s">
        <v>8</v>
      </c>
      <c r="C274" s="3"/>
      <c r="D274" s="3" t="s">
        <v>18</v>
      </c>
      <c r="E274" s="62"/>
      <c r="F274" s="3" t="s">
        <v>55</v>
      </c>
      <c r="G274" s="4"/>
      <c r="H274" s="4"/>
      <c r="I274" s="5" t="str">
        <f t="shared" si="18"/>
        <v>Defs</v>
      </c>
      <c r="J274" t="str">
        <f>IF(Table2[[#This Row],[!Type]]=J$1, J$1,"rg:None")</f>
        <v>rg:None</v>
      </c>
      <c r="K274" t="str">
        <f>IF(Table2[[#This Row],[!Type]]=K$1, K$1,"rg:None")</f>
        <v>rg:None</v>
      </c>
      <c r="L274" t="str">
        <f>IF(Table2[[#This Row],[!Type]]=L$1, L$1,"rg:None")</f>
        <v>rg:None</v>
      </c>
      <c r="M274" t="str">
        <f>IF(Table2[[#This Row],[!Type]]=M$1, M$1,"rg:None")</f>
        <v>rg:None</v>
      </c>
      <c r="N274" s="9" t="str">
        <f>IF(Table2[[#This Row],[!Type]]=N$1, N$1,"rg:None")</f>
        <v>rg:None</v>
      </c>
      <c r="O274" s="9" t="str">
        <f>IF(Table2[[#This Row],[!Type]]=O$1, O$1,"rg:None")</f>
        <v>rg:None</v>
      </c>
      <c r="P274" s="5" t="str">
        <f>IF(Table2[[#This Row],[!Type]]=P$1, P$1,"rg:None")</f>
        <v>rg:None</v>
      </c>
      <c r="Q274" s="5" t="str">
        <f>IF(Table2[[#This Row],[!Type]]=Q$1, Q$1,"rg:None")</f>
        <v>ref</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role</v>
      </c>
      <c r="V274" s="9" t="str">
        <f>IF(LEN(Table2[[#This Row],[!Description]]) &gt; 0, Table2[[#This Row],[!Description]], "rg:None")</f>
        <v>rg:None</v>
      </c>
      <c r="W274" s="9" t="str">
        <f>IF(LEN(Table2[[#This Row],[!FK]])&gt;0,Table2[[#This Row],[!FK]],"rg:None")</f>
        <v>Role</v>
      </c>
      <c r="X274" s="9" t="str">
        <f>IF(LEN(concatif2(A:A,Table2[[#This Row],[!Table]],G:G,"Y",D:D,",")) &gt; 0,"rg:[ { 'req' : '"&amp;concatif2(A:A,Table2[[#This Row],[!Table]],G:G,"Y",D:D,"' }, { 'req': '")&amp;"'} ]","rg:[]")</f>
        <v>rg:[ { 'req' : 'id' }, { 'req': 'effectiveDate'} ]</v>
      </c>
      <c r="Y274" s="9" t="str">
        <f>IF(LEN(Table2[[#This Row],[!Unique]])&gt;0,"rg:True","rg:None")</f>
        <v>rg:None</v>
      </c>
    </row>
    <row r="275" spans="1:25" ht="43.2" x14ac:dyDescent="0.3">
      <c r="A275" s="3" t="s">
        <v>55</v>
      </c>
      <c r="B275" s="3" t="s">
        <v>4</v>
      </c>
      <c r="C275" s="3"/>
      <c r="D275" s="3" t="s">
        <v>55</v>
      </c>
      <c r="E275" s="86" t="s">
        <v>424</v>
      </c>
      <c r="F275" s="3" t="s">
        <v>5</v>
      </c>
      <c r="G275" s="4"/>
      <c r="H275" s="4"/>
      <c r="I275" s="5" t="str">
        <f t="shared" si="18"/>
        <v>Defs</v>
      </c>
      <c r="J275" t="str">
        <f>IF(Table2[[#This Row],[!Type]]=J$1, J$1,"rg:None")</f>
        <v>rg:None</v>
      </c>
      <c r="K275" t="str">
        <f>IF(Table2[[#This Row],[!Type]]=K$1, K$1,"rg:None")</f>
        <v>rg:None</v>
      </c>
      <c r="L275" t="str">
        <f>IF(Table2[[#This Row],[!Type]]=L$1, L$1,"rg:None")</f>
        <v>rg:None</v>
      </c>
      <c r="M275" t="str">
        <f>IF(Table2[[#This Row],[!Type]]=M$1, M$1,"rg:None")</f>
        <v>rg:None</v>
      </c>
      <c r="N275" s="9" t="str">
        <f>IF(Table2[[#This Row],[!Type]]=N$1, N$1,"rg:None")</f>
        <v>rg:None</v>
      </c>
      <c r="O275" s="9"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9" t="str">
        <f>IF(LEN(Table2[[#This Row],[!Length]]) &gt; 0, Table2[[#This Row],[!Length]], "rg:None")</f>
        <v>rg:None</v>
      </c>
      <c r="U275" s="9" t="str">
        <f>IF(LEN(Table2[[#This Row],[!Name]]) &gt; 0, Table2[[#This Row],[!Name]], "rg:None")</f>
        <v>Role</v>
      </c>
      <c r="V275"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75" s="9" t="str">
        <f>IF(LEN(Table2[[#This Row],[!FK]])&gt;0,Table2[[#This Row],[!FK]],"rg:None")</f>
        <v>rg:None</v>
      </c>
      <c r="X275" s="9" t="str">
        <f>IF(LEN(concatif2(A:A,Table2[[#This Row],[!Table]],G:G,"Y",D:D,",")) &gt; 0,"rg:[ { 'req' : '"&amp;concatif2(A:A,Table2[[#This Row],[!Table]],G:G,"Y",D:D,"' }, { 'req': '")&amp;"'} ]","rg:[]")</f>
        <v>rg:[ { 'req' : 'id' }, { 'req': 'name' }, { 'req': 'description'} ]</v>
      </c>
      <c r="Y275" s="9" t="str">
        <f>IF(LEN(Table2[[#This Row],[!Unique]])&gt;0,"rg:True","rg:None")</f>
        <v>rg:None</v>
      </c>
    </row>
    <row r="276" spans="1:25" x14ac:dyDescent="0.3">
      <c r="A276" s="3" t="s">
        <v>55</v>
      </c>
      <c r="B276" s="3" t="s">
        <v>6</v>
      </c>
      <c r="C276" s="3"/>
      <c r="D276" s="3" t="s">
        <v>6</v>
      </c>
      <c r="E276" s="62" t="s">
        <v>379</v>
      </c>
      <c r="F276" s="3" t="s">
        <v>5</v>
      </c>
      <c r="G276" s="4" t="s">
        <v>64</v>
      </c>
      <c r="H276" s="4"/>
      <c r="I276" s="5" t="str">
        <f t="shared" si="18"/>
        <v>Defs</v>
      </c>
      <c r="J276" t="str">
        <f>IF(Table2[[#This Row],[!Type]]=J$1, J$1,"rg:None")</f>
        <v>rg:None</v>
      </c>
      <c r="K276" t="str">
        <f>IF(Table2[[#This Row],[!Type]]=K$1, K$1,"rg:None")</f>
        <v>rg:None</v>
      </c>
      <c r="L276" t="str">
        <f>IF(Table2[[#This Row],[!Type]]=L$1, L$1,"rg:None")</f>
        <v>rg:None</v>
      </c>
      <c r="M276" t="str">
        <f>IF(Table2[[#This Row],[!Type]]=M$1, M$1,"rg:None")</f>
        <v>id</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9" t="str">
        <f>IF(LEN(Table2[[#This Row],[!Length]]) &gt; 0, Table2[[#This Row],[!Length]], "rg:None")</f>
        <v>rg:None</v>
      </c>
      <c r="U276" s="9" t="str">
        <f>IF(LEN(Table2[[#This Row],[!Name]]) &gt; 0, Table2[[#This Row],[!Name]], "rg:None")</f>
        <v>id</v>
      </c>
      <c r="V276" s="9" t="str">
        <f>IF(LEN(Table2[[#This Row],[!Description]]) &gt; 0, Table2[[#This Row],[!Description]], "rg:None")</f>
        <v>A system-generated unique identifier for a Role</v>
      </c>
      <c r="W276" s="9" t="str">
        <f>IF(LEN(Table2[[#This Row],[!FK]])&gt;0,Table2[[#This Row],[!FK]],"rg:None")</f>
        <v>rg:None</v>
      </c>
      <c r="X276" s="9" t="str">
        <f>IF(LEN(concatif2(A:A,Table2[[#This Row],[!Table]],G:G,"Y",D:D,",")) &gt; 0,"rg:[ { 'req' : '"&amp;concatif2(A:A,Table2[[#This Row],[!Table]],G:G,"Y",D:D,"' }, { 'req': '")&amp;"'} ]","rg:[]")</f>
        <v>rg:[ { 'req' : 'id' }, { 'req': 'name' }, { 'req': 'description'} ]</v>
      </c>
      <c r="Y276" s="9" t="str">
        <f>IF(LEN(Table2[[#This Row],[!Unique]])&gt;0,"rg:True","rg:None")</f>
        <v>rg:None</v>
      </c>
    </row>
    <row r="277" spans="1:25" x14ac:dyDescent="0.3">
      <c r="A277" s="3" t="s">
        <v>55</v>
      </c>
      <c r="B277" s="3" t="s">
        <v>7</v>
      </c>
      <c r="C277" s="3">
        <v>255</v>
      </c>
      <c r="D277" s="3" t="s">
        <v>15</v>
      </c>
      <c r="E277" s="62" t="s">
        <v>380</v>
      </c>
      <c r="F277" s="3" t="s">
        <v>5</v>
      </c>
      <c r="G277" s="4" t="s">
        <v>64</v>
      </c>
      <c r="H277" s="4"/>
      <c r="I277" s="5" t="str">
        <f t="shared" si="18"/>
        <v>Defs</v>
      </c>
      <c r="J277" t="str">
        <f>IF(Table2[[#This Row],[!Type]]=J$1, J$1,"rg:None")</f>
        <v>rg:None</v>
      </c>
      <c r="K277" t="str">
        <f>IF(Table2[[#This Row],[!Type]]=K$1, K$1,"rg:None")</f>
        <v>rg:None</v>
      </c>
      <c r="L277" t="str">
        <f>IF(Table2[[#This Row],[!Type]]=L$1, L$1,"rg:None")</f>
        <v>rg:None</v>
      </c>
      <c r="M277" t="str">
        <f>IF(Table2[[#This Row],[!Type]]=M$1, M$1,"rg:None")</f>
        <v>rg:None</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9">
        <f>IF(LEN(Table2[[#This Row],[!Length]]) &gt; 0, Table2[[#This Row],[!Length]], "rg:None")</f>
        <v>255</v>
      </c>
      <c r="U277" s="9" t="str">
        <f>IF(LEN(Table2[[#This Row],[!Name]]) &gt; 0, Table2[[#This Row],[!Name]], "rg:None")</f>
        <v>name</v>
      </c>
      <c r="V277" s="9" t="str">
        <f>IF(LEN(Table2[[#This Row],[!Description]]) &gt; 0, Table2[[#This Row],[!Description]], "rg:None")</f>
        <v>The name of the Role, as established by the user creating the role.</v>
      </c>
      <c r="W277" s="9" t="str">
        <f>IF(LEN(Table2[[#This Row],[!FK]])&gt;0,Table2[[#This Row],[!FK]],"rg:None")</f>
        <v>rg:None</v>
      </c>
      <c r="X277" s="9" t="str">
        <f>IF(LEN(concatif2(A:A,Table2[[#This Row],[!Table]],G:G,"Y",D:D,",")) &gt; 0,"rg:[ { 'req' : '"&amp;concatif2(A:A,Table2[[#This Row],[!Table]],G:G,"Y",D:D,"' }, { 'req': '")&amp;"'} ]","rg:[]")</f>
        <v>rg:[ { 'req' : 'id' }, { 'req': 'name' }, { 'req': 'description'} ]</v>
      </c>
      <c r="Y277" s="9" t="str">
        <f>IF(LEN(Table2[[#This Row],[!Unique]])&gt;0,"rg:True","rg:None")</f>
        <v>rg:None</v>
      </c>
    </row>
    <row r="278" spans="1:25" x14ac:dyDescent="0.3">
      <c r="A278" s="3" t="s">
        <v>55</v>
      </c>
      <c r="B278" s="3" t="s">
        <v>7</v>
      </c>
      <c r="C278" s="3">
        <v>2048</v>
      </c>
      <c r="D278" s="3" t="s">
        <v>14</v>
      </c>
      <c r="E278" s="62" t="s">
        <v>381</v>
      </c>
      <c r="F278" s="3" t="s">
        <v>5</v>
      </c>
      <c r="G278" s="4" t="s">
        <v>64</v>
      </c>
      <c r="H278" s="4"/>
      <c r="I278" s="5" t="str">
        <f t="shared" si="18"/>
        <v>Defs</v>
      </c>
      <c r="J278" t="str">
        <f>IF(Table2[[#This Row],[!Type]]=J$1, J$1,"rg:None")</f>
        <v>rg:None</v>
      </c>
      <c r="K278" t="str">
        <f>IF(Table2[[#This Row],[!Type]]=K$1, K$1,"rg:None")</f>
        <v>rg:None</v>
      </c>
      <c r="L278" t="str">
        <f>IF(Table2[[#This Row],[!Type]]=L$1, L$1,"rg:None")</f>
        <v>rg:None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9">
        <f>IF(LEN(Table2[[#This Row],[!Length]]) &gt; 0, Table2[[#This Row],[!Length]], "rg:None")</f>
        <v>2048</v>
      </c>
      <c r="U278" s="9" t="str">
        <f>IF(LEN(Table2[[#This Row],[!Name]]) &gt; 0, Table2[[#This Row],[!Name]], "rg:None")</f>
        <v>description</v>
      </c>
      <c r="V278" s="9" t="str">
        <f>IF(LEN(Table2[[#This Row],[!Description]]) &gt; 0, Table2[[#This Row],[!Description]], "rg:None")</f>
        <v>A description of the role as set by the user creating/updating the role.</v>
      </c>
      <c r="W278" s="9" t="str">
        <f>IF(LEN(Table2[[#This Row],[!FK]])&gt;0,Table2[[#This Row],[!FK]],"rg:None")</f>
        <v>rg:None</v>
      </c>
      <c r="X278" s="9" t="str">
        <f>IF(LEN(concatif2(A:A,Table2[[#This Row],[!Table]],G:G,"Y",D:D,",")) &gt; 0,"rg:[ { 'req' : '"&amp;concatif2(A:A,Table2[[#This Row],[!Table]],G:G,"Y",D:D,"' }, { 'req': '")&amp;"'} ]","rg:[]")</f>
        <v>rg:[ { 'req' : 'id' }, { 'req': 'name' }, { 'req': 'description'} ]</v>
      </c>
      <c r="Y278" s="9" t="str">
        <f>IF(LEN(Table2[[#This Row],[!Unique]])&gt;0,"rg:True","rg:None")</f>
        <v>rg:None</v>
      </c>
    </row>
    <row r="279" spans="1:25" x14ac:dyDescent="0.3">
      <c r="A279" s="3" t="s">
        <v>55</v>
      </c>
      <c r="B279" s="3" t="s">
        <v>19</v>
      </c>
      <c r="C279" s="3"/>
      <c r="D279" s="3" t="s">
        <v>56</v>
      </c>
      <c r="E279" s="62"/>
      <c r="F279" s="3" t="s">
        <v>57</v>
      </c>
      <c r="G279" s="4"/>
      <c r="H279" s="4"/>
      <c r="I279" s="5" t="str">
        <f t="shared" si="18"/>
        <v>Defs</v>
      </c>
      <c r="J279" t="str">
        <f>IF(Table2[[#This Row],[!Type]]=J$1, J$1,"rg:None")</f>
        <v>rg:None</v>
      </c>
      <c r="K279" t="str">
        <f>IF(Table2[[#This Row],[!Type]]=K$1, K$1,"rg:None")</f>
        <v>rg:None</v>
      </c>
      <c r="L279" t="str">
        <f>IF(Table2[[#This Row],[!Type]]=L$1, L$1,"rg:None")</f>
        <v>rg:None</v>
      </c>
      <c r="M279" t="str">
        <f>IF(Table2[[#This Row],[!Type]]=M$1, M$1,"rg:None")</f>
        <v>rg:None</v>
      </c>
      <c r="N279" s="9" t="str">
        <f>IF(Table2[[#This Row],[!Type]]=N$1, N$1,"rg:None")</f>
        <v>rg:None</v>
      </c>
      <c r="O279" s="9" t="str">
        <f>IF(Table2[[#This Row],[!Type]]=O$1, O$1,"rg:None")</f>
        <v>rg:None</v>
      </c>
      <c r="P279" s="5" t="str">
        <f>IF(Table2[[#This Row],[!Type]]=P$1, P$1,"rg:None")</f>
        <v>links</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rolePermissions</v>
      </c>
      <c r="V279" s="9" t="str">
        <f>IF(LEN(Table2[[#This Row],[!Description]]) &gt; 0, Table2[[#This Row],[!Description]], "rg:None")</f>
        <v>rg:None</v>
      </c>
      <c r="W279" s="9" t="str">
        <f>IF(LEN(Table2[[#This Row],[!FK]])&gt;0,Table2[[#This Row],[!FK]],"rg:None")</f>
        <v>RolePermission</v>
      </c>
      <c r="X279" s="9" t="str">
        <f>IF(LEN(concatif2(A:A,Table2[[#This Row],[!Table]],G:G,"Y",D:D,",")) &gt; 0,"rg:[ { 'req' : '"&amp;concatif2(A:A,Table2[[#This Row],[!Table]],G:G,"Y",D:D,"' }, { 'req': '")&amp;"'} ]","rg:[]")</f>
        <v>rg:[ { 'req' : 'id' }, { 'req': 'name' }, { 'req': 'description'} ]</v>
      </c>
      <c r="Y279" s="9" t="str">
        <f>IF(LEN(Table2[[#This Row],[!Unique]])&gt;0,"rg:True","rg:None")</f>
        <v>rg:None</v>
      </c>
    </row>
    <row r="280" spans="1:25" x14ac:dyDescent="0.3">
      <c r="A280" s="3" t="s">
        <v>55</v>
      </c>
      <c r="B280" s="3" t="s">
        <v>19</v>
      </c>
      <c r="C280" s="3"/>
      <c r="D280" s="3" t="s">
        <v>50</v>
      </c>
      <c r="E280" s="62"/>
      <c r="F280" s="3" t="s">
        <v>52</v>
      </c>
      <c r="G280" s="4"/>
      <c r="H280" s="4"/>
      <c r="I280" s="5" t="str">
        <f t="shared" si="18"/>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links</v>
      </c>
      <c r="Q280" s="5" t="str">
        <f>IF(Table2[[#This Row],[!Type]]=Q$1, Q$1,"rg:None")</f>
        <v>rg:None</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userRoles</v>
      </c>
      <c r="V280" s="9" t="str">
        <f>IF(LEN(Table2[[#This Row],[!Description]]) &gt; 0, Table2[[#This Row],[!Description]], "rg:None")</f>
        <v>rg:None</v>
      </c>
      <c r="W280" s="9" t="str">
        <f>IF(LEN(Table2[[#This Row],[!FK]])&gt;0,Table2[[#This Row],[!FK]],"rg:None")</f>
        <v>UserRole</v>
      </c>
      <c r="X280" s="9" t="str">
        <f>IF(LEN(concatif2(A:A,Table2[[#This Row],[!Table]],G:G,"Y",D:D,",")) &gt; 0,"rg:[ { 'req' : '"&amp;concatif2(A:A,Table2[[#This Row],[!Table]],G:G,"Y",D:D,"' }, { 'req': '")&amp;"'} ]","rg:[]")</f>
        <v>rg:[ { 'req' : 'id' }, { 'req': 'name' }, { 'req': 'description'} ]</v>
      </c>
      <c r="Y280" s="9" t="str">
        <f>IF(LEN(Table2[[#This Row],[!Unique]])&gt;0,"rg:True","rg:None")</f>
        <v>rg:None</v>
      </c>
    </row>
    <row r="281" spans="1:25" ht="28.8" x14ac:dyDescent="0.3">
      <c r="A281" s="3" t="s">
        <v>57</v>
      </c>
      <c r="B281" s="3" t="s">
        <v>4</v>
      </c>
      <c r="C281" s="3"/>
      <c r="D281" s="3" t="s">
        <v>57</v>
      </c>
      <c r="E281" s="86" t="s">
        <v>425</v>
      </c>
      <c r="F281" s="3" t="s">
        <v>5</v>
      </c>
      <c r="G281" s="4"/>
      <c r="H281" s="4"/>
      <c r="I281" s="5" t="str">
        <f t="shared" si="18"/>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RolePermission</v>
      </c>
      <c r="V281" s="9" t="str">
        <f>IF(LEN(Table2[[#This Row],[!Description]]) &gt; 0, Table2[[#This Row],[!Description]], "rg:None")</f>
        <v>A permission that is part of a Role - a component of the authorization provided by the Role to the user to which the Role is assigned.</v>
      </c>
      <c r="W281" s="9" t="str">
        <f>IF(LEN(Table2[[#This Row],[!FK]])&gt;0,Table2[[#This Row],[!FK]],"rg:None")</f>
        <v>rg:None</v>
      </c>
      <c r="X281" s="9" t="str">
        <f>IF(LEN(concatif2(A:A,Table2[[#This Row],[!Table]],G:G,"Y",D:D,",")) &gt; 0,"rg:[ { 'req' : '"&amp;concatif2(A:A,Table2[[#This Row],[!Table]],G:G,"Y",D:D,"' }, { 'req': '")&amp;"'} ]","rg:[]")</f>
        <v>rg:[ { 'req' : 'id'} ]</v>
      </c>
      <c r="Y281" s="9" t="str">
        <f>IF(LEN(Table2[[#This Row],[!Unique]])&gt;0,"rg:True","rg:None")</f>
        <v>rg:None</v>
      </c>
    </row>
    <row r="282" spans="1:25" x14ac:dyDescent="0.3">
      <c r="A282" s="3" t="s">
        <v>57</v>
      </c>
      <c r="B282" s="3" t="s">
        <v>6</v>
      </c>
      <c r="C282" s="3"/>
      <c r="D282" s="3" t="s">
        <v>6</v>
      </c>
      <c r="E282" s="62" t="s">
        <v>382</v>
      </c>
      <c r="F282" s="3" t="s">
        <v>5</v>
      </c>
      <c r="G282" s="4" t="s">
        <v>64</v>
      </c>
      <c r="H282" s="4"/>
      <c r="I282" s="5" t="str">
        <f t="shared" si="18"/>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RolePermission</v>
      </c>
      <c r="W282" s="9" t="str">
        <f>IF(LEN(Table2[[#This Row],[!FK]])&gt;0,Table2[[#This Row],[!FK]],"rg:None")</f>
        <v>rg:None</v>
      </c>
      <c r="X282" s="9" t="str">
        <f>IF(LEN(concatif2(A:A,Table2[[#This Row],[!Table]],G:G,"Y",D:D,",")) &gt; 0,"rg:[ { 'req' : '"&amp;concatif2(A:A,Table2[[#This Row],[!Table]],G:G,"Y",D:D,"' }, { 'req': '")&amp;"'} ]","rg:[]")</f>
        <v>rg:[ { 'req' : 'id'} ]</v>
      </c>
      <c r="Y282" s="9" t="str">
        <f>IF(LEN(Table2[[#This Row],[!Unique]])&gt;0,"rg:True","rg:None")</f>
        <v>rg:None</v>
      </c>
    </row>
    <row r="283" spans="1:25" x14ac:dyDescent="0.3">
      <c r="A283" s="3" t="s">
        <v>57</v>
      </c>
      <c r="B283" s="3" t="s">
        <v>8</v>
      </c>
      <c r="C283" s="3"/>
      <c r="D283" s="3" t="s">
        <v>18</v>
      </c>
      <c r="E283" s="62"/>
      <c r="F283" s="3" t="s">
        <v>55</v>
      </c>
      <c r="G283" s="4"/>
      <c r="H283" s="4"/>
      <c r="I283" s="5" t="str">
        <f t="shared" si="18"/>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rg:None</v>
      </c>
      <c r="O283" s="9" t="str">
        <f>IF(Table2[[#This Row],[!Type]]=O$1, O$1,"rg:None")</f>
        <v>rg:None</v>
      </c>
      <c r="P283" s="5" t="str">
        <f>IF(Table2[[#This Row],[!Type]]=P$1, P$1,"rg:None")</f>
        <v>rg:None</v>
      </c>
      <c r="Q283" s="5" t="str">
        <f>IF(Table2[[#This Row],[!Type]]=Q$1, Q$1,"rg:None")</f>
        <v>ref</v>
      </c>
      <c r="R283" s="5" t="str">
        <f>IF(Table2[[#This Row],[!Type]]=R$1, R$1,"rg:None")</f>
        <v>rg:None</v>
      </c>
      <c r="S283" s="5" t="str">
        <f>IF(Table2[[#This Row],[!Type]]=S$1, S$1,"rg:None")</f>
        <v>rg:None</v>
      </c>
      <c r="T283" s="9" t="str">
        <f>IF(LEN(Table2[[#This Row],[!Length]]) &gt; 0, Table2[[#This Row],[!Length]], "rg:None")</f>
        <v>rg:None</v>
      </c>
      <c r="U283" s="9" t="str">
        <f>IF(LEN(Table2[[#This Row],[!Name]]) &gt; 0, Table2[[#This Row],[!Name]], "rg:None")</f>
        <v>role</v>
      </c>
      <c r="V283" s="9" t="str">
        <f>IF(LEN(Table2[[#This Row],[!Description]]) &gt; 0, Table2[[#This Row],[!Description]], "rg:None")</f>
        <v>rg:None</v>
      </c>
      <c r="W283" s="9" t="str">
        <f>IF(LEN(Table2[[#This Row],[!FK]])&gt;0,Table2[[#This Row],[!FK]],"rg:None")</f>
        <v>Role</v>
      </c>
      <c r="X283" s="9" t="str">
        <f>IF(LEN(concatif2(A:A,Table2[[#This Row],[!Table]],G:G,"Y",D:D,",")) &gt; 0,"rg:[ { 'req' : '"&amp;concatif2(A:A,Table2[[#This Row],[!Table]],G:G,"Y",D:D,"' }, { 'req': '")&amp;"'} ]","rg:[]")</f>
        <v>rg:[ { 'req' : 'id'} ]</v>
      </c>
      <c r="Y283" s="9" t="str">
        <f>IF(LEN(Table2[[#This Row],[!Unique]])&gt;0,"rg:True","rg:None")</f>
        <v>rg:None</v>
      </c>
    </row>
    <row r="284" spans="1:25" x14ac:dyDescent="0.3">
      <c r="A284" s="3" t="s">
        <v>57</v>
      </c>
      <c r="B284" s="3" t="s">
        <v>8</v>
      </c>
      <c r="C284" s="3"/>
      <c r="D284" s="3" t="s">
        <v>58</v>
      </c>
      <c r="E284" s="62"/>
      <c r="F284" s="3" t="s">
        <v>59</v>
      </c>
      <c r="G284" s="4"/>
      <c r="H284" s="4"/>
      <c r="I284" s="5" t="str">
        <f t="shared" si="18"/>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9" t="str">
        <f>IF(LEN(Table2[[#This Row],[!Length]]) &gt; 0, Table2[[#This Row],[!Length]], "rg:None")</f>
        <v>rg:None</v>
      </c>
      <c r="U284" s="9" t="str">
        <f>IF(LEN(Table2[[#This Row],[!Name]]) &gt; 0, Table2[[#This Row],[!Name]], "rg:None")</f>
        <v>permission</v>
      </c>
      <c r="V284" s="9" t="str">
        <f>IF(LEN(Table2[[#This Row],[!Description]]) &gt; 0, Table2[[#This Row],[!Description]], "rg:None")</f>
        <v>rg:None</v>
      </c>
      <c r="W284" s="9" t="str">
        <f>IF(LEN(Table2[[#This Row],[!FK]])&gt;0,Table2[[#This Row],[!FK]],"rg:None")</f>
        <v>Permission</v>
      </c>
      <c r="X284" s="9" t="str">
        <f>IF(LEN(concatif2(A:A,Table2[[#This Row],[!Table]],G:G,"Y",D:D,",")) &gt; 0,"rg:[ { 'req' : '"&amp;concatif2(A:A,Table2[[#This Row],[!Table]],G:G,"Y",D:D,"' }, { 'req': '")&amp;"'} ]","rg:[]")</f>
        <v>rg:[ { 'req' : 'id'} ]</v>
      </c>
      <c r="Y284" s="9" t="str">
        <f>IF(LEN(Table2[[#This Row],[!Unique]])&gt;0,"rg:True","rg:None")</f>
        <v>rg:None</v>
      </c>
    </row>
    <row r="285" spans="1:25" ht="72" x14ac:dyDescent="0.3">
      <c r="A285" s="3" t="s">
        <v>59</v>
      </c>
      <c r="B285" s="3" t="s">
        <v>4</v>
      </c>
      <c r="C285" s="3"/>
      <c r="D285" s="3" t="s">
        <v>59</v>
      </c>
      <c r="E285" s="86" t="s">
        <v>426</v>
      </c>
      <c r="F285" s="3" t="s">
        <v>5</v>
      </c>
      <c r="G285" s="4"/>
      <c r="H285" s="4"/>
      <c r="I285" s="5" t="str">
        <f t="shared" si="18"/>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table</v>
      </c>
      <c r="T285" s="9" t="str">
        <f>IF(LEN(Table2[[#This Row],[!Length]]) &gt; 0, Table2[[#This Row],[!Length]], "rg:None")</f>
        <v>rg:None</v>
      </c>
      <c r="U285" s="9" t="str">
        <f>IF(LEN(Table2[[#This Row],[!Name]]) &gt; 0, Table2[[#This Row],[!Name]], "rg:None")</f>
        <v>Permission</v>
      </c>
      <c r="V285"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85" s="9" t="str">
        <f>IF(LEN(Table2[[#This Row],[!FK]])&gt;0,Table2[[#This Row],[!FK]],"rg:None")</f>
        <v>rg:None</v>
      </c>
      <c r="X285" s="9" t="str">
        <f>IF(LEN(concatif2(A:A,Table2[[#This Row],[!Table]],G:G,"Y",D:D,",")) &gt; 0,"rg:[ { 'req' : '"&amp;concatif2(A:A,Table2[[#This Row],[!Table]],G:G,"Y",D:D,"' }, { 'req': '")&amp;"'} ]","rg:[]")</f>
        <v>rg:[ { 'req' : 'id' }, { 'req': 'code' }, { 'req': 'name' }, { 'req': 'description'} ]</v>
      </c>
      <c r="Y285" s="9" t="str">
        <f>IF(LEN(Table2[[#This Row],[!Unique]])&gt;0,"rg:True","rg:None")</f>
        <v>rg:None</v>
      </c>
    </row>
    <row r="286" spans="1:25" x14ac:dyDescent="0.3">
      <c r="A286" s="3" t="s">
        <v>59</v>
      </c>
      <c r="B286" s="3" t="s">
        <v>6</v>
      </c>
      <c r="C286" s="3"/>
      <c r="D286" s="3" t="s">
        <v>6</v>
      </c>
      <c r="E286" s="62" t="s">
        <v>383</v>
      </c>
      <c r="F286" s="3" t="s">
        <v>5</v>
      </c>
      <c r="G286" s="4" t="s">
        <v>64</v>
      </c>
      <c r="H286" s="4"/>
      <c r="I286" s="5" t="str">
        <f t="shared" si="18"/>
        <v>Defs</v>
      </c>
      <c r="J286" t="str">
        <f>IF(Table2[[#This Row],[!Type]]=J$1, J$1,"rg:None")</f>
        <v>rg:None</v>
      </c>
      <c r="K286" t="str">
        <f>IF(Table2[[#This Row],[!Type]]=K$1, K$1,"rg:None")</f>
        <v>rg:None</v>
      </c>
      <c r="L286" t="str">
        <f>IF(Table2[[#This Row],[!Type]]=L$1, L$1,"rg:None")</f>
        <v>rg:None</v>
      </c>
      <c r="M286" t="str">
        <f>IF(Table2[[#This Row],[!Type]]=M$1, M$1,"rg:None")</f>
        <v>id</v>
      </c>
      <c r="N286" s="9" t="str">
        <f>IF(Table2[[#This Row],[!Type]]=N$1, N$1,"rg:None")</f>
        <v>rg:None</v>
      </c>
      <c r="O286" s="9"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id</v>
      </c>
      <c r="V286" s="9" t="str">
        <f>IF(LEN(Table2[[#This Row],[!Description]]) &gt; 0, Table2[[#This Row],[!Description]], "rg:None")</f>
        <v>A system-generated unique identifier for a Permission</v>
      </c>
      <c r="W286" s="9" t="str">
        <f>IF(LEN(Table2[[#This Row],[!FK]])&gt;0,Table2[[#This Row],[!FK]],"rg:None")</f>
        <v>rg:None</v>
      </c>
      <c r="X286" s="9" t="str">
        <f>IF(LEN(concatif2(A:A,Table2[[#This Row],[!Table]],G:G,"Y",D:D,",")) &gt; 0,"rg:[ { 'req' : '"&amp;concatif2(A:A,Table2[[#This Row],[!Table]],G:G,"Y",D:D,"' }, { 'req': '")&amp;"'} ]","rg:[]")</f>
        <v>rg:[ { 'req' : 'id' }, { 'req': 'code' }, { 'req': 'name' }, { 'req': 'description'} ]</v>
      </c>
      <c r="Y286" s="9" t="str">
        <f>IF(LEN(Table2[[#This Row],[!Unique]])&gt;0,"rg:True","rg:None")</f>
        <v>rg:None</v>
      </c>
    </row>
    <row r="287" spans="1:25" x14ac:dyDescent="0.3">
      <c r="A287" s="3" t="s">
        <v>59</v>
      </c>
      <c r="B287" s="3" t="s">
        <v>7</v>
      </c>
      <c r="C287" s="3">
        <v>50</v>
      </c>
      <c r="D287" s="3" t="s">
        <v>60</v>
      </c>
      <c r="E287" s="62" t="s">
        <v>384</v>
      </c>
      <c r="F287" s="3" t="s">
        <v>5</v>
      </c>
      <c r="G287" s="4" t="s">
        <v>64</v>
      </c>
      <c r="H287" s="4"/>
      <c r="I287" s="5" t="str">
        <f t="shared" si="18"/>
        <v>Defs</v>
      </c>
      <c r="J287" t="str">
        <f>IF(Table2[[#This Row],[!Type]]=J$1, J$1,"rg:None")</f>
        <v>rg:None</v>
      </c>
      <c r="K287" t="str">
        <f>IF(Table2[[#This Row],[!Type]]=K$1, K$1,"rg:None")</f>
        <v>rg:None</v>
      </c>
      <c r="L287" t="str">
        <f>IF(Table2[[#This Row],[!Type]]=L$1, L$1,"rg:None")</f>
        <v>rg:None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string</v>
      </c>
      <c r="S287" s="5" t="str">
        <f>IF(Table2[[#This Row],[!Type]]=S$1, S$1,"rg:None")</f>
        <v>rg:None</v>
      </c>
      <c r="T287" s="9">
        <f>IF(LEN(Table2[[#This Row],[!Length]]) &gt; 0, Table2[[#This Row],[!Length]], "rg:None")</f>
        <v>50</v>
      </c>
      <c r="U287" s="9" t="str">
        <f>IF(LEN(Table2[[#This Row],[!Name]]) &gt; 0, Table2[[#This Row],[!Name]], "rg:None")</f>
        <v>code</v>
      </c>
      <c r="V287" s="9" t="str">
        <f>IF(LEN(Table2[[#This Row],[!Description]]) &gt; 0, Table2[[#This Row],[!Description]], "rg:None")</f>
        <v>The name of the permission referenced in the software of the application.</v>
      </c>
      <c r="W287" s="9" t="str">
        <f>IF(LEN(Table2[[#This Row],[!FK]])&gt;0,Table2[[#This Row],[!FK]],"rg:None")</f>
        <v>rg:None</v>
      </c>
      <c r="X287" s="9" t="str">
        <f>IF(LEN(concatif2(A:A,Table2[[#This Row],[!Table]],G:G,"Y",D:D,",")) &gt; 0,"rg:[ { 'req' : '"&amp;concatif2(A:A,Table2[[#This Row],[!Table]],G:G,"Y",D:D,"' }, { 'req': '")&amp;"'} ]","rg:[]")</f>
        <v>rg:[ { 'req' : 'id' }, { 'req': 'code' }, { 'req': 'name' }, { 'req': 'description'} ]</v>
      </c>
      <c r="Y287" s="9" t="str">
        <f>IF(LEN(Table2[[#This Row],[!Unique]])&gt;0,"rg:True","rg:None")</f>
        <v>rg:None</v>
      </c>
    </row>
    <row r="288" spans="1:25" ht="28.8" x14ac:dyDescent="0.3">
      <c r="A288" s="3" t="s">
        <v>59</v>
      </c>
      <c r="B288" s="3" t="s">
        <v>7</v>
      </c>
      <c r="C288" s="3">
        <v>150</v>
      </c>
      <c r="D288" s="3" t="s">
        <v>15</v>
      </c>
      <c r="E288" s="62" t="s">
        <v>385</v>
      </c>
      <c r="F288" s="3" t="s">
        <v>5</v>
      </c>
      <c r="G288" s="4" t="s">
        <v>64</v>
      </c>
      <c r="H288" s="4"/>
      <c r="I288" s="5" t="str">
        <f t="shared" si="18"/>
        <v>Defs</v>
      </c>
      <c r="J288" t="str">
        <f>IF(Table2[[#This Row],[!Type]]=J$1, J$1,"rg:None")</f>
        <v>rg:None</v>
      </c>
      <c r="K288" t="str">
        <f>IF(Table2[[#This Row],[!Type]]=K$1, K$1,"rg:None")</f>
        <v>rg:None</v>
      </c>
      <c r="L288" t="str">
        <f>IF(Table2[[#This Row],[!Type]]=L$1, L$1,"rg:None")</f>
        <v>rg:None</v>
      </c>
      <c r="M288" t="str">
        <f>IF(Table2[[#This Row],[!Type]]=M$1, M$1,"rg:None")</f>
        <v>rg:None</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string</v>
      </c>
      <c r="S288" s="5" t="str">
        <f>IF(Table2[[#This Row],[!Type]]=S$1, S$1,"rg:None")</f>
        <v>rg:None</v>
      </c>
      <c r="T288" s="9">
        <f>IF(LEN(Table2[[#This Row],[!Length]]) &gt; 0, Table2[[#This Row],[!Length]], "rg:None")</f>
        <v>150</v>
      </c>
      <c r="U288" s="9" t="str">
        <f>IF(LEN(Table2[[#This Row],[!Name]]) &gt; 0, Table2[[#This Row],[!Name]], "rg:None")</f>
        <v>name</v>
      </c>
      <c r="V288" s="9" t="str">
        <f>IF(LEN(Table2[[#This Row],[!Description]]) &gt; 0, Table2[[#This Row],[!Description]], "rg:None")</f>
        <v>The 'user friendly' name of the permission exposed to the user selecting the permissions to be included in a Role.</v>
      </c>
      <c r="W288" s="9" t="str">
        <f>IF(LEN(Table2[[#This Row],[!FK]])&gt;0,Table2[[#This Row],[!FK]],"rg:None")</f>
        <v>rg:None</v>
      </c>
      <c r="X288" s="9" t="str">
        <f>IF(LEN(concatif2(A:A,Table2[[#This Row],[!Table]],G:G,"Y",D:D,",")) &gt; 0,"rg:[ { 'req' : '"&amp;concatif2(A:A,Table2[[#This Row],[!Table]],G:G,"Y",D:D,"' }, { 'req': '")&amp;"'} ]","rg:[]")</f>
        <v>rg:[ { 'req' : 'id' }, { 'req': 'code' }, { 'req': 'name' }, { 'req': 'description'} ]</v>
      </c>
      <c r="Y288" s="9" t="str">
        <f>IF(LEN(Table2[[#This Row],[!Unique]])&gt;0,"rg:True","rg:None")</f>
        <v>rg:None</v>
      </c>
    </row>
    <row r="289" spans="1:25" ht="28.8" x14ac:dyDescent="0.3">
      <c r="A289" s="3" t="s">
        <v>59</v>
      </c>
      <c r="B289" s="3" t="s">
        <v>7</v>
      </c>
      <c r="C289" s="3">
        <v>2048</v>
      </c>
      <c r="D289" s="3" t="s">
        <v>14</v>
      </c>
      <c r="E289" s="62" t="s">
        <v>386</v>
      </c>
      <c r="F289" s="3" t="s">
        <v>5</v>
      </c>
      <c r="G289" s="4" t="s">
        <v>64</v>
      </c>
      <c r="H289" s="4"/>
      <c r="I289" s="5" t="str">
        <f t="shared" si="18"/>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9">
        <f>IF(LEN(Table2[[#This Row],[!Length]]) &gt; 0, Table2[[#This Row],[!Length]], "rg:None")</f>
        <v>2048</v>
      </c>
      <c r="U289" s="9" t="str">
        <f>IF(LEN(Table2[[#This Row],[!Name]]) &gt; 0, Table2[[#This Row],[!Name]], "rg:None")</f>
        <v>description</v>
      </c>
      <c r="V289" s="9" t="str">
        <f>IF(LEN(Table2[[#This Row],[!Description]]) &gt; 0, Table2[[#This Row],[!Description]], "rg:None")</f>
        <v>A description of the purpose of the permission and exposed to the user selecting the permissions to be included in a Role.</v>
      </c>
      <c r="W289" s="9" t="str">
        <f>IF(LEN(Table2[[#This Row],[!FK]])&gt;0,Table2[[#This Row],[!FK]],"rg:None")</f>
        <v>rg:None</v>
      </c>
      <c r="X289" s="9" t="str">
        <f>IF(LEN(concatif2(A:A,Table2[[#This Row],[!Table]],G:G,"Y",D:D,",")) &gt; 0,"rg:[ { 'req' : '"&amp;concatif2(A:A,Table2[[#This Row],[!Table]],G:G,"Y",D:D,"' }, { 'req': '")&amp;"'} ]","rg:[]")</f>
        <v>rg:[ { 'req' : 'id' }, { 'req': 'code' }, { 'req': 'name' }, { 'req': 'description'} ]</v>
      </c>
      <c r="Y289" s="9" t="str">
        <f>IF(LEN(Table2[[#This Row],[!Unique]])&gt;0,"rg:True","rg:None")</f>
        <v>rg:None</v>
      </c>
    </row>
    <row r="290" spans="1:25" x14ac:dyDescent="0.3">
      <c r="A290" s="3" t="s">
        <v>61</v>
      </c>
      <c r="B290" s="3" t="s">
        <v>4</v>
      </c>
      <c r="C290" s="3"/>
      <c r="D290" s="3" t="s">
        <v>61</v>
      </c>
      <c r="E290" s="62" t="s">
        <v>387</v>
      </c>
      <c r="F290" s="3" t="s">
        <v>5</v>
      </c>
      <c r="G290" s="4"/>
      <c r="H290" s="4"/>
      <c r="I290" s="5" t="str">
        <f t="shared" si="18"/>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9" t="str">
        <f>IF(LEN(Table2[[#This Row],[!Length]]) &gt; 0, Table2[[#This Row],[!Length]], "rg:None")</f>
        <v>rg:None</v>
      </c>
      <c r="U290" s="9" t="str">
        <f>IF(LEN(Table2[[#This Row],[!Name]]) &gt; 0, Table2[[#This Row],[!Name]], "rg:None")</f>
        <v>GroupMembership</v>
      </c>
      <c r="V290" s="9" t="str">
        <f>IF(LEN(Table2[[#This Row],[!Description]]) &gt; 0, Table2[[#This Row],[!Description]], "rg:None")</f>
        <v>The users associated with a given group that has been defined in the application.</v>
      </c>
      <c r="W290" s="9" t="str">
        <f>IF(LEN(Table2[[#This Row],[!FK]])&gt;0,Table2[[#This Row],[!FK]],"rg:None")</f>
        <v>rg:None</v>
      </c>
      <c r="X290" s="9" t="str">
        <f>IF(LEN(concatif2(A:A,Table2[[#This Row],[!Table]],G:G,"Y",D:D,",")) &gt; 0,"rg:[ { 'req' : '"&amp;concatif2(A:A,Table2[[#This Row],[!Table]],G:G,"Y",D:D,"' }, { 'req': '")&amp;"'} ]","rg:[]")</f>
        <v>rg:[ { 'req' : 'id' }, { 'req': 'active'} ]</v>
      </c>
      <c r="Y290" s="9" t="str">
        <f>IF(LEN(Table2[[#This Row],[!Unique]])&gt;0,"rg:True","rg:None")</f>
        <v>rg:None</v>
      </c>
    </row>
    <row r="291" spans="1:25" x14ac:dyDescent="0.3">
      <c r="A291" s="3" t="s">
        <v>61</v>
      </c>
      <c r="B291" s="3" t="s">
        <v>6</v>
      </c>
      <c r="C291" s="3"/>
      <c r="D291" s="3" t="s">
        <v>6</v>
      </c>
      <c r="E291" s="62" t="s">
        <v>388</v>
      </c>
      <c r="F291" s="3" t="s">
        <v>5</v>
      </c>
      <c r="G291" s="4" t="s">
        <v>64</v>
      </c>
      <c r="H291" s="4"/>
      <c r="I291" s="5" t="str">
        <f t="shared" si="18"/>
        <v>Defs</v>
      </c>
      <c r="J291" t="str">
        <f>IF(Table2[[#This Row],[!Type]]=J$1, J$1,"rg:None")</f>
        <v>rg:None</v>
      </c>
      <c r="K291" t="str">
        <f>IF(Table2[[#This Row],[!Type]]=K$1, K$1,"rg:None")</f>
        <v>rg:None</v>
      </c>
      <c r="L291" t="str">
        <f>IF(Table2[[#This Row],[!Type]]=L$1, L$1,"rg:None")</f>
        <v>rg:None</v>
      </c>
      <c r="M291" t="str">
        <f>IF(Table2[[#This Row],[!Type]]=M$1, M$1,"rg:None")</f>
        <v>id</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9" t="str">
        <f>IF(LEN(Table2[[#This Row],[!Length]]) &gt; 0, Table2[[#This Row],[!Length]], "rg:None")</f>
        <v>rg:None</v>
      </c>
      <c r="U291" s="9" t="str">
        <f>IF(LEN(Table2[[#This Row],[!Name]]) &gt; 0, Table2[[#This Row],[!Name]], "rg:None")</f>
        <v>id</v>
      </c>
      <c r="V291" s="9" t="str">
        <f>IF(LEN(Table2[[#This Row],[!Description]]) &gt; 0, Table2[[#This Row],[!Description]], "rg:None")</f>
        <v>A system-generated unique identifier for a GroupMembership</v>
      </c>
      <c r="W291" s="9" t="str">
        <f>IF(LEN(Table2[[#This Row],[!FK]])&gt;0,Table2[[#This Row],[!FK]],"rg:None")</f>
        <v>rg:None</v>
      </c>
      <c r="X291" s="9" t="str">
        <f>IF(LEN(concatif2(A:A,Table2[[#This Row],[!Table]],G:G,"Y",D:D,",")) &gt; 0,"rg:[ { 'req' : '"&amp;concatif2(A:A,Table2[[#This Row],[!Table]],G:G,"Y",D:D,"' }, { 'req': '")&amp;"'} ]","rg:[]")</f>
        <v>rg:[ { 'req' : 'id' }, { 'req': 'active'} ]</v>
      </c>
      <c r="Y291" s="9" t="str">
        <f>IF(LEN(Table2[[#This Row],[!Unique]])&gt;0,"rg:True","rg:None")</f>
        <v>rg:None</v>
      </c>
    </row>
    <row r="292" spans="1:25" ht="28.8" x14ac:dyDescent="0.3">
      <c r="A292" s="3" t="s">
        <v>61</v>
      </c>
      <c r="B292" s="3" t="s">
        <v>9</v>
      </c>
      <c r="C292" s="3"/>
      <c r="D292" s="3" t="s">
        <v>43</v>
      </c>
      <c r="E292" s="62" t="s">
        <v>389</v>
      </c>
      <c r="F292" s="3" t="s">
        <v>5</v>
      </c>
      <c r="G292" s="4" t="s">
        <v>64</v>
      </c>
      <c r="H292" s="4"/>
      <c r="I292" s="5" t="str">
        <f t="shared" si="18"/>
        <v>Defs</v>
      </c>
      <c r="J292" t="str">
        <f>IF(Table2[[#This Row],[!Type]]=J$1, J$1,"rg:None")</f>
        <v>boolean</v>
      </c>
      <c r="K292" t="str">
        <f>IF(Table2[[#This Row],[!Type]]=K$1, K$1,"rg:None")</f>
        <v>rg:None</v>
      </c>
      <c r="L292" t="str">
        <f>IF(Table2[[#This Row],[!Type]]=L$1, L$1,"rg:None")</f>
        <v>rg:None</v>
      </c>
      <c r="M292" t="str">
        <f>IF(Table2[[#This Row],[!Type]]=M$1, M$1,"rg:None")</f>
        <v>rg:None</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active</v>
      </c>
      <c r="V292" s="9" t="str">
        <f>IF(LEN(Table2[[#This Row],[!Description]]) &gt; 0, Table2[[#This Row],[!Description]], "rg:None")</f>
        <v>A flag indicating the User is active in the group. Set false to remove the user from the designated group.</v>
      </c>
      <c r="W292" s="9" t="str">
        <f>IF(LEN(Table2[[#This Row],[!FK]])&gt;0,Table2[[#This Row],[!FK]],"rg:None")</f>
        <v>rg:None</v>
      </c>
      <c r="X292" s="9" t="str">
        <f>IF(LEN(concatif2(A:A,Table2[[#This Row],[!Table]],G:G,"Y",D:D,",")) &gt; 0,"rg:[ { 'req' : '"&amp;concatif2(A:A,Table2[[#This Row],[!Table]],G:G,"Y",D:D,"' }, { 'req': '")&amp;"'} ]","rg:[]")</f>
        <v>rg:[ { 'req' : 'id' }, { 'req': 'active'} ]</v>
      </c>
      <c r="Y292" s="9" t="str">
        <f>IF(LEN(Table2[[#This Row],[!Unique]])&gt;0,"rg:True","rg:None")</f>
        <v>rg:None</v>
      </c>
    </row>
    <row r="293" spans="1:25" x14ac:dyDescent="0.3">
      <c r="A293" s="3" t="s">
        <v>61</v>
      </c>
      <c r="B293" s="3" t="s">
        <v>8</v>
      </c>
      <c r="C293" s="3"/>
      <c r="D293" s="3" t="s">
        <v>62</v>
      </c>
      <c r="E293" s="62"/>
      <c r="F293" s="3" t="s">
        <v>63</v>
      </c>
      <c r="G293" s="4"/>
      <c r="H293" s="4"/>
      <c r="I293" s="5" t="str">
        <f t="shared" si="18"/>
        <v>Defs</v>
      </c>
      <c r="J293" t="str">
        <f>IF(Table2[[#This Row],[!Type]]=J$1, J$1,"rg:None")</f>
        <v>rg:None</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ref</v>
      </c>
      <c r="R293" s="5" t="str">
        <f>IF(Table2[[#This Row],[!Type]]=R$1, R$1,"rg:None")</f>
        <v>rg:None</v>
      </c>
      <c r="S293" s="5" t="str">
        <f>IF(Table2[[#This Row],[!Type]]=S$1, S$1,"rg:None")</f>
        <v>rg:None</v>
      </c>
      <c r="T293" s="9" t="str">
        <f>IF(LEN(Table2[[#This Row],[!Length]]) &gt; 0, Table2[[#This Row],[!Length]], "rg:None")</f>
        <v>rg:None</v>
      </c>
      <c r="U293" s="9" t="str">
        <f>IF(LEN(Table2[[#This Row],[!Name]]) &gt; 0, Table2[[#This Row],[!Name]], "rg:None")</f>
        <v>group</v>
      </c>
      <c r="V293" s="9" t="str">
        <f>IF(LEN(Table2[[#This Row],[!Description]]) &gt; 0, Table2[[#This Row],[!Description]], "rg:None")</f>
        <v>rg:None</v>
      </c>
      <c r="W293" s="9" t="str">
        <f>IF(LEN(Table2[[#This Row],[!FK]])&gt;0,Table2[[#This Row],[!FK]],"rg:None")</f>
        <v>Group</v>
      </c>
      <c r="X293" s="9" t="str">
        <f>IF(LEN(concatif2(A:A,Table2[[#This Row],[!Table]],G:G,"Y",D:D,",")) &gt; 0,"rg:[ { 'req' : '"&amp;concatif2(A:A,Table2[[#This Row],[!Table]],G:G,"Y",D:D,"' }, { 'req': '")&amp;"'} ]","rg:[]")</f>
        <v>rg:[ { 'req' : 'id' }, { 'req': 'active'} ]</v>
      </c>
      <c r="Y293" s="9" t="str">
        <f>IF(LEN(Table2[[#This Row],[!Unique]])&gt;0,"rg:True","rg:None")</f>
        <v>rg:None</v>
      </c>
    </row>
    <row r="294" spans="1:25" x14ac:dyDescent="0.3">
      <c r="A294" s="3" t="s">
        <v>61</v>
      </c>
      <c r="B294" s="3" t="s">
        <v>8</v>
      </c>
      <c r="C294" s="3"/>
      <c r="D294" s="3" t="s">
        <v>42</v>
      </c>
      <c r="E294" s="62"/>
      <c r="F294" s="3" t="s">
        <v>0</v>
      </c>
      <c r="G294" s="4"/>
      <c r="H294" s="4"/>
      <c r="I294" s="5" t="str">
        <f t="shared" si="18"/>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ref</v>
      </c>
      <c r="R294" s="5" t="str">
        <f>IF(Table2[[#This Row],[!Type]]=R$1, R$1,"rg:None")</f>
        <v>rg:None</v>
      </c>
      <c r="S294" s="5" t="str">
        <f>IF(Table2[[#This Row],[!Type]]=S$1, S$1,"rg:None")</f>
        <v>rg:None</v>
      </c>
      <c r="T294" s="9" t="str">
        <f>IF(LEN(Table2[[#This Row],[!Length]]) &gt; 0, Table2[[#This Row],[!Length]], "rg:None")</f>
        <v>rg:None</v>
      </c>
      <c r="U294" s="9" t="str">
        <f>IF(LEN(Table2[[#This Row],[!Name]]) &gt; 0, Table2[[#This Row],[!Name]], "rg:None")</f>
        <v>user</v>
      </c>
      <c r="V294" s="9" t="str">
        <f>IF(LEN(Table2[[#This Row],[!Description]]) &gt; 0, Table2[[#This Row],[!Description]], "rg:None")</f>
        <v>rg:None</v>
      </c>
      <c r="W294" s="9" t="str">
        <f>IF(LEN(Table2[[#This Row],[!FK]])&gt;0,Table2[[#This Row],[!FK]],"rg:None")</f>
        <v>User</v>
      </c>
      <c r="X294" s="9" t="str">
        <f>IF(LEN(concatif2(A:A,Table2[[#This Row],[!Table]],G:G,"Y",D:D,",")) &gt; 0,"rg:[ { 'req' : '"&amp;concatif2(A:A,Table2[[#This Row],[!Table]],G:G,"Y",D:D,"' }, { 'req': '")&amp;"'} ]","rg:[]")</f>
        <v>rg:[ { 'req' : 'id' }, { 'req': 'active'} ]</v>
      </c>
      <c r="Y294" s="9" t="str">
        <f>IF(LEN(Table2[[#This Row],[!Unique]])&gt;0,"rg:True","rg:None")</f>
        <v>rg:None</v>
      </c>
    </row>
    <row r="295" spans="1:25" ht="43.2" x14ac:dyDescent="0.3">
      <c r="A295" s="3" t="s">
        <v>63</v>
      </c>
      <c r="B295" s="3" t="s">
        <v>4</v>
      </c>
      <c r="C295" s="3"/>
      <c r="D295" s="3" t="s">
        <v>63</v>
      </c>
      <c r="E295" s="86" t="s">
        <v>427</v>
      </c>
      <c r="F295" s="3" t="s">
        <v>5</v>
      </c>
      <c r="G295" s="4"/>
      <c r="H295" s="4"/>
      <c r="I295" s="5" t="str">
        <f t="shared" si="18"/>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9" t="str">
        <f>IF(LEN(Table2[[#This Row],[!Length]]) &gt; 0, Table2[[#This Row],[!Length]], "rg:None")</f>
        <v>rg:None</v>
      </c>
      <c r="U295" s="9" t="str">
        <f>IF(LEN(Table2[[#This Row],[!Name]]) &gt; 0, Table2[[#This Row],[!Name]], "rg:None")</f>
        <v>Group</v>
      </c>
      <c r="V295"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295" s="9" t="str">
        <f>IF(LEN(Table2[[#This Row],[!FK]])&gt;0,Table2[[#This Row],[!FK]],"rg:None")</f>
        <v>rg:None</v>
      </c>
      <c r="X295" s="9" t="str">
        <f>IF(LEN(concatif2(A:A,Table2[[#This Row],[!Table]],G:G,"Y",D:D,",")) &gt; 0,"rg:[ { 'req' : '"&amp;concatif2(A:A,Table2[[#This Row],[!Table]],G:G,"Y",D:D,"' }, { 'req': '")&amp;"'} ]","rg:[]")</f>
        <v>rg:[ { 'req' : 'id' }, { 'req': 'name' }, { 'req': 'description'} ]</v>
      </c>
      <c r="Y295" s="9" t="str">
        <f>IF(LEN(Table2[[#This Row],[!Unique]])&gt;0,"rg:True","rg:None")</f>
        <v>rg:None</v>
      </c>
    </row>
    <row r="296" spans="1:25" x14ac:dyDescent="0.3">
      <c r="A296" s="3" t="s">
        <v>63</v>
      </c>
      <c r="B296" s="3" t="s">
        <v>6</v>
      </c>
      <c r="C296" s="3"/>
      <c r="D296" s="3" t="s">
        <v>6</v>
      </c>
      <c r="E296" s="62" t="s">
        <v>390</v>
      </c>
      <c r="F296" s="3" t="s">
        <v>5</v>
      </c>
      <c r="G296" s="4" t="s">
        <v>64</v>
      </c>
      <c r="H296" s="4"/>
      <c r="I296" s="5" t="str">
        <f t="shared" si="18"/>
        <v>Defs</v>
      </c>
      <c r="J296" t="str">
        <f>IF(Table2[[#This Row],[!Type]]=J$1, J$1,"rg:None")</f>
        <v>rg:None</v>
      </c>
      <c r="K296" t="str">
        <f>IF(Table2[[#This Row],[!Type]]=K$1, K$1,"rg:None")</f>
        <v>rg:None</v>
      </c>
      <c r="L296" t="str">
        <f>IF(Table2[[#This Row],[!Type]]=L$1, L$1,"rg:None")</f>
        <v>rg:None</v>
      </c>
      <c r="M296" t="str">
        <f>IF(Table2[[#This Row],[!Type]]=M$1, M$1,"rg:None")</f>
        <v>id</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9" t="str">
        <f>IF(LEN(Table2[[#This Row],[!Length]]) &gt; 0, Table2[[#This Row],[!Length]], "rg:None")</f>
        <v>rg:None</v>
      </c>
      <c r="U296" s="9" t="str">
        <f>IF(LEN(Table2[[#This Row],[!Name]]) &gt; 0, Table2[[#This Row],[!Name]], "rg:None")</f>
        <v>id</v>
      </c>
      <c r="V296" s="9" t="str">
        <f>IF(LEN(Table2[[#This Row],[!Description]]) &gt; 0, Table2[[#This Row],[!Description]], "rg:None")</f>
        <v>A system-generated unique identifier for a Group</v>
      </c>
      <c r="W296" s="9" t="str">
        <f>IF(LEN(Table2[[#This Row],[!FK]])&gt;0,Table2[[#This Row],[!FK]],"rg:None")</f>
        <v>rg:None</v>
      </c>
      <c r="X296" s="9" t="str">
        <f>IF(LEN(concatif2(A:A,Table2[[#This Row],[!Table]],G:G,"Y",D:D,",")) &gt; 0,"rg:[ { 'req' : '"&amp;concatif2(A:A,Table2[[#This Row],[!Table]],G:G,"Y",D:D,"' }, { 'req': '")&amp;"'} ]","rg:[]")</f>
        <v>rg:[ { 'req' : 'id' }, { 'req': 'name' }, { 'req': 'description'} ]</v>
      </c>
      <c r="Y296" s="9" t="str">
        <f>IF(LEN(Table2[[#This Row],[!Unique]])&gt;0,"rg:True","rg:None")</f>
        <v>rg:None</v>
      </c>
    </row>
    <row r="297" spans="1:25" x14ac:dyDescent="0.3">
      <c r="A297" s="3" t="s">
        <v>63</v>
      </c>
      <c r="B297" s="3" t="s">
        <v>7</v>
      </c>
      <c r="C297" s="3">
        <v>150</v>
      </c>
      <c r="D297" s="3" t="s">
        <v>15</v>
      </c>
      <c r="E297" s="62" t="s">
        <v>391</v>
      </c>
      <c r="F297" s="3" t="s">
        <v>5</v>
      </c>
      <c r="G297" s="4" t="s">
        <v>64</v>
      </c>
      <c r="H297" s="4"/>
      <c r="I297" s="5" t="str">
        <f t="shared" si="18"/>
        <v>Defs</v>
      </c>
      <c r="J297" t="str">
        <f>IF(Table2[[#This Row],[!Type]]=J$1, J$1,"rg:None")</f>
        <v>rg:None</v>
      </c>
      <c r="K297" t="str">
        <f>IF(Table2[[#This Row],[!Type]]=K$1, K$1,"rg:None")</f>
        <v>rg:None</v>
      </c>
      <c r="L297" t="str">
        <f>IF(Table2[[#This Row],[!Type]]=L$1, L$1,"rg:None")</f>
        <v>rg:None</v>
      </c>
      <c r="M297" t="str">
        <f>IF(Table2[[#This Row],[!Type]]=M$1, M$1,"rg:None")</f>
        <v>rg:None</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9">
        <f>IF(LEN(Table2[[#This Row],[!Length]]) &gt; 0, Table2[[#This Row],[!Length]], "rg:None")</f>
        <v>150</v>
      </c>
      <c r="U297" s="9" t="str">
        <f>IF(LEN(Table2[[#This Row],[!Name]]) &gt; 0, Table2[[#This Row],[!Name]], "rg:None")</f>
        <v>name</v>
      </c>
      <c r="V297" s="9" t="str">
        <f>IF(LEN(Table2[[#This Row],[!Description]]) &gt; 0, Table2[[#This Row],[!Description]], "rg:None")</f>
        <v>The name of the group, as refenced in the code.</v>
      </c>
      <c r="W297" s="9" t="str">
        <f>IF(LEN(Table2[[#This Row],[!FK]])&gt;0,Table2[[#This Row],[!FK]],"rg:None")</f>
        <v>rg:None</v>
      </c>
      <c r="X297" s="9" t="str">
        <f>IF(LEN(concatif2(A:A,Table2[[#This Row],[!Table]],G:G,"Y",D:D,",")) &gt; 0,"rg:[ { 'req' : '"&amp;concatif2(A:A,Table2[[#This Row],[!Table]],G:G,"Y",D:D,"' }, { 'req': '")&amp;"'} ]","rg:[]")</f>
        <v>rg:[ { 'req' : 'id' }, { 'req': 'name' }, { 'req': 'description'} ]</v>
      </c>
      <c r="Y297" s="9" t="str">
        <f>IF(LEN(Table2[[#This Row],[!Unique]])&gt;0,"rg:True","rg:None")</f>
        <v>rg:None</v>
      </c>
    </row>
    <row r="298" spans="1:25" ht="28.8" x14ac:dyDescent="0.3">
      <c r="A298" s="3" t="s">
        <v>63</v>
      </c>
      <c r="B298" s="3" t="s">
        <v>7</v>
      </c>
      <c r="C298" s="3">
        <v>2048</v>
      </c>
      <c r="D298" s="3" t="s">
        <v>14</v>
      </c>
      <c r="E298" s="62" t="s">
        <v>392</v>
      </c>
      <c r="F298" s="3" t="s">
        <v>5</v>
      </c>
      <c r="G298" s="4" t="s">
        <v>64</v>
      </c>
      <c r="H298" s="4"/>
      <c r="I298" s="5" t="str">
        <f t="shared" si="18"/>
        <v>Defs</v>
      </c>
      <c r="J298" t="str">
        <f>IF(Table2[[#This Row],[!Type]]=J$1, J$1,"rg:None")</f>
        <v>rg:None</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9">
        <f>IF(LEN(Table2[[#This Row],[!Length]]) &gt; 0, Table2[[#This Row],[!Length]], "rg:None")</f>
        <v>2048</v>
      </c>
      <c r="U298" s="9" t="str">
        <f>IF(LEN(Table2[[#This Row],[!Name]]) &gt; 0, Table2[[#This Row],[!Name]], "rg:None")</f>
        <v>description</v>
      </c>
      <c r="V298" s="9" t="str">
        <f>IF(LEN(Table2[[#This Row],[!Description]]) &gt; 0, Table2[[#This Row],[!Description]], "rg:None")</f>
        <v>A description of the group that is presented to the user when they are setting a user into a group.</v>
      </c>
      <c r="W298" s="9" t="str">
        <f>IF(LEN(Table2[[#This Row],[!FK]])&gt;0,Table2[[#This Row],[!FK]],"rg:None")</f>
        <v>rg:None</v>
      </c>
      <c r="X298" s="9" t="str">
        <f>IF(LEN(concatif2(A:A,Table2[[#This Row],[!Table]],G:G,"Y",D:D,",")) &gt; 0,"rg:[ { 'req' : '"&amp;concatif2(A:A,Table2[[#This Row],[!Table]],G:G,"Y",D:D,"' }, { 'req': '")&amp;"'} ]","rg:[]")</f>
        <v>rg:[ { 'req' : 'id' }, { 'req': 'name' }, { 'req': 'description'} ]</v>
      </c>
      <c r="Y298"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zoomScale="130" zoomScaleNormal="130" workbookViewId="0">
      <pane ySplit="1" topLeftCell="A2" activePane="bottomLeft" state="frozen"/>
      <selection pane="bottomLeft" activeCell="B6" sqref="B6"/>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4" t="s">
        <v>199</v>
      </c>
      <c r="C2" s="23" t="s">
        <v>201</v>
      </c>
      <c r="D2" s="58"/>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6" t="s">
        <v>79</v>
      </c>
      <c r="B3" s="56" t="s">
        <v>199</v>
      </c>
      <c r="C3" s="57" t="s">
        <v>201</v>
      </c>
      <c r="D3" s="58"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4" t="s">
        <v>77</v>
      </c>
      <c r="B4" s="34" t="s">
        <v>232</v>
      </c>
      <c r="C4" s="81" t="s">
        <v>203</v>
      </c>
      <c r="D4" s="58"/>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6" t="s">
        <v>79</v>
      </c>
      <c r="B5" s="56" t="s">
        <v>232</v>
      </c>
      <c r="C5" s="82" t="s">
        <v>203</v>
      </c>
      <c r="D5" s="58"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3" t="s">
        <v>77</v>
      </c>
      <c r="B6" s="83" t="s">
        <v>213</v>
      </c>
      <c r="C6" s="84" t="s">
        <v>204</v>
      </c>
      <c r="D6" s="85"/>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3" t="s">
        <v>79</v>
      </c>
      <c r="B7" s="83" t="s">
        <v>213</v>
      </c>
      <c r="C7" s="84" t="s">
        <v>204</v>
      </c>
      <c r="D7" s="85"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4" t="s">
        <v>77</v>
      </c>
      <c r="B8" s="36" t="s">
        <v>234</v>
      </c>
      <c r="C8" s="23" t="s">
        <v>206</v>
      </c>
      <c r="D8" s="58"/>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6" t="s">
        <v>79</v>
      </c>
      <c r="B9" s="56" t="s">
        <v>234</v>
      </c>
      <c r="C9" s="57" t="s">
        <v>206</v>
      </c>
      <c r="D9" s="58"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4" t="s">
        <v>230</v>
      </c>
      <c r="C10" s="3" t="s">
        <v>155</v>
      </c>
      <c r="D10" s="58"/>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6" t="s">
        <v>79</v>
      </c>
      <c r="B11" s="56" t="s">
        <v>230</v>
      </c>
      <c r="C11" s="57" t="s">
        <v>155</v>
      </c>
      <c r="D11" s="58"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4" t="s">
        <v>231</v>
      </c>
      <c r="C12" s="3" t="s">
        <v>138</v>
      </c>
      <c r="D12" s="58"/>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6" t="s">
        <v>79</v>
      </c>
      <c r="B13" s="56" t="s">
        <v>231</v>
      </c>
      <c r="C13" s="57" t="s">
        <v>138</v>
      </c>
      <c r="D13" s="58"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59"/>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6" t="s">
        <v>79</v>
      </c>
      <c r="B15" s="56" t="s">
        <v>97</v>
      </c>
      <c r="C15" s="57" t="s">
        <v>63</v>
      </c>
      <c r="D15" s="58"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0" t="s">
        <v>79</v>
      </c>
      <c r="B17" s="40" t="s">
        <v>98</v>
      </c>
      <c r="C17" s="41" t="s">
        <v>59</v>
      </c>
      <c r="D17" s="42"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0" t="s">
        <v>79</v>
      </c>
      <c r="B19" s="40" t="s">
        <v>99</v>
      </c>
      <c r="C19" s="41" t="s">
        <v>55</v>
      </c>
      <c r="D19" s="42"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0" t="s">
        <v>79</v>
      </c>
      <c r="B22" s="40" t="s">
        <v>100</v>
      </c>
      <c r="C22" s="41" t="s">
        <v>0</v>
      </c>
      <c r="D22" s="42"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59"/>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6" t="s">
        <v>79</v>
      </c>
      <c r="B26" s="56" t="s">
        <v>102</v>
      </c>
      <c r="C26" s="57" t="s">
        <v>30</v>
      </c>
      <c r="D26" s="58"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59"/>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6" t="s">
        <v>79</v>
      </c>
      <c r="B28" s="56" t="s">
        <v>103</v>
      </c>
      <c r="C28" s="57" t="s">
        <v>34</v>
      </c>
      <c r="D28" s="58"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59"/>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6" t="s">
        <v>79</v>
      </c>
      <c r="B30" s="56" t="s">
        <v>104</v>
      </c>
      <c r="C30" s="57" t="s">
        <v>10</v>
      </c>
      <c r="D30" s="58"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59"/>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6" t="s">
        <v>79</v>
      </c>
      <c r="B32" s="56" t="s">
        <v>105</v>
      </c>
      <c r="C32" s="57" t="s">
        <v>11</v>
      </c>
      <c r="D32" s="58"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4" t="s">
        <v>77</v>
      </c>
      <c r="B33" s="34" t="s">
        <v>233</v>
      </c>
      <c r="C33" s="35" t="s">
        <v>161</v>
      </c>
      <c r="D33" s="58"/>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6" t="s">
        <v>79</v>
      </c>
      <c r="B34" s="56" t="s">
        <v>233</v>
      </c>
      <c r="C34" s="57" t="s">
        <v>161</v>
      </c>
      <c r="D34" s="58"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4" t="s">
        <v>77</v>
      </c>
      <c r="B35" s="44" t="s">
        <v>197</v>
      </c>
      <c r="C35" s="19" t="s">
        <v>186</v>
      </c>
      <c r="D35" s="45"/>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4" t="s">
        <v>79</v>
      </c>
      <c r="B36" s="44" t="s">
        <v>197</v>
      </c>
      <c r="C36" s="19" t="s">
        <v>186</v>
      </c>
      <c r="D36" s="45"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4" t="s">
        <v>77</v>
      </c>
      <c r="B37" s="44" t="s">
        <v>241</v>
      </c>
      <c r="C37" s="46" t="s">
        <v>111</v>
      </c>
      <c r="D37" s="45"/>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4" t="s">
        <v>79</v>
      </c>
      <c r="B38" s="44" t="s">
        <v>241</v>
      </c>
      <c r="C38" s="46" t="s">
        <v>111</v>
      </c>
      <c r="D38" s="45"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4" t="s">
        <v>77</v>
      </c>
      <c r="B39" s="44" t="s">
        <v>176</v>
      </c>
      <c r="C39" s="46" t="s">
        <v>156</v>
      </c>
      <c r="D39" s="45"/>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4" t="s">
        <v>79</v>
      </c>
      <c r="B40" s="44" t="s">
        <v>176</v>
      </c>
      <c r="C40" s="46" t="s">
        <v>156</v>
      </c>
      <c r="D40" s="45"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4" t="s">
        <v>77</v>
      </c>
      <c r="B41" s="44" t="s">
        <v>242</v>
      </c>
      <c r="C41" s="46" t="s">
        <v>170</v>
      </c>
      <c r="D41" s="45"/>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4" t="s">
        <v>79</v>
      </c>
      <c r="B42" s="44" t="s">
        <v>242</v>
      </c>
      <c r="C42" s="46" t="s">
        <v>170</v>
      </c>
      <c r="D42" s="45"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4" t="s">
        <v>77</v>
      </c>
      <c r="B43" s="44" t="s">
        <v>243</v>
      </c>
      <c r="C43" s="46" t="s">
        <v>187</v>
      </c>
      <c r="D43" s="45"/>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4" t="s">
        <v>79</v>
      </c>
      <c r="B44" s="44" t="s">
        <v>243</v>
      </c>
      <c r="C44" s="46" t="s">
        <v>187</v>
      </c>
      <c r="D44" s="45"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4" t="s">
        <v>77</v>
      </c>
      <c r="B45" s="44" t="s">
        <v>244</v>
      </c>
      <c r="C45" s="46" t="s">
        <v>188</v>
      </c>
      <c r="D45" s="45"/>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4" t="s">
        <v>79</v>
      </c>
      <c r="B46" s="44" t="s">
        <v>244</v>
      </c>
      <c r="C46" s="46" t="s">
        <v>188</v>
      </c>
      <c r="D46" s="45"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2017-02-15T01:09:44Z</dcterms:modified>
</cp:coreProperties>
</file>