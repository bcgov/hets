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defs.csv!$A$1:$Y$302</definedName>
    <definedName name="_xlnm._FilterDatabase" localSheetId="1" hidden="1">paths.csv!$A$1:$F$46</definedName>
  </definedNames>
  <calcPr calcId="171027"/>
</workbook>
</file>

<file path=xl/calcChain.xml><?xml version="1.0" encoding="utf-8"?>
<calcChain xmlns="http://schemas.openxmlformats.org/spreadsheetml/2006/main">
  <c r="I153" i="27" l="1"/>
  <c r="J153" i="27"/>
  <c r="K153" i="27"/>
  <c r="L153" i="27"/>
  <c r="M153" i="27"/>
  <c r="N153" i="27"/>
  <c r="O153" i="27"/>
  <c r="P153" i="27"/>
  <c r="Q153" i="27"/>
  <c r="R153" i="27"/>
  <c r="S153" i="27"/>
  <c r="T153" i="27"/>
  <c r="U153" i="27"/>
  <c r="V153" i="27"/>
  <c r="W153" i="27"/>
  <c r="Y153" i="27"/>
  <c r="I254" i="27"/>
  <c r="J254" i="27"/>
  <c r="K254" i="27"/>
  <c r="L254" i="27"/>
  <c r="M254" i="27"/>
  <c r="N254" i="27"/>
  <c r="O254" i="27"/>
  <c r="P254" i="27"/>
  <c r="Q254" i="27"/>
  <c r="R254" i="27"/>
  <c r="S254" i="27"/>
  <c r="T254" i="27"/>
  <c r="U254" i="27"/>
  <c r="V254" i="27"/>
  <c r="W254" i="27"/>
  <c r="Y254" i="27"/>
  <c r="Y258" i="27"/>
  <c r="W258" i="27"/>
  <c r="V258" i="27"/>
  <c r="U258" i="27"/>
  <c r="T258" i="27"/>
  <c r="S258" i="27"/>
  <c r="R258" i="27"/>
  <c r="Q258" i="27"/>
  <c r="P258" i="27"/>
  <c r="O258" i="27"/>
  <c r="N258" i="27"/>
  <c r="M258" i="27"/>
  <c r="L258" i="27"/>
  <c r="K258" i="27"/>
  <c r="J258" i="27"/>
  <c r="I258" i="27"/>
  <c r="Y257" i="27"/>
  <c r="W257" i="27"/>
  <c r="V257" i="27"/>
  <c r="U257" i="27"/>
  <c r="T257" i="27"/>
  <c r="S257" i="27"/>
  <c r="R257" i="27"/>
  <c r="Q257" i="27"/>
  <c r="P257" i="27"/>
  <c r="O257" i="27"/>
  <c r="N257" i="27"/>
  <c r="M257" i="27"/>
  <c r="L257" i="27"/>
  <c r="K257" i="27"/>
  <c r="J257" i="27"/>
  <c r="I257" i="27"/>
  <c r="I247" i="27"/>
  <c r="J247" i="27"/>
  <c r="K247" i="27"/>
  <c r="L247" i="27"/>
  <c r="M247" i="27"/>
  <c r="N247" i="27"/>
  <c r="O247" i="27"/>
  <c r="P247" i="27"/>
  <c r="Q247" i="27"/>
  <c r="R247" i="27"/>
  <c r="S247" i="27"/>
  <c r="T247" i="27"/>
  <c r="U247" i="27"/>
  <c r="V247" i="27"/>
  <c r="W247" i="27"/>
  <c r="Y247" i="27"/>
  <c r="I240" i="27"/>
  <c r="J240" i="27"/>
  <c r="K240" i="27"/>
  <c r="L240" i="27"/>
  <c r="M240" i="27"/>
  <c r="N240" i="27"/>
  <c r="O240" i="27"/>
  <c r="P240" i="27"/>
  <c r="Q240" i="27"/>
  <c r="R240" i="27"/>
  <c r="S240" i="27"/>
  <c r="T240" i="27"/>
  <c r="U240" i="27"/>
  <c r="V240" i="27"/>
  <c r="W240" i="27"/>
  <c r="Y240" i="27"/>
  <c r="I232" i="27"/>
  <c r="J232" i="27"/>
  <c r="K232" i="27"/>
  <c r="L232" i="27"/>
  <c r="M232" i="27"/>
  <c r="N232" i="27"/>
  <c r="O232" i="27"/>
  <c r="P232" i="27"/>
  <c r="Q232" i="27"/>
  <c r="R232" i="27"/>
  <c r="S232" i="27"/>
  <c r="T232" i="27"/>
  <c r="U232" i="27"/>
  <c r="V232" i="27"/>
  <c r="W232" i="27"/>
  <c r="Y232"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254" i="27"/>
  <c r="X258" i="27"/>
  <c r="X257" i="27"/>
  <c r="X247" i="27"/>
  <c r="X240" i="27"/>
  <c r="X232" i="27"/>
  <c r="X167" i="27"/>
  <c r="X82" i="27"/>
  <c r="X31" i="27"/>
  <c r="X67" i="27"/>
  <c r="X68"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7"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52" i="27"/>
  <c r="Y253" i="27"/>
  <c r="Y255" i="27"/>
  <c r="Y256" i="27"/>
  <c r="Y219" i="27"/>
  <c r="Y220" i="27"/>
  <c r="Y221" i="27"/>
  <c r="Y222" i="27"/>
  <c r="Y223" i="27"/>
  <c r="Y224" i="27"/>
  <c r="Y225" i="27"/>
  <c r="Y226" i="27"/>
  <c r="Y227" i="27"/>
  <c r="Y228" i="27"/>
  <c r="Y229" i="27"/>
  <c r="Y230" i="27"/>
  <c r="Y231" i="27"/>
  <c r="Y233" i="27"/>
  <c r="Y234" i="27"/>
  <c r="Y235" i="27"/>
  <c r="Y236" i="27"/>
  <c r="Y237" i="27"/>
  <c r="Y238" i="27"/>
  <c r="Y239" i="27"/>
  <c r="Y241" i="27"/>
  <c r="Y242" i="27"/>
  <c r="Y243" i="27"/>
  <c r="Y244" i="27"/>
  <c r="Y245" i="27"/>
  <c r="Y246" i="27"/>
  <c r="Y248" i="27"/>
  <c r="Y249" i="27"/>
  <c r="Y250" i="27"/>
  <c r="Y251"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V187" i="27"/>
  <c r="I187" i="27"/>
  <c r="J187" i="27"/>
  <c r="K187" i="27"/>
  <c r="L187" i="27"/>
  <c r="M187" i="27"/>
  <c r="N187" i="27"/>
  <c r="O187" i="27"/>
  <c r="P187" i="27"/>
  <c r="Q187" i="27"/>
  <c r="R187" i="27"/>
  <c r="S187" i="27"/>
  <c r="T187" i="27"/>
  <c r="U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V211" i="27"/>
  <c r="I211" i="27"/>
  <c r="J211" i="27"/>
  <c r="K211" i="27"/>
  <c r="L211" i="27"/>
  <c r="M211" i="27"/>
  <c r="N211" i="27"/>
  <c r="O211" i="27"/>
  <c r="P211" i="27"/>
  <c r="Q211" i="27"/>
  <c r="R211" i="27"/>
  <c r="S211" i="27"/>
  <c r="T211" i="27"/>
  <c r="U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19" i="27"/>
  <c r="J219" i="27"/>
  <c r="K219" i="27"/>
  <c r="L219" i="27"/>
  <c r="M219" i="27"/>
  <c r="N219" i="27"/>
  <c r="O219" i="27"/>
  <c r="P219" i="27"/>
  <c r="Q219" i="27"/>
  <c r="R219" i="27"/>
  <c r="S219" i="27"/>
  <c r="T219" i="27"/>
  <c r="U219" i="27"/>
  <c r="V219" i="27"/>
  <c r="W219" i="27"/>
  <c r="V220" i="27"/>
  <c r="I220" i="27"/>
  <c r="J220" i="27"/>
  <c r="K220" i="27"/>
  <c r="L220" i="27"/>
  <c r="M220" i="27"/>
  <c r="N220" i="27"/>
  <c r="O220" i="27"/>
  <c r="P220" i="27"/>
  <c r="Q220" i="27"/>
  <c r="R220" i="27"/>
  <c r="S220" i="27"/>
  <c r="T220" i="27"/>
  <c r="U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V230" i="27"/>
  <c r="I230" i="27"/>
  <c r="J230" i="27"/>
  <c r="K230" i="27"/>
  <c r="L230" i="27"/>
  <c r="M230" i="27"/>
  <c r="N230" i="27"/>
  <c r="O230" i="27"/>
  <c r="P230" i="27"/>
  <c r="Q230" i="27"/>
  <c r="R230" i="27"/>
  <c r="S230" i="27"/>
  <c r="T230" i="27"/>
  <c r="U230" i="27"/>
  <c r="W230" i="27"/>
  <c r="I231" i="27"/>
  <c r="J231" i="27"/>
  <c r="K231" i="27"/>
  <c r="L231" i="27"/>
  <c r="M231" i="27"/>
  <c r="N231" i="27"/>
  <c r="O231" i="27"/>
  <c r="P231" i="27"/>
  <c r="Q231" i="27"/>
  <c r="R231" i="27"/>
  <c r="S231" i="27"/>
  <c r="T231" i="27"/>
  <c r="U231" i="27"/>
  <c r="V231" i="27"/>
  <c r="W231"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9" i="27"/>
  <c r="J259" i="27"/>
  <c r="K259" i="27"/>
  <c r="L259" i="27"/>
  <c r="M259" i="27"/>
  <c r="N259" i="27"/>
  <c r="O259" i="27"/>
  <c r="P259" i="27"/>
  <c r="Q259" i="27"/>
  <c r="R259" i="27"/>
  <c r="S259" i="27"/>
  <c r="T259" i="27"/>
  <c r="U259" i="27"/>
  <c r="V259" i="27"/>
  <c r="W259" i="27"/>
  <c r="V260" i="27"/>
  <c r="I260" i="27"/>
  <c r="J260" i="27"/>
  <c r="K260" i="27"/>
  <c r="L260" i="27"/>
  <c r="M260" i="27"/>
  <c r="N260" i="27"/>
  <c r="O260" i="27"/>
  <c r="P260" i="27"/>
  <c r="Q260" i="27"/>
  <c r="R260" i="27"/>
  <c r="S260" i="27"/>
  <c r="T260" i="27"/>
  <c r="U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V275" i="27"/>
  <c r="I275" i="27"/>
  <c r="J275" i="27"/>
  <c r="K275" i="27"/>
  <c r="L275" i="27"/>
  <c r="M275" i="27"/>
  <c r="N275" i="27"/>
  <c r="O275" i="27"/>
  <c r="P275" i="27"/>
  <c r="Q275" i="27"/>
  <c r="R275" i="27"/>
  <c r="S275" i="27"/>
  <c r="T275" i="27"/>
  <c r="U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V290" i="27"/>
  <c r="I290" i="27"/>
  <c r="J290" i="27"/>
  <c r="K290" i="27"/>
  <c r="L290" i="27"/>
  <c r="M290" i="27"/>
  <c r="N290" i="27"/>
  <c r="O290" i="27"/>
  <c r="P290" i="27"/>
  <c r="Q290" i="27"/>
  <c r="R290" i="27"/>
  <c r="S290" i="27"/>
  <c r="T290" i="27"/>
  <c r="U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X2" i="27"/>
  <c r="X278" i="27"/>
  <c r="X131" i="27"/>
  <c r="X108" i="27"/>
  <c r="X228" i="27"/>
  <c r="X259" i="27"/>
  <c r="X57" i="27"/>
  <c r="X109" i="27"/>
  <c r="X178" i="27"/>
  <c r="X235" i="27"/>
  <c r="X265" i="27"/>
  <c r="X60" i="27"/>
  <c r="X143" i="27"/>
  <c r="X53" i="27"/>
  <c r="X230" i="27"/>
  <c r="X195" i="27"/>
  <c r="X295" i="27"/>
  <c r="X201" i="27"/>
  <c r="X7" i="27"/>
  <c r="X23" i="27"/>
  <c r="X33" i="27"/>
  <c r="X46" i="27"/>
  <c r="X61" i="27"/>
  <c r="X70" i="27"/>
  <c r="X98" i="27"/>
  <c r="X114" i="27"/>
  <c r="X130" i="27"/>
  <c r="X146" i="27"/>
  <c r="X162" i="27"/>
  <c r="X172" i="27"/>
  <c r="X188" i="27"/>
  <c r="X204" i="27"/>
  <c r="X231" i="27"/>
  <c r="X288" i="27"/>
  <c r="X242" i="27"/>
  <c r="X302" i="27"/>
  <c r="X262" i="27"/>
  <c r="X12" i="27"/>
  <c r="X38" i="27"/>
  <c r="X51" i="27"/>
  <c r="X75" i="27"/>
  <c r="X88" i="27"/>
  <c r="X103" i="27"/>
  <c r="X119" i="27"/>
  <c r="X135" i="27"/>
  <c r="X4" i="27"/>
  <c r="X25" i="27"/>
  <c r="X35" i="27"/>
  <c r="X63" i="27"/>
  <c r="X85" i="27"/>
  <c r="X116" i="27"/>
  <c r="X145" i="27"/>
  <c r="X182" i="27"/>
  <c r="X203" i="27"/>
  <c r="X261" i="27"/>
  <c r="X227" i="27"/>
  <c r="X297" i="27"/>
  <c r="X276" i="27"/>
  <c r="X26" i="27"/>
  <c r="X36" i="27"/>
  <c r="X65" i="27"/>
  <c r="X86" i="27"/>
  <c r="X117" i="27"/>
  <c r="X147" i="27"/>
  <c r="X183" i="27"/>
  <c r="X205" i="27"/>
  <c r="X264" i="27"/>
  <c r="X229" i="27"/>
  <c r="X214" i="27"/>
  <c r="X279" i="27"/>
  <c r="X39" i="27"/>
  <c r="X89" i="27"/>
  <c r="X120" i="27"/>
  <c r="X148" i="27"/>
  <c r="X190" i="27"/>
  <c r="X222" i="27"/>
  <c r="X77" i="27"/>
  <c r="X202" i="27"/>
  <c r="X224" i="27"/>
  <c r="X271" i="27"/>
  <c r="X83" i="27"/>
  <c r="X164" i="27"/>
  <c r="X206" i="27"/>
  <c r="X236" i="27"/>
  <c r="X282" i="27"/>
  <c r="X166" i="27"/>
  <c r="X207" i="27"/>
  <c r="X238" i="27"/>
  <c r="X292" i="27"/>
  <c r="X154" i="27"/>
  <c r="X237" i="27"/>
  <c r="X28" i="27"/>
  <c r="X184" i="27"/>
  <c r="X233" i="27"/>
  <c r="X300" i="27"/>
  <c r="X34" i="27"/>
  <c r="X71" i="27"/>
  <c r="X115" i="27"/>
  <c r="X11" i="27"/>
  <c r="X27" i="27"/>
  <c r="X37" i="27"/>
  <c r="X50" i="27"/>
  <c r="X64" i="27"/>
  <c r="X74" i="27"/>
  <c r="X87" i="27"/>
  <c r="X102" i="27"/>
  <c r="X118" i="27"/>
  <c r="X134" i="27"/>
  <c r="X150" i="27"/>
  <c r="X176" i="27"/>
  <c r="X192" i="27"/>
  <c r="X208" i="27"/>
  <c r="X249" i="27"/>
  <c r="X298" i="27"/>
  <c r="X260" i="27"/>
  <c r="X252" i="27"/>
  <c r="X274" i="27"/>
  <c r="X16" i="27"/>
  <c r="X55" i="27"/>
  <c r="X79" i="27"/>
  <c r="X91" i="27"/>
  <c r="X107" i="27"/>
  <c r="X123" i="27"/>
  <c r="X139" i="27"/>
  <c r="X9" i="27"/>
  <c r="X40" i="27"/>
  <c r="X92" i="27"/>
  <c r="X124" i="27"/>
  <c r="X151" i="27"/>
  <c r="X187" i="27"/>
  <c r="X209" i="27"/>
  <c r="X272" i="27"/>
  <c r="X239" i="27"/>
  <c r="X255" i="27"/>
  <c r="X296" i="27"/>
  <c r="X41" i="27"/>
  <c r="X93" i="27"/>
  <c r="X125" i="27"/>
  <c r="X152" i="27"/>
  <c r="X189" i="27"/>
  <c r="X210" i="27"/>
  <c r="X275" i="27"/>
  <c r="X245" i="27"/>
  <c r="X256" i="27"/>
  <c r="X299" i="27"/>
  <c r="X44" i="27"/>
  <c r="X66" i="27"/>
  <c r="X96" i="27"/>
  <c r="X128" i="27"/>
  <c r="X45" i="27"/>
  <c r="X211" i="27"/>
  <c r="X14" i="27"/>
  <c r="X105" i="27"/>
  <c r="X170" i="27"/>
  <c r="X213" i="27"/>
  <c r="X250" i="27"/>
  <c r="X22" i="27"/>
  <c r="X113" i="27"/>
  <c r="X174" i="27"/>
  <c r="X223" i="27"/>
  <c r="X273" i="27"/>
  <c r="X121" i="27"/>
  <c r="X175" i="27"/>
  <c r="X225" i="27"/>
  <c r="X280" i="27"/>
  <c r="X218" i="27"/>
  <c r="X58" i="27"/>
  <c r="X110" i="27"/>
  <c r="X142" i="27"/>
  <c r="X168" i="27"/>
  <c r="X221" i="27"/>
  <c r="X244" i="27"/>
  <c r="X62" i="27"/>
  <c r="X99" i="27"/>
  <c r="X17" i="27"/>
  <c r="X161" i="27"/>
  <c r="X177" i="27"/>
  <c r="X301" i="27"/>
  <c r="X18" i="27"/>
  <c r="X163" i="27"/>
  <c r="X215" i="27"/>
  <c r="X30" i="27"/>
  <c r="X81" i="27"/>
  <c r="X169" i="27"/>
  <c r="X156" i="27"/>
  <c r="X283" i="27"/>
  <c r="X159" i="27"/>
  <c r="X248" i="27"/>
  <c r="X197" i="27"/>
  <c r="X97" i="27"/>
  <c r="X15" i="27"/>
  <c r="X54" i="27"/>
  <c r="X78" i="27"/>
  <c r="X90" i="27"/>
  <c r="X106" i="27"/>
  <c r="X122" i="27"/>
  <c r="X138" i="27"/>
  <c r="X155" i="27"/>
  <c r="X165" i="27"/>
  <c r="X180" i="27"/>
  <c r="X196" i="27"/>
  <c r="X212" i="27"/>
  <c r="X269" i="27"/>
  <c r="X220" i="27"/>
  <c r="X277" i="27"/>
  <c r="X226" i="27"/>
  <c r="X285" i="27"/>
  <c r="X20" i="27"/>
  <c r="X29" i="27"/>
  <c r="X43" i="27"/>
  <c r="X59" i="27"/>
  <c r="X80" i="27"/>
  <c r="X95" i="27"/>
  <c r="X111" i="27"/>
  <c r="X127" i="27"/>
  <c r="X3" i="27"/>
  <c r="X5" i="27"/>
  <c r="X48" i="27"/>
  <c r="X72" i="27"/>
  <c r="X100" i="27"/>
  <c r="X132" i="27"/>
  <c r="X171" i="27"/>
  <c r="X193" i="27"/>
  <c r="X253" i="27"/>
  <c r="X286" i="27"/>
  <c r="X263" i="27"/>
  <c r="X234" i="27"/>
  <c r="X10" i="27"/>
  <c r="X49" i="27"/>
  <c r="X73" i="27"/>
  <c r="X101" i="27"/>
  <c r="X133" i="27"/>
  <c r="X157" i="27"/>
  <c r="X173" i="27"/>
  <c r="X194" i="27"/>
  <c r="X219" i="27"/>
  <c r="X291" i="27"/>
  <c r="X266" i="27"/>
  <c r="X241" i="27"/>
  <c r="X13" i="27"/>
  <c r="X52" i="27"/>
  <c r="X76" i="27"/>
  <c r="X104" i="27"/>
  <c r="X136" i="27"/>
  <c r="X129" i="27"/>
  <c r="X281" i="27"/>
  <c r="X137" i="27"/>
  <c r="X181" i="27"/>
  <c r="X243" i="27"/>
  <c r="X293" i="27"/>
  <c r="X32" i="27"/>
  <c r="X144" i="27"/>
  <c r="X185" i="27"/>
  <c r="X267" i="27"/>
  <c r="X216" i="27"/>
  <c r="X149" i="27"/>
  <c r="X186" i="27"/>
  <c r="X270" i="27"/>
  <c r="X217" i="27"/>
  <c r="X69" i="27"/>
  <c r="X179" i="27"/>
  <c r="X290" i="27"/>
  <c r="X19" i="27"/>
  <c r="X42" i="27"/>
  <c r="X94" i="27"/>
  <c r="X126" i="27"/>
  <c r="X158" i="27"/>
  <c r="X200" i="27"/>
  <c r="X289" i="27"/>
  <c r="X24" i="27"/>
  <c r="X47" i="27"/>
  <c r="X84" i="27"/>
  <c r="X8" i="27"/>
  <c r="X56" i="27"/>
  <c r="X140" i="27"/>
  <c r="X198" i="27"/>
  <c r="X284" i="27"/>
  <c r="X141" i="27"/>
  <c r="X199" i="27"/>
  <c r="X287" i="27"/>
  <c r="X21" i="27"/>
  <c r="X112" i="27"/>
  <c r="X246" i="27"/>
  <c r="X191" i="27"/>
  <c r="X294" i="27"/>
  <c r="X160" i="27"/>
  <c r="X251" i="27"/>
  <c r="X268"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<sst xmlns="http://schemas.openxmlformats.org/spreadsheetml/2006/main" count="1710" uniqueCount="499">
  <si>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</si>
  <si>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</si>
  <si>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</si>
  <si>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</si>
  <si>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</si>
  <si>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</si>
  <si>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</si>
  <si>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</si>
  <si>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</si>
  <si>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</si>
  <si>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</si>
  <si>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</si>
  <si>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</si>
  <si>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</si>
  <si>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</si>
  <si>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</si>
  <si>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</si>
  <si>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</si>
  <si>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</si>
  <si>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</si>
  <si>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</si>
  <si>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</si>
  <si>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</si>
  <si>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</si>
  <si>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</si>
  <si>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</si>
  <si>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</si>
  <si>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</si>
  <si>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</si>
  <si>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</si>
  <si>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</si>
  <si>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</si>
  <si>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</si>
  <si>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</si>
  <si>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</si>
  <si>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</si>
  <si>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</si>
  <si>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</si>
  <si>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</si>
  <si>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</si>
  <si>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</si>
  <si>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</si>
  <si>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</si>
  <si>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</si>
  <si>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</si>
  <si>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</si>
  <si>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</si>
  <si>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</si>
  <si>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</si>
  <si>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</si>
  <si>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</si>
  <si>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</si>
  <si>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</si>
  <si>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</si>
  <si>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</si>
  <si>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</si>
  <si>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</si>
  <si>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</si>
  <si>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</si>
  <si>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</si>
  <si>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</si>
  <si>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</si>
  <si>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</si>
  <si>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</si>
  <si>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</si>
  <si>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</si>
  <si>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</si>
  <si>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</si>
  <si>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</si>
  <si>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</si>
  <si>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</si>
  <si>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</si>
  <si>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</si>
  <si>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</si>
  <si>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</si>
  <si>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</si>
  <si>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</si>
  <si>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</si>
  <si>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</si>
  <si>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</si>
  <si>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</si>
  <si>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</si>
  <si>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</si>
  <si>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</si>
  <si>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</si>
  <si>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</si>
  <si>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</si>
  <si>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</si>
  <si>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</si>
  <si>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</si>
  <si>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</si>
  <si>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</si>
  <si>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</si>
  <si>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</si>
  <si>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</si>
  <si>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</si>
  <si>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</si>
  <si>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</si>
  <si>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</si>
  <si>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</si>
  <si>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</si>
  <si>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</si>
  <si>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</si>
  <si>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</si>
  <si>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</si>
  <si>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</si>
  <si>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</si>
  <si>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</si>
  <si>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</si>
  <si>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</si>
  <si>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</si>
  <si>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</si>
  <si>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</si>
  <si>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</si>
  <si>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</si>
  <si>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</si>
  <si>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</si>
  <si>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</si>
  <si>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</si>
  <si>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</si>
  <si>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</si>
  <si>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</si>
  <si>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</si>
  <si>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</si>
  <si>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</si>
  <si>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</si>
  <si>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</si>
  <si>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</si>
  <si>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</si>
  <si>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</si>
  <si>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</si>
  <si>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</si>
  <si>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</si>
  <si>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comment</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</si>
  <si>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</si>
  <si>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</si>
  <si>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</si>
  <si>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</si>
  <si>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</si>
  <si>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</si>
  <si>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</si>
  <si>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</si>
  <si>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</si>
  <si>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</si>
  <si>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</si>
  <si>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</si>
  <si>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</si>
  <si>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</si>
  <si>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</si>
  <si>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</si>
  <si>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</si>
  <si>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</si>
  <si>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</si>
  <si>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</si>
  <si>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</si>
  <si>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</si>
  <si>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</si>
  <si>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WCBNum</t>
  </si>
  <si>
    <t>CGLCompany</t>
  </si>
  <si>
    <t>CGLPolicy</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</si>
  <si>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</si>
  <si>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</si>
  <si>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</si>
  <si>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</si>
  <si>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</si>
  <si>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</si>
  <si>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</si>
  <si>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</si>
  <si>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</si>
  <si>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</si>
  <si>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</si>
  <si>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</si>
  <si>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</si>
  <si>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</si>
  <si>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</si>
  <si>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</si>
  <si>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</si>
  <si>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</si>
  <si>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</si>
  <si>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</si>
  <si>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</si>
  <si>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</si>
  <si>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</si>
  <si>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</si>
  <si>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</si>
  <si>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</si>
  <si>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</si>
  <si>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</si>
  <si>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</si>
  <si>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</si>
  <si>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</si>
  <si>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</si>
  <si>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</si>
  <si>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</si>
  <si>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</si>
  <si>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</si>
  <si>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</si>
  <si>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</si>
  <si>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</si>
  <si>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CGLStartDate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</si>
  <si>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</si>
  <si>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</si>
  <si>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</si>
  <si>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</si>
  <si>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</si>
  <si>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</si>
  <si>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</si>
  <si>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</si>
  <si>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</si>
  <si>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</si>
  <si>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</si>
  <si>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</si>
  <si>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</si>
  <si>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</si>
  <si>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</si>
  <si>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</si>
  <si>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</si>
  <si>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</si>
  <si>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</si>
  <si>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</si>
  <si>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</si>
  <si>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</si>
  <si>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</si>
  <si>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</si>
  <si>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</si>
  <si>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</si>
  <si>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</si>
  <si>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</si>
  <si>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blocks</t>
  </si>
  <si>
    <t>hireOffers</t>
  </si>
  <si>
    <t>HireOffer</t>
  </si>
  <si>
    <t>request</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</si>
  <si>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</si>
  <si>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</si>
  <si>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</si>
  <si>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</si>
  <si>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</si>
  <si>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</si>
  <si>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</si>
  <si>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</si>
  <si>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</si>
  <si>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</si>
  <si>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</si>
  <si>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</si>
  <si>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</si>
  <si>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</si>
  <si>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</si>
  <si>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</si>
  <si>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</si>
  <si>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</si>
  <si>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</si>
  <si>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</si>
  <si>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</si>
  <si>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</si>
  <si>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</si>
  <si>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</si>
  <si>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</si>
  <si>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</si>
  <si>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</si>
  <si>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TO BE VERIFIED - The Provincial charge code for the equipment hiring related to this project. This will be the same across multiple service areas that provide equipment for the same Project.</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</si>
  <si>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</si>
  <si>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</si>
  <si>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</si>
  <si>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</si>
  <si>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</si>
  <si>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</si>
  <si>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</si>
  <si>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</si>
  <si>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</si>
  <si>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</si>
  <si>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</si>
  <si>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</si>
  <si>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</si>
  <si>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</si>
  <si>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</si>
  <si>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</si>
  <si>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</si>
  <si>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</si>
  <si>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</si>
  <si>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</si>
  <si>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</si>
  <si>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</si>
  <si>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</si>
  <si>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</si>
  <si>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</si>
  <si>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TO BE REVIEWED - WHAT IS THIS?</t>
  </si>
  <si>
    <t>The number of years of active service of this piece of equipment at the time seniority is calculated - April 1 of the current FY.</t>
  </si>
  <si>
    <t>TO BE REVIEWED - IS THIS NEEDED?</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</si>
  <si>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</si>
  <si>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</si>
  <si>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WHAT IS THIS?</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</si>
  <si>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</si>
  <si>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</si>
  <si>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</si>
  <si>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</si>
  <si>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</si>
  <si>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</si>
  <si>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</si>
  <si>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</si>
  <si>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</si>
  <si>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 reason code indicating why a piece of equipment has been archived.</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</si>
  <si>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</si>
  <si>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</si>
  <si>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</si>
  <si>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</si>
  <si>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</si>
  <si>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</si>
  <si>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</si>
  <si>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</si>
  <si>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</si>
  <si>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</si>
  <si>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</si>
  <si>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</si>
  <si>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</si>
  <si>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</si>
  <si>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</si>
  <si>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</si>
  <si>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</si>
  <si>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</si>
  <si>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</si>
  <si>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</si>
  <si>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</si>
  <si>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</si>
  <si>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</si>
  <si>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</si>
  <si>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</si>
  <si>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</si>
  <si>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</si>
  <si>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</si>
  <si>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</si>
  <si>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</si>
  <si>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</si>
  <si>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</si>
  <si>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</si>
  <si>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</si>
  <si>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</si>
  <si>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</si>
  <si>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</si>
  <si>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</si>
  <si>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</si>
  <si>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</si>
  <si>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</si>
  <si>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TO BE REMOVED - likely not needed. Will talk to business.</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</si>
  <si>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</si>
  <si>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</si>
  <si>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</si>
  <si>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</si>
  <si>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</si>
  <si>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</si>
  <si>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</si>
  <si>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</si>
  <si>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</si>
  <si>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</si>
  <si>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CHECK WITH BUSINESS - IS THIS NEEDED</t>
  </si>
  <si>
    <t>The number of blocks defined for this equipment type. Currently, either 2 for Dump Truck equipment and 1 for non-Dump Truck equipment. Unlikely to change, particularly without a significant impact on code.</t>
  </si>
  <si>
    <t>CHECK WITH BUSINESS - IS THIS NEEDED - A unique but human-friendly code for the Equipment Attachment Type that can be displayed on screens with little screen real estate available.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</si>
  <si>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</si>
  <si>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</si>
  <si>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</si>
  <si>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</si>
  <si>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</si>
  <si>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ownerCodePrefix</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</si>
  <si>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</si>
  <si>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</si>
  <si>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</si>
  <si>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TO BE REMOVED - replaced with Notes</t>
  </si>
  <si>
    <t>TO BE REMOVED - not maintained by HETS Clerks</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</si>
  <si>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</si>
  <si>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</si>
  <si>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</si>
  <si>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coded reason for why an owner record has been moved to Archived.</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</si>
  <si>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</si>
  <si>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</si>
  <si>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</si>
  <si>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</si>
  <si>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</si>
  <si>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</si>
  <si>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</si>
  <si>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</si>
  <si>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</si>
  <si>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</si>
  <si>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</si>
  <si>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</si>
  <si>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</si>
  <si>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</si>
  <si>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</si>
  <si>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</si>
  <si>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</si>
  <si>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</si>
  <si>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</si>
  <si>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</si>
  <si>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</si>
  <si>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</si>
  <si>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</si>
  <si>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</si>
  <si>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</si>
  <si>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</si>
  <si>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</si>
  <si>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</si>
  <si>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</si>
  <si>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</si>
  <si>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</si>
  <si>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</si>
  <si>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</si>
  <si>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</si>
  <si>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</si>
  <si>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</si>
  <si>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</si>
  <si>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</si>
  <si>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</si>
  <si>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</si>
  <si>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</si>
  <si>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</si>
  <si>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</si>
  <si>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</si>
  <si>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</si>
  <si>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</si>
  <si>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</si>
  <si>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</si>
  <si>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</si>
  <si>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</si>
  <si>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</si>
  <si>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</si>
  <si>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</si>
  <si>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</si>
  <si>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</si>
  <si>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</si>
  <si>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</si>
  <si>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</si>
  <si>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</si>
  <si>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</si>
  <si>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</si>
  <si>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</si>
  <si>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</si>
  <si>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</si>
  <si>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</si>
  <si>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</si>
  <si>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</si>
  <si>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</si>
  <si>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</si>
  <si>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</si>
  <si>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</si>
  <si>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</si>
  <si>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</si>
  <si>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</si>
  <si>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</si>
  <si>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</si>
  <si>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</si>
  <si>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</si>
  <si>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</si>
  <si>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</si>
  <si>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</si>
  <si>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</si>
  <si>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</si>
  <si>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</si>
  <si>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</si>
  <si>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</si>
  <si>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</si>
  <si>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</si>
  <si>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rotationListOrder</t>
  </si>
  <si>
    <t>The order of the piece of equipment on the rotaton list at the time the request was created.</t>
  </si>
  <si>
    <t>RequestRotationList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</si>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</sst>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6" fillId="0" borderId="0"/>
  </cellStyleXfs>
  <cellXfs count="93">
    <xf numFmtId="0" fontId="0" fillId="0" borderId="0" xfId="0"/>
    <xf numFmtId="0" fontId="30" fillId="0" borderId="0" xfId="719" applyFont="1" applyAlignment="1">
      <alignment vertical="top"/>
    </xf>
    <xf numFmtId="0" fontId="30" fillId="0" borderId="0" xfId="719" applyFont="1" applyAlignment="1">
      <alignment vertical="top" wrapText="1"/>
    </xf>
    <xf numFmtId="0" fontId="26" fillId="0" borderId="0" xfId="719"/>
    <xf numFmtId="0" fontId="26" fillId="0" borderId="0" xfId="719" applyNumberFormat="1" applyAlignment="1">
      <alignment vertical="top"/>
    </xf>
    <xf numFmtId="0" fontId="26" fillId="0" borderId="0" xfId="719" applyAlignment="1">
      <alignment vertical="top"/>
    </xf>
    <xf numFmtId="0" fontId="26" fillId="0" borderId="0" xfId="719" applyAlignment="1">
      <alignment vertical="top" wrapText="1"/>
    </xf>
    <xf numFmtId="0" fontId="29" fillId="0" borderId="0" xfId="0" applyFont="1"/>
    <xf numFmtId="0" fontId="25" fillId="0" borderId="0" xfId="719" applyFont="1"/>
    <xf numFmtId="0" fontId="0" fillId="0" borderId="0" xfId="0" applyAlignment="1">
      <alignment vertical="top"/>
    </xf>
    <xf numFmtId="0" fontId="30" fillId="0" borderId="0" xfId="0" applyFont="1" applyAlignment="1">
      <alignment vertical="top"/>
    </xf>
    <xf numFmtId="0" fontId="24" fillId="0" borderId="0" xfId="719" applyFont="1"/>
    <xf numFmtId="0" fontId="24" fillId="0" borderId="0" xfId="719" applyFont="1" applyAlignment="1">
      <alignment vertical="top"/>
    </xf>
    <xf numFmtId="0" fontId="26" fillId="0" borderId="0" xfId="719" applyFill="1" applyAlignment="1">
      <alignment vertical="top" wrapText="1"/>
    </xf>
    <xf numFmtId="0" fontId="26" fillId="0" borderId="0" xfId="719" applyNumberFormat="1" applyFill="1"/>
    <xf numFmtId="0" fontId="0" fillId="0" borderId="0" xfId="0" applyNumberFormat="1" applyAlignment="1">
      <alignment vertical="top"/>
    </xf>
    <xf numFmtId="0" fontId="23" fillId="0" borderId="0" xfId="719" applyFont="1"/>
    <xf numFmtId="0" fontId="23" fillId="0" borderId="0" xfId="719" applyFont="1" applyFill="1"/>
    <xf numFmtId="0" fontId="22" fillId="0" borderId="0" xfId="719" applyFont="1"/>
    <xf numFmtId="0" fontId="26" fillId="0" borderId="0" xfId="719" applyFill="1"/>
    <xf numFmtId="0" fontId="26" fillId="0" borderId="0" xfId="719" applyNumberFormat="1" applyFill="1" applyAlignment="1">
      <alignment vertical="top"/>
    </xf>
    <xf numFmtId="0" fontId="21" fillId="0" borderId="0" xfId="719" applyFont="1" applyFill="1" applyAlignment="1">
      <alignment vertical="top"/>
    </xf>
    <xf numFmtId="0" fontId="21" fillId="0" borderId="0" xfId="719" applyFont="1"/>
    <xf numFmtId="0" fontId="20" fillId="0" borderId="0" xfId="719" applyFont="1"/>
    <xf numFmtId="0" fontId="20" fillId="0" borderId="0" xfId="719" applyFont="1" applyFill="1" applyAlignment="1">
      <alignment vertical="top"/>
    </xf>
    <xf numFmtId="0" fontId="20" fillId="0" borderId="0" xfId="719" applyFont="1" applyFill="1" applyAlignment="1">
      <alignment vertical="top" wrapText="1"/>
    </xf>
    <xf numFmtId="0" fontId="19" fillId="0" borderId="0" xfId="719" applyFont="1" applyFill="1" applyAlignment="1">
      <alignment vertical="top"/>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Fill="1" applyAlignment="1">
      <alignment vertical="top"/>
    </xf>
    <xf numFmtId="0" fontId="18" fillId="0" borderId="0" xfId="719" applyFont="1"/>
    <xf numFmtId="0" fontId="17" fillId="0" borderId="0" xfId="719" applyFont="1" applyFill="1" applyAlignment="1">
      <alignment vertical="top"/>
    </xf>
    <xf numFmtId="0" fontId="17" fillId="0" borderId="0" xfId="719" applyFont="1" applyFill="1" applyAlignment="1">
      <alignment vertical="top" wrapText="1"/>
    </xf>
    <xf numFmtId="0" fontId="17" fillId="0" borderId="0" xfId="719" applyFont="1"/>
    <xf numFmtId="0" fontId="16" fillId="0" borderId="0" xfId="719" applyFont="1" applyFill="1" applyAlignment="1">
      <alignment vertical="top"/>
    </xf>
    <xf numFmtId="0" fontId="16" fillId="0" borderId="0" xfId="719" applyFont="1" applyAlignment="1">
      <alignment vertical="top"/>
    </xf>
    <xf numFmtId="0" fontId="16" fillId="0" borderId="0" xfId="719" applyFont="1" applyFill="1"/>
    <xf numFmtId="0" fontId="16" fillId="0" borderId="0" xfId="719" applyFont="1"/>
    <xf numFmtId="0" fontId="15" fillId="0" borderId="0" xfId="719" applyFont="1" applyFill="1" applyAlignment="1">
      <alignment vertical="top"/>
    </xf>
    <xf numFmtId="0" fontId="13" fillId="0" borderId="0" xfId="719" applyFont="1"/>
    <xf numFmtId="0" fontId="30" fillId="0" borderId="0" xfId="0" applyFont="1"/>
    <xf numFmtId="0" fontId="12" fillId="0" borderId="0" xfId="719" applyFont="1" applyAlignment="1">
      <alignment vertical="top"/>
    </xf>
    <xf numFmtId="0" fontId="12" fillId="0" borderId="0" xfId="719" applyFont="1" applyFill="1"/>
    <xf numFmtId="0" fontId="12" fillId="0" borderId="0" xfId="719" applyNumberFormat="1" applyFont="1" applyAlignment="1">
      <alignment vertical="top"/>
    </xf>
    <xf numFmtId="0" fontId="11" fillId="0" borderId="0" xfId="719" applyFont="1"/>
    <xf numFmtId="0" fontId="10" fillId="0" borderId="0" xfId="719" applyFont="1" applyAlignment="1">
      <alignment vertical="top"/>
    </xf>
    <xf numFmtId="0" fontId="10" fillId="0" borderId="0" xfId="719" applyNumberFormat="1" applyFont="1" applyAlignment="1">
      <alignment vertical="top"/>
    </xf>
    <xf numFmtId="0" fontId="10" fillId="0" borderId="0" xfId="719" applyFont="1" applyFill="1"/>
    <xf numFmtId="0" fontId="9" fillId="0" borderId="0" xfId="719" applyFont="1"/>
    <xf numFmtId="0" fontId="0" fillId="0" borderId="0" xfId="0" applyNumberFormat="1"/>
    <xf numFmtId="0" fontId="9" fillId="0" borderId="0" xfId="719" applyFont="1" applyFill="1" applyAlignment="1">
      <alignment vertical="top"/>
    </xf>
    <xf numFmtId="0" fontId="9" fillId="0" borderId="0" xfId="719" applyFont="1" applyFill="1" applyAlignment="1">
      <alignment vertical="top" wrapText="1"/>
    </xf>
    <xf numFmtId="0" fontId="8" fillId="0" borderId="0" xfId="719" applyFont="1"/>
    <xf numFmtId="0" fontId="8" fillId="0" borderId="0" xfId="719" applyFont="1" applyFill="1" applyAlignment="1">
      <alignment vertical="top"/>
    </xf>
    <xf numFmtId="0" fontId="7" fillId="0" borderId="0" xfId="719" applyFont="1"/>
    <xf numFmtId="0" fontId="6" fillId="0" borderId="0" xfId="719" applyFont="1"/>
    <xf numFmtId="0" fontId="6" fillId="0" borderId="0" xfId="719" applyNumberFormat="1" applyFont="1" applyAlignment="1">
      <alignment vertical="top"/>
    </xf>
    <xf numFmtId="0" fontId="4" fillId="0" borderId="0" xfId="719" applyFont="1" applyAlignment="1">
      <alignment vertical="top"/>
    </xf>
    <xf numFmtId="0" fontId="4" fillId="0" borderId="0" xfId="719" applyFont="1" applyFill="1"/>
    <xf numFmtId="0" fontId="4" fillId="0" borderId="0" xfId="719" applyNumberFormat="1" applyFont="1" applyAlignment="1">
      <alignment vertical="top"/>
    </xf>
    <xf numFmtId="0" fontId="4" fillId="0" borderId="0" xfId="719" applyFont="1"/>
    <xf numFmtId="49" fontId="30" fillId="0" borderId="0" xfId="719" applyNumberFormat="1" applyFont="1" applyAlignment="1">
      <alignment vertical="top" wrapText="1"/>
    </xf>
    <xf numFmtId="49" fontId="8" fillId="0" borderId="0" xfId="719" applyNumberFormat="1" applyFont="1" applyAlignment="1">
      <alignment wrapText="1"/>
    </xf>
    <xf numFmtId="49" fontId="26" fillId="0" borderId="0" xfId="719" applyNumberFormat="1" applyAlignment="1">
      <alignment wrapText="1"/>
    </xf>
    <xf numFmtId="49" fontId="26" fillId="0" borderId="0" xfId="719" applyNumberFormat="1" applyFill="1" applyAlignment="1">
      <alignment vertical="top" wrapText="1"/>
    </xf>
    <xf numFmtId="49" fontId="8" fillId="0" borderId="0" xfId="719" applyNumberFormat="1" applyFont="1" applyFill="1" applyAlignment="1">
      <alignment vertical="top" wrapText="1"/>
    </xf>
    <xf numFmtId="49" fontId="7" fillId="0" borderId="0" xfId="719" applyNumberFormat="1" applyFont="1" applyFill="1" applyAlignment="1">
      <alignment vertical="top" wrapText="1"/>
    </xf>
    <xf numFmtId="49" fontId="5" fillId="0" borderId="0" xfId="719" applyNumberFormat="1" applyFont="1" applyFill="1" applyAlignment="1">
      <alignment vertical="top" wrapText="1"/>
    </xf>
    <xf numFmtId="49" fontId="8" fillId="0" borderId="0" xfId="719" applyNumberFormat="1" applyFont="1" applyAlignment="1">
      <alignment horizontal="fill" wrapText="1"/>
    </xf>
    <xf numFmtId="49" fontId="7" fillId="0" borderId="0" xfId="719" applyNumberFormat="1" applyFont="1" applyAlignment="1">
      <alignment wrapText="1"/>
    </xf>
    <xf numFmtId="49" fontId="6" fillId="0" borderId="0" xfId="719" applyNumberFormat="1" applyFont="1" applyAlignment="1">
      <alignment wrapText="1"/>
    </xf>
    <xf numFmtId="49" fontId="4" fillId="0" borderId="0" xfId="719" applyNumberFormat="1" applyFont="1" applyAlignment="1">
      <alignment wrapText="1"/>
    </xf>
    <xf numFmtId="49" fontId="20" fillId="0" borderId="0" xfId="719" applyNumberFormat="1" applyFont="1" applyAlignment="1">
      <alignment wrapText="1"/>
    </xf>
    <xf numFmtId="49" fontId="18" fillId="0" borderId="0" xfId="719" applyNumberFormat="1" applyFont="1" applyAlignment="1">
      <alignment wrapText="1"/>
    </xf>
    <xf numFmtId="49" fontId="21" fillId="0" borderId="0" xfId="719" applyNumberFormat="1" applyFont="1" applyAlignment="1">
      <alignment wrapText="1"/>
    </xf>
    <xf numFmtId="49" fontId="14" fillId="0" borderId="0" xfId="719" applyNumberFormat="1" applyFont="1" applyAlignment="1">
      <alignment wrapText="1"/>
    </xf>
    <xf numFmtId="49" fontId="13" fillId="0" borderId="0" xfId="719" applyNumberFormat="1" applyFont="1" applyAlignment="1">
      <alignment horizontal="fill" wrapText="1"/>
    </xf>
    <xf numFmtId="49" fontId="21" fillId="0" borderId="0" xfId="719" applyNumberFormat="1" applyFont="1" applyFill="1" applyAlignment="1">
      <alignment vertical="top" wrapText="1"/>
    </xf>
    <xf numFmtId="49" fontId="22" fillId="0" borderId="0" xfId="719" applyNumberFormat="1" applyFont="1" applyAlignment="1">
      <alignment wrapText="1"/>
    </xf>
    <xf numFmtId="49" fontId="9" fillId="0" borderId="0" xfId="719" applyNumberFormat="1" applyFont="1" applyAlignment="1">
      <alignment vertical="top" wrapText="1"/>
    </xf>
    <xf numFmtId="49" fontId="9" fillId="0" borderId="0" xfId="719" applyNumberFormat="1" applyFont="1" applyFill="1" applyAlignment="1">
      <alignment vertical="top" wrapText="1"/>
    </xf>
    <xf numFmtId="49" fontId="26" fillId="0" borderId="0" xfId="719" applyNumberFormat="1" applyAlignment="1">
      <alignment vertical="top" wrapText="1"/>
    </xf>
    <xf numFmtId="0" fontId="3" fillId="0" borderId="0" xfId="719" applyFont="1"/>
    <xf numFmtId="0" fontId="3" fillId="0" borderId="0" xfId="719" applyFont="1" applyFill="1"/>
    <xf numFmtId="0" fontId="2" fillId="0" borderId="0" xfId="719" applyFont="1" applyAlignment="1">
      <alignment vertical="top"/>
    </xf>
    <xf numFmtId="0" fontId="2" fillId="0" borderId="0" xfId="719" applyFont="1" applyFill="1"/>
    <xf numFmtId="0" fontId="2" fillId="0" borderId="0" xfId="719" applyNumberFormat="1" applyFont="1" applyAlignment="1">
      <alignment vertical="top"/>
    </xf>
    <xf numFmtId="49" fontId="1" fillId="0" borderId="0" xfId="719" applyNumberFormat="1" applyFont="1" applyAlignment="1">
      <alignment wrapText="1"/>
    </xf>
    <xf numFmtId="49" fontId="1" fillId="0" borderId="0" xfId="719" applyNumberFormat="1" applyFont="1" applyFill="1" applyAlignment="1">
      <alignment vertical="top" wrapText="1"/>
    </xf>
    <xf numFmtId="0" fontId="1" fillId="0" borderId="0" xfId="719" applyFont="1" applyFill="1" applyAlignment="1">
      <alignment vertical="top"/>
    </xf>
    <xf numFmtId="0" fontId="1" fillId="0" borderId="0" xfId="719" applyFont="1" applyFill="1" applyAlignment="1">
      <alignment vertical="top" wrapText="1"/>
    </xf>
    <xf numFmtId="0" fontId="1" fillId="0" borderId="0" xfId="719" applyFont="1"/>
    <xf numFmtId="0" fontId="1" fillId="0" borderId="0" xfId="719" applyNumberFormat="1"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02" totalsRowShown="0" headerRowDxfId="46" dataDxfId="45">
  <autoFilter ref="A1:Y302"/>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02"/>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1"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1" t="s">
        <v>90</v>
      </c>
      <c r="F1" s="2" t="s">
        <v>95</v>
      </c>
      <c r="G1" s="1" t="s">
        <v>69</v>
      </c>
      <c r="H1" s="1" t="s">
        <v>418</v>
      </c>
      <c r="I1" s="7" t="s">
        <v>67</v>
      </c>
      <c r="J1" s="40" t="s">
        <v>9</v>
      </c>
      <c r="K1" s="40" t="s">
        <v>175</v>
      </c>
      <c r="L1" s="10" t="s">
        <v>12</v>
      </c>
      <c r="M1" s="10" t="s">
        <v>6</v>
      </c>
      <c r="N1" s="10" t="s">
        <v>13</v>
      </c>
      <c r="O1" s="10" t="s">
        <v>110</v>
      </c>
      <c r="P1" s="10" t="s">
        <v>19</v>
      </c>
      <c r="Q1" s="10" t="s">
        <v>8</v>
      </c>
      <c r="R1" s="10" t="s">
        <v>7</v>
      </c>
      <c r="S1" s="10" t="s">
        <v>4</v>
      </c>
      <c r="T1" s="10" t="s">
        <v>2</v>
      </c>
      <c r="U1" s="10" t="s">
        <v>3</v>
      </c>
      <c r="V1" s="10" t="s">
        <v>1</v>
      </c>
      <c r="W1" s="10" t="s">
        <v>96</v>
      </c>
      <c r="X1" s="10" t="s">
        <v>68</v>
      </c>
      <c r="Y1" s="10" t="s">
        <v>419</v>
      </c>
    </row>
    <row r="2" spans="1:25" ht="28.8" x14ac:dyDescent="0.3">
      <c r="A2" s="3" t="s">
        <v>139</v>
      </c>
      <c r="B2" s="3" t="s">
        <v>4</v>
      </c>
      <c r="C2" s="3"/>
      <c r="D2" s="3" t="s">
        <v>139</v>
      </c>
      <c r="E2" s="87" t="s">
        <v>450</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139</v>
      </c>
      <c r="B3" s="3" t="s">
        <v>6</v>
      </c>
      <c r="C3" s="3"/>
      <c r="D3" s="3" t="s">
        <v>6</v>
      </c>
      <c r="E3" s="63" t="s">
        <v>261</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139</v>
      </c>
      <c r="B4" s="3" t="s">
        <v>8</v>
      </c>
      <c r="C4" s="3"/>
      <c r="D4" s="30" t="s">
        <v>167</v>
      </c>
      <c r="E4" s="87" t="s">
        <v>451</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139</v>
      </c>
      <c r="B5" s="3" t="s">
        <v>7</v>
      </c>
      <c r="C5" s="3">
        <v>255</v>
      </c>
      <c r="D5" s="52" t="s">
        <v>258</v>
      </c>
      <c r="E5" s="62" t="s">
        <v>259</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255</v>
      </c>
      <c r="U5" s="4" t="str">
        <f>IF(LEN(Table2[[#This Row],[!Name]]) &gt; 0, Table2[[#This Row],[!Name]], "rg:None")</f>
        <v>provincialProjectNumber</v>
      </c>
      <c r="V5" s="4" t="str">
        <f>IF(LEN(Table2[[#This Row],[!Description]]) &gt; 0, Table2[[#This Row],[!Description]], "rg:None")</f>
        <v>TO BE VERIFIED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9" t="s">
        <v>139</v>
      </c>
      <c r="B6" s="89" t="s">
        <v>7</v>
      </c>
      <c r="C6" s="19">
        <v>100</v>
      </c>
      <c r="D6" s="89" t="s">
        <v>15</v>
      </c>
      <c r="E6" s="88" t="s">
        <v>452</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139</v>
      </c>
      <c r="B7" s="3" t="s">
        <v>7</v>
      </c>
      <c r="C7" s="3">
        <v>2048</v>
      </c>
      <c r="D7" s="91" t="s">
        <v>468</v>
      </c>
      <c r="E7" s="87" t="s">
        <v>469</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139</v>
      </c>
      <c r="B8" s="27" t="s">
        <v>19</v>
      </c>
      <c r="C8" s="19"/>
      <c r="D8" s="27" t="s">
        <v>221</v>
      </c>
      <c r="E8" s="64"/>
      <c r="F8" s="28" t="s">
        <v>220</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requests</v>
      </c>
      <c r="V8" s="4" t="str">
        <f>IF(LEN(Table2[[#This Row],[!Description]]) &gt; 0, Table2[[#This Row],[!Description]], "rg:None")</f>
        <v>rg:None</v>
      </c>
      <c r="W8" s="4" t="str">
        <f>IF(LEN(Table2[[#This Row],[!FK]])&gt;0,Table2[[#This Row],[!FK]],"rg:None")</f>
        <v>Request</v>
      </c>
      <c r="X8" s="15" t="str">
        <f>IF(LEN(concatif2(A:A,Table2[[#This Row],[!Table]],G:G,"Y",D:D,",")) &gt; 0,"rg:[ { 'req' : '"&amp;concatif2(A:A,Table2[[#This Row],[!Table]],G:G,"Y",D:D,"' }, { 'req': '")&amp;"'} ]","rg:[]")</f>
        <v>rg:[ { 'req' : 'id'} ]</v>
      </c>
      <c r="Y8" s="4" t="str">
        <f>IF(LEN(Table2[[#This Row],[!Unique]])&gt;0,"rg:True","rg:None")</f>
        <v>rg:None</v>
      </c>
    </row>
    <row r="9" spans="1:25" ht="28.8" x14ac:dyDescent="0.3">
      <c r="A9" s="3" t="s">
        <v>139</v>
      </c>
      <c r="B9" s="27" t="s">
        <v>8</v>
      </c>
      <c r="C9" s="19"/>
      <c r="D9" s="27" t="s">
        <v>222</v>
      </c>
      <c r="E9" s="65" t="s">
        <v>257</v>
      </c>
      <c r="F9" s="28" t="s">
        <v>190</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139</v>
      </c>
      <c r="B10" s="27" t="s">
        <v>19</v>
      </c>
      <c r="C10" s="19"/>
      <c r="D10" s="27" t="s">
        <v>202</v>
      </c>
      <c r="E10" s="64"/>
      <c r="F10" s="28" t="s">
        <v>190</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139</v>
      </c>
      <c r="B11" s="24" t="s">
        <v>19</v>
      </c>
      <c r="C11" s="19"/>
      <c r="D11" s="24" t="s">
        <v>180</v>
      </c>
      <c r="E11" s="64"/>
      <c r="F11" s="25" t="s">
        <v>160</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139</v>
      </c>
      <c r="B12" s="24" t="s">
        <v>19</v>
      </c>
      <c r="C12" s="19"/>
      <c r="D12" s="24" t="s">
        <v>201</v>
      </c>
      <c r="E12" s="64"/>
      <c r="F12" s="22" t="s">
        <v>174</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139</v>
      </c>
      <c r="B13" s="24" t="s">
        <v>19</v>
      </c>
      <c r="C13" s="19"/>
      <c r="D13" s="24" t="s">
        <v>203</v>
      </c>
      <c r="E13" s="64"/>
      <c r="F13" s="23" t="s">
        <v>176</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26" t="s">
        <v>220</v>
      </c>
      <c r="B14" s="3" t="s">
        <v>4</v>
      </c>
      <c r="C14" s="3"/>
      <c r="D14" s="26" t="s">
        <v>220</v>
      </c>
      <c r="E14" s="88" t="s">
        <v>431</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220</v>
      </c>
      <c r="B15" s="27" t="s">
        <v>6</v>
      </c>
      <c r="C15" s="19"/>
      <c r="D15" s="27" t="s">
        <v>6</v>
      </c>
      <c r="E15" s="63" t="s">
        <v>260</v>
      </c>
      <c r="F15" s="13"/>
      <c r="G15" s="29" t="s">
        <v>64</v>
      </c>
      <c r="H15" s="29"/>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26" t="s">
        <v>220</v>
      </c>
      <c r="B16" s="27" t="s">
        <v>8</v>
      </c>
      <c r="C16" s="19"/>
      <c r="D16" s="27" t="s">
        <v>163</v>
      </c>
      <c r="E16" s="64"/>
      <c r="F16" s="28" t="s">
        <v>139</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26" t="s">
        <v>220</v>
      </c>
      <c r="B17" s="31" t="s">
        <v>8</v>
      </c>
      <c r="C17" s="19"/>
      <c r="D17" s="31" t="s">
        <v>197</v>
      </c>
      <c r="E17" s="64"/>
      <c r="F17" s="32" t="s">
        <v>165</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26" t="s">
        <v>220</v>
      </c>
      <c r="B18" s="31" t="s">
        <v>8</v>
      </c>
      <c r="C18" s="19"/>
      <c r="D18" s="23" t="s">
        <v>207</v>
      </c>
      <c r="E18" s="63"/>
      <c r="F18" s="23" t="s">
        <v>208</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26" t="s">
        <v>220</v>
      </c>
      <c r="B19" s="31" t="s">
        <v>13</v>
      </c>
      <c r="C19" s="19"/>
      <c r="D19" s="31" t="s">
        <v>224</v>
      </c>
      <c r="E19" s="88" t="s">
        <v>456</v>
      </c>
      <c r="F19" s="13"/>
      <c r="G19" s="20"/>
      <c r="H19" s="20"/>
      <c r="I19" s="4" t="str">
        <f t="shared" ref="I19:I27"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26" t="s">
        <v>220</v>
      </c>
      <c r="B20" s="31" t="s">
        <v>13</v>
      </c>
      <c r="C20" s="19"/>
      <c r="D20" s="31" t="s">
        <v>225</v>
      </c>
      <c r="E20" s="66" t="s">
        <v>308</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26" t="s">
        <v>220</v>
      </c>
      <c r="B21" s="31" t="s">
        <v>12</v>
      </c>
      <c r="C21" s="19"/>
      <c r="D21" s="31" t="s">
        <v>226</v>
      </c>
      <c r="E21" s="66" t="s">
        <v>307</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26" t="s">
        <v>220</v>
      </c>
      <c r="B22" s="31" t="s">
        <v>12</v>
      </c>
      <c r="C22" s="19"/>
      <c r="D22" s="31" t="s">
        <v>227</v>
      </c>
      <c r="E22" s="66" t="s">
        <v>306</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26" t="s">
        <v>220</v>
      </c>
      <c r="B23" s="89" t="s">
        <v>8</v>
      </c>
      <c r="C23" s="19"/>
      <c r="D23" s="89" t="s">
        <v>457</v>
      </c>
      <c r="E23" s="88" t="s">
        <v>458</v>
      </c>
      <c r="F23" s="90" t="s">
        <v>206</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26" t="s">
        <v>220</v>
      </c>
      <c r="B24" s="31" t="s">
        <v>19</v>
      </c>
      <c r="C24" s="19"/>
      <c r="D24" s="31" t="s">
        <v>229</v>
      </c>
      <c r="E24" s="64"/>
      <c r="F24" s="32" t="s">
        <v>230</v>
      </c>
      <c r="G24" s="20"/>
      <c r="H24" s="20"/>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hireOffers</v>
      </c>
      <c r="V24" s="4" t="str">
        <f>IF(LEN(Table2[[#This Row],[!Description]]) &gt; 0, Table2[[#This Row],[!Description]], "rg:None")</f>
        <v>rg:None</v>
      </c>
      <c r="W24" s="4" t="str">
        <f>IF(LEN(Table2[[#This Row],[!FK]])&gt;0,Table2[[#This Row],[!FK]],"rg:None")</f>
        <v>HireOffer</v>
      </c>
      <c r="X24" s="15" t="str">
        <f>IF(LEN(concatif2(A:A,Table2[[#This Row],[!Table]],G:G,"Y",D:D,",")) &gt; 0,"rg:[ { 'req' : '"&amp;concatif2(A:A,Table2[[#This Row],[!Table]],G:G,"Y",D:D,"' }, { 'req': '")&amp;"'} ]","rg:[]")</f>
        <v>rg:[ { 'req' : 'id'} ]</v>
      </c>
      <c r="Y24" s="4" t="str">
        <f>IF(LEN(Table2[[#This Row],[!Unique]])&gt;0,"rg:True","rg:None")</f>
        <v>rg:None</v>
      </c>
    </row>
    <row r="25" spans="1:25" x14ac:dyDescent="0.3">
      <c r="A25" s="26" t="s">
        <v>220</v>
      </c>
      <c r="B25" s="24" t="s">
        <v>19</v>
      </c>
      <c r="C25" s="19"/>
      <c r="D25" s="24" t="s">
        <v>180</v>
      </c>
      <c r="E25" s="64"/>
      <c r="F25" s="25" t="s">
        <v>160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5" t="str">
        <f>IF(LEN(concatif2(A:A,Table2[[#This Row],[!Table]],G:G,"Y",D:D,",")) &gt; 0,"rg:[ { 'req' : '"&amp;concatif2(A:A,Table2[[#This Row],[!Table]],G:G,"Y",D:D,"' }, { 'req': '")&amp;"'} ]","rg:[]")</f>
        <v>rg:[ { 'req' : 'id'} ]</v>
      </c>
      <c r="Y25" s="4" t="str">
        <f>IF(LEN(Table2[[#This Row],[!Unique]])&gt;0,"rg:True","rg:None")</f>
        <v>rg:None</v>
      </c>
    </row>
    <row r="26" spans="1:25" x14ac:dyDescent="0.3">
      <c r="A26" s="26" t="s">
        <v>220</v>
      </c>
      <c r="B26" s="24" t="s">
        <v>19</v>
      </c>
      <c r="C26" s="19"/>
      <c r="D26" s="24" t="s">
        <v>201</v>
      </c>
      <c r="E26" s="64"/>
      <c r="F26" s="22" t="s">
        <v>174</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Attachment</v>
      </c>
      <c r="X26" s="15" t="str">
        <f>IF(LEN(concatif2(A:A,Table2[[#This Row],[!Table]],G:G,"Y",D:D,",")) &gt; 0,"rg:[ { 'req' : '"&amp;concatif2(A:A,Table2[[#This Row],[!Table]],G:G,"Y",D:D,"' }, { 'req': '")&amp;"'} ]","rg:[]")</f>
        <v>rg:[ { 'req' : 'id'} ]</v>
      </c>
      <c r="Y26" s="4" t="str">
        <f>IF(LEN(Table2[[#This Row],[!Unique]])&gt;0,"rg:True","rg:None")</f>
        <v>rg:None</v>
      </c>
    </row>
    <row r="27" spans="1:25" x14ac:dyDescent="0.3">
      <c r="A27" s="26" t="s">
        <v>220</v>
      </c>
      <c r="B27" s="24" t="s">
        <v>19</v>
      </c>
      <c r="C27" s="19"/>
      <c r="D27" s="24" t="s">
        <v>203</v>
      </c>
      <c r="E27" s="64"/>
      <c r="F27" s="23" t="s">
        <v>176</v>
      </c>
      <c r="G27" s="20"/>
      <c r="H27" s="20"/>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5" t="str">
        <f>IF(LEN(concatif2(A:A,Table2[[#This Row],[!Table]],G:G,"Y",D:D,",")) &gt; 0,"rg:[ { 'req' : '"&amp;concatif2(A:A,Table2[[#This Row],[!Table]],G:G,"Y",D:D,"' }, { 'req': '")&amp;"'} ]","rg:[]")</f>
        <v>rg:[ { 'req' : 'id'} ]</v>
      </c>
      <c r="Y27" s="4" t="str">
        <f>IF(LEN(Table2[[#This Row],[!Unique]])&gt;0,"rg:True","rg:None")</f>
        <v>rg:None</v>
      </c>
    </row>
    <row r="28" spans="1:25" ht="43.2" x14ac:dyDescent="0.3">
      <c r="A28" s="89" t="s">
        <v>461</v>
      </c>
      <c r="B28" s="31" t="s">
        <v>4</v>
      </c>
      <c r="C28" s="19"/>
      <c r="D28" s="89" t="s">
        <v>461</v>
      </c>
      <c r="E28" s="88" t="s">
        <v>462</v>
      </c>
      <c r="F28" s="32"/>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89" t="s">
        <v>461</v>
      </c>
      <c r="B29" s="27" t="s">
        <v>6</v>
      </c>
      <c r="C29" s="19"/>
      <c r="D29" s="27" t="s">
        <v>6</v>
      </c>
      <c r="E29" s="87" t="s">
        <v>463</v>
      </c>
      <c r="F29" s="13"/>
      <c r="G29" s="29" t="s">
        <v>64</v>
      </c>
      <c r="H29" s="29"/>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89" t="s">
        <v>461</v>
      </c>
      <c r="B30" s="31" t="s">
        <v>8</v>
      </c>
      <c r="C30" s="19"/>
      <c r="D30" s="31" t="s">
        <v>231</v>
      </c>
      <c r="E30" s="64"/>
      <c r="F30" s="32" t="s">
        <v>220</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request</v>
      </c>
      <c r="V30" s="4" t="str">
        <f>IF(LEN(Table2[[#This Row],[!Description]]) &gt; 0, Table2[[#This Row],[!Description]], "rg:None")</f>
        <v>rg:None</v>
      </c>
      <c r="W30" s="4" t="str">
        <f>IF(LEN(Table2[[#This Row],[!FK]])&gt;0,Table2[[#This Row],[!FK]],"rg:None")</f>
        <v>Request</v>
      </c>
      <c r="X30" s="15" t="str">
        <f>IF(LEN(concatif2(A:A,Table2[[#This Row],[!Table]],G:G,"Y",D:D,",")) &gt; 0,"rg:[ { 'req' : '"&amp;concatif2(A:A,Table2[[#This Row],[!Table]],G:G,"Y",D:D,"' }, { 'req': '")&amp;"'} ]","rg:[]")</f>
        <v>rg:[ { 'req' : 'id'} ]</v>
      </c>
      <c r="Y30" s="4" t="str">
        <f>IF(LEN(Table2[[#This Row],[!Unique]])&gt;0,"rg:True","rg:None")</f>
        <v>rg:None</v>
      </c>
    </row>
    <row r="31" spans="1:25" x14ac:dyDescent="0.3">
      <c r="A31" s="89" t="s">
        <v>461</v>
      </c>
      <c r="B31" s="89" t="s">
        <v>13</v>
      </c>
      <c r="C31" s="19"/>
      <c r="D31" s="89" t="s">
        <v>459</v>
      </c>
      <c r="E31" s="88" t="s">
        <v>460</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rotationListOrder</v>
      </c>
      <c r="V31" s="4" t="str">
        <f>IF(LEN(Table2[[#This Row],[!Description]]) &gt; 0, Table2[[#This Row],[!Description]], "rg:None")</f>
        <v>The order of the piece of equipment on the rotaton list at the time the request was created.</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89" t="s">
        <v>461</v>
      </c>
      <c r="B32" s="31" t="s">
        <v>8</v>
      </c>
      <c r="C32" s="19"/>
      <c r="D32" s="31" t="s">
        <v>204</v>
      </c>
      <c r="E32" s="64"/>
      <c r="F32" s="32" t="s">
        <v>206</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89" t="s">
        <v>461</v>
      </c>
      <c r="B33" s="31" t="s">
        <v>8</v>
      </c>
      <c r="C33" s="19"/>
      <c r="D33" s="31" t="s">
        <v>235</v>
      </c>
      <c r="E33" s="88" t="s">
        <v>464</v>
      </c>
      <c r="F33" s="31" t="s">
        <v>234</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89" t="s">
        <v>461</v>
      </c>
      <c r="B34" s="31" t="s">
        <v>9</v>
      </c>
      <c r="C34" s="19"/>
      <c r="D34" s="31" t="s">
        <v>233</v>
      </c>
      <c r="E34" s="88" t="s">
        <v>465</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89" t="s">
        <v>461</v>
      </c>
      <c r="B35" s="34" t="s">
        <v>9</v>
      </c>
      <c r="C35" s="19"/>
      <c r="D35" s="53" t="s">
        <v>262</v>
      </c>
      <c r="E35" s="65" t="s">
        <v>264</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89" t="s">
        <v>461</v>
      </c>
      <c r="B36" s="31" t="s">
        <v>12</v>
      </c>
      <c r="C36" s="19"/>
      <c r="D36" s="53" t="s">
        <v>263</v>
      </c>
      <c r="E36" s="67" t="s">
        <v>420</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89" t="s">
        <v>461</v>
      </c>
      <c r="B37" s="53" t="s">
        <v>7</v>
      </c>
      <c r="C37" s="19"/>
      <c r="D37" s="53" t="s">
        <v>265</v>
      </c>
      <c r="E37" s="68" t="s">
        <v>266</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89" t="s">
        <v>461</v>
      </c>
      <c r="B38" s="31" t="s">
        <v>7</v>
      </c>
      <c r="C38" s="19">
        <v>255</v>
      </c>
      <c r="D38" s="31" t="s">
        <v>232</v>
      </c>
      <c r="E38" s="65" t="s">
        <v>267</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255</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89" t="s">
        <v>461</v>
      </c>
      <c r="B39" s="31" t="s">
        <v>7</v>
      </c>
      <c r="C39" s="19">
        <v>255</v>
      </c>
      <c r="D39" s="31" t="s">
        <v>169</v>
      </c>
      <c r="E39" s="65" t="s">
        <v>268</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255</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1" t="s">
        <v>234</v>
      </c>
      <c r="B40" s="31" t="s">
        <v>4</v>
      </c>
      <c r="C40" s="19"/>
      <c r="D40" s="31" t="s">
        <v>234</v>
      </c>
      <c r="E40" s="88" t="s">
        <v>466</v>
      </c>
      <c r="F40" s="32"/>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1" t="s">
        <v>234</v>
      </c>
      <c r="B41" s="27" t="s">
        <v>6</v>
      </c>
      <c r="C41" s="19"/>
      <c r="D41" s="27" t="s">
        <v>6</v>
      </c>
      <c r="E41" s="63" t="s">
        <v>347</v>
      </c>
      <c r="F41" s="13"/>
      <c r="G41" s="29" t="s">
        <v>64</v>
      </c>
      <c r="H41" s="29"/>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1" t="s">
        <v>234</v>
      </c>
      <c r="B42" s="31" t="s">
        <v>8</v>
      </c>
      <c r="C42" s="19"/>
      <c r="D42" s="31" t="s">
        <v>204</v>
      </c>
      <c r="E42" s="64"/>
      <c r="F42" s="32" t="s">
        <v>206</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1" t="s">
        <v>234</v>
      </c>
      <c r="B43" s="27" t="s">
        <v>8</v>
      </c>
      <c r="C43" s="19"/>
      <c r="D43" s="27" t="s">
        <v>163</v>
      </c>
      <c r="E43" s="64"/>
      <c r="F43" s="28" t="s">
        <v>139</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1" t="s">
        <v>234</v>
      </c>
      <c r="B44" s="31" t="s">
        <v>19</v>
      </c>
      <c r="C44" s="19"/>
      <c r="D44" s="31" t="s">
        <v>236</v>
      </c>
      <c r="E44" s="64"/>
      <c r="F44" s="32" t="s">
        <v>237</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2" t="s">
        <v>237</v>
      </c>
      <c r="B45" s="31" t="s">
        <v>4</v>
      </c>
      <c r="C45" s="19"/>
      <c r="D45" s="32" t="s">
        <v>237</v>
      </c>
      <c r="E45" s="88" t="s">
        <v>432</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237</v>
      </c>
      <c r="B46" s="27" t="s">
        <v>6</v>
      </c>
      <c r="C46" s="19"/>
      <c r="D46" s="27" t="s">
        <v>6</v>
      </c>
      <c r="E46" s="63" t="s">
        <v>346</v>
      </c>
      <c r="F46" s="13"/>
      <c r="G46" s="29" t="s">
        <v>64</v>
      </c>
      <c r="H46" s="29"/>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237</v>
      </c>
      <c r="B47" s="31" t="s">
        <v>8</v>
      </c>
      <c r="C47" s="19"/>
      <c r="D47" s="31" t="s">
        <v>235</v>
      </c>
      <c r="E47" s="64"/>
      <c r="F47" s="32" t="s">
        <v>234</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2" t="s">
        <v>237</v>
      </c>
      <c r="B48" s="33" t="s">
        <v>12</v>
      </c>
      <c r="C48" s="3"/>
      <c r="D48" s="33" t="s">
        <v>238</v>
      </c>
      <c r="E48" s="65" t="s">
        <v>271</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237</v>
      </c>
      <c r="B49" s="33" t="s">
        <v>12</v>
      </c>
      <c r="C49" s="3"/>
      <c r="D49" s="33" t="s">
        <v>239</v>
      </c>
      <c r="E49" s="67" t="s">
        <v>421</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3" t="s">
        <v>237</v>
      </c>
      <c r="B50" s="53" t="s">
        <v>7</v>
      </c>
      <c r="C50" s="19">
        <v>20</v>
      </c>
      <c r="D50" s="53" t="s">
        <v>269</v>
      </c>
      <c r="E50" s="65" t="s">
        <v>270</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237</v>
      </c>
      <c r="B51" s="3" t="s">
        <v>110</v>
      </c>
      <c r="C51" s="3"/>
      <c r="D51" s="3" t="s">
        <v>150</v>
      </c>
      <c r="E51" s="65" t="s">
        <v>272</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237</v>
      </c>
      <c r="B52" s="3" t="s">
        <v>110</v>
      </c>
      <c r="C52" s="3"/>
      <c r="D52" s="3" t="s">
        <v>151</v>
      </c>
      <c r="E52" s="65" t="s">
        <v>273</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2" t="s">
        <v>237</v>
      </c>
      <c r="B53" s="3" t="s">
        <v>110</v>
      </c>
      <c r="C53" s="3"/>
      <c r="D53" s="3" t="s">
        <v>152</v>
      </c>
      <c r="E53" s="65" t="s">
        <v>273</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2" t="s">
        <v>237</v>
      </c>
      <c r="B54" s="3" t="s">
        <v>110</v>
      </c>
      <c r="C54" s="3"/>
      <c r="D54" s="3" t="s">
        <v>153</v>
      </c>
      <c r="E54" s="65" t="s">
        <v>273</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2" t="s">
        <v>237</v>
      </c>
      <c r="B55" s="3" t="s">
        <v>110</v>
      </c>
      <c r="C55" s="3"/>
      <c r="D55" s="3" t="s">
        <v>154</v>
      </c>
      <c r="E55" s="65" t="s">
        <v>273</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237</v>
      </c>
      <c r="B56" s="3" t="s">
        <v>110</v>
      </c>
      <c r="C56" s="3"/>
      <c r="D56" s="3" t="s">
        <v>155</v>
      </c>
      <c r="E56" s="65" t="s">
        <v>273</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206</v>
      </c>
      <c r="B57" s="3" t="s">
        <v>4</v>
      </c>
      <c r="C57" s="3"/>
      <c r="D57" s="23" t="s">
        <v>206</v>
      </c>
      <c r="E57" s="87" t="s">
        <v>433</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206</v>
      </c>
      <c r="B58" s="3" t="s">
        <v>6</v>
      </c>
      <c r="C58" s="3"/>
      <c r="D58" s="3" t="s">
        <v>6</v>
      </c>
      <c r="E58" s="63" t="s">
        <v>345</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206</v>
      </c>
      <c r="B59" s="3" t="s">
        <v>8</v>
      </c>
      <c r="C59" s="3"/>
      <c r="D59" s="23" t="s">
        <v>197</v>
      </c>
      <c r="E59" s="63"/>
      <c r="F59" s="23" t="s">
        <v>165</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206</v>
      </c>
      <c r="B60" s="3" t="s">
        <v>8</v>
      </c>
      <c r="C60" s="3"/>
      <c r="D60" s="23" t="s">
        <v>207</v>
      </c>
      <c r="E60" s="63"/>
      <c r="F60" s="23" t="s">
        <v>208</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206</v>
      </c>
      <c r="B61" s="3" t="s">
        <v>8</v>
      </c>
      <c r="C61" s="3"/>
      <c r="D61" s="23" t="s">
        <v>162</v>
      </c>
      <c r="E61" s="63"/>
      <c r="F61" s="24" t="s">
        <v>156</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206</v>
      </c>
      <c r="B62" s="3" t="s">
        <v>7</v>
      </c>
      <c r="C62" s="3">
        <v>25</v>
      </c>
      <c r="D62" s="91" t="s">
        <v>274</v>
      </c>
      <c r="E62" s="87" t="s">
        <v>470</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206</v>
      </c>
      <c r="B63" s="3" t="s">
        <v>7</v>
      </c>
      <c r="C63" s="3">
        <v>50</v>
      </c>
      <c r="D63" s="52" t="s">
        <v>275</v>
      </c>
      <c r="E63" s="62" t="s">
        <v>276</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206</v>
      </c>
      <c r="B64" s="23" t="s">
        <v>12</v>
      </c>
      <c r="C64" s="3"/>
      <c r="D64" s="23" t="s">
        <v>213</v>
      </c>
      <c r="E64" s="62" t="s">
        <v>277</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206</v>
      </c>
      <c r="B65" s="23" t="s">
        <v>12</v>
      </c>
      <c r="C65" s="3"/>
      <c r="D65" s="23" t="s">
        <v>212</v>
      </c>
      <c r="E65" s="62" t="s">
        <v>278</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206</v>
      </c>
      <c r="B66" s="44" t="s">
        <v>12</v>
      </c>
      <c r="C66" s="3"/>
      <c r="D66" s="44" t="s">
        <v>250</v>
      </c>
      <c r="E66" s="62" t="s">
        <v>279</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9" t="s">
        <v>206</v>
      </c>
      <c r="B67" s="89" t="s">
        <v>9</v>
      </c>
      <c r="C67" s="19"/>
      <c r="D67" s="89" t="s">
        <v>453</v>
      </c>
      <c r="E67" s="88" t="s">
        <v>467</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9" t="s">
        <v>206</v>
      </c>
      <c r="B68" s="89" t="s">
        <v>7</v>
      </c>
      <c r="C68" s="19">
        <v>2048</v>
      </c>
      <c r="D68" s="89" t="s">
        <v>454</v>
      </c>
      <c r="E68" s="88" t="s">
        <v>455</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206</v>
      </c>
      <c r="B69" s="3" t="s">
        <v>7</v>
      </c>
      <c r="C69" s="3">
        <v>20</v>
      </c>
      <c r="D69" s="52" t="s">
        <v>280</v>
      </c>
      <c r="E69" s="62" t="s">
        <v>281</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206</v>
      </c>
      <c r="B70" s="3" t="s">
        <v>7</v>
      </c>
      <c r="C70" s="3">
        <v>50</v>
      </c>
      <c r="D70" s="3" t="s">
        <v>134</v>
      </c>
      <c r="E70" s="62" t="s">
        <v>282</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206</v>
      </c>
      <c r="B71" s="3" t="s">
        <v>7</v>
      </c>
      <c r="C71" s="3">
        <v>50</v>
      </c>
      <c r="D71" s="3" t="s">
        <v>135</v>
      </c>
      <c r="E71" s="62" t="s">
        <v>283</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206</v>
      </c>
      <c r="B72" s="3" t="s">
        <v>7</v>
      </c>
      <c r="C72" s="3">
        <v>15</v>
      </c>
      <c r="D72" s="3" t="s">
        <v>136</v>
      </c>
      <c r="E72" s="62" t="s">
        <v>284</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206</v>
      </c>
      <c r="B73" s="3" t="s">
        <v>7</v>
      </c>
      <c r="C73" s="3">
        <v>255</v>
      </c>
      <c r="D73" s="3" t="s">
        <v>20</v>
      </c>
      <c r="E73" s="62" t="s">
        <v>285</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206</v>
      </c>
      <c r="B74" s="3" t="s">
        <v>7</v>
      </c>
      <c r="C74" s="3">
        <v>255</v>
      </c>
      <c r="D74" s="3" t="s">
        <v>137</v>
      </c>
      <c r="E74" s="62" t="s">
        <v>287</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 IS THIS NEEDED?</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206</v>
      </c>
      <c r="B75" s="3" t="s">
        <v>110</v>
      </c>
      <c r="C75" s="3"/>
      <c r="D75" s="3" t="s">
        <v>138</v>
      </c>
      <c r="E75" s="62" t="s">
        <v>287</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 IS THIS NEEDED?</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206</v>
      </c>
      <c r="B76" s="3" t="s">
        <v>7</v>
      </c>
      <c r="C76" s="3">
        <v>255</v>
      </c>
      <c r="D76" s="3" t="s">
        <v>140</v>
      </c>
      <c r="E76" s="62" t="s">
        <v>287</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 IS THIS NEEDED?</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206</v>
      </c>
      <c r="B77" s="3" t="s">
        <v>7</v>
      </c>
      <c r="C77" s="3">
        <v>255</v>
      </c>
      <c r="D77" s="3" t="s">
        <v>142</v>
      </c>
      <c r="E77" s="62" t="s">
        <v>288</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255</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206</v>
      </c>
      <c r="B78" s="3" t="s">
        <v>7</v>
      </c>
      <c r="C78" s="3">
        <v>128</v>
      </c>
      <c r="D78" s="3" t="s">
        <v>143</v>
      </c>
      <c r="E78" s="62" t="s">
        <v>289</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206</v>
      </c>
      <c r="B79" s="23" t="s">
        <v>12</v>
      </c>
      <c r="C79" s="3"/>
      <c r="D79" s="23" t="s">
        <v>214</v>
      </c>
      <c r="E79" s="62" t="s">
        <v>290</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206</v>
      </c>
      <c r="B80" s="54" t="s">
        <v>110</v>
      </c>
      <c r="C80" s="3"/>
      <c r="D80" s="23" t="s">
        <v>217</v>
      </c>
      <c r="E80" s="69" t="s">
        <v>291</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206</v>
      </c>
      <c r="B81" s="54" t="s">
        <v>110</v>
      </c>
      <c r="C81" s="3"/>
      <c r="D81" s="91" t="s">
        <v>141</v>
      </c>
      <c r="E81" s="69" t="s">
        <v>292</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9" t="s">
        <v>206</v>
      </c>
      <c r="B82" s="89" t="s">
        <v>12</v>
      </c>
      <c r="C82" s="19"/>
      <c r="D82" s="89" t="s">
        <v>473</v>
      </c>
      <c r="E82" s="88" t="s">
        <v>474</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206</v>
      </c>
      <c r="B83" s="3" t="s">
        <v>110</v>
      </c>
      <c r="C83" s="3"/>
      <c r="D83" s="91" t="s">
        <v>471</v>
      </c>
      <c r="E83" s="62" t="s">
        <v>286</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206</v>
      </c>
      <c r="B84" s="3" t="s">
        <v>110</v>
      </c>
      <c r="C84" s="3"/>
      <c r="D84" s="54" t="s">
        <v>293</v>
      </c>
      <c r="E84" s="69" t="s">
        <v>294</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206</v>
      </c>
      <c r="B85" s="3" t="s">
        <v>110</v>
      </c>
      <c r="C85" s="3"/>
      <c r="D85" s="54" t="s">
        <v>295</v>
      </c>
      <c r="E85" s="69" t="s">
        <v>296</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206</v>
      </c>
      <c r="B86" s="3" t="s">
        <v>110</v>
      </c>
      <c r="C86" s="3"/>
      <c r="D86" s="54" t="s">
        <v>298</v>
      </c>
      <c r="E86" s="69" t="s">
        <v>297</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206</v>
      </c>
      <c r="B87" s="3" t="s">
        <v>7</v>
      </c>
      <c r="C87" s="3">
        <v>255</v>
      </c>
      <c r="D87" s="54" t="s">
        <v>299</v>
      </c>
      <c r="E87" s="69" t="s">
        <v>300</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255</v>
      </c>
      <c r="U87" s="4" t="str">
        <f>IF(LEN(Table2[[#This Row],[!Name]]) &gt; 0, Table2[[#This Row],[!Name]], "rg:None")</f>
        <v>archiveCode</v>
      </c>
      <c r="V87" s="4" t="str">
        <f>IF(LEN(Table2[[#This Row],[!Description]]) &gt; 0, Table2[[#This Row],[!Description]], "rg:None")</f>
        <v>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206</v>
      </c>
      <c r="B88" s="3" t="s">
        <v>7</v>
      </c>
      <c r="C88" s="3">
        <v>255</v>
      </c>
      <c r="D88" s="3" t="s">
        <v>144</v>
      </c>
      <c r="E88" s="69" t="s">
        <v>301</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255</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206</v>
      </c>
      <c r="B89" s="23" t="s">
        <v>12</v>
      </c>
      <c r="C89" s="3"/>
      <c r="D89" s="23" t="s">
        <v>215</v>
      </c>
      <c r="E89" s="69" t="s">
        <v>302</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206</v>
      </c>
      <c r="B90" s="54" t="s">
        <v>8</v>
      </c>
      <c r="C90" s="3"/>
      <c r="D90" s="54" t="s">
        <v>303</v>
      </c>
      <c r="E90" s="69" t="s">
        <v>304</v>
      </c>
      <c r="F90" s="60"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206</v>
      </c>
      <c r="B91" s="24" t="s">
        <v>19</v>
      </c>
      <c r="C91" s="19"/>
      <c r="D91" s="24" t="s">
        <v>218</v>
      </c>
      <c r="E91" s="64"/>
      <c r="F91" s="23" t="s">
        <v>209</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206</v>
      </c>
      <c r="B92" s="24" t="s">
        <v>19</v>
      </c>
      <c r="C92" s="19"/>
      <c r="D92" s="24" t="s">
        <v>180</v>
      </c>
      <c r="E92" s="64"/>
      <c r="F92" s="25" t="s">
        <v>160</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206</v>
      </c>
      <c r="B93" s="24" t="s">
        <v>19</v>
      </c>
      <c r="C93" s="19"/>
      <c r="D93" s="24" t="s">
        <v>201</v>
      </c>
      <c r="E93" s="64"/>
      <c r="F93" s="22" t="s">
        <v>174</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206</v>
      </c>
      <c r="B94" s="24" t="s">
        <v>19</v>
      </c>
      <c r="C94" s="19"/>
      <c r="D94" s="24" t="s">
        <v>203</v>
      </c>
      <c r="E94" s="64"/>
      <c r="F94" s="23" t="s">
        <v>176</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206</v>
      </c>
      <c r="B95" s="24" t="s">
        <v>19</v>
      </c>
      <c r="C95" s="19"/>
      <c r="D95" s="24" t="s">
        <v>219</v>
      </c>
      <c r="E95" s="64"/>
      <c r="F95" s="3" t="s">
        <v>161</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87" t="s">
        <v>472</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3" t="s">
        <v>344</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4" t="s">
        <v>9</v>
      </c>
      <c r="C98" s="3"/>
      <c r="D98" s="54" t="s">
        <v>305</v>
      </c>
      <c r="E98" s="69" t="s">
        <v>315</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4" t="s">
        <v>9</v>
      </c>
      <c r="C99" s="3"/>
      <c r="D99" s="54" t="s">
        <v>309</v>
      </c>
      <c r="E99" s="69" t="s">
        <v>314</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4" t="s">
        <v>9</v>
      </c>
      <c r="C100" s="3"/>
      <c r="D100" s="54" t="s">
        <v>316</v>
      </c>
      <c r="E100" s="69" t="s">
        <v>317</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4" t="s">
        <v>9</v>
      </c>
      <c r="C101" s="3"/>
      <c r="D101" s="54" t="s">
        <v>310</v>
      </c>
      <c r="E101" s="69" t="s">
        <v>311</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4" t="s">
        <v>9</v>
      </c>
      <c r="C102" s="3"/>
      <c r="D102" s="54" t="s">
        <v>312</v>
      </c>
      <c r="E102" s="69" t="s">
        <v>313</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4" t="s">
        <v>9</v>
      </c>
      <c r="C103" s="3"/>
      <c r="D103" s="54" t="s">
        <v>318</v>
      </c>
      <c r="E103" s="69" t="s">
        <v>319</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4" t="s">
        <v>9</v>
      </c>
      <c r="C104" s="3"/>
      <c r="D104" s="54" t="s">
        <v>320</v>
      </c>
      <c r="E104" s="69" t="s">
        <v>321</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4" t="s">
        <v>9</v>
      </c>
      <c r="C105" s="3"/>
      <c r="D105" s="54" t="s">
        <v>322</v>
      </c>
      <c r="E105" s="69" t="s">
        <v>323</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4" t="s">
        <v>9</v>
      </c>
      <c r="C106" s="54"/>
      <c r="D106" s="54" t="s">
        <v>324</v>
      </c>
      <c r="E106" s="69" t="s">
        <v>325</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255</v>
      </c>
      <c r="D107" s="3" t="s">
        <v>112</v>
      </c>
      <c r="E107" s="69" t="s">
        <v>326</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255</v>
      </c>
      <c r="D108" s="3" t="s">
        <v>113</v>
      </c>
      <c r="E108" s="69" t="s">
        <v>327</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255</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255</v>
      </c>
      <c r="D109" s="3" t="s">
        <v>114</v>
      </c>
      <c r="E109" s="69" t="s">
        <v>328</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255</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255</v>
      </c>
      <c r="D110" s="3" t="s">
        <v>115</v>
      </c>
      <c r="E110" s="69" t="s">
        <v>329</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255</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255</v>
      </c>
      <c r="D111" s="23" t="s">
        <v>216</v>
      </c>
      <c r="E111" s="69" t="s">
        <v>330</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255</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255</v>
      </c>
      <c r="D112" s="3" t="s">
        <v>116</v>
      </c>
      <c r="E112" s="69" t="s">
        <v>331</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255</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255</v>
      </c>
      <c r="D113" s="3" t="s">
        <v>117</v>
      </c>
      <c r="E113" s="69" t="s">
        <v>332</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255</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255</v>
      </c>
      <c r="D114" s="3" t="s">
        <v>118</v>
      </c>
      <c r="E114" s="69" t="s">
        <v>336</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255</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255</v>
      </c>
      <c r="D115" s="3" t="s">
        <v>119</v>
      </c>
      <c r="E115" s="69" t="s">
        <v>333</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255</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255</v>
      </c>
      <c r="D116" s="3" t="s">
        <v>120</v>
      </c>
      <c r="E116" s="69" t="s">
        <v>334</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255</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255</v>
      </c>
      <c r="D117" s="3" t="s">
        <v>121</v>
      </c>
      <c r="E117" s="69" t="s">
        <v>335</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255</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255</v>
      </c>
      <c r="D118" s="3" t="s">
        <v>122</v>
      </c>
      <c r="E118" s="69" t="s">
        <v>337</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255</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255</v>
      </c>
      <c r="D119" s="3" t="s">
        <v>123</v>
      </c>
      <c r="E119" s="69" t="s">
        <v>338</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255</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255</v>
      </c>
      <c r="D120" s="3" t="s">
        <v>124</v>
      </c>
      <c r="E120" s="69" t="s">
        <v>339</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255</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255</v>
      </c>
      <c r="D121" s="3" t="s">
        <v>125</v>
      </c>
      <c r="E121" s="71" t="s">
        <v>422</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255</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255</v>
      </c>
      <c r="D122" s="3" t="s">
        <v>126</v>
      </c>
      <c r="E122" s="71" t="s">
        <v>423</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255</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255</v>
      </c>
      <c r="D123" s="3" t="s">
        <v>127</v>
      </c>
      <c r="E123" s="71" t="s">
        <v>427</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255</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255</v>
      </c>
      <c r="D124" s="3" t="s">
        <v>128</v>
      </c>
      <c r="E124" s="69" t="s">
        <v>340</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255</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255</v>
      </c>
      <c r="D125" s="3" t="s">
        <v>129</v>
      </c>
      <c r="E125" s="71" t="s">
        <v>428</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255</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255</v>
      </c>
      <c r="D126" s="3" t="s">
        <v>130</v>
      </c>
      <c r="E126" s="71" t="s">
        <v>429</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255</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255</v>
      </c>
      <c r="D127" s="3" t="s">
        <v>131</v>
      </c>
      <c r="E127" s="71" t="s">
        <v>430</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255</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255</v>
      </c>
      <c r="D128" s="3" t="s">
        <v>132</v>
      </c>
      <c r="E128" s="69" t="s">
        <v>341</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255</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208</v>
      </c>
      <c r="B129" s="3" t="s">
        <v>4</v>
      </c>
      <c r="C129" s="3"/>
      <c r="D129" s="23" t="s">
        <v>208</v>
      </c>
      <c r="E129" s="70" t="s">
        <v>349</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208</v>
      </c>
      <c r="B130" s="3" t="s">
        <v>6</v>
      </c>
      <c r="C130" s="3"/>
      <c r="D130" s="3" t="s">
        <v>6</v>
      </c>
      <c r="E130" s="70" t="s">
        <v>350</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208</v>
      </c>
      <c r="B131" s="3" t="s">
        <v>8</v>
      </c>
      <c r="C131" s="3"/>
      <c r="D131" s="23" t="s">
        <v>197</v>
      </c>
      <c r="E131" s="63"/>
      <c r="F131" s="23" t="s">
        <v>165</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208</v>
      </c>
      <c r="B132" s="3" t="s">
        <v>7</v>
      </c>
      <c r="C132" s="3">
        <v>255</v>
      </c>
      <c r="D132" s="23" t="s">
        <v>60</v>
      </c>
      <c r="E132" s="70" t="s">
        <v>351</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255</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208</v>
      </c>
      <c r="B133" s="3" t="s">
        <v>7</v>
      </c>
      <c r="C133" s="3">
        <v>255</v>
      </c>
      <c r="D133" s="23" t="s">
        <v>14</v>
      </c>
      <c r="E133" s="71" t="s">
        <v>352</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255</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208</v>
      </c>
      <c r="B134" s="3" t="s">
        <v>110</v>
      </c>
      <c r="C134" s="3"/>
      <c r="D134" s="3" t="s">
        <v>145</v>
      </c>
      <c r="E134" s="70" t="s">
        <v>353</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CHECK WITH BUSINESS - IS THIS NEEDED</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208</v>
      </c>
      <c r="B135" s="3" t="s">
        <v>110</v>
      </c>
      <c r="C135" s="3"/>
      <c r="D135" s="3" t="s">
        <v>146</v>
      </c>
      <c r="E135" s="63" t="s">
        <v>353</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CHECK WITH BUSINESS - IS THIS NEEDED</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208</v>
      </c>
      <c r="B136" s="3" t="s">
        <v>110</v>
      </c>
      <c r="C136" s="3"/>
      <c r="D136" s="3" t="s">
        <v>147</v>
      </c>
      <c r="E136" s="63" t="s">
        <v>353</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CHECK WITH BUSINESS - IS THIS NEEDED</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208</v>
      </c>
      <c r="B137" s="3" t="s">
        <v>110</v>
      </c>
      <c r="C137" s="3"/>
      <c r="D137" s="3" t="s">
        <v>148</v>
      </c>
      <c r="E137" s="63" t="s">
        <v>353</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CHECK WITH BUSINESS - IS THIS NEEDED</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208</v>
      </c>
      <c r="B138" s="3" t="s">
        <v>110</v>
      </c>
      <c r="C138" s="3"/>
      <c r="D138" s="3" t="s">
        <v>149</v>
      </c>
      <c r="E138" s="63" t="s">
        <v>353</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CHECK WITH BUSINESS - IS THIS NEEDED</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208</v>
      </c>
      <c r="B139" s="55" t="s">
        <v>13</v>
      </c>
      <c r="C139" s="3"/>
      <c r="D139" s="55" t="s">
        <v>228</v>
      </c>
      <c r="E139" s="70" t="s">
        <v>354</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209</v>
      </c>
      <c r="B140" s="3" t="s">
        <v>4</v>
      </c>
      <c r="C140" s="3"/>
      <c r="D140" s="23" t="s">
        <v>209</v>
      </c>
      <c r="E140" s="87" t="s">
        <v>434</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209</v>
      </c>
      <c r="B141" s="3" t="s">
        <v>6</v>
      </c>
      <c r="C141" s="3"/>
      <c r="D141" s="3" t="s">
        <v>6</v>
      </c>
      <c r="E141" s="63" t="s">
        <v>348</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209</v>
      </c>
      <c r="B142" s="3" t="s">
        <v>8</v>
      </c>
      <c r="C142" s="3"/>
      <c r="D142" s="23" t="s">
        <v>204</v>
      </c>
      <c r="E142" s="63"/>
      <c r="F142" s="23" t="s">
        <v>206</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209</v>
      </c>
      <c r="B143" s="3" t="s">
        <v>8</v>
      </c>
      <c r="C143" s="3"/>
      <c r="D143" s="23" t="s">
        <v>20</v>
      </c>
      <c r="E143" s="72"/>
      <c r="F143" s="23" t="s">
        <v>211</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209</v>
      </c>
      <c r="B144" s="3" t="s">
        <v>13</v>
      </c>
      <c r="C144" s="3"/>
      <c r="D144" s="23" t="s">
        <v>210</v>
      </c>
      <c r="E144" s="70" t="s">
        <v>342</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REMOVED - likely not needed. Will talk to business.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209</v>
      </c>
      <c r="B145" s="3" t="s">
        <v>7</v>
      </c>
      <c r="C145" s="3">
        <v>255</v>
      </c>
      <c r="D145" s="23" t="s">
        <v>14</v>
      </c>
      <c r="E145" s="70" t="s">
        <v>343</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255</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211</v>
      </c>
      <c r="B146" s="3" t="s">
        <v>4</v>
      </c>
      <c r="C146" s="3"/>
      <c r="D146" s="23" t="s">
        <v>211</v>
      </c>
      <c r="E146" s="87" t="s">
        <v>435</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211</v>
      </c>
      <c r="B147" s="3" t="s">
        <v>6</v>
      </c>
      <c r="C147" s="3"/>
      <c r="D147" s="3" t="s">
        <v>6</v>
      </c>
      <c r="E147" s="63" t="s">
        <v>424</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211</v>
      </c>
      <c r="B148" s="3" t="s">
        <v>7</v>
      </c>
      <c r="C148" s="3">
        <v>255</v>
      </c>
      <c r="D148" s="23" t="s">
        <v>60</v>
      </c>
      <c r="E148" s="70" t="s">
        <v>355</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255</v>
      </c>
      <c r="U148" s="4" t="str">
        <f>IF(LEN(Table2[[#This Row],[!Name]]) &gt; 0, Table2[[#This Row],[!Name]], "rg:None")</f>
        <v>code</v>
      </c>
      <c r="V148" s="4" t="str">
        <f>IF(LEN(Table2[[#This Row],[!Description]]) &gt; 0, Table2[[#This Row],[!Description]], "rg:None")</f>
        <v>CHECK WITH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211</v>
      </c>
      <c r="B149" s="3" t="s">
        <v>7</v>
      </c>
      <c r="C149" s="3">
        <v>255</v>
      </c>
      <c r="D149" s="23" t="s">
        <v>14</v>
      </c>
      <c r="E149" s="70" t="s">
        <v>356</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255</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161</v>
      </c>
      <c r="B150" s="3" t="s">
        <v>4</v>
      </c>
      <c r="C150" s="3"/>
      <c r="D150" s="3" t="s">
        <v>161</v>
      </c>
      <c r="E150" s="70" t="s">
        <v>357</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161</v>
      </c>
      <c r="B151" s="3" t="s">
        <v>6</v>
      </c>
      <c r="C151" s="3"/>
      <c r="D151" s="3" t="s">
        <v>6</v>
      </c>
      <c r="E151" s="63" t="s">
        <v>425</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161</v>
      </c>
      <c r="B152" s="3" t="s">
        <v>12</v>
      </c>
      <c r="C152" s="3"/>
      <c r="D152" s="91" t="s">
        <v>32</v>
      </c>
      <c r="E152" s="87" t="s">
        <v>497</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9" t="s">
        <v>161</v>
      </c>
      <c r="B153" s="89" t="s">
        <v>12</v>
      </c>
      <c r="C153" s="19"/>
      <c r="D153" s="89" t="s">
        <v>33</v>
      </c>
      <c r="E153" s="88" t="s">
        <v>498</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161</v>
      </c>
      <c r="B154" s="3" t="s">
        <v>8</v>
      </c>
      <c r="C154" s="3"/>
      <c r="D154" s="23" t="s">
        <v>197</v>
      </c>
      <c r="E154" s="63"/>
      <c r="F154" s="23" t="s">
        <v>165</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161</v>
      </c>
      <c r="B155" s="3" t="s">
        <v>8</v>
      </c>
      <c r="C155" s="3"/>
      <c r="D155" s="23" t="s">
        <v>204</v>
      </c>
      <c r="E155" s="63"/>
      <c r="F155" s="23" t="s">
        <v>206</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161</v>
      </c>
      <c r="B156" s="3" t="s">
        <v>110</v>
      </c>
      <c r="C156" s="3"/>
      <c r="D156" s="23" t="s">
        <v>217</v>
      </c>
      <c r="E156" s="70" t="s">
        <v>360</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161</v>
      </c>
      <c r="B157" s="3" t="s">
        <v>8</v>
      </c>
      <c r="C157" s="3"/>
      <c r="D157" s="23" t="s">
        <v>162</v>
      </c>
      <c r="E157" s="63"/>
      <c r="F157" s="23" t="s">
        <v>156</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161</v>
      </c>
      <c r="B158" s="3" t="s">
        <v>7</v>
      </c>
      <c r="C158" s="3">
        <v>255</v>
      </c>
      <c r="D158" s="91" t="s">
        <v>478</v>
      </c>
      <c r="E158" s="87" t="s">
        <v>479</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255</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161</v>
      </c>
      <c r="B159" s="3" t="s">
        <v>110</v>
      </c>
      <c r="C159" s="3"/>
      <c r="D159" s="3" t="s">
        <v>141</v>
      </c>
      <c r="E159" s="70" t="s">
        <v>358</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161</v>
      </c>
      <c r="B160" s="3" t="s">
        <v>110</v>
      </c>
      <c r="C160" s="3"/>
      <c r="D160" s="91" t="s">
        <v>475</v>
      </c>
      <c r="E160" s="70" t="s">
        <v>359</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161</v>
      </c>
      <c r="B161" s="3" t="s">
        <v>110</v>
      </c>
      <c r="C161" s="3"/>
      <c r="D161" s="54" t="s">
        <v>293</v>
      </c>
      <c r="E161" s="69" t="s">
        <v>294</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161</v>
      </c>
      <c r="B162" s="3" t="s">
        <v>110</v>
      </c>
      <c r="C162" s="3"/>
      <c r="D162" s="54" t="s">
        <v>295</v>
      </c>
      <c r="E162" s="69" t="s">
        <v>296</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161</v>
      </c>
      <c r="B163" s="3" t="s">
        <v>110</v>
      </c>
      <c r="C163" s="3"/>
      <c r="D163" s="54" t="s">
        <v>298</v>
      </c>
      <c r="E163" s="69" t="s">
        <v>297</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156</v>
      </c>
      <c r="B164" s="3" t="s">
        <v>4</v>
      </c>
      <c r="C164" s="3"/>
      <c r="D164" s="3" t="s">
        <v>156</v>
      </c>
      <c r="E164" s="87" t="s">
        <v>436</v>
      </c>
      <c r="F164" s="3" t="s">
        <v>5</v>
      </c>
      <c r="G164" s="4"/>
      <c r="H164" s="4"/>
      <c r="I164" s="4" t="str">
        <f t="shared" ref="I164:I180"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'ownerCodePrefix'} ]</v>
      </c>
      <c r="Y164" s="4" t="str">
        <f>IF(LEN(Table2[[#This Row],[!Unique]])&gt;0,"rg:True","rg:None")</f>
        <v>rg:None</v>
      </c>
    </row>
    <row r="165" spans="1:25" x14ac:dyDescent="0.3">
      <c r="A165" s="3" t="s">
        <v>156</v>
      </c>
      <c r="B165" s="3" t="s">
        <v>6</v>
      </c>
      <c r="C165" s="3"/>
      <c r="D165" s="3" t="s">
        <v>6</v>
      </c>
      <c r="E165" s="63" t="s">
        <v>426</v>
      </c>
      <c r="F165" s="3" t="s">
        <v>5</v>
      </c>
      <c r="G165" s="4" t="s">
        <v>64</v>
      </c>
      <c r="H165" s="92" t="s">
        <v>64</v>
      </c>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'ownerCodePrefix'} ]</v>
      </c>
      <c r="Y165" s="4" t="str">
        <f>IF(LEN(Table2[[#This Row],[!Unique]])&gt;0,"rg:True","rg:None")</f>
        <v>rg:True</v>
      </c>
    </row>
    <row r="166" spans="1:25" ht="43.2" x14ac:dyDescent="0.3">
      <c r="A166" s="3" t="s">
        <v>156</v>
      </c>
      <c r="B166" s="3" t="s">
        <v>7</v>
      </c>
      <c r="C166" s="3">
        <v>255</v>
      </c>
      <c r="D166" s="55" t="s">
        <v>361</v>
      </c>
      <c r="E166" s="71" t="s">
        <v>362</v>
      </c>
      <c r="F166" s="3" t="s">
        <v>5</v>
      </c>
      <c r="G166" s="92" t="s">
        <v>64</v>
      </c>
      <c r="H166" s="92"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255</v>
      </c>
      <c r="U166" s="4" t="str">
        <f>IF(LEN(Table2[[#This Row],[!Name]]) &gt; 0, Table2[[#This Row],[!Name]], "rg:None")</f>
        <v>ownerCodePrefix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'ownerCodePrefix'} ]</v>
      </c>
      <c r="Y166" s="4" t="str">
        <f>IF(LEN(Table2[[#This Row],[!Unique]])&gt;0,"rg:True","rg:None")</f>
        <v>rg:True</v>
      </c>
    </row>
    <row r="167" spans="1:25" ht="28.8" x14ac:dyDescent="0.3">
      <c r="A167" s="89" t="s">
        <v>156</v>
      </c>
      <c r="B167" s="89" t="s">
        <v>7</v>
      </c>
      <c r="C167" s="19">
        <v>255</v>
      </c>
      <c r="D167" s="89" t="s">
        <v>476</v>
      </c>
      <c r="E167" s="88" t="s">
        <v>477</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255</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'ownerCodePrefix'} ]</v>
      </c>
      <c r="Y167" s="4" t="str">
        <f>IF(LEN(Table2[[#This Row],[!Unique]])&gt;0,"rg:True","rg:None")</f>
        <v>rg:None</v>
      </c>
    </row>
    <row r="168" spans="1:25" x14ac:dyDescent="0.3">
      <c r="A168" s="3" t="s">
        <v>156</v>
      </c>
      <c r="B168" s="27" t="s">
        <v>8</v>
      </c>
      <c r="C168" s="19"/>
      <c r="D168" s="27" t="s">
        <v>222</v>
      </c>
      <c r="E168" s="73" t="s">
        <v>223</v>
      </c>
      <c r="F168" s="30" t="s">
        <v>190</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'ownerCodePrefix'} ]</v>
      </c>
      <c r="Y168" s="4" t="str">
        <f>IF(LEN(Table2[[#This Row],[!Unique]])&gt;0,"rg:True","rg:None")</f>
        <v>rg:None</v>
      </c>
    </row>
    <row r="169" spans="1:25" x14ac:dyDescent="0.3">
      <c r="A169" s="3" t="s">
        <v>156</v>
      </c>
      <c r="B169" s="55" t="s">
        <v>8</v>
      </c>
      <c r="C169" s="3"/>
      <c r="D169" s="55" t="s">
        <v>197</v>
      </c>
      <c r="E169" s="63"/>
      <c r="F169" s="55" t="s">
        <v>165</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'ownerCodePrefix'} ]</v>
      </c>
      <c r="Y169" s="4" t="str">
        <f>IF(LEN(Table2[[#This Row],[!Unique]])&gt;0,"rg:True","rg:None")</f>
        <v>rg:None</v>
      </c>
    </row>
    <row r="170" spans="1:25" ht="28.8" x14ac:dyDescent="0.3">
      <c r="A170" s="3" t="s">
        <v>156</v>
      </c>
      <c r="B170" s="55" t="s">
        <v>9</v>
      </c>
      <c r="C170" s="3"/>
      <c r="D170" s="55" t="s">
        <v>363</v>
      </c>
      <c r="E170" s="70" t="s">
        <v>364</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'ownerCodePrefix'} ]</v>
      </c>
      <c r="Y170" s="4" t="str">
        <f>IF(LEN(Table2[[#This Row],[!Unique]])&gt;0,"rg:True","rg:None")</f>
        <v>rg:None</v>
      </c>
    </row>
    <row r="171" spans="1:25" x14ac:dyDescent="0.3">
      <c r="A171" s="3" t="s">
        <v>156</v>
      </c>
      <c r="B171" s="3" t="s">
        <v>7</v>
      </c>
      <c r="C171" s="3">
        <v>255</v>
      </c>
      <c r="D171" s="3" t="s">
        <v>133</v>
      </c>
      <c r="E171" s="70" t="s">
        <v>365</v>
      </c>
      <c r="F171" s="3" t="s">
        <v>5</v>
      </c>
      <c r="G171" s="4"/>
      <c r="H171" s="4"/>
      <c r="I171" s="4" t="str">
        <f t="shared" si="12"/>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255</v>
      </c>
      <c r="U171" s="4" t="str">
        <f>IF(LEN(Table2[[#This Row],[!Name]]) &gt; 0, Table2[[#This Row],[!Name]], "rg:None")</f>
        <v>comment</v>
      </c>
      <c r="V171" s="4" t="str">
        <f>IF(LEN(Table2[[#This Row],[!Description]]) &gt; 0, Table2[[#This Row],[!Description]], "rg:None")</f>
        <v>TO BE REMOVED - replaced with Notes</v>
      </c>
      <c r="W171" s="4" t="str">
        <f>IF(LEN(Table2[[#This Row],[!FK]])&gt;0,Table2[[#This Row],[!FK]],"rg:None")</f>
        <v>rg:None</v>
      </c>
      <c r="X171" s="15" t="str">
        <f>IF(LEN(concatif2(A:A,Table2[[#This Row],[!Table]],G:G,"Y",D:D,",")) &gt; 0,"rg:[ { 'req' : '"&amp;concatif2(A:A,Table2[[#This Row],[!Table]],G:G,"Y",D:D,"' }, { 'req': '")&amp;"'} ]","rg:[]")</f>
        <v>rg:[ { 'req' : 'id' }, { 'req': 'ownerCodePrefix'} ]</v>
      </c>
      <c r="Y171" s="4" t="str">
        <f>IF(LEN(Table2[[#This Row],[!Unique]])&gt;0,"rg:True","rg:None")</f>
        <v>rg:None</v>
      </c>
    </row>
    <row r="172" spans="1:25" x14ac:dyDescent="0.3">
      <c r="A172" s="3" t="s">
        <v>156</v>
      </c>
      <c r="B172" s="3" t="s">
        <v>13</v>
      </c>
      <c r="C172" s="3"/>
      <c r="D172" s="3" t="s">
        <v>157</v>
      </c>
      <c r="E172" s="70" t="s">
        <v>366</v>
      </c>
      <c r="F172" s="3" t="s">
        <v>5</v>
      </c>
      <c r="G172" s="4"/>
      <c r="H172" s="4"/>
      <c r="I172" s="4" t="str">
        <f t="shared" si="12"/>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WCBNum</v>
      </c>
      <c r="V172" s="4" t="str">
        <f>IF(LEN(Table2[[#This Row],[!Description]]) &gt; 0, Table2[[#This Row],[!Description]], "rg:None")</f>
        <v>TO BE REMOVED - not maintained by HETS Clerks</v>
      </c>
      <c r="W172" s="4" t="str">
        <f>IF(LEN(Table2[[#This Row],[!FK]])&gt;0,Table2[[#This Row],[!FK]],"rg:None")</f>
        <v>rg:None</v>
      </c>
      <c r="X172" s="15" t="str">
        <f>IF(LEN(concatif2(A:A,Table2[[#This Row],[!Table]],G:G,"Y",D:D,",")) &gt; 0,"rg:[ { 'req' : '"&amp;concatif2(A:A,Table2[[#This Row],[!Table]],G:G,"Y",D:D,"' }, { 'req': '")&amp;"'} ]","rg:[]")</f>
        <v>rg:[ { 'req' : 'id' }, { 'req': 'ownerCodePrefix'} ]</v>
      </c>
      <c r="Y172" s="4" t="str">
        <f>IF(LEN(Table2[[#This Row],[!Unique]])&gt;0,"rg:True","rg:None")</f>
        <v>rg:None</v>
      </c>
    </row>
    <row r="173" spans="1:25" x14ac:dyDescent="0.3">
      <c r="A173" s="3" t="s">
        <v>156</v>
      </c>
      <c r="B173" s="23" t="s">
        <v>12</v>
      </c>
      <c r="C173" s="3"/>
      <c r="D173" s="23" t="s">
        <v>198</v>
      </c>
      <c r="E173" s="70" t="s">
        <v>367</v>
      </c>
      <c r="F173" s="3" t="s">
        <v>5</v>
      </c>
      <c r="G173" s="4"/>
      <c r="H173" s="4"/>
      <c r="I173" s="4" t="str">
        <f t="shared" si="12"/>
        <v>Defs</v>
      </c>
      <c r="J173" s="4" t="str">
        <f>IF(Table2[[#This Row],[!Type]]=J$1, J$1,"rg:None")</f>
        <v>rg:None</v>
      </c>
      <c r="K173" s="4" t="str">
        <f>IF(Table2[[#This Row],[!Type]]=K$1, K$1,"rg:None")</f>
        <v>rg:None</v>
      </c>
      <c r="L173" s="4" t="str">
        <f>IF(Table2[[#This Row],[!Type]]=L$1, L$1,"rg:None")</f>
        <v>datetime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WCBExpiryDate</v>
      </c>
      <c r="V173" s="4" t="str">
        <f>IF(LEN(Table2[[#This Row],[!Description]]) &gt; 0, Table2[[#This Row],[!Description]], "rg:None")</f>
        <v>The expiration of the owner's current WCB permit.</v>
      </c>
      <c r="W173" s="4" t="str">
        <f>IF(LEN(Table2[[#This Row],[!FK]])&gt;0,Table2[[#This Row],[!FK]],"rg:None")</f>
        <v>rg:None</v>
      </c>
      <c r="X173" s="15" t="str">
        <f>IF(LEN(concatif2(A:A,Table2[[#This Row],[!Table]],G:G,"Y",D:D,",")) &gt; 0,"rg:[ { 'req' : '"&amp;concatif2(A:A,Table2[[#This Row],[!Table]],G:G,"Y",D:D,"' }, { 'req': '")&amp;"'} ]","rg:[]")</f>
        <v>rg:[ { 'req' : 'id' }, { 'req': 'ownerCodePrefix'} ]</v>
      </c>
      <c r="Y173" s="4" t="str">
        <f>IF(LEN(Table2[[#This Row],[!Unique]])&gt;0,"rg:True","rg:None")</f>
        <v>rg:None</v>
      </c>
    </row>
    <row r="174" spans="1:25" x14ac:dyDescent="0.3">
      <c r="A174" s="3" t="s">
        <v>156</v>
      </c>
      <c r="B174" s="3" t="s">
        <v>7</v>
      </c>
      <c r="C174" s="3">
        <v>255</v>
      </c>
      <c r="D174" s="3" t="s">
        <v>158</v>
      </c>
      <c r="E174" s="70" t="s">
        <v>366</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255</v>
      </c>
      <c r="U174" s="4" t="str">
        <f>IF(LEN(Table2[[#This Row],[!Name]]) &gt; 0, Table2[[#This Row],[!Name]], "rg:None")</f>
        <v>CGLCompany</v>
      </c>
      <c r="V174" s="4" t="str">
        <f>IF(LEN(Table2[[#This Row],[!Description]]) &gt; 0, Table2[[#This Row],[!Description]], "rg:None")</f>
        <v>TO BE REMOVED - not maintained by HETS Clerks</v>
      </c>
      <c r="W174" s="4" t="str">
        <f>IF(LEN(Table2[[#This Row],[!FK]])&gt;0,Table2[[#This Row],[!FK]],"rg:None")</f>
        <v>rg:None</v>
      </c>
      <c r="X174" s="15" t="str">
        <f>IF(LEN(concatif2(A:A,Table2[[#This Row],[!Table]],G:G,"Y",D:D,",")) &gt; 0,"rg:[ { 'req' : '"&amp;concatif2(A:A,Table2[[#This Row],[!Table]],G:G,"Y",D:D,"' }, { 'req': '")&amp;"'} ]","rg:[]")</f>
        <v>rg:[ { 'req' : 'id' }, { 'req': 'ownerCodePrefix'} ]</v>
      </c>
      <c r="Y174" s="4" t="str">
        <f>IF(LEN(Table2[[#This Row],[!Unique]])&gt;0,"rg:True","rg:None")</f>
        <v>rg:None</v>
      </c>
    </row>
    <row r="175" spans="1:25" x14ac:dyDescent="0.3">
      <c r="A175" s="3" t="s">
        <v>156</v>
      </c>
      <c r="B175" s="3" t="s">
        <v>7</v>
      </c>
      <c r="C175" s="3">
        <v>255</v>
      </c>
      <c r="D175" s="3" t="s">
        <v>159</v>
      </c>
      <c r="E175" s="70" t="s">
        <v>366</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CGLPolicy</v>
      </c>
      <c r="V175" s="4" t="str">
        <f>IF(LEN(Table2[[#This Row],[!Description]]) &gt; 0, Table2[[#This Row],[!Description]], "rg:None")</f>
        <v>TO BE REMOVED - not maintained by HETS Clerks</v>
      </c>
      <c r="W175" s="4" t="str">
        <f>IF(LEN(Table2[[#This Row],[!FK]])&gt;0,Table2[[#This Row],[!FK]],"rg:None")</f>
        <v>rg:None</v>
      </c>
      <c r="X175" s="15" t="str">
        <f>IF(LEN(concatif2(A:A,Table2[[#This Row],[!Table]],G:G,"Y",D:D,",")) &gt; 0,"rg:[ { 'req' : '"&amp;concatif2(A:A,Table2[[#This Row],[!Table]],G:G,"Y",D:D,"' }, { 'req': '")&amp;"'} ]","rg:[]")</f>
        <v>rg:[ { 'req' : 'id' }, { 'req': 'ownerCodePrefix'} ]</v>
      </c>
      <c r="Y175" s="4" t="str">
        <f>IF(LEN(Table2[[#This Row],[!Unique]])&gt;0,"rg:True","rg:None")</f>
        <v>rg:None</v>
      </c>
    </row>
    <row r="176" spans="1:25" x14ac:dyDescent="0.3">
      <c r="A176" s="3" t="s">
        <v>156</v>
      </c>
      <c r="B176" s="23" t="s">
        <v>12</v>
      </c>
      <c r="C176" s="3"/>
      <c r="D176" s="23" t="s">
        <v>199</v>
      </c>
      <c r="E176" s="70" t="s">
        <v>366</v>
      </c>
      <c r="F176" s="3" t="s">
        <v>5</v>
      </c>
      <c r="G176" s="4"/>
      <c r="H176" s="4"/>
      <c r="I176" s="4" t="str">
        <f t="shared" si="12"/>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CGLStartDate</v>
      </c>
      <c r="V176" s="4" t="str">
        <f>IF(LEN(Table2[[#This Row],[!Description]]) &gt; 0, Table2[[#This Row],[!Description]], "rg:None")</f>
        <v>TO BE REMOVED - not maintained by HETS Clerks</v>
      </c>
      <c r="W176" s="4" t="str">
        <f>IF(LEN(Table2[[#This Row],[!FK]])&gt;0,Table2[[#This Row],[!FK]],"rg:None")</f>
        <v>rg:None</v>
      </c>
      <c r="X176" s="15" t="str">
        <f>IF(LEN(concatif2(A:A,Table2[[#This Row],[!Table]],G:G,"Y",D:D,",")) &gt; 0,"rg:[ { 'req' : '"&amp;concatif2(A:A,Table2[[#This Row],[!Table]],G:G,"Y",D:D,"' }, { 'req': '")&amp;"'} ]","rg:[]")</f>
        <v>rg:[ { 'req' : 'id' }, { 'req': 'ownerCodePrefix'} ]</v>
      </c>
      <c r="Y176" s="4" t="str">
        <f>IF(LEN(Table2[[#This Row],[!Unique]])&gt;0,"rg:True","rg:None")</f>
        <v>rg:None</v>
      </c>
    </row>
    <row r="177" spans="1:25" ht="57.6" x14ac:dyDescent="0.3">
      <c r="A177" s="3" t="s">
        <v>156</v>
      </c>
      <c r="B177" s="23" t="s">
        <v>12</v>
      </c>
      <c r="C177" s="3"/>
      <c r="D177" s="23" t="s">
        <v>200</v>
      </c>
      <c r="E177" s="70" t="s">
        <v>368</v>
      </c>
      <c r="F177" s="3" t="s">
        <v>5</v>
      </c>
      <c r="G177" s="4"/>
      <c r="H177" s="4"/>
      <c r="I177" s="4" t="str">
        <f t="shared" si="12"/>
        <v>Defs</v>
      </c>
      <c r="J177" s="4" t="str">
        <f>IF(Table2[[#This Row],[!Type]]=J$1, J$1,"rg:None")</f>
        <v>rg:None</v>
      </c>
      <c r="K177" s="4" t="str">
        <f>IF(Table2[[#This Row],[!Type]]=K$1, K$1,"rg:None")</f>
        <v>rg:None</v>
      </c>
      <c r="L177" s="4" t="str">
        <f>IF(Table2[[#This Row],[!Type]]=L$1, L$1,"rg:None")</f>
        <v>datetime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CGLEndDate</v>
      </c>
      <c r="V17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7" s="4" t="str">
        <f>IF(LEN(Table2[[#This Row],[!FK]])&gt;0,Table2[[#This Row],[!FK]],"rg:None")</f>
        <v>rg:None</v>
      </c>
      <c r="X177" s="15" t="str">
        <f>IF(LEN(concatif2(A:A,Table2[[#This Row],[!Table]],G:G,"Y",D:D,",")) &gt; 0,"rg:[ { 'req' : '"&amp;concatif2(A:A,Table2[[#This Row],[!Table]],G:G,"Y",D:D,"' }, { 'req': '")&amp;"'} ]","rg:[]")</f>
        <v>rg:[ { 'req' : 'id' }, { 'req': 'ownerCodePrefix'} ]</v>
      </c>
      <c r="Y177" s="4" t="str">
        <f>IF(LEN(Table2[[#This Row],[!Unique]])&gt;0,"rg:True","rg:None")</f>
        <v>rg:None</v>
      </c>
    </row>
    <row r="178" spans="1:25" ht="57.6" x14ac:dyDescent="0.3">
      <c r="A178" s="3" t="s">
        <v>156</v>
      </c>
      <c r="B178" s="3" t="s">
        <v>7</v>
      </c>
      <c r="C178" s="3">
        <v>255</v>
      </c>
      <c r="D178" s="55" t="s">
        <v>275</v>
      </c>
      <c r="E178" s="70" t="s">
        <v>369</v>
      </c>
      <c r="F178" s="3" t="s">
        <v>5</v>
      </c>
      <c r="G178" s="4"/>
      <c r="H178" s="4"/>
      <c r="I178" s="4" t="str">
        <f t="shared" si="12"/>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255</v>
      </c>
      <c r="U178" s="4" t="str">
        <f>IF(LEN(Table2[[#This Row],[!Name]]) &gt; 0, Table2[[#This Row],[!Name]], "rg:None")</f>
        <v>status</v>
      </c>
      <c r="V17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8" s="4" t="str">
        <f>IF(LEN(Table2[[#This Row],[!FK]])&gt;0,Table2[[#This Row],[!FK]],"rg:None")</f>
        <v>rg:None</v>
      </c>
      <c r="X178" s="15" t="str">
        <f>IF(LEN(concatif2(A:A,Table2[[#This Row],[!Table]],G:G,"Y",D:D,",")) &gt; 0,"rg:[ { 'req' : '"&amp;concatif2(A:A,Table2[[#This Row],[!Table]],G:G,"Y",D:D,"' }, { 'req': '")&amp;"'} ]","rg:[]")</f>
        <v>rg:[ { 'req' : 'id' }, { 'req': 'ownerCodePrefix'} ]</v>
      </c>
      <c r="Y178" s="4" t="str">
        <f>IF(LEN(Table2[[#This Row],[!Unique]])&gt;0,"rg:True","rg:None")</f>
        <v>rg:None</v>
      </c>
    </row>
    <row r="179" spans="1:25" x14ac:dyDescent="0.3">
      <c r="A179" s="3" t="s">
        <v>156</v>
      </c>
      <c r="B179" s="3" t="s">
        <v>7</v>
      </c>
      <c r="C179" s="3">
        <v>255</v>
      </c>
      <c r="D179" s="55" t="s">
        <v>299</v>
      </c>
      <c r="E179" s="70" t="s">
        <v>370</v>
      </c>
      <c r="F179" s="3" t="s">
        <v>5</v>
      </c>
      <c r="G179" s="4"/>
      <c r="H179" s="4"/>
      <c r="I179" s="4" t="str">
        <f t="shared" si="12"/>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255</v>
      </c>
      <c r="U179" s="4" t="str">
        <f>IF(LEN(Table2[[#This Row],[!Name]]) &gt; 0, Table2[[#This Row],[!Name]], "rg:None")</f>
        <v>archiveCode</v>
      </c>
      <c r="V179" s="4" t="str">
        <f>IF(LEN(Table2[[#This Row],[!Description]]) &gt; 0, Table2[[#This Row],[!Description]], "rg:None")</f>
        <v>A coded reason for why an owner record has been moved to Archived.</v>
      </c>
      <c r="W179" s="4" t="str">
        <f>IF(LEN(Table2[[#This Row],[!FK]])&gt;0,Table2[[#This Row],[!FK]],"rg:None")</f>
        <v>rg:None</v>
      </c>
      <c r="X179" s="15" t="str">
        <f>IF(LEN(concatif2(A:A,Table2[[#This Row],[!Table]],G:G,"Y",D:D,",")) &gt; 0,"rg:[ { 'req' : '"&amp;concatif2(A:A,Table2[[#This Row],[!Table]],G:G,"Y",D:D,"' }, { 'req': '")&amp;"'} ]","rg:[]")</f>
        <v>rg:[ { 'req' : 'id' }, { 'req': 'ownerCodePrefix'} ]</v>
      </c>
      <c r="Y179" s="4" t="str">
        <f>IF(LEN(Table2[[#This Row],[!Unique]])&gt;0,"rg:True","rg:None")</f>
        <v>rg:None</v>
      </c>
    </row>
    <row r="180" spans="1:25" x14ac:dyDescent="0.3">
      <c r="A180" s="3" t="s">
        <v>156</v>
      </c>
      <c r="B180" s="3" t="s">
        <v>7</v>
      </c>
      <c r="C180" s="3">
        <v>2048</v>
      </c>
      <c r="D180" s="3" t="s">
        <v>144</v>
      </c>
      <c r="E180" s="70" t="s">
        <v>371</v>
      </c>
      <c r="F180" s="3" t="s">
        <v>5</v>
      </c>
      <c r="G180" s="4"/>
      <c r="H180" s="4"/>
      <c r="I180" s="4" t="str">
        <f t="shared" si="12"/>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2048</v>
      </c>
      <c r="U180" s="4" t="str">
        <f>IF(LEN(Table2[[#This Row],[!Name]]) &gt; 0, Table2[[#This Row],[!Name]], "rg:None")</f>
        <v>archiveReason</v>
      </c>
      <c r="V180" s="4" t="str">
        <f>IF(LEN(Table2[[#This Row],[!Description]]) &gt; 0, Table2[[#This Row],[!Description]], "rg:None")</f>
        <v>A text note about why the owner record has been changed to Archived.</v>
      </c>
      <c r="W180" s="4" t="str">
        <f>IF(LEN(Table2[[#This Row],[!FK]])&gt;0,Table2[[#This Row],[!FK]],"rg:None")</f>
        <v>rg:None</v>
      </c>
      <c r="X180" s="15" t="str">
        <f>IF(LEN(concatif2(A:A,Table2[[#This Row],[!Table]],G:G,"Y",D:D,",")) &gt; 0,"rg:[ { 'req' : '"&amp;concatif2(A:A,Table2[[#This Row],[!Table]],G:G,"Y",D:D,"' }, { 'req': '")&amp;"'} ]","rg:[]")</f>
        <v>rg:[ { 'req' : 'id' }, { 'req': 'ownerCodePrefix'} ]</v>
      </c>
      <c r="Y180" s="4" t="str">
        <f>IF(LEN(Table2[[#This Row],[!Unique]])&gt;0,"rg:True","rg:None")</f>
        <v>rg:None</v>
      </c>
    </row>
    <row r="181" spans="1:25" x14ac:dyDescent="0.3">
      <c r="A181" s="24" t="s">
        <v>156</v>
      </c>
      <c r="B181" s="24" t="s">
        <v>19</v>
      </c>
      <c r="C181" s="19"/>
      <c r="D181" s="24" t="s">
        <v>202</v>
      </c>
      <c r="E181" s="64"/>
      <c r="F181" s="23" t="s">
        <v>190</v>
      </c>
      <c r="G181" s="20"/>
      <c r="H181" s="20"/>
      <c r="I181" s="4" t="str">
        <f t="shared" ref="I181:I185" si="13">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contacts</v>
      </c>
      <c r="V181" s="4" t="str">
        <f>IF(LEN(Table2[[#This Row],[!Description]]) &gt; 0, Table2[[#This Row],[!Description]], "rg:None")</f>
        <v>rg:None</v>
      </c>
      <c r="W181" s="4" t="str">
        <f>IF(LEN(Table2[[#This Row],[!FK]])&gt;0,Table2[[#This Row],[!FK]],"rg:None")</f>
        <v>Contact</v>
      </c>
      <c r="X181" s="15" t="str">
        <f>IF(LEN(concatif2(A:A,Table2[[#This Row],[!Table]],G:G,"Y",D:D,",")) &gt; 0,"rg:[ { 'req' : '"&amp;concatif2(A:A,Table2[[#This Row],[!Table]],G:G,"Y",D:D,"' }, { 'req': '")&amp;"'} ]","rg:[]")</f>
        <v>rg:[ { 'req' : 'id' }, { 'req': 'ownerCodePrefix'} ]</v>
      </c>
      <c r="Y181" s="4" t="str">
        <f>IF(LEN(Table2[[#This Row],[!Unique]])&gt;0,"rg:True","rg:None")</f>
        <v>rg:None</v>
      </c>
    </row>
    <row r="182" spans="1:25" x14ac:dyDescent="0.3">
      <c r="A182" s="24" t="s">
        <v>156</v>
      </c>
      <c r="B182" s="24" t="s">
        <v>19</v>
      </c>
      <c r="C182" s="19"/>
      <c r="D182" s="24" t="s">
        <v>180</v>
      </c>
      <c r="E182" s="64"/>
      <c r="F182" s="25" t="s">
        <v>160</v>
      </c>
      <c r="G182" s="20"/>
      <c r="H182" s="20"/>
      <c r="I182" s="4" t="str">
        <f t="shared" si="13"/>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links</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notes</v>
      </c>
      <c r="V182" s="4" t="str">
        <f>IF(LEN(Table2[[#This Row],[!Description]]) &gt; 0, Table2[[#This Row],[!Description]], "rg:None")</f>
        <v>rg:None</v>
      </c>
      <c r="W182" s="4" t="str">
        <f>IF(LEN(Table2[[#This Row],[!FK]])&gt;0,Table2[[#This Row],[!FK]],"rg:None")</f>
        <v>Note</v>
      </c>
      <c r="X182" s="15" t="str">
        <f>IF(LEN(concatif2(A:A,Table2[[#This Row],[!Table]],G:G,"Y",D:D,",")) &gt; 0,"rg:[ { 'req' : '"&amp;concatif2(A:A,Table2[[#This Row],[!Table]],G:G,"Y",D:D,"' }, { 'req': '")&amp;"'} ]","rg:[]")</f>
        <v>rg:[ { 'req' : 'id' }, { 'req': 'ownerCodePrefix'} ]</v>
      </c>
      <c r="Y182" s="4" t="str">
        <f>IF(LEN(Table2[[#This Row],[!Unique]])&gt;0,"rg:True","rg:None")</f>
        <v>rg:None</v>
      </c>
    </row>
    <row r="183" spans="1:25" x14ac:dyDescent="0.3">
      <c r="A183" s="24" t="s">
        <v>156</v>
      </c>
      <c r="B183" s="24" t="s">
        <v>19</v>
      </c>
      <c r="C183" s="19"/>
      <c r="D183" s="24" t="s">
        <v>201</v>
      </c>
      <c r="E183" s="64"/>
      <c r="F183" s="22" t="s">
        <v>174</v>
      </c>
      <c r="G183" s="20"/>
      <c r="H183" s="20"/>
      <c r="I183" s="4" t="str">
        <f t="shared" si="13"/>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links</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attachments</v>
      </c>
      <c r="V183" s="4" t="str">
        <f>IF(LEN(Table2[[#This Row],[!Description]]) &gt; 0, Table2[[#This Row],[!Description]], "rg:None")</f>
        <v>rg:None</v>
      </c>
      <c r="W183" s="4" t="str">
        <f>IF(LEN(Table2[[#This Row],[!FK]])&gt;0,Table2[[#This Row],[!FK]],"rg:None")</f>
        <v>Attachment</v>
      </c>
      <c r="X183" s="15" t="str">
        <f>IF(LEN(concatif2(A:A,Table2[[#This Row],[!Table]],G:G,"Y",D:D,",")) &gt; 0,"rg:[ { 'req' : '"&amp;concatif2(A:A,Table2[[#This Row],[!Table]],G:G,"Y",D:D,"' }, { 'req': '")&amp;"'} ]","rg:[]")</f>
        <v>rg:[ { 'req' : 'id' }, { 'req': 'ownerCodePrefix'} ]</v>
      </c>
      <c r="Y183" s="4" t="str">
        <f>IF(LEN(Table2[[#This Row],[!Unique]])&gt;0,"rg:True","rg:None")</f>
        <v>rg:None</v>
      </c>
    </row>
    <row r="184" spans="1:25" x14ac:dyDescent="0.3">
      <c r="A184" s="24" t="s">
        <v>156</v>
      </c>
      <c r="B184" s="24" t="s">
        <v>19</v>
      </c>
      <c r="C184" s="19"/>
      <c r="D184" s="24" t="s">
        <v>203</v>
      </c>
      <c r="E184" s="64"/>
      <c r="F184" s="23" t="s">
        <v>176</v>
      </c>
      <c r="G184" s="20"/>
      <c r="H184" s="20"/>
      <c r="I184" s="4" t="str">
        <f t="shared" si="13"/>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links</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history</v>
      </c>
      <c r="V184" s="4" t="str">
        <f>IF(LEN(Table2[[#This Row],[!Description]]) &gt; 0, Table2[[#This Row],[!Description]], "rg:None")</f>
        <v>rg:None</v>
      </c>
      <c r="W184" s="4" t="str">
        <f>IF(LEN(Table2[[#This Row],[!FK]])&gt;0,Table2[[#This Row],[!FK]],"rg:None")</f>
        <v>History</v>
      </c>
      <c r="X184" s="15" t="str">
        <f>IF(LEN(concatif2(A:A,Table2[[#This Row],[!Table]],G:G,"Y",D:D,",")) &gt; 0,"rg:[ { 'req' : '"&amp;concatif2(A:A,Table2[[#This Row],[!Table]],G:G,"Y",D:D,"' }, { 'req': '")&amp;"'} ]","rg:[]")</f>
        <v>rg:[ { 'req' : 'id' }, { 'req': 'ownerCodePrefix'} ]</v>
      </c>
      <c r="Y184" s="4" t="str">
        <f>IF(LEN(Table2[[#This Row],[!Unique]])&gt;0,"rg:True","rg:None")</f>
        <v>rg:None</v>
      </c>
    </row>
    <row r="185" spans="1:25" x14ac:dyDescent="0.3">
      <c r="A185" s="24" t="s">
        <v>156</v>
      </c>
      <c r="B185" s="24" t="s">
        <v>19</v>
      </c>
      <c r="C185" s="19"/>
      <c r="D185" s="24" t="s">
        <v>205</v>
      </c>
      <c r="E185" s="64"/>
      <c r="F185" s="23" t="s">
        <v>206</v>
      </c>
      <c r="G185" s="20"/>
      <c r="H185" s="20"/>
      <c r="I185" s="4" t="str">
        <f t="shared" si="13"/>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links</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equipmentList</v>
      </c>
      <c r="V185" s="4" t="str">
        <f>IF(LEN(Table2[[#This Row],[!Description]]) &gt; 0, Table2[[#This Row],[!Description]], "rg:None")</f>
        <v>rg:None</v>
      </c>
      <c r="W185" s="4" t="str">
        <f>IF(LEN(Table2[[#This Row],[!FK]])&gt;0,Table2[[#This Row],[!FK]],"rg:None")</f>
        <v>Equipment</v>
      </c>
      <c r="X185" s="15" t="str">
        <f>IF(LEN(concatif2(A:A,Table2[[#This Row],[!Table]],G:G,"Y",D:D,",")) &gt; 0,"rg:[ { 'req' : '"&amp;concatif2(A:A,Table2[[#This Row],[!Table]],G:G,"Y",D:D,"' }, { 'req': '")&amp;"'} ]","rg:[]")</f>
        <v>rg:[ { 'req' : 'id' }, { 'req': 'ownerCodePrefix'} ]</v>
      </c>
      <c r="Y185" s="4" t="str">
        <f>IF(LEN(Table2[[#This Row],[!Unique]])&gt;0,"rg:True","rg:None")</f>
        <v>rg:None</v>
      </c>
    </row>
    <row r="186" spans="1:25" ht="28.8" x14ac:dyDescent="0.3">
      <c r="A186" s="22" t="s">
        <v>190</v>
      </c>
      <c r="B186" s="3" t="s">
        <v>4</v>
      </c>
      <c r="C186" s="3"/>
      <c r="D186" s="22" t="s">
        <v>190</v>
      </c>
      <c r="E186" s="87" t="s">
        <v>437</v>
      </c>
      <c r="F186" s="3" t="s">
        <v>5</v>
      </c>
      <c r="G186" s="4"/>
      <c r="H186" s="4"/>
      <c r="I186" s="5" t="str">
        <f t="shared" ref="I186:I205" si="14">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Contact</v>
      </c>
      <c r="V186" s="4" t="str">
        <f>IF(LEN(Table2[[#This Row],[!Description]]) &gt; 0, Table2[[#This Row],[!Description]], "rg:None")</f>
        <v>A person and their related contact information linked to one or more entities in the system. For examples, there are contacts for Owners, Projects.</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190</v>
      </c>
      <c r="B187" s="3" t="s">
        <v>6</v>
      </c>
      <c r="C187" s="3"/>
      <c r="D187" s="3" t="s">
        <v>6</v>
      </c>
      <c r="E187" s="63" t="s">
        <v>372</v>
      </c>
      <c r="F187" s="3" t="s">
        <v>5</v>
      </c>
      <c r="G187" s="4" t="s">
        <v>64</v>
      </c>
      <c r="H187" s="56" t="s">
        <v>64</v>
      </c>
      <c r="I187" s="5" t="str">
        <f t="shared" si="14"/>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 Contact</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rg:True</v>
      </c>
    </row>
    <row r="188" spans="1:25" x14ac:dyDescent="0.3">
      <c r="A188" s="22" t="s">
        <v>190</v>
      </c>
      <c r="B188" s="3" t="s">
        <v>7</v>
      </c>
      <c r="C188" s="3">
        <v>50</v>
      </c>
      <c r="D188" s="3" t="s">
        <v>16</v>
      </c>
      <c r="E188" s="63" t="s">
        <v>178</v>
      </c>
      <c r="F188" s="3" t="s">
        <v>5</v>
      </c>
      <c r="G188" s="56" t="s">
        <v>64</v>
      </c>
      <c r="H188" s="56"/>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string</v>
      </c>
      <c r="S188" s="4" t="str">
        <f>IF(Table2[[#This Row],[!Type]]=S$1, S$1,"rg:None")</f>
        <v>rg:None</v>
      </c>
      <c r="T188" s="4">
        <f>IF(LEN(Table2[[#This Row],[!Length]]) &gt; 0, Table2[[#This Row],[!Length]], "rg:None")</f>
        <v>50</v>
      </c>
      <c r="U188" s="4" t="str">
        <f>IF(LEN(Table2[[#This Row],[!Name]]) &gt; 0, Table2[[#This Row],[!Name]], "rg:None")</f>
        <v>givenName</v>
      </c>
      <c r="V188" s="4" t="str">
        <f>IF(LEN(Table2[[#This Row],[!Description]]) &gt; 0, Table2[[#This Row],[!Description]], "rg:None")</f>
        <v>The given name of the contact.</v>
      </c>
      <c r="W188" s="4" t="str">
        <f>IF(LEN(Table2[[#This Row],[!FK]])&gt;0,Table2[[#This Row],[!FK]],"rg:None")</f>
        <v>rg:None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190</v>
      </c>
      <c r="B189" s="3" t="s">
        <v>7</v>
      </c>
      <c r="C189" s="3">
        <v>50</v>
      </c>
      <c r="D189" s="3" t="s">
        <v>17</v>
      </c>
      <c r="E189" s="63" t="s">
        <v>179</v>
      </c>
      <c r="F189" s="3" t="s">
        <v>5</v>
      </c>
      <c r="G189" s="56" t="s">
        <v>64</v>
      </c>
      <c r="H189" s="56"/>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50</v>
      </c>
      <c r="U189" s="4" t="str">
        <f>IF(LEN(Table2[[#This Row],[!Name]]) &gt; 0, Table2[[#This Row],[!Name]], "rg:None")</f>
        <v>surname</v>
      </c>
      <c r="V189" s="4" t="str">
        <f>IF(LEN(Table2[[#This Row],[!Description]]) &gt; 0, Table2[[#This Row],[!Description]], "rg:None")</f>
        <v>The surname of the contact.</v>
      </c>
      <c r="W189" s="4" t="str">
        <f>IF(LEN(Table2[[#This Row],[!FK]])&gt;0,Table2[[#This Row],[!FK]],"rg:None")</f>
        <v>rg:None</v>
      </c>
      <c r="X189" s="15" t="str">
        <f>IF(LEN(concatif2(A:A,Table2[[#This Row],[!Table]],G:G,"Y",D:D,",")) &gt; 0,"rg:[ { 'req' : '"&amp;concatif2(A:A,Table2[[#This Row],[!Table]],G:G,"Y",D:D,"' }, { 'req': '")&amp;"'} ]","rg:[]")</f>
        <v>rg:[ { 'req' : 'id' }, { 'req': 'givenName' }, { 'req': 'surname' }, { 'req': 'role'} ]</v>
      </c>
      <c r="Y189" s="4" t="str">
        <f>IF(LEN(Table2[[#This Row],[!Unique]])&gt;0,"rg:True","rg:None")</f>
        <v>rg:None</v>
      </c>
    </row>
    <row r="190" spans="1:25" ht="28.8" x14ac:dyDescent="0.3">
      <c r="A190" s="22" t="s">
        <v>190</v>
      </c>
      <c r="B190" s="3" t="s">
        <v>7</v>
      </c>
      <c r="C190" s="3">
        <v>100</v>
      </c>
      <c r="D190" s="3" t="s">
        <v>18</v>
      </c>
      <c r="E190" s="63" t="s">
        <v>373</v>
      </c>
      <c r="F190" s="3" t="s">
        <v>5</v>
      </c>
      <c r="G190" s="56" t="s">
        <v>64</v>
      </c>
      <c r="H190" s="56"/>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role</v>
      </c>
      <c r="V190" s="4" t="str">
        <f>IF(LEN(Table2[[#This Row],[!Description]]) &gt; 0, Table2[[#This Row],[!Description]], "rg:None")</f>
        <v>The role of the contact. UI controlled as to whether it is free form or selected from an enumerated list - for initial implementation, the field is freeform.</v>
      </c>
      <c r="W190" s="4" t="str">
        <f>IF(LEN(Table2[[#This Row],[!FK]])&gt;0,Table2[[#This Row],[!FK]],"rg:None")</f>
        <v>rg:None</v>
      </c>
      <c r="X190" s="15" t="str">
        <f>IF(LEN(concatif2(A:A,Table2[[#This Row],[!Table]],G:G,"Y",D:D,",")) &gt; 0,"rg:[ { 'req' : '"&amp;concatif2(A:A,Table2[[#This Row],[!Table]],G:G,"Y",D:D,"' }, { 'req': '")&amp;"'} ]","rg:[]")</f>
        <v>rg:[ { 'req' : 'id' }, { 'req': 'givenName' }, { 'req': 'surname' }, { 'req': 'role'} ]</v>
      </c>
      <c r="Y190" s="4" t="str">
        <f>IF(LEN(Table2[[#This Row],[!Unique]])&gt;0,"rg:True","rg:None")</f>
        <v>rg:None</v>
      </c>
    </row>
    <row r="191" spans="1:25" x14ac:dyDescent="0.3">
      <c r="A191" s="22" t="s">
        <v>190</v>
      </c>
      <c r="B191" s="3" t="s">
        <v>7</v>
      </c>
      <c r="C191" s="3">
        <v>150</v>
      </c>
      <c r="D191" s="3" t="s">
        <v>180</v>
      </c>
      <c r="E191" s="63" t="s">
        <v>374</v>
      </c>
      <c r="F191" s="3" t="s">
        <v>5</v>
      </c>
      <c r="G191" s="4"/>
      <c r="H191" s="4"/>
      <c r="I191" s="5" t="str">
        <f t="shared" si="14"/>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notes</v>
      </c>
      <c r="V191" s="4" t="str">
        <f>IF(LEN(Table2[[#This Row],[!Description]]) &gt; 0, Table2[[#This Row],[!Description]], "rg:None")</f>
        <v>A note about the contact maintained by the users.</v>
      </c>
      <c r="W191" s="4" t="str">
        <f>IF(LEN(Table2[[#This Row],[!FK]])&gt;0,Table2[[#This Row],[!FK]],"rg:None")</f>
        <v>rg:None</v>
      </c>
      <c r="X191" s="15" t="str">
        <f>IF(LEN(concatif2(A:A,Table2[[#This Row],[!Table]],G:G,"Y",D:D,",")) &gt; 0,"rg:[ { 'req' : '"&amp;concatif2(A:A,Table2[[#This Row],[!Table]],G:G,"Y",D:D,"' }, { 'req': '")&amp;"'} ]","rg:[]")</f>
        <v>rg:[ { 'req' : 'id' }, { 'req': 'givenName' }, { 'req': 'surname' }, { 'req': 'role'} ]</v>
      </c>
      <c r="Y191" s="4" t="str">
        <f>IF(LEN(Table2[[#This Row],[!Unique]])&gt;0,"rg:True","rg:None")</f>
        <v>rg:None</v>
      </c>
    </row>
    <row r="192" spans="1:25" x14ac:dyDescent="0.3">
      <c r="A192" s="22" t="s">
        <v>190</v>
      </c>
      <c r="B192" s="3" t="s">
        <v>19</v>
      </c>
      <c r="C192" s="3"/>
      <c r="D192" s="22" t="s">
        <v>193</v>
      </c>
      <c r="E192" s="63"/>
      <c r="F192" s="22" t="s">
        <v>191</v>
      </c>
      <c r="G192" s="4"/>
      <c r="H192" s="4"/>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links</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phones</v>
      </c>
      <c r="V192" s="4" t="str">
        <f>IF(LEN(Table2[[#This Row],[!Description]]) &gt; 0, Table2[[#This Row],[!Description]], "rg:None")</f>
        <v>rg:None</v>
      </c>
      <c r="W192" s="4" t="str">
        <f>IF(LEN(Table2[[#This Row],[!FK]])&gt;0,Table2[[#This Row],[!FK]],"rg:None")</f>
        <v>ContactPhone</v>
      </c>
      <c r="X192" s="15" t="str">
        <f>IF(LEN(concatif2(A:A,Table2[[#This Row],[!Table]],G:G,"Y",D:D,",")) &gt; 0,"rg:[ { 'req' : '"&amp;concatif2(A:A,Table2[[#This Row],[!Table]],G:G,"Y",D:D,"' }, { 'req': '")&amp;"'} ]","rg:[]")</f>
        <v>rg:[ { 'req' : 'id' }, { 'req': 'givenName' }, { 'req': 'surname' }, { 'req': 'role'} ]</v>
      </c>
      <c r="Y192" s="4" t="str">
        <f>IF(LEN(Table2[[#This Row],[!Unique]])&gt;0,"rg:True","rg:None")</f>
        <v>rg:None</v>
      </c>
    </row>
    <row r="193" spans="1:25" x14ac:dyDescent="0.3">
      <c r="A193" s="22" t="s">
        <v>190</v>
      </c>
      <c r="B193" s="3" t="s">
        <v>19</v>
      </c>
      <c r="C193" s="3"/>
      <c r="D193" s="22" t="s">
        <v>194</v>
      </c>
      <c r="E193" s="63"/>
      <c r="F193" s="22" t="s">
        <v>192</v>
      </c>
      <c r="G193" s="4"/>
      <c r="H193" s="4"/>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links</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addresses</v>
      </c>
      <c r="V193" s="4" t="str">
        <f>IF(LEN(Table2[[#This Row],[!Description]]) &gt; 0, Table2[[#This Row],[!Description]], "rg:None")</f>
        <v>rg:None</v>
      </c>
      <c r="W193" s="4" t="str">
        <f>IF(LEN(Table2[[#This Row],[!FK]])&gt;0,Table2[[#This Row],[!FK]],"rg:None")</f>
        <v>ContactAddress</v>
      </c>
      <c r="X193" s="15" t="str">
        <f>IF(LEN(concatif2(A:A,Table2[[#This Row],[!Table]],G:G,"Y",D:D,",")) &gt; 0,"rg:[ { 'req' : '"&amp;concatif2(A:A,Table2[[#This Row],[!Table]],G:G,"Y",D:D,"' }, { 'req': '")&amp;"'} ]","rg:[]")</f>
        <v>rg:[ { 'req' : 'id' }, { 'req': 'givenName' }, { 'req': 'surname' }, { 'req': 'role'} ]</v>
      </c>
      <c r="Y193" s="4" t="str">
        <f>IF(LEN(Table2[[#This Row],[!Unique]])&gt;0,"rg:True","rg:None")</f>
        <v>rg:None</v>
      </c>
    </row>
    <row r="194" spans="1:25" x14ac:dyDescent="0.3">
      <c r="A194" s="22" t="s">
        <v>191</v>
      </c>
      <c r="B194" s="3" t="s">
        <v>4</v>
      </c>
      <c r="C194" s="3"/>
      <c r="D194" s="22" t="s">
        <v>191</v>
      </c>
      <c r="E194" s="87" t="s">
        <v>438</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ContactPhone</v>
      </c>
      <c r="V194" s="4" t="str">
        <f>IF(LEN(Table2[[#This Row],[!Description]]) &gt; 0, Table2[[#This Row],[!Description]], "rg:None")</f>
        <v>Phone number information related to a contact.</v>
      </c>
      <c r="W194" s="4" t="str">
        <f>IF(LEN(Table2[[#This Row],[!FK]])&gt;0,Table2[[#This Row],[!FK]],"rg:None")</f>
        <v>rg:None</v>
      </c>
      <c r="X194" s="15" t="str">
        <f>IF(LEN(concatif2(A:A,Table2[[#This Row],[!Table]],G:G,"Y",D:D,",")) &gt; 0,"rg:[ { 'req' : '"&amp;concatif2(A:A,Table2[[#This Row],[!Table]],G:G,"Y",D:D,"' }, { 'req': '")&amp;"'} ]","rg:[]")</f>
        <v>rg:[ { 'req' : 'id' }, { 'req': 'type' }, { 'req': 'phoneNumber'} ]</v>
      </c>
      <c r="Y194" s="4" t="str">
        <f>IF(LEN(Table2[[#This Row],[!Unique]])&gt;0,"rg:True","rg:None")</f>
        <v>rg:None</v>
      </c>
    </row>
    <row r="195" spans="1:25" x14ac:dyDescent="0.3">
      <c r="A195" s="22" t="s">
        <v>191</v>
      </c>
      <c r="B195" s="3" t="s">
        <v>6</v>
      </c>
      <c r="C195" s="3"/>
      <c r="D195" s="3" t="s">
        <v>6</v>
      </c>
      <c r="E195" s="63" t="s">
        <v>375</v>
      </c>
      <c r="F195" s="3" t="s">
        <v>5</v>
      </c>
      <c r="G195" s="4" t="s">
        <v>64</v>
      </c>
      <c r="H195" s="56" t="s">
        <v>64</v>
      </c>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ContactPhone</v>
      </c>
      <c r="W195" s="4" t="str">
        <f>IF(LEN(Table2[[#This Row],[!FK]])&gt;0,Table2[[#This Row],[!FK]],"rg:None")</f>
        <v>rg:None</v>
      </c>
      <c r="X195" s="15" t="str">
        <f>IF(LEN(concatif2(A:A,Table2[[#This Row],[!Table]],G:G,"Y",D:D,",")) &gt; 0,"rg:[ { 'req' : '"&amp;concatif2(A:A,Table2[[#This Row],[!Table]],G:G,"Y",D:D,"' }, { 'req': '")&amp;"'} ]","rg:[]")</f>
        <v>rg:[ { 'req' : 'id' }, { 'req': 'type' }, { 'req': 'phoneNumber'} ]</v>
      </c>
      <c r="Y195" s="4" t="str">
        <f>IF(LEN(Table2[[#This Row],[!Unique]])&gt;0,"rg:True","rg:None")</f>
        <v>rg:True</v>
      </c>
    </row>
    <row r="196" spans="1:25" ht="28.8" x14ac:dyDescent="0.3">
      <c r="A196" s="22" t="s">
        <v>191</v>
      </c>
      <c r="B196" s="3" t="s">
        <v>7</v>
      </c>
      <c r="C196" s="3">
        <v>100</v>
      </c>
      <c r="D196" s="3" t="s">
        <v>20</v>
      </c>
      <c r="E196" s="63" t="s">
        <v>376</v>
      </c>
      <c r="F196" s="3" t="s">
        <v>5</v>
      </c>
      <c r="G196" s="56" t="s">
        <v>64</v>
      </c>
      <c r="H196" s="56"/>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phone number. UI controlled as to whether it is free form or selected from an enumerated list.  Ex. Home, Cell, Work etc..</v>
      </c>
      <c r="W196" s="4" t="str">
        <f>IF(LEN(Table2[[#This Row],[!FK]])&gt;0,Table2[[#This Row],[!FK]],"rg:None")</f>
        <v>rg:None</v>
      </c>
      <c r="X196" s="15" t="str">
        <f>IF(LEN(concatif2(A:A,Table2[[#This Row],[!Table]],G:G,"Y",D:D,",")) &gt; 0,"rg:[ { 'req' : '"&amp;concatif2(A:A,Table2[[#This Row],[!Table]],G:G,"Y",D:D,"' }, { 'req': '")&amp;"'} ]","rg:[]")</f>
        <v>rg:[ { 'req' : 'id' }, { 'req': 'type' }, { 'req': 'phoneNumber'} ]</v>
      </c>
      <c r="Y196" s="4" t="str">
        <f>IF(LEN(Table2[[#This Row],[!Unique]])&gt;0,"rg:True","rg:None")</f>
        <v>rg:None</v>
      </c>
    </row>
    <row r="197" spans="1:25" x14ac:dyDescent="0.3">
      <c r="A197" s="22" t="s">
        <v>191</v>
      </c>
      <c r="B197" s="3" t="s">
        <v>7</v>
      </c>
      <c r="C197" s="3">
        <v>20</v>
      </c>
      <c r="D197" s="3" t="s">
        <v>181</v>
      </c>
      <c r="E197" s="63" t="s">
        <v>182</v>
      </c>
      <c r="F197" s="3" t="s">
        <v>5</v>
      </c>
      <c r="G197" s="56" t="s">
        <v>64</v>
      </c>
      <c r="H197" s="56"/>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20</v>
      </c>
      <c r="U197" s="4" t="str">
        <f>IF(LEN(Table2[[#This Row],[!Name]]) &gt; 0, Table2[[#This Row],[!Name]], "rg:None")</f>
        <v>phoneNumber</v>
      </c>
      <c r="V197" s="4" t="str">
        <f>IF(LEN(Table2[[#This Row],[!Description]]) &gt; 0, Table2[[#This Row],[!Description]], "rg:None")</f>
        <v>The phone number of the contact. Entered as free form to support a range of formats.</v>
      </c>
      <c r="W197" s="4" t="str">
        <f>IF(LEN(Table2[[#This Row],[!FK]])&gt;0,Table2[[#This Row],[!FK]],"rg:None")</f>
        <v>rg:None</v>
      </c>
      <c r="X197" s="15" t="str">
        <f>IF(LEN(concatif2(A:A,Table2[[#This Row],[!Table]],G:G,"Y",D:D,",")) &gt; 0,"rg:[ { 'req' : '"&amp;concatif2(A:A,Table2[[#This Row],[!Table]],G:G,"Y",D:D,"' }, { 'req': '")&amp;"'} ]","rg:[]")</f>
        <v>rg:[ { 'req' : 'id' }, { 'req': 'type' }, { 'req': 'phoneNumber'} ]</v>
      </c>
      <c r="Y197" s="4" t="str">
        <f>IF(LEN(Table2[[#This Row],[!Unique]])&gt;0,"rg:True","rg:None")</f>
        <v>rg:None</v>
      </c>
    </row>
    <row r="198" spans="1:25" x14ac:dyDescent="0.3">
      <c r="A198" s="22" t="s">
        <v>192</v>
      </c>
      <c r="B198" s="3" t="s">
        <v>4</v>
      </c>
      <c r="C198" s="3"/>
      <c r="D198" s="22" t="s">
        <v>192</v>
      </c>
      <c r="E198" s="87" t="s">
        <v>439</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ContactAddress</v>
      </c>
      <c r="V198" s="4" t="str">
        <f>IF(LEN(Table2[[#This Row],[!Description]]) &gt; 0, Table2[[#This Row],[!Description]], "rg:None")</f>
        <v>Address information related to a contact.</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192</v>
      </c>
      <c r="B199" s="3" t="s">
        <v>6</v>
      </c>
      <c r="C199" s="3"/>
      <c r="D199" s="3" t="s">
        <v>6</v>
      </c>
      <c r="E199" s="63" t="s">
        <v>377</v>
      </c>
      <c r="F199" s="3" t="s">
        <v>5</v>
      </c>
      <c r="G199" s="4" t="s">
        <v>64</v>
      </c>
      <c r="H199" s="56" t="s">
        <v>64</v>
      </c>
      <c r="I199" s="5" t="str">
        <f t="shared" si="14"/>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ContactAddress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rg:True</v>
      </c>
    </row>
    <row r="200" spans="1:25" ht="28.8" x14ac:dyDescent="0.3">
      <c r="A200" s="22" t="s">
        <v>192</v>
      </c>
      <c r="B200" s="3" t="s">
        <v>7</v>
      </c>
      <c r="C200" s="3">
        <v>100</v>
      </c>
      <c r="D200" s="3" t="s">
        <v>20</v>
      </c>
      <c r="E200" s="63" t="s">
        <v>378</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100</v>
      </c>
      <c r="U200" s="4" t="str">
        <f>IF(LEN(Table2[[#This Row],[!Name]]) &gt; 0, Table2[[#This Row],[!Name]], "rg:None")</f>
        <v>type</v>
      </c>
      <c r="V200" s="4" t="str">
        <f>IF(LEN(Table2[[#This Row],[!Description]]) &gt; 0, Table2[[#This Row],[!Description]], "rg:None")</f>
        <v>The type of the address. UI controlled as to whether it is free form or selected from an enumerated list ex. Home, Office, etc..</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192</v>
      </c>
      <c r="B201" s="3" t="s">
        <v>7</v>
      </c>
      <c r="C201" s="3">
        <v>255</v>
      </c>
      <c r="D201" s="22" t="s">
        <v>195</v>
      </c>
      <c r="E201" s="63" t="s">
        <v>183</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255</v>
      </c>
      <c r="U201" s="4" t="str">
        <f>IF(LEN(Table2[[#This Row],[!Name]]) &gt; 0, Table2[[#This Row],[!Name]], "rg:None")</f>
        <v>addressLine1</v>
      </c>
      <c r="V201" s="4" t="str">
        <f>IF(LEN(Table2[[#This Row],[!Description]]) &gt; 0, Table2[[#This Row],[!Description]], "rg:None")</f>
        <v>Address 1 line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22" t="s">
        <v>192</v>
      </c>
      <c r="B202" s="3" t="s">
        <v>7</v>
      </c>
      <c r="C202" s="3">
        <v>255</v>
      </c>
      <c r="D202" s="22" t="s">
        <v>196</v>
      </c>
      <c r="E202" s="63" t="s">
        <v>184</v>
      </c>
      <c r="F202" s="3" t="s">
        <v>5</v>
      </c>
      <c r="G202" s="4"/>
      <c r="H202" s="4"/>
      <c r="I202" s="5" t="str">
        <f t="shared" si="14"/>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255</v>
      </c>
      <c r="U202" s="4" t="str">
        <f>IF(LEN(Table2[[#This Row],[!Name]]) &gt; 0, Table2[[#This Row],[!Name]], "rg:None")</f>
        <v>addressLine2</v>
      </c>
      <c r="V202" s="4" t="str">
        <f>IF(LEN(Table2[[#This Row],[!Description]]) &gt; 0, Table2[[#This Row],[!Description]], "rg:None")</f>
        <v>Address 2 line of the address.</v>
      </c>
      <c r="W202" s="4" t="str">
        <f>IF(LEN(Table2[[#This Row],[!FK]])&gt;0,Table2[[#This Row],[!FK]],"rg:None")</f>
        <v>rg:None</v>
      </c>
      <c r="X202" s="15" t="str">
        <f>IF(LEN(concatif2(A:A,Table2[[#This Row],[!Table]],G:G,"Y",D:D,",")) &gt; 0,"rg:[ { 'req' : '"&amp;concatif2(A:A,Table2[[#This Row],[!Table]],G:G,"Y",D:D,"' }, { 'req': '")&amp;"'} ]","rg:[]")</f>
        <v>rg:[ { 'req' : 'id'} ]</v>
      </c>
      <c r="Y202" s="4" t="str">
        <f>IF(LEN(Table2[[#This Row],[!Unique]])&gt;0,"rg:True","rg:None")</f>
        <v>rg:None</v>
      </c>
    </row>
    <row r="203" spans="1:25" x14ac:dyDescent="0.3">
      <c r="A203" s="22" t="s">
        <v>192</v>
      </c>
      <c r="B203" s="3" t="s">
        <v>7</v>
      </c>
      <c r="C203" s="3">
        <v>100</v>
      </c>
      <c r="D203" s="3" t="s">
        <v>21</v>
      </c>
      <c r="E203" s="63" t="s">
        <v>185</v>
      </c>
      <c r="F203" s="3" t="s">
        <v>5</v>
      </c>
      <c r="G203" s="4"/>
      <c r="H203" s="4"/>
      <c r="I203" s="5" t="str">
        <f t="shared" si="14"/>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100</v>
      </c>
      <c r="U203" s="4" t="str">
        <f>IF(LEN(Table2[[#This Row],[!Name]]) &gt; 0, Table2[[#This Row],[!Name]], "rg:None")</f>
        <v>city</v>
      </c>
      <c r="V203" s="4" t="str">
        <f>IF(LEN(Table2[[#This Row],[!Description]]) &gt; 0, Table2[[#This Row],[!Description]], "rg:None")</f>
        <v>The City of the address.</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22" t="s">
        <v>192</v>
      </c>
      <c r="B204" s="3" t="s">
        <v>7</v>
      </c>
      <c r="C204" s="3">
        <v>50</v>
      </c>
      <c r="D204" s="3" t="s">
        <v>186</v>
      </c>
      <c r="E204" s="63" t="s">
        <v>187</v>
      </c>
      <c r="F204" s="3" t="s">
        <v>5</v>
      </c>
      <c r="G204" s="4"/>
      <c r="H204" s="4"/>
      <c r="I204" s="5" t="str">
        <f t="shared" si="14"/>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50</v>
      </c>
      <c r="U204" s="4" t="str">
        <f>IF(LEN(Table2[[#This Row],[!Name]]) &gt; 0, Table2[[#This Row],[!Name]], "rg:None")</f>
        <v>province</v>
      </c>
      <c r="V204" s="4" t="str">
        <f>IF(LEN(Table2[[#This Row],[!Description]]) &gt; 0, Table2[[#This Row],[!Description]], "rg:None")</f>
        <v>The Province of the address.</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22" t="s">
        <v>192</v>
      </c>
      <c r="B205" s="3" t="s">
        <v>7</v>
      </c>
      <c r="C205" s="3">
        <v>15</v>
      </c>
      <c r="D205" s="3" t="s">
        <v>188</v>
      </c>
      <c r="E205" s="63" t="s">
        <v>189</v>
      </c>
      <c r="F205" s="3" t="s">
        <v>5</v>
      </c>
      <c r="G205" s="4"/>
      <c r="H205" s="4"/>
      <c r="I205" s="5" t="str">
        <f t="shared" si="14"/>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15</v>
      </c>
      <c r="U205" s="4" t="str">
        <f>IF(LEN(Table2[[#This Row],[!Name]]) &gt; 0, Table2[[#This Row],[!Name]], "rg:None")</f>
        <v>postalCode</v>
      </c>
      <c r="V205" s="4" t="str">
        <f>IF(LEN(Table2[[#This Row],[!Description]]) &gt; 0, Table2[[#This Row],[!Description]], "rg:None")</f>
        <v>The postal code of the address.</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ht="28.8" x14ac:dyDescent="0.3">
      <c r="A206" s="22" t="s">
        <v>160</v>
      </c>
      <c r="B206" s="3" t="s">
        <v>4</v>
      </c>
      <c r="C206" s="3"/>
      <c r="D206" s="3" t="s">
        <v>160</v>
      </c>
      <c r="E206" s="87" t="s">
        <v>440</v>
      </c>
      <c r="F206" s="3" t="s">
        <v>5</v>
      </c>
      <c r="G206" s="4"/>
      <c r="H206" s="4"/>
      <c r="I206" s="5" t="str">
        <f t="shared" ref="I206:I217" si="15">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Note</v>
      </c>
      <c r="V206" s="4" t="str">
        <f>IF(LEN(Table2[[#This Row],[!Description]]) &gt; 0, Table2[[#This Row],[!Description]], "rg:None")</f>
        <v>Text entered about an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'text'} ]</v>
      </c>
      <c r="Y206" s="4" t="str">
        <f>IF(LEN(Table2[[#This Row],[!Unique]])&gt;0,"rg:True","rg:None")</f>
        <v>rg:None</v>
      </c>
    </row>
    <row r="207" spans="1:25" x14ac:dyDescent="0.3">
      <c r="A207" s="22" t="s">
        <v>160</v>
      </c>
      <c r="B207" s="3" t="s">
        <v>6</v>
      </c>
      <c r="C207" s="3"/>
      <c r="D207" s="3" t="s">
        <v>6</v>
      </c>
      <c r="E207" s="63" t="s">
        <v>380</v>
      </c>
      <c r="F207" s="3" t="s">
        <v>5</v>
      </c>
      <c r="G207" s="4" t="s">
        <v>64</v>
      </c>
      <c r="H207" s="56" t="s">
        <v>64</v>
      </c>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Note</v>
      </c>
      <c r="W207" s="4" t="str">
        <f>IF(LEN(Table2[[#This Row],[!FK]])&gt;0,Table2[[#This Row],[!FK]],"rg:None")</f>
        <v>rg:None</v>
      </c>
      <c r="X207" s="15" t="str">
        <f>IF(LEN(concatif2(A:A,Table2[[#This Row],[!Table]],G:G,"Y",D:D,",")) &gt; 0,"rg:[ { 'req' : '"&amp;concatif2(A:A,Table2[[#This Row],[!Table]],G:G,"Y",D:D,"' }, { 'req': '")&amp;"'} ]","rg:[]")</f>
        <v>rg:[ { 'req' : 'id' }, { 'req': 'text'} ]</v>
      </c>
      <c r="Y207" s="4" t="str">
        <f>IF(LEN(Table2[[#This Row],[!Unique]])&gt;0,"rg:True","rg:None")</f>
        <v>rg:True</v>
      </c>
    </row>
    <row r="208" spans="1:25" x14ac:dyDescent="0.3">
      <c r="A208" s="22" t="s">
        <v>160</v>
      </c>
      <c r="B208" s="3" t="s">
        <v>7</v>
      </c>
      <c r="C208" s="3">
        <v>2048</v>
      </c>
      <c r="D208" s="55" t="s">
        <v>415</v>
      </c>
      <c r="E208" s="70" t="s">
        <v>379</v>
      </c>
      <c r="F208" s="3" t="s">
        <v>5</v>
      </c>
      <c r="G208" s="56" t="s">
        <v>64</v>
      </c>
      <c r="H208" s="4"/>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text</v>
      </c>
      <c r="V208" s="4" t="str">
        <f>IF(LEN(Table2[[#This Row],[!Description]]) &gt; 0, Table2[[#This Row],[!Description]], "rg:None")</f>
        <v>Notes entered by users about instance of entities - e.g. School Buses and School Bus Owners</v>
      </c>
      <c r="W208" s="4" t="str">
        <f>IF(LEN(Table2[[#This Row],[!FK]])&gt;0,Table2[[#This Row],[!FK]],"rg:None")</f>
        <v>rg:None</v>
      </c>
      <c r="X208" s="15" t="str">
        <f>IF(LEN(concatif2(A:A,Table2[[#This Row],[!Table]],G:G,"Y",D:D,",")) &gt; 0,"rg:[ { 'req' : '"&amp;concatif2(A:A,Table2[[#This Row],[!Table]],G:G,"Y",D:D,"' }, { 'req': '")&amp;"'} ]","rg:[]")</f>
        <v>rg:[ { 'req' : 'id' }, { 'req': 'text'} ]</v>
      </c>
      <c r="Y208" s="4" t="str">
        <f>IF(LEN(Table2[[#This Row],[!Unique]])&gt;0,"rg:True","rg:None")</f>
        <v>rg:None</v>
      </c>
    </row>
    <row r="209" spans="1:25" ht="28.8" x14ac:dyDescent="0.3">
      <c r="A209" s="22" t="s">
        <v>160</v>
      </c>
      <c r="B209" s="3" t="s">
        <v>9</v>
      </c>
      <c r="C209" s="3"/>
      <c r="D209" s="3" t="s">
        <v>170</v>
      </c>
      <c r="E209" s="75" t="s">
        <v>381</v>
      </c>
      <c r="F209" s="3" t="s">
        <v>5</v>
      </c>
      <c r="G209" s="4"/>
      <c r="H209" s="4"/>
      <c r="I209" s="5" t="str">
        <f t="shared" si="15"/>
        <v>Defs</v>
      </c>
      <c r="J209" s="4" t="str">
        <f>IF(Table2[[#This Row],[!Type]]=J$1, J$1,"rg:None")</f>
        <v>boolean</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isNoLongerRelevant</v>
      </c>
      <c r="V209" s="4" t="str">
        <f>IF(LEN(Table2[[#This Row],[!Description]]) &gt; 0, Table2[[#This Row],[!Description]], "rg:None")</f>
        <v>A user set flag that the note is no longer relevant. Allows the note to be retained for historical reasons,  but identified to other users as no longer applicable.</v>
      </c>
      <c r="W209" s="4" t="str">
        <f>IF(LEN(Table2[[#This Row],[!FK]])&gt;0,Table2[[#This Row],[!FK]],"rg:None")</f>
        <v>rg:None</v>
      </c>
      <c r="X209" s="15" t="str">
        <f>IF(LEN(concatif2(A:A,Table2[[#This Row],[!Table]],G:G,"Y",D:D,",")) &gt; 0,"rg:[ { 'req' : '"&amp;concatif2(A:A,Table2[[#This Row],[!Table]],G:G,"Y",D:D,"' }, { 'req': '")&amp;"'} ]","rg:[]")</f>
        <v>rg:[ { 'req' : 'id' }, { 'req': 'text'} ]</v>
      </c>
      <c r="Y209" s="4" t="str">
        <f>IF(LEN(Table2[[#This Row],[!Unique]])&gt;0,"rg:True","rg:None")</f>
        <v>rg:None</v>
      </c>
    </row>
    <row r="210" spans="1:25" ht="28.8" x14ac:dyDescent="0.3">
      <c r="A210" s="22" t="s">
        <v>174</v>
      </c>
      <c r="B210" s="3" t="s">
        <v>4</v>
      </c>
      <c r="C210" s="3"/>
      <c r="D210" s="22" t="s">
        <v>174</v>
      </c>
      <c r="E210" s="87" t="s">
        <v>441</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table</v>
      </c>
      <c r="T210" s="4" t="str">
        <f>IF(LEN(Table2[[#This Row],[!Length]]) &gt; 0, Table2[[#This Row],[!Length]], "rg:None")</f>
        <v>rg:None</v>
      </c>
      <c r="U210" s="4" t="str">
        <f>IF(LEN(Table2[[#This Row],[!Name]]) &gt; 0, Table2[[#This Row],[!Name]], "rg:None")</f>
        <v>Attachment</v>
      </c>
      <c r="V210" s="4" t="str">
        <f>IF(LEN(Table2[[#This Row],[!Description]]) &gt; 0, Table2[[#This Row],[!Description]], "rg:None")</f>
        <v>Uploaded documents related to entity in the application - e.g. piece of Equipment, an Owner, a Project and so on.</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x14ac:dyDescent="0.3">
      <c r="A211" s="22" t="s">
        <v>174</v>
      </c>
      <c r="B211" s="3" t="s">
        <v>6</v>
      </c>
      <c r="C211" s="3"/>
      <c r="D211" s="3" t="s">
        <v>6</v>
      </c>
      <c r="E211" s="63" t="s">
        <v>382</v>
      </c>
      <c r="F211" s="3" t="s">
        <v>5</v>
      </c>
      <c r="G211" s="4" t="s">
        <v>64</v>
      </c>
      <c r="H211" s="56" t="s">
        <v>64</v>
      </c>
      <c r="I211" s="5" t="str">
        <f t="shared" si="15"/>
        <v>Defs</v>
      </c>
      <c r="J211" s="4" t="str">
        <f>IF(Table2[[#This Row],[!Type]]=J$1, J$1,"rg:None")</f>
        <v>rg:None</v>
      </c>
      <c r="K211" s="4" t="str">
        <f>IF(Table2[[#This Row],[!Type]]=K$1, K$1,"rg:None")</f>
        <v>rg:None</v>
      </c>
      <c r="L211" s="4" t="str">
        <f>IF(Table2[[#This Row],[!Type]]=L$1, L$1,"rg:None")</f>
        <v>rg:None</v>
      </c>
      <c r="M211" s="4" t="str">
        <f>IF(Table2[[#This Row],[!Type]]=M$1, M$1,"rg:None")</f>
        <v>id</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id</v>
      </c>
      <c r="V211" s="4" t="str">
        <f>IF(LEN(Table2[[#This Row],[!Description]]) &gt; 0, Table2[[#This Row],[!Description]], "rg:None")</f>
        <v>A system-generated unique identifier for an Attachment</v>
      </c>
      <c r="W211" s="4" t="str">
        <f>IF(LEN(Table2[[#This Row],[!FK]])&gt;0,Table2[[#This Row],[!FK]],"rg:None")</f>
        <v>rg:None</v>
      </c>
      <c r="X211" s="15" t="str">
        <f>IF(LEN(concatif2(A:A,Table2[[#This Row],[!Table]],G:G,"Y",D:D,",")) &gt; 0,"rg:[ { 'req' : '"&amp;concatif2(A:A,Table2[[#This Row],[!Table]],G:G,"Y",D:D,"' }, { 'req': '")&amp;"'} ]","rg:[]")</f>
        <v>rg:[ { 'req' : 'id' }, { 'req': 'internalFileName' }, { 'req': 'externalFileName'} ]</v>
      </c>
      <c r="Y211" s="4" t="str">
        <f>IF(LEN(Table2[[#This Row],[!Unique]])&gt;0,"rg:True","rg:None")</f>
        <v>rg:True</v>
      </c>
    </row>
    <row r="212" spans="1:25" x14ac:dyDescent="0.3">
      <c r="A212" s="22" t="s">
        <v>174</v>
      </c>
      <c r="B212" s="3" t="s">
        <v>7</v>
      </c>
      <c r="C212" s="3">
        <v>2048</v>
      </c>
      <c r="D212" s="3" t="s">
        <v>246</v>
      </c>
      <c r="E212" s="63" t="s">
        <v>247</v>
      </c>
      <c r="F212" s="3" t="s">
        <v>5</v>
      </c>
      <c r="G212" s="56" t="s">
        <v>64</v>
      </c>
      <c r="H212" s="56"/>
      <c r="I212" s="5" t="str">
        <f t="shared" si="15"/>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2048</v>
      </c>
      <c r="U212" s="4" t="str">
        <f>IF(LEN(Table2[[#This Row],[!Name]]) &gt; 0, Table2[[#This Row],[!Name]], "rg:None")</f>
        <v>internalFileName</v>
      </c>
      <c r="V212" s="4" t="str">
        <f>IF(LEN(Table2[[#This Row],[!Description]]) &gt; 0, Table2[[#This Row],[!Description]], "rg:None")</f>
        <v>The physical location of the attachment on the file system.</v>
      </c>
      <c r="W212" s="4" t="str">
        <f>IF(LEN(Table2[[#This Row],[!FK]])&gt;0,Table2[[#This Row],[!FK]],"rg:None")</f>
        <v>rg:None</v>
      </c>
      <c r="X212" s="15" t="str">
        <f>IF(LEN(concatif2(A:A,Table2[[#This Row],[!Table]],G:G,"Y",D:D,",")) &gt; 0,"rg:[ { 'req' : '"&amp;concatif2(A:A,Table2[[#This Row],[!Table]],G:G,"Y",D:D,"' }, { 'req': '")&amp;"'} ]","rg:[]")</f>
        <v>rg:[ { 'req' : 'id' }, { 'req': 'internalFileName' }, { 'req': 'externalFileName'} ]</v>
      </c>
      <c r="Y212" s="4" t="str">
        <f>IF(LEN(Table2[[#This Row],[!Unique]])&gt;0,"rg:True","rg:None")</f>
        <v>rg:None</v>
      </c>
    </row>
    <row r="213" spans="1:25" x14ac:dyDescent="0.3">
      <c r="A213" s="22" t="s">
        <v>174</v>
      </c>
      <c r="B213" s="3" t="s">
        <v>7</v>
      </c>
      <c r="C213" s="3">
        <v>2048</v>
      </c>
      <c r="D213" s="3" t="s">
        <v>171</v>
      </c>
      <c r="E213" s="74" t="s">
        <v>172</v>
      </c>
      <c r="F213" s="3" t="s">
        <v>5</v>
      </c>
      <c r="G213" s="56" t="s">
        <v>64</v>
      </c>
      <c r="H213" s="56"/>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externalFileName</v>
      </c>
      <c r="V213" s="4" t="str">
        <f>IF(LEN(Table2[[#This Row],[!Description]]) &gt; 0, Table2[[#This Row],[!Description]], "rg:None")</f>
        <v>The name of the attachment as defined by the user in uploading the document.</v>
      </c>
      <c r="W213" s="4" t="str">
        <f>IF(LEN(Table2[[#This Row],[!FK]])&gt;0,Table2[[#This Row],[!FK]],"rg:None")</f>
        <v>rg:None</v>
      </c>
      <c r="X213" s="15" t="str">
        <f>IF(LEN(concatif2(A:A,Table2[[#This Row],[!Table]],G:G,"Y",D:D,",")) &gt; 0,"rg:[ { 'req' : '"&amp;concatif2(A:A,Table2[[#This Row],[!Table]],G:G,"Y",D:D,"' }, { 'req': '")&amp;"'} ]","rg:[]")</f>
        <v>rg:[ { 'req' : 'id' }, { 'req': 'internalFileName' }, { 'req': 'externalFileName'} ]</v>
      </c>
      <c r="Y213" s="4" t="str">
        <f>IF(LEN(Table2[[#This Row],[!Unique]])&gt;0,"rg:True","rg:None")</f>
        <v>rg:None</v>
      </c>
    </row>
    <row r="214" spans="1:25" x14ac:dyDescent="0.3">
      <c r="A214" s="22" t="s">
        <v>174</v>
      </c>
      <c r="B214" s="3" t="s">
        <v>7</v>
      </c>
      <c r="C214" s="3">
        <v>2048</v>
      </c>
      <c r="D214" s="3" t="s">
        <v>14</v>
      </c>
      <c r="E214" s="74" t="s">
        <v>173</v>
      </c>
      <c r="F214" s="3" t="s">
        <v>5</v>
      </c>
      <c r="G214" s="4"/>
      <c r="H214" s="4"/>
      <c r="I214" s="5" t="str">
        <f t="shared" si="15"/>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2048</v>
      </c>
      <c r="U214" s="4" t="str">
        <f>IF(LEN(Table2[[#This Row],[!Name]]) &gt; 0, Table2[[#This Row],[!Name]], "rg:None")</f>
        <v>description</v>
      </c>
      <c r="V214" s="4" t="str">
        <f>IF(LEN(Table2[[#This Row],[!Description]]) &gt; 0, Table2[[#This Row],[!Description]], "rg:None")</f>
        <v>A note about the attachment,  optionally maintained by the user.</v>
      </c>
      <c r="W214" s="4" t="str">
        <f>IF(LEN(Table2[[#This Row],[!FK]])&gt;0,Table2[[#This Row],[!FK]],"rg:None")</f>
        <v>rg:None</v>
      </c>
      <c r="X214" s="15" t="str">
        <f>IF(LEN(concatif2(A:A,Table2[[#This Row],[!Table]],G:G,"Y",D:D,",")) &gt; 0,"rg:[ { 'req' : '"&amp;concatif2(A:A,Table2[[#This Row],[!Table]],G:G,"Y",D:D,"' }, { 'req': '")&amp;"'} ]","rg:[]")</f>
        <v>rg:[ { 'req' : 'id' }, { 'req': 'internalFileName' }, { 'req': 'externalFileName'} ]</v>
      </c>
      <c r="Y214" s="4" t="str">
        <f>IF(LEN(Table2[[#This Row],[!Unique]])&gt;0,"rg:True","rg:None")</f>
        <v>rg:None</v>
      </c>
    </row>
    <row r="215" spans="1:25" ht="28.8" x14ac:dyDescent="0.3">
      <c r="A215" s="22" t="s">
        <v>176</v>
      </c>
      <c r="B215" s="3" t="s">
        <v>4</v>
      </c>
      <c r="C215" s="3"/>
      <c r="D215" s="22" t="s">
        <v>176</v>
      </c>
      <c r="E215" s="87" t="s">
        <v>442</v>
      </c>
      <c r="F215" s="3" t="s">
        <v>5</v>
      </c>
      <c r="G215" s="4"/>
      <c r="H215" s="4"/>
      <c r="I215" s="5" t="str">
        <f t="shared" si="15"/>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table</v>
      </c>
      <c r="T215" s="4" t="str">
        <f>IF(LEN(Table2[[#This Row],[!Length]]) &gt; 0, Table2[[#This Row],[!Length]], "rg:None")</f>
        <v>rg:None</v>
      </c>
      <c r="U215" s="4" t="str">
        <f>IF(LEN(Table2[[#This Row],[!Name]]) &gt; 0, Table2[[#This Row],[!Name]], "rg:None")</f>
        <v>History</v>
      </c>
      <c r="V215" s="4" t="str">
        <f>IF(LEN(Table2[[#This Row],[!Description]]) &gt; 0, Table2[[#This Row],[!Description]], "rg:None")</f>
        <v>A log entry created by the system based on a triggering event and related to an entity in the application - e.g. piece of Equipment, an Owner, a Project and so on.</v>
      </c>
      <c r="W215" s="4" t="str">
        <f>IF(LEN(Table2[[#This Row],[!FK]])&gt;0,Table2[[#This Row],[!FK]],"rg:None")</f>
        <v>rg:None</v>
      </c>
      <c r="X215" s="15" t="str">
        <f>IF(LEN(concatif2(A:A,Table2[[#This Row],[!Table]],G:G,"Y",D:D,",")) &gt; 0,"rg:[ { 'req' : '"&amp;concatif2(A:A,Table2[[#This Row],[!Table]],G:G,"Y",D:D,"' }, { 'req': '")&amp;"'} ]","rg:[]")</f>
        <v>rg:[ { 'req' : 'id' }, { 'req': 'historyText'} ]</v>
      </c>
      <c r="Y215" s="4" t="str">
        <f>IF(LEN(Table2[[#This Row],[!Unique]])&gt;0,"rg:True","rg:None")</f>
        <v>rg:None</v>
      </c>
    </row>
    <row r="216" spans="1:25" x14ac:dyDescent="0.3">
      <c r="A216" s="22" t="s">
        <v>176</v>
      </c>
      <c r="B216" s="3" t="s">
        <v>6</v>
      </c>
      <c r="C216" s="3"/>
      <c r="D216" s="3" t="s">
        <v>6</v>
      </c>
      <c r="E216" s="63" t="s">
        <v>383</v>
      </c>
      <c r="F216" s="3" t="s">
        <v>5</v>
      </c>
      <c r="G216" s="4" t="s">
        <v>64</v>
      </c>
      <c r="H216" s="56" t="s">
        <v>64</v>
      </c>
      <c r="I216" s="5" t="str">
        <f t="shared" si="15"/>
        <v>Defs</v>
      </c>
      <c r="J216" s="4" t="str">
        <f>IF(Table2[[#This Row],[!Type]]=J$1, J$1,"rg:None")</f>
        <v>rg:None</v>
      </c>
      <c r="K216" s="4" t="str">
        <f>IF(Table2[[#This Row],[!Type]]=K$1, K$1,"rg:None")</f>
        <v>rg:None</v>
      </c>
      <c r="L216" s="4" t="str">
        <f>IF(Table2[[#This Row],[!Type]]=L$1, L$1,"rg:None")</f>
        <v>rg:None</v>
      </c>
      <c r="M216" s="4" t="str">
        <f>IF(Table2[[#This Row],[!Type]]=M$1, M$1,"rg:None")</f>
        <v>id</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id</v>
      </c>
      <c r="V216" s="4" t="str">
        <f>IF(LEN(Table2[[#This Row],[!Description]]) &gt; 0, Table2[[#This Row],[!Description]], "rg:None")</f>
        <v>A system-generated unique identifier for a History</v>
      </c>
      <c r="W216" s="4" t="str">
        <f>IF(LEN(Table2[[#This Row],[!FK]])&gt;0,Table2[[#This Row],[!FK]],"rg:None")</f>
        <v>rg:None</v>
      </c>
      <c r="X216" s="15" t="str">
        <f>IF(LEN(concatif2(A:A,Table2[[#This Row],[!Table]],G:G,"Y",D:D,",")) &gt; 0,"rg:[ { 'req' : '"&amp;concatif2(A:A,Table2[[#This Row],[!Table]],G:G,"Y",D:D,"' }, { 'req': '")&amp;"'} ]","rg:[]")</f>
        <v>rg:[ { 'req' : 'id' }, { 'req': 'historyText'} ]</v>
      </c>
      <c r="Y216" s="4" t="str">
        <f>IF(LEN(Table2[[#This Row],[!Unique]])&gt;0,"rg:True","rg:None")</f>
        <v>rg:True</v>
      </c>
    </row>
    <row r="217" spans="1:25" x14ac:dyDescent="0.3">
      <c r="A217" s="22" t="s">
        <v>176</v>
      </c>
      <c r="B217" s="22" t="s">
        <v>7</v>
      </c>
      <c r="C217" s="3">
        <v>2048</v>
      </c>
      <c r="D217" s="39" t="s">
        <v>248</v>
      </c>
      <c r="E217" s="76" t="s">
        <v>249</v>
      </c>
      <c r="F217" s="3"/>
      <c r="G217" s="56" t="s">
        <v>64</v>
      </c>
      <c r="H217" s="56"/>
      <c r="I217" s="5" t="str">
        <f t="shared" si="15"/>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2048</v>
      </c>
      <c r="U217" s="4" t="str">
        <f>IF(LEN(Table2[[#This Row],[!Name]]) &gt; 0, Table2[[#This Row],[!Name]], "rg:None")</f>
        <v>historyText</v>
      </c>
      <c r="V217" s="4" t="str">
        <f>IF(LEN(Table2[[#This Row],[!Description]]) &gt; 0, Table2[[#This Row],[!Description]], "rg:None")</f>
        <v>The text of the history entry tracked against the related entity.</v>
      </c>
      <c r="W217" s="4" t="str">
        <f>IF(LEN(Table2[[#This Row],[!FK]])&gt;0,Table2[[#This Row],[!FK]],"rg:None")</f>
        <v>rg:None</v>
      </c>
      <c r="X217" s="15" t="str">
        <f>IF(LEN(concatif2(A:A,Table2[[#This Row],[!Table]],G:G,"Y",D:D,",")) &gt; 0,"rg:[ { 'req' : '"&amp;concatif2(A:A,Table2[[#This Row],[!Table]],G:G,"Y",D:D,"' }, { 'req': '")&amp;"'} ]","rg:[]")</f>
        <v>rg:[ { 'req' : 'id' }, { 'req': 'historyText'} ]</v>
      </c>
      <c r="Y217" s="4" t="str">
        <f>IF(LEN(Table2[[#This Row],[!Unique]])&gt;0,"rg:True","rg:None")</f>
        <v>rg:None</v>
      </c>
    </row>
    <row r="218" spans="1:25" x14ac:dyDescent="0.3">
      <c r="A218" s="22" t="s">
        <v>176</v>
      </c>
      <c r="B218" s="21" t="s">
        <v>12</v>
      </c>
      <c r="C218" s="19"/>
      <c r="D218" s="38" t="s">
        <v>245</v>
      </c>
      <c r="E218" s="77" t="s">
        <v>177</v>
      </c>
      <c r="F218" s="13"/>
      <c r="G218" s="20"/>
      <c r="H218" s="20"/>
      <c r="I218" s="4" t="str">
        <f>IF(LEN(A218) &gt; 0,"Defs","-")</f>
        <v>Defs</v>
      </c>
      <c r="J218" s="15" t="str">
        <f>IF(Table2[[#This Row],[!Type]]=J$1, J$1,"rg:None")</f>
        <v>rg:None</v>
      </c>
      <c r="K218" s="15" t="str">
        <f>IF(Table2[[#This Row],[!Type]]=K$1, K$1,"rg:None")</f>
        <v>rg:None</v>
      </c>
      <c r="L218" s="15" t="str">
        <f>IF(Table2[[#This Row],[!Type]]=L$1, L$1,"rg:None")</f>
        <v>datetime</v>
      </c>
      <c r="M218" s="15" t="str">
        <f>IF(Table2[[#This Row],[!Type]]=M$1, M$1,"rg:None")</f>
        <v>rg:None</v>
      </c>
      <c r="N218" s="15" t="str">
        <f>IF(Table2[[#This Row],[!Type]]=N$1, N$1,"rg:None")</f>
        <v>rg:None</v>
      </c>
      <c r="O218" s="15"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15" t="str">
        <f>IF(LEN(Table2[[#This Row],[!Length]]) &gt; 0, Table2[[#This Row],[!Length]], "rg:None")</f>
        <v>rg:None</v>
      </c>
      <c r="U218" s="15" t="str">
        <f>IF(LEN(Table2[[#This Row],[!Name]]) &gt; 0, Table2[[#This Row],[!Name]], "rg:None")</f>
        <v>createdDate</v>
      </c>
      <c r="V218" s="15" t="str">
        <f>IF(LEN(Table2[[#This Row],[!Description]]) &gt; 0, Table2[[#This Row],[!Description]], "rg:None")</f>
        <v>Date the record is created.</v>
      </c>
      <c r="W218" s="15" t="str">
        <f>IF(LEN(Table2[[#This Row],[!FK]])&gt;0,Table2[[#This Row],[!FK]],"rg:None")</f>
        <v>rg:None</v>
      </c>
      <c r="X218" s="15" t="str">
        <f>IF(LEN(concatif2(A:A,Table2[[#This Row],[!Table]],G:G,"Y",D:D,",")) &gt; 0,"rg:[ { 'req' : '"&amp;concatif2(A:A,Table2[[#This Row],[!Table]],G:G,"Y",D:D,"' }, { 'req': '")&amp;"'} ]","rg:[]")</f>
        <v>rg:[ { 'req' : 'id' }, { 'req': 'historyText'} ]</v>
      </c>
      <c r="Y218" s="15" t="str">
        <f>IF(LEN(Table2[[#This Row],[!Unique]])&gt;0,"rg:True","rg:None")</f>
        <v>rg:None</v>
      </c>
    </row>
    <row r="219" spans="1:25" ht="28.8" x14ac:dyDescent="0.3">
      <c r="A219" s="3" t="s">
        <v>22</v>
      </c>
      <c r="B219" s="3" t="s">
        <v>4</v>
      </c>
      <c r="C219" s="3"/>
      <c r="D219" s="91" t="s">
        <v>22</v>
      </c>
      <c r="E219" s="87" t="s">
        <v>444</v>
      </c>
      <c r="F219" s="3" t="s">
        <v>5</v>
      </c>
      <c r="G219" s="4"/>
      <c r="H219" s="4"/>
      <c r="I219" s="5" t="str">
        <f t="shared" ref="I219:I264" si="16">IF(LEN(A219) &gt; 0,"Defs","-")</f>
        <v>Defs</v>
      </c>
      <c r="J219" t="str">
        <f>IF(Table2[[#This Row],[!Type]]=J$1, J$1,"rg:None")</f>
        <v>rg:None</v>
      </c>
      <c r="K219" t="str">
        <f>IF(Table2[[#This Row],[!Type]]=K$1, K$1,"rg:None")</f>
        <v>rg:None</v>
      </c>
      <c r="L219" t="str">
        <f>IF(Table2[[#This Row],[!Type]]=L$1, L$1,"rg:None")</f>
        <v>rg:None</v>
      </c>
      <c r="M219" t="str">
        <f>IF(Table2[[#This Row],[!Type]]=M$1, M$1,"rg:None")</f>
        <v>rg:None</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9" t="str">
        <f>IF(LEN(Table2[[#This Row],[!Length]]) &gt; 0, Table2[[#This Row],[!Length]], "rg:None")</f>
        <v>rg:None</v>
      </c>
      <c r="U219" s="9" t="str">
        <f>IF(LEN(Table2[[#This Row],[!Name]]) &gt; 0, Table2[[#This Row],[!Name]], "rg:None")</f>
        <v>FavouriteContextType</v>
      </c>
      <c r="V219" s="9" t="str">
        <f>IF(LEN(Table2[[#This Row],[!Description]]) &gt; 0, Table2[[#This Row],[!Description]], "rg:None")</f>
        <v>The name for a place in the UI where per user settings can be stored - for example, the Equipment search screen, Owner search screen, etc.</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rg:None</v>
      </c>
    </row>
    <row r="220" spans="1:25" x14ac:dyDescent="0.3">
      <c r="A220" s="3" t="s">
        <v>22</v>
      </c>
      <c r="B220" s="3" t="s">
        <v>6</v>
      </c>
      <c r="C220" s="3"/>
      <c r="D220" s="3" t="s">
        <v>6</v>
      </c>
      <c r="E220" s="63" t="s">
        <v>417</v>
      </c>
      <c r="F220" s="3" t="s">
        <v>5</v>
      </c>
      <c r="G220" s="4" t="s">
        <v>64</v>
      </c>
      <c r="H220" s="4"/>
      <c r="I220" s="5" t="str">
        <f t="shared" si="16"/>
        <v>Defs</v>
      </c>
      <c r="J220" t="str">
        <f>IF(Table2[[#This Row],[!Type]]=J$1, J$1,"rg:None")</f>
        <v>rg:None</v>
      </c>
      <c r="K220" t="str">
        <f>IF(Table2[[#This Row],[!Type]]=K$1, K$1,"rg:None")</f>
        <v>rg:None</v>
      </c>
      <c r="L220" t="str">
        <f>IF(Table2[[#This Row],[!Type]]=L$1, L$1,"rg:None")</f>
        <v>rg:None</v>
      </c>
      <c r="M220" t="str">
        <f>IF(Table2[[#This Row],[!Type]]=M$1, M$1,"rg:None")</f>
        <v>id</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9" t="str">
        <f>IF(LEN(Table2[[#This Row],[!Length]]) &gt; 0, Table2[[#This Row],[!Length]], "rg:None")</f>
        <v>rg:None</v>
      </c>
      <c r="U220" s="9" t="str">
        <f>IF(LEN(Table2[[#This Row],[!Name]]) &gt; 0, Table2[[#This Row],[!Name]], "rg:None")</f>
        <v>id</v>
      </c>
      <c r="V220" s="9" t="str">
        <f>IF(LEN(Table2[[#This Row],[!Description]]) &gt; 0, Table2[[#This Row],[!Description]], "rg:None")</f>
        <v>A system-generated unique identifier for a FavouriteContextType</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x14ac:dyDescent="0.3">
      <c r="A221" s="3" t="s">
        <v>22</v>
      </c>
      <c r="B221" s="3" t="s">
        <v>7</v>
      </c>
      <c r="C221" s="3">
        <v>255</v>
      </c>
      <c r="D221" s="3" t="s">
        <v>15</v>
      </c>
      <c r="E221" s="63" t="s">
        <v>23</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255</v>
      </c>
      <c r="U221" s="9" t="str">
        <f>IF(LEN(Table2[[#This Row],[!Name]]) &gt; 0, Table2[[#This Row],[!Name]], "rg:None")</f>
        <v>name</v>
      </c>
      <c r="V221" s="9" t="str">
        <f>IF(LEN(Table2[[#This Row],[!Description]]) &gt; 0, Table2[[#This Row],[!Description]], "rg:None")</f>
        <v>Context Name known by the UI.</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28.8" x14ac:dyDescent="0.3">
      <c r="A222" s="3" t="s">
        <v>24</v>
      </c>
      <c r="B222" s="3" t="s">
        <v>4</v>
      </c>
      <c r="C222" s="3"/>
      <c r="D222" s="3" t="s">
        <v>24</v>
      </c>
      <c r="E222" s="63" t="s">
        <v>65</v>
      </c>
      <c r="F222" s="3" t="s">
        <v>5</v>
      </c>
      <c r="G222" s="4"/>
      <c r="H222" s="4"/>
      <c r="I222" s="5" t="str">
        <f t="shared" si="16"/>
        <v>Defs</v>
      </c>
      <c r="J222" t="str">
        <f>IF(Table2[[#This Row],[!Type]]=J$1, J$1,"rg:None")</f>
        <v>rg:None</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table</v>
      </c>
      <c r="T222" s="9" t="str">
        <f>IF(LEN(Table2[[#This Row],[!Length]]) &gt; 0, Table2[[#This Row],[!Length]], "rg:None")</f>
        <v>rg:None</v>
      </c>
      <c r="U222" s="9" t="str">
        <f>IF(LEN(Table2[[#This Row],[!Name]]) &gt; 0, Table2[[#This Row],[!Name]], "rg:None")</f>
        <v>UserFavourite</v>
      </c>
      <c r="V222" s="9" t="str">
        <f>IF(LEN(Table2[[#This Row],[!Description]]) &gt; 0, Table2[[#This Row],[!Description]], "rg:None")</f>
        <v>User specific settings for a specific location in the UI. The location and saved settings are internally defined by the UI.</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3" t="s">
        <v>6</v>
      </c>
      <c r="C223" s="3"/>
      <c r="D223" s="3" t="s">
        <v>6</v>
      </c>
      <c r="E223" s="63" t="s">
        <v>384</v>
      </c>
      <c r="F223" s="3" t="s">
        <v>5</v>
      </c>
      <c r="G223" s="4" t="s">
        <v>64</v>
      </c>
      <c r="H223" s="56" t="s">
        <v>64</v>
      </c>
      <c r="I223" s="5" t="str">
        <f t="shared" si="16"/>
        <v>Defs</v>
      </c>
      <c r="J223" t="str">
        <f>IF(Table2[[#This Row],[!Type]]=J$1, J$1,"rg:None")</f>
        <v>rg:None</v>
      </c>
      <c r="K223" t="str">
        <f>IF(Table2[[#This Row],[!Type]]=K$1, K$1,"rg:None")</f>
        <v>rg:None</v>
      </c>
      <c r="L223" t="str">
        <f>IF(Table2[[#This Row],[!Type]]=L$1, L$1,"rg:None")</f>
        <v>rg:None</v>
      </c>
      <c r="M223" t="str">
        <f>IF(Table2[[#This Row],[!Type]]=M$1, M$1,"rg:None")</f>
        <v>id</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rg:None</v>
      </c>
      <c r="T223" s="9" t="str">
        <f>IF(LEN(Table2[[#This Row],[!Length]]) &gt; 0, Table2[[#This Row],[!Length]], "rg:None")</f>
        <v>rg:None</v>
      </c>
      <c r="U223" s="9" t="str">
        <f>IF(LEN(Table2[[#This Row],[!Name]]) &gt; 0, Table2[[#This Row],[!Name]], "rg:None")</f>
        <v>id</v>
      </c>
      <c r="V223" s="9" t="str">
        <f>IF(LEN(Table2[[#This Row],[!Description]]) &gt; 0, Table2[[#This Row],[!Description]], "rg:None")</f>
        <v>A system-generated unique identifier for a UserFavourite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rg:True</v>
      </c>
    </row>
    <row r="224" spans="1:25" ht="28.8" x14ac:dyDescent="0.3">
      <c r="A224" s="3" t="s">
        <v>24</v>
      </c>
      <c r="B224" s="3" t="s">
        <v>7</v>
      </c>
      <c r="C224" s="3">
        <v>255</v>
      </c>
      <c r="D224" s="3" t="s">
        <v>15</v>
      </c>
      <c r="E224" s="63" t="s">
        <v>25</v>
      </c>
      <c r="F224" s="3" t="s">
        <v>5</v>
      </c>
      <c r="G224" s="4"/>
      <c r="H224" s="4"/>
      <c r="I224" s="5" t="str">
        <f t="shared" si="16"/>
        <v>Defs</v>
      </c>
      <c r="J224" t="str">
        <f>IF(Table2[[#This Row],[!Type]]=J$1, J$1,"rg:None")</f>
        <v>rg:None</v>
      </c>
      <c r="K224" t="str">
        <f>IF(Table2[[#This Row],[!Type]]=K$1, K$1,"rg:None")</f>
        <v>rg:None</v>
      </c>
      <c r="L224" t="str">
        <f>IF(Table2[[#This Row],[!Type]]=L$1, L$1,"rg:None")</f>
        <v>rg:None</v>
      </c>
      <c r="M224" t="str">
        <f>IF(Table2[[#This Row],[!Type]]=M$1, M$1,"rg:None")</f>
        <v>rg:None</v>
      </c>
      <c r="N224" s="9" t="str">
        <f>IF(Table2[[#This Row],[!Type]]=N$1, N$1,"rg:None")</f>
        <v>rg:None</v>
      </c>
      <c r="O224" s="9" t="str">
        <f>IF(Table2[[#This Row],[!Type]]=O$1, O$1,"rg:None")</f>
        <v>rg:None</v>
      </c>
      <c r="P224" s="5" t="str">
        <f>IF(Table2[[#This Row],[!Type]]=P$1, P$1,"rg:None")</f>
        <v>rg:None</v>
      </c>
      <c r="Q224" s="5" t="str">
        <f>IF(Table2[[#This Row],[!Type]]=Q$1, Q$1,"rg:None")</f>
        <v>rg:None</v>
      </c>
      <c r="R224" s="5" t="str">
        <f>IF(Table2[[#This Row],[!Type]]=R$1, R$1,"rg:None")</f>
        <v>string</v>
      </c>
      <c r="S224" s="5" t="str">
        <f>IF(Table2[[#This Row],[!Type]]=S$1, S$1,"rg:None")</f>
        <v>rg:None</v>
      </c>
      <c r="T224" s="9">
        <f>IF(LEN(Table2[[#This Row],[!Length]]) &gt; 0, Table2[[#This Row],[!Length]], "rg:None")</f>
        <v>255</v>
      </c>
      <c r="U224" s="9" t="str">
        <f>IF(LEN(Table2[[#This Row],[!Name]]) &gt; 0, Table2[[#This Row],[!Name]], "rg:None")</f>
        <v>name</v>
      </c>
      <c r="V224" s="9" t="str">
        <f>IF(LEN(Table2[[#This Row],[!Description]]) &gt; 0, Table2[[#This Row],[!Description]], "rg:None")</f>
        <v>The user-defined name for the recorded settings. Allows the user to save different groups of settings and access each one easily when needed.</v>
      </c>
      <c r="W224" s="9" t="str">
        <f>IF(LEN(Table2[[#This Row],[!FK]])&gt;0,Table2[[#This Row],[!FK]],"rg:None")</f>
        <v>rg:None</v>
      </c>
      <c r="X224" s="9" t="str">
        <f>IF(LEN(concatif2(A:A,Table2[[#This Row],[!Table]],G:G,"Y",D:D,",")) &gt; 0,"rg:[ { 'req' : '"&amp;concatif2(A:A,Table2[[#This Row],[!Table]],G:G,"Y",D:D,"' }, { 'req': '")&amp;"'} ]","rg:[]")</f>
        <v>rg:[ { 'req' : 'id'} ]</v>
      </c>
      <c r="Y224" s="9" t="str">
        <f>IF(LEN(Table2[[#This Row],[!Unique]])&gt;0,"rg:True","rg:None")</f>
        <v>rg:None</v>
      </c>
    </row>
    <row r="225" spans="1:25" ht="28.8" x14ac:dyDescent="0.3">
      <c r="A225" s="3" t="s">
        <v>24</v>
      </c>
      <c r="B225" s="3" t="s">
        <v>7</v>
      </c>
      <c r="C225" s="3">
        <v>2048</v>
      </c>
      <c r="D225" s="3" t="s">
        <v>26</v>
      </c>
      <c r="E225" s="63" t="s">
        <v>27</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string</v>
      </c>
      <c r="S225" s="5" t="str">
        <f>IF(Table2[[#This Row],[!Type]]=S$1, S$1,"rg:None")</f>
        <v>rg:None</v>
      </c>
      <c r="T225" s="9">
        <f>IF(LEN(Table2[[#This Row],[!Length]]) &gt; 0, Table2[[#This Row],[!Length]], "rg:None")</f>
        <v>2048</v>
      </c>
      <c r="U225" s="9" t="str">
        <f>IF(LEN(Table2[[#This Row],[!Name]]) &gt; 0, Table2[[#This Row],[!Name]], "rg:None")</f>
        <v>value</v>
      </c>
      <c r="V225" s="9" t="str">
        <f>IF(LEN(Table2[[#This Row],[!Description]]) &gt; 0, Table2[[#This Row],[!Description]], "rg:None")</f>
        <v>The settings saved by the user. In general,  a UI defined chunk of json that stores the settings in place when the user created the favourite.</v>
      </c>
      <c r="W225" s="9" t="str">
        <f>IF(LEN(Table2[[#This Row],[!FK]])&gt;0,Table2[[#This Row],[!FK]],"rg:None")</f>
        <v>rg:None</v>
      </c>
      <c r="X225" s="9" t="str">
        <f>IF(LEN(concatif2(A:A,Table2[[#This Row],[!Table]],G:G,"Y",D:D,",")) &gt; 0,"rg:[ { 'req' : '"&amp;concatif2(A:A,Table2[[#This Row],[!Table]],G:G,"Y",D:D,"' }, { 'req': '")&amp;"'} ]","rg:[]")</f>
        <v>rg:[ { 'req' : 'id'} ]</v>
      </c>
      <c r="Y225" s="9" t="str">
        <f>IF(LEN(Table2[[#This Row],[!Unique]])&gt;0,"rg:True","rg:None")</f>
        <v>rg:None</v>
      </c>
    </row>
    <row r="226" spans="1:25" ht="57.6" x14ac:dyDescent="0.3">
      <c r="A226" s="3" t="s">
        <v>24</v>
      </c>
      <c r="B226" s="3" t="s">
        <v>9</v>
      </c>
      <c r="C226" s="3"/>
      <c r="D226" s="3" t="s">
        <v>28</v>
      </c>
      <c r="E226" s="63" t="s">
        <v>29</v>
      </c>
      <c r="F226" s="3" t="s">
        <v>5</v>
      </c>
      <c r="G226" s="4"/>
      <c r="H226" s="4"/>
      <c r="I226" s="5" t="str">
        <f t="shared" si="16"/>
        <v>Defs</v>
      </c>
      <c r="J226" t="str">
        <f>IF(Table2[[#This Row],[!Type]]=J$1, J$1,"rg:None")</f>
        <v>boolean</v>
      </c>
      <c r="K226" t="str">
        <f>IF(Table2[[#This Row],[!Type]]=K$1, K$1,"rg:None")</f>
        <v>rg:None</v>
      </c>
      <c r="L226" t="str">
        <f>IF(Table2[[#This Row],[!Type]]=L$1, L$1,"rg:None")</f>
        <v>rg:None</v>
      </c>
      <c r="M226" t="str">
        <f>IF(Table2[[#This Row],[!Type]]=M$1, M$1,"rg:None")</f>
        <v>rg:None</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isDefault</v>
      </c>
      <c r="V226"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6" s="9" t="str">
        <f>IF(LEN(Table2[[#This Row],[!FK]])&gt;0,Table2[[#This Row],[!FK]],"rg:None")</f>
        <v>rg:None</v>
      </c>
      <c r="X226" s="9" t="str">
        <f>IF(LEN(concatif2(A:A,Table2[[#This Row],[!Table]],G:G,"Y",D:D,",")) &gt; 0,"rg:[ { 'req' : '"&amp;concatif2(A:A,Table2[[#This Row],[!Table]],G:G,"Y",D:D,"' }, { 'req': '")&amp;"'} ]","rg:[]")</f>
        <v>rg:[ { 'req' : 'id'} ]</v>
      </c>
      <c r="Y226" s="9" t="str">
        <f>IF(LEN(Table2[[#This Row],[!Unique]])&gt;0,"rg:True","rg:None")</f>
        <v>rg:None</v>
      </c>
    </row>
    <row r="227" spans="1:25" x14ac:dyDescent="0.3">
      <c r="A227" s="3" t="s">
        <v>24</v>
      </c>
      <c r="B227" s="48" t="s">
        <v>7</v>
      </c>
      <c r="C227" s="3">
        <v>255</v>
      </c>
      <c r="D227" s="48" t="s">
        <v>20</v>
      </c>
      <c r="E227" s="79" t="s">
        <v>255</v>
      </c>
      <c r="F227" s="3"/>
      <c r="G227" s="4"/>
      <c r="H227" s="4"/>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rg:None</v>
      </c>
      <c r="O227" s="9" t="str">
        <f>IF(Table2[[#This Row],[!Type]]=O$1, O$1,"rg:None")</f>
        <v>rg:None</v>
      </c>
      <c r="P227" s="5" t="str">
        <f>IF(Table2[[#This Row],[!Type]]=P$1, P$1,"rg:None")</f>
        <v>rg:None</v>
      </c>
      <c r="Q227" s="5" t="str">
        <f>IF(Table2[[#This Row],[!Type]]=Q$1, Q$1,"rg:None")</f>
        <v>rg:None</v>
      </c>
      <c r="R227" s="5" t="str">
        <f>IF(Table2[[#This Row],[!Type]]=R$1, R$1,"rg:None")</f>
        <v>string</v>
      </c>
      <c r="S227" s="5" t="str">
        <f>IF(Table2[[#This Row],[!Type]]=S$1, S$1,"rg:None")</f>
        <v>rg:None</v>
      </c>
      <c r="T227" s="9">
        <f>IF(LEN(Table2[[#This Row],[!Length]]) &gt; 0, Table2[[#This Row],[!Length]], "rg:None")</f>
        <v>255</v>
      </c>
      <c r="U227" s="9" t="str">
        <f>IF(LEN(Table2[[#This Row],[!Name]]) &gt; 0, Table2[[#This Row],[!Name]], "rg:None")</f>
        <v>type</v>
      </c>
      <c r="V227" s="9" t="str">
        <f>IF(LEN(Table2[[#This Row],[!Description]]) &gt; 0, Table2[[#This Row],[!Description]], "rg:None")</f>
        <v>The type of Favourite</v>
      </c>
      <c r="W227" s="9" t="str">
        <f>IF(LEN(Table2[[#This Row],[!FK]])&gt;0,Table2[[#This Row],[!FK]],"rg:None")</f>
        <v>rg:None</v>
      </c>
      <c r="X227" s="9" t="str">
        <f>IF(LEN(concatif2(A:A,Table2[[#This Row],[!Table]],G:G,"Y",D:D,",")) &gt; 0,"rg:[ { 'req' : '"&amp;concatif2(A:A,Table2[[#This Row],[!Table]],G:G,"Y",D:D,"' }, { 'req': '")&amp;"'} ]","rg:[]")</f>
        <v>rg:[ { 'req' : 'id'} ]</v>
      </c>
      <c r="Y227" s="9" t="str">
        <f>IF(LEN(Table2[[#This Row],[!Unique]])&gt;0,"rg:True","rg:None")</f>
        <v>rg:None</v>
      </c>
    </row>
    <row r="228" spans="1:25" x14ac:dyDescent="0.3">
      <c r="A228" s="50" t="s">
        <v>24</v>
      </c>
      <c r="B228" s="50" t="s">
        <v>8</v>
      </c>
      <c r="C228" s="19"/>
      <c r="D228" s="50" t="s">
        <v>0</v>
      </c>
      <c r="E228" s="80" t="s">
        <v>256</v>
      </c>
      <c r="F228" s="51" t="s">
        <v>0</v>
      </c>
      <c r="G228" s="20"/>
      <c r="H228" s="20"/>
      <c r="I228" s="4" t="str">
        <f>IF(LEN(A228) &gt; 0,"Defs","-")</f>
        <v>Defs</v>
      </c>
      <c r="J228" s="15" t="str">
        <f>IF(Table2[[#This Row],[!Type]]=J$1, J$1,"rg:None")</f>
        <v>rg:None</v>
      </c>
      <c r="K228" s="49" t="str">
        <f>IF(Table2[[#This Row],[!Type]]=K$1, K$1,"rg:None")</f>
        <v>rg:None</v>
      </c>
      <c r="L228" s="15" t="str">
        <f>IF(Table2[[#This Row],[!Type]]=L$1, L$1,"rg:None")</f>
        <v>rg:None</v>
      </c>
      <c r="M228" s="15" t="str">
        <f>IF(Table2[[#This Row],[!Type]]=M$1, M$1,"rg:None")</f>
        <v>rg:None</v>
      </c>
      <c r="N228" s="15" t="str">
        <f>IF(Table2[[#This Row],[!Type]]=N$1, N$1,"rg:None")</f>
        <v>rg:None</v>
      </c>
      <c r="O228" s="15" t="str">
        <f>IF(Table2[[#This Row],[!Type]]=O$1, O$1,"rg:None")</f>
        <v>rg:None</v>
      </c>
      <c r="P228" s="4" t="str">
        <f>IF(Table2[[#This Row],[!Type]]=P$1, P$1,"rg:None")</f>
        <v>rg:None</v>
      </c>
      <c r="Q228" s="4" t="str">
        <f>IF(Table2[[#This Row],[!Type]]=Q$1, Q$1,"rg:None")</f>
        <v>ref</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User</v>
      </c>
      <c r="V228" s="15" t="str">
        <f>IF(LEN(Table2[[#This Row],[!Description]]) &gt; 0, Table2[[#This Row],[!Description]], "rg:None")</f>
        <v>The User who has this Favourite</v>
      </c>
      <c r="W228" s="15" t="str">
        <f>IF(LEN(Table2[[#This Row],[!FK]])&gt;0,Table2[[#This Row],[!FK]],"rg:None")</f>
        <v>User</v>
      </c>
      <c r="X228" s="15" t="str">
        <f>IF(LEN(concatif2(A:A,Table2[[#This Row],[!Table]],G:G,"Y",D:D,",")) &gt; 0,"rg:[ { 'req' : '"&amp;concatif2(A:A,Table2[[#This Row],[!Table]],G:G,"Y",D:D,"' }, { 'req': '")&amp;"'} ]","rg:[]")</f>
        <v>rg:[ { 'req' : 'id'} ]</v>
      </c>
      <c r="Y228" s="15" t="str">
        <f>IF(LEN(Table2[[#This Row],[!Unique]])&gt;0,"rg:True","rg:None")</f>
        <v>rg:None</v>
      </c>
    </row>
    <row r="229" spans="1:25" x14ac:dyDescent="0.3">
      <c r="A229" s="3" t="s">
        <v>30</v>
      </c>
      <c r="B229" s="3" t="s">
        <v>4</v>
      </c>
      <c r="C229" s="3"/>
      <c r="D229" s="3" t="s">
        <v>30</v>
      </c>
      <c r="E229" s="87" t="s">
        <v>480</v>
      </c>
      <c r="F229" s="3" t="s">
        <v>5</v>
      </c>
      <c r="G229" s="4"/>
      <c r="H229" s="4"/>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9" t="str">
        <f>IF(LEN(Table2[[#This Row],[!Length]]) &gt; 0, Table2[[#This Row],[!Length]], "rg:None")</f>
        <v>rg:None</v>
      </c>
      <c r="U229" s="9" t="str">
        <f>IF(LEN(Table2[[#This Row],[!Name]]) &gt; 0, Table2[[#This Row],[!Name]], "rg:None")</f>
        <v>Region</v>
      </c>
      <c r="V229" s="9" t="str">
        <f>IF(LEN(Table2[[#This Row],[!Description]]) &gt; 0, Table2[[#This Row],[!Description]], "rg:None")</f>
        <v>The Ministry of Transportion and Infrastructure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x14ac:dyDescent="0.3">
      <c r="A230" s="3" t="s">
        <v>30</v>
      </c>
      <c r="B230" s="3" t="s">
        <v>6</v>
      </c>
      <c r="C230" s="3"/>
      <c r="D230" s="3" t="s">
        <v>6</v>
      </c>
      <c r="E230" s="63" t="s">
        <v>385</v>
      </c>
      <c r="F230" s="3" t="s">
        <v>5</v>
      </c>
      <c r="G230" s="4" t="s">
        <v>64</v>
      </c>
      <c r="H230" s="56" t="s">
        <v>64</v>
      </c>
      <c r="I230" s="5" t="str">
        <f t="shared" si="16"/>
        <v>Defs</v>
      </c>
      <c r="J230" t="str">
        <f>IF(Table2[[#This Row],[!Type]]=J$1, J$1,"rg:None")</f>
        <v>rg:None</v>
      </c>
      <c r="K230" t="str">
        <f>IF(Table2[[#This Row],[!Type]]=K$1, K$1,"rg:None")</f>
        <v>rg:None</v>
      </c>
      <c r="L230" t="str">
        <f>IF(Table2[[#This Row],[!Type]]=L$1, L$1,"rg:None")</f>
        <v>rg:None</v>
      </c>
      <c r="M230" t="str">
        <f>IF(Table2[[#This Row],[!Type]]=M$1, M$1,"rg:None")</f>
        <v>id</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id</v>
      </c>
      <c r="V230" s="9" t="str">
        <f>IF(LEN(Table2[[#This Row],[!Description]]) &gt; 0, Table2[[#This Row],[!Description]], "rg:None")</f>
        <v>A system-generated unique identifier for a Region</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rg:True</v>
      </c>
    </row>
    <row r="231" spans="1:25" x14ac:dyDescent="0.3">
      <c r="A231" s="3" t="s">
        <v>30</v>
      </c>
      <c r="B231" s="3" t="s">
        <v>13</v>
      </c>
      <c r="C231" s="3"/>
      <c r="D231" s="3" t="s">
        <v>31</v>
      </c>
      <c r="E231" s="87" t="s">
        <v>485</v>
      </c>
      <c r="F231" s="3" t="s">
        <v>5</v>
      </c>
      <c r="G231" s="56" t="s">
        <v>64</v>
      </c>
      <c r="H231" s="56" t="s">
        <v>64</v>
      </c>
      <c r="I231" s="5" t="str">
        <f t="shared" si="16"/>
        <v>Defs</v>
      </c>
      <c r="J231" t="str">
        <f>IF(Table2[[#This Row],[!Type]]=J$1, J$1,"rg:None")</f>
        <v>rg:None</v>
      </c>
      <c r="K231" t="str">
        <f>IF(Table2[[#This Row],[!Type]]=K$1, K$1,"rg:None")</f>
        <v>rg:None</v>
      </c>
      <c r="L231" t="str">
        <f>IF(Table2[[#This Row],[!Type]]=L$1, L$1,"rg:None")</f>
        <v>rg:None</v>
      </c>
      <c r="M231" t="str">
        <f>IF(Table2[[#This Row],[!Type]]=M$1, M$1,"rg:None")</f>
        <v>rg:None</v>
      </c>
      <c r="N231" s="9" t="str">
        <f>IF(Table2[[#This Row],[!Type]]=N$1, N$1,"rg:None")</f>
        <v>integer</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ministryRegionID</v>
      </c>
      <c r="V231" s="9" t="str">
        <f>IF(LEN(Table2[[#This Row],[!Description]]) &gt; 0, Table2[[#This Row],[!Description]], "rg:None")</f>
        <v>A system generated unique identifier. NOT GENERATED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rg:True</v>
      </c>
    </row>
    <row r="232" spans="1:25" x14ac:dyDescent="0.3">
      <c r="A232" s="89" t="s">
        <v>30</v>
      </c>
      <c r="B232" s="89" t="s">
        <v>13</v>
      </c>
      <c r="C232" s="19"/>
      <c r="D232" s="89" t="s">
        <v>481</v>
      </c>
      <c r="E232" s="88" t="s">
        <v>482</v>
      </c>
      <c r="F232" s="13"/>
      <c r="G232" s="20"/>
      <c r="H232" s="20"/>
      <c r="I232" s="4" t="str">
        <f>IF(LEN(A232) &gt; 0,"Defs","-")</f>
        <v>Defs</v>
      </c>
      <c r="J232" s="15" t="str">
        <f>IF(Table2[[#This Row],[!Type]]=J$1, J$1,"rg:None")</f>
        <v>rg:None</v>
      </c>
      <c r="K232" s="49" t="str">
        <f>IF(Table2[[#This Row],[!Type]]=K$1, K$1,"rg:None")</f>
        <v>rg:None</v>
      </c>
      <c r="L232" s="15" t="str">
        <f>IF(Table2[[#This Row],[!Type]]=L$1, L$1,"rg:None")</f>
        <v>rg:None</v>
      </c>
      <c r="M232" s="15" t="str">
        <f>IF(Table2[[#This Row],[!Type]]=M$1, M$1,"rg:None")</f>
        <v>rg:None</v>
      </c>
      <c r="N232" s="15" t="str">
        <f>IF(Table2[[#This Row],[!Type]]=N$1, N$1,"rg:None")</f>
        <v>integer</v>
      </c>
      <c r="O232" s="15"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15" t="str">
        <f>IF(LEN(Table2[[#This Row],[!Length]]) &gt; 0, Table2[[#This Row],[!Length]], "rg:None")</f>
        <v>rg:None</v>
      </c>
      <c r="U232" s="15" t="str">
        <f>IF(LEN(Table2[[#This Row],[!Name]]) &gt; 0, Table2[[#This Row],[!Name]], "rg:None")</f>
        <v>regionNumber</v>
      </c>
      <c r="V232" s="15" t="str">
        <f>IF(LEN(Table2[[#This Row],[!Description]]) &gt; 0, Table2[[#This Row],[!Description]], "rg:None")</f>
        <v>A code that uniquely defines a Region.</v>
      </c>
      <c r="W232" s="15" t="str">
        <f>IF(LEN(Table2[[#This Row],[!FK]])&gt;0,Table2[[#This Row],[!FK]],"rg:None")</f>
        <v>rg:None</v>
      </c>
      <c r="X232" s="15" t="str">
        <f>IF(LEN(concatif2(A:A,Table2[[#This Row],[!Table]],G:G,"Y",D:D,",")) &gt; 0,"rg:[ { 'req' : '"&amp;concatif2(A:A,Table2[[#This Row],[!Table]],G:G,"Y",D:D,"' }, { 'req': '")&amp;"'} ]","rg:[]")</f>
        <v>rg:[ { 'req' : 'id' }, { 'req': 'ministryRegionID' }, { 'req': 'name' }, { 'req': 'startDate'} ]</v>
      </c>
      <c r="Y232" s="15" t="str">
        <f>IF(LEN(Table2[[#This Row],[!Unique]])&gt;0,"rg:True","rg:None")</f>
        <v>rg:None</v>
      </c>
    </row>
    <row r="233" spans="1:25" x14ac:dyDescent="0.3">
      <c r="A233" s="3" t="s">
        <v>30</v>
      </c>
      <c r="B233" s="3" t="s">
        <v>7</v>
      </c>
      <c r="C233" s="3">
        <v>150</v>
      </c>
      <c r="D233" s="3" t="s">
        <v>15</v>
      </c>
      <c r="E233" s="87" t="s">
        <v>483</v>
      </c>
      <c r="F233" s="3" t="s">
        <v>5</v>
      </c>
      <c r="G233" s="56" t="s">
        <v>64</v>
      </c>
      <c r="H233" s="56"/>
      <c r="I233" s="5" t="str">
        <f t="shared" si="16"/>
        <v>Defs</v>
      </c>
      <c r="J233" t="str">
        <f>IF(Table2[[#This Row],[!Type]]=J$1, J$1,"rg:None")</f>
        <v>rg:None</v>
      </c>
      <c r="K233" t="str">
        <f>IF(Table2[[#This Row],[!Type]]=K$1, K$1,"rg:None")</f>
        <v>rg:None</v>
      </c>
      <c r="L233" t="str">
        <f>IF(Table2[[#This Row],[!Type]]=L$1, L$1,"rg:None")</f>
        <v>rg:None</v>
      </c>
      <c r="M233" t="str">
        <f>IF(Table2[[#This Row],[!Type]]=M$1, M$1,"rg:None")</f>
        <v>rg:None</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string</v>
      </c>
      <c r="S233" s="5" t="str">
        <f>IF(Table2[[#This Row],[!Type]]=S$1, S$1,"rg:None")</f>
        <v>rg:None</v>
      </c>
      <c r="T233" s="9">
        <f>IF(LEN(Table2[[#This Row],[!Length]]) &gt; 0, Table2[[#This Row],[!Length]], "rg:None")</f>
        <v>150</v>
      </c>
      <c r="U233" s="9" t="str">
        <f>IF(LEN(Table2[[#This Row],[!Name]]) &gt; 0, Table2[[#This Row],[!Name]], "rg:None")</f>
        <v>name</v>
      </c>
      <c r="V233" s="9" t="str">
        <f>IF(LEN(Table2[[#This Row],[!Description]]) &gt; 0, Table2[[#This Row],[!Description]], "rg:None")</f>
        <v>The name of a Minsitry Region.</v>
      </c>
      <c r="W233" s="9" t="str">
        <f>IF(LEN(Table2[[#This Row],[!FK]])&gt;0,Table2[[#This Row],[!FK]],"rg:None")</f>
        <v>rg:None</v>
      </c>
      <c r="X233" s="9" t="str">
        <f>IF(LEN(concatif2(A:A,Table2[[#This Row],[!Table]],G:G,"Y",D:D,",")) &gt; 0,"rg:[ { 'req' : '"&amp;concatif2(A:A,Table2[[#This Row],[!Table]],G:G,"Y",D:D,"' }, { 'req': '")&amp;"'} ]","rg:[]")</f>
        <v>rg:[ { 'req' : 'id' }, { 'req': 'ministryRegionID' }, { 'req': 'name' }, { 'req': 'startDate'} ]</v>
      </c>
      <c r="Y233" s="9" t="str">
        <f>IF(LEN(Table2[[#This Row],[!Unique]])&gt;0,"rg:True","rg:None")</f>
        <v>rg:None</v>
      </c>
    </row>
    <row r="234" spans="1:25" ht="28.8" x14ac:dyDescent="0.3">
      <c r="A234" s="3" t="s">
        <v>30</v>
      </c>
      <c r="B234" s="3" t="s">
        <v>12</v>
      </c>
      <c r="C234" s="3"/>
      <c r="D234" s="3" t="s">
        <v>32</v>
      </c>
      <c r="E234" s="87" t="s">
        <v>489</v>
      </c>
      <c r="F234" s="3" t="s">
        <v>5</v>
      </c>
      <c r="G234" s="92" t="s">
        <v>64</v>
      </c>
      <c r="H234" s="4"/>
      <c r="I234" s="5" t="str">
        <f t="shared" si="16"/>
        <v>Defs</v>
      </c>
      <c r="J234" t="str">
        <f>IF(Table2[[#This Row],[!Type]]=J$1, J$1,"rg:None")</f>
        <v>rg:None</v>
      </c>
      <c r="K234" t="str">
        <f>IF(Table2[[#This Row],[!Type]]=K$1, K$1,"rg:None")</f>
        <v>rg:None</v>
      </c>
      <c r="L234" t="str">
        <f>IF(Table2[[#This Row],[!Type]]=L$1, L$1,"rg:None")</f>
        <v>datetime</v>
      </c>
      <c r="M234" t="str">
        <f>IF(Table2[[#This Row],[!Type]]=M$1, M$1,"rg:None")</f>
        <v>rg:None</v>
      </c>
      <c r="N234" s="9" t="str">
        <f>IF(Table2[[#This Row],[!Type]]=N$1, N$1,"rg:None")</f>
        <v>rg:None</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startDate</v>
      </c>
      <c r="V234" s="9" t="str">
        <f>IF(LEN(Table2[[#This Row],[!Description]]) &gt; 0, Table2[[#This Row],[!Description]], "rg:None")</f>
        <v>The DATE the business information came into effect. - NOT CURRENTLY ENFORCED IN THIS SYSTEM</v>
      </c>
      <c r="W234" s="9" t="str">
        <f>IF(LEN(Table2[[#This Row],[!FK]])&gt;0,Table2[[#This Row],[!FK]],"rg:None")</f>
        <v>rg:None</v>
      </c>
      <c r="X234" s="9" t="str">
        <f>IF(LEN(concatif2(A:A,Table2[[#This Row],[!Table]],G:G,"Y",D:D,",")) &gt; 0,"rg:[ { 'req' : '"&amp;concatif2(A:A,Table2[[#This Row],[!Table]],G:G,"Y",D:D,"' }, { 'req': '")&amp;"'} ]","rg:[]")</f>
        <v>rg:[ { 'req' : 'id' }, { 'req': 'ministryRegionID' }, { 'req': 'name' }, { 'req': 'startDate'} ]</v>
      </c>
      <c r="Y234" s="9" t="str">
        <f>IF(LEN(Table2[[#This Row],[!Unique]])&gt;0,"rg:True","rg:None")</f>
        <v>rg:None</v>
      </c>
    </row>
    <row r="235" spans="1:25" ht="28.8" x14ac:dyDescent="0.3">
      <c r="A235" s="3" t="s">
        <v>30</v>
      </c>
      <c r="B235" s="3" t="s">
        <v>12</v>
      </c>
      <c r="C235" s="3"/>
      <c r="D235" s="3" t="s">
        <v>33</v>
      </c>
      <c r="E235" s="87" t="s">
        <v>490</v>
      </c>
      <c r="F235" s="3" t="s">
        <v>5</v>
      </c>
      <c r="G235" s="4"/>
      <c r="H235" s="4"/>
      <c r="I235" s="5" t="str">
        <f t="shared" si="16"/>
        <v>Defs</v>
      </c>
      <c r="J235" t="str">
        <f>IF(Table2[[#This Row],[!Type]]=J$1, J$1,"rg:None")</f>
        <v>rg:None</v>
      </c>
      <c r="K235" t="str">
        <f>IF(Table2[[#This Row],[!Type]]=K$1, K$1,"rg:None")</f>
        <v>rg:None</v>
      </c>
      <c r="L235" t="str">
        <f>IF(Table2[[#This Row],[!Type]]=L$1, L$1,"rg:None")</f>
        <v>datetime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rg:None</v>
      </c>
      <c r="S235" s="5" t="str">
        <f>IF(Table2[[#This Row],[!Type]]=S$1, S$1,"rg:None")</f>
        <v>rg:None</v>
      </c>
      <c r="T235" s="9" t="str">
        <f>IF(LEN(Table2[[#This Row],[!Length]]) &gt; 0, Table2[[#This Row],[!Length]], "rg:None")</f>
        <v>rg:None</v>
      </c>
      <c r="U235" s="9" t="str">
        <f>IF(LEN(Table2[[#This Row],[!Name]]) &gt; 0, Table2[[#This Row],[!Name]], "rg:None")</f>
        <v>endDate</v>
      </c>
      <c r="V235" s="9" t="str">
        <f>IF(LEN(Table2[[#This Row],[!Description]]) &gt; 0, Table2[[#This Row],[!Description]], "rg:None")</f>
        <v>The DATE the business information ceased to be in effect. - NOT CURRENTLY ENFORCED IN THIS SYSTEM</v>
      </c>
      <c r="W235" s="9" t="str">
        <f>IF(LEN(Table2[[#This Row],[!FK]])&gt;0,Table2[[#This Row],[!FK]],"rg:None")</f>
        <v>rg:None</v>
      </c>
      <c r="X235" s="9" t="str">
        <f>IF(LEN(concatif2(A:A,Table2[[#This Row],[!Table]],G:G,"Y",D:D,",")) &gt; 0,"rg:[ { 'req' : '"&amp;concatif2(A:A,Table2[[#This Row],[!Table]],G:G,"Y",D:D,"' }, { 'req': '")&amp;"'} ]","rg:[]")</f>
        <v>rg:[ { 'req' : 'id' }, { 'req': 'ministryRegionID' }, { 'req': 'name' }, { 'req': 'startDate'} ]</v>
      </c>
      <c r="Y235" s="9" t="str">
        <f>IF(LEN(Table2[[#This Row],[!Unique]])&gt;0,"rg:True","rg:None")</f>
        <v>rg:None</v>
      </c>
    </row>
    <row r="236" spans="1:25" x14ac:dyDescent="0.3">
      <c r="A236" s="3" t="s">
        <v>34</v>
      </c>
      <c r="B236" s="3" t="s">
        <v>4</v>
      </c>
      <c r="C236" s="3"/>
      <c r="D236" s="3" t="s">
        <v>34</v>
      </c>
      <c r="E236" s="87" t="s">
        <v>484</v>
      </c>
      <c r="F236" s="3" t="s">
        <v>5</v>
      </c>
      <c r="G236" s="4"/>
      <c r="H236" s="4"/>
      <c r="I236" s="5" t="str">
        <f t="shared" si="16"/>
        <v>Defs</v>
      </c>
      <c r="J236" t="str">
        <f>IF(Table2[[#This Row],[!Type]]=J$1, J$1,"rg:None")</f>
        <v>rg:None</v>
      </c>
      <c r="K236" t="str">
        <f>IF(Table2[[#This Row],[!Type]]=K$1, K$1,"rg:None")</f>
        <v>rg:None</v>
      </c>
      <c r="L236" t="str">
        <f>IF(Table2[[#This Row],[!Type]]=L$1, L$1,"rg:None")</f>
        <v>rg:None</v>
      </c>
      <c r="M236" t="str">
        <f>IF(Table2[[#This Row],[!Type]]=M$1, M$1,"rg:None")</f>
        <v>rg:None</v>
      </c>
      <c r="N236" s="9" t="str">
        <f>IF(Table2[[#This Row],[!Type]]=N$1, N$1,"rg:None")</f>
        <v>rg:None</v>
      </c>
      <c r="O236" s="9" t="str">
        <f>IF(Table2[[#This Row],[!Type]]=O$1, O$1,"rg:None")</f>
        <v>rg:None</v>
      </c>
      <c r="P236" s="5" t="str">
        <f>IF(Table2[[#This Row],[!Type]]=P$1, P$1,"rg:None")</f>
        <v>rg:None</v>
      </c>
      <c r="Q236" s="5" t="str">
        <f>IF(Table2[[#This Row],[!Type]]=Q$1, Q$1,"rg:None")</f>
        <v>rg:None</v>
      </c>
      <c r="R236" s="5" t="str">
        <f>IF(Table2[[#This Row],[!Type]]=R$1, R$1,"rg:None")</f>
        <v>rg:None</v>
      </c>
      <c r="S236" s="5" t="str">
        <f>IF(Table2[[#This Row],[!Type]]=S$1, S$1,"rg:None")</f>
        <v>table</v>
      </c>
      <c r="T236" s="9" t="str">
        <f>IF(LEN(Table2[[#This Row],[!Length]]) &gt; 0, Table2[[#This Row],[!Length]], "rg:None")</f>
        <v>rg:None</v>
      </c>
      <c r="U236" s="9" t="str">
        <f>IF(LEN(Table2[[#This Row],[!Name]]) &gt; 0, Table2[[#This Row],[!Name]], "rg:None")</f>
        <v>District</v>
      </c>
      <c r="V236" s="9" t="str">
        <f>IF(LEN(Table2[[#This Row],[!Description]]) &gt; 0, Table2[[#This Row],[!Description]], "rg:None")</f>
        <v>The Ministry of Transportion and Infrastructure DISTRICT</v>
      </c>
      <c r="W236" s="9" t="str">
        <f>IF(LEN(Table2[[#This Row],[!FK]])&gt;0,Table2[[#This Row],[!FK]],"rg:None")</f>
        <v>rg:None</v>
      </c>
      <c r="X236" s="9" t="str">
        <f>IF(LEN(concatif2(A:A,Table2[[#This Row],[!Table]],G:G,"Y",D:D,",")) &gt; 0,"rg:[ { 'req' : '"&amp;concatif2(A:A,Table2[[#This Row],[!Table]],G:G,"Y",D:D,"' }, { 'req': '")&amp;"'} ]","rg:[]")</f>
        <v>rg:[ { 'req' : 'id' }, { 'req': 'ministryDistrictID' }, { 'req': 'name' }, { 'req': 'region' }, { 'req': 'startDate'} ]</v>
      </c>
      <c r="Y236" s="9" t="str">
        <f>IF(LEN(Table2[[#This Row],[!Unique]])&gt;0,"rg:True","rg:None")</f>
        <v>rg:None</v>
      </c>
    </row>
    <row r="237" spans="1:25" x14ac:dyDescent="0.3">
      <c r="A237" s="3" t="s">
        <v>34</v>
      </c>
      <c r="B237" s="3" t="s">
        <v>6</v>
      </c>
      <c r="C237" s="3"/>
      <c r="D237" s="3" t="s">
        <v>6</v>
      </c>
      <c r="E237" s="63" t="s">
        <v>386</v>
      </c>
      <c r="F237" s="3" t="s">
        <v>5</v>
      </c>
      <c r="G237" s="4" t="s">
        <v>64</v>
      </c>
      <c r="H237" s="56" t="s">
        <v>64</v>
      </c>
      <c r="I237" s="5" t="str">
        <f t="shared" si="16"/>
        <v>Defs</v>
      </c>
      <c r="J237" t="str">
        <f>IF(Table2[[#This Row],[!Type]]=J$1, J$1,"rg:None")</f>
        <v>rg:None</v>
      </c>
      <c r="K237" t="str">
        <f>IF(Table2[[#This Row],[!Type]]=K$1, K$1,"rg:None")</f>
        <v>rg:None</v>
      </c>
      <c r="L237" t="str">
        <f>IF(Table2[[#This Row],[!Type]]=L$1, L$1,"rg:None")</f>
        <v>rg:None</v>
      </c>
      <c r="M237" t="str">
        <f>IF(Table2[[#This Row],[!Type]]=M$1, M$1,"rg:None")</f>
        <v>id</v>
      </c>
      <c r="N237" s="9" t="str">
        <f>IF(Table2[[#This Row],[!Type]]=N$1, N$1,"rg:None")</f>
        <v>rg:None</v>
      </c>
      <c r="O237" s="9" t="str">
        <f>IF(Table2[[#This Row],[!Type]]=O$1, O$1,"rg:None")</f>
        <v>rg:None</v>
      </c>
      <c r="P237" s="5" t="str">
        <f>IF(Table2[[#This Row],[!Type]]=P$1, P$1,"rg:None")</f>
        <v>rg:None</v>
      </c>
      <c r="Q237" s="5" t="str">
        <f>IF(Table2[[#This Row],[!Type]]=Q$1, Q$1,"rg:None")</f>
        <v>rg:None</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id</v>
      </c>
      <c r="V237" s="9" t="str">
        <f>IF(LEN(Table2[[#This Row],[!Description]]) &gt; 0, Table2[[#This Row],[!Description]], "rg:None")</f>
        <v>A system-generated unique identifier for a District</v>
      </c>
      <c r="W237" s="9" t="str">
        <f>IF(LEN(Table2[[#This Row],[!FK]])&gt;0,Table2[[#This Row],[!FK]],"rg:None")</f>
        <v>rg:None</v>
      </c>
      <c r="X237" s="9" t="str">
        <f>IF(LEN(concatif2(A:A,Table2[[#This Row],[!Table]],G:G,"Y",D:D,",")) &gt; 0,"rg:[ { 'req' : '"&amp;concatif2(A:A,Table2[[#This Row],[!Table]],G:G,"Y",D:D,"' }, { 'req': '")&amp;"'} ]","rg:[]")</f>
        <v>rg:[ { 'req' : 'id' }, { 'req': 'ministryDistrictID' }, { 'req': 'name' }, { 'req': 'region' }, { 'req': 'startDate'} ]</v>
      </c>
      <c r="Y237" s="9" t="str">
        <f>IF(LEN(Table2[[#This Row],[!Unique]])&gt;0,"rg:True","rg:None")</f>
        <v>rg:True</v>
      </c>
    </row>
    <row r="238" spans="1:25" x14ac:dyDescent="0.3">
      <c r="A238" s="3" t="s">
        <v>34</v>
      </c>
      <c r="B238" s="3" t="s">
        <v>13</v>
      </c>
      <c r="C238" s="3"/>
      <c r="D238" s="3" t="s">
        <v>35</v>
      </c>
      <c r="E238" s="87" t="s">
        <v>485</v>
      </c>
      <c r="F238" s="3" t="s">
        <v>5</v>
      </c>
      <c r="G238" s="56" t="s">
        <v>64</v>
      </c>
      <c r="H238" s="56"/>
      <c r="I238" s="5" t="str">
        <f t="shared" si="16"/>
        <v>Defs</v>
      </c>
      <c r="J238" t="str">
        <f>IF(Table2[[#This Row],[!Type]]=J$1, J$1,"rg:None")</f>
        <v>rg:None</v>
      </c>
      <c r="K238" t="str">
        <f>IF(Table2[[#This Row],[!Type]]=K$1, K$1,"rg:None")</f>
        <v>rg:None</v>
      </c>
      <c r="L238" t="str">
        <f>IF(Table2[[#This Row],[!Type]]=L$1, L$1,"rg:None")</f>
        <v>rg:None</v>
      </c>
      <c r="M238" t="str">
        <f>IF(Table2[[#This Row],[!Type]]=M$1, M$1,"rg:None")</f>
        <v>rg:None</v>
      </c>
      <c r="N238" s="9" t="str">
        <f>IF(Table2[[#This Row],[!Type]]=N$1, N$1,"rg:None")</f>
        <v>integer</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ministryDistrictID</v>
      </c>
      <c r="V238" s="9" t="str">
        <f>IF(LEN(Table2[[#This Row],[!Description]]) &gt; 0, Table2[[#This Row],[!Description]], "rg:None")</f>
        <v>A system generated unique identifier. NOT GENERATED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x14ac:dyDescent="0.3">
      <c r="A239" s="3" t="s">
        <v>34</v>
      </c>
      <c r="B239" s="3" t="s">
        <v>7</v>
      </c>
      <c r="C239" s="3">
        <v>150</v>
      </c>
      <c r="D239" s="3" t="s">
        <v>15</v>
      </c>
      <c r="E239" s="87" t="s">
        <v>486</v>
      </c>
      <c r="F239" s="3" t="s">
        <v>5</v>
      </c>
      <c r="G239" s="56" t="s">
        <v>64</v>
      </c>
      <c r="H239" s="56"/>
      <c r="I239" s="5" t="str">
        <f t="shared" si="16"/>
        <v>Defs</v>
      </c>
      <c r="J239" t="str">
        <f>IF(Table2[[#This Row],[!Type]]=J$1, J$1,"rg:None")</f>
        <v>rg:None</v>
      </c>
      <c r="K239" t="str">
        <f>IF(Table2[[#This Row],[!Type]]=K$1, K$1,"rg:None")</f>
        <v>rg:None</v>
      </c>
      <c r="L239" t="str">
        <f>IF(Table2[[#This Row],[!Type]]=L$1, L$1,"rg:None")</f>
        <v>rg:None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string</v>
      </c>
      <c r="S239" s="5" t="str">
        <f>IF(Table2[[#This Row],[!Type]]=S$1, S$1,"rg:None")</f>
        <v>rg:None</v>
      </c>
      <c r="T239" s="9">
        <f>IF(LEN(Table2[[#This Row],[!Length]]) &gt; 0, Table2[[#This Row],[!Length]], "rg:None")</f>
        <v>150</v>
      </c>
      <c r="U239" s="9" t="str">
        <f>IF(LEN(Table2[[#This Row],[!Name]]) &gt; 0, Table2[[#This Row],[!Name]], "rg:None")</f>
        <v>name</v>
      </c>
      <c r="V239" s="9" t="str">
        <f>IF(LEN(Table2[[#This Row],[!Description]]) &gt; 0, Table2[[#This Row],[!Description]], "rg:None")</f>
        <v>The Name of a Ministry District.</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89" t="s">
        <v>34</v>
      </c>
      <c r="B240" s="89" t="s">
        <v>13</v>
      </c>
      <c r="C240" s="19"/>
      <c r="D240" s="89" t="s">
        <v>487</v>
      </c>
      <c r="E240" s="64" t="s">
        <v>488</v>
      </c>
      <c r="F240" s="13"/>
      <c r="G240" s="20"/>
      <c r="H240" s="20"/>
      <c r="I240" s="4" t="str">
        <f>IF(LEN(A240) &gt; 0,"Defs","-")</f>
        <v>Defs</v>
      </c>
      <c r="J240" s="15" t="str">
        <f>IF(Table2[[#This Row],[!Type]]=J$1, J$1,"rg:None")</f>
        <v>rg:None</v>
      </c>
      <c r="K240" s="49" t="str">
        <f>IF(Table2[[#This Row],[!Type]]=K$1, K$1,"rg:None")</f>
        <v>rg:None</v>
      </c>
      <c r="L240" s="15" t="str">
        <f>IF(Table2[[#This Row],[!Type]]=L$1, L$1,"rg:None")</f>
        <v>rg:None</v>
      </c>
      <c r="M240" s="15" t="str">
        <f>IF(Table2[[#This Row],[!Type]]=M$1, M$1,"rg:None")</f>
        <v>rg:None</v>
      </c>
      <c r="N240" s="15" t="str">
        <f>IF(Table2[[#This Row],[!Type]]=N$1, N$1,"rg:None")</f>
        <v>integer</v>
      </c>
      <c r="O240" s="15"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15" t="str">
        <f>IF(LEN(Table2[[#This Row],[!Length]]) &gt; 0, Table2[[#This Row],[!Length]], "rg:None")</f>
        <v>rg:None</v>
      </c>
      <c r="U240" s="15" t="str">
        <f>IF(LEN(Table2[[#This Row],[!Name]]) &gt; 0, Table2[[#This Row],[!Name]], "rg:None")</f>
        <v>districtNumber</v>
      </c>
      <c r="V240" s="15" t="str">
        <f>IF(LEN(Table2[[#This Row],[!Description]]) &gt; 0, Table2[[#This Row],[!Description]], "rg:None")</f>
        <v>A number that uniquely defines a Ministry District.</v>
      </c>
      <c r="W240" s="15" t="str">
        <f>IF(LEN(Table2[[#This Row],[!FK]])&gt;0,Table2[[#This Row],[!FK]],"rg:None")</f>
        <v>rg:None</v>
      </c>
      <c r="X240" s="15" t="str">
        <f>IF(LEN(concatif2(A:A,Table2[[#This Row],[!Table]],G:G,"Y",D:D,",")) &gt; 0,"rg:[ { 'req' : '"&amp;concatif2(A:A,Table2[[#This Row],[!Table]],G:G,"Y",D:D,"' }, { 'req': '")&amp;"'} ]","rg:[]")</f>
        <v>rg:[ { 'req' : 'id' }, { 'req': 'ministryDistrictID' }, { 'req': 'name' }, { 'req': 'region' }, { 'req': 'startDate'} ]</v>
      </c>
      <c r="Y240" s="15" t="str">
        <f>IF(LEN(Table2[[#This Row],[!Unique]])&gt;0,"rg:True","rg:None")</f>
        <v>rg:None</v>
      </c>
    </row>
    <row r="241" spans="1:25" x14ac:dyDescent="0.3">
      <c r="A241" s="3" t="s">
        <v>34</v>
      </c>
      <c r="B241" s="3" t="s">
        <v>8</v>
      </c>
      <c r="C241" s="3"/>
      <c r="D241" s="3" t="s">
        <v>36</v>
      </c>
      <c r="E241" s="63" t="s">
        <v>37</v>
      </c>
      <c r="F241" s="3" t="s">
        <v>30</v>
      </c>
      <c r="G241" s="92" t="s">
        <v>64</v>
      </c>
      <c r="H241" s="4"/>
      <c r="I241" s="5" t="str">
        <f t="shared" si="16"/>
        <v>Defs</v>
      </c>
      <c r="J241" t="str">
        <f>IF(Table2[[#This Row],[!Type]]=J$1, J$1,"rg:None")</f>
        <v>rg:None</v>
      </c>
      <c r="K241" t="str">
        <f>IF(Table2[[#This Row],[!Type]]=K$1, K$1,"rg:None")</f>
        <v>rg:None</v>
      </c>
      <c r="L241" t="str">
        <f>IF(Table2[[#This Row],[!Type]]=L$1, L$1,"rg:None")</f>
        <v>rg:None</v>
      </c>
      <c r="M241" t="str">
        <f>IF(Table2[[#This Row],[!Type]]=M$1, M$1,"rg:None")</f>
        <v>rg:None</v>
      </c>
      <c r="N241" s="9" t="str">
        <f>IF(Table2[[#This Row],[!Type]]=N$1, N$1,"rg:None")</f>
        <v>rg:None</v>
      </c>
      <c r="O241" s="9" t="str">
        <f>IF(Table2[[#This Row],[!Type]]=O$1, O$1,"rg:None")</f>
        <v>rg:None</v>
      </c>
      <c r="P241" s="5" t="str">
        <f>IF(Table2[[#This Row],[!Type]]=P$1, P$1,"rg:None")</f>
        <v>rg:None</v>
      </c>
      <c r="Q241" s="5" t="str">
        <f>IF(Table2[[#This Row],[!Type]]=Q$1, Q$1,"rg:None")</f>
        <v>ref</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region</v>
      </c>
      <c r="V241" s="9" t="str">
        <f>IF(LEN(Table2[[#This Row],[!Description]]) &gt; 0, Table2[[#This Row],[!Description]], "rg:None")</f>
        <v>The region in which the District is found.</v>
      </c>
      <c r="W241" s="9" t="str">
        <f>IF(LEN(Table2[[#This Row],[!FK]])&gt;0,Table2[[#This Row],[!FK]],"rg:None")</f>
        <v>Region</v>
      </c>
      <c r="X241" s="9" t="str">
        <f>IF(LEN(concatif2(A:A,Table2[[#This Row],[!Table]],G:G,"Y",D:D,",")) &gt; 0,"rg:[ { 'req' : '"&amp;concatif2(A:A,Table2[[#This Row],[!Table]],G:G,"Y",D:D,"' }, { 'req': '")&amp;"'} ]","rg:[]")</f>
        <v>rg:[ { 'req' : 'id' }, { 'req': 'ministryDistrictID' }, { 'req': 'name' }, { 'req': 'region' }, { 'req': 'startDate'} ]</v>
      </c>
      <c r="Y241" s="9" t="str">
        <f>IF(LEN(Table2[[#This Row],[!Unique]])&gt;0,"rg:True","rg:None")</f>
        <v>rg:None</v>
      </c>
    </row>
    <row r="242" spans="1:25" ht="28.8" x14ac:dyDescent="0.3">
      <c r="A242" s="3" t="s">
        <v>34</v>
      </c>
      <c r="B242" s="3" t="s">
        <v>12</v>
      </c>
      <c r="C242" s="3"/>
      <c r="D242" s="3" t="s">
        <v>32</v>
      </c>
      <c r="E242" s="87" t="s">
        <v>489</v>
      </c>
      <c r="F242" s="3" t="s">
        <v>5</v>
      </c>
      <c r="G242" s="92" t="s">
        <v>64</v>
      </c>
      <c r="H242" s="4"/>
      <c r="I242" s="5" t="str">
        <f t="shared" si="16"/>
        <v>Defs</v>
      </c>
      <c r="J242" t="str">
        <f>IF(Table2[[#This Row],[!Type]]=J$1, J$1,"rg:None")</f>
        <v>rg:None</v>
      </c>
      <c r="K242" t="str">
        <f>IF(Table2[[#This Row],[!Type]]=K$1, K$1,"rg:None")</f>
        <v>rg:None</v>
      </c>
      <c r="L242" t="str">
        <f>IF(Table2[[#This Row],[!Type]]=L$1, L$1,"rg:None")</f>
        <v>datetime</v>
      </c>
      <c r="M242" t="str">
        <f>IF(Table2[[#This Row],[!Type]]=M$1, M$1,"rg:None")</f>
        <v>rg:None</v>
      </c>
      <c r="N242" s="9" t="str">
        <f>IF(Table2[[#This Row],[!Type]]=N$1, N$1,"rg:None")</f>
        <v>rg:None</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startDate</v>
      </c>
      <c r="V242" s="9" t="str">
        <f>IF(LEN(Table2[[#This Row],[!Description]]) &gt; 0, Table2[[#This Row],[!Description]], "rg:None")</f>
        <v>The DATE the business information came into effect. - NOT CURRENTLY ENFORCED IN THIS SYSTEM</v>
      </c>
      <c r="W242" s="9" t="str">
        <f>IF(LEN(Table2[[#This Row],[!FK]])&gt;0,Table2[[#This Row],[!FK]],"rg:None")</f>
        <v>rg:None</v>
      </c>
      <c r="X242" s="9" t="str">
        <f>IF(LEN(concatif2(A:A,Table2[[#This Row],[!Table]],G:G,"Y",D:D,",")) &gt; 0,"rg:[ { 'req' : '"&amp;concatif2(A:A,Table2[[#This Row],[!Table]],G:G,"Y",D:D,"' }, { 'req': '")&amp;"'} ]","rg:[]")</f>
        <v>rg:[ { 'req' : 'id' }, { 'req': 'ministryDistrictID' }, { 'req': 'name' }, { 'req': 'region' }, { 'req': 'startDate'} ]</v>
      </c>
      <c r="Y242" s="9" t="str">
        <f>IF(LEN(Table2[[#This Row],[!Unique]])&gt;0,"rg:True","rg:None")</f>
        <v>rg:None</v>
      </c>
    </row>
    <row r="243" spans="1:25" ht="28.8" x14ac:dyDescent="0.3">
      <c r="A243" s="3" t="s">
        <v>34</v>
      </c>
      <c r="B243" s="3" t="s">
        <v>12</v>
      </c>
      <c r="C243" s="3"/>
      <c r="D243" s="3" t="s">
        <v>33</v>
      </c>
      <c r="E243" s="87" t="s">
        <v>490</v>
      </c>
      <c r="F243" s="3" t="s">
        <v>5</v>
      </c>
      <c r="G243" s="4"/>
      <c r="H243" s="4"/>
      <c r="I243" s="5" t="str">
        <f t="shared" si="16"/>
        <v>Defs</v>
      </c>
      <c r="J243" t="str">
        <f>IF(Table2[[#This Row],[!Type]]=J$1, J$1,"rg:None")</f>
        <v>rg:None</v>
      </c>
      <c r="K243" t="str">
        <f>IF(Table2[[#This Row],[!Type]]=K$1, K$1,"rg:None")</f>
        <v>rg:None</v>
      </c>
      <c r="L243" t="str">
        <f>IF(Table2[[#This Row],[!Type]]=L$1, L$1,"rg:None")</f>
        <v>datetime</v>
      </c>
      <c r="M243" t="str">
        <f>IF(Table2[[#This Row],[!Type]]=M$1, M$1,"rg:None")</f>
        <v>rg:None</v>
      </c>
      <c r="N243" s="9" t="str">
        <f>IF(Table2[[#This Row],[!Type]]=N$1, N$1,"rg:None")</f>
        <v>rg:None</v>
      </c>
      <c r="O243" s="9" t="str">
        <f>IF(Table2[[#This Row],[!Type]]=O$1, O$1,"rg:None")</f>
        <v>rg:None</v>
      </c>
      <c r="P243" s="5" t="str">
        <f>IF(Table2[[#This Row],[!Type]]=P$1, P$1,"rg:None")</f>
        <v>rg:None</v>
      </c>
      <c r="Q243" s="5" t="str">
        <f>IF(Table2[[#This Row],[!Type]]=Q$1, Q$1,"rg:None")</f>
        <v>rg:None</v>
      </c>
      <c r="R243" s="5" t="str">
        <f>IF(Table2[[#This Row],[!Type]]=R$1, R$1,"rg:None")</f>
        <v>rg:None</v>
      </c>
      <c r="S243" s="5" t="str">
        <f>IF(Table2[[#This Row],[!Type]]=S$1, S$1,"rg:None")</f>
        <v>rg:None</v>
      </c>
      <c r="T243" s="9" t="str">
        <f>IF(LEN(Table2[[#This Row],[!Length]]) &gt; 0, Table2[[#This Row],[!Length]], "rg:None")</f>
        <v>rg:None</v>
      </c>
      <c r="U243" s="9" t="str">
        <f>IF(LEN(Table2[[#This Row],[!Name]]) &gt; 0, Table2[[#This Row],[!Name]], "rg:None")</f>
        <v>endDate</v>
      </c>
      <c r="V243" s="9" t="str">
        <f>IF(LEN(Table2[[#This Row],[!Description]]) &gt; 0, Table2[[#This Row],[!Description]], "rg:None")</f>
        <v>The DATE the business information ceased to be in effect. - NOT CURRENTLY ENFORCED IN THIS SYSTEM</v>
      </c>
      <c r="W243" s="9" t="str">
        <f>IF(LEN(Table2[[#This Row],[!FK]])&gt;0,Table2[[#This Row],[!FK]],"rg:None")</f>
        <v>rg:None</v>
      </c>
      <c r="X243" s="9" t="str">
        <f>IF(LEN(concatif2(A:A,Table2[[#This Row],[!Table]],G:G,"Y",D:D,",")) &gt; 0,"rg:[ { 'req' : '"&amp;concatif2(A:A,Table2[[#This Row],[!Table]],G:G,"Y",D:D,"' }, { 'req': '")&amp;"'} ]","rg:[]")</f>
        <v>rg:[ { 'req' : 'id' }, { 'req': 'ministryDistrictID' }, { 'req': 'name' }, { 'req': 'region' }, { 'req': 'startDate'} ]</v>
      </c>
      <c r="Y243" s="9" t="str">
        <f>IF(LEN(Table2[[#This Row],[!Unique]])&gt;0,"rg:True","rg:None")</f>
        <v>rg:None</v>
      </c>
    </row>
    <row r="244" spans="1:25" x14ac:dyDescent="0.3">
      <c r="A244" s="3" t="s">
        <v>10</v>
      </c>
      <c r="B244" s="3" t="s">
        <v>4</v>
      </c>
      <c r="C244" s="3"/>
      <c r="D244" s="3" t="s">
        <v>10</v>
      </c>
      <c r="E244" s="63" t="s">
        <v>494</v>
      </c>
      <c r="F244" s="3" t="s">
        <v>5</v>
      </c>
      <c r="G244" s="4"/>
      <c r="H244" s="4"/>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rg:None</v>
      </c>
      <c r="S244" s="5" t="str">
        <f>IF(Table2[[#This Row],[!Type]]=S$1, S$1,"rg:None")</f>
        <v>table</v>
      </c>
      <c r="T244" s="9" t="str">
        <f>IF(LEN(Table2[[#This Row],[!Length]]) &gt; 0, Table2[[#This Row],[!Length]], "rg:None")</f>
        <v>rg:None</v>
      </c>
      <c r="U244" s="9" t="str">
        <f>IF(LEN(Table2[[#This Row],[!Name]]) &gt; 0, Table2[[#This Row],[!Name]], "rg:None")</f>
        <v>ServiceArea</v>
      </c>
      <c r="V244" s="9" t="str">
        <f>IF(LEN(Table2[[#This Row],[!Description]]) &gt; 0, Table2[[#This Row],[!Description]], "rg:None")</f>
        <v>The Ministry of Transportation and Infrastructure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6</v>
      </c>
      <c r="C245" s="3"/>
      <c r="D245" s="3" t="s">
        <v>6</v>
      </c>
      <c r="E245" s="63" t="s">
        <v>387</v>
      </c>
      <c r="F245" s="3" t="s">
        <v>5</v>
      </c>
      <c r="G245" s="4" t="s">
        <v>64</v>
      </c>
      <c r="H245" s="56" t="s">
        <v>64</v>
      </c>
      <c r="I245" s="5" t="str">
        <f t="shared" si="16"/>
        <v>Defs</v>
      </c>
      <c r="J245" t="str">
        <f>IF(Table2[[#This Row],[!Type]]=J$1, J$1,"rg:None")</f>
        <v>rg:None</v>
      </c>
      <c r="K245" t="str">
        <f>IF(Table2[[#This Row],[!Type]]=K$1, K$1,"rg:None")</f>
        <v>rg:None</v>
      </c>
      <c r="L245" t="str">
        <f>IF(Table2[[#This Row],[!Type]]=L$1, L$1,"rg:None")</f>
        <v>rg:None</v>
      </c>
      <c r="M245" t="str">
        <f>IF(Table2[[#This Row],[!Type]]=M$1, M$1,"rg:None")</f>
        <v>id</v>
      </c>
      <c r="N245" s="9" t="str">
        <f>IF(Table2[[#This Row],[!Type]]=N$1, N$1,"rg:None")</f>
        <v>rg:None</v>
      </c>
      <c r="O245" s="9" t="str">
        <f>IF(Table2[[#This Row],[!Type]]=O$1, O$1,"rg:None")</f>
        <v>rg:None</v>
      </c>
      <c r="P245" s="5" t="str">
        <f>IF(Table2[[#This Row],[!Type]]=P$1, P$1,"rg:None")</f>
        <v>rg:None</v>
      </c>
      <c r="Q245" s="5" t="str">
        <f>IF(Table2[[#This Row],[!Type]]=Q$1, Q$1,"rg:None")</f>
        <v>rg:None</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id</v>
      </c>
      <c r="V245" s="9" t="str">
        <f>IF(LEN(Table2[[#This Row],[!Description]]) &gt; 0, Table2[[#This Row],[!Description]], "rg:None")</f>
        <v>A system-generated unique identifier for a ServiceArea</v>
      </c>
      <c r="W245" s="9" t="str">
        <f>IF(LEN(Table2[[#This Row],[!FK]])&gt;0,Table2[[#This Row],[!FK]],"rg:None")</f>
        <v>rg:None</v>
      </c>
      <c r="X245" s="9" t="str">
        <f>IF(LEN(concatif2(A:A,Table2[[#This Row],[!Table]],G:G,"Y",D:D,",")) &gt; 0,"rg:[ { 'req' : '"&amp;concatif2(A:A,Table2[[#This Row],[!Table]],G:G,"Y",D:D,"' }, { 'req': '")&amp;"'} ]","rg:[]")</f>
        <v>rg:[ { 'req' : 'id' }, { 'req': 'ministryServiceAreaID' }, { 'req': 'name' }, { 'req': 'district' }, { 'req': 'startDate'} ]</v>
      </c>
      <c r="Y245" s="9" t="str">
        <f>IF(LEN(Table2[[#This Row],[!Unique]])&gt;0,"rg:True","rg:None")</f>
        <v>rg:True</v>
      </c>
    </row>
    <row r="246" spans="1:25" x14ac:dyDescent="0.3">
      <c r="A246" s="3" t="s">
        <v>10</v>
      </c>
      <c r="B246" s="3" t="s">
        <v>13</v>
      </c>
      <c r="C246" s="3"/>
      <c r="D246" s="3" t="s">
        <v>38</v>
      </c>
      <c r="E246" s="87" t="s">
        <v>485</v>
      </c>
      <c r="F246" s="3" t="s">
        <v>5</v>
      </c>
      <c r="G246" s="56" t="s">
        <v>64</v>
      </c>
      <c r="H246" s="56"/>
      <c r="I246" s="5" t="str">
        <f t="shared" si="16"/>
        <v>Defs</v>
      </c>
      <c r="J246" t="str">
        <f>IF(Table2[[#This Row],[!Type]]=J$1, J$1,"rg:None")</f>
        <v>rg:None</v>
      </c>
      <c r="K246" t="str">
        <f>IF(Table2[[#This Row],[!Type]]=K$1, K$1,"rg:None")</f>
        <v>rg:None</v>
      </c>
      <c r="L246" t="str">
        <f>IF(Table2[[#This Row],[!Type]]=L$1, L$1,"rg:None")</f>
        <v>rg:None</v>
      </c>
      <c r="M246" t="str">
        <f>IF(Table2[[#This Row],[!Type]]=M$1, M$1,"rg:None")</f>
        <v>rg:None</v>
      </c>
      <c r="N246" s="9" t="str">
        <f>IF(Table2[[#This Row],[!Type]]=N$1, N$1,"rg:None")</f>
        <v>integer</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ministryServiceAreaID</v>
      </c>
      <c r="V246" s="9" t="str">
        <f>IF(LEN(Table2[[#This Row],[!Description]]) &gt; 0, Table2[[#This Row],[!Description]], "rg:None")</f>
        <v>A system generated unique identifier. NOT GENERATED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x14ac:dyDescent="0.3">
      <c r="A247" s="89" t="s">
        <v>10</v>
      </c>
      <c r="B247" s="89" t="s">
        <v>13</v>
      </c>
      <c r="C247" s="19"/>
      <c r="D247" s="89" t="s">
        <v>492</v>
      </c>
      <c r="E247" s="64" t="s">
        <v>493</v>
      </c>
      <c r="F247" s="13"/>
      <c r="G247" s="20"/>
      <c r="H247" s="20"/>
      <c r="I247" s="4" t="str">
        <f>IF(LEN(A247) &gt; 0,"Defs","-")</f>
        <v>Defs</v>
      </c>
      <c r="J247" s="15" t="str">
        <f>IF(Table2[[#This Row],[!Type]]=J$1, J$1,"rg:None")</f>
        <v>rg:None</v>
      </c>
      <c r="K247" s="49" t="str">
        <f>IF(Table2[[#This Row],[!Type]]=K$1, K$1,"rg:None")</f>
        <v>rg:None</v>
      </c>
      <c r="L247" s="15" t="str">
        <f>IF(Table2[[#This Row],[!Type]]=L$1, L$1,"rg:None")</f>
        <v>rg:None</v>
      </c>
      <c r="M247" s="15" t="str">
        <f>IF(Table2[[#This Row],[!Type]]=M$1, M$1,"rg:None")</f>
        <v>rg:None</v>
      </c>
      <c r="N247" s="15" t="str">
        <f>IF(Table2[[#This Row],[!Type]]=N$1, N$1,"rg:None")</f>
        <v>integer</v>
      </c>
      <c r="O247" s="15"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15" t="str">
        <f>IF(LEN(Table2[[#This Row],[!Length]]) &gt; 0, Table2[[#This Row],[!Length]], "rg:None")</f>
        <v>rg:None</v>
      </c>
      <c r="U247" s="15" t="str">
        <f>IF(LEN(Table2[[#This Row],[!Name]]) &gt; 0, Table2[[#This Row],[!Name]], "rg:None")</f>
        <v>areaNumber</v>
      </c>
      <c r="V247" s="15" t="str">
        <f>IF(LEN(Table2[[#This Row],[!Description]]) &gt; 0, Table2[[#This Row],[!Description]], "rg:None")</f>
        <v>A number that uniquely defines a Ministry Service Area.</v>
      </c>
      <c r="W247" s="15" t="str">
        <f>IF(LEN(Table2[[#This Row],[!FK]])&gt;0,Table2[[#This Row],[!FK]],"rg:None")</f>
        <v>rg:None</v>
      </c>
      <c r="X247" s="15" t="str">
        <f>IF(LEN(concatif2(A:A,Table2[[#This Row],[!Table]],G:G,"Y",D:D,",")) &gt; 0,"rg:[ { 'req' : '"&amp;concatif2(A:A,Table2[[#This Row],[!Table]],G:G,"Y",D:D,"' }, { 'req': '")&amp;"'} ]","rg:[]")</f>
        <v>rg:[ { 'req' : 'id' }, { 'req': 'ministryServiceAreaID' }, { 'req': 'name' }, { 'req': 'district' }, { 'req': 'startDate'} ]</v>
      </c>
      <c r="Y247" s="15" t="str">
        <f>IF(LEN(Table2[[#This Row],[!Unique]])&gt;0,"rg:True","rg:None")</f>
        <v>rg:None</v>
      </c>
    </row>
    <row r="248" spans="1:25" x14ac:dyDescent="0.3">
      <c r="A248" s="3" t="s">
        <v>10</v>
      </c>
      <c r="B248" s="3" t="s">
        <v>7</v>
      </c>
      <c r="C248" s="3">
        <v>150</v>
      </c>
      <c r="D248" s="3" t="s">
        <v>15</v>
      </c>
      <c r="E248" s="87" t="s">
        <v>491</v>
      </c>
      <c r="F248" s="3" t="s">
        <v>5</v>
      </c>
      <c r="G248" s="56" t="s">
        <v>64</v>
      </c>
      <c r="H248" s="56"/>
      <c r="I248" s="5" t="str">
        <f t="shared" si="16"/>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string</v>
      </c>
      <c r="S248" s="5" t="str">
        <f>IF(Table2[[#This Row],[!Type]]=S$1, S$1,"rg:None")</f>
        <v>rg:None</v>
      </c>
      <c r="T248" s="9">
        <f>IF(LEN(Table2[[#This Row],[!Length]]) &gt; 0, Table2[[#This Row],[!Length]], "rg:None")</f>
        <v>150</v>
      </c>
      <c r="U248" s="9" t="str">
        <f>IF(LEN(Table2[[#This Row],[!Name]]) &gt; 0, Table2[[#This Row],[!Name]], "rg:None")</f>
        <v>name</v>
      </c>
      <c r="V248" s="9" t="str">
        <f>IF(LEN(Table2[[#This Row],[!Description]]) &gt; 0, Table2[[#This Row],[!Description]], "rg:None")</f>
        <v>The Name of a Ministry Service Area.</v>
      </c>
      <c r="W248" s="9" t="str">
        <f>IF(LEN(Table2[[#This Row],[!FK]])&gt;0,Table2[[#This Row],[!FK]],"rg:None")</f>
        <v>rg:None</v>
      </c>
      <c r="X248" s="9" t="str">
        <f>IF(LEN(concatif2(A:A,Table2[[#This Row],[!Table]],G:G,"Y",D:D,",")) &gt; 0,"rg:[ { 'req' : '"&amp;concatif2(A:A,Table2[[#This Row],[!Table]],G:G,"Y",D:D,"' }, { 'req': '")&amp;"'} ]","rg:[]")</f>
        <v>rg:[ { 'req' : 'id' }, { 'req': 'ministryServiceAreaID' }, { 'req': 'name' }, { 'req': 'district' }, { 'req': 'startDate'} ]</v>
      </c>
      <c r="Y248" s="9" t="str">
        <f>IF(LEN(Table2[[#This Row],[!Unique]])&gt;0,"rg:True","rg:None")</f>
        <v>rg:None</v>
      </c>
    </row>
    <row r="249" spans="1:25" x14ac:dyDescent="0.3">
      <c r="A249" s="3" t="s">
        <v>10</v>
      </c>
      <c r="B249" s="3" t="s">
        <v>8</v>
      </c>
      <c r="C249" s="3"/>
      <c r="D249" s="3" t="s">
        <v>39</v>
      </c>
      <c r="E249" s="63" t="s">
        <v>40</v>
      </c>
      <c r="F249" s="3" t="s">
        <v>34</v>
      </c>
      <c r="G249" s="92" t="s">
        <v>64</v>
      </c>
      <c r="H249" s="4"/>
      <c r="I249" s="5" t="str">
        <f t="shared" si="16"/>
        <v>Defs</v>
      </c>
      <c r="J249" t="str">
        <f>IF(Table2[[#This Row],[!Type]]=J$1, J$1,"rg:None")</f>
        <v>rg:None</v>
      </c>
      <c r="K249" t="str">
        <f>IF(Table2[[#This Row],[!Type]]=K$1, K$1,"rg:None")</f>
        <v>rg:None</v>
      </c>
      <c r="L249" t="str">
        <f>IF(Table2[[#This Row],[!Type]]=L$1, L$1,"rg:None")</f>
        <v>rg:None</v>
      </c>
      <c r="M249" t="str">
        <f>IF(Table2[[#This Row],[!Type]]=M$1, M$1,"rg:None")</f>
        <v>rg:None</v>
      </c>
      <c r="N249" s="9" t="str">
        <f>IF(Table2[[#This Row],[!Type]]=N$1, N$1,"rg:None")</f>
        <v>rg:None</v>
      </c>
      <c r="O249" s="9" t="str">
        <f>IF(Table2[[#This Row],[!Type]]=O$1, O$1,"rg:None")</f>
        <v>rg:None</v>
      </c>
      <c r="P249" s="5" t="str">
        <f>IF(Table2[[#This Row],[!Type]]=P$1, P$1,"rg:None")</f>
        <v>rg:None</v>
      </c>
      <c r="Q249" s="5" t="str">
        <f>IF(Table2[[#This Row],[!Type]]=Q$1, Q$1,"rg:None")</f>
        <v>ref</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district</v>
      </c>
      <c r="V249" s="9" t="str">
        <f>IF(LEN(Table2[[#This Row],[!Description]]) &gt; 0, Table2[[#This Row],[!Description]], "rg:None")</f>
        <v>The district in which the Service Area is found.</v>
      </c>
      <c r="W249" s="9" t="str">
        <f>IF(LEN(Table2[[#This Row],[!FK]])&gt;0,Table2[[#This Row],[!FK]],"rg:None")</f>
        <v>District</v>
      </c>
      <c r="X249" s="9" t="str">
        <f>IF(LEN(concatif2(A:A,Table2[[#This Row],[!Table]],G:G,"Y",D:D,",")) &gt; 0,"rg:[ { 'req' : '"&amp;concatif2(A:A,Table2[[#This Row],[!Table]],G:G,"Y",D:D,"' }, { 'req': '")&amp;"'} ]","rg:[]")</f>
        <v>rg:[ { 'req' : 'id' }, { 'req': 'ministryServiceAreaID' }, { 'req': 'name' }, { 'req': 'district' }, { 'req': 'startDate'} ]</v>
      </c>
      <c r="Y249" s="9" t="str">
        <f>IF(LEN(Table2[[#This Row],[!Unique]])&gt;0,"rg:True","rg:None")</f>
        <v>rg:None</v>
      </c>
    </row>
    <row r="250" spans="1:25" ht="28.8" x14ac:dyDescent="0.3">
      <c r="A250" s="3" t="s">
        <v>10</v>
      </c>
      <c r="B250" s="3" t="s">
        <v>12</v>
      </c>
      <c r="C250" s="3"/>
      <c r="D250" s="3" t="s">
        <v>32</v>
      </c>
      <c r="E250" s="87" t="s">
        <v>489</v>
      </c>
      <c r="F250" s="3" t="s">
        <v>5</v>
      </c>
      <c r="G250" s="92" t="s">
        <v>64</v>
      </c>
      <c r="H250" s="4"/>
      <c r="I250" s="5" t="str">
        <f t="shared" si="16"/>
        <v>Defs</v>
      </c>
      <c r="J250" t="str">
        <f>IF(Table2[[#This Row],[!Type]]=J$1, J$1,"rg:None")</f>
        <v>rg:None</v>
      </c>
      <c r="K250" t="str">
        <f>IF(Table2[[#This Row],[!Type]]=K$1, K$1,"rg:None")</f>
        <v>rg:None</v>
      </c>
      <c r="L250" t="str">
        <f>IF(Table2[[#This Row],[!Type]]=L$1, L$1,"rg:None")</f>
        <v>datetime</v>
      </c>
      <c r="M250" t="str">
        <f>IF(Table2[[#This Row],[!Type]]=M$1, M$1,"rg:None")</f>
        <v>rg:None</v>
      </c>
      <c r="N250" s="9" t="str">
        <f>IF(Table2[[#This Row],[!Type]]=N$1, N$1,"rg:None")</f>
        <v>rg:None</v>
      </c>
      <c r="O250" s="9"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rg:None</v>
      </c>
      <c r="T250" s="9" t="str">
        <f>IF(LEN(Table2[[#This Row],[!Length]]) &gt; 0, Table2[[#This Row],[!Length]], "rg:None")</f>
        <v>rg:None</v>
      </c>
      <c r="U250" s="9" t="str">
        <f>IF(LEN(Table2[[#This Row],[!Name]]) &gt; 0, Table2[[#This Row],[!Name]], "rg:None")</f>
        <v>startDate</v>
      </c>
      <c r="V250" s="9" t="str">
        <f>IF(LEN(Table2[[#This Row],[!Description]]) &gt; 0, Table2[[#This Row],[!Description]], "rg:None")</f>
        <v>The DATE the business information came into effect. - NOT CURRENTLY ENFORCED IN THIS SYSTEM</v>
      </c>
      <c r="W250" s="9" t="str">
        <f>IF(LEN(Table2[[#This Row],[!FK]])&gt;0,Table2[[#This Row],[!FK]],"rg:None")</f>
        <v>rg:None</v>
      </c>
      <c r="X250" s="9" t="str">
        <f>IF(LEN(concatif2(A:A,Table2[[#This Row],[!Table]],G:G,"Y",D:D,",")) &gt; 0,"rg:[ { 'req' : '"&amp;concatif2(A:A,Table2[[#This Row],[!Table]],G:G,"Y",D:D,"' }, { 'req': '")&amp;"'} ]","rg:[]")</f>
        <v>rg:[ { 'req' : 'id' }, { 'req': 'ministryServiceAreaID' }, { 'req': 'name' }, { 'req': 'district' }, { 'req': 'startDate'} ]</v>
      </c>
      <c r="Y250" s="9" t="str">
        <f>IF(LEN(Table2[[#This Row],[!Unique]])&gt;0,"rg:True","rg:None")</f>
        <v>rg:None</v>
      </c>
    </row>
    <row r="251" spans="1:25" ht="28.8" x14ac:dyDescent="0.3">
      <c r="A251" s="3" t="s">
        <v>10</v>
      </c>
      <c r="B251" s="3" t="s">
        <v>12</v>
      </c>
      <c r="C251" s="3"/>
      <c r="D251" s="3" t="s">
        <v>33</v>
      </c>
      <c r="E251" s="87" t="s">
        <v>490</v>
      </c>
      <c r="F251" s="3" t="s">
        <v>5</v>
      </c>
      <c r="G251" s="4"/>
      <c r="H251" s="4"/>
      <c r="I251" s="5" t="str">
        <f t="shared" si="16"/>
        <v>Defs</v>
      </c>
      <c r="J251" t="str">
        <f>IF(Table2[[#This Row],[!Type]]=J$1, J$1,"rg:None")</f>
        <v>rg:None</v>
      </c>
      <c r="K251" t="str">
        <f>IF(Table2[[#This Row],[!Type]]=K$1, K$1,"rg:None")</f>
        <v>rg:None</v>
      </c>
      <c r="L251" t="str">
        <f>IF(Table2[[#This Row],[!Type]]=L$1, L$1,"rg:None")</f>
        <v>datetime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9" t="str">
        <f>IF(LEN(Table2[[#This Row],[!Length]]) &gt; 0, Table2[[#This Row],[!Length]], "rg:None")</f>
        <v>rg:None</v>
      </c>
      <c r="U251" s="9" t="str">
        <f>IF(LEN(Table2[[#This Row],[!Name]]) &gt; 0, Table2[[#This Row],[!Name]], "rg:None")</f>
        <v>endDate</v>
      </c>
      <c r="V251" s="9" t="str">
        <f>IF(LEN(Table2[[#This Row],[!Description]]) &gt; 0, Table2[[#This Row],[!Description]], "rg:None")</f>
        <v>The DATE the business information ceased to be in effect. - NOT CURRENTLY ENFORCED IN THIS SYSTEM</v>
      </c>
      <c r="W251" s="9" t="str">
        <f>IF(LEN(Table2[[#This Row],[!FK]])&gt;0,Table2[[#This Row],[!FK]],"rg:None")</f>
        <v>rg:None</v>
      </c>
      <c r="X251" s="9" t="str">
        <f>IF(LEN(concatif2(A:A,Table2[[#This Row],[!Table]],G:G,"Y",D:D,",")) &gt; 0,"rg:[ { 'req' : '"&amp;concatif2(A:A,Table2[[#This Row],[!Table]],G:G,"Y",D:D,"' }, { 'req': '")&amp;"'} ]","rg:[]")</f>
        <v>rg:[ { 'req' : 'id' }, { 'req': 'ministryServiceAreaID' }, { 'req': 'name' }, { 'req': 'district' }, { 'req': 'startDate'} ]</v>
      </c>
      <c r="Y251" s="9" t="str">
        <f>IF(LEN(Table2[[#This Row],[!Unique]])&gt;0,"rg:True","rg:None")</f>
        <v>rg:None</v>
      </c>
    </row>
    <row r="252" spans="1:25" x14ac:dyDescent="0.3">
      <c r="A252" s="18" t="s">
        <v>165</v>
      </c>
      <c r="B252" s="3" t="s">
        <v>4</v>
      </c>
      <c r="C252" s="3"/>
      <c r="D252" s="18" t="s">
        <v>165</v>
      </c>
      <c r="E252" s="87" t="s">
        <v>443</v>
      </c>
      <c r="F252" s="3" t="s">
        <v>5</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table</v>
      </c>
      <c r="T252" s="9" t="str">
        <f>IF(LEN(Table2[[#This Row],[!Length]]) &gt; 0, Table2[[#This Row],[!Length]], "rg:None")</f>
        <v>rg:None</v>
      </c>
      <c r="U252" s="9" t="str">
        <f>IF(LEN(Table2[[#This Row],[!Name]]) &gt; 0, Table2[[#This Row],[!Name]], "rg:None")</f>
        <v>LocalArea</v>
      </c>
      <c r="V252" s="9" t="str">
        <f>IF(LEN(Table2[[#This Row],[!Description]]) &gt; 0, Table2[[#This Row],[!Description]], "rg:None")</f>
        <v>A HETS-application defined area that is within a Service Area.</v>
      </c>
      <c r="W252" s="9" t="str">
        <f>IF(LEN(Table2[[#This Row],[!FK]])&gt;0,Table2[[#This Row],[!FK]],"rg:None")</f>
        <v>rg:None</v>
      </c>
      <c r="X252" s="9" t="str">
        <f>IF(LEN(concatif2(A:A,Table2[[#This Row],[!Table]],G:G,"Y",D:D,",")) &gt; 0,"rg:[ { 'req' : '"&amp;concatif2(A:A,Table2[[#This Row],[!Table]],G:G,"Y",D:D,"' }, { 'req': '")&amp;"'} ]","rg:[]")</f>
        <v>rg:[ { 'req' : 'id' }, { 'req': 'startDate'} ]</v>
      </c>
      <c r="Y252" s="9" t="str">
        <f>IF(LEN(Table2[[#This Row],[!Unique]])&gt;0,"rg:True","rg:None")</f>
        <v>rg:None</v>
      </c>
    </row>
    <row r="253" spans="1:25" x14ac:dyDescent="0.3">
      <c r="A253" s="18" t="s">
        <v>165</v>
      </c>
      <c r="B253" s="3" t="s">
        <v>6</v>
      </c>
      <c r="C253" s="3"/>
      <c r="D253" s="3" t="s">
        <v>6</v>
      </c>
      <c r="E253" s="63" t="s">
        <v>416</v>
      </c>
      <c r="F253" s="3" t="s">
        <v>5</v>
      </c>
      <c r="G253" s="4" t="s">
        <v>64</v>
      </c>
      <c r="H253" s="4"/>
      <c r="I253" s="5" t="str">
        <f>IF(LEN(A253) &gt; 0,"Defs","-")</f>
        <v>Defs</v>
      </c>
      <c r="J253" t="str">
        <f>IF(Table2[[#This Row],[!Type]]=J$1, J$1,"rg:None")</f>
        <v>rg:None</v>
      </c>
      <c r="K253" t="str">
        <f>IF(Table2[[#This Row],[!Type]]=K$1, K$1,"rg:None")</f>
        <v>rg:None</v>
      </c>
      <c r="L253" t="str">
        <f>IF(Table2[[#This Row],[!Type]]=L$1, L$1,"rg:None")</f>
        <v>rg:None</v>
      </c>
      <c r="M253" t="str">
        <f>IF(Table2[[#This Row],[!Type]]=M$1, M$1,"rg:None")</f>
        <v>id</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id</v>
      </c>
      <c r="V253" s="9" t="str">
        <f>IF(LEN(Table2[[#This Row],[!Description]]) &gt; 0, Table2[[#This Row],[!Description]], "rg:None")</f>
        <v>A system-generated unique identifier for a LocalArea</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x14ac:dyDescent="0.3">
      <c r="A254" s="89" t="s">
        <v>165</v>
      </c>
      <c r="B254" s="89" t="s">
        <v>13</v>
      </c>
      <c r="C254" s="19"/>
      <c r="D254" s="89" t="s">
        <v>496</v>
      </c>
      <c r="E254" s="88" t="s">
        <v>495</v>
      </c>
      <c r="F254" s="13"/>
      <c r="G254" s="20"/>
      <c r="H254" s="20"/>
      <c r="I254" s="4" t="str">
        <f>IF(LEN(A254) &gt; 0,"Defs","-")</f>
        <v>Defs</v>
      </c>
      <c r="J254" s="15" t="str">
        <f>IF(Table2[[#This Row],[!Type]]=J$1, J$1,"rg:None")</f>
        <v>rg:None</v>
      </c>
      <c r="K254" s="49" t="str">
        <f>IF(Table2[[#This Row],[!Type]]=K$1, K$1,"rg:None")</f>
        <v>rg:None</v>
      </c>
      <c r="L254" s="15" t="str">
        <f>IF(Table2[[#This Row],[!Type]]=L$1, L$1,"rg:None")</f>
        <v>rg:None</v>
      </c>
      <c r="M254" s="15" t="str">
        <f>IF(Table2[[#This Row],[!Type]]=M$1, M$1,"rg:None")</f>
        <v>rg:None</v>
      </c>
      <c r="N254" s="15" t="str">
        <f>IF(Table2[[#This Row],[!Type]]=N$1, N$1,"rg:None")</f>
        <v>integer</v>
      </c>
      <c r="O254" s="15"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15" t="str">
        <f>IF(LEN(Table2[[#This Row],[!Length]]) &gt; 0, Table2[[#This Row],[!Length]], "rg:None")</f>
        <v>rg:None</v>
      </c>
      <c r="U254" s="15" t="str">
        <f>IF(LEN(Table2[[#This Row],[!Name]]) &gt; 0, Table2[[#This Row],[!Name]], "rg:None")</f>
        <v>localAreaNumber</v>
      </c>
      <c r="V254" s="15" t="str">
        <f>IF(LEN(Table2[[#This Row],[!Description]]) &gt; 0, Table2[[#This Row],[!Description]], "rg:None")</f>
        <v>A system-generated, visible to the user number for the Local Area</v>
      </c>
      <c r="W254" s="15" t="str">
        <f>IF(LEN(Table2[[#This Row],[!FK]])&gt;0,Table2[[#This Row],[!FK]],"rg:None")</f>
        <v>rg:None</v>
      </c>
      <c r="X254" s="15" t="str">
        <f>IF(LEN(concatif2(A:A,Table2[[#This Row],[!Table]],G:G,"Y",D:D,",")) &gt; 0,"rg:[ { 'req' : '"&amp;concatif2(A:A,Table2[[#This Row],[!Table]],G:G,"Y",D:D,"' }, { 'req': '")&amp;"'} ]","rg:[]")</f>
        <v>rg:[ { 'req' : 'id' }, { 'req': 'startDate'} ]</v>
      </c>
      <c r="Y254" s="15" t="str">
        <f>IF(LEN(Table2[[#This Row],[!Unique]])&gt;0,"rg:True","rg:None")</f>
        <v>rg:None</v>
      </c>
    </row>
    <row r="255" spans="1:25" x14ac:dyDescent="0.3">
      <c r="A255" s="18" t="s">
        <v>165</v>
      </c>
      <c r="B255" s="3" t="s">
        <v>7</v>
      </c>
      <c r="C255" s="3">
        <v>255</v>
      </c>
      <c r="D255" s="3" t="s">
        <v>15</v>
      </c>
      <c r="E255" s="78" t="s">
        <v>166</v>
      </c>
      <c r="F255" s="3" t="s">
        <v>5</v>
      </c>
      <c r="G255" s="4"/>
      <c r="H255" s="4"/>
      <c r="I255" s="5" t="str">
        <f>IF(LEN(A255) &gt; 0,"Defs","-")</f>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9">
        <f>IF(LEN(Table2[[#This Row],[!Length]]) &gt; 0, Table2[[#This Row],[!Length]], "rg:None")</f>
        <v>255</v>
      </c>
      <c r="U255" s="9" t="str">
        <f>IF(LEN(Table2[[#This Row],[!Name]]) &gt; 0, Table2[[#This Row],[!Name]], "rg:None")</f>
        <v>name</v>
      </c>
      <c r="V255" s="9" t="str">
        <f>IF(LEN(Table2[[#This Row],[!Description]]) &gt; 0, Table2[[#This Row],[!Description]], "rg:None")</f>
        <v>The full name of the Local Area</v>
      </c>
      <c r="W255" s="9" t="str">
        <f>IF(LEN(Table2[[#This Row],[!FK]])&gt;0,Table2[[#This Row],[!FK]],"rg:None")</f>
        <v>rg:None</v>
      </c>
      <c r="X255" s="9" t="str">
        <f>IF(LEN(concatif2(A:A,Table2[[#This Row],[!Table]],G:G,"Y",D:D,",")) &gt; 0,"rg:[ { 'req' : '"&amp;concatif2(A:A,Table2[[#This Row],[!Table]],G:G,"Y",D:D,"' }, { 'req': '")&amp;"'} ]","rg:[]")</f>
        <v>rg:[ { 'req' : 'id' }, { 'req': 'startDate'} ]</v>
      </c>
      <c r="Y255" s="9" t="str">
        <f>IF(LEN(Table2[[#This Row],[!Unique]])&gt;0,"rg:True","rg:None")</f>
        <v>rg:None</v>
      </c>
    </row>
    <row r="256" spans="1:25" x14ac:dyDescent="0.3">
      <c r="A256" s="18" t="s">
        <v>165</v>
      </c>
      <c r="B256" s="3" t="s">
        <v>8</v>
      </c>
      <c r="C256" s="3"/>
      <c r="D256" s="18" t="s">
        <v>167</v>
      </c>
      <c r="E256" s="78" t="s">
        <v>168</v>
      </c>
      <c r="F256" s="18" t="s">
        <v>10</v>
      </c>
      <c r="G256" s="4"/>
      <c r="H256" s="4"/>
      <c r="I256" s="5" t="str">
        <f>IF(LEN(A256) &gt; 0,"Defs","-")</f>
        <v>Defs</v>
      </c>
      <c r="J256" t="str">
        <f>IF(Table2[[#This Row],[!Type]]=J$1, J$1,"rg:None")</f>
        <v>rg:None</v>
      </c>
      <c r="K256" t="str">
        <f>IF(Table2[[#This Row],[!Type]]=K$1, K$1,"rg:None")</f>
        <v>rg:None</v>
      </c>
      <c r="L256" t="str">
        <f>IF(Table2[[#This Row],[!Type]]=L$1, L$1,"rg:None")</f>
        <v>rg:None</v>
      </c>
      <c r="M256" t="str">
        <f>IF(Table2[[#This Row],[!Type]]=M$1, M$1,"rg:None")</f>
        <v>rg:None</v>
      </c>
      <c r="N256" s="9" t="str">
        <f>IF(Table2[[#This Row],[!Type]]=N$1, N$1,"rg:None")</f>
        <v>rg:None</v>
      </c>
      <c r="O256" s="9" t="str">
        <f>IF(Table2[[#This Row],[!Type]]=O$1, O$1,"rg:None")</f>
        <v>rg:None</v>
      </c>
      <c r="P256" s="5" t="str">
        <f>IF(Table2[[#This Row],[!Type]]=P$1, P$1,"rg:None")</f>
        <v>rg:None</v>
      </c>
      <c r="Q256" s="5" t="str">
        <f>IF(Table2[[#This Row],[!Type]]=Q$1, Q$1,"rg:None")</f>
        <v>ref</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serviceArea</v>
      </c>
      <c r="V256" s="9" t="str">
        <f>IF(LEN(Table2[[#This Row],[!Description]]) &gt; 0, Table2[[#This Row],[!Description]], "rg:None")</f>
        <v>The Service Area in which the Local Area is found.</v>
      </c>
      <c r="W256" s="9" t="str">
        <f>IF(LEN(Table2[[#This Row],[!FK]])&gt;0,Table2[[#This Row],[!FK]],"rg:None")</f>
        <v>ServiceArea</v>
      </c>
      <c r="X256" s="9" t="str">
        <f>IF(LEN(concatif2(A:A,Table2[[#This Row],[!Table]],G:G,"Y",D:D,",")) &gt; 0,"rg:[ { 'req' : '"&amp;concatif2(A:A,Table2[[#This Row],[!Table]],G:G,"Y",D:D,"' }, { 'req': '")&amp;"'} ]","rg:[]")</f>
        <v>rg:[ { 'req' : 'id' }, { 'req': 'startDate'} ]</v>
      </c>
      <c r="Y256" s="9" t="str">
        <f>IF(LEN(Table2[[#This Row],[!Unique]])&gt;0,"rg:True","rg:None")</f>
        <v>rg:None</v>
      </c>
    </row>
    <row r="257" spans="1:25" ht="28.8" x14ac:dyDescent="0.3">
      <c r="A257" s="89" t="s">
        <v>165</v>
      </c>
      <c r="B257" s="3" t="s">
        <v>12</v>
      </c>
      <c r="C257" s="3"/>
      <c r="D257" s="3" t="s">
        <v>32</v>
      </c>
      <c r="E257" s="87" t="s">
        <v>489</v>
      </c>
      <c r="F257" s="3" t="s">
        <v>5</v>
      </c>
      <c r="G257" s="92" t="s">
        <v>64</v>
      </c>
      <c r="H257" s="4"/>
      <c r="I257" s="5" t="str">
        <f t="shared" ref="I257:I258" si="17">IF(LEN(A257) &gt; 0,"Defs","-")</f>
        <v>Defs</v>
      </c>
      <c r="J257" t="str">
        <f>IF(Table2[[#This Row],[!Type]]=J$1, J$1,"rg:None")</f>
        <v>rg:None</v>
      </c>
      <c r="K257" t="str">
        <f>IF(Table2[[#This Row],[!Type]]=K$1, K$1,"rg:None")</f>
        <v>rg:None</v>
      </c>
      <c r="L257" t="str">
        <f>IF(Table2[[#This Row],[!Type]]=L$1, L$1,"rg:None")</f>
        <v>datetime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9" t="str">
        <f>IF(LEN(Table2[[#This Row],[!Length]]) &gt; 0, Table2[[#This Row],[!Length]], "rg:None")</f>
        <v>rg:None</v>
      </c>
      <c r="U257" s="9" t="str">
        <f>IF(LEN(Table2[[#This Row],[!Name]]) &gt; 0, Table2[[#This Row],[!Name]], "rg:None")</f>
        <v>startDate</v>
      </c>
      <c r="V257" s="9" t="str">
        <f>IF(LEN(Table2[[#This Row],[!Description]]) &gt; 0, Table2[[#This Row],[!Description]], "rg:None")</f>
        <v>The DATE the business information came into effect. - NOT CURRENTLY ENFORCED IN THIS SYSTEM</v>
      </c>
      <c r="W257" s="9" t="str">
        <f>IF(LEN(Table2[[#This Row],[!FK]])&gt;0,Table2[[#This Row],[!FK]],"rg:None")</f>
        <v>rg:None</v>
      </c>
      <c r="X257" s="9" t="str">
        <f>IF(LEN(concatif2(A:A,Table2[[#This Row],[!Table]],G:G,"Y",D:D,",")) &gt; 0,"rg:[ { 'req' : '"&amp;concatif2(A:A,Table2[[#This Row],[!Table]],G:G,"Y",D:D,"' }, { 'req': '")&amp;"'} ]","rg:[]")</f>
        <v>rg:[ { 'req' : 'id' }, { 'req': 'startDate'} ]</v>
      </c>
      <c r="Y257" s="9" t="str">
        <f>IF(LEN(Table2[[#This Row],[!Unique]])&gt;0,"rg:True","rg:None")</f>
        <v>rg:None</v>
      </c>
    </row>
    <row r="258" spans="1:25" ht="28.8" x14ac:dyDescent="0.3">
      <c r="A258" s="89" t="s">
        <v>165</v>
      </c>
      <c r="B258" s="3" t="s">
        <v>12</v>
      </c>
      <c r="C258" s="3"/>
      <c r="D258" s="3" t="s">
        <v>33</v>
      </c>
      <c r="E258" s="87" t="s">
        <v>490</v>
      </c>
      <c r="F258" s="3" t="s">
        <v>5</v>
      </c>
      <c r="G258" s="4"/>
      <c r="H258" s="4"/>
      <c r="I258" s="5" t="str">
        <f t="shared" si="17"/>
        <v>Defs</v>
      </c>
      <c r="J258" t="str">
        <f>IF(Table2[[#This Row],[!Type]]=J$1, J$1,"rg:None")</f>
        <v>rg:None</v>
      </c>
      <c r="K258" t="str">
        <f>IF(Table2[[#This Row],[!Type]]=K$1, K$1,"rg:None")</f>
        <v>rg:None</v>
      </c>
      <c r="L258" t="str">
        <f>IF(Table2[[#This Row],[!Type]]=L$1, L$1,"rg:None")</f>
        <v>datetime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9" t="str">
        <f>IF(LEN(Table2[[#This Row],[!Length]]) &gt; 0, Table2[[#This Row],[!Length]], "rg:None")</f>
        <v>rg:None</v>
      </c>
      <c r="U258" s="9" t="str">
        <f>IF(LEN(Table2[[#This Row],[!Name]]) &gt; 0, Table2[[#This Row],[!Name]], "rg:None")</f>
        <v>endDate</v>
      </c>
      <c r="V258" s="9" t="str">
        <f>IF(LEN(Table2[[#This Row],[!Description]]) &gt; 0, Table2[[#This Row],[!Description]], "rg:None")</f>
        <v>The DATE the business information ceased to be in effect. - NOT CURRENTLY ENFORCED IN THIS SYSTEM</v>
      </c>
      <c r="W258" s="9" t="str">
        <f>IF(LEN(Table2[[#This Row],[!FK]])&gt;0,Table2[[#This Row],[!FK]],"rg:None")</f>
        <v>rg:None</v>
      </c>
      <c r="X258" s="9" t="str">
        <f>IF(LEN(concatif2(A:A,Table2[[#This Row],[!Table]],G:G,"Y",D:D,",")) &gt; 0,"rg:[ { 'req' : '"&amp;concatif2(A:A,Table2[[#This Row],[!Table]],G:G,"Y",D:D,"' }, { 'req': '")&amp;"'} ]","rg:[]")</f>
        <v>rg:[ { 'req' : 'id' }, { 'req': 'startDate'} ]</v>
      </c>
      <c r="Y258" s="9" t="str">
        <f>IF(LEN(Table2[[#This Row],[!Unique]])&gt;0,"rg:True","rg:None")</f>
        <v>rg:None</v>
      </c>
    </row>
    <row r="259" spans="1:25" x14ac:dyDescent="0.3">
      <c r="A259" s="3" t="s">
        <v>11</v>
      </c>
      <c r="B259" s="3" t="s">
        <v>4</v>
      </c>
      <c r="C259" s="3"/>
      <c r="D259" s="3" t="s">
        <v>11</v>
      </c>
      <c r="E259" s="63" t="s">
        <v>66</v>
      </c>
      <c r="F259" s="3" t="s">
        <v>5</v>
      </c>
      <c r="G259" s="4"/>
      <c r="H259" s="4"/>
      <c r="I259" s="5" t="str">
        <f t="shared" si="16"/>
        <v>Defs</v>
      </c>
      <c r="J259" t="str">
        <f>IF(Table2[[#This Row],[!Type]]=J$1, J$1,"rg:None")</f>
        <v>rg:None</v>
      </c>
      <c r="K259" t="str">
        <f>IF(Table2[[#This Row],[!Type]]=K$1, K$1,"rg:None")</f>
        <v>rg:None</v>
      </c>
      <c r="L259" t="str">
        <f>IF(Table2[[#This Row],[!Type]]=L$1, L$1,"rg:None")</f>
        <v>rg:None</v>
      </c>
      <c r="M259" t="str">
        <f>IF(Table2[[#This Row],[!Type]]=M$1, M$1,"rg:None")</f>
        <v>rg:None</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table</v>
      </c>
      <c r="T259" s="9" t="str">
        <f>IF(LEN(Table2[[#This Row],[!Length]]) &gt; 0, Table2[[#This Row],[!Length]], "rg:None")</f>
        <v>rg:None</v>
      </c>
      <c r="U259" s="9" t="str">
        <f>IF(LEN(Table2[[#This Row],[!Name]]) &gt; 0, Table2[[#This Row],[!Name]], "rg:None")</f>
        <v>City</v>
      </c>
      <c r="V259" s="9" t="str">
        <f>IF(LEN(Table2[[#This Row],[!Description]]) &gt; 0, Table2[[#This Row],[!Description]], "rg:None")</f>
        <v>A list of cities in BC. Authoritative source to be determined.</v>
      </c>
      <c r="W259" s="9" t="str">
        <f>IF(LEN(Table2[[#This Row],[!FK]])&gt;0,Table2[[#This Row],[!FK]],"rg:None")</f>
        <v>rg:None</v>
      </c>
      <c r="X259" s="9" t="str">
        <f>IF(LEN(concatif2(A:A,Table2[[#This Row],[!Table]],G:G,"Y",D:D,",")) &gt; 0,"rg:[ { 'req' : '"&amp;concatif2(A:A,Table2[[#This Row],[!Table]],G:G,"Y",D:D,"' }, { 'req': '")&amp;"'} ]","rg:[]")</f>
        <v>rg:[ { 'req' : 'id'} ]</v>
      </c>
      <c r="Y259" s="9" t="str">
        <f>IF(LEN(Table2[[#This Row],[!Unique]])&gt;0,"rg:True","rg:None")</f>
        <v>rg:None</v>
      </c>
    </row>
    <row r="260" spans="1:25" x14ac:dyDescent="0.3">
      <c r="A260" s="3" t="s">
        <v>11</v>
      </c>
      <c r="B260" s="3" t="s">
        <v>6</v>
      </c>
      <c r="C260" s="3"/>
      <c r="D260" s="3" t="s">
        <v>6</v>
      </c>
      <c r="E260" s="63" t="s">
        <v>388</v>
      </c>
      <c r="F260" s="3" t="s">
        <v>5</v>
      </c>
      <c r="G260" s="4" t="s">
        <v>64</v>
      </c>
      <c r="H260" s="56" t="s">
        <v>64</v>
      </c>
      <c r="I260" s="5" t="str">
        <f t="shared" si="16"/>
        <v>Defs</v>
      </c>
      <c r="J260" t="str">
        <f>IF(Table2[[#This Row],[!Type]]=J$1, J$1,"rg:None")</f>
        <v>rg:None</v>
      </c>
      <c r="K260" t="str">
        <f>IF(Table2[[#This Row],[!Type]]=K$1, K$1,"rg:None")</f>
        <v>rg:None</v>
      </c>
      <c r="L260" t="str">
        <f>IF(Table2[[#This Row],[!Type]]=L$1, L$1,"rg:None")</f>
        <v>rg:None</v>
      </c>
      <c r="M260" t="str">
        <f>IF(Table2[[#This Row],[!Type]]=M$1, M$1,"rg:None")</f>
        <v>id</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9" t="str">
        <f>IF(LEN(Table2[[#This Row],[!Length]]) &gt; 0, Table2[[#This Row],[!Length]], "rg:None")</f>
        <v>rg:None</v>
      </c>
      <c r="U260" s="9" t="str">
        <f>IF(LEN(Table2[[#This Row],[!Name]]) &gt; 0, Table2[[#This Row],[!Name]], "rg:None")</f>
        <v>id</v>
      </c>
      <c r="V260" s="9" t="str">
        <f>IF(LEN(Table2[[#This Row],[!Description]]) &gt; 0, Table2[[#This Row],[!Description]], "rg:None")</f>
        <v>A system-generated unique identifier for a City</v>
      </c>
      <c r="W260" s="9" t="str">
        <f>IF(LEN(Table2[[#This Row],[!FK]])&gt;0,Table2[[#This Row],[!FK]],"rg:None")</f>
        <v>rg:None</v>
      </c>
      <c r="X260" s="9" t="str">
        <f>IF(LEN(concatif2(A:A,Table2[[#This Row],[!Table]],G:G,"Y",D:D,",")) &gt; 0,"rg:[ { 'req' : '"&amp;concatif2(A:A,Table2[[#This Row],[!Table]],G:G,"Y",D:D,"' }, { 'req': '")&amp;"'} ]","rg:[]")</f>
        <v>rg:[ { 'req' : 'id'} ]</v>
      </c>
      <c r="Y260" s="9" t="str">
        <f>IF(LEN(Table2[[#This Row],[!Unique]])&gt;0,"rg:True","rg:None")</f>
        <v>rg:True</v>
      </c>
    </row>
    <row r="261" spans="1:25" x14ac:dyDescent="0.3">
      <c r="A261" s="3" t="s">
        <v>11</v>
      </c>
      <c r="B261" s="3" t="s">
        <v>7</v>
      </c>
      <c r="C261" s="3">
        <v>255</v>
      </c>
      <c r="D261" s="3" t="s">
        <v>15</v>
      </c>
      <c r="E261" s="63" t="s">
        <v>41</v>
      </c>
      <c r="F261" s="3" t="s">
        <v>5</v>
      </c>
      <c r="G261" s="4"/>
      <c r="H261" s="4"/>
      <c r="I261" s="5" t="str">
        <f t="shared" si="16"/>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255</v>
      </c>
      <c r="U261" s="9" t="str">
        <f>IF(LEN(Table2[[#This Row],[!Name]]) &gt; 0, Table2[[#This Row],[!Name]], "rg:None")</f>
        <v>name</v>
      </c>
      <c r="V261" s="9" t="str">
        <f>IF(LEN(Table2[[#This Row],[!Description]]) &gt; 0, Table2[[#This Row],[!Description]], "rg:None")</f>
        <v>The name of the City</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3" t="s">
        <v>0</v>
      </c>
      <c r="B262" s="3" t="s">
        <v>4</v>
      </c>
      <c r="C262" s="3"/>
      <c r="D262" s="3" t="s">
        <v>0</v>
      </c>
      <c r="E262" s="87" t="s">
        <v>445</v>
      </c>
      <c r="F262" s="3" t="s">
        <v>5</v>
      </c>
      <c r="G262" s="4"/>
      <c r="H262" s="4"/>
      <c r="I262" s="5" t="str">
        <f t="shared" si="16"/>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table</v>
      </c>
      <c r="T262" s="9" t="str">
        <f>IF(LEN(Table2[[#This Row],[!Length]]) &gt; 0, Table2[[#This Row],[!Length]], "rg:None")</f>
        <v>rg:None</v>
      </c>
      <c r="U262" s="9" t="str">
        <f>IF(LEN(Table2[[#This Row],[!Name]]) &gt; 0, Table2[[#This Row],[!Name]], "rg:None")</f>
        <v>User</v>
      </c>
      <c r="V262" s="9" t="str">
        <f>IF(LEN(Table2[[#This Row],[!Description]]) &gt; 0, Table2[[#This Row],[!Description]], "rg:None")</f>
        <v>An identified user in the HETS Application that has a defined authorization level.</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6</v>
      </c>
      <c r="C263" s="3"/>
      <c r="D263" s="3" t="s">
        <v>6</v>
      </c>
      <c r="E263" s="63" t="s">
        <v>389</v>
      </c>
      <c r="F263" s="3" t="s">
        <v>5</v>
      </c>
      <c r="G263" s="4" t="s">
        <v>64</v>
      </c>
      <c r="H263" s="56" t="s">
        <v>64</v>
      </c>
      <c r="I263" s="5" t="str">
        <f t="shared" si="16"/>
        <v>Defs</v>
      </c>
      <c r="J263" t="str">
        <f>IF(Table2[[#This Row],[!Type]]=J$1, J$1,"rg:None")</f>
        <v>rg:None</v>
      </c>
      <c r="K263" t="str">
        <f>IF(Table2[[#This Row],[!Type]]=K$1, K$1,"rg:None")</f>
        <v>rg:None</v>
      </c>
      <c r="L263" t="str">
        <f>IF(Table2[[#This Row],[!Type]]=L$1, L$1,"rg:None")</f>
        <v>rg:None</v>
      </c>
      <c r="M263" t="str">
        <f>IF(Table2[[#This Row],[!Type]]=M$1, M$1,"rg:None")</f>
        <v>id</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rg:None</v>
      </c>
      <c r="T263" s="9" t="str">
        <f>IF(LEN(Table2[[#This Row],[!Length]]) &gt; 0, Table2[[#This Row],[!Length]], "rg:None")</f>
        <v>rg:None</v>
      </c>
      <c r="U263" s="9" t="str">
        <f>IF(LEN(Table2[[#This Row],[!Name]]) &gt; 0, Table2[[#This Row],[!Name]], "rg:None")</f>
        <v>id</v>
      </c>
      <c r="V263" s="9" t="str">
        <f>IF(LEN(Table2[[#This Row],[!Description]]) &gt; 0, Table2[[#This Row],[!Description]], "rg:None")</f>
        <v>A system-generated unique identifier for a User</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rg:True</v>
      </c>
    </row>
    <row r="264" spans="1:25" x14ac:dyDescent="0.3">
      <c r="A264" s="3" t="s">
        <v>0</v>
      </c>
      <c r="B264" s="3" t="s">
        <v>7</v>
      </c>
      <c r="C264" s="3">
        <v>255</v>
      </c>
      <c r="D264" s="3" t="s">
        <v>16</v>
      </c>
      <c r="E264" s="63" t="s">
        <v>390</v>
      </c>
      <c r="F264" s="3" t="s">
        <v>5</v>
      </c>
      <c r="G264" s="56" t="s">
        <v>64</v>
      </c>
      <c r="H264" s="56"/>
      <c r="I264" s="5" t="str">
        <f t="shared" si="16"/>
        <v>Defs</v>
      </c>
      <c r="J264" t="str">
        <f>IF(Table2[[#This Row],[!Type]]=J$1, J$1,"rg:None")</f>
        <v>rg:None</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string</v>
      </c>
      <c r="S264" s="5" t="str">
        <f>IF(Table2[[#This Row],[!Type]]=S$1, S$1,"rg:None")</f>
        <v>rg:None</v>
      </c>
      <c r="T264" s="9">
        <f>IF(LEN(Table2[[#This Row],[!Length]]) &gt; 0, Table2[[#This Row],[!Length]], "rg:None")</f>
        <v>255</v>
      </c>
      <c r="U264" s="9" t="str">
        <f>IF(LEN(Table2[[#This Row],[!Name]]) &gt; 0, Table2[[#This Row],[!Name]], "rg:None")</f>
        <v>givenName</v>
      </c>
      <c r="V264" s="9" t="str">
        <f>IF(LEN(Table2[[#This Row],[!Description]]) &gt; 0, Table2[[#This Row],[!Description]], "rg:None")</f>
        <v>Given name of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50</v>
      </c>
      <c r="D265" s="3" t="s">
        <v>17</v>
      </c>
      <c r="E265" s="63" t="s">
        <v>391</v>
      </c>
      <c r="F265" s="3" t="s">
        <v>5</v>
      </c>
      <c r="G265" s="56" t="s">
        <v>64</v>
      </c>
      <c r="H265" s="56"/>
      <c r="I265" s="5" t="str">
        <f t="shared" ref="I265:I302" si="18">IF(LEN(A265) &gt; 0,"Defs","-")</f>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50</v>
      </c>
      <c r="U265" s="9" t="str">
        <f>IF(LEN(Table2[[#This Row],[!Name]]) &gt; 0, Table2[[#This Row],[!Name]], "rg:None")</f>
        <v>surname</v>
      </c>
      <c r="V265" s="9" t="str">
        <f>IF(LEN(Table2[[#This Row],[!Description]]) &gt; 0, Table2[[#This Row],[!Description]], "rg:None")</f>
        <v>Surname of the user.</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x14ac:dyDescent="0.3">
      <c r="A266" s="3" t="s">
        <v>0</v>
      </c>
      <c r="B266" s="3" t="s">
        <v>7</v>
      </c>
      <c r="C266" s="3">
        <v>10</v>
      </c>
      <c r="D266" s="3" t="s">
        <v>44</v>
      </c>
      <c r="E266" s="63" t="s">
        <v>392</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10</v>
      </c>
      <c r="U266" s="9" t="str">
        <f>IF(LEN(Table2[[#This Row],[!Name]]) &gt; 0, Table2[[#This Row],[!Name]], "rg:None")</f>
        <v>initials</v>
      </c>
      <c r="V266" s="9" t="str">
        <f>IF(LEN(Table2[[#This Row],[!Description]]) &gt; 0, Table2[[#This Row],[!Description]], "rg:None")</f>
        <v>Initials of the user, to be presented where screen space is at a premium.</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45</v>
      </c>
      <c r="E267" s="63" t="s">
        <v>393</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email</v>
      </c>
      <c r="V267" s="9" t="str">
        <f>IF(LEN(Table2[[#This Row],[!Description]]) &gt; 0, Table2[[#This Row],[!Description]], "rg:None")</f>
        <v>The email address of the user in the system.</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ht="28.8" x14ac:dyDescent="0.3">
      <c r="A268" s="3" t="s">
        <v>0</v>
      </c>
      <c r="B268" s="3" t="s">
        <v>9</v>
      </c>
      <c r="C268" s="3"/>
      <c r="D268" s="3" t="s">
        <v>43</v>
      </c>
      <c r="E268" s="63" t="s">
        <v>394</v>
      </c>
      <c r="F268" s="3" t="s">
        <v>5</v>
      </c>
      <c r="G268" s="4" t="s">
        <v>64</v>
      </c>
      <c r="H268" s="4"/>
      <c r="I268" s="5" t="str">
        <f t="shared" si="18"/>
        <v>Defs</v>
      </c>
      <c r="J268" t="str">
        <f>IF(Table2[[#This Row],[!Type]]=J$1, J$1,"rg:None")</f>
        <v>boolean</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active</v>
      </c>
      <c r="V268" s="9" t="str">
        <f>IF(LEN(Table2[[#This Row],[!Description]]) &gt; 0, Table2[[#This Row],[!Description]], "rg:None")</f>
        <v>A flag indicating the User is active in the system. Set false to remove access to the system for the user.</v>
      </c>
      <c r="W268" s="9" t="str">
        <f>IF(LEN(Table2[[#This Row],[!FK]])&gt;0,Table2[[#This Row],[!FK]],"rg:None")</f>
        <v>rg:None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7</v>
      </c>
      <c r="C269" s="3">
        <v>255</v>
      </c>
      <c r="D269" s="3" t="s">
        <v>46</v>
      </c>
      <c r="E269" s="63" t="s">
        <v>47</v>
      </c>
      <c r="F269" s="3" t="s">
        <v>5</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9">
        <f>IF(LEN(Table2[[#This Row],[!Length]]) &gt; 0, Table2[[#This Row],[!Length]], "rg:None")</f>
        <v>255</v>
      </c>
      <c r="U269" s="9" t="str">
        <f>IF(LEN(Table2[[#This Row],[!Name]]) &gt; 0, Table2[[#This Row],[!Name]], "rg:None")</f>
        <v>smUserId</v>
      </c>
      <c r="V269" s="9" t="str">
        <f>IF(LEN(Table2[[#This Row],[!Description]]) &gt; 0, Table2[[#This Row],[!Description]], "rg:None")</f>
        <v>Security Manager User ID</v>
      </c>
      <c r="W269" s="9" t="str">
        <f>IF(LEN(Table2[[#This Row],[!FK]])&gt;0,Table2[[#This Row],[!FK]],"rg:None")</f>
        <v>rg:None</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ht="57.6" x14ac:dyDescent="0.3">
      <c r="A270" s="3" t="s">
        <v>0</v>
      </c>
      <c r="B270" s="3" t="s">
        <v>7</v>
      </c>
      <c r="C270" s="3">
        <v>255</v>
      </c>
      <c r="D270" s="3" t="s">
        <v>48</v>
      </c>
      <c r="E270" s="63" t="s">
        <v>395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guid</v>
      </c>
      <c r="V270"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70" s="9" t="str">
        <f>IF(LEN(Table2[[#This Row],[!FK]])&gt;0,Table2[[#This Row],[!FK]],"rg:None")</f>
        <v>rg:None</v>
      </c>
      <c r="X270" s="9" t="str">
        <f>IF(LEN(concatif2(A:A,Table2[[#This Row],[!Table]],G:G,"Y",D:D,",")) &gt; 0,"rg:[ { 'req' : '"&amp;concatif2(A:A,Table2[[#This Row],[!Table]],G:G,"Y",D:D,"' }, { 'req': '")&amp;"'} ]","rg:[]")</f>
        <v>rg:[ { 'req' : 'id' }, { 'req': 'givenName' }, { 'req': 'surname' }, { 'req': 'active'} ]</v>
      </c>
      <c r="Y270" s="9" t="str">
        <f>IF(LEN(Table2[[#This Row],[!Unique]])&gt;0,"rg:True","rg:None")</f>
        <v>rg:None</v>
      </c>
    </row>
    <row r="271" spans="1:25" x14ac:dyDescent="0.3">
      <c r="A271" s="3" t="s">
        <v>0</v>
      </c>
      <c r="B271" s="3" t="s">
        <v>7</v>
      </c>
      <c r="C271" s="3">
        <v>255</v>
      </c>
      <c r="D271" s="3" t="s">
        <v>49</v>
      </c>
      <c r="E271" s="63" t="s">
        <v>396</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255</v>
      </c>
      <c r="U271" s="9" t="str">
        <f>IF(LEN(Table2[[#This Row],[!Name]]) &gt; 0, Table2[[#This Row],[!Name]], "rg:None")</f>
        <v>smAuthorizationDirectory</v>
      </c>
      <c r="V271" s="9" t="str">
        <f>IF(LEN(Table2[[#This Row],[!Description]]) &gt; 0, Table2[[#This Row],[!Description]], "rg:None")</f>
        <v>The user directory service used by Siteminder to authenticate the user - usually IDIR or BCeID.</v>
      </c>
      <c r="W271" s="9" t="str">
        <f>IF(LEN(Table2[[#This Row],[!FK]])&gt;0,Table2[[#This Row],[!FK]],"rg:None")</f>
        <v>rg:None</v>
      </c>
      <c r="X271" s="9" t="str">
        <f>IF(LEN(concatif2(A:A,Table2[[#This Row],[!Table]],G:G,"Y",D:D,",")) &gt; 0,"rg:[ { 'req' : '"&amp;concatif2(A:A,Table2[[#This Row],[!Table]],G:G,"Y",D:D,"' }, { 'req': '")&amp;"'} ]","rg:[]")</f>
        <v>rg:[ { 'req' : 'id' }, { 'req': 'givenName' }, { 'req': 'surname' }, { 'req': 'active'} ]</v>
      </c>
      <c r="Y271" s="9" t="str">
        <f>IF(LEN(Table2[[#This Row],[!Unique]])&gt;0,"rg:True","rg:None")</f>
        <v>rg:None</v>
      </c>
    </row>
    <row r="272" spans="1:25" x14ac:dyDescent="0.3">
      <c r="A272" s="3" t="s">
        <v>0</v>
      </c>
      <c r="B272" s="3" t="s">
        <v>19</v>
      </c>
      <c r="C272" s="3"/>
      <c r="D272" s="3" t="s">
        <v>50</v>
      </c>
      <c r="E272" s="63"/>
      <c r="F272" s="3" t="s">
        <v>52</v>
      </c>
      <c r="G272" s="4"/>
      <c r="H272" s="4"/>
      <c r="I272" s="5" t="str">
        <f t="shared" si="18"/>
        <v>Defs</v>
      </c>
      <c r="J272" t="str">
        <f>IF(Table2[[#This Row],[!Type]]=J$1, J$1,"rg:None")</f>
        <v>rg:None</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links</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userRoles</v>
      </c>
      <c r="V272" s="9" t="str">
        <f>IF(LEN(Table2[[#This Row],[!Description]]) &gt; 0, Table2[[#This Row],[!Description]], "rg:None")</f>
        <v>rg:None</v>
      </c>
      <c r="W272" s="9" t="str">
        <f>IF(LEN(Table2[[#This Row],[!FK]])&gt;0,Table2[[#This Row],[!FK]],"rg:None")</f>
        <v>UserRole</v>
      </c>
      <c r="X272" s="9" t="str">
        <f>IF(LEN(concatif2(A:A,Table2[[#This Row],[!Table]],G:G,"Y",D:D,",")) &gt; 0,"rg:[ { 'req' : '"&amp;concatif2(A:A,Table2[[#This Row],[!Table]],G:G,"Y",D:D,"' }, { 'req': '")&amp;"'} ]","rg:[]")</f>
        <v>rg:[ { 'req' : 'id' }, { 'req': 'givenName' }, { 'req': 'surname' }, { 'req': 'active'} ]</v>
      </c>
      <c r="Y272" s="9" t="str">
        <f>IF(LEN(Table2[[#This Row],[!Unique]])&gt;0,"rg:True","rg:None")</f>
        <v>rg:None</v>
      </c>
    </row>
    <row r="273" spans="1:25" x14ac:dyDescent="0.3">
      <c r="A273" s="3" t="s">
        <v>0</v>
      </c>
      <c r="B273" s="3" t="s">
        <v>19</v>
      </c>
      <c r="C273" s="3"/>
      <c r="D273" s="3" t="s">
        <v>51</v>
      </c>
      <c r="E273" s="63"/>
      <c r="F273" s="3" t="s">
        <v>61</v>
      </c>
      <c r="G273" s="4"/>
      <c r="H273" s="4"/>
      <c r="I273" s="5" t="str">
        <f t="shared" si="18"/>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links</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groupMemberships</v>
      </c>
      <c r="V273" s="9" t="str">
        <f>IF(LEN(Table2[[#This Row],[!Description]]) &gt; 0, Table2[[#This Row],[!Description]], "rg:None")</f>
        <v>rg:None</v>
      </c>
      <c r="W273" s="9" t="str">
        <f>IF(LEN(Table2[[#This Row],[!FK]])&gt;0,Table2[[#This Row],[!FK]],"rg:None")</f>
        <v>GroupMembership</v>
      </c>
      <c r="X273" s="9" t="str">
        <f>IF(LEN(concatif2(A:A,Table2[[#This Row],[!Table]],G:G,"Y",D:D,",")) &gt; 0,"rg:[ { 'req' : '"&amp;concatif2(A:A,Table2[[#This Row],[!Table]],G:G,"Y",D:D,"' }, { 'req': '")&amp;"'} ]","rg:[]")</f>
        <v>rg:[ { 'req' : 'id' }, { 'req': 'givenName' }, { 'req': 'surname' }, { 'req': 'active'} ]</v>
      </c>
      <c r="Y273" s="9" t="str">
        <f>IF(LEN(Table2[[#This Row],[!Unique]])&gt;0,"rg:True","rg:None")</f>
        <v>rg:None</v>
      </c>
    </row>
    <row r="274" spans="1:25" ht="28.8" x14ac:dyDescent="0.3">
      <c r="A274" s="3" t="s">
        <v>52</v>
      </c>
      <c r="B274" s="3" t="s">
        <v>4</v>
      </c>
      <c r="C274" s="3"/>
      <c r="D274" s="3" t="s">
        <v>52</v>
      </c>
      <c r="E274" s="63" t="s">
        <v>397</v>
      </c>
      <c r="F274" s="3" t="s">
        <v>5</v>
      </c>
      <c r="G274" s="4"/>
      <c r="H274" s="4"/>
      <c r="I274" s="5" t="str">
        <f t="shared" si="18"/>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table</v>
      </c>
      <c r="T274" s="9" t="str">
        <f>IF(LEN(Table2[[#This Row],[!Length]]) &gt; 0, Table2[[#This Row],[!Length]], "rg:None")</f>
        <v>rg:None</v>
      </c>
      <c r="U274" s="9" t="str">
        <f>IF(LEN(Table2[[#This Row],[!Name]]) &gt; 0, Table2[[#This Row],[!Name]], "rg:None")</f>
        <v>UserRole</v>
      </c>
      <c r="V274"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4" s="9" t="str">
        <f>IF(LEN(Table2[[#This Row],[!FK]])&gt;0,Table2[[#This Row],[!FK]],"rg:None")</f>
        <v>rg:None</v>
      </c>
      <c r="X274" s="9" t="str">
        <f>IF(LEN(concatif2(A:A,Table2[[#This Row],[!Table]],G:G,"Y",D:D,",")) &gt; 0,"rg:[ { 'req' : '"&amp;concatif2(A:A,Table2[[#This Row],[!Table]],G:G,"Y",D:D,"' }, { 'req': '")&amp;"'} ]","rg:[]")</f>
        <v>rg:[ { 'req' : 'id' }, { 'req': 'effectiveDate'} ]</v>
      </c>
      <c r="Y274" s="9" t="str">
        <f>IF(LEN(Table2[[#This Row],[!Unique]])&gt;0,"rg:True","rg:None")</f>
        <v>rg:None</v>
      </c>
    </row>
    <row r="275" spans="1:25" x14ac:dyDescent="0.3">
      <c r="A275" s="3" t="s">
        <v>52</v>
      </c>
      <c r="B275" s="3" t="s">
        <v>6</v>
      </c>
      <c r="C275" s="3"/>
      <c r="D275" s="3" t="s">
        <v>6</v>
      </c>
      <c r="E275" s="63" t="s">
        <v>398</v>
      </c>
      <c r="F275" s="3" t="s">
        <v>5</v>
      </c>
      <c r="G275" s="4" t="s">
        <v>64</v>
      </c>
      <c r="H275" s="4"/>
      <c r="I275" s="5" t="str">
        <f t="shared" si="18"/>
        <v>Defs</v>
      </c>
      <c r="J275" t="str">
        <f>IF(Table2[[#This Row],[!Type]]=J$1, J$1,"rg:None")</f>
        <v>rg:None</v>
      </c>
      <c r="K275" t="str">
        <f>IF(Table2[[#This Row],[!Type]]=K$1, K$1,"rg:None")</f>
        <v>rg:None</v>
      </c>
      <c r="L275" t="str">
        <f>IF(Table2[[#This Row],[!Type]]=L$1, L$1,"rg:None")</f>
        <v>rg:None</v>
      </c>
      <c r="M275" t="str">
        <f>IF(Table2[[#This Row],[!Type]]=M$1, M$1,"rg:None")</f>
        <v>id</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9" t="str">
        <f>IF(LEN(Table2[[#This Row],[!Length]]) &gt; 0, Table2[[#This Row],[!Length]], "rg:None")</f>
        <v>rg:None</v>
      </c>
      <c r="U275" s="9" t="str">
        <f>IF(LEN(Table2[[#This Row],[!Name]]) &gt; 0, Table2[[#This Row],[!Name]], "rg:None")</f>
        <v>id</v>
      </c>
      <c r="V275" s="9" t="str">
        <f>IF(LEN(Table2[[#This Row],[!Description]]) &gt; 0, Table2[[#This Row],[!Description]], "rg:None")</f>
        <v>A system-generated unique identifier for a UserRole</v>
      </c>
      <c r="W275" s="9" t="str">
        <f>IF(LEN(Table2[[#This Row],[!FK]])&gt;0,Table2[[#This Row],[!FK]],"rg:None")</f>
        <v>rg:None</v>
      </c>
      <c r="X275" s="9" t="str">
        <f>IF(LEN(concatif2(A:A,Table2[[#This Row],[!Table]],G:G,"Y",D:D,",")) &gt; 0,"rg:[ { 'req' : '"&amp;concatif2(A:A,Table2[[#This Row],[!Table]],G:G,"Y",D:D,"' }, { 'req': '")&amp;"'} ]","rg:[]")</f>
        <v>rg:[ { 'req' : 'id' }, { 'req': 'effectiveDate'} ]</v>
      </c>
      <c r="Y275" s="9" t="str">
        <f>IF(LEN(Table2[[#This Row],[!Unique]])&gt;0,"rg:True","rg:None")</f>
        <v>rg:None</v>
      </c>
    </row>
    <row r="276" spans="1:25" x14ac:dyDescent="0.3">
      <c r="A276" s="3" t="s">
        <v>52</v>
      </c>
      <c r="B276" s="3" t="s">
        <v>12</v>
      </c>
      <c r="C276" s="3"/>
      <c r="D276" s="3" t="s">
        <v>53</v>
      </c>
      <c r="E276" s="63" t="s">
        <v>399</v>
      </c>
      <c r="F276" s="3" t="s">
        <v>5</v>
      </c>
      <c r="G276" s="4" t="s">
        <v>64</v>
      </c>
      <c r="H276" s="4"/>
      <c r="I276" s="5" t="str">
        <f t="shared" si="18"/>
        <v>Defs</v>
      </c>
      <c r="J276" t="str">
        <f>IF(Table2[[#This Row],[!Type]]=J$1, J$1,"rg:None")</f>
        <v>rg:None</v>
      </c>
      <c r="K276" t="str">
        <f>IF(Table2[[#This Row],[!Type]]=K$1, K$1,"rg:None")</f>
        <v>rg:None</v>
      </c>
      <c r="L276" t="str">
        <f>IF(Table2[[#This Row],[!Type]]=L$1, L$1,"rg:None")</f>
        <v>datetime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effectiveDate</v>
      </c>
      <c r="V276" s="9" t="str">
        <f>IF(LEN(Table2[[#This Row],[!Description]]) &gt; 0, Table2[[#This Row],[!Description]], "rg:None")</f>
        <v>The date on which the user was given the related role.</v>
      </c>
      <c r="W276" s="9" t="str">
        <f>IF(LEN(Table2[[#This Row],[!FK]])&gt;0,Table2[[#This Row],[!FK]],"rg:None")</f>
        <v>rg:None</v>
      </c>
      <c r="X276" s="9" t="str">
        <f>IF(LEN(concatif2(A:A,Table2[[#This Row],[!Table]],G:G,"Y",D:D,",")) &gt; 0,"rg:[ { 'req' : '"&amp;concatif2(A:A,Table2[[#This Row],[!Table]],G:G,"Y",D:D,"' }, { 'req': '")&amp;"'} ]","rg:[]")</f>
        <v>rg:[ { 'req' : 'id' }, { 'req': 'effectiveDate'} ]</v>
      </c>
      <c r="Y276" s="9" t="str">
        <f>IF(LEN(Table2[[#This Row],[!Unique]])&gt;0,"rg:True","rg:None")</f>
        <v>rg:None</v>
      </c>
    </row>
    <row r="277" spans="1:25" x14ac:dyDescent="0.3">
      <c r="A277" s="3" t="s">
        <v>52</v>
      </c>
      <c r="B277" s="3" t="s">
        <v>12</v>
      </c>
      <c r="C277" s="3"/>
      <c r="D277" s="3" t="s">
        <v>54</v>
      </c>
      <c r="E277" s="63" t="s">
        <v>400</v>
      </c>
      <c r="F277" s="3" t="s">
        <v>5</v>
      </c>
      <c r="G277" s="4"/>
      <c r="H277" s="4"/>
      <c r="I277" s="5" t="str">
        <f t="shared" si="18"/>
        <v>Defs</v>
      </c>
      <c r="J277" t="str">
        <f>IF(Table2[[#This Row],[!Type]]=J$1, J$1,"rg:None")</f>
        <v>rg:None</v>
      </c>
      <c r="K277" t="str">
        <f>IF(Table2[[#This Row],[!Type]]=K$1, K$1,"rg:None")</f>
        <v>rg:None</v>
      </c>
      <c r="L277" t="str">
        <f>IF(Table2[[#This Row],[!Type]]=L$1, L$1,"rg:None")</f>
        <v>datetime</v>
      </c>
      <c r="M277" t="str">
        <f>IF(Table2[[#This Row],[!Type]]=M$1, M$1,"rg:None")</f>
        <v>rg:None</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expiryDate</v>
      </c>
      <c r="V277" s="9" t="str">
        <f>IF(LEN(Table2[[#This Row],[!Description]]) &gt; 0, Table2[[#This Row],[!Description]], "rg:None")</f>
        <v>The date on which a role previously assigned to a user was removed from that user.</v>
      </c>
      <c r="W277" s="9" t="str">
        <f>IF(LEN(Table2[[#This Row],[!FK]])&gt;0,Table2[[#This Row],[!FK]],"rg:None")</f>
        <v>rg:None</v>
      </c>
      <c r="X277" s="9" t="str">
        <f>IF(LEN(concatif2(A:A,Table2[[#This Row],[!Table]],G:G,"Y",D:D,",")) &gt; 0,"rg:[ { 'req' : '"&amp;concatif2(A:A,Table2[[#This Row],[!Table]],G:G,"Y",D:D,"' }, { 'req': '")&amp;"'} ]","rg:[]")</f>
        <v>rg:[ { 'req' : 'id' }, { 'req': 'effectiveDate'} ]</v>
      </c>
      <c r="Y277" s="9" t="str">
        <f>IF(LEN(Table2[[#This Row],[!Unique]])&gt;0,"rg:True","rg:None")</f>
        <v>rg:None</v>
      </c>
    </row>
    <row r="278" spans="1:25" x14ac:dyDescent="0.3">
      <c r="A278" s="3" t="s">
        <v>52</v>
      </c>
      <c r="B278" s="3" t="s">
        <v>8</v>
      </c>
      <c r="C278" s="3"/>
      <c r="D278" s="3" t="s">
        <v>18</v>
      </c>
      <c r="E278" s="63"/>
      <c r="F278" s="3" t="s">
        <v>55</v>
      </c>
      <c r="G278" s="4"/>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ref</v>
      </c>
      <c r="R278" s="5" t="str">
        <f>IF(Table2[[#This Row],[!Type]]=R$1, R$1,"rg:None")</f>
        <v>rg:None</v>
      </c>
      <c r="S278" s="5" t="str">
        <f>IF(Table2[[#This Row],[!Type]]=S$1, S$1,"rg:None")</f>
        <v>rg:None</v>
      </c>
      <c r="T278" s="9" t="str">
        <f>IF(LEN(Table2[[#This Row],[!Length]]) &gt; 0, Table2[[#This Row],[!Length]], "rg:None")</f>
        <v>rg:None</v>
      </c>
      <c r="U278" s="9" t="str">
        <f>IF(LEN(Table2[[#This Row],[!Name]]) &gt; 0, Table2[[#This Row],[!Name]], "rg:None")</f>
        <v>role</v>
      </c>
      <c r="V278" s="9" t="str">
        <f>IF(LEN(Table2[[#This Row],[!Description]]) &gt; 0, Table2[[#This Row],[!Description]], "rg:None")</f>
        <v>rg:None</v>
      </c>
      <c r="W278" s="9" t="str">
        <f>IF(LEN(Table2[[#This Row],[!FK]])&gt;0,Table2[[#This Row],[!FK]],"rg:None")</f>
        <v>Role</v>
      </c>
      <c r="X278" s="9" t="str">
        <f>IF(LEN(concatif2(A:A,Table2[[#This Row],[!Table]],G:G,"Y",D:D,",")) &gt; 0,"rg:[ { 'req' : '"&amp;concatif2(A:A,Table2[[#This Row],[!Table]],G:G,"Y",D:D,"' }, { 'req': '")&amp;"'} ]","rg:[]")</f>
        <v>rg:[ { 'req' : 'id' }, { 'req': 'effectiveDate'} ]</v>
      </c>
      <c r="Y278" s="9" t="str">
        <f>IF(LEN(Table2[[#This Row],[!Unique]])&gt;0,"rg:True","rg:None")</f>
        <v>rg:None</v>
      </c>
    </row>
    <row r="279" spans="1:25" ht="43.2" x14ac:dyDescent="0.3">
      <c r="A279" s="3" t="s">
        <v>55</v>
      </c>
      <c r="B279" s="3" t="s">
        <v>4</v>
      </c>
      <c r="C279" s="3"/>
      <c r="D279" s="3" t="s">
        <v>55</v>
      </c>
      <c r="E279" s="87" t="s">
        <v>446</v>
      </c>
      <c r="F279" s="3" t="s">
        <v>5</v>
      </c>
      <c r="G279" s="4"/>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9" t="str">
        <f>IF(LEN(Table2[[#This Row],[!Length]]) &gt; 0, Table2[[#This Row],[!Length]], "rg:None")</f>
        <v>rg:None</v>
      </c>
      <c r="U279" s="9" t="str">
        <f>IF(LEN(Table2[[#This Row],[!Name]]) &gt; 0, Table2[[#This Row],[!Name]], "rg:None")</f>
        <v>Role</v>
      </c>
      <c r="V279"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9" s="9" t="str">
        <f>IF(LEN(Table2[[#This Row],[!FK]])&gt;0,Table2[[#This Row],[!FK]],"rg:None")</f>
        <v>rg:None</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6</v>
      </c>
      <c r="C280" s="3"/>
      <c r="D280" s="3" t="s">
        <v>6</v>
      </c>
      <c r="E280" s="63" t="s">
        <v>401</v>
      </c>
      <c r="F280" s="3" t="s">
        <v>5</v>
      </c>
      <c r="G280" s="4" t="s">
        <v>64</v>
      </c>
      <c r="H280" s="4"/>
      <c r="I280" s="5" t="str">
        <f t="shared" si="18"/>
        <v>Defs</v>
      </c>
      <c r="J280" t="str">
        <f>IF(Table2[[#This Row],[!Type]]=J$1, J$1,"rg:None")</f>
        <v>rg:None</v>
      </c>
      <c r="K280" t="str">
        <f>IF(Table2[[#This Row],[!Type]]=K$1, K$1,"rg:None")</f>
        <v>rg:None</v>
      </c>
      <c r="L280" t="str">
        <f>IF(Table2[[#This Row],[!Type]]=L$1, L$1,"rg:None")</f>
        <v>rg:None</v>
      </c>
      <c r="M280" t="str">
        <f>IF(Table2[[#This Row],[!Type]]=M$1, M$1,"rg:None")</f>
        <v>id</v>
      </c>
      <c r="N280" s="9" t="str">
        <f>IF(Table2[[#This Row],[!Type]]=N$1, N$1,"rg:None")</f>
        <v>rg:None</v>
      </c>
      <c r="O280" s="9"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id</v>
      </c>
      <c r="V280" s="9" t="str">
        <f>IF(LEN(Table2[[#This Row],[!Description]]) &gt; 0, Table2[[#This Row],[!Description]], "rg:None")</f>
        <v>A system-generated unique identifier for a Role</v>
      </c>
      <c r="W280" s="9" t="str">
        <f>IF(LEN(Table2[[#This Row],[!FK]])&gt;0,Table2[[#This Row],[!FK]],"rg:None")</f>
        <v>rg:None</v>
      </c>
      <c r="X280" s="9" t="str">
        <f>IF(LEN(concatif2(A:A,Table2[[#This Row],[!Table]],G:G,"Y",D:D,",")) &gt; 0,"rg:[ { 'req' : '"&amp;concatif2(A:A,Table2[[#This Row],[!Table]],G:G,"Y",D:D,"' }, { 'req': '")&amp;"'} ]","rg:[]")</f>
        <v>rg:[ { 'req' : 'id' }, { 'req': 'name' }, { 'req': 'description'} ]</v>
      </c>
      <c r="Y280" s="9" t="str">
        <f>IF(LEN(Table2[[#This Row],[!Unique]])&gt;0,"rg:True","rg:None")</f>
        <v>rg:None</v>
      </c>
    </row>
    <row r="281" spans="1:25" x14ac:dyDescent="0.3">
      <c r="A281" s="3" t="s">
        <v>55</v>
      </c>
      <c r="B281" s="3" t="s">
        <v>7</v>
      </c>
      <c r="C281" s="3">
        <v>255</v>
      </c>
      <c r="D281" s="3" t="s">
        <v>15</v>
      </c>
      <c r="E281" s="63" t="s">
        <v>402</v>
      </c>
      <c r="F281" s="3" t="s">
        <v>5</v>
      </c>
      <c r="G281" s="4" t="s">
        <v>64</v>
      </c>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9">
        <f>IF(LEN(Table2[[#This Row],[!Length]]) &gt; 0, Table2[[#This Row],[!Length]], "rg:None")</f>
        <v>255</v>
      </c>
      <c r="U281" s="9" t="str">
        <f>IF(LEN(Table2[[#This Row],[!Name]]) &gt; 0, Table2[[#This Row],[!Name]], "rg:None")</f>
        <v>name</v>
      </c>
      <c r="V281" s="9" t="str">
        <f>IF(LEN(Table2[[#This Row],[!Description]]) &gt; 0, Table2[[#This Row],[!Description]], "rg:None")</f>
        <v>The name of the Role, as established by the user creating the role.</v>
      </c>
      <c r="W281" s="9" t="str">
        <f>IF(LEN(Table2[[#This Row],[!FK]])&gt;0,Table2[[#This Row],[!FK]],"rg:None")</f>
        <v>rg:None</v>
      </c>
      <c r="X281" s="9" t="str">
        <f>IF(LEN(concatif2(A:A,Table2[[#This Row],[!Table]],G:G,"Y",D:D,",")) &gt; 0,"rg:[ { 'req' : '"&amp;concatif2(A:A,Table2[[#This Row],[!Table]],G:G,"Y",D:D,"' }, { 'req': '")&amp;"'} ]","rg:[]")</f>
        <v>rg:[ { 'req' : 'id' }, { 'req': 'name' }, { 'req': 'description'} ]</v>
      </c>
      <c r="Y281" s="9" t="str">
        <f>IF(LEN(Table2[[#This Row],[!Unique]])&gt;0,"rg:True","rg:None")</f>
        <v>rg:None</v>
      </c>
    </row>
    <row r="282" spans="1:25" x14ac:dyDescent="0.3">
      <c r="A282" s="3" t="s">
        <v>55</v>
      </c>
      <c r="B282" s="3" t="s">
        <v>7</v>
      </c>
      <c r="C282" s="3">
        <v>255</v>
      </c>
      <c r="D282" s="3" t="s">
        <v>14</v>
      </c>
      <c r="E282" s="63" t="s">
        <v>403</v>
      </c>
      <c r="F282" s="3" t="s">
        <v>5</v>
      </c>
      <c r="G282" s="4" t="s">
        <v>64</v>
      </c>
      <c r="H282" s="4"/>
      <c r="I282" s="5" t="str">
        <f t="shared" si="18"/>
        <v>Defs</v>
      </c>
      <c r="J282" t="str">
        <f>IF(Table2[[#This Row],[!Type]]=J$1, J$1,"rg:None")</f>
        <v>rg:None</v>
      </c>
      <c r="K282" t="str">
        <f>IF(Table2[[#This Row],[!Type]]=K$1, K$1,"rg:None")</f>
        <v>rg:None</v>
      </c>
      <c r="L282" t="str">
        <f>IF(Table2[[#This Row],[!Type]]=L$1, L$1,"rg:None")</f>
        <v>rg:None</v>
      </c>
      <c r="M282" t="str">
        <f>IF(Table2[[#This Row],[!Type]]=M$1, M$1,"rg:None")</f>
        <v>rg:None</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9">
        <f>IF(LEN(Table2[[#This Row],[!Length]]) &gt; 0, Table2[[#This Row],[!Length]], "rg:None")</f>
        <v>255</v>
      </c>
      <c r="U282" s="9" t="str">
        <f>IF(LEN(Table2[[#This Row],[!Name]]) &gt; 0, Table2[[#This Row],[!Name]], "rg:None")</f>
        <v>description</v>
      </c>
      <c r="V282" s="9" t="str">
        <f>IF(LEN(Table2[[#This Row],[!Description]]) &gt; 0, Table2[[#This Row],[!Description]], "rg:None")</f>
        <v>A description of the role as set by the user creating/updating the role.</v>
      </c>
      <c r="W282" s="9" t="str">
        <f>IF(LEN(Table2[[#This Row],[!FK]])&gt;0,Table2[[#This Row],[!FK]],"rg:None")</f>
        <v>rg:None</v>
      </c>
      <c r="X282" s="9" t="str">
        <f>IF(LEN(concatif2(A:A,Table2[[#This Row],[!Table]],G:G,"Y",D:D,",")) &gt; 0,"rg:[ { 'req' : '"&amp;concatif2(A:A,Table2[[#This Row],[!Table]],G:G,"Y",D:D,"' }, { 'req': '")&amp;"'} ]","rg:[]")</f>
        <v>rg:[ { 'req' : 'id' }, { 'req': 'name' }, { 'req': 'description'} ]</v>
      </c>
      <c r="Y282" s="9" t="str">
        <f>IF(LEN(Table2[[#This Row],[!Unique]])&gt;0,"rg:True","rg:None")</f>
        <v>rg:None</v>
      </c>
    </row>
    <row r="283" spans="1:25" x14ac:dyDescent="0.3">
      <c r="A283" s="3" t="s">
        <v>55</v>
      </c>
      <c r="B283" s="3" t="s">
        <v>19</v>
      </c>
      <c r="C283" s="3"/>
      <c r="D283" s="3" t="s">
        <v>56</v>
      </c>
      <c r="E283" s="63"/>
      <c r="F283" s="3" t="s">
        <v>57</v>
      </c>
      <c r="G283" s="4"/>
      <c r="H283" s="4"/>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links</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rolePermissions</v>
      </c>
      <c r="V283" s="9" t="str">
        <f>IF(LEN(Table2[[#This Row],[!Description]]) &gt; 0, Table2[[#This Row],[!Description]], "rg:None")</f>
        <v>rg:None</v>
      </c>
      <c r="W283" s="9" t="str">
        <f>IF(LEN(Table2[[#This Row],[!FK]])&gt;0,Table2[[#This Row],[!FK]],"rg:None")</f>
        <v>RolePermission</v>
      </c>
      <c r="X283" s="9" t="str">
        <f>IF(LEN(concatif2(A:A,Table2[[#This Row],[!Table]],G:G,"Y",D:D,",")) &gt; 0,"rg:[ { 'req' : '"&amp;concatif2(A:A,Table2[[#This Row],[!Table]],G:G,"Y",D:D,"' }, { 'req': '")&amp;"'} ]","rg:[]")</f>
        <v>rg:[ { 'req' : 'id' }, { 'req': 'name' }, { 'req': 'description'} ]</v>
      </c>
      <c r="Y283" s="9" t="str">
        <f>IF(LEN(Table2[[#This Row],[!Unique]])&gt;0,"rg:True","rg:None")</f>
        <v>rg:None</v>
      </c>
    </row>
    <row r="284" spans="1:25" x14ac:dyDescent="0.3">
      <c r="A284" s="3" t="s">
        <v>55</v>
      </c>
      <c r="B284" s="3" t="s">
        <v>19</v>
      </c>
      <c r="C284" s="3"/>
      <c r="D284" s="3" t="s">
        <v>50</v>
      </c>
      <c r="E284" s="63"/>
      <c r="F284" s="3" t="s">
        <v>52</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links</v>
      </c>
      <c r="Q284" s="5" t="str">
        <f>IF(Table2[[#This Row],[!Type]]=Q$1, Q$1,"rg:None")</f>
        <v>rg:None</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userRoles</v>
      </c>
      <c r="V284" s="9" t="str">
        <f>IF(LEN(Table2[[#This Row],[!Description]]) &gt; 0, Table2[[#This Row],[!Description]], "rg:None")</f>
        <v>rg:None</v>
      </c>
      <c r="W284" s="9" t="str">
        <f>IF(LEN(Table2[[#This Row],[!FK]])&gt;0,Table2[[#This Row],[!FK]],"rg:None")</f>
        <v>UserRole</v>
      </c>
      <c r="X284" s="9" t="str">
        <f>IF(LEN(concatif2(A:A,Table2[[#This Row],[!Table]],G:G,"Y",D:D,",")) &gt; 0,"rg:[ { 'req' : '"&amp;concatif2(A:A,Table2[[#This Row],[!Table]],G:G,"Y",D:D,"' }, { 'req': '")&amp;"'} ]","rg:[]")</f>
        <v>rg:[ { 'req' : 'id' }, { 'req': 'name' }, { 'req': 'description'} ]</v>
      </c>
      <c r="Y284" s="9" t="str">
        <f>IF(LEN(Table2[[#This Row],[!Unique]])&gt;0,"rg:True","rg:None")</f>
        <v>rg:None</v>
      </c>
    </row>
    <row r="285" spans="1:25" ht="28.8" x14ac:dyDescent="0.3">
      <c r="A285" s="3" t="s">
        <v>57</v>
      </c>
      <c r="B285" s="3" t="s">
        <v>4</v>
      </c>
      <c r="C285" s="3"/>
      <c r="D285" s="3" t="s">
        <v>57</v>
      </c>
      <c r="E285" s="87" t="s">
        <v>447</v>
      </c>
      <c r="F285" s="3" t="s">
        <v>5</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table</v>
      </c>
      <c r="T285" s="9" t="str">
        <f>IF(LEN(Table2[[#This Row],[!Length]]) &gt; 0, Table2[[#This Row],[!Length]], "rg:None")</f>
        <v>rg:None</v>
      </c>
      <c r="U285" s="9" t="str">
        <f>IF(LEN(Table2[[#This Row],[!Name]]) &gt; 0, Table2[[#This Row],[!Name]], "rg:None")</f>
        <v>RolePermission</v>
      </c>
      <c r="V285" s="9" t="str">
        <f>IF(LEN(Table2[[#This Row],[!Description]]) &gt; 0, Table2[[#This Row],[!Description]], "rg:None")</f>
        <v>A permission that is part of a Role - a component of the authorization provided by the Role to the user to which the Role is assigned.</v>
      </c>
      <c r="W285" s="9" t="str">
        <f>IF(LEN(Table2[[#This Row],[!FK]])&gt;0,Table2[[#This Row],[!FK]],"rg:None")</f>
        <v>rg:None</v>
      </c>
      <c r="X285" s="9" t="str">
        <f>IF(LEN(concatif2(A:A,Table2[[#This Row],[!Table]],G:G,"Y",D:D,",")) &gt; 0,"rg:[ { 'req' : '"&amp;concatif2(A:A,Table2[[#This Row],[!Table]],G:G,"Y",D:D,"' }, { 'req': '")&amp;"'} ]","rg:[]")</f>
        <v>rg:[ { 'req' : 'id'} ]</v>
      </c>
      <c r="Y285" s="9" t="str">
        <f>IF(LEN(Table2[[#This Row],[!Unique]])&gt;0,"rg:True","rg:None")</f>
        <v>rg:None</v>
      </c>
    </row>
    <row r="286" spans="1:25" x14ac:dyDescent="0.3">
      <c r="A286" s="3" t="s">
        <v>57</v>
      </c>
      <c r="B286" s="3" t="s">
        <v>6</v>
      </c>
      <c r="C286" s="3"/>
      <c r="D286" s="3" t="s">
        <v>6</v>
      </c>
      <c r="E286" s="63" t="s">
        <v>404</v>
      </c>
      <c r="F286" s="3" t="s">
        <v>5</v>
      </c>
      <c r="G286" s="4" t="s">
        <v>64</v>
      </c>
      <c r="H286" s="4"/>
      <c r="I286" s="5" t="str">
        <f t="shared" si="18"/>
        <v>Defs</v>
      </c>
      <c r="J286" t="str">
        <f>IF(Table2[[#This Row],[!Type]]=J$1, J$1,"rg:None")</f>
        <v>rg:None</v>
      </c>
      <c r="K286" t="str">
        <f>IF(Table2[[#This Row],[!Type]]=K$1, K$1,"rg:None")</f>
        <v>rg:None</v>
      </c>
      <c r="L286" t="str">
        <f>IF(Table2[[#This Row],[!Type]]=L$1, L$1,"rg:None")</f>
        <v>rg:None</v>
      </c>
      <c r="M286" t="str">
        <f>IF(Table2[[#This Row],[!Type]]=M$1, M$1,"rg:None")</f>
        <v>id</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id</v>
      </c>
      <c r="V286" s="9" t="str">
        <f>IF(LEN(Table2[[#This Row],[!Description]]) &gt; 0, Table2[[#This Row],[!Description]], "rg:None")</f>
        <v>A system-generated unique identifier for a RolePermission</v>
      </c>
      <c r="W286" s="9" t="str">
        <f>IF(LEN(Table2[[#This Row],[!FK]])&gt;0,Table2[[#This Row],[!FK]],"rg:None")</f>
        <v>rg:None</v>
      </c>
      <c r="X286" s="9" t="str">
        <f>IF(LEN(concatif2(A:A,Table2[[#This Row],[!Table]],G:G,"Y",D:D,",")) &gt; 0,"rg:[ { 'req' : '"&amp;concatif2(A:A,Table2[[#This Row],[!Table]],G:G,"Y",D:D,"' }, { 'req': '")&amp;"'} ]","rg:[]")</f>
        <v>rg:[ { 'req' : 'id'} ]</v>
      </c>
      <c r="Y286" s="9" t="str">
        <f>IF(LEN(Table2[[#This Row],[!Unique]])&gt;0,"rg:True","rg:None")</f>
        <v>rg:None</v>
      </c>
    </row>
    <row r="287" spans="1:25" x14ac:dyDescent="0.3">
      <c r="A287" s="3" t="s">
        <v>57</v>
      </c>
      <c r="B287" s="3" t="s">
        <v>8</v>
      </c>
      <c r="C287" s="3"/>
      <c r="D287" s="3" t="s">
        <v>18</v>
      </c>
      <c r="E287" s="63"/>
      <c r="F287" s="3" t="s">
        <v>55</v>
      </c>
      <c r="G287" s="4"/>
      <c r="H287" s="4"/>
      <c r="I287" s="5" t="str">
        <f t="shared" si="18"/>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ref</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role</v>
      </c>
      <c r="V287" s="9" t="str">
        <f>IF(LEN(Table2[[#This Row],[!Description]]) &gt; 0, Table2[[#This Row],[!Description]], "rg:None")</f>
        <v>rg:None</v>
      </c>
      <c r="W287" s="9" t="str">
        <f>IF(LEN(Table2[[#This Row],[!FK]])&gt;0,Table2[[#This Row],[!FK]],"rg:None")</f>
        <v>Role</v>
      </c>
      <c r="X287" s="9" t="str">
        <f>IF(LEN(concatif2(A:A,Table2[[#This Row],[!Table]],G:G,"Y",D:D,",")) &gt; 0,"rg:[ { 'req' : '"&amp;concatif2(A:A,Table2[[#This Row],[!Table]],G:G,"Y",D:D,"' }, { 'req': '")&amp;"'} ]","rg:[]")</f>
        <v>rg:[ { 'req' : 'id'} ]</v>
      </c>
      <c r="Y287" s="9" t="str">
        <f>IF(LEN(Table2[[#This Row],[!Unique]])&gt;0,"rg:True","rg:None")</f>
        <v>rg:None</v>
      </c>
    </row>
    <row r="288" spans="1:25" x14ac:dyDescent="0.3">
      <c r="A288" s="3" t="s">
        <v>57</v>
      </c>
      <c r="B288" s="3" t="s">
        <v>8</v>
      </c>
      <c r="C288" s="3"/>
      <c r="D288" s="3" t="s">
        <v>58</v>
      </c>
      <c r="E288" s="63"/>
      <c r="F288" s="3" t="s">
        <v>59</v>
      </c>
      <c r="G288" s="4"/>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ref</v>
      </c>
      <c r="R288" s="5" t="str">
        <f>IF(Table2[[#This Row],[!Type]]=R$1, R$1,"rg:None")</f>
        <v>rg:None</v>
      </c>
      <c r="S288" s="5" t="str">
        <f>IF(Table2[[#This Row],[!Type]]=S$1, S$1,"rg:None")</f>
        <v>rg:None</v>
      </c>
      <c r="T288" s="9" t="str">
        <f>IF(LEN(Table2[[#This Row],[!Length]]) &gt; 0, Table2[[#This Row],[!Length]], "rg:None")</f>
        <v>rg:None</v>
      </c>
      <c r="U288" s="9" t="str">
        <f>IF(LEN(Table2[[#This Row],[!Name]]) &gt; 0, Table2[[#This Row],[!Name]], "rg:None")</f>
        <v>permission</v>
      </c>
      <c r="V288" s="9" t="str">
        <f>IF(LEN(Table2[[#This Row],[!Description]]) &gt; 0, Table2[[#This Row],[!Description]], "rg:None")</f>
        <v>rg:None</v>
      </c>
      <c r="W288" s="9" t="str">
        <f>IF(LEN(Table2[[#This Row],[!FK]])&gt;0,Table2[[#This Row],[!FK]],"rg:None")</f>
        <v>Permission</v>
      </c>
      <c r="X288" s="9" t="str">
        <f>IF(LEN(concatif2(A:A,Table2[[#This Row],[!Table]],G:G,"Y",D:D,",")) &gt; 0,"rg:[ { 'req' : '"&amp;concatif2(A:A,Table2[[#This Row],[!Table]],G:G,"Y",D:D,"' }, { 'req': '")&amp;"'} ]","rg:[]")</f>
        <v>rg:[ { 'req' : 'id'} ]</v>
      </c>
      <c r="Y288" s="9" t="str">
        <f>IF(LEN(Table2[[#This Row],[!Unique]])&gt;0,"rg:True","rg:None")</f>
        <v>rg:None</v>
      </c>
    </row>
    <row r="289" spans="1:25" ht="72" x14ac:dyDescent="0.3">
      <c r="A289" s="3" t="s">
        <v>59</v>
      </c>
      <c r="B289" s="3" t="s">
        <v>4</v>
      </c>
      <c r="C289" s="3"/>
      <c r="D289" s="3" t="s">
        <v>59</v>
      </c>
      <c r="E289" s="87" t="s">
        <v>448</v>
      </c>
      <c r="F289" s="3" t="s">
        <v>5</v>
      </c>
      <c r="G289" s="4"/>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table</v>
      </c>
      <c r="T289" s="9" t="str">
        <f>IF(LEN(Table2[[#This Row],[!Length]]) &gt; 0, Table2[[#This Row],[!Length]], "rg:None")</f>
        <v>rg:None</v>
      </c>
      <c r="U289" s="9" t="str">
        <f>IF(LEN(Table2[[#This Row],[!Name]]) &gt; 0, Table2[[#This Row],[!Name]], "rg:None")</f>
        <v>Permission</v>
      </c>
      <c r="V289"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x14ac:dyDescent="0.3">
      <c r="A290" s="3" t="s">
        <v>59</v>
      </c>
      <c r="B290" s="3" t="s">
        <v>6</v>
      </c>
      <c r="C290" s="3"/>
      <c r="D290" s="3" t="s">
        <v>6</v>
      </c>
      <c r="E290" s="63" t="s">
        <v>405</v>
      </c>
      <c r="F290" s="3" t="s">
        <v>5</v>
      </c>
      <c r="G290" s="4" t="s">
        <v>64</v>
      </c>
      <c r="H290" s="4"/>
      <c r="I290" s="5" t="str">
        <f t="shared" si="18"/>
        <v>Defs</v>
      </c>
      <c r="J290" t="str">
        <f>IF(Table2[[#This Row],[!Type]]=J$1, J$1,"rg:None")</f>
        <v>rg:None</v>
      </c>
      <c r="K290" t="str">
        <f>IF(Table2[[#This Row],[!Type]]=K$1, K$1,"rg:None")</f>
        <v>rg:None</v>
      </c>
      <c r="L290" t="str">
        <f>IF(Table2[[#This Row],[!Type]]=L$1, L$1,"rg:None")</f>
        <v>rg:None</v>
      </c>
      <c r="M290" t="str">
        <f>IF(Table2[[#This Row],[!Type]]=M$1, M$1,"rg:None")</f>
        <v>id</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id</v>
      </c>
      <c r="V290" s="9" t="str">
        <f>IF(LEN(Table2[[#This Row],[!Description]]) &gt; 0, Table2[[#This Row],[!Description]], "rg:None")</f>
        <v>A system-generated unique identifier for a Permission</v>
      </c>
      <c r="W290" s="9" t="str">
        <f>IF(LEN(Table2[[#This Row],[!FK]])&gt;0,Table2[[#This Row],[!FK]],"rg:None")</f>
        <v>rg:None</v>
      </c>
      <c r="X290" s="9" t="str">
        <f>IF(LEN(concatif2(A:A,Table2[[#This Row],[!Table]],G:G,"Y",D:D,",")) &gt; 0,"rg:[ { 'req' : '"&amp;concatif2(A:A,Table2[[#This Row],[!Table]],G:G,"Y",D:D,"' }, { 'req': '")&amp;"'} ]","rg:[]")</f>
        <v>rg:[ { 'req' : 'id' }, { 'req': 'code' }, { 'req': 'name' }, { 'req': 'description'} ]</v>
      </c>
      <c r="Y290" s="9" t="str">
        <f>IF(LEN(Table2[[#This Row],[!Unique]])&gt;0,"rg:True","rg:None")</f>
        <v>rg:None</v>
      </c>
    </row>
    <row r="291" spans="1:25" x14ac:dyDescent="0.3">
      <c r="A291" s="3" t="s">
        <v>59</v>
      </c>
      <c r="B291" s="3" t="s">
        <v>7</v>
      </c>
      <c r="C291" s="3">
        <v>255</v>
      </c>
      <c r="D291" s="3" t="s">
        <v>60</v>
      </c>
      <c r="E291" s="63" t="s">
        <v>406</v>
      </c>
      <c r="F291" s="3" t="s">
        <v>5</v>
      </c>
      <c r="G291" s="4" t="s">
        <v>64</v>
      </c>
      <c r="H291" s="4"/>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9">
        <f>IF(LEN(Table2[[#This Row],[!Length]]) &gt; 0, Table2[[#This Row],[!Length]], "rg:None")</f>
        <v>255</v>
      </c>
      <c r="U291" s="9" t="str">
        <f>IF(LEN(Table2[[#This Row],[!Name]]) &gt; 0, Table2[[#This Row],[!Name]], "rg:None")</f>
        <v>code</v>
      </c>
      <c r="V291" s="9" t="str">
        <f>IF(LEN(Table2[[#This Row],[!Description]]) &gt; 0, Table2[[#This Row],[!Description]], "rg:None")</f>
        <v>The name of the permission referenced in the software of the application.</v>
      </c>
      <c r="W291" s="9" t="str">
        <f>IF(LEN(Table2[[#This Row],[!FK]])&gt;0,Table2[[#This Row],[!FK]],"rg:None")</f>
        <v>rg:None</v>
      </c>
      <c r="X291" s="9" t="str">
        <f>IF(LEN(concatif2(A:A,Table2[[#This Row],[!Table]],G:G,"Y",D:D,",")) &gt; 0,"rg:[ { 'req' : '"&amp;concatif2(A:A,Table2[[#This Row],[!Table]],G:G,"Y",D:D,"' }, { 'req': '")&amp;"'} ]","rg:[]")</f>
        <v>rg:[ { 'req' : 'id' }, { 'req': 'code' }, { 'req': 'name' }, { 'req': 'description'} ]</v>
      </c>
      <c r="Y291" s="9" t="str">
        <f>IF(LEN(Table2[[#This Row],[!Unique]])&gt;0,"rg:True","rg:None")</f>
        <v>rg:None</v>
      </c>
    </row>
    <row r="292" spans="1:25" ht="28.8" x14ac:dyDescent="0.3">
      <c r="A292" s="3" t="s">
        <v>59</v>
      </c>
      <c r="B292" s="3" t="s">
        <v>7</v>
      </c>
      <c r="C292" s="3">
        <v>255</v>
      </c>
      <c r="D292" s="3" t="s">
        <v>15</v>
      </c>
      <c r="E292" s="63" t="s">
        <v>407</v>
      </c>
      <c r="F292" s="3" t="s">
        <v>5</v>
      </c>
      <c r="G292" s="4" t="s">
        <v>64</v>
      </c>
      <c r="H292" s="4"/>
      <c r="I292" s="5" t="str">
        <f t="shared" si="18"/>
        <v>Defs</v>
      </c>
      <c r="J292" t="str">
        <f>IF(Table2[[#This Row],[!Type]]=J$1, J$1,"rg:None")</f>
        <v>rg:None</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9">
        <f>IF(LEN(Table2[[#This Row],[!Length]]) &gt; 0, Table2[[#This Row],[!Length]], "rg:None")</f>
        <v>255</v>
      </c>
      <c r="U292" s="9" t="str">
        <f>IF(LEN(Table2[[#This Row],[!Name]]) &gt; 0, Table2[[#This Row],[!Name]], "rg:None")</f>
        <v>name</v>
      </c>
      <c r="V292" s="9" t="str">
        <f>IF(LEN(Table2[[#This Row],[!Description]]) &gt; 0, Table2[[#This Row],[!Description]], "rg:None")</f>
        <v>The 'user friendly' name of the permission exposed to the user selecting the permissions to be included in a Role.</v>
      </c>
      <c r="W292" s="9" t="str">
        <f>IF(LEN(Table2[[#This Row],[!FK]])&gt;0,Table2[[#This Row],[!FK]],"rg:None")</f>
        <v>rg:None</v>
      </c>
      <c r="X292" s="9" t="str">
        <f>IF(LEN(concatif2(A:A,Table2[[#This Row],[!Table]],G:G,"Y",D:D,",")) &gt; 0,"rg:[ { 'req' : '"&amp;concatif2(A:A,Table2[[#This Row],[!Table]],G:G,"Y",D:D,"' }, { 'req': '")&amp;"'} ]","rg:[]")</f>
        <v>rg:[ { 'req' : 'id' }, { 'req': 'code' }, { 'req': 'name' }, { 'req': 'description'} ]</v>
      </c>
      <c r="Y292" s="9" t="str">
        <f>IF(LEN(Table2[[#This Row],[!Unique]])&gt;0,"rg:True","rg:None")</f>
        <v>rg:None</v>
      </c>
    </row>
    <row r="293" spans="1:25" ht="28.8" x14ac:dyDescent="0.3">
      <c r="A293" s="3" t="s">
        <v>59</v>
      </c>
      <c r="B293" s="3" t="s">
        <v>7</v>
      </c>
      <c r="C293" s="3">
        <v>255</v>
      </c>
      <c r="D293" s="3" t="s">
        <v>14</v>
      </c>
      <c r="E293" s="63" t="s">
        <v>408</v>
      </c>
      <c r="F293" s="3" t="s">
        <v>5</v>
      </c>
      <c r="G293" s="4" t="s">
        <v>64</v>
      </c>
      <c r="H293" s="4"/>
      <c r="I293" s="5" t="str">
        <f t="shared" si="18"/>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9">
        <f>IF(LEN(Table2[[#This Row],[!Length]]) &gt; 0, Table2[[#This Row],[!Length]], "rg:None")</f>
        <v>255</v>
      </c>
      <c r="U293" s="9" t="str">
        <f>IF(LEN(Table2[[#This Row],[!Name]]) &gt; 0, Table2[[#This Row],[!Name]], "rg:None")</f>
        <v>description</v>
      </c>
      <c r="V293" s="9" t="str">
        <f>IF(LEN(Table2[[#This Row],[!Description]]) &gt; 0, Table2[[#This Row],[!Description]], "rg:None")</f>
        <v>A description of the purpose of the permission and exposed to the user selecting the permissions to be included in a Role.</v>
      </c>
      <c r="W293" s="9" t="str">
        <f>IF(LEN(Table2[[#This Row],[!FK]])&gt;0,Table2[[#This Row],[!FK]],"rg:None")</f>
        <v>rg:None</v>
      </c>
      <c r="X293" s="9" t="str">
        <f>IF(LEN(concatif2(A:A,Table2[[#This Row],[!Table]],G:G,"Y",D:D,",")) &gt; 0,"rg:[ { 'req' : '"&amp;concatif2(A:A,Table2[[#This Row],[!Table]],G:G,"Y",D:D,"' }, { 'req': '")&amp;"'} ]","rg:[]")</f>
        <v>rg:[ { 'req' : 'id' }, { 'req': 'code' }, { 'req': 'name' }, { 'req': 'description'} ]</v>
      </c>
      <c r="Y293" s="9" t="str">
        <f>IF(LEN(Table2[[#This Row],[!Unique]])&gt;0,"rg:True","rg:None")</f>
        <v>rg:None</v>
      </c>
    </row>
    <row r="294" spans="1:25" x14ac:dyDescent="0.3">
      <c r="A294" s="3" t="s">
        <v>61</v>
      </c>
      <c r="B294" s="3" t="s">
        <v>4</v>
      </c>
      <c r="C294" s="3"/>
      <c r="D294" s="3" t="s">
        <v>61</v>
      </c>
      <c r="E294" s="63" t="s">
        <v>409</v>
      </c>
      <c r="F294" s="3" t="s">
        <v>5</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9" t="str">
        <f>IF(LEN(Table2[[#This Row],[!Length]]) &gt; 0, Table2[[#This Row],[!Length]], "rg:None")</f>
        <v>rg:None</v>
      </c>
      <c r="U294" s="9" t="str">
        <f>IF(LEN(Table2[[#This Row],[!Name]]) &gt; 0, Table2[[#This Row],[!Name]], "rg:None")</f>
        <v>GroupMembership</v>
      </c>
      <c r="V294" s="9" t="str">
        <f>IF(LEN(Table2[[#This Row],[!Description]]) &gt; 0, Table2[[#This Row],[!Description]], "rg:None")</f>
        <v>The users associated with a given group that has been defined in the application.</v>
      </c>
      <c r="W294" s="9" t="str">
        <f>IF(LEN(Table2[[#This Row],[!FK]])&gt;0,Table2[[#This Row],[!FK]],"rg:None")</f>
        <v>rg:None</v>
      </c>
      <c r="X294" s="9" t="str">
        <f>IF(LEN(concatif2(A:A,Table2[[#This Row],[!Table]],G:G,"Y",D:D,",")) &gt; 0,"rg:[ { 'req' : '"&amp;concatif2(A:A,Table2[[#This Row],[!Table]],G:G,"Y",D:D,"' }, { 'req': '")&amp;"'} ]","rg:[]")</f>
        <v>rg:[ { 'req' : 'id' }, { 'req': 'active'} ]</v>
      </c>
      <c r="Y294" s="9" t="str">
        <f>IF(LEN(Table2[[#This Row],[!Unique]])&gt;0,"rg:True","rg:None")</f>
        <v>rg:None</v>
      </c>
    </row>
    <row r="295" spans="1:25" x14ac:dyDescent="0.3">
      <c r="A295" s="3" t="s">
        <v>61</v>
      </c>
      <c r="B295" s="3" t="s">
        <v>6</v>
      </c>
      <c r="C295" s="3"/>
      <c r="D295" s="3" t="s">
        <v>6</v>
      </c>
      <c r="E295" s="63" t="s">
        <v>410</v>
      </c>
      <c r="F295" s="3" t="s">
        <v>5</v>
      </c>
      <c r="G295" s="4" t="s">
        <v>64</v>
      </c>
      <c r="H295" s="4"/>
      <c r="I295" s="5" t="str">
        <f t="shared" si="18"/>
        <v>Defs</v>
      </c>
      <c r="J295" t="str">
        <f>IF(Table2[[#This Row],[!Type]]=J$1, J$1,"rg:None")</f>
        <v>rg:None</v>
      </c>
      <c r="K295" t="str">
        <f>IF(Table2[[#This Row],[!Type]]=K$1, K$1,"rg:None")</f>
        <v>rg:None</v>
      </c>
      <c r="L295" t="str">
        <f>IF(Table2[[#This Row],[!Type]]=L$1, L$1,"rg:None")</f>
        <v>rg:None</v>
      </c>
      <c r="M295" t="str">
        <f>IF(Table2[[#This Row],[!Type]]=M$1, M$1,"rg:None")</f>
        <v>id</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9" t="str">
        <f>IF(LEN(Table2[[#This Row],[!Length]]) &gt; 0, Table2[[#This Row],[!Length]], "rg:None")</f>
        <v>rg:None</v>
      </c>
      <c r="U295" s="9" t="str">
        <f>IF(LEN(Table2[[#This Row],[!Name]]) &gt; 0, Table2[[#This Row],[!Name]], "rg:None")</f>
        <v>id</v>
      </c>
      <c r="V295" s="9" t="str">
        <f>IF(LEN(Table2[[#This Row],[!Description]]) &gt; 0, Table2[[#This Row],[!Description]], "rg:None")</f>
        <v>A system-generated unique identifier for a GroupMembership</v>
      </c>
      <c r="W295" s="9" t="str">
        <f>IF(LEN(Table2[[#This Row],[!FK]])&gt;0,Table2[[#This Row],[!FK]],"rg:None")</f>
        <v>rg:None</v>
      </c>
      <c r="X295" s="9" t="str">
        <f>IF(LEN(concatif2(A:A,Table2[[#This Row],[!Table]],G:G,"Y",D:D,",")) &gt; 0,"rg:[ { 'req' : '"&amp;concatif2(A:A,Table2[[#This Row],[!Table]],G:G,"Y",D:D,"' }, { 'req': '")&amp;"'} ]","rg:[]")</f>
        <v>rg:[ { 'req' : 'id' }, { 'req': 'active'} ]</v>
      </c>
      <c r="Y295" s="9" t="str">
        <f>IF(LEN(Table2[[#This Row],[!Unique]])&gt;0,"rg:True","rg:None")</f>
        <v>rg:None</v>
      </c>
    </row>
    <row r="296" spans="1:25" ht="28.8" x14ac:dyDescent="0.3">
      <c r="A296" s="3" t="s">
        <v>61</v>
      </c>
      <c r="B296" s="3" t="s">
        <v>9</v>
      </c>
      <c r="C296" s="3"/>
      <c r="D296" s="3" t="s">
        <v>43</v>
      </c>
      <c r="E296" s="63" t="s">
        <v>411</v>
      </c>
      <c r="F296" s="3" t="s">
        <v>5</v>
      </c>
      <c r="G296" s="4" t="s">
        <v>64</v>
      </c>
      <c r="H296" s="4"/>
      <c r="I296" s="5" t="str">
        <f t="shared" si="18"/>
        <v>Defs</v>
      </c>
      <c r="J296" t="str">
        <f>IF(Table2[[#This Row],[!Type]]=J$1, J$1,"rg:None")</f>
        <v>boolean</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active</v>
      </c>
      <c r="V296" s="9" t="str">
        <f>IF(LEN(Table2[[#This Row],[!Description]]) &gt; 0, Table2[[#This Row],[!Description]], "rg:None")</f>
        <v>A flag indicating the User is active in the group. Set false to remove the user from the designated group.</v>
      </c>
      <c r="W296" s="9" t="str">
        <f>IF(LEN(Table2[[#This Row],[!FK]])&gt;0,Table2[[#This Row],[!FK]],"rg:None")</f>
        <v>rg:None</v>
      </c>
      <c r="X296" s="9" t="str">
        <f>IF(LEN(concatif2(A:A,Table2[[#This Row],[!Table]],G:G,"Y",D:D,",")) &gt; 0,"rg:[ { 'req' : '"&amp;concatif2(A:A,Table2[[#This Row],[!Table]],G:G,"Y",D:D,"' }, { 'req': '")&amp;"'} ]","rg:[]")</f>
        <v>rg:[ { 'req' : 'id' }, { 'req': 'active'} ]</v>
      </c>
      <c r="Y296" s="9" t="str">
        <f>IF(LEN(Table2[[#This Row],[!Unique]])&gt;0,"rg:True","rg:None")</f>
        <v>rg:None</v>
      </c>
    </row>
    <row r="297" spans="1:25" x14ac:dyDescent="0.3">
      <c r="A297" s="3" t="s">
        <v>61</v>
      </c>
      <c r="B297" s="3" t="s">
        <v>8</v>
      </c>
      <c r="C297" s="3"/>
      <c r="D297" s="3" t="s">
        <v>62</v>
      </c>
      <c r="E297" s="63"/>
      <c r="F297" s="3" t="s">
        <v>63</v>
      </c>
      <c r="G297" s="4"/>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ref</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group</v>
      </c>
      <c r="V297" s="9" t="str">
        <f>IF(LEN(Table2[[#This Row],[!Description]]) &gt; 0, Table2[[#This Row],[!Description]], "rg:None")</f>
        <v>rg:None</v>
      </c>
      <c r="W297" s="9" t="str">
        <f>IF(LEN(Table2[[#This Row],[!FK]])&gt;0,Table2[[#This Row],[!FK]],"rg:None")</f>
        <v>Group</v>
      </c>
      <c r="X297" s="9" t="str">
        <f>IF(LEN(concatif2(A:A,Table2[[#This Row],[!Table]],G:G,"Y",D:D,",")) &gt; 0,"rg:[ { 'req' : '"&amp;concatif2(A:A,Table2[[#This Row],[!Table]],G:G,"Y",D:D,"' }, { 'req': '")&amp;"'} ]","rg:[]")</f>
        <v>rg:[ { 'req' : 'id' }, { 'req': 'active'} ]</v>
      </c>
      <c r="Y297" s="9" t="str">
        <f>IF(LEN(Table2[[#This Row],[!Unique]])&gt;0,"rg:True","rg:None")</f>
        <v>rg:None</v>
      </c>
    </row>
    <row r="298" spans="1:25" x14ac:dyDescent="0.3">
      <c r="A298" s="3" t="s">
        <v>61</v>
      </c>
      <c r="B298" s="3" t="s">
        <v>8</v>
      </c>
      <c r="C298" s="3"/>
      <c r="D298" s="3" t="s">
        <v>42</v>
      </c>
      <c r="E298" s="63"/>
      <c r="F298" s="3" t="s">
        <v>0</v>
      </c>
      <c r="G298" s="4"/>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9" t="str">
        <f>IF(LEN(Table2[[#This Row],[!Length]]) &gt; 0, Table2[[#This Row],[!Length]], "rg:None")</f>
        <v>rg:None</v>
      </c>
      <c r="U298" s="9" t="str">
        <f>IF(LEN(Table2[[#This Row],[!Name]]) &gt; 0, Table2[[#This Row],[!Name]], "rg:None")</f>
        <v>user</v>
      </c>
      <c r="V298" s="9" t="str">
        <f>IF(LEN(Table2[[#This Row],[!Description]]) &gt; 0, Table2[[#This Row],[!Description]], "rg:None")</f>
        <v>rg:None</v>
      </c>
      <c r="W298" s="9" t="str">
        <f>IF(LEN(Table2[[#This Row],[!FK]])&gt;0,Table2[[#This Row],[!FK]],"rg:None")</f>
        <v>User</v>
      </c>
      <c r="X298" s="9" t="str">
        <f>IF(LEN(concatif2(A:A,Table2[[#This Row],[!Table]],G:G,"Y",D:D,",")) &gt; 0,"rg:[ { 'req' : '"&amp;concatif2(A:A,Table2[[#This Row],[!Table]],G:G,"Y",D:D,"' }, { 'req': '")&amp;"'} ]","rg:[]")</f>
        <v>rg:[ { 'req' : 'id' }, { 'req': 'active'} ]</v>
      </c>
      <c r="Y298" s="9" t="str">
        <f>IF(LEN(Table2[[#This Row],[!Unique]])&gt;0,"rg:True","rg:None")</f>
        <v>rg:None</v>
      </c>
    </row>
    <row r="299" spans="1:25" ht="43.2" x14ac:dyDescent="0.3">
      <c r="A299" s="3" t="s">
        <v>63</v>
      </c>
      <c r="B299" s="3" t="s">
        <v>4</v>
      </c>
      <c r="C299" s="3"/>
      <c r="D299" s="3" t="s">
        <v>63</v>
      </c>
      <c r="E299" s="87" t="s">
        <v>449</v>
      </c>
      <c r="F299" s="3" t="s">
        <v>5</v>
      </c>
      <c r="G299" s="4"/>
      <c r="H299" s="4"/>
      <c r="I299" s="5" t="str">
        <f t="shared" si="18"/>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table</v>
      </c>
      <c r="T299" s="9" t="str">
        <f>IF(LEN(Table2[[#This Row],[!Length]]) &gt; 0, Table2[[#This Row],[!Length]], "rg:None")</f>
        <v>rg:None</v>
      </c>
      <c r="U299" s="9" t="str">
        <f>IF(LEN(Table2[[#This Row],[!Name]]) &gt; 0, Table2[[#This Row],[!Name]], "rg:None")</f>
        <v>Group</v>
      </c>
      <c r="V299"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9" s="9" t="str">
        <f>IF(LEN(Table2[[#This Row],[!FK]])&gt;0,Table2[[#This Row],[!FK]],"rg:None")</f>
        <v>rg:None</v>
      </c>
      <c r="X299" s="9" t="str">
        <f>IF(LEN(concatif2(A:A,Table2[[#This Row],[!Table]],G:G,"Y",D:D,",")) &gt; 0,"rg:[ { 'req' : '"&amp;concatif2(A:A,Table2[[#This Row],[!Table]],G:G,"Y",D:D,"' }, { 'req': '")&amp;"'} ]","rg:[]")</f>
        <v>rg:[ { 'req' : 'id' }, { 'req': 'name' }, { 'req': 'description'} ]</v>
      </c>
      <c r="Y299" s="9" t="str">
        <f>IF(LEN(Table2[[#This Row],[!Unique]])&gt;0,"rg:True","rg:None")</f>
        <v>rg:None</v>
      </c>
    </row>
    <row r="300" spans="1:25" x14ac:dyDescent="0.3">
      <c r="A300" s="3" t="s">
        <v>63</v>
      </c>
      <c r="B300" s="3" t="s">
        <v>6</v>
      </c>
      <c r="C300" s="3"/>
      <c r="D300" s="3" t="s">
        <v>6</v>
      </c>
      <c r="E300" s="63" t="s">
        <v>412</v>
      </c>
      <c r="F300" s="3" t="s">
        <v>5</v>
      </c>
      <c r="G300" s="4" t="s">
        <v>64</v>
      </c>
      <c r="H300" s="4"/>
      <c r="I300" s="5" t="str">
        <f t="shared" si="18"/>
        <v>Defs</v>
      </c>
      <c r="J300" t="str">
        <f>IF(Table2[[#This Row],[!Type]]=J$1, J$1,"rg:None")</f>
        <v>rg:None</v>
      </c>
      <c r="K300" t="str">
        <f>IF(Table2[[#This Row],[!Type]]=K$1, K$1,"rg:None")</f>
        <v>rg:None</v>
      </c>
      <c r="L300" t="str">
        <f>IF(Table2[[#This Row],[!Type]]=L$1, L$1,"rg:None")</f>
        <v>rg:None</v>
      </c>
      <c r="M300" t="str">
        <f>IF(Table2[[#This Row],[!Type]]=M$1, M$1,"rg:None")</f>
        <v>id</v>
      </c>
      <c r="N300" s="9" t="str">
        <f>IF(Table2[[#This Row],[!Type]]=N$1, N$1,"rg:None")</f>
        <v>rg:None</v>
      </c>
      <c r="O300" s="9"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9" t="str">
        <f>IF(LEN(Table2[[#This Row],[!Length]]) &gt; 0, Table2[[#This Row],[!Length]], "rg:None")</f>
        <v>rg:None</v>
      </c>
      <c r="U300" s="9" t="str">
        <f>IF(LEN(Table2[[#This Row],[!Name]]) &gt; 0, Table2[[#This Row],[!Name]], "rg:None")</f>
        <v>id</v>
      </c>
      <c r="V300" s="9" t="str">
        <f>IF(LEN(Table2[[#This Row],[!Description]]) &gt; 0, Table2[[#This Row],[!Description]], "rg:None")</f>
        <v>A system-generated unique identifier for a Group</v>
      </c>
      <c r="W300" s="9" t="str">
        <f>IF(LEN(Table2[[#This Row],[!FK]])&gt;0,Table2[[#This Row],[!FK]],"rg:None")</f>
        <v>rg:None</v>
      </c>
      <c r="X300" s="9" t="str">
        <f>IF(LEN(concatif2(A:A,Table2[[#This Row],[!Table]],G:G,"Y",D:D,",")) &gt; 0,"rg:[ { 'req' : '"&amp;concatif2(A:A,Table2[[#This Row],[!Table]],G:G,"Y",D:D,"' }, { 'req': '")&amp;"'} ]","rg:[]")</f>
        <v>rg:[ { 'req' : 'id' }, { 'req': 'name' }, { 'req': 'description'} ]</v>
      </c>
      <c r="Y300" s="9" t="str">
        <f>IF(LEN(Table2[[#This Row],[!Unique]])&gt;0,"rg:True","rg:None")</f>
        <v>rg:None</v>
      </c>
    </row>
    <row r="301" spans="1:25" x14ac:dyDescent="0.3">
      <c r="A301" s="3" t="s">
        <v>63</v>
      </c>
      <c r="B301" s="3" t="s">
        <v>7</v>
      </c>
      <c r="C301" s="3">
        <v>255</v>
      </c>
      <c r="D301" s="3" t="s">
        <v>15</v>
      </c>
      <c r="E301" s="63" t="s">
        <v>413</v>
      </c>
      <c r="F301" s="3" t="s">
        <v>5</v>
      </c>
      <c r="G301" s="4" t="s">
        <v>64</v>
      </c>
      <c r="H301" s="4"/>
      <c r="I301" s="5" t="str">
        <f t="shared" si="18"/>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9">
        <f>IF(LEN(Table2[[#This Row],[!Length]]) &gt; 0, Table2[[#This Row],[!Length]], "rg:None")</f>
        <v>255</v>
      </c>
      <c r="U301" s="9" t="str">
        <f>IF(LEN(Table2[[#This Row],[!Name]]) &gt; 0, Table2[[#This Row],[!Name]], "rg:None")</f>
        <v>name</v>
      </c>
      <c r="V301" s="9" t="str">
        <f>IF(LEN(Table2[[#This Row],[!Description]]) &gt; 0, Table2[[#This Row],[!Description]], "rg:None")</f>
        <v>The name of the group, as refenced in the code.</v>
      </c>
      <c r="W301" s="9" t="str">
        <f>IF(LEN(Table2[[#This Row],[!FK]])&gt;0,Table2[[#This Row],[!FK]],"rg:None")</f>
        <v>rg:None</v>
      </c>
      <c r="X301" s="9" t="str">
        <f>IF(LEN(concatif2(A:A,Table2[[#This Row],[!Table]],G:G,"Y",D:D,",")) &gt; 0,"rg:[ { 'req' : '"&amp;concatif2(A:A,Table2[[#This Row],[!Table]],G:G,"Y",D:D,"' }, { 'req': '")&amp;"'} ]","rg:[]")</f>
        <v>rg:[ { 'req' : 'id' }, { 'req': 'name' }, { 'req': 'description'} ]</v>
      </c>
      <c r="Y301" s="9" t="str">
        <f>IF(LEN(Table2[[#This Row],[!Unique]])&gt;0,"rg:True","rg:None")</f>
        <v>rg:None</v>
      </c>
    </row>
    <row r="302" spans="1:25" ht="28.8" x14ac:dyDescent="0.3">
      <c r="A302" s="3" t="s">
        <v>63</v>
      </c>
      <c r="B302" s="3" t="s">
        <v>7</v>
      </c>
      <c r="C302" s="3">
        <v>255</v>
      </c>
      <c r="D302" s="3" t="s">
        <v>14</v>
      </c>
      <c r="E302" s="63" t="s">
        <v>414</v>
      </c>
      <c r="F302" s="3" t="s">
        <v>5</v>
      </c>
      <c r="G302" s="4" t="s">
        <v>64</v>
      </c>
      <c r="H302" s="4"/>
      <c r="I302" s="5" t="str">
        <f t="shared" si="18"/>
        <v>Defs</v>
      </c>
      <c r="J302" t="str">
        <f>IF(Table2[[#This Row],[!Type]]=J$1, J$1,"rg:None")</f>
        <v>rg:None</v>
      </c>
      <c r="K302" t="str">
        <f>IF(Table2[[#This Row],[!Type]]=K$1, K$1,"rg:None")</f>
        <v>rg:None</v>
      </c>
      <c r="L302" t="str">
        <f>IF(Table2[[#This Row],[!Type]]=L$1, L$1,"rg:None")</f>
        <v>rg:None</v>
      </c>
      <c r="M302" t="str">
        <f>IF(Table2[[#This Row],[!Type]]=M$1, M$1,"rg:None")</f>
        <v>rg:None</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9">
        <f>IF(LEN(Table2[[#This Row],[!Length]]) &gt; 0, Table2[[#This Row],[!Length]], "rg:None")</f>
        <v>255</v>
      </c>
      <c r="U302" s="9" t="str">
        <f>IF(LEN(Table2[[#This Row],[!Name]]) &gt; 0, Table2[[#This Row],[!Name]], "rg:None")</f>
        <v>description</v>
      </c>
      <c r="V302" s="9" t="str">
        <f>IF(LEN(Table2[[#This Row],[!Description]]) &gt; 0, Table2[[#This Row],[!Description]], "rg:None")</f>
        <v>A description of the group that is presented to the user when they are setting a user into a group.</v>
      </c>
      <c r="W302" s="9" t="str">
        <f>IF(LEN(Table2[[#This Row],[!FK]])&gt;0,Table2[[#This Row],[!FK]],"rg:None")</f>
        <v>rg:None</v>
      </c>
      <c r="X302" s="9" t="str">
        <f>IF(LEN(concatif2(A:A,Table2[[#This Row],[!Table]],G:G,"Y",D:D,",")) &gt; 0,"rg:[ { 'req' : '"&amp;concatif2(A:A,Table2[[#This Row],[!Table]],G:G,"Y",D:D,"' }, { 'req': '")&amp;"'} ]","rg:[]")</f>
        <v>rg:[ { 'req' : 'id' }, { 'req': 'name' }, { 'req': 'description'} ]</v>
      </c>
      <c r="Y302"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5" t="s">
        <v>204</v>
      </c>
      <c r="C2" s="23" t="s">
        <v>206</v>
      </c>
      <c r="D2" s="59"/>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7" t="s">
        <v>79</v>
      </c>
      <c r="B3" s="57" t="s">
        <v>204</v>
      </c>
      <c r="C3" s="58" t="s">
        <v>206</v>
      </c>
      <c r="D3" s="59" t="s">
        <v>206</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5" t="s">
        <v>77</v>
      </c>
      <c r="B4" s="35" t="s">
        <v>242</v>
      </c>
      <c r="C4" s="82" t="s">
        <v>208</v>
      </c>
      <c r="D4" s="59"/>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7" t="s">
        <v>79</v>
      </c>
      <c r="B5" s="57" t="s">
        <v>242</v>
      </c>
      <c r="C5" s="83" t="s">
        <v>208</v>
      </c>
      <c r="D5" s="59" t="s">
        <v>208</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4" t="s">
        <v>77</v>
      </c>
      <c r="B6" s="84" t="s">
        <v>218</v>
      </c>
      <c r="C6" s="85" t="s">
        <v>209</v>
      </c>
      <c r="D6" s="86"/>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4" t="s">
        <v>79</v>
      </c>
      <c r="B7" s="84" t="s">
        <v>218</v>
      </c>
      <c r="C7" s="85" t="s">
        <v>209</v>
      </c>
      <c r="D7" s="86" t="s">
        <v>209</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5" t="s">
        <v>77</v>
      </c>
      <c r="B8" s="37" t="s">
        <v>244</v>
      </c>
      <c r="C8" s="23" t="s">
        <v>211</v>
      </c>
      <c r="D8" s="59"/>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7" t="s">
        <v>79</v>
      </c>
      <c r="B9" s="57" t="s">
        <v>244</v>
      </c>
      <c r="C9" s="58" t="s">
        <v>211</v>
      </c>
      <c r="D9" s="59" t="s">
        <v>211</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5" t="s">
        <v>240</v>
      </c>
      <c r="C10" s="3" t="s">
        <v>156</v>
      </c>
      <c r="D10" s="59"/>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7" t="s">
        <v>79</v>
      </c>
      <c r="B11" s="57" t="s">
        <v>240</v>
      </c>
      <c r="C11" s="58" t="s">
        <v>156</v>
      </c>
      <c r="D11" s="59" t="s">
        <v>156</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5" t="s">
        <v>241</v>
      </c>
      <c r="C12" s="3" t="s">
        <v>139</v>
      </c>
      <c r="D12" s="59"/>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7" t="s">
        <v>79</v>
      </c>
      <c r="B13" s="57" t="s">
        <v>241</v>
      </c>
      <c r="C13" s="58" t="s">
        <v>139</v>
      </c>
      <c r="D13" s="59" t="s">
        <v>139</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60"/>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7" t="s">
        <v>79</v>
      </c>
      <c r="B15" s="57" t="s">
        <v>97</v>
      </c>
      <c r="C15" s="58" t="s">
        <v>63</v>
      </c>
      <c r="D15" s="59"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1" t="s">
        <v>79</v>
      </c>
      <c r="B17" s="41" t="s">
        <v>98</v>
      </c>
      <c r="C17" s="42" t="s">
        <v>59</v>
      </c>
      <c r="D17" s="43"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1" t="s">
        <v>79</v>
      </c>
      <c r="B19" s="41" t="s">
        <v>99</v>
      </c>
      <c r="C19" s="42" t="s">
        <v>55</v>
      </c>
      <c r="D19" s="43"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1" t="s">
        <v>79</v>
      </c>
      <c r="B22" s="41" t="s">
        <v>100</v>
      </c>
      <c r="C22" s="42" t="s">
        <v>0</v>
      </c>
      <c r="D22" s="43"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60"/>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7" t="s">
        <v>79</v>
      </c>
      <c r="B26" s="57" t="s">
        <v>102</v>
      </c>
      <c r="C26" s="58" t="s">
        <v>30</v>
      </c>
      <c r="D26" s="59"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60"/>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7" t="s">
        <v>79</v>
      </c>
      <c r="B28" s="57" t="s">
        <v>103</v>
      </c>
      <c r="C28" s="58" t="s">
        <v>34</v>
      </c>
      <c r="D28" s="59"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60"/>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7" t="s">
        <v>79</v>
      </c>
      <c r="B30" s="57" t="s">
        <v>104</v>
      </c>
      <c r="C30" s="58" t="s">
        <v>10</v>
      </c>
      <c r="D30" s="59"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60"/>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7" t="s">
        <v>79</v>
      </c>
      <c r="B32" s="57" t="s">
        <v>105</v>
      </c>
      <c r="C32" s="58" t="s">
        <v>11</v>
      </c>
      <c r="D32" s="59"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5" t="s">
        <v>77</v>
      </c>
      <c r="B33" s="35" t="s">
        <v>243</v>
      </c>
      <c r="C33" s="36" t="s">
        <v>165</v>
      </c>
      <c r="D33" s="59"/>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7" t="s">
        <v>79</v>
      </c>
      <c r="B34" s="57" t="s">
        <v>243</v>
      </c>
      <c r="C34" s="58" t="s">
        <v>165</v>
      </c>
      <c r="D34" s="59" t="s">
        <v>165</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5" t="s">
        <v>77</v>
      </c>
      <c r="B35" s="45" t="s">
        <v>202</v>
      </c>
      <c r="C35" s="19" t="s">
        <v>190</v>
      </c>
      <c r="D35" s="46"/>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5" t="s">
        <v>79</v>
      </c>
      <c r="B36" s="45" t="s">
        <v>202</v>
      </c>
      <c r="C36" s="19" t="s">
        <v>190</v>
      </c>
      <c r="D36" s="46" t="s">
        <v>190</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5" t="s">
        <v>77</v>
      </c>
      <c r="B37" s="45" t="s">
        <v>251</v>
      </c>
      <c r="C37" s="47" t="s">
        <v>111</v>
      </c>
      <c r="D37" s="46"/>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5" t="s">
        <v>79</v>
      </c>
      <c r="B38" s="45" t="s">
        <v>251</v>
      </c>
      <c r="C38" s="47" t="s">
        <v>111</v>
      </c>
      <c r="D38" s="46"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5" t="s">
        <v>77</v>
      </c>
      <c r="B39" s="45" t="s">
        <v>180</v>
      </c>
      <c r="C39" s="47" t="s">
        <v>160</v>
      </c>
      <c r="D39" s="46"/>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5" t="s">
        <v>79</v>
      </c>
      <c r="B40" s="45" t="s">
        <v>180</v>
      </c>
      <c r="C40" s="47" t="s">
        <v>160</v>
      </c>
      <c r="D40" s="46" t="s">
        <v>160</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5" t="s">
        <v>77</v>
      </c>
      <c r="B41" s="45" t="s">
        <v>252</v>
      </c>
      <c r="C41" s="47" t="s">
        <v>174</v>
      </c>
      <c r="D41" s="46"/>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5" t="s">
        <v>79</v>
      </c>
      <c r="B42" s="45" t="s">
        <v>252</v>
      </c>
      <c r="C42" s="47" t="s">
        <v>174</v>
      </c>
      <c r="D42" s="46" t="s">
        <v>174</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5" t="s">
        <v>77</v>
      </c>
      <c r="B43" s="45" t="s">
        <v>253</v>
      </c>
      <c r="C43" s="47" t="s">
        <v>191</v>
      </c>
      <c r="D43" s="46"/>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5" t="s">
        <v>79</v>
      </c>
      <c r="B44" s="45" t="s">
        <v>253</v>
      </c>
      <c r="C44" s="47" t="s">
        <v>191</v>
      </c>
      <c r="D44" s="46" t="s">
        <v>191</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5" t="s">
        <v>77</v>
      </c>
      <c r="B45" s="45" t="s">
        <v>254</v>
      </c>
      <c r="C45" s="47" t="s">
        <v>192</v>
      </c>
      <c r="D45" s="46"/>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5" t="s">
        <v>79</v>
      </c>
      <c r="B46" s="45" t="s">
        <v>254</v>
      </c>
      <c r="C46" s="47" t="s">
        <v>192</v>
      </c>
      <c r="D46" s="46" t="s">
        <v>192</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2017-02-14T01:06:57Z</dcterms:modified>
</cp:coreProperties>
</file>