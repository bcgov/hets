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defs.csv!$A$1:$Y$345</definedName>
    <definedName name="_xlnm._FilterDatabase" localSheetId="1" hidden="1">paths.csv!$A$1:$G$72</definedName>
  </definedNames>
  <calcPr calcId="171027"/>
</workbook>
</file>

<file path=xl/calcChain.xml><?xml version="1.0" encoding="utf-8"?>
<calcChain xmlns="http://schemas.openxmlformats.org/spreadsheetml/2006/main">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7" i="27" l="1"/>
  <c r="I228" i="27"/>
  <c r="I229" i="27"/>
  <c r="I230" i="27"/>
  <c r="I231" i="27"/>
  <c r="I232" i="27"/>
  <c r="I233" i="27"/>
  <c r="J227" i="27"/>
  <c r="J228" i="27"/>
  <c r="J229" i="27"/>
  <c r="J230" i="27"/>
  <c r="J231" i="27"/>
  <c r="J232" i="27"/>
  <c r="J233" i="27"/>
  <c r="K227" i="27"/>
  <c r="K228" i="27"/>
  <c r="K229" i="27"/>
  <c r="K230" i="27"/>
  <c r="K231" i="27"/>
  <c r="K232" i="27"/>
  <c r="K233" i="27"/>
  <c r="L227" i="27"/>
  <c r="L228" i="27"/>
  <c r="L229" i="27"/>
  <c r="L230" i="27"/>
  <c r="L231" i="27"/>
  <c r="L232" i="27"/>
  <c r="L233" i="27"/>
  <c r="M227" i="27"/>
  <c r="M228" i="27"/>
  <c r="M229" i="27"/>
  <c r="M230" i="27"/>
  <c r="M231" i="27"/>
  <c r="M232" i="27"/>
  <c r="M233" i="27"/>
  <c r="N227" i="27"/>
  <c r="N228" i="27"/>
  <c r="N229" i="27"/>
  <c r="N230" i="27"/>
  <c r="N231" i="27"/>
  <c r="N232" i="27"/>
  <c r="N233" i="27"/>
  <c r="O227" i="27"/>
  <c r="O228" i="27"/>
  <c r="O229" i="27"/>
  <c r="O230" i="27"/>
  <c r="O231" i="27"/>
  <c r="O232" i="27"/>
  <c r="O233" i="27"/>
  <c r="P227" i="27"/>
  <c r="P228" i="27"/>
  <c r="P229" i="27"/>
  <c r="P230" i="27"/>
  <c r="P231" i="27"/>
  <c r="P232" i="27"/>
  <c r="P233" i="27"/>
  <c r="Q227" i="27"/>
  <c r="Q228" i="27"/>
  <c r="Q229" i="27"/>
  <c r="Q230" i="27"/>
  <c r="Q231" i="27"/>
  <c r="Q232" i="27"/>
  <c r="Q233" i="27"/>
  <c r="R227" i="27"/>
  <c r="R228" i="27"/>
  <c r="R229" i="27"/>
  <c r="R230" i="27"/>
  <c r="R231" i="27"/>
  <c r="R232" i="27"/>
  <c r="R233" i="27"/>
  <c r="S227" i="27"/>
  <c r="S228" i="27"/>
  <c r="S229" i="27"/>
  <c r="S230" i="27"/>
  <c r="S231" i="27"/>
  <c r="S232" i="27"/>
  <c r="S233" i="27"/>
  <c r="T227" i="27"/>
  <c r="T228" i="27"/>
  <c r="T229" i="27"/>
  <c r="T230" i="27"/>
  <c r="T231" i="27"/>
  <c r="T232" i="27"/>
  <c r="T233" i="27"/>
  <c r="U227" i="27"/>
  <c r="U228" i="27"/>
  <c r="U229" i="27"/>
  <c r="U230" i="27"/>
  <c r="U231" i="27"/>
  <c r="U232" i="27"/>
  <c r="U233" i="27"/>
  <c r="V227" i="27"/>
  <c r="V228" i="27"/>
  <c r="V229" i="27"/>
  <c r="V230" i="27"/>
  <c r="V231" i="27"/>
  <c r="V232" i="27"/>
  <c r="V233" i="27"/>
  <c r="W227" i="27"/>
  <c r="W228" i="27"/>
  <c r="W229" i="27"/>
  <c r="W230" i="27"/>
  <c r="W231" i="27"/>
  <c r="W232" i="27"/>
  <c r="W233" i="27"/>
  <c r="Y227" i="27"/>
  <c r="Y228" i="27"/>
  <c r="Y229" i="27"/>
  <c r="Y230" i="27"/>
  <c r="Y231" i="27"/>
  <c r="Y232" i="27"/>
  <c r="Y233" i="27"/>
  <c r="X231" i="27"/>
  <c r="X232" i="27"/>
  <c r="X230" i="27"/>
  <c r="X228" i="27"/>
  <c r="X233" i="27"/>
  <c r="X227" i="27"/>
  <c r="X229"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8" i="27"/>
  <c r="X166" i="27"/>
  <c r="X170" i="27"/>
  <c r="X167" i="27"/>
  <c r="X163" i="27"/>
  <c r="X169" i="27"/>
  <c r="X162" i="27"/>
  <c r="X164" i="27"/>
  <c r="X171"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4" i="27"/>
  <c r="X182"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79" i="27"/>
  <c r="X177" i="27"/>
  <c r="X178" i="27"/>
  <c r="X181" i="27"/>
  <c r="X183" i="27"/>
  <c r="I259" i="27" l="1"/>
  <c r="J259" i="27"/>
  <c r="K259" i="27"/>
  <c r="L259" i="27"/>
  <c r="M259" i="27"/>
  <c r="N259" i="27"/>
  <c r="O259" i="27"/>
  <c r="P259" i="27"/>
  <c r="Q259" i="27"/>
  <c r="R259" i="27"/>
  <c r="S259" i="27"/>
  <c r="T259" i="27"/>
  <c r="U259" i="27"/>
  <c r="V259" i="27"/>
  <c r="W259" i="27"/>
  <c r="Y259" i="27"/>
  <c r="X259"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77" i="27"/>
  <c r="X55" i="27"/>
  <c r="X74" i="27"/>
  <c r="X62" i="27"/>
  <c r="X72" i="27"/>
  <c r="X76" i="27"/>
  <c r="X59" i="27"/>
  <c r="X63" i="27"/>
  <c r="X70" i="27"/>
  <c r="X51" i="27"/>
  <c r="X68" i="27"/>
  <c r="X60" i="27"/>
  <c r="X66" i="27"/>
  <c r="X69" i="27"/>
  <c r="X67" i="27"/>
  <c r="X64" i="27"/>
  <c r="X61" i="27"/>
  <c r="X79" i="27"/>
  <c r="X65" i="27"/>
  <c r="X71" i="27"/>
  <c r="X215" i="27"/>
  <c r="X58" i="27"/>
  <c r="X56" i="27"/>
  <c r="X78" i="27"/>
  <c r="X83" i="27"/>
  <c r="X73" i="27"/>
  <c r="X75"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20" i="27"/>
  <c r="X45" i="27"/>
  <c r="X33" i="27"/>
  <c r="X52" i="27"/>
  <c r="X112" i="27"/>
  <c r="X32" i="27"/>
  <c r="X46" i="27"/>
  <c r="X34" i="27"/>
  <c r="X31"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209" i="27"/>
  <c r="X211" i="27"/>
  <c r="X114" i="27"/>
  <c r="X210" i="27"/>
  <c r="X113" i="27"/>
  <c r="I316" i="27" l="1"/>
  <c r="J316" i="27"/>
  <c r="K316" i="27"/>
  <c r="L316" i="27"/>
  <c r="M316" i="27"/>
  <c r="N316" i="27"/>
  <c r="O316" i="27"/>
  <c r="P316" i="27"/>
  <c r="Q316" i="27"/>
  <c r="R316" i="27"/>
  <c r="S316" i="27"/>
  <c r="T316" i="27"/>
  <c r="U316" i="27"/>
  <c r="V316" i="27"/>
  <c r="W316" i="27"/>
  <c r="Y316" i="27"/>
  <c r="X316"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30" i="27"/>
  <c r="X221" i="27"/>
  <c r="I195" i="27" l="1"/>
  <c r="J195" i="27"/>
  <c r="K195" i="27"/>
  <c r="L195" i="27"/>
  <c r="M195" i="27"/>
  <c r="N195" i="27"/>
  <c r="O195" i="27"/>
  <c r="P195" i="27"/>
  <c r="Q195" i="27"/>
  <c r="R195" i="27"/>
  <c r="S195" i="27"/>
  <c r="T195" i="27"/>
  <c r="U195" i="27"/>
  <c r="V195" i="27"/>
  <c r="W195" i="27"/>
  <c r="Y195" i="27"/>
  <c r="I296" i="27"/>
  <c r="J296" i="27"/>
  <c r="K296" i="27"/>
  <c r="L296" i="27"/>
  <c r="M296" i="27"/>
  <c r="N296" i="27"/>
  <c r="O296" i="27"/>
  <c r="P296" i="27"/>
  <c r="Q296" i="27"/>
  <c r="R296" i="27"/>
  <c r="S296" i="27"/>
  <c r="T296" i="27"/>
  <c r="U296" i="27"/>
  <c r="V296" i="27"/>
  <c r="W296" i="27"/>
  <c r="Y296" i="27"/>
  <c r="Y300" i="27"/>
  <c r="W300" i="27"/>
  <c r="V300" i="27"/>
  <c r="U300" i="27"/>
  <c r="T300" i="27"/>
  <c r="S300" i="27"/>
  <c r="R300" i="27"/>
  <c r="Q300" i="27"/>
  <c r="P300" i="27"/>
  <c r="O300" i="27"/>
  <c r="N300" i="27"/>
  <c r="M300" i="27"/>
  <c r="L300" i="27"/>
  <c r="K300" i="27"/>
  <c r="J300" i="27"/>
  <c r="I300" i="27"/>
  <c r="Y299" i="27"/>
  <c r="W299" i="27"/>
  <c r="V299" i="27"/>
  <c r="U299" i="27"/>
  <c r="T299" i="27"/>
  <c r="S299" i="27"/>
  <c r="R299" i="27"/>
  <c r="Q299" i="27"/>
  <c r="P299" i="27"/>
  <c r="O299" i="27"/>
  <c r="N299" i="27"/>
  <c r="M299" i="27"/>
  <c r="L299" i="27"/>
  <c r="K299" i="27"/>
  <c r="J299" i="27"/>
  <c r="I299" i="27"/>
  <c r="I289" i="27"/>
  <c r="J289" i="27"/>
  <c r="K289" i="27"/>
  <c r="L289" i="27"/>
  <c r="M289" i="27"/>
  <c r="N289" i="27"/>
  <c r="O289" i="27"/>
  <c r="P289" i="27"/>
  <c r="Q289" i="27"/>
  <c r="R289" i="27"/>
  <c r="S289" i="27"/>
  <c r="T289" i="27"/>
  <c r="U289" i="27"/>
  <c r="V289" i="27"/>
  <c r="W289" i="27"/>
  <c r="Y289" i="27"/>
  <c r="I282" i="27"/>
  <c r="J282" i="27"/>
  <c r="K282" i="27"/>
  <c r="L282" i="27"/>
  <c r="M282" i="27"/>
  <c r="N282" i="27"/>
  <c r="O282" i="27"/>
  <c r="P282" i="27"/>
  <c r="Q282" i="27"/>
  <c r="R282" i="27"/>
  <c r="S282" i="27"/>
  <c r="T282" i="27"/>
  <c r="U282" i="27"/>
  <c r="V282" i="27"/>
  <c r="W282" i="27"/>
  <c r="Y282" i="27"/>
  <c r="I274" i="27"/>
  <c r="J274" i="27"/>
  <c r="K274" i="27"/>
  <c r="L274" i="27"/>
  <c r="M274" i="27"/>
  <c r="N274" i="27"/>
  <c r="O274" i="27"/>
  <c r="P274" i="27"/>
  <c r="Q274" i="27"/>
  <c r="R274" i="27"/>
  <c r="S274" i="27"/>
  <c r="T274" i="27"/>
  <c r="U274" i="27"/>
  <c r="V274" i="27"/>
  <c r="W274" i="27"/>
  <c r="Y274"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300" i="27"/>
  <c r="X6" i="27"/>
  <c r="X195" i="27"/>
  <c r="X208" i="27"/>
  <c r="X115" i="27"/>
  <c r="X98" i="27"/>
  <c r="X289" i="27"/>
  <c r="X99" i="27"/>
  <c r="X38" i="27"/>
  <c r="X296" i="27"/>
  <c r="X282" i="27"/>
  <c r="X274" i="27"/>
  <c r="X299"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60" i="27"/>
  <c r="Y261" i="27"/>
  <c r="Y262" i="27"/>
  <c r="Y263" i="27"/>
  <c r="Y294" i="27"/>
  <c r="Y295" i="27"/>
  <c r="Y297" i="27"/>
  <c r="Y298" i="27"/>
  <c r="Y264" i="27"/>
  <c r="Y265" i="27"/>
  <c r="Y266" i="27"/>
  <c r="Y267" i="27"/>
  <c r="Y268" i="27"/>
  <c r="Y269" i="27"/>
  <c r="Y270" i="27"/>
  <c r="Y271" i="27"/>
  <c r="Y272" i="27"/>
  <c r="Y273" i="27"/>
  <c r="Y275" i="27"/>
  <c r="Y276" i="27"/>
  <c r="Y277" i="27"/>
  <c r="Y278" i="27"/>
  <c r="Y279" i="27"/>
  <c r="Y280" i="27"/>
  <c r="Y281" i="27"/>
  <c r="Y283" i="27"/>
  <c r="Y284" i="27"/>
  <c r="Y285" i="27"/>
  <c r="Y286" i="27"/>
  <c r="Y287" i="27"/>
  <c r="Y288" i="27"/>
  <c r="Y290" i="27"/>
  <c r="Y291" i="27"/>
  <c r="Y292" i="27"/>
  <c r="Y293" i="27"/>
  <c r="Y301" i="27"/>
  <c r="Y302" i="27"/>
  <c r="Y303" i="27"/>
  <c r="Y304" i="27"/>
  <c r="Y305" i="27"/>
  <c r="Y306" i="27"/>
  <c r="Y307" i="27"/>
  <c r="Y308" i="27"/>
  <c r="Y309" i="27"/>
  <c r="Y310" i="27"/>
  <c r="Y311" i="27"/>
  <c r="Y312" i="27"/>
  <c r="Y313" i="27"/>
  <c r="Y314" i="27"/>
  <c r="Y315"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34" i="27"/>
  <c r="J234" i="27"/>
  <c r="K234" i="27"/>
  <c r="L234" i="27"/>
  <c r="M234" i="27"/>
  <c r="N234" i="27"/>
  <c r="O234" i="27"/>
  <c r="P234" i="27"/>
  <c r="Q234" i="27"/>
  <c r="R234" i="27"/>
  <c r="S234" i="27"/>
  <c r="T234" i="27"/>
  <c r="U234" i="27"/>
  <c r="V234" i="27"/>
  <c r="W234" i="27"/>
  <c r="V235" i="27"/>
  <c r="I235" i="27"/>
  <c r="J235" i="27"/>
  <c r="K235" i="27"/>
  <c r="L235" i="27"/>
  <c r="M235" i="27"/>
  <c r="N235" i="27"/>
  <c r="O235" i="27"/>
  <c r="P235" i="27"/>
  <c r="Q235" i="27"/>
  <c r="R235" i="27"/>
  <c r="S235" i="27"/>
  <c r="T235" i="27"/>
  <c r="U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V279" i="27"/>
  <c r="I279" i="27"/>
  <c r="J279" i="27"/>
  <c r="K279" i="27"/>
  <c r="L279" i="27"/>
  <c r="M279" i="27"/>
  <c r="N279" i="27"/>
  <c r="O279" i="27"/>
  <c r="P279" i="27"/>
  <c r="Q279" i="27"/>
  <c r="R279" i="27"/>
  <c r="S279" i="27"/>
  <c r="T279" i="27"/>
  <c r="U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V333" i="27"/>
  <c r="I333" i="27"/>
  <c r="J333" i="27"/>
  <c r="K333" i="27"/>
  <c r="L333" i="27"/>
  <c r="M333" i="27"/>
  <c r="N333" i="27"/>
  <c r="O333" i="27"/>
  <c r="P333" i="27"/>
  <c r="Q333" i="27"/>
  <c r="R333" i="27"/>
  <c r="S333" i="27"/>
  <c r="T333" i="27"/>
  <c r="U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Y346"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4" i="27"/>
  <c r="X270" i="27"/>
  <c r="X206" i="27"/>
  <c r="X89" i="27"/>
  <c r="X35" i="27"/>
  <c r="X153" i="27"/>
  <c r="X190" i="27"/>
  <c r="X273" i="27"/>
  <c r="X19" i="27"/>
  <c r="X80" i="27"/>
  <c r="X315" i="27"/>
  <c r="X335" i="27"/>
  <c r="X145" i="27"/>
  <c r="X193" i="27"/>
  <c r="X342" i="27"/>
  <c r="X110" i="27"/>
  <c r="X252" i="27"/>
  <c r="X253" i="27"/>
  <c r="X285" i="27"/>
  <c r="X2" i="27"/>
  <c r="X26" i="27"/>
  <c r="X328" i="27"/>
  <c r="X254" i="27"/>
  <c r="X147" i="27"/>
  <c r="X122" i="27"/>
  <c r="X40" i="27"/>
  <c r="X257" i="27"/>
  <c r="X276" i="27"/>
  <c r="X297" i="27"/>
  <c r="X322" i="27"/>
  <c r="X148" i="27"/>
  <c r="X48" i="27"/>
  <c r="X154" i="27"/>
  <c r="X42" i="27"/>
  <c r="X203" i="27"/>
  <c r="X248" i="27"/>
  <c r="X25" i="27"/>
  <c r="X82" i="27"/>
  <c r="X317" i="27"/>
  <c r="X188" i="27"/>
  <c r="X123" i="27"/>
  <c r="X319" i="27"/>
  <c r="X294" i="27"/>
  <c r="X118" i="27"/>
  <c r="X212" i="27"/>
  <c r="X172" i="27"/>
  <c r="X175" i="27"/>
  <c r="X226" i="27"/>
  <c r="X134" i="27"/>
  <c r="X155" i="27"/>
  <c r="X109" i="27"/>
  <c r="X157" i="27"/>
  <c r="X131" i="27"/>
  <c r="X129" i="27"/>
  <c r="X237" i="27"/>
  <c r="X111" i="27"/>
  <c r="X326" i="27"/>
  <c r="X238" i="27"/>
  <c r="X323" i="27"/>
  <c r="X104" i="27"/>
  <c r="X18" i="27"/>
  <c r="X124" i="27"/>
  <c r="X205" i="27"/>
  <c r="X28" i="27"/>
  <c r="X4" i="27"/>
  <c r="X258" i="27"/>
  <c r="X54" i="27"/>
  <c r="X119" i="27"/>
  <c r="X17" i="27"/>
  <c r="X197" i="27"/>
  <c r="X266" i="27"/>
  <c r="X41" i="27"/>
  <c r="X239" i="27"/>
  <c r="X236" i="27"/>
  <c r="X225" i="27"/>
  <c r="X249" i="27"/>
  <c r="X107" i="27"/>
  <c r="X309" i="27"/>
  <c r="X251" i="27"/>
  <c r="X286" i="27"/>
  <c r="X93" i="27"/>
  <c r="X15" i="27"/>
  <c r="X240" i="27"/>
  <c r="X338" i="27"/>
  <c r="X320" i="27"/>
  <c r="X96" i="27"/>
  <c r="X8" i="27"/>
  <c r="X135" i="27"/>
  <c r="X222" i="27"/>
  <c r="X200" i="27"/>
  <c r="X244" i="27"/>
  <c r="X152" i="27"/>
  <c r="X277" i="27"/>
  <c r="X263" i="27"/>
  <c r="X160" i="27"/>
  <c r="X217" i="27"/>
  <c r="X43" i="27"/>
  <c r="X332" i="27"/>
  <c r="X108" i="27"/>
  <c r="X295" i="27"/>
  <c r="X334" i="27"/>
  <c r="X318" i="27"/>
  <c r="X156" i="27"/>
  <c r="X201" i="27"/>
  <c r="X308" i="27"/>
  <c r="X345" i="27"/>
  <c r="X103" i="27"/>
  <c r="X339" i="27"/>
  <c r="X125" i="27"/>
  <c r="X245" i="27"/>
  <c r="X256" i="27"/>
  <c r="X340" i="27"/>
  <c r="X324" i="27"/>
  <c r="X106" i="27"/>
  <c r="X265" i="27"/>
  <c r="X207" i="27"/>
  <c r="X246" i="27"/>
  <c r="X313" i="27"/>
  <c r="X279" i="27"/>
  <c r="X57" i="27"/>
  <c r="X23" i="27"/>
  <c r="X202" i="27"/>
  <c r="X47" i="27"/>
  <c r="X146" i="27"/>
  <c r="X130" i="27"/>
  <c r="X105" i="27"/>
  <c r="X39" i="27"/>
  <c r="X81" i="27"/>
  <c r="X84" i="27"/>
  <c r="X37" i="27"/>
  <c r="X262" i="27"/>
  <c r="X101" i="27"/>
  <c r="X314" i="27"/>
  <c r="X278" i="27"/>
  <c r="X241" i="27"/>
  <c r="X307" i="27"/>
  <c r="X16" i="27"/>
  <c r="X311" i="27"/>
  <c r="X92" i="27"/>
  <c r="X304" i="27"/>
  <c r="X116" i="27"/>
  <c r="X133" i="27"/>
  <c r="X97" i="27"/>
  <c r="X305" i="27"/>
  <c r="X281" i="27"/>
  <c r="X21" i="27"/>
  <c r="X95" i="27"/>
  <c r="X204" i="27"/>
  <c r="X36" i="27"/>
  <c r="X267" i="27"/>
  <c r="X189" i="27"/>
  <c r="X284" i="27"/>
  <c r="X268" i="27"/>
  <c r="X333" i="27"/>
  <c r="X132" i="27"/>
  <c r="X143" i="27"/>
  <c r="X159" i="27"/>
  <c r="X187" i="27"/>
  <c r="X144" i="27"/>
  <c r="X91" i="27"/>
  <c r="X242" i="27"/>
  <c r="X27" i="27"/>
  <c r="X275" i="27"/>
  <c r="X337" i="27"/>
  <c r="X214" i="27"/>
  <c r="X151" i="27"/>
  <c r="X302" i="27"/>
  <c r="X321" i="27"/>
  <c r="X137" i="27"/>
  <c r="X287" i="27"/>
  <c r="X87" i="27"/>
  <c r="X243" i="27"/>
  <c r="X24" i="27"/>
  <c r="X149" i="27"/>
  <c r="X3" i="27"/>
  <c r="X288" i="27"/>
  <c r="X44" i="27"/>
  <c r="X198" i="27"/>
  <c r="X142" i="27"/>
  <c r="X50" i="27"/>
  <c r="X11" i="27"/>
  <c r="X250" i="27"/>
  <c r="X280" i="27"/>
  <c r="X218" i="27"/>
  <c r="X120" i="27"/>
  <c r="X290" i="27"/>
  <c r="X264" i="27"/>
  <c r="X161" i="27"/>
  <c r="X139" i="27"/>
  <c r="X271" i="27"/>
  <c r="X269" i="27"/>
  <c r="X127" i="27"/>
  <c r="X22" i="27"/>
  <c r="X117" i="27"/>
  <c r="X272" i="27"/>
  <c r="X196" i="27"/>
  <c r="X312" i="27"/>
  <c r="X327" i="27"/>
  <c r="X141" i="27"/>
  <c r="X102" i="27"/>
  <c r="X213" i="27"/>
  <c r="X344" i="27"/>
  <c r="X220" i="27"/>
  <c r="X94" i="27"/>
  <c r="X85" i="27"/>
  <c r="X158" i="27"/>
  <c r="X13" i="27"/>
  <c r="X121" i="27"/>
  <c r="X90" i="27"/>
  <c r="X199" i="27"/>
  <c r="X12" i="27"/>
  <c r="X247" i="27"/>
  <c r="X298" i="27"/>
  <c r="X255" i="27"/>
  <c r="X128" i="27"/>
  <c r="X140" i="27"/>
  <c r="X261" i="27"/>
  <c r="X29" i="27"/>
  <c r="X86" i="27"/>
  <c r="X343" i="27"/>
  <c r="X283" i="27"/>
  <c r="X341" i="27"/>
  <c r="X126" i="27"/>
  <c r="X53" i="27"/>
  <c r="X292" i="27"/>
  <c r="X5" i="27"/>
  <c r="X216" i="27"/>
  <c r="X14" i="27"/>
  <c r="X260" i="27"/>
  <c r="X176" i="27"/>
  <c r="X100" i="27"/>
  <c r="X336" i="27"/>
  <c r="X329" i="27"/>
  <c r="X191" i="27"/>
  <c r="X88" i="27"/>
  <c r="X301" i="27"/>
  <c r="X194" i="27"/>
  <c r="X293" i="27"/>
  <c r="X234" i="27"/>
  <c r="X325" i="27"/>
  <c r="X219" i="27"/>
  <c r="X330" i="27"/>
  <c r="X291" i="27"/>
  <c r="X9" i="27"/>
  <c r="X49" i="27"/>
  <c r="X331" i="27"/>
  <c r="X136" i="27"/>
  <c r="X138" i="27"/>
  <c r="X310" i="27"/>
  <c r="X173" i="27"/>
  <c r="X192" i="27"/>
  <c r="X303" i="27"/>
  <c r="X150" i="27"/>
  <c r="X306" i="27"/>
  <c r="X235" i="27"/>
  <c r="X223" i="27"/>
</calcChain>
</file>

<file path=xl/sharedStrings.xml><?xml version="1.0" encoding="utf-8"?>
<sst xmlns="http://schemas.openxmlformats.org/spreadsheetml/2006/main" count="2010" uniqueCount="598">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</sst>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49" fillId="0" borderId="0"/>
  </cellStyleXfs>
  <cellXfs count="159">
    <xf numFmtId="0" fontId="0" fillId="0" borderId="0" xfId="0"/>
    <xf numFmtId="0" fontId="53" fillId="0" borderId="0" xfId="719" applyFont="1" applyAlignment="1">
      <alignment vertical="top"/>
    </xf>
    <xf numFmtId="0" fontId="53" fillId="0" borderId="0" xfId="719" applyFont="1" applyAlignment="1">
      <alignment vertical="top" wrapText="1"/>
    </xf>
    <xf numFmtId="0" fontId="49" fillId="0" borderId="0" xfId="719"/>
    <xf numFmtId="0" fontId="49" fillId="0" borderId="0" xfId="719" applyNumberFormat="1" applyAlignment="1">
      <alignment vertical="top"/>
    </xf>
    <xf numFmtId="0" fontId="49" fillId="0" borderId="0" xfId="719" applyAlignment="1">
      <alignment vertical="top"/>
    </xf>
    <xf numFmtId="0" fontId="49" fillId="0" borderId="0" xfId="719" applyAlignment="1">
      <alignment vertical="top" wrapText="1"/>
    </xf>
    <xf numFmtId="0" fontId="48" fillId="0" borderId="0" xfId="719" applyFont="1"/>
    <xf numFmtId="0" fontId="0" fillId="0" borderId="0" xfId="0" applyAlignment="1">
      <alignment vertical="top"/>
    </xf>
    <xf numFmtId="0" fontId="53" fillId="0" borderId="0" xfId="0" applyFont="1" applyAlignment="1">
      <alignment vertical="top"/>
    </xf>
    <xf numFmtId="0" fontId="47" fillId="0" borderId="0" xfId="719" applyFont="1"/>
    <xf numFmtId="0" fontId="47" fillId="0" borderId="0" xfId="719" applyFont="1" applyAlignment="1">
      <alignment vertical="top"/>
    </xf>
    <xf numFmtId="0" fontId="49" fillId="0" borderId="0" xfId="719" applyFill="1" applyAlignment="1">
      <alignment vertical="top" wrapText="1"/>
    </xf>
    <xf numFmtId="0" fontId="49" fillId="0" borderId="0" xfId="719" applyNumberFormat="1" applyFill="1"/>
    <xf numFmtId="0" fontId="0" fillId="0" borderId="0" xfId="0" applyNumberFormat="1" applyAlignment="1">
      <alignment vertical="top"/>
    </xf>
    <xf numFmtId="0" fontId="46" fillId="0" borderId="0" xfId="719" applyFont="1"/>
    <xf numFmtId="0" fontId="46" fillId="0" borderId="0" xfId="719" applyFont="1" applyFill="1"/>
    <xf numFmtId="0" fontId="49" fillId="0" borderId="0" xfId="719" applyFill="1"/>
    <xf numFmtId="0" fontId="49" fillId="0" borderId="0" xfId="719" applyNumberFormat="1" applyFill="1" applyAlignment="1">
      <alignment vertical="top"/>
    </xf>
    <xf numFmtId="0" fontId="44" fillId="0" borderId="0" xfId="719" applyFont="1" applyFill="1" applyAlignment="1">
      <alignment vertical="top"/>
    </xf>
    <xf numFmtId="0" fontId="43" fillId="0" borderId="0" xfId="719" applyFont="1"/>
    <xf numFmtId="0" fontId="43" fillId="0" borderId="0" xfId="719" applyFont="1" applyFill="1" applyAlignment="1">
      <alignment vertical="top"/>
    </xf>
    <xf numFmtId="0" fontId="43" fillId="0" borderId="0" xfId="719" applyFont="1" applyFill="1" applyAlignment="1">
      <alignment vertical="top" wrapText="1"/>
    </xf>
    <xf numFmtId="0" fontId="42" fillId="0" borderId="0" xfId="719" applyFont="1" applyFill="1" applyAlignment="1">
      <alignment vertical="top"/>
    </xf>
    <xf numFmtId="0" fontId="42" fillId="0" borderId="0" xfId="719" applyFont="1" applyFill="1" applyAlignment="1">
      <alignment vertical="top" wrapText="1"/>
    </xf>
    <xf numFmtId="0" fontId="42" fillId="0" borderId="0" xfId="719" applyNumberFormat="1" applyFont="1" applyFill="1" applyAlignment="1">
      <alignment vertical="top"/>
    </xf>
    <xf numFmtId="0" fontId="41" fillId="0" borderId="0" xfId="719" applyFont="1" applyFill="1" applyAlignment="1">
      <alignment vertical="top"/>
    </xf>
    <xf numFmtId="0" fontId="41" fillId="0" borderId="0" xfId="719" applyFont="1" applyFill="1" applyAlignment="1">
      <alignment vertical="top" wrapText="1"/>
    </xf>
    <xf numFmtId="0" fontId="40" fillId="0" borderId="0" xfId="719" applyFont="1" applyFill="1" applyAlignment="1">
      <alignment vertical="top"/>
    </xf>
    <xf numFmtId="0" fontId="40" fillId="0" borderId="0" xfId="719" applyFont="1" applyAlignment="1">
      <alignment vertical="top"/>
    </xf>
    <xf numFmtId="0" fontId="40" fillId="0" borderId="0" xfId="719" applyFont="1" applyFill="1"/>
    <xf numFmtId="0" fontId="39" fillId="0" borderId="0" xfId="719" applyFont="1" applyFill="1" applyAlignment="1">
      <alignment vertical="top"/>
    </xf>
    <xf numFmtId="0" fontId="36" fillId="0" borderId="0" xfId="719" applyFont="1" applyAlignment="1">
      <alignment vertical="top"/>
    </xf>
    <xf numFmtId="0" fontId="36" fillId="0" borderId="0" xfId="719" applyFont="1" applyFill="1"/>
    <xf numFmtId="0" fontId="36" fillId="0" borderId="0" xfId="719" applyNumberFormat="1" applyFont="1" applyAlignment="1">
      <alignment vertical="top"/>
    </xf>
    <xf numFmtId="0" fontId="34" fillId="0" borderId="0" xfId="719" applyFont="1" applyAlignment="1">
      <alignment vertical="top"/>
    </xf>
    <xf numFmtId="0" fontId="34" fillId="0" borderId="0" xfId="719" applyNumberFormat="1" applyFont="1" applyAlignment="1">
      <alignment vertical="top"/>
    </xf>
    <xf numFmtId="0" fontId="34" fillId="0" borderId="0" xfId="719" applyFont="1" applyFill="1"/>
    <xf numFmtId="0" fontId="33" fillId="0" borderId="0" xfId="719" applyFont="1" applyFill="1" applyAlignment="1">
      <alignment vertical="top"/>
    </xf>
    <xf numFmtId="0" fontId="33" fillId="0" borderId="0" xfId="719" applyFont="1" applyFill="1" applyAlignment="1">
      <alignment vertical="top" wrapText="1"/>
    </xf>
    <xf numFmtId="0" fontId="32" fillId="0" borderId="0" xfId="719" applyFont="1" applyFill="1" applyAlignment="1">
      <alignment vertical="top"/>
    </xf>
    <xf numFmtId="0" fontId="30" fillId="0" borderId="0" xfId="719" applyNumberFormat="1" applyFont="1" applyAlignment="1">
      <alignment vertical="top"/>
    </xf>
    <xf numFmtId="0" fontId="28" fillId="0" borderId="0" xfId="719" applyFont="1" applyAlignment="1">
      <alignment vertical="top"/>
    </xf>
    <xf numFmtId="0" fontId="28" fillId="0" borderId="0" xfId="719" applyFont="1" applyFill="1"/>
    <xf numFmtId="0" fontId="28" fillId="0" borderId="0" xfId="719" applyNumberFormat="1" applyFont="1" applyAlignment="1">
      <alignment vertical="top"/>
    </xf>
    <xf numFmtId="0" fontId="28" fillId="0" borderId="0" xfId="719" applyFont="1"/>
    <xf numFmtId="49" fontId="53" fillId="0" borderId="0" xfId="719" applyNumberFormat="1" applyFont="1" applyAlignment="1">
      <alignment vertical="top" wrapText="1"/>
    </xf>
    <xf numFmtId="49" fontId="49" fillId="0" borderId="0" xfId="719" applyNumberFormat="1" applyFill="1" applyAlignment="1">
      <alignment vertical="top" wrapText="1"/>
    </xf>
    <xf numFmtId="49" fontId="32" fillId="0" borderId="0" xfId="719" applyNumberFormat="1" applyFont="1" applyFill="1" applyAlignment="1">
      <alignment vertical="top" wrapText="1"/>
    </xf>
    <xf numFmtId="49" fontId="31" fillId="0" borderId="0" xfId="719" applyNumberFormat="1" applyFont="1" applyFill="1" applyAlignment="1">
      <alignment vertical="top" wrapText="1"/>
    </xf>
    <xf numFmtId="49" fontId="29" fillId="0" borderId="0" xfId="719" applyNumberFormat="1" applyFont="1" applyFill="1" applyAlignment="1">
      <alignment vertical="top" wrapText="1"/>
    </xf>
    <xf numFmtId="49" fontId="44" fillId="0" borderId="0" xfId="719" applyNumberFormat="1" applyFont="1" applyFill="1" applyAlignment="1">
      <alignment vertical="top" wrapText="1"/>
    </xf>
    <xf numFmtId="49" fontId="33" fillId="0" borderId="0" xfId="719" applyNumberFormat="1" applyFont="1" applyAlignment="1">
      <alignment vertical="top" wrapText="1"/>
    </xf>
    <xf numFmtId="49" fontId="33" fillId="0" borderId="0" xfId="719" applyNumberFormat="1" applyFont="1" applyFill="1" applyAlignment="1">
      <alignment vertical="top" wrapText="1"/>
    </xf>
    <xf numFmtId="49" fontId="49" fillId="0" borderId="0" xfId="719" applyNumberFormat="1" applyAlignment="1">
      <alignment vertical="top" wrapText="1"/>
    </xf>
    <xf numFmtId="0" fontId="27" fillId="0" borderId="0" xfId="719" applyFont="1"/>
    <xf numFmtId="0" fontId="27" fillId="0" borderId="0" xfId="719" applyFont="1" applyFill="1"/>
    <xf numFmtId="0" fontId="26" fillId="0" borderId="0" xfId="719" applyFont="1" applyAlignment="1">
      <alignment vertical="top"/>
    </xf>
    <xf numFmtId="0" fontId="26" fillId="0" borderId="0" xfId="719" applyFont="1" applyFill="1"/>
    <xf numFmtId="0" fontId="26" fillId="0" borderId="0" xfId="719" applyNumberFormat="1" applyFont="1" applyAlignment="1">
      <alignment vertical="top"/>
    </xf>
    <xf numFmtId="49" fontId="25" fillId="0" borderId="0" xfId="719" applyNumberFormat="1" applyFont="1" applyFill="1" applyAlignment="1">
      <alignment vertical="top" wrapText="1"/>
    </xf>
    <xf numFmtId="0" fontId="25" fillId="0" borderId="0" xfId="719" applyFont="1" applyFill="1" applyAlignment="1">
      <alignment vertical="top"/>
    </xf>
    <xf numFmtId="0" fontId="25" fillId="0" borderId="0" xfId="719" applyFont="1" applyFill="1" applyAlignment="1">
      <alignment vertical="top" wrapText="1"/>
    </xf>
    <xf numFmtId="0" fontId="25" fillId="0" borderId="0" xfId="719" applyNumberFormat="1" applyFont="1" applyAlignment="1">
      <alignment vertical="top"/>
    </xf>
    <xf numFmtId="0" fontId="24" fillId="0" borderId="0" xfId="719" applyFont="1" applyFill="1" applyAlignment="1">
      <alignment vertical="top"/>
    </xf>
    <xf numFmtId="49" fontId="24" fillId="0" borderId="0" xfId="719" applyNumberFormat="1" applyFont="1" applyFill="1" applyAlignment="1">
      <alignment vertical="top" wrapText="1"/>
    </xf>
    <xf numFmtId="0" fontId="22" fillId="0" borderId="0" xfId="719" applyFont="1" applyFill="1" applyAlignment="1">
      <alignment vertical="top"/>
    </xf>
    <xf numFmtId="0" fontId="21" fillId="0" borderId="0" xfId="719" applyFont="1" applyFill="1" applyAlignment="1">
      <alignment vertical="top"/>
    </xf>
    <xf numFmtId="0" fontId="21" fillId="0" borderId="0" xfId="719" applyFont="1" applyFill="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0" fontId="19" fillId="0" borderId="0" xfId="719" applyFont="1" applyFill="1" applyAlignment="1">
      <alignment vertical="top"/>
    </xf>
    <xf numFmtId="0" fontId="49" fillId="0" borderId="0" xfId="719" applyFill="1" applyAlignment="1">
      <alignment vertical="top"/>
    </xf>
    <xf numFmtId="0" fontId="18" fillId="0" borderId="0" xfId="719" applyFont="1" applyFill="1" applyAlignment="1">
      <alignment vertical="top"/>
    </xf>
    <xf numFmtId="49" fontId="18" fillId="0" borderId="0" xfId="719" applyNumberFormat="1" applyFont="1" applyFill="1" applyAlignment="1">
      <alignment vertical="top" wrapText="1"/>
    </xf>
    <xf numFmtId="0" fontId="52" fillId="0" borderId="0" xfId="0" applyFont="1" applyAlignment="1">
      <alignment vertical="top"/>
    </xf>
    <xf numFmtId="49" fontId="25" fillId="0" borderId="0" xfId="719" applyNumberFormat="1" applyFont="1" applyAlignment="1">
      <alignment vertical="top" wrapText="1"/>
    </xf>
    <xf numFmtId="0" fontId="42" fillId="0" borderId="0" xfId="719" applyFont="1" applyAlignment="1">
      <alignment vertical="top"/>
    </xf>
    <xf numFmtId="0" fontId="32" fillId="0" borderId="0" xfId="719" applyFont="1" applyAlignment="1">
      <alignment vertical="top"/>
    </xf>
    <xf numFmtId="49" fontId="23" fillId="0" borderId="0" xfId="719" applyNumberFormat="1" applyFont="1" applyAlignment="1">
      <alignment vertical="top" wrapText="1"/>
    </xf>
    <xf numFmtId="0" fontId="25" fillId="0" borderId="0" xfId="719" applyFont="1" applyAlignment="1">
      <alignment vertical="top"/>
    </xf>
    <xf numFmtId="0" fontId="44" fillId="0" borderId="0" xfId="719" applyFont="1" applyAlignment="1">
      <alignment vertical="top"/>
    </xf>
    <xf numFmtId="0" fontId="43" fillId="0" borderId="0" xfId="719" applyFont="1" applyAlignment="1">
      <alignment vertical="top"/>
    </xf>
    <xf numFmtId="0" fontId="18" fillId="0" borderId="0" xfId="719" applyNumberFormat="1" applyFont="1" applyFill="1" applyAlignment="1">
      <alignment vertical="top"/>
    </xf>
    <xf numFmtId="0" fontId="18" fillId="0" borderId="0" xfId="719" applyFont="1" applyFill="1" applyAlignment="1">
      <alignment vertical="top" wrapText="1"/>
    </xf>
    <xf numFmtId="0" fontId="17" fillId="0" borderId="0" xfId="719" applyFont="1" applyFill="1" applyAlignment="1">
      <alignment vertical="top"/>
    </xf>
    <xf numFmtId="0" fontId="16" fillId="0" borderId="0" xfId="719" applyNumberFormat="1" applyFont="1" applyAlignment="1">
      <alignment vertical="top"/>
    </xf>
    <xf numFmtId="0" fontId="16" fillId="0" borderId="0" xfId="719" applyFont="1"/>
    <xf numFmtId="0" fontId="18" fillId="0" borderId="0" xfId="719" applyFont="1" applyAlignment="1">
      <alignment vertical="top"/>
    </xf>
    <xf numFmtId="49" fontId="18" fillId="0" borderId="0" xfId="719" applyNumberFormat="1" applyFont="1" applyAlignment="1">
      <alignment vertical="top" wrapText="1"/>
    </xf>
    <xf numFmtId="49" fontId="32" fillId="0" borderId="0" xfId="719" applyNumberFormat="1" applyFont="1" applyAlignment="1">
      <alignment horizontal="fill" vertical="top" wrapText="1"/>
    </xf>
    <xf numFmtId="0" fontId="41" fillId="0" borderId="0" xfId="719" applyFont="1" applyAlignment="1">
      <alignment vertical="top"/>
    </xf>
    <xf numFmtId="0" fontId="24" fillId="0" borderId="0" xfId="719" applyFont="1" applyAlignment="1">
      <alignment vertical="top"/>
    </xf>
    <xf numFmtId="49" fontId="32" fillId="0" borderId="0" xfId="719" applyNumberFormat="1" applyFont="1" applyAlignment="1">
      <alignment vertical="top" wrapText="1"/>
    </xf>
    <xf numFmtId="0" fontId="35" fillId="0" borderId="0" xfId="719" applyFont="1" applyAlignment="1">
      <alignment vertical="top"/>
    </xf>
    <xf numFmtId="0" fontId="31" fillId="0" borderId="0" xfId="719" applyFont="1" applyAlignment="1">
      <alignment vertical="top"/>
    </xf>
    <xf numFmtId="49" fontId="31" fillId="0" borderId="0" xfId="719" applyNumberFormat="1" applyFont="1" applyAlignment="1">
      <alignment vertical="top" wrapText="1"/>
    </xf>
    <xf numFmtId="0" fontId="20" fillId="0" borderId="0" xfId="719" applyFont="1" applyAlignment="1">
      <alignment vertical="top"/>
    </xf>
    <xf numFmtId="49" fontId="24" fillId="0" borderId="0" xfId="719" applyNumberFormat="1" applyFont="1" applyAlignment="1">
      <alignment vertical="top" wrapText="1"/>
    </xf>
    <xf numFmtId="49" fontId="22" fillId="0" borderId="0" xfId="719" applyNumberFormat="1" applyFont="1" applyAlignment="1">
      <alignment vertical="top" wrapText="1"/>
    </xf>
    <xf numFmtId="49" fontId="28" fillId="0" borderId="0" xfId="719" applyNumberFormat="1" applyFont="1" applyAlignment="1">
      <alignment vertical="top" wrapText="1"/>
    </xf>
    <xf numFmtId="49" fontId="30" fillId="0" borderId="0" xfId="719" applyNumberFormat="1" applyFont="1" applyAlignment="1">
      <alignment vertical="top" wrapText="1"/>
    </xf>
    <xf numFmtId="0" fontId="30" fillId="0" borderId="0" xfId="719" applyFont="1" applyAlignment="1">
      <alignment vertical="top"/>
    </xf>
    <xf numFmtId="49" fontId="42" fillId="0" borderId="0" xfId="719" applyNumberFormat="1" applyFont="1" applyAlignment="1">
      <alignment vertical="top" wrapText="1"/>
    </xf>
    <xf numFmtId="49" fontId="38" fillId="0" borderId="0" xfId="719" applyNumberFormat="1" applyFont="1" applyAlignment="1">
      <alignment vertical="top" wrapText="1"/>
    </xf>
    <xf numFmtId="49" fontId="44" fillId="0" borderId="0" xfId="719" applyNumberFormat="1" applyFont="1" applyAlignment="1">
      <alignment vertical="top" wrapText="1"/>
    </xf>
    <xf numFmtId="0" fontId="37" fillId="0" borderId="0" xfId="719" applyFont="1" applyAlignment="1">
      <alignment vertical="top"/>
    </xf>
    <xf numFmtId="49" fontId="37" fillId="0" borderId="0" xfId="719" applyNumberFormat="1" applyFont="1" applyAlignment="1">
      <alignment horizontal="fill" vertical="top" wrapText="1"/>
    </xf>
    <xf numFmtId="0" fontId="33" fillId="0" borderId="0" xfId="719" applyFont="1" applyAlignment="1">
      <alignment vertical="top"/>
    </xf>
    <xf numFmtId="0" fontId="45" fillId="0" borderId="0" xfId="719" applyFont="1" applyAlignment="1">
      <alignment vertical="top"/>
    </xf>
    <xf numFmtId="49" fontId="45" fillId="0" borderId="0" xfId="719" applyNumberFormat="1" applyFont="1" applyAlignment="1">
      <alignment vertical="top" wrapText="1"/>
    </xf>
    <xf numFmtId="0" fontId="15" fillId="0" borderId="0" xfId="719" applyFont="1" applyFill="1" applyAlignment="1">
      <alignment vertical="top"/>
    </xf>
    <xf numFmtId="49" fontId="15" fillId="0" borderId="0" xfId="719" applyNumberFormat="1" applyFont="1" applyFill="1" applyAlignment="1">
      <alignment vertical="top" wrapText="1"/>
    </xf>
    <xf numFmtId="49" fontId="15" fillId="0" borderId="0" xfId="719" applyNumberFormat="1" applyFont="1" applyAlignment="1">
      <alignment vertical="top" wrapText="1"/>
    </xf>
    <xf numFmtId="0" fontId="15" fillId="0" borderId="0" xfId="719" applyNumberFormat="1" applyFont="1" applyFill="1" applyAlignment="1">
      <alignment vertical="top"/>
    </xf>
    <xf numFmtId="0" fontId="15" fillId="0" borderId="0" xfId="719" applyFont="1" applyFill="1" applyAlignment="1">
      <alignment vertical="top" wrapText="1"/>
    </xf>
    <xf numFmtId="0" fontId="15" fillId="0" borderId="0" xfId="719" applyFont="1" applyAlignment="1">
      <alignment vertical="top"/>
    </xf>
    <xf numFmtId="0" fontId="14" fillId="0" borderId="0" xfId="719" applyFont="1"/>
    <xf numFmtId="0" fontId="49" fillId="0" borderId="0" xfId="719" applyAlignment="1"/>
    <xf numFmtId="0" fontId="14" fillId="0" borderId="0" xfId="719" applyNumberFormat="1" applyFont="1" applyAlignment="1">
      <alignment vertical="top"/>
    </xf>
    <xf numFmtId="0" fontId="14" fillId="0" borderId="0" xfId="719" applyFont="1" applyAlignment="1">
      <alignment vertical="top"/>
    </xf>
    <xf numFmtId="0" fontId="14" fillId="0" borderId="0" xfId="719" applyFont="1" applyAlignment="1"/>
    <xf numFmtId="0" fontId="14" fillId="0" borderId="0" xfId="719" applyFont="1" applyFill="1" applyAlignment="1">
      <alignment vertical="top"/>
    </xf>
    <xf numFmtId="49" fontId="14"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0" fontId="13" fillId="0" borderId="0" xfId="719" applyNumberFormat="1" applyFont="1" applyFill="1" applyAlignment="1">
      <alignment vertical="top"/>
    </xf>
    <xf numFmtId="0" fontId="12" fillId="0" borderId="0" xfId="719" applyFont="1" applyFill="1" applyAlignment="1">
      <alignment vertical="top"/>
    </xf>
    <xf numFmtId="49" fontId="12" fillId="0" borderId="0" xfId="719" applyNumberFormat="1" applyFont="1" applyFill="1" applyAlignment="1">
      <alignment vertical="top" wrapText="1"/>
    </xf>
    <xf numFmtId="49" fontId="11" fillId="0" borderId="0" xfId="719" applyNumberFormat="1" applyFont="1" applyFill="1" applyAlignment="1">
      <alignment vertical="top" wrapText="1"/>
    </xf>
    <xf numFmtId="49" fontId="11" fillId="0" borderId="0" xfId="719" applyNumberFormat="1" applyFont="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49" fontId="9" fillId="0" borderId="0" xfId="719" applyNumberFormat="1" applyFont="1" applyFill="1" applyAlignment="1">
      <alignment vertical="top" wrapText="1"/>
    </xf>
    <xf numFmtId="0" fontId="8" fillId="0" borderId="0" xfId="719" applyFont="1" applyFill="1" applyAlignment="1">
      <alignment vertical="top"/>
    </xf>
    <xf numFmtId="49" fontId="8" fillId="0" borderId="0" xfId="719" applyNumberFormat="1" applyFont="1" applyFill="1" applyAlignment="1">
      <alignment vertical="top" wrapText="1"/>
    </xf>
    <xf numFmtId="49" fontId="8" fillId="0" borderId="0" xfId="719" applyNumberFormat="1" applyFont="1" applyAlignment="1">
      <alignment vertical="top" wrapText="1"/>
    </xf>
    <xf numFmtId="0" fontId="8" fillId="0" borderId="0" xfId="719" applyFont="1" applyAlignment="1">
      <alignment vertical="top"/>
    </xf>
    <xf numFmtId="0" fontId="7" fillId="0" borderId="0" xfId="719" applyFont="1" applyAlignment="1">
      <alignment vertical="top"/>
    </xf>
    <xf numFmtId="49" fontId="7" fillId="0" borderId="0" xfId="719" applyNumberFormat="1" applyFont="1" applyFill="1" applyAlignment="1">
      <alignment vertical="top" wrapText="1"/>
    </xf>
    <xf numFmtId="0" fontId="7" fillId="0" borderId="0" xfId="719" applyFont="1" applyFill="1" applyAlignment="1">
      <alignment vertical="top"/>
    </xf>
    <xf numFmtId="0" fontId="7" fillId="0" borderId="0" xfId="719" applyFont="1" applyFill="1" applyAlignment="1">
      <alignment vertical="top" wrapText="1"/>
    </xf>
    <xf numFmtId="49" fontId="7" fillId="0" borderId="0" xfId="719" applyNumberFormat="1" applyFont="1" applyAlignment="1">
      <alignment vertical="top" wrapText="1"/>
    </xf>
    <xf numFmtId="0" fontId="7" fillId="0" borderId="0" xfId="719" applyFont="1"/>
    <xf numFmtId="0" fontId="7" fillId="0" borderId="0" xfId="719" applyNumberFormat="1" applyFont="1" applyAlignment="1">
      <alignment vertical="top"/>
    </xf>
    <xf numFmtId="0" fontId="6" fillId="0" borderId="0" xfId="719" applyFont="1" applyFill="1"/>
    <xf numFmtId="0" fontId="5" fillId="0" borderId="0" xfId="719" applyFont="1" applyFill="1" applyAlignment="1">
      <alignment vertical="top"/>
    </xf>
    <xf numFmtId="49" fontId="5" fillId="0" borderId="0" xfId="719" applyNumberFormat="1" applyFont="1" applyFill="1" applyAlignment="1">
      <alignment vertical="top" wrapText="1"/>
    </xf>
    <xf numFmtId="0" fontId="5" fillId="0" borderId="0" xfId="0" applyNumberFormat="1" applyFont="1" applyFill="1" applyBorder="1" applyAlignment="1" applyProtection="1">
      <alignment vertical="top"/>
    </xf>
    <xf numFmtId="0" fontId="5" fillId="0" borderId="0" xfId="0" applyNumberFormat="1" applyFont="1" applyFill="1" applyBorder="1" applyAlignment="1" applyProtection="1">
      <alignment vertical="top" wrapText="1"/>
    </xf>
    <xf numFmtId="0" fontId="5" fillId="0" borderId="0" xfId="719" applyFont="1" applyAlignment="1"/>
    <xf numFmtId="0" fontId="5" fillId="0" borderId="0" xfId="719" applyNumberFormat="1" applyFont="1" applyFill="1" applyAlignment="1">
      <alignment vertical="top"/>
    </xf>
    <xf numFmtId="0" fontId="4" fillId="0" borderId="0" xfId="719" applyFont="1"/>
    <xf numFmtId="0" fontId="3" fillId="0" borderId="0" xfId="719" applyFont="1" applyFill="1" applyAlignment="1">
      <alignment vertical="top"/>
    </xf>
    <xf numFmtId="0" fontId="2" fillId="0" borderId="0" xfId="719" applyFont="1" applyFill="1" applyAlignment="1">
      <alignment vertical="top"/>
    </xf>
    <xf numFmtId="0" fontId="1" fillId="0" borderId="0" xfId="719" applyFont="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6" totalsRowCount="1" headerRowDxfId="75" dataDxfId="74" totalsRowDxfId="73">
  <autoFilter ref="A1:Y345"/>
  <tableColumns count="25">
    <tableColumn id="1" name="!Table" totalsRowLabel="Total" dataDxfId="72" totalsRowDxfId="71" dataCellStyle="Normal 2"/>
    <tableColumn id="2" name="!Type" dataDxfId="70" totalsRowDxfId="69" dataCellStyle="Normal 2"/>
    <tableColumn id="6" name="!Length" dataDxfId="68" totalsRowDxfId="67" dataCellStyle="Normal 2"/>
    <tableColumn id="3" name="!Name" dataDxfId="66" totalsRowDxfId="65" dataCellStyle="Normal 2"/>
    <tableColumn id="4" name="!Description" dataDxfId="64" totalsRowDxfId="63" dataCellStyle="Normal 2"/>
    <tableColumn id="7" name="!FK" dataDxfId="62" totalsRowDxfId="61" dataCellStyle="Normal 2"/>
    <tableColumn id="10" name="!Required" dataDxfId="60" totalsRowDxfId="59" dataCellStyle="Normal 2"/>
    <tableColumn id="26" name="!Unique" dataDxfId="58" totalsRowDxfId="57" dataCellStyle="Normal 2"/>
    <tableColumn id="9" name="File" dataDxfId="56" totalsRowDxfId="55">
      <calculatedColumnFormula>IF(LEN(A2) &gt; 0,"Defs","-")</calculatedColumnFormula>
    </tableColumn>
    <tableColumn id="5" name="boolean" dataDxfId="54" totalsRowDxfId="53">
      <calculatedColumnFormula>IF(Table2[[#This Row],[!Type]]=J$1, J$1,"rg:None")</calculatedColumnFormula>
    </tableColumn>
    <tableColumn id="23" name="binary" dataDxfId="52" totalsRowDxfId="51">
      <calculatedColumnFormula>IF(Table2[[#This Row],[!Type]]=K$1, K$1,"rg:None")</calculatedColumnFormula>
    </tableColumn>
    <tableColumn id="8" name="datetime" dataDxfId="50" totalsRowDxfId="49">
      <calculatedColumnFormula>IF(Table2[[#This Row],[!Type]]=L$1, L$1,"rg:None")</calculatedColumnFormula>
    </tableColumn>
    <tableColumn id="11" name="id" dataDxfId="48" totalsRowDxfId="47">
      <calculatedColumnFormula>IF(Table2[[#This Row],[!Type]]=M$1, M$1,"rg:None")</calculatedColumnFormula>
    </tableColumn>
    <tableColumn id="12" name="integer" dataDxfId="46" totalsRowDxfId="45">
      <calculatedColumnFormula>IF(Table2[[#This Row],[!Type]]=N$1, N$1,"rg:None")</calculatedColumnFormula>
    </tableColumn>
    <tableColumn id="21" name="float" dataDxfId="44" totalsRowDxfId="43">
      <calculatedColumnFormula>IF(Table2[[#This Row],[!Type]]=O$1, O$1,"rg:None")</calculatedColumnFormula>
    </tableColumn>
    <tableColumn id="13" name="links" dataDxfId="42" totalsRowDxfId="41">
      <calculatedColumnFormula>IF(Table2[[#This Row],[!Type]]=P$1, P$1,"rg:None")</calculatedColumnFormula>
    </tableColumn>
    <tableColumn id="14" name="ref" dataDxfId="40" totalsRowDxfId="39">
      <calculatedColumnFormula>IF(Table2[[#This Row],[!Type]]=Q$1, Q$1,"rg:None")</calculatedColumnFormula>
    </tableColumn>
    <tableColumn id="15" name="string" dataDxfId="38" totalsRowDxfId="37">
      <calculatedColumnFormula>IF(Table2[[#This Row],[!Type]]=R$1, R$1,"rg:None")</calculatedColumnFormula>
    </tableColumn>
    <tableColumn id="16" name="table" dataDxfId="36" totalsRowDxfId="35">
      <calculatedColumnFormula>IF(Table2[[#This Row],[!Type]]=S$1, S$1,"rg:None")</calculatedColumnFormula>
    </tableColumn>
    <tableColumn id="17" name="Length" dataDxfId="34" totalsRowDxfId="33">
      <calculatedColumnFormula>IF(LEN(Table2[[#This Row],[!Length]]) &gt; 0, Table2[[#This Row],[!Length]], "rg:None")</calculatedColumnFormula>
    </tableColumn>
    <tableColumn id="18" name="Name" dataDxfId="32" totalsRowDxfId="31">
      <calculatedColumnFormula>IF(LEN(Table2[[#This Row],[!Name]]) &gt; 0, Table2[[#This Row],[!Name]], "rg:None")</calculatedColumnFormula>
    </tableColumn>
    <tableColumn id="19" name="Description" dataDxfId="30" totalsRowDxfId="29">
      <calculatedColumnFormula>IF(LEN(Table2[[#This Row],[!Description]]) &gt; 0, Table2[[#This Row],[!Description]], "rg:None")</calculatedColumnFormula>
    </tableColumn>
    <tableColumn id="20" name="RefDef" dataDxfId="28" totalsRowDxfId="27">
      <calculatedColumnFormula>IF(LEN(Table2[[#This Row],[!FK]])&gt;0,Table2[[#This Row],[!FK]],"rg:None")</calculatedColumnFormula>
    </tableColumn>
    <tableColumn id="22" name="Required" dataDxfId="26" totalsRowDxfId="25">
      <calculatedColumnFormula>IF(LEN(concatif2(A:A,Table2[[#This Row],[!Table]],G:G,"Y",D:D,",")) &gt; 0,"rg:[ { 'req' : '"&amp;concatif2(A:A,Table2[[#This Row],[!Table]],G:G,"Y",D:D,"' }, { 'req': '")&amp;"'} ]","rg:[]")</calculatedColumnFormula>
    </tableColumn>
    <tableColumn id="27" name="Unique" totalsRowFunction="count" dataDxfId="24" totalsRowDxfId="23">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22" dataDxfId="21">
  <autoFilter ref="A1:V7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 dataCellStyle="Normal 2"/>
    <tableColumn id="4" name="!respDef" dataDxfId="17" dataCellStyle="Normal 2"/>
    <tableColumn id="5" name="!Description" dataDxfId="16" dataCellStyle="Normal 2"/>
    <tableColumn id="7" name="File" dataDxfId="15">
      <calculatedColumnFormula>IF(LEN(A2) &gt;0,"Path","-")</calculatedColumnFormula>
    </tableColumn>
    <tableColumn id="8" name="crud" dataDxfId="14">
      <calculatedColumnFormula>IF(LEN(Table23[[#This Row],[!type]])&gt;0,IF(Table23[[#This Row],[!type]]=I$1,"1","rg:None"),"-")</calculatedColumnFormula>
    </tableColumn>
    <tableColumn id="9" name="post" dataDxfId="13">
      <calculatedColumnFormula>IF(LEN(Table23[[#This Row],[!type]])&gt;0,IF(Table23[[#This Row],[!type]]=J$1,"1","rg:None"),"-")</calculatedColumnFormula>
    </tableColumn>
    <tableColumn id="10" name="bulk" dataDxfId="12">
      <calculatedColumnFormula>IF(LEN(Table23[[#This Row],[!type]])&gt;0,IF(Table23[[#This Row],[!type]]=K$1,"1","rg:None"),"-")</calculatedColumnFormula>
    </tableColumn>
    <tableColumn id="11" name="getById" dataDxfId="11">
      <calculatedColumnFormula>IF(LEN(Table23[[#This Row],[!type]])&gt;0,IF(Table23[[#This Row],[!type]]=L$1,"1","rg:None"),"-")</calculatedColumnFormula>
    </tableColumn>
    <tableColumn id="12" name="putById" dataDxfId="10">
      <calculatedColumnFormula>IF(LEN(Table23[[#This Row],[!type]])&gt;0,IF(Table23[[#This Row],[!type]]=M$1,"1","rg:None"),"-")</calculatedColumnFormula>
    </tableColumn>
    <tableColumn id="13" name="deleteById" dataDxfId="9">
      <calculatedColumnFormula>IF(LEN(Table23[[#This Row],[!type]])&gt;0,IF(Table23[[#This Row],[!type]]=N$1,"1","rg:None"),"-")</calculatedColumnFormula>
    </tableColumn>
    <tableColumn id="14" name="fullpath" dataDxfId="8">
      <calculatedColumnFormula>IF(LEN(Table23[[#This Row],[!type]])&gt;0,IF(Table23[[#This Row],[!type]]=O$1,"1","rg:None"),"-")</calculatedColumnFormula>
    </tableColumn>
    <tableColumn id="15" name="idpath" dataDxfId="7">
      <calculatedColumnFormula>IF(LEN(Table23[[#This Row],[!type]])&gt;0,IF(Table23[[#This Row],[!type]]=P$1,"1","rg:None"),"-")</calculatedColumnFormula>
    </tableColumn>
    <tableColumn id="16" name="path" dataDxfId="6">
      <calculatedColumnFormula>IF(LEN(Table23[[#This Row],[!path]]) &gt;0,Table23[[#This Row],[!path]],"rg:None")</calculatedColumnFormula>
    </tableColumn>
    <tableColumn id="17" name="tag" dataDxfId="5">
      <calculatedColumnFormula>IF(LEN(Table23[[#This Row],[!tag]]) &gt;0,Table23[[#This Row],[!tag]],"rg:None")</calculatedColumnFormula>
    </tableColumn>
    <tableColumn id="18" name="paramDef" dataDxfId="4">
      <calculatedColumnFormula>IF(LEN(Table23[[#This Row],[!paramDef]]) &gt;0,Table23[[#This Row],[!paramDef]],"rg:None")</calculatedColumnFormula>
    </tableColumn>
    <tableColumn id="19" name="respDef" dataDxfId="3">
      <calculatedColumnFormula>IF(LEN(Table23[[#This Row],[!respDef]]) &gt;0,Table23[[#This Row],[!respDef]],"rg:None")</calculatedColumnFormula>
    </tableColumn>
    <tableColumn id="20" name="Description" dataDxfId="2">
      <calculatedColumnFormula>IF(LEN(Table23[[#This Row],[!Description]]) &gt;0,Table23[[#This Row],[!Description]],"rg:None")</calculatedColumnFormula>
    </tableColumn>
    <tableColumn id="22" name="x-codegen-permission" dataDxfId="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6"/>
  <sheetViews>
    <sheetView tabSelected="1" zoomScaleNormal="100" workbookViewId="0">
      <pane ySplit="1" topLeftCell="A14" activePane="bottomLeft" state="frozen"/>
      <selection pane="bottomLeft" activeCell="E37" sqref="E37"/>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0" t="s">
        <v>37</v>
      </c>
      <c r="E4" s="144" t="s">
        <v>577</v>
      </c>
      <c r="F4" s="140"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0" t="s">
        <v>576</v>
      </c>
      <c r="E21" s="130" t="s">
        <v>539</v>
      </c>
      <c r="F21" s="140"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0" t="s">
        <v>576</v>
      </c>
      <c r="E91" s="130" t="s">
        <v>544</v>
      </c>
      <c r="F91" s="140"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1"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2" t="s">
        <v>182</v>
      </c>
      <c r="B165" s="142" t="s">
        <v>9</v>
      </c>
      <c r="C165" s="72"/>
      <c r="D165" s="142" t="s">
        <v>572</v>
      </c>
      <c r="E165" s="141"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0" t="s">
        <v>570</v>
      </c>
      <c r="B172" s="5" t="s">
        <v>4</v>
      </c>
      <c r="D172" s="140" t="s">
        <v>570</v>
      </c>
      <c r="E172" s="144"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0"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0" t="s">
        <v>570</v>
      </c>
      <c r="B174" s="136" t="s">
        <v>8</v>
      </c>
      <c r="C174" s="72"/>
      <c r="D174" s="142" t="s">
        <v>181</v>
      </c>
      <c r="E174" s="47"/>
      <c r="F174" s="143"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0"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0"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2" t="s">
        <v>575</v>
      </c>
      <c r="B177" s="124" t="s">
        <v>4</v>
      </c>
      <c r="C177" s="72"/>
      <c r="D177" s="142"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2"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2" t="s">
        <v>575</v>
      </c>
      <c r="B179" s="124" t="s">
        <v>8</v>
      </c>
      <c r="C179" s="72"/>
      <c r="D179" s="142" t="s">
        <v>576</v>
      </c>
      <c r="E179" s="129" t="s">
        <v>539</v>
      </c>
      <c r="F179" s="143"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2" t="s">
        <v>575</v>
      </c>
      <c r="B180" s="142" t="s">
        <v>8</v>
      </c>
      <c r="C180" s="72"/>
      <c r="D180" s="142" t="s">
        <v>173</v>
      </c>
      <c r="E180" s="47"/>
      <c r="F180" s="143"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2"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2"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2"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2"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2"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2"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0" t="s">
        <v>579</v>
      </c>
      <c r="E190" s="144"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4"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43.2" x14ac:dyDescent="0.3">
      <c r="A227" s="155" t="s">
        <v>593</v>
      </c>
      <c r="B227" s="148" t="s">
        <v>4</v>
      </c>
      <c r="C227" s="72"/>
      <c r="D227" s="156" t="s">
        <v>593</v>
      </c>
      <c r="E227" s="149" t="s">
        <v>582</v>
      </c>
      <c r="F227" s="12"/>
      <c r="G227" s="18"/>
      <c r="H227" s="18"/>
      <c r="I227" s="4" t="str">
        <f t="shared" ref="I227:I233"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LookupList</v>
      </c>
      <c r="V227"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55" t="s">
        <v>593</v>
      </c>
      <c r="B228" s="148" t="s">
        <v>6</v>
      </c>
      <c r="C228" s="72"/>
      <c r="D228" s="148" t="s">
        <v>6</v>
      </c>
      <c r="E228" s="152" t="s">
        <v>583</v>
      </c>
      <c r="F228" s="12"/>
      <c r="G228" s="153" t="s">
        <v>62</v>
      </c>
      <c r="H228" s="153" t="s">
        <v>62</v>
      </c>
      <c r="I228" s="4"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LookupList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ht="28.8" x14ac:dyDescent="0.3">
      <c r="A229" s="155" t="s">
        <v>593</v>
      </c>
      <c r="B229" s="148" t="s">
        <v>7</v>
      </c>
      <c r="C229" s="72">
        <v>100</v>
      </c>
      <c r="D229" s="148" t="s">
        <v>584</v>
      </c>
      <c r="E229" s="149" t="s">
        <v>585</v>
      </c>
      <c r="F229" s="12"/>
      <c r="G229" s="18"/>
      <c r="H229" s="18"/>
      <c r="I229" s="4"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contextName</v>
      </c>
      <c r="V229" s="4" t="str">
        <f>IF(LEN(Table2[[#This Row],[!Description]]) &gt; 0, Table2[[#This Row],[!Description]], "rg:None")</f>
        <v>The context within the app in which this lookup list if used. Defined and referenced in the code of the application.</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55" t="s">
        <v>593</v>
      </c>
      <c r="B230" s="148" t="s">
        <v>9</v>
      </c>
      <c r="C230" s="72"/>
      <c r="D230" s="148" t="s">
        <v>26</v>
      </c>
      <c r="E230" s="149" t="s">
        <v>586</v>
      </c>
      <c r="F230" s="12"/>
      <c r="G230" s="18"/>
      <c r="H230" s="18"/>
      <c r="I230" s="4" t="str">
        <f t="shared" si="24"/>
        <v>Defs</v>
      </c>
      <c r="J230" s="4" t="str">
        <f>IF(Table2[[#This Row],[!Type]]=J$1, J$1,"rg:None")</f>
        <v>boolean</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isDefault</v>
      </c>
      <c r="V230" s="4" t="str">
        <f>IF(LEN(Table2[[#This Row],[!Description]]) &gt; 0, Table2[[#This Row],[!Description]], "rg:None")</f>
        <v>True of the value within the lookup list context should be the default for the lookup instance.</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55" t="s">
        <v>593</v>
      </c>
      <c r="B231" s="148" t="s">
        <v>13</v>
      </c>
      <c r="C231" s="72"/>
      <c r="D231" s="148" t="s">
        <v>587</v>
      </c>
      <c r="E231" s="149" t="s">
        <v>588</v>
      </c>
      <c r="F231" s="12"/>
      <c r="G231" s="18"/>
      <c r="H231" s="18"/>
      <c r="I231" s="4"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integer</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displaySortOrder</v>
      </c>
      <c r="V231" s="4" t="str">
        <f>IF(LEN(Table2[[#This Row],[!Description]]) &gt; 0, Table2[[#This Row],[!Description]], "rg:None")</f>
        <v>The sort order for list of values within a list context.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t="28.8" x14ac:dyDescent="0.3">
      <c r="A232" s="155" t="s">
        <v>593</v>
      </c>
      <c r="B232" s="148" t="s">
        <v>7</v>
      </c>
      <c r="C232" s="72">
        <v>30</v>
      </c>
      <c r="D232" s="148" t="s">
        <v>589</v>
      </c>
      <c r="E232" s="149" t="s">
        <v>591</v>
      </c>
      <c r="F232" s="12"/>
      <c r="G232" s="18"/>
      <c r="H232" s="18"/>
      <c r="I232" s="4"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30</v>
      </c>
      <c r="U232" s="4" t="str">
        <f>IF(LEN(Table2[[#This Row],[!Name]]) &gt; 0, Table2[[#This Row],[!Name]], "rg:None")</f>
        <v>codeName</v>
      </c>
      <c r="V232" s="4" t="str">
        <f>IF(LEN(Table2[[#This Row],[!Description]]) &gt; 0, Table2[[#This Row],[!Description]], "rg:None")</f>
        <v>The a shorter lookup name to find the value. Can be used at the option of the application to present on the screen a short version of the lookup list value.</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55" t="s">
        <v>593</v>
      </c>
      <c r="B233" s="148" t="s">
        <v>7</v>
      </c>
      <c r="C233" s="72">
        <v>100</v>
      </c>
      <c r="D233" s="148" t="s">
        <v>24</v>
      </c>
      <c r="E233" s="149" t="s">
        <v>590</v>
      </c>
      <c r="F233" s="12"/>
      <c r="G233" s="18"/>
      <c r="H233" s="18"/>
      <c r="I233" s="4"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value</v>
      </c>
      <c r="V233" s="4" t="str">
        <f>IF(LEN(Table2[[#This Row],[!Description]]) &gt; 0, Table2[[#This Row],[!Description]], "rg:None")</f>
        <v>The fully spelled out value of the lookup entry.</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ht="28.8" x14ac:dyDescent="0.3">
      <c r="A234" s="81" t="s">
        <v>172</v>
      </c>
      <c r="B234" s="5" t="s">
        <v>4</v>
      </c>
      <c r="D234" s="81" t="s">
        <v>172</v>
      </c>
      <c r="E234" s="76" t="s">
        <v>367</v>
      </c>
      <c r="F234" s="5" t="s">
        <v>5</v>
      </c>
      <c r="G234" s="4"/>
      <c r="H234" s="4"/>
      <c r="I234" s="5" t="str">
        <f t="shared" ref="I234:I249" si="25">IF(LEN(A234) &gt; 0,"Defs","-")</f>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table</v>
      </c>
      <c r="T234" s="4" t="str">
        <f>IF(LEN(Table2[[#This Row],[!Length]]) &gt; 0, Table2[[#This Row],[!Length]], "rg:None")</f>
        <v>rg:None</v>
      </c>
      <c r="U234" s="4" t="str">
        <f>IF(LEN(Table2[[#This Row],[!Name]]) &gt; 0, Table2[[#This Row],[!Name]], "rg:None")</f>
        <v>Contact</v>
      </c>
      <c r="V234" s="4" t="str">
        <f>IF(LEN(Table2[[#This Row],[!Description]]) &gt; 0, Table2[[#This Row],[!Description]], "rg:None")</f>
        <v>A person and their related contact information linked to one or more entities in the system. For examples, there are contacts for Owners, Projects.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6</v>
      </c>
      <c r="C235" s="3"/>
      <c r="D235" s="3" t="s">
        <v>6</v>
      </c>
      <c r="E235" s="118" t="s">
        <v>309</v>
      </c>
      <c r="F235" s="3" t="s">
        <v>5</v>
      </c>
      <c r="G235" s="4" t="s">
        <v>62</v>
      </c>
      <c r="H235" s="119" t="s">
        <v>62</v>
      </c>
      <c r="I235" s="5" t="str">
        <f t="shared" si="25"/>
        <v>Defs</v>
      </c>
      <c r="J235" s="4" t="str">
        <f>IF(Table2[[#This Row],[!Type]]=J$1, J$1,"rg:None")</f>
        <v>rg:None</v>
      </c>
      <c r="K235" s="4" t="str">
        <f>IF(Table2[[#This Row],[!Type]]=K$1, K$1,"rg:None")</f>
        <v>rg:None</v>
      </c>
      <c r="L235" s="4" t="str">
        <f>IF(Table2[[#This Row],[!Type]]=L$1, L$1,"rg:None")</f>
        <v>rg:None</v>
      </c>
      <c r="M235" s="4" t="str">
        <f>IF(Table2[[#This Row],[!Type]]=M$1, M$1,"rg:None")</f>
        <v>id</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id</v>
      </c>
      <c r="V235" s="4" t="str">
        <f>IF(LEN(Table2[[#This Row],[!Description]]) &gt; 0, Table2[[#This Row],[!Description]], "rg:None")</f>
        <v>A system-generated unique identifier for a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rg:True</v>
      </c>
    </row>
    <row r="236" spans="1:25" x14ac:dyDescent="0.3">
      <c r="A236" s="117" t="s">
        <v>172</v>
      </c>
      <c r="B236" s="3" t="s">
        <v>7</v>
      </c>
      <c r="C236" s="3">
        <v>50</v>
      </c>
      <c r="D236" s="3" t="s">
        <v>16</v>
      </c>
      <c r="E236" s="118" t="s">
        <v>162</v>
      </c>
      <c r="F236" s="3" t="s">
        <v>5</v>
      </c>
      <c r="G236" s="119"/>
      <c r="H236" s="4"/>
      <c r="I236" s="5" t="str">
        <f t="shared" si="25"/>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50</v>
      </c>
      <c r="U236" s="4" t="str">
        <f>IF(LEN(Table2[[#This Row],[!Name]]) &gt; 0, Table2[[#This Row],[!Name]], "rg:None")</f>
        <v>givenName</v>
      </c>
      <c r="V236" s="4" t="str">
        <f>IF(LEN(Table2[[#This Row],[!Description]]) &gt; 0, Table2[[#This Row],[!Description]], "rg:None")</f>
        <v>The given name of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3" t="s">
        <v>7</v>
      </c>
      <c r="C237" s="3">
        <v>50</v>
      </c>
      <c r="D237" s="3" t="s">
        <v>17</v>
      </c>
      <c r="E237" s="118" t="s">
        <v>163</v>
      </c>
      <c r="F237" s="3" t="s">
        <v>5</v>
      </c>
      <c r="G237" s="119"/>
      <c r="H237" s="4"/>
      <c r="I237" s="5" t="str">
        <f t="shared" si="25"/>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surname</v>
      </c>
      <c r="V237" s="4" t="str">
        <f>IF(LEN(Table2[[#This Row],[!Description]]) &gt; 0, Table2[[#This Row],[!Description]], "rg:None")</f>
        <v>The surname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20" t="s">
        <v>172</v>
      </c>
      <c r="B238" s="120" t="s">
        <v>7</v>
      </c>
      <c r="C238" s="3">
        <v>150</v>
      </c>
      <c r="D238" s="120" t="s">
        <v>398</v>
      </c>
      <c r="E238" s="120" t="s">
        <v>516</v>
      </c>
      <c r="F238" s="6"/>
      <c r="G238" s="18"/>
      <c r="H238" s="18"/>
      <c r="I238" s="5" t="str">
        <f t="shared" si="25"/>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150</v>
      </c>
      <c r="U238" s="4" t="str">
        <f>IF(LEN(Table2[[#This Row],[!Name]]) &gt; 0, Table2[[#This Row],[!Name]], "rg:None")</f>
        <v>organizationName</v>
      </c>
      <c r="V238" s="4" t="str">
        <f>IF(LEN(Table2[[#This Row],[!Description]]) &gt; 0, Table2[[#This Row],[!Description]], "rg:None")</f>
        <v>The organization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100</v>
      </c>
      <c r="D239" s="3" t="s">
        <v>18</v>
      </c>
      <c r="E239" s="121" t="s">
        <v>310</v>
      </c>
      <c r="F239" s="3" t="s">
        <v>5</v>
      </c>
      <c r="G239" s="119"/>
      <c r="H239" s="4"/>
      <c r="I239" s="5" t="str">
        <f t="shared" si="25"/>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150</v>
      </c>
      <c r="D240" s="3" t="s">
        <v>164</v>
      </c>
      <c r="E240" s="121" t="s">
        <v>311</v>
      </c>
      <c r="F240" s="3" t="s">
        <v>5</v>
      </c>
      <c r="G240" s="4"/>
      <c r="H240" s="4"/>
      <c r="I240" s="5" t="str">
        <f t="shared" si="25"/>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20" t="s">
        <v>172</v>
      </c>
      <c r="B241" s="120" t="s">
        <v>7</v>
      </c>
      <c r="C241" s="3">
        <v>255</v>
      </c>
      <c r="D241" s="120" t="s">
        <v>517</v>
      </c>
      <c r="E241" s="120" t="s">
        <v>518</v>
      </c>
      <c r="F241" s="6"/>
      <c r="G241" s="18"/>
      <c r="H241" s="18"/>
      <c r="I241" s="5" t="str">
        <f t="shared" si="25"/>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20</v>
      </c>
      <c r="D242" s="117" t="s">
        <v>519</v>
      </c>
      <c r="E242" s="121" t="s">
        <v>520</v>
      </c>
      <c r="F242" s="3" t="s">
        <v>5</v>
      </c>
      <c r="G242" s="119"/>
      <c r="H242" s="4"/>
      <c r="I242" s="5" t="str">
        <f t="shared" si="25"/>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117" t="s">
        <v>172</v>
      </c>
      <c r="B243" s="3" t="s">
        <v>7</v>
      </c>
      <c r="C243" s="3">
        <v>20</v>
      </c>
      <c r="D243" s="117" t="s">
        <v>521</v>
      </c>
      <c r="E243" s="121" t="s">
        <v>522</v>
      </c>
      <c r="F243" s="3" t="s">
        <v>5</v>
      </c>
      <c r="G243" s="119"/>
      <c r="H243" s="4"/>
      <c r="I243" s="5" t="str">
        <f t="shared" si="25"/>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117" t="s">
        <v>172</v>
      </c>
      <c r="B244" s="117" t="s">
        <v>7</v>
      </c>
      <c r="C244" s="3">
        <v>20</v>
      </c>
      <c r="D244" s="117" t="s">
        <v>523</v>
      </c>
      <c r="E244" s="121" t="s">
        <v>524</v>
      </c>
      <c r="F244" s="3" t="s">
        <v>5</v>
      </c>
      <c r="G244" s="4"/>
      <c r="H244" s="4"/>
      <c r="I244" s="5" t="str">
        <f t="shared" si="25"/>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117" t="s">
        <v>172</v>
      </c>
      <c r="B245" s="3" t="s">
        <v>7</v>
      </c>
      <c r="C245" s="3">
        <v>80</v>
      </c>
      <c r="D245" s="117" t="s">
        <v>525</v>
      </c>
      <c r="E245" s="121" t="s">
        <v>165</v>
      </c>
      <c r="F245" s="3" t="s">
        <v>5</v>
      </c>
      <c r="G245" s="4"/>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117" t="s">
        <v>172</v>
      </c>
      <c r="B246" s="3" t="s">
        <v>7</v>
      </c>
      <c r="C246" s="3">
        <v>80</v>
      </c>
      <c r="D246" s="117" t="s">
        <v>526</v>
      </c>
      <c r="E246" s="118" t="s">
        <v>166</v>
      </c>
      <c r="F246" s="3" t="s">
        <v>5</v>
      </c>
      <c r="G246" s="4"/>
      <c r="H246" s="4"/>
      <c r="I246" s="5" t="str">
        <f t="shared" si="25"/>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117" t="s">
        <v>172</v>
      </c>
      <c r="B247" s="3" t="s">
        <v>7</v>
      </c>
      <c r="C247" s="3">
        <v>100</v>
      </c>
      <c r="D247" s="117" t="s">
        <v>21</v>
      </c>
      <c r="E247" s="118" t="s">
        <v>167</v>
      </c>
      <c r="F247" s="3"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117" t="s">
        <v>172</v>
      </c>
      <c r="B248" s="3" t="s">
        <v>7</v>
      </c>
      <c r="C248" s="3">
        <v>50</v>
      </c>
      <c r="D248" s="117" t="s">
        <v>168</v>
      </c>
      <c r="E248" s="118" t="s">
        <v>169</v>
      </c>
      <c r="F248" s="3" t="s">
        <v>5</v>
      </c>
      <c r="G248" s="4"/>
      <c r="H248" s="4"/>
      <c r="I248" s="5" t="str">
        <f t="shared" si="25"/>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x14ac:dyDescent="0.3">
      <c r="A249" s="117" t="s">
        <v>172</v>
      </c>
      <c r="B249" s="3" t="s">
        <v>7</v>
      </c>
      <c r="C249" s="3">
        <v>15</v>
      </c>
      <c r="D249" s="117" t="s">
        <v>170</v>
      </c>
      <c r="E249" s="118" t="s">
        <v>171</v>
      </c>
      <c r="F249" s="3" t="s">
        <v>5</v>
      </c>
      <c r="G249" s="4"/>
      <c r="H249" s="4"/>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ht="28.8" x14ac:dyDescent="0.3">
      <c r="A250" s="81" t="s">
        <v>146</v>
      </c>
      <c r="B250" s="5" t="s">
        <v>4</v>
      </c>
      <c r="D250" s="5" t="s">
        <v>146</v>
      </c>
      <c r="E250" s="76" t="s">
        <v>368</v>
      </c>
      <c r="F250" s="5" t="s">
        <v>5</v>
      </c>
      <c r="G250" s="4"/>
      <c r="H250" s="4"/>
      <c r="I250" s="5" t="str">
        <f t="shared" ref="I250:I262" si="26">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Row],[!Unique]])&gt;0,"rg:True","rg:None")</f>
        <v>rg:None</v>
      </c>
    </row>
    <row r="251" spans="1:25" x14ac:dyDescent="0.3">
      <c r="A251" s="81" t="s">
        <v>146</v>
      </c>
      <c r="B251" s="5" t="s">
        <v>6</v>
      </c>
      <c r="D251" s="5" t="s">
        <v>6</v>
      </c>
      <c r="E251" s="54" t="s">
        <v>313</v>
      </c>
      <c r="F251" s="5" t="s">
        <v>5</v>
      </c>
      <c r="G251" s="4" t="s">
        <v>62</v>
      </c>
      <c r="H251" s="41"/>
      <c r="I251" s="5" t="str">
        <f t="shared" si="26"/>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Row],[!Unique]])&gt;0,"rg:True","rg:None")</f>
        <v>rg:None</v>
      </c>
    </row>
    <row r="252" spans="1:25" x14ac:dyDescent="0.3">
      <c r="A252" s="81" t="s">
        <v>146</v>
      </c>
      <c r="B252" s="5" t="s">
        <v>7</v>
      </c>
      <c r="C252" s="5">
        <v>2048</v>
      </c>
      <c r="D252" s="102" t="s">
        <v>348</v>
      </c>
      <c r="E252" s="101" t="s">
        <v>312</v>
      </c>
      <c r="F252" s="5" t="s">
        <v>5</v>
      </c>
      <c r="G252" s="41" t="s">
        <v>62</v>
      </c>
      <c r="H252" s="4"/>
      <c r="I252" s="5" t="str">
        <f t="shared" si="26"/>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Row],[!Unique]])&gt;0,"rg:True","rg:None")</f>
        <v>rg:None</v>
      </c>
    </row>
    <row r="253" spans="1:25" ht="28.8" x14ac:dyDescent="0.3">
      <c r="A253" s="81" t="s">
        <v>146</v>
      </c>
      <c r="B253" s="5" t="s">
        <v>9</v>
      </c>
      <c r="D253" s="5" t="s">
        <v>156</v>
      </c>
      <c r="E253" s="104" t="s">
        <v>314</v>
      </c>
      <c r="F253" s="5" t="s">
        <v>5</v>
      </c>
      <c r="G253" s="4"/>
      <c r="H253" s="4"/>
      <c r="I253" s="5" t="str">
        <f t="shared" si="26"/>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Row],[!Unique]])&gt;0,"rg:True","rg:None")</f>
        <v>rg:None</v>
      </c>
    </row>
    <row r="254" spans="1:25" ht="28.8" x14ac:dyDescent="0.3">
      <c r="A254" s="81" t="s">
        <v>158</v>
      </c>
      <c r="B254" s="5" t="s">
        <v>4</v>
      </c>
      <c r="D254" s="81" t="s">
        <v>158</v>
      </c>
      <c r="E254" s="76" t="s">
        <v>369</v>
      </c>
      <c r="F254" s="5" t="s">
        <v>5</v>
      </c>
      <c r="G254" s="4"/>
      <c r="H254" s="4"/>
      <c r="I254" s="5" t="str">
        <f t="shared" si="26"/>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v>
      </c>
      <c r="Y254" s="4" t="str">
        <f>IF(LEN(Table2[[#This Row],[!Unique]])&gt;0,"rg:True","rg:None")</f>
        <v>rg:None</v>
      </c>
    </row>
    <row r="255" spans="1:25" x14ac:dyDescent="0.3">
      <c r="A255" s="81" t="s">
        <v>158</v>
      </c>
      <c r="B255" s="5" t="s">
        <v>6</v>
      </c>
      <c r="D255" s="5" t="s">
        <v>6</v>
      </c>
      <c r="E255" s="54" t="s">
        <v>315</v>
      </c>
      <c r="F255" s="5" t="s">
        <v>5</v>
      </c>
      <c r="G255" s="4" t="s">
        <v>62</v>
      </c>
      <c r="H255" s="41" t="s">
        <v>62</v>
      </c>
      <c r="I255" s="5" t="str">
        <f t="shared" si="26"/>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v>
      </c>
      <c r="Y255" s="4" t="str">
        <f>IF(LEN(Table2[[#This Row],[!Unique]])&gt;0,"rg:True","rg:None")</f>
        <v>rg:True</v>
      </c>
    </row>
    <row r="256" spans="1:25" x14ac:dyDescent="0.3">
      <c r="A256" s="81" t="s">
        <v>158</v>
      </c>
      <c r="B256" s="5" t="s">
        <v>7</v>
      </c>
      <c r="C256" s="5">
        <v>2048</v>
      </c>
      <c r="D256" s="5" t="s">
        <v>527</v>
      </c>
      <c r="E256" s="54" t="s">
        <v>528</v>
      </c>
      <c r="F256" s="5" t="s">
        <v>5</v>
      </c>
      <c r="G256" s="41"/>
      <c r="H256" s="41"/>
      <c r="I256" s="5" t="str">
        <f t="shared" si="26"/>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v>
      </c>
      <c r="Y256" s="4" t="str">
        <f>IF(LEN(Table2[[#This Row],[!Unique]])&gt;0,"rg:True","rg:None")</f>
        <v>rg:None</v>
      </c>
    </row>
    <row r="257" spans="1:25" x14ac:dyDescent="0.3">
      <c r="A257" s="81" t="s">
        <v>158</v>
      </c>
      <c r="B257" s="5" t="s">
        <v>159</v>
      </c>
      <c r="D257" s="5" t="s">
        <v>529</v>
      </c>
      <c r="E257" s="105" t="s">
        <v>530</v>
      </c>
      <c r="F257" s="5" t="s">
        <v>5</v>
      </c>
      <c r="G257" s="41"/>
      <c r="H257" s="41"/>
      <c r="I257" s="5" t="str">
        <f t="shared" si="26"/>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v>
      </c>
      <c r="Y257" s="4" t="str">
        <f>IF(LEN(Table2[[#This Row],[!Unique]])&gt;0,"rg:True","rg:None")</f>
        <v>rg:None</v>
      </c>
    </row>
    <row r="258" spans="1:25" x14ac:dyDescent="0.3">
      <c r="A258" s="81" t="s">
        <v>158</v>
      </c>
      <c r="B258" s="5" t="s">
        <v>7</v>
      </c>
      <c r="C258" s="5">
        <v>2048</v>
      </c>
      <c r="D258" s="5" t="s">
        <v>14</v>
      </c>
      <c r="E258" s="105" t="s">
        <v>157</v>
      </c>
      <c r="F258" s="5" t="s">
        <v>5</v>
      </c>
      <c r="G258" s="4"/>
      <c r="H258" s="4"/>
      <c r="I258" s="5" t="str">
        <f t="shared" si="26"/>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v>
      </c>
      <c r="Y258" s="4" t="str">
        <f>IF(LEN(Table2[[#This Row],[!Unique]])&gt;0,"rg:True","rg:None")</f>
        <v>rg:None</v>
      </c>
    </row>
    <row r="259" spans="1:25" x14ac:dyDescent="0.3">
      <c r="A259" s="72" t="s">
        <v>158</v>
      </c>
      <c r="B259" s="72" t="s">
        <v>7</v>
      </c>
      <c r="C259" s="72">
        <v>255</v>
      </c>
      <c r="D259" s="72" t="s">
        <v>20</v>
      </c>
      <c r="E259" s="47" t="s">
        <v>531</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type</v>
      </c>
      <c r="V259" s="4" t="str">
        <f>IF(LEN(Table2[[#This Row],[!Description]]) &gt; 0, Table2[[#This Row],[!Description]], "rg:None")</f>
        <v>Type of attachment</v>
      </c>
      <c r="W259" s="4" t="str">
        <f>IF(LEN(Table2[[#This Row],[!FK]])&gt;0,Table2[[#This Row],[!FK]],"rg:None")</f>
        <v>rg:None</v>
      </c>
      <c r="X259" s="14" t="str">
        <f>IF(LEN(concatif2(A:A,Table2[[#This Row],[!Table]],G:G,"Y",D:D,",")) &gt; 0,"rg:[ { 'req' : '"&amp;concatif2(A:A,Table2[[#This Row],[!Table]],G:G,"Y",D:D,"' }, { 'req': '")&amp;"'} ]","rg:[]")</f>
        <v>rg:[ { 'req' : 'id'} ]</v>
      </c>
      <c r="Y259" s="4" t="str">
        <f>IF(LEN(Table2[[#This Row],[!Unique]])&gt;0,"rg:True","rg:None")</f>
        <v>rg:None</v>
      </c>
    </row>
    <row r="260" spans="1:25" ht="28.8" x14ac:dyDescent="0.3">
      <c r="A260" s="81" t="s">
        <v>160</v>
      </c>
      <c r="B260" s="5" t="s">
        <v>4</v>
      </c>
      <c r="D260" s="81" t="s">
        <v>160</v>
      </c>
      <c r="E260" s="76" t="s">
        <v>370</v>
      </c>
      <c r="F260" s="5" t="s">
        <v>5</v>
      </c>
      <c r="G260" s="4"/>
      <c r="H260" s="4"/>
      <c r="I260" s="5" t="str">
        <f t="shared" si="26"/>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table</v>
      </c>
      <c r="T260" s="4" t="str">
        <f>IF(LEN(Table2[[#This Row],[!Length]]) &gt; 0, Table2[[#This Row],[!Length]], "rg:None")</f>
        <v>rg:None</v>
      </c>
      <c r="U260" s="4" t="str">
        <f>IF(LEN(Table2[[#This Row],[!Name]]) &gt; 0, Table2[[#This Row],[!Name]], "rg:None")</f>
        <v>History</v>
      </c>
      <c r="V260" s="4" t="str">
        <f>IF(LEN(Table2[[#This Row],[!Description]]) &gt; 0, Table2[[#This Row],[!Description]], "rg:None")</f>
        <v>A log entry created by the system based on a triggering event and related to an entity in the application - e.g. piece of Equipment, an Owner, a Project and so on.</v>
      </c>
      <c r="W260" s="4" t="str">
        <f>IF(LEN(Table2[[#This Row],[!FK]])&gt;0,Table2[[#This Row],[!FK]],"rg:None")</f>
        <v>rg:None</v>
      </c>
      <c r="X260" s="14" t="str">
        <f>IF(LEN(concatif2(A:A,Table2[[#This Row],[!Table]],G:G,"Y",D:D,",")) &gt; 0,"rg:[ { 'req' : '"&amp;concatif2(A:A,Table2[[#This Row],[!Table]],G:G,"Y",D:D,"' }, { 'req': '")&amp;"'} ]","rg:[]")</f>
        <v>rg:[ { 'req' : 'id' }, { 'req': 'historyText'} ]</v>
      </c>
      <c r="Y260" s="4" t="str">
        <f>IF(LEN(Table2[[#This Row],[!Unique]])&gt;0,"rg:True","rg:None")</f>
        <v>rg:None</v>
      </c>
    </row>
    <row r="261" spans="1:25" x14ac:dyDescent="0.3">
      <c r="A261" s="81" t="s">
        <v>160</v>
      </c>
      <c r="B261" s="5" t="s">
        <v>6</v>
      </c>
      <c r="D261" s="5" t="s">
        <v>6</v>
      </c>
      <c r="E261" s="54" t="s">
        <v>316</v>
      </c>
      <c r="F261" s="5" t="s">
        <v>5</v>
      </c>
      <c r="G261" s="4" t="s">
        <v>62</v>
      </c>
      <c r="H261" s="41"/>
      <c r="I261" s="5" t="str">
        <f t="shared" si="26"/>
        <v>Defs</v>
      </c>
      <c r="J261" s="4" t="str">
        <f>IF(Table2[[#This Row],[!Type]]=J$1, J$1,"rg:None")</f>
        <v>rg:None</v>
      </c>
      <c r="K261" s="4" t="str">
        <f>IF(Table2[[#This Row],[!Type]]=K$1, K$1,"rg:None")</f>
        <v>rg:None</v>
      </c>
      <c r="L261" s="4" t="str">
        <f>IF(Table2[[#This Row],[!Type]]=L$1, L$1,"rg:None")</f>
        <v>rg:None</v>
      </c>
      <c r="M261" s="4" t="str">
        <f>IF(Table2[[#This Row],[!Type]]=M$1, M$1,"rg:None")</f>
        <v>id</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id</v>
      </c>
      <c r="V261" s="4" t="str">
        <f>IF(LEN(Table2[[#This Row],[!Description]]) &gt; 0, Table2[[#This Row],[!Description]], "rg:None")</f>
        <v>A system-generated unique identifier for a History</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Row],[!Unique]])&gt;0,"rg:True","rg:None")</f>
        <v>rg:None</v>
      </c>
    </row>
    <row r="262" spans="1:25" x14ac:dyDescent="0.3">
      <c r="A262" s="81" t="s">
        <v>160</v>
      </c>
      <c r="B262" s="81" t="s">
        <v>7</v>
      </c>
      <c r="C262" s="5">
        <v>2048</v>
      </c>
      <c r="D262" s="106" t="s">
        <v>210</v>
      </c>
      <c r="E262" s="107" t="s">
        <v>211</v>
      </c>
      <c r="G262" s="41" t="s">
        <v>62</v>
      </c>
      <c r="H262" s="41"/>
      <c r="I262" s="5" t="str">
        <f t="shared" si="26"/>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string</v>
      </c>
      <c r="S262" s="4" t="str">
        <f>IF(Table2[[#This Row],[!Type]]=S$1, S$1,"rg:None")</f>
        <v>rg:None</v>
      </c>
      <c r="T262" s="4">
        <f>IF(LEN(Table2[[#This Row],[!Length]]) &gt; 0, Table2[[#This Row],[!Length]], "rg:None")</f>
        <v>2048</v>
      </c>
      <c r="U262" s="4" t="str">
        <f>IF(LEN(Table2[[#This Row],[!Name]]) &gt; 0, Table2[[#This Row],[!Name]], "rg:None")</f>
        <v>historyText</v>
      </c>
      <c r="V262" s="4" t="str">
        <f>IF(LEN(Table2[[#This Row],[!Description]]) &gt; 0, Table2[[#This Row],[!Description]], "rg:None")</f>
        <v>The text of the history entry tracked against the related entity.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Row],[!Unique]])&gt;0,"rg:True","rg:None")</f>
        <v>rg:None</v>
      </c>
    </row>
    <row r="263" spans="1:25" x14ac:dyDescent="0.3">
      <c r="A263" s="81" t="s">
        <v>160</v>
      </c>
      <c r="B263" s="19" t="s">
        <v>12</v>
      </c>
      <c r="C263" s="72"/>
      <c r="D263" s="31" t="s">
        <v>209</v>
      </c>
      <c r="E263" s="51" t="s">
        <v>161</v>
      </c>
      <c r="F263" s="12"/>
      <c r="G263" s="18"/>
      <c r="H263" s="18"/>
      <c r="I263" s="4" t="str">
        <f>IF(LEN(A263) &gt; 0,"Defs","-")</f>
        <v>Defs</v>
      </c>
      <c r="J263" s="14" t="str">
        <f>IF(Table2[[#This Row],[!Type]]=J$1, J$1,"rg:None")</f>
        <v>rg:None</v>
      </c>
      <c r="K263" s="14" t="str">
        <f>IF(Table2[[#This Row],[!Type]]=K$1, K$1,"rg:None")</f>
        <v>rg:None</v>
      </c>
      <c r="L263" s="14" t="str">
        <f>IF(Table2[[#This Row],[!Type]]=L$1, L$1,"rg:None")</f>
        <v>datetime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createdDate</v>
      </c>
      <c r="V263" s="14" t="str">
        <f>IF(LEN(Table2[[#This Row],[!Description]]) &gt; 0, Table2[[#This Row],[!Description]], "rg:None")</f>
        <v>Date the record is created.</v>
      </c>
      <c r="W263" s="14" t="str">
        <f>IF(LEN(Table2[[#This Row],[!FK]])&gt;0,Table2[[#This Row],[!FK]],"rg:None")</f>
        <v>rg:None</v>
      </c>
      <c r="X263" s="14" t="str">
        <f>IF(LEN(concatif2(A:A,Table2[[#This Row],[!Table]],G:G,"Y",D:D,",")) &gt; 0,"rg:[ { 'req' : '"&amp;concatif2(A:A,Table2[[#This Row],[!Table]],G:G,"Y",D:D,"' }, { 'req': '")&amp;"'} ]","rg:[]")</f>
        <v>rg:[ { 'req' : 'id' }, { 'req': 'historyText'} ]</v>
      </c>
      <c r="Y263" s="14" t="str">
        <f>IF(LEN(Table2[[#This Row],[!Unique]])&gt;0,"rg:True","rg:None")</f>
        <v>rg:None</v>
      </c>
    </row>
    <row r="264" spans="1:25" ht="28.8" x14ac:dyDescent="0.3">
      <c r="A264" s="5" t="s">
        <v>22</v>
      </c>
      <c r="B264" s="5" t="s">
        <v>4</v>
      </c>
      <c r="D264" s="5" t="s">
        <v>22</v>
      </c>
      <c r="E264" s="54" t="s">
        <v>63</v>
      </c>
      <c r="F264" s="5" t="s">
        <v>5</v>
      </c>
      <c r="G264" s="4"/>
      <c r="H264" s="4"/>
      <c r="I264" s="5" t="str">
        <f t="shared" ref="I264:I306" si="27">IF(LEN(A264) &gt; 0,"Defs","-")</f>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UserFavourite</v>
      </c>
      <c r="V264" s="8" t="str">
        <f>IF(LEN(Table2[[#This Row],[!Description]]) &gt; 0, Table2[[#This Row],[!Description]], "rg:None")</f>
        <v>User specific settings for a specific location in the UI. The location and saved settings are internally defined by the UI.</v>
      </c>
      <c r="W264" s="8" t="str">
        <f>IF(LEN(Table2[[#This Row],[!FK]])&gt;0,Table2[[#This Row],[!FK]],"rg:None")</f>
        <v>rg:None</v>
      </c>
      <c r="X264" s="8" t="str">
        <f>IF(LEN(concatif2(A:A,Table2[[#This Row],[!Table]],G:G,"Y",D:D,",")) &gt; 0,"rg:[ { 'req' : '"&amp;concatif2(A:A,Table2[[#This Row],[!Table]],G:G,"Y",D:D,"' }, { 'req': '")&amp;"'} ]","rg:[]")</f>
        <v>rg:[ { 'req' : 'id'} ]</v>
      </c>
      <c r="Y264" s="8" t="str">
        <f>IF(LEN(Table2[[#This Row],[!Unique]])&gt;0,"rg:True","rg:None")</f>
        <v>rg:None</v>
      </c>
    </row>
    <row r="265" spans="1:25" x14ac:dyDescent="0.3">
      <c r="A265" s="5" t="s">
        <v>22</v>
      </c>
      <c r="B265" s="5" t="s">
        <v>6</v>
      </c>
      <c r="D265" s="5" t="s">
        <v>6</v>
      </c>
      <c r="E265" s="54" t="s">
        <v>317</v>
      </c>
      <c r="F265" s="5" t="s">
        <v>5</v>
      </c>
      <c r="G265" s="4" t="s">
        <v>62</v>
      </c>
      <c r="H265" s="41"/>
      <c r="I265" s="5" t="str">
        <f t="shared" si="27"/>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UserFavourite</v>
      </c>
      <c r="W265" s="8" t="str">
        <f>IF(LEN(Table2[[#This Row],[!FK]])&gt;0,Table2[[#This Row],[!FK]],"rg:None")</f>
        <v>rg:None</v>
      </c>
      <c r="X265" s="8" t="str">
        <f>IF(LEN(concatif2(A:A,Table2[[#This Row],[!Table]],G:G,"Y",D:D,",")) &gt; 0,"rg:[ { 'req' : '"&amp;concatif2(A:A,Table2[[#This Row],[!Table]],G:G,"Y",D:D,"' }, { 'req': '")&amp;"'} ]","rg:[]")</f>
        <v>rg:[ { 'req' : 'id'} ]</v>
      </c>
      <c r="Y265" s="8" t="str">
        <f>IF(LEN(Table2[[#This Row],[!Unique]])&gt;0,"rg:True","rg:None")</f>
        <v>rg:None</v>
      </c>
    </row>
    <row r="266" spans="1:25" ht="28.8" x14ac:dyDescent="0.3">
      <c r="A266" s="5" t="s">
        <v>22</v>
      </c>
      <c r="B266" s="5" t="s">
        <v>7</v>
      </c>
      <c r="C266" s="5">
        <v>150</v>
      </c>
      <c r="D266" s="5" t="s">
        <v>15</v>
      </c>
      <c r="E266" s="54" t="s">
        <v>23</v>
      </c>
      <c r="F266" s="5" t="s">
        <v>5</v>
      </c>
      <c r="G266" s="4"/>
      <c r="H266" s="4"/>
      <c r="I266" s="5" t="str">
        <f t="shared" si="27"/>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user-defined name for the recorded settings. Allows the user to save different groups of settings and access each one easily when needed.</v>
      </c>
      <c r="W266" s="8" t="str">
        <f>IF(LEN(Table2[[#This Row],[!FK]])&gt;0,Table2[[#This Row],[!FK]],"rg:None")</f>
        <v>rg:None</v>
      </c>
      <c r="X266" s="8" t="str">
        <f>IF(LEN(concatif2(A:A,Table2[[#This Row],[!Table]],G:G,"Y",D:D,",")) &gt; 0,"rg:[ { 'req' : '"&amp;concatif2(A:A,Table2[[#This Row],[!Table]],G:G,"Y",D:D,"' }, { 'req': '")&amp;"'} ]","rg:[]")</f>
        <v>rg:[ { 'req' : 'id'} ]</v>
      </c>
      <c r="Y266" s="8" t="str">
        <f>IF(LEN(Table2[[#This Row],[!Unique]])&gt;0,"rg:True","rg:None")</f>
        <v>rg:None</v>
      </c>
    </row>
    <row r="267" spans="1:25" ht="28.8" x14ac:dyDescent="0.3">
      <c r="A267" s="5" t="s">
        <v>22</v>
      </c>
      <c r="B267" s="5" t="s">
        <v>7</v>
      </c>
      <c r="C267" s="5">
        <v>2048</v>
      </c>
      <c r="D267" s="5" t="s">
        <v>24</v>
      </c>
      <c r="E267" s="54" t="s">
        <v>25</v>
      </c>
      <c r="F267" s="5" t="s">
        <v>5</v>
      </c>
      <c r="G267" s="4"/>
      <c r="H267" s="4"/>
      <c r="I267" s="5" t="str">
        <f t="shared" si="27"/>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2048</v>
      </c>
      <c r="U267" s="8" t="str">
        <f>IF(LEN(Table2[[#This Row],[!Name]]) &gt; 0, Table2[[#This Row],[!Name]], "rg:None")</f>
        <v>value</v>
      </c>
      <c r="V267" s="8" t="str">
        <f>IF(LEN(Table2[[#This Row],[!Description]]) &gt; 0, Table2[[#This Row],[!Description]], "rg:None")</f>
        <v>The settings saved by the user. In general,  a UI defined chunk of json that stores the settings in place when the user created the favourite.</v>
      </c>
      <c r="W267" s="8" t="str">
        <f>IF(LEN(Table2[[#This Row],[!FK]])&gt;0,Table2[[#This Row],[!FK]],"rg:None")</f>
        <v>rg:None</v>
      </c>
      <c r="X267" s="8" t="str">
        <f>IF(LEN(concatif2(A:A,Table2[[#This Row],[!Table]],G:G,"Y",D:D,",")) &gt; 0,"rg:[ { 'req' : '"&amp;concatif2(A:A,Table2[[#This Row],[!Table]],G:G,"Y",D:D,"' }, { 'req': '")&amp;"'} ]","rg:[]")</f>
        <v>rg:[ { 'req' : 'id'} ]</v>
      </c>
      <c r="Y267" s="8" t="str">
        <f>IF(LEN(Table2[[#This Row],[!Unique]])&gt;0,"rg:True","rg:None")</f>
        <v>rg:None</v>
      </c>
    </row>
    <row r="268" spans="1:25" ht="57.6" x14ac:dyDescent="0.3">
      <c r="A268" s="5" t="s">
        <v>22</v>
      </c>
      <c r="B268" s="5" t="s">
        <v>9</v>
      </c>
      <c r="D268" s="5" t="s">
        <v>26</v>
      </c>
      <c r="E268" s="54" t="s">
        <v>27</v>
      </c>
      <c r="F268" s="5" t="s">
        <v>5</v>
      </c>
      <c r="G268" s="4"/>
      <c r="H268" s="4"/>
      <c r="I268" s="5" t="str">
        <f t="shared" si="27"/>
        <v>Defs</v>
      </c>
      <c r="J268" s="8" t="str">
        <f>IF(Table2[[#This Row],[!Type]]=J$1, J$1,"rg:None")</f>
        <v>boolean</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isDefault</v>
      </c>
      <c r="V26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8" s="8" t="str">
        <f>IF(LEN(Table2[[#This Row],[!FK]])&gt;0,Table2[[#This Row],[!FK]],"rg:None")</f>
        <v>rg:None</v>
      </c>
      <c r="X268" s="8" t="str">
        <f>IF(LEN(concatif2(A:A,Table2[[#This Row],[!Table]],G:G,"Y",D:D,",")) &gt; 0,"rg:[ { 'req' : '"&amp;concatif2(A:A,Table2[[#This Row],[!Table]],G:G,"Y",D:D,"' }, { 'req': '")&amp;"'} ]","rg:[]")</f>
        <v>rg:[ { 'req' : 'id'} ]</v>
      </c>
      <c r="Y268" s="8" t="str">
        <f>IF(LEN(Table2[[#This Row],[!Unique]])&gt;0,"rg:True","rg:None")</f>
        <v>rg:None</v>
      </c>
    </row>
    <row r="269" spans="1:25" x14ac:dyDescent="0.3">
      <c r="A269" s="5" t="s">
        <v>22</v>
      </c>
      <c r="B269" s="108" t="s">
        <v>7</v>
      </c>
      <c r="C269" s="5">
        <v>150</v>
      </c>
      <c r="D269" s="108" t="s">
        <v>20</v>
      </c>
      <c r="E269" s="52" t="s">
        <v>215</v>
      </c>
      <c r="G269" s="4"/>
      <c r="H269" s="4"/>
      <c r="I269" s="5" t="str">
        <f t="shared" si="27"/>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type</v>
      </c>
      <c r="V269" s="8" t="str">
        <f>IF(LEN(Table2[[#This Row],[!Description]]) &gt; 0, Table2[[#This Row],[!Description]], "rg:None")</f>
        <v>The type of Favourite</v>
      </c>
      <c r="W269" s="8" t="str">
        <f>IF(LEN(Table2[[#This Row],[!FK]])&gt;0,Table2[[#This Row],[!FK]],"rg:None")</f>
        <v>rg:None</v>
      </c>
      <c r="X269" s="8" t="str">
        <f>IF(LEN(concatif2(A:A,Table2[[#This Row],[!Table]],G:G,"Y",D:D,",")) &gt; 0,"rg:[ { 'req' : '"&amp;concatif2(A:A,Table2[[#This Row],[!Table]],G:G,"Y",D:D,"' }, { 'req': '")&amp;"'} ]","rg:[]")</f>
        <v>rg:[ { 'req' : 'id'} ]</v>
      </c>
      <c r="Y269" s="8" t="str">
        <f>IF(LEN(Table2[[#This Row],[!Unique]])&gt;0,"rg:True","rg:None")</f>
        <v>rg:None</v>
      </c>
    </row>
    <row r="270" spans="1:25" x14ac:dyDescent="0.3">
      <c r="A270" s="38" t="s">
        <v>22</v>
      </c>
      <c r="B270" s="38" t="s">
        <v>8</v>
      </c>
      <c r="C270" s="72"/>
      <c r="D270" s="38" t="s">
        <v>0</v>
      </c>
      <c r="E270" s="53" t="s">
        <v>216</v>
      </c>
      <c r="F270" s="39" t="s">
        <v>0</v>
      </c>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rg:None</v>
      </c>
      <c r="O270" s="14"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User</v>
      </c>
      <c r="V270" s="14" t="str">
        <f>IF(LEN(Table2[[#This Row],[!Description]]) &gt; 0, Table2[[#This Row],[!Description]], "rg:None")</f>
        <v>The User who has this Favourite</v>
      </c>
      <c r="W270" s="14" t="str">
        <f>IF(LEN(Table2[[#This Row],[!FK]])&gt;0,Table2[[#This Row],[!FK]],"rg:None")</f>
        <v>User</v>
      </c>
      <c r="X270" s="14" t="str">
        <f>IF(LEN(concatif2(A:A,Table2[[#This Row],[!Table]],G:G,"Y",D:D,",")) &gt; 0,"rg:[ { 'req' : '"&amp;concatif2(A:A,Table2[[#This Row],[!Table]],G:G,"Y",D:D,"' }, { 'req': '")&amp;"'} ]","rg:[]")</f>
        <v>rg:[ { 'req' : 'id'} ]</v>
      </c>
      <c r="Y270" s="14" t="str">
        <f>IF(LEN(Table2[[#This Row],[!Unique]])&gt;0,"rg:True","rg:None")</f>
        <v>rg:None</v>
      </c>
    </row>
    <row r="271" spans="1:25" x14ac:dyDescent="0.3">
      <c r="A271" s="5" t="s">
        <v>28</v>
      </c>
      <c r="B271" s="5" t="s">
        <v>4</v>
      </c>
      <c r="D271" s="5" t="s">
        <v>28</v>
      </c>
      <c r="E271" s="76" t="s">
        <v>402</v>
      </c>
      <c r="F271" s="5" t="s">
        <v>5</v>
      </c>
      <c r="G271" s="4"/>
      <c r="H271" s="4"/>
      <c r="I271" s="5" t="str">
        <f t="shared" si="27"/>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Region</v>
      </c>
      <c r="V271" s="8" t="str">
        <f>IF(LEN(Table2[[#This Row],[!Description]]) &gt; 0, Table2[[#This Row],[!Description]], "rg:None")</f>
        <v>The Ministry of Transportion and Infrastructure REGION.</v>
      </c>
      <c r="W271" s="8" t="str">
        <f>IF(LEN(Table2[[#This Row],[!FK]])&gt;0,Table2[[#This Row],[!FK]],"rg:None")</f>
        <v>rg:None</v>
      </c>
      <c r="X271" s="8" t="str">
        <f>IF(LEN(concatif2(A:A,Table2[[#This Row],[!Table]],G:G,"Y",D:D,",")) &gt; 0,"rg:[ { 'req' : '"&amp;concatif2(A:A,Table2[[#This Row],[!Table]],G:G,"Y",D:D,"' }, { 'req': '")&amp;"'} ]","rg:[]")</f>
        <v>rg:[ { 'req' : 'id' }, { 'req': 'ministryRegionID' }, { 'req': 'name' }, { 'req': 'startDate'} ]</v>
      </c>
      <c r="Y271" s="8" t="str">
        <f>IF(LEN(Table2[[#This Row],[!Unique]])&gt;0,"rg:True","rg:None")</f>
        <v>rg:None</v>
      </c>
    </row>
    <row r="272" spans="1:25" x14ac:dyDescent="0.3">
      <c r="A272" s="5" t="s">
        <v>28</v>
      </c>
      <c r="B272" s="5" t="s">
        <v>6</v>
      </c>
      <c r="D272" s="5" t="s">
        <v>6</v>
      </c>
      <c r="E272" s="54" t="s">
        <v>318</v>
      </c>
      <c r="F272" s="5" t="s">
        <v>5</v>
      </c>
      <c r="G272" s="4" t="s">
        <v>62</v>
      </c>
      <c r="H272" s="41"/>
      <c r="I272" s="5" t="str">
        <f t="shared" si="27"/>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Row],[!Unique]])&gt;0,"rg:True","rg:None")</f>
        <v>rg:None</v>
      </c>
    </row>
    <row r="273" spans="1:25" x14ac:dyDescent="0.3">
      <c r="A273" s="5" t="s">
        <v>28</v>
      </c>
      <c r="B273" s="5" t="s">
        <v>13</v>
      </c>
      <c r="D273" s="5" t="s">
        <v>29</v>
      </c>
      <c r="E273" s="76" t="s">
        <v>407</v>
      </c>
      <c r="F273" s="5" t="s">
        <v>5</v>
      </c>
      <c r="G273" s="41" t="s">
        <v>62</v>
      </c>
      <c r="H273" s="41" t="s">
        <v>62</v>
      </c>
      <c r="I273" s="5" t="str">
        <f t="shared" si="27"/>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ministryRegionID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Row],[!Unique]])&gt;0,"rg:True","rg:None")</f>
        <v>rg:True</v>
      </c>
    </row>
    <row r="274" spans="1:25" x14ac:dyDescent="0.3">
      <c r="A274" s="61" t="s">
        <v>28</v>
      </c>
      <c r="B274" s="61" t="s">
        <v>13</v>
      </c>
      <c r="C274" s="72"/>
      <c r="D274" s="61" t="s">
        <v>403</v>
      </c>
      <c r="E274" s="60"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regionNumber</v>
      </c>
      <c r="V274" s="14" t="str">
        <f>IF(LEN(Table2[[#This Row],[!Description]]) &gt; 0, Table2[[#This Row],[!Description]], "rg:None")</f>
        <v>A code that uniquely defines a Region.</v>
      </c>
      <c r="W274" s="14" t="str">
        <f>IF(LEN(Table2[[#This Row],[!FK]])&gt;0,Table2[[#This Row],[!FK]],"rg:None")</f>
        <v>rg:None</v>
      </c>
      <c r="X274" s="14" t="str">
        <f>IF(LEN(concatif2(A:A,Table2[[#This Row],[!Table]],G:G,"Y",D:D,",")) &gt; 0,"rg:[ { 'req' : '"&amp;concatif2(A:A,Table2[[#This Row],[!Table]],G:G,"Y",D:D,"' }, { 'req': '")&amp;"'} ]","rg:[]")</f>
        <v>rg:[ { 'req' : 'id' }, { 'req': 'ministryRegionID' }, { 'req': 'name' }, { 'req': 'startDate'} ]</v>
      </c>
      <c r="Y274" s="14" t="str">
        <f>IF(LEN(Table2[[#This Row],[!Unique]])&gt;0,"rg:True","rg:None")</f>
        <v>rg:None</v>
      </c>
    </row>
    <row r="275" spans="1:25" x14ac:dyDescent="0.3">
      <c r="A275" s="5" t="s">
        <v>28</v>
      </c>
      <c r="B275" s="5" t="s">
        <v>7</v>
      </c>
      <c r="C275" s="5">
        <v>150</v>
      </c>
      <c r="D275" s="5" t="s">
        <v>15</v>
      </c>
      <c r="E275" s="76" t="s">
        <v>405</v>
      </c>
      <c r="F275" s="5" t="s">
        <v>5</v>
      </c>
      <c r="G275" s="41" t="s">
        <v>62</v>
      </c>
      <c r="H275" s="41"/>
      <c r="I275" s="5" t="str">
        <f t="shared" si="27"/>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Minsitry Region.</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Row],[!Unique]])&gt;0,"rg:True","rg:None")</f>
        <v>rg:None</v>
      </c>
    </row>
    <row r="276" spans="1:25" ht="28.8" x14ac:dyDescent="0.3">
      <c r="A276" s="5" t="s">
        <v>28</v>
      </c>
      <c r="B276" s="5" t="s">
        <v>12</v>
      </c>
      <c r="D276" s="5" t="s">
        <v>30</v>
      </c>
      <c r="E276" s="76" t="s">
        <v>411</v>
      </c>
      <c r="F276" s="5" t="s">
        <v>5</v>
      </c>
      <c r="G276" s="63" t="s">
        <v>62</v>
      </c>
      <c r="H276" s="4"/>
      <c r="I276" s="5" t="str">
        <f t="shared" si="27"/>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Row],[!Unique]])&gt;0,"rg:True","rg:None")</f>
        <v>rg:None</v>
      </c>
    </row>
    <row r="277" spans="1:25" ht="28.8" x14ac:dyDescent="0.3">
      <c r="A277" s="5" t="s">
        <v>28</v>
      </c>
      <c r="B277" s="5" t="s">
        <v>12</v>
      </c>
      <c r="D277" s="5" t="s">
        <v>31</v>
      </c>
      <c r="E277" s="76" t="s">
        <v>412</v>
      </c>
      <c r="F277" s="5" t="s">
        <v>5</v>
      </c>
      <c r="G277" s="4"/>
      <c r="H277" s="4"/>
      <c r="I277" s="5" t="str">
        <f t="shared" si="27"/>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Row],[!Unique]])&gt;0,"rg:True","rg:None")</f>
        <v>rg:None</v>
      </c>
    </row>
    <row r="278" spans="1:25" x14ac:dyDescent="0.3">
      <c r="A278" s="5" t="s">
        <v>32</v>
      </c>
      <c r="B278" s="5" t="s">
        <v>4</v>
      </c>
      <c r="D278" s="5" t="s">
        <v>32</v>
      </c>
      <c r="E278" s="76" t="s">
        <v>406</v>
      </c>
      <c r="F278" s="5" t="s">
        <v>5</v>
      </c>
      <c r="G278" s="4"/>
      <c r="H278" s="4"/>
      <c r="I278" s="5" t="str">
        <f t="shared" si="27"/>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District</v>
      </c>
      <c r="V278" s="8" t="str">
        <f>IF(LEN(Table2[[#This Row],[!Description]]) &gt; 0, Table2[[#This Row],[!Description]], "rg:None")</f>
        <v>The Ministry of Transportion and Infrastructure DISTRICT</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32</v>
      </c>
      <c r="B279" s="5" t="s">
        <v>6</v>
      </c>
      <c r="D279" s="5" t="s">
        <v>6</v>
      </c>
      <c r="E279" s="54" t="s">
        <v>319</v>
      </c>
      <c r="F279" s="5" t="s">
        <v>5</v>
      </c>
      <c r="G279" s="4" t="s">
        <v>62</v>
      </c>
      <c r="H279" s="41"/>
      <c r="I279" s="5" t="str">
        <f t="shared" si="27"/>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Row],[!Unique]])&gt;0,"rg:True","rg:None")</f>
        <v>rg:None</v>
      </c>
    </row>
    <row r="280" spans="1:25" x14ac:dyDescent="0.3">
      <c r="A280" s="5" t="s">
        <v>32</v>
      </c>
      <c r="B280" s="5" t="s">
        <v>13</v>
      </c>
      <c r="D280" s="5" t="s">
        <v>33</v>
      </c>
      <c r="E280" s="76" t="s">
        <v>407</v>
      </c>
      <c r="F280" s="5" t="s">
        <v>5</v>
      </c>
      <c r="G280" s="41" t="s">
        <v>62</v>
      </c>
      <c r="H280" s="41"/>
      <c r="I280" s="5" t="str">
        <f t="shared" si="27"/>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ministryDistrictID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Row],[!Unique]])&gt;0,"rg:True","rg:None")</f>
        <v>rg:None</v>
      </c>
    </row>
    <row r="281" spans="1:25" x14ac:dyDescent="0.3">
      <c r="A281" s="5" t="s">
        <v>32</v>
      </c>
      <c r="B281" s="5" t="s">
        <v>7</v>
      </c>
      <c r="C281" s="5">
        <v>150</v>
      </c>
      <c r="D281" s="5" t="s">
        <v>15</v>
      </c>
      <c r="E281" s="76" t="s">
        <v>408</v>
      </c>
      <c r="F281" s="5" t="s">
        <v>5</v>
      </c>
      <c r="G281" s="41" t="s">
        <v>62</v>
      </c>
      <c r="H281" s="41"/>
      <c r="I281" s="5" t="str">
        <f t="shared" si="27"/>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name</v>
      </c>
      <c r="V281" s="8" t="str">
        <f>IF(LEN(Table2[[#This Row],[!Description]]) &gt; 0, Table2[[#This Row],[!Description]], "rg:None")</f>
        <v>The Name of a Ministry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Row],[!Unique]])&gt;0,"rg:True","rg:None")</f>
        <v>rg:None</v>
      </c>
    </row>
    <row r="282" spans="1:25" x14ac:dyDescent="0.3">
      <c r="A282" s="61" t="s">
        <v>32</v>
      </c>
      <c r="B282" s="61" t="s">
        <v>13</v>
      </c>
      <c r="C282" s="72"/>
      <c r="D282" s="61" t="s">
        <v>409</v>
      </c>
      <c r="E282" s="47" t="s">
        <v>410</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districtNumber</v>
      </c>
      <c r="V282" s="14" t="str">
        <f>IF(LEN(Table2[[#This Row],[!Description]]) &gt; 0, Table2[[#This Row],[!Description]], "rg:None")</f>
        <v>A number that uniquely defines a Ministry District.</v>
      </c>
      <c r="W282" s="14" t="str">
        <f>IF(LEN(Table2[[#This Row],[!FK]])&gt;0,Table2[[#This Row],[!FK]],"rg:None")</f>
        <v>rg:None</v>
      </c>
      <c r="X282" s="14" t="str">
        <f>IF(LEN(concatif2(A:A,Table2[[#This Row],[!Table]],G:G,"Y",D:D,",")) &gt; 0,"rg:[ { 'req' : '"&amp;concatif2(A:A,Table2[[#This Row],[!Table]],G:G,"Y",D:D,"' }, { 'req': '")&amp;"'} ]","rg:[]")</f>
        <v>rg:[ { 'req' : 'id' }, { 'req': 'ministryDistrictID' }, { 'req': 'name' }, { 'req': 'region' }, { 'req': 'startDate'} ]</v>
      </c>
      <c r="Y282" s="14" t="str">
        <f>IF(LEN(Table2[[#This Row],[!Unique]])&gt;0,"rg:True","rg:None")</f>
        <v>rg:None</v>
      </c>
    </row>
    <row r="283" spans="1:25" x14ac:dyDescent="0.3">
      <c r="A283" s="5" t="s">
        <v>32</v>
      </c>
      <c r="B283" s="5" t="s">
        <v>8</v>
      </c>
      <c r="D283" s="5" t="s">
        <v>34</v>
      </c>
      <c r="E283" s="54" t="s">
        <v>35</v>
      </c>
      <c r="F283" s="5" t="s">
        <v>28</v>
      </c>
      <c r="G283" s="63" t="s">
        <v>62</v>
      </c>
      <c r="H283" s="4"/>
      <c r="I283" s="5" t="str">
        <f t="shared" si="27"/>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region</v>
      </c>
      <c r="V283" s="8" t="str">
        <f>IF(LEN(Table2[[#This Row],[!Description]]) &gt; 0, Table2[[#This Row],[!Description]], "rg:None")</f>
        <v>The region in which the District is found.</v>
      </c>
      <c r="W283" s="8" t="str">
        <f>IF(LEN(Table2[[#This Row],[!FK]])&gt;0,Table2[[#This Row],[!FK]],"rg:None")</f>
        <v>Region</v>
      </c>
      <c r="X283" s="8" t="str">
        <f>IF(LEN(concatif2(A:A,Table2[[#This Row],[!Table]],G:G,"Y",D:D,",")) &gt; 0,"rg:[ { 'req' : '"&amp;concatif2(A:A,Table2[[#This Row],[!Table]],G:G,"Y",D:D,"' }, { 'req': '")&amp;"'} ]","rg:[]")</f>
        <v>rg:[ { 'req' : 'id' }, { 'req': 'ministryDistrictID' }, { 'req': 'name' }, { 'req': 'region' }, { 'req': 'startDate'} ]</v>
      </c>
      <c r="Y283" s="8" t="str">
        <f>IF(LEN(Table2[[#This Row],[!Unique]])&gt;0,"rg:True","rg:None")</f>
        <v>rg:None</v>
      </c>
    </row>
    <row r="284" spans="1:25" ht="28.8" x14ac:dyDescent="0.3">
      <c r="A284" s="5" t="s">
        <v>32</v>
      </c>
      <c r="B284" s="5" t="s">
        <v>12</v>
      </c>
      <c r="D284" s="5" t="s">
        <v>30</v>
      </c>
      <c r="E284" s="76" t="s">
        <v>411</v>
      </c>
      <c r="F284" s="5" t="s">
        <v>5</v>
      </c>
      <c r="G284" s="63" t="s">
        <v>62</v>
      </c>
      <c r="H284" s="4"/>
      <c r="I284" s="5" t="str">
        <f t="shared" si="27"/>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'ministryDistrictID' }, { 'req': 'name' }, { 'req': 'region' }, { 'req': 'startDate'} ]</v>
      </c>
      <c r="Y284" s="8" t="str">
        <f>IF(LEN(Table2[[#This Row],[!Unique]])&gt;0,"rg:True","rg:None")</f>
        <v>rg:None</v>
      </c>
    </row>
    <row r="285" spans="1:25" ht="28.8" x14ac:dyDescent="0.3">
      <c r="A285" s="5" t="s">
        <v>32</v>
      </c>
      <c r="B285" s="5" t="s">
        <v>12</v>
      </c>
      <c r="D285" s="5" t="s">
        <v>31</v>
      </c>
      <c r="E285" s="76" t="s">
        <v>412</v>
      </c>
      <c r="F285" s="5" t="s">
        <v>5</v>
      </c>
      <c r="G285" s="4"/>
      <c r="H285" s="4"/>
      <c r="I285" s="5" t="str">
        <f t="shared" si="27"/>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Row],[!Unique]])&gt;0,"rg:True","rg:None")</f>
        <v>rg:None</v>
      </c>
    </row>
    <row r="286" spans="1:25" x14ac:dyDescent="0.3">
      <c r="A286" s="5" t="s">
        <v>10</v>
      </c>
      <c r="B286" s="5" t="s">
        <v>4</v>
      </c>
      <c r="D286" s="5" t="s">
        <v>10</v>
      </c>
      <c r="E286" s="54" t="s">
        <v>416</v>
      </c>
      <c r="F286" s="5" t="s">
        <v>5</v>
      </c>
      <c r="G286" s="4"/>
      <c r="H286" s="4"/>
      <c r="I286" s="5" t="str">
        <f t="shared" si="27"/>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ServiceArea</v>
      </c>
      <c r="V286" s="8" t="str">
        <f>IF(LEN(Table2[[#This Row],[!Description]]) &gt; 0, Table2[[#This Row],[!Description]], "rg:None")</f>
        <v>The Ministry of Transportation and Infrastructure SERVICE AREA.</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5" t="s">
        <v>10</v>
      </c>
      <c r="B287" s="5" t="s">
        <v>6</v>
      </c>
      <c r="D287" s="5" t="s">
        <v>6</v>
      </c>
      <c r="E287" s="54" t="s">
        <v>320</v>
      </c>
      <c r="F287" s="5" t="s">
        <v>5</v>
      </c>
      <c r="G287" s="4" t="s">
        <v>62</v>
      </c>
      <c r="H287" s="41" t="s">
        <v>62</v>
      </c>
      <c r="I287" s="5" t="str">
        <f t="shared" si="27"/>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ServiceArea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Row],[!Unique]])&gt;0,"rg:True","rg:None")</f>
        <v>rg:True</v>
      </c>
    </row>
    <row r="288" spans="1:25" x14ac:dyDescent="0.3">
      <c r="A288" s="5" t="s">
        <v>10</v>
      </c>
      <c r="B288" s="5" t="s">
        <v>13</v>
      </c>
      <c r="D288" s="5" t="s">
        <v>36</v>
      </c>
      <c r="E288" s="76" t="s">
        <v>407</v>
      </c>
      <c r="F288" s="5" t="s">
        <v>5</v>
      </c>
      <c r="G288" s="41" t="s">
        <v>62</v>
      </c>
      <c r="H288" s="41"/>
      <c r="I288" s="5" t="str">
        <f t="shared" si="27"/>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ministryServiceAreaID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Row],[!Unique]])&gt;0,"rg:True","rg:None")</f>
        <v>rg:None</v>
      </c>
    </row>
    <row r="289" spans="1:25" x14ac:dyDescent="0.3">
      <c r="A289" s="61" t="s">
        <v>10</v>
      </c>
      <c r="B289" s="61" t="s">
        <v>13</v>
      </c>
      <c r="C289" s="72"/>
      <c r="D289" s="61" t="s">
        <v>414</v>
      </c>
      <c r="E289" s="47" t="s">
        <v>415</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areaNumber</v>
      </c>
      <c r="V289" s="14" t="str">
        <f>IF(LEN(Table2[[#This Row],[!Description]]) &gt; 0, Table2[[#This Row],[!Description]], "rg:None")</f>
        <v>A number that uniquely defines a Ministry Service Area.</v>
      </c>
      <c r="W289" s="14" t="str">
        <f>IF(LEN(Table2[[#This Row],[!FK]])&gt;0,Table2[[#This Row],[!FK]],"rg:None")</f>
        <v>rg:None</v>
      </c>
      <c r="X289" s="14" t="str">
        <f>IF(LEN(concatif2(A:A,Table2[[#This Row],[!Table]],G:G,"Y",D:D,",")) &gt; 0,"rg:[ { 'req' : '"&amp;concatif2(A:A,Table2[[#This Row],[!Table]],G:G,"Y",D:D,"' }, { 'req': '")&amp;"'} ]","rg:[]")</f>
        <v>rg:[ { 'req' : 'id' }, { 'req': 'ministryServiceAreaID' }, { 'req': 'name' }, { 'req': 'district' }, { 'req': 'startDate'} ]</v>
      </c>
      <c r="Y289" s="14" t="str">
        <f>IF(LEN(Table2[[#This Row],[!Unique]])&gt;0,"rg:True","rg:None")</f>
        <v>rg:None</v>
      </c>
    </row>
    <row r="290" spans="1:25" x14ac:dyDescent="0.3">
      <c r="A290" s="5" t="s">
        <v>10</v>
      </c>
      <c r="B290" s="5" t="s">
        <v>7</v>
      </c>
      <c r="C290" s="5">
        <v>150</v>
      </c>
      <c r="D290" s="5" t="s">
        <v>15</v>
      </c>
      <c r="E290" s="76" t="s">
        <v>413</v>
      </c>
      <c r="F290" s="5" t="s">
        <v>5</v>
      </c>
      <c r="G290" s="41" t="s">
        <v>62</v>
      </c>
      <c r="H290" s="41"/>
      <c r="I290" s="5" t="str">
        <f t="shared" si="27"/>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Service Area.</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Row],[!Unique]])&gt;0,"rg:True","rg:None")</f>
        <v>rg:None</v>
      </c>
    </row>
    <row r="291" spans="1:25" x14ac:dyDescent="0.3">
      <c r="A291" s="5" t="s">
        <v>10</v>
      </c>
      <c r="B291" s="5" t="s">
        <v>8</v>
      </c>
      <c r="D291" s="5" t="s">
        <v>37</v>
      </c>
      <c r="E291" s="54" t="s">
        <v>38</v>
      </c>
      <c r="F291" s="5" t="s">
        <v>32</v>
      </c>
      <c r="G291" s="63" t="s">
        <v>62</v>
      </c>
      <c r="H291" s="4"/>
      <c r="I291" s="5" t="str">
        <f t="shared" si="27"/>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district</v>
      </c>
      <c r="V291" s="8" t="str">
        <f>IF(LEN(Table2[[#This Row],[!Description]]) &gt; 0, Table2[[#This Row],[!Description]], "rg:None")</f>
        <v>The district in which the Service Area is found.</v>
      </c>
      <c r="W291" s="8" t="str">
        <f>IF(LEN(Table2[[#This Row],[!FK]])&gt;0,Table2[[#This Row],[!FK]],"rg:None")</f>
        <v>District</v>
      </c>
      <c r="X291" s="8" t="str">
        <f>IF(LEN(concatif2(A:A,Table2[[#This Row],[!Table]],G:G,"Y",D:D,",")) &gt; 0,"rg:[ { 'req' : '"&amp;concatif2(A:A,Table2[[#This Row],[!Table]],G:G,"Y",D:D,"' }, { 'req': '")&amp;"'} ]","rg:[]")</f>
        <v>rg:[ { 'req' : 'id' }, { 'req': 'ministryServiceAreaID' }, { 'req': 'name' }, { 'req': 'district' }, { 'req': 'startDate'} ]</v>
      </c>
      <c r="Y291" s="8" t="str">
        <f>IF(LEN(Table2[[#This Row],[!Unique]])&gt;0,"rg:True","rg:None")</f>
        <v>rg:None</v>
      </c>
    </row>
    <row r="292" spans="1:25" ht="28.8" x14ac:dyDescent="0.3">
      <c r="A292" s="5" t="s">
        <v>10</v>
      </c>
      <c r="B292" s="5" t="s">
        <v>12</v>
      </c>
      <c r="D292" s="5" t="s">
        <v>30</v>
      </c>
      <c r="E292" s="76" t="s">
        <v>411</v>
      </c>
      <c r="F292" s="5" t="s">
        <v>5</v>
      </c>
      <c r="G292" s="63" t="s">
        <v>62</v>
      </c>
      <c r="H292" s="4"/>
      <c r="I292" s="5" t="str">
        <f t="shared" si="27"/>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Row],[!Unique]])&gt;0,"rg:True","rg:None")</f>
        <v>rg:None</v>
      </c>
    </row>
    <row r="293" spans="1:25" ht="28.8" x14ac:dyDescent="0.3">
      <c r="A293" s="5" t="s">
        <v>10</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Row],[!Unique]])&gt;0,"rg:True","rg:None")</f>
        <v>rg:None</v>
      </c>
    </row>
    <row r="294" spans="1:25" x14ac:dyDescent="0.3">
      <c r="A294" s="109" t="s">
        <v>151</v>
      </c>
      <c r="B294" s="5" t="s">
        <v>4</v>
      </c>
      <c r="D294" s="109" t="s">
        <v>151</v>
      </c>
      <c r="E294" s="76" t="s">
        <v>371</v>
      </c>
      <c r="F294" s="5" t="s">
        <v>5</v>
      </c>
      <c r="G294" s="4"/>
      <c r="H294" s="4"/>
      <c r="I294" s="5" t="str">
        <f>IF(LEN(A294) &gt; 0,"Defs","-")</f>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LocalArea</v>
      </c>
      <c r="V294" s="8" t="str">
        <f>IF(LEN(Table2[[#This Row],[!Description]]) &gt; 0, Table2[[#This Row],[!Description]], "rg:None")</f>
        <v>A HETS-application defined area that is within a Service Area.</v>
      </c>
      <c r="W294" s="8" t="str">
        <f>IF(LEN(Table2[[#This Row],[!FK]])&gt;0,Table2[[#This Row],[!FK]],"rg:None")</f>
        <v>rg:None</v>
      </c>
      <c r="X294" s="8" t="str">
        <f>IF(LEN(concatif2(A:A,Table2[[#This Row],[!Table]],G:G,"Y",D:D,",")) &gt; 0,"rg:[ { 'req' : '"&amp;concatif2(A:A,Table2[[#This Row],[!Table]],G:G,"Y",D:D,"' }, { 'req': '")&amp;"'} ]","rg:[]")</f>
        <v>rg:[ { 'req' : 'id' }, { 'req': 'startDate'} ]</v>
      </c>
      <c r="Y294" s="8" t="str">
        <f>IF(LEN(Table2[[#This Row],[!Unique]])&gt;0,"rg:True","rg:None")</f>
        <v>rg:None</v>
      </c>
    </row>
    <row r="295" spans="1:25" x14ac:dyDescent="0.3">
      <c r="A295" s="109" t="s">
        <v>151</v>
      </c>
      <c r="B295" s="5" t="s">
        <v>6</v>
      </c>
      <c r="D295" s="5" t="s">
        <v>6</v>
      </c>
      <c r="E295" s="54" t="s">
        <v>349</v>
      </c>
      <c r="F295" s="5" t="s">
        <v>5</v>
      </c>
      <c r="G295" s="4" t="s">
        <v>62</v>
      </c>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LocalArea</v>
      </c>
      <c r="W295" s="8" t="str">
        <f>IF(LEN(Table2[[#This Row],[!FK]])&gt;0,Table2[[#This Row],[!FK]],"rg:None")</f>
        <v>rg:None</v>
      </c>
      <c r="X295" s="8" t="str">
        <f>IF(LEN(concatif2(A:A,Table2[[#This Row],[!Table]],G:G,"Y",D:D,",")) &gt; 0,"rg:[ { 'req' : '"&amp;concatif2(A:A,Table2[[#This Row],[!Table]],G:G,"Y",D:D,"' }, { 'req': '")&amp;"'} ]","rg:[]")</f>
        <v>rg:[ { 'req' : 'id' }, { 'req': 'startDate'} ]</v>
      </c>
      <c r="Y295" s="8" t="str">
        <f>IF(LEN(Table2[[#This Row],[!Unique]])&gt;0,"rg:True","rg:None")</f>
        <v>rg:None</v>
      </c>
    </row>
    <row r="296" spans="1:25" x14ac:dyDescent="0.3">
      <c r="A296" s="61" t="s">
        <v>151</v>
      </c>
      <c r="B296" s="61" t="s">
        <v>13</v>
      </c>
      <c r="C296" s="72"/>
      <c r="D296" s="61" t="s">
        <v>418</v>
      </c>
      <c r="E296" s="60" t="s">
        <v>417</v>
      </c>
      <c r="F296" s="12"/>
      <c r="G296" s="18"/>
      <c r="H296" s="18"/>
      <c r="I296" s="4" t="str">
        <f>IF(LEN(A296) &gt; 0,"Defs","-")</f>
        <v>Defs</v>
      </c>
      <c r="J296" s="14" t="str">
        <f>IF(Table2[[#This Row],[!Type]]=J$1, J$1,"rg:None")</f>
        <v>rg:None</v>
      </c>
      <c r="K296" s="14" t="str">
        <f>IF(Table2[[#This Row],[!Type]]=K$1, K$1,"rg:None")</f>
        <v>rg:None</v>
      </c>
      <c r="L296" s="14" t="str">
        <f>IF(Table2[[#This Row],[!Type]]=L$1, L$1,"rg:None")</f>
        <v>rg:None</v>
      </c>
      <c r="M296" s="14" t="str">
        <f>IF(Table2[[#This Row],[!Type]]=M$1, M$1,"rg:None")</f>
        <v>rg:None</v>
      </c>
      <c r="N296" s="14" t="str">
        <f>IF(Table2[[#This Row],[!Type]]=N$1, N$1,"rg:None")</f>
        <v>integer</v>
      </c>
      <c r="O296" s="14" t="str">
        <f>IF(Table2[[#This Row],[!Type]]=O$1, O$1,"rg:None")</f>
        <v>rg:None</v>
      </c>
      <c r="P296" s="4" t="str">
        <f>IF(Table2[[#This Row],[!Type]]=P$1, P$1,"rg:None")</f>
        <v>rg:None</v>
      </c>
      <c r="Q296" s="4" t="str">
        <f>IF(Table2[[#This Row],[!Type]]=Q$1, Q$1,"rg:None")</f>
        <v>rg:None</v>
      </c>
      <c r="R296" s="4" t="str">
        <f>IF(Table2[[#This Row],[!Type]]=R$1, R$1,"rg:None")</f>
        <v>rg:None</v>
      </c>
      <c r="S296" s="4" t="str">
        <f>IF(Table2[[#This Row],[!Type]]=S$1, S$1,"rg:None")</f>
        <v>rg:None</v>
      </c>
      <c r="T296" s="14" t="str">
        <f>IF(LEN(Table2[[#This Row],[!Length]]) &gt; 0, Table2[[#This Row],[!Length]], "rg:None")</f>
        <v>rg:None</v>
      </c>
      <c r="U296" s="14" t="str">
        <f>IF(LEN(Table2[[#This Row],[!Name]]) &gt; 0, Table2[[#This Row],[!Name]], "rg:None")</f>
        <v>localAreaNumber</v>
      </c>
      <c r="V296" s="14" t="str">
        <f>IF(LEN(Table2[[#This Row],[!Description]]) &gt; 0, Table2[[#This Row],[!Description]], "rg:None")</f>
        <v>A system-generated, visible to the user number for the Local Area</v>
      </c>
      <c r="W296" s="14" t="str">
        <f>IF(LEN(Table2[[#This Row],[!FK]])&gt;0,Table2[[#This Row],[!FK]],"rg:None")</f>
        <v>rg:None</v>
      </c>
      <c r="X296" s="14" t="str">
        <f>IF(LEN(concatif2(A:A,Table2[[#This Row],[!Table]],G:G,"Y",D:D,",")) &gt; 0,"rg:[ { 'req' : '"&amp;concatif2(A:A,Table2[[#This Row],[!Table]],G:G,"Y",D:D,"' }, { 'req': '")&amp;"'} ]","rg:[]")</f>
        <v>rg:[ { 'req' : 'id' }, { 'req': 'startDate'} ]</v>
      </c>
      <c r="Y296" s="14" t="str">
        <f>IF(LEN(Table2[[#This Row],[!Unique]])&gt;0,"rg:True","rg:None")</f>
        <v>rg:None</v>
      </c>
    </row>
    <row r="297" spans="1:25" x14ac:dyDescent="0.3">
      <c r="A297" s="109" t="s">
        <v>151</v>
      </c>
      <c r="B297" s="5" t="s">
        <v>7</v>
      </c>
      <c r="C297" s="5">
        <v>150</v>
      </c>
      <c r="D297" s="5" t="s">
        <v>15</v>
      </c>
      <c r="E297" s="110" t="s">
        <v>152</v>
      </c>
      <c r="F297" s="5" t="s">
        <v>5</v>
      </c>
      <c r="G297" s="4"/>
      <c r="H297" s="4"/>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150</v>
      </c>
      <c r="U297" s="8" t="str">
        <f>IF(LEN(Table2[[#This Row],[!Name]]) &gt; 0, Table2[[#This Row],[!Name]], "rg:None")</f>
        <v>name</v>
      </c>
      <c r="V297" s="8" t="str">
        <f>IF(LEN(Table2[[#This Row],[!Description]]) &gt; 0, Table2[[#This Row],[!Description]], "rg:None")</f>
        <v>The full name of the Local Area</v>
      </c>
      <c r="W297" s="8" t="str">
        <f>IF(LEN(Table2[[#This Row],[!FK]])&gt;0,Table2[[#This Row],[!FK]],"rg:None")</f>
        <v>rg:None</v>
      </c>
      <c r="X297" s="8" t="str">
        <f>IF(LEN(concatif2(A:A,Table2[[#This Row],[!Table]],G:G,"Y",D:D,",")) &gt; 0,"rg:[ { 'req' : '"&amp;concatif2(A:A,Table2[[#This Row],[!Table]],G:G,"Y",D:D,"' }, { 'req': '")&amp;"'} ]","rg:[]")</f>
        <v>rg:[ { 'req' : 'id' }, { 'req': 'startDate'} ]</v>
      </c>
      <c r="Y297" s="8" t="str">
        <f>IF(LEN(Table2[[#This Row],[!Unique]])&gt;0,"rg:True","rg:None")</f>
        <v>rg:None</v>
      </c>
    </row>
    <row r="298" spans="1:25" x14ac:dyDescent="0.3">
      <c r="A298" s="109" t="s">
        <v>151</v>
      </c>
      <c r="B298" s="5" t="s">
        <v>8</v>
      </c>
      <c r="D298" s="109" t="s">
        <v>153</v>
      </c>
      <c r="E298" s="110" t="s">
        <v>154</v>
      </c>
      <c r="F298" s="109" t="s">
        <v>10</v>
      </c>
      <c r="G298" s="4"/>
      <c r="H298" s="4"/>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serviceArea</v>
      </c>
      <c r="V298" s="8" t="str">
        <f>IF(LEN(Table2[[#This Row],[!Description]]) &gt; 0, Table2[[#This Row],[!Description]], "rg:None")</f>
        <v>The Service Area in which the Local Area is found.</v>
      </c>
      <c r="W298" s="8" t="str">
        <f>IF(LEN(Table2[[#This Row],[!FK]])&gt;0,Table2[[#This Row],[!FK]],"rg:None")</f>
        <v>ServiceArea</v>
      </c>
      <c r="X298" s="8" t="str">
        <f>IF(LEN(concatif2(A:A,Table2[[#This Row],[!Table]],G:G,"Y",D:D,",")) &gt; 0,"rg:[ { 'req' : '"&amp;concatif2(A:A,Table2[[#This Row],[!Table]],G:G,"Y",D:D,"' }, { 'req': '")&amp;"'} ]","rg:[]")</f>
        <v>rg:[ { 'req' : 'id' }, { 'req': 'startDate'} ]</v>
      </c>
      <c r="Y298" s="8" t="str">
        <f>IF(LEN(Table2[[#This Row],[!Unique]])&gt;0,"rg:True","rg:None")</f>
        <v>rg:None</v>
      </c>
    </row>
    <row r="299" spans="1:25" ht="28.8" x14ac:dyDescent="0.3">
      <c r="A299" s="61" t="s">
        <v>151</v>
      </c>
      <c r="B299" s="5" t="s">
        <v>12</v>
      </c>
      <c r="D299" s="5" t="s">
        <v>30</v>
      </c>
      <c r="E299" s="76" t="s">
        <v>411</v>
      </c>
      <c r="F299" s="5" t="s">
        <v>5</v>
      </c>
      <c r="G299" s="63" t="s">
        <v>62</v>
      </c>
      <c r="H299" s="4"/>
      <c r="I299" s="5" t="str">
        <f t="shared" ref="I299:I300" si="28">IF(LEN(A299) &gt; 0,"Defs","-")</f>
        <v>Defs</v>
      </c>
      <c r="J299" s="8" t="str">
        <f>IF(Table2[[#This Row],[!Type]]=J$1, J$1,"rg:None")</f>
        <v>rg:None</v>
      </c>
      <c r="K299" s="8" t="str">
        <f>IF(Table2[[#This Row],[!Type]]=K$1, K$1,"rg:None")</f>
        <v>rg:None</v>
      </c>
      <c r="L299" s="8" t="str">
        <f>IF(Table2[[#This Row],[!Type]]=L$1, L$1,"rg:None")</f>
        <v>datetime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startDate</v>
      </c>
      <c r="V299" s="8" t="str">
        <f>IF(LEN(Table2[[#This Row],[!Description]]) &gt; 0, Table2[[#This Row],[!Description]], "rg:None")</f>
        <v>The DATE the business information came into effect. - NOT CURRENTLY ENFORCED IN THIS SYSTEM</v>
      </c>
      <c r="W299" s="8" t="str">
        <f>IF(LEN(Table2[[#This Row],[!FK]])&gt;0,Table2[[#This Row],[!FK]],"rg:None")</f>
        <v>rg:None</v>
      </c>
      <c r="X299" s="8" t="str">
        <f>IF(LEN(concatif2(A:A,Table2[[#This Row],[!Table]],G:G,"Y",D:D,",")) &gt; 0,"rg:[ { 'req' : '"&amp;concatif2(A:A,Table2[[#This Row],[!Table]],G:G,"Y",D:D,"' }, { 'req': '")&amp;"'} ]","rg:[]")</f>
        <v>rg:[ { 'req' : 'id' }, { 'req': 'startDate'} ]</v>
      </c>
      <c r="Y299" s="8" t="str">
        <f>IF(LEN(Table2[[#This Row],[!Unique]])&gt;0,"rg:True","rg:None")</f>
        <v>rg:None</v>
      </c>
    </row>
    <row r="300" spans="1:25" ht="28.8" x14ac:dyDescent="0.3">
      <c r="A300" s="61" t="s">
        <v>151</v>
      </c>
      <c r="B300" s="5" t="s">
        <v>12</v>
      </c>
      <c r="D300" s="5" t="s">
        <v>31</v>
      </c>
      <c r="E300" s="76" t="s">
        <v>412</v>
      </c>
      <c r="F300" s="5" t="s">
        <v>5</v>
      </c>
      <c r="G300" s="4"/>
      <c r="H300" s="4"/>
      <c r="I300" s="5" t="str">
        <f t="shared" si="28"/>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endDate</v>
      </c>
      <c r="V300" s="8" t="str">
        <f>IF(LEN(Table2[[#This Row],[!Description]]) &gt; 0, Table2[[#This Row],[!Description]], "rg:None")</f>
        <v>The DATE the business information ceased to be in effect. - NOT CURRENTLY ENFORCED IN THIS SYSTEM</v>
      </c>
      <c r="W300" s="8" t="str">
        <f>IF(LEN(Table2[[#This Row],[!FK]])&gt;0,Table2[[#This Row],[!FK]],"rg:None")</f>
        <v>rg:None</v>
      </c>
      <c r="X300" s="8" t="str">
        <f>IF(LEN(concatif2(A:A,Table2[[#This Row],[!Table]],G:G,"Y",D:D,",")) &gt; 0,"rg:[ { 'req' : '"&amp;concatif2(A:A,Table2[[#This Row],[!Table]],G:G,"Y",D:D,"' }, { 'req': '")&amp;"'} ]","rg:[]")</f>
        <v>rg:[ { 'req' : 'id' }, { 'req': 'startDate'} ]</v>
      </c>
      <c r="Y300" s="8" t="str">
        <f>IF(LEN(Table2[[#This Row],[!Unique]])&gt;0,"rg:True","rg:None")</f>
        <v>rg:None</v>
      </c>
    </row>
    <row r="301" spans="1:25" x14ac:dyDescent="0.3">
      <c r="A301" s="5" t="s">
        <v>11</v>
      </c>
      <c r="B301" s="5" t="s">
        <v>4</v>
      </c>
      <c r="D301" s="5" t="s">
        <v>11</v>
      </c>
      <c r="E301" s="54" t="s">
        <v>64</v>
      </c>
      <c r="F301" s="5" t="s">
        <v>5</v>
      </c>
      <c r="G301" s="4"/>
      <c r="H301" s="4"/>
      <c r="I301" s="5" t="str">
        <f t="shared" si="27"/>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City</v>
      </c>
      <c r="V301" s="8" t="str">
        <f>IF(LEN(Table2[[#This Row],[!Description]]) &gt; 0, Table2[[#This Row],[!Description]], "rg:None")</f>
        <v>A list of cities in BC. Authoritative source to be determined.</v>
      </c>
      <c r="W301" s="8" t="str">
        <f>IF(LEN(Table2[[#This Row],[!FK]])&gt;0,Table2[[#This Row],[!FK]],"rg:None")</f>
        <v>rg:None</v>
      </c>
      <c r="X301" s="8" t="str">
        <f>IF(LEN(concatif2(A:A,Table2[[#This Row],[!Table]],G:G,"Y",D:D,",")) &gt; 0,"rg:[ { 'req' : '"&amp;concatif2(A:A,Table2[[#This Row],[!Table]],G:G,"Y",D:D,"' }, { 'req': '")&amp;"'} ]","rg:[]")</f>
        <v>rg:[ { 'req' : 'id'} ]</v>
      </c>
      <c r="Y301" s="8" t="str">
        <f>IF(LEN(Table2[[#This Row],[!Unique]])&gt;0,"rg:True","rg:None")</f>
        <v>rg:None</v>
      </c>
    </row>
    <row r="302" spans="1:25" x14ac:dyDescent="0.3">
      <c r="A302" s="5" t="s">
        <v>11</v>
      </c>
      <c r="B302" s="5" t="s">
        <v>6</v>
      </c>
      <c r="D302" s="5" t="s">
        <v>6</v>
      </c>
      <c r="E302" s="54" t="s">
        <v>321</v>
      </c>
      <c r="F302" s="5" t="s">
        <v>5</v>
      </c>
      <c r="G302" s="4" t="s">
        <v>62</v>
      </c>
      <c r="H302" s="41"/>
      <c r="I302" s="5" t="str">
        <f t="shared" si="27"/>
        <v>Defs</v>
      </c>
      <c r="J302" s="8" t="str">
        <f>IF(Table2[[#This Row],[!Type]]=J$1, J$1,"rg:None")</f>
        <v>rg:None</v>
      </c>
      <c r="K302" s="8" t="str">
        <f>IF(Table2[[#This Row],[!Type]]=K$1, K$1,"rg:None")</f>
        <v>rg:None</v>
      </c>
      <c r="L302" s="8" t="str">
        <f>IF(Table2[[#This Row],[!Type]]=L$1, L$1,"rg:None")</f>
        <v>rg:None</v>
      </c>
      <c r="M302" s="8"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City</v>
      </c>
      <c r="W302" s="8" t="str">
        <f>IF(LEN(Table2[[#This Row],[!FK]])&gt;0,Table2[[#This Row],[!FK]],"rg:None")</f>
        <v>rg:None</v>
      </c>
      <c r="X302" s="8" t="str">
        <f>IF(LEN(concatif2(A:A,Table2[[#This Row],[!Table]],G:G,"Y",D:D,",")) &gt; 0,"rg:[ { 'req' : '"&amp;concatif2(A:A,Table2[[#This Row],[!Table]],G:G,"Y",D:D,"' }, { 'req': '")&amp;"'} ]","rg:[]")</f>
        <v>rg:[ { 'req' : 'id'} ]</v>
      </c>
      <c r="Y302" s="8" t="str">
        <f>IF(LEN(Table2[[#This Row],[!Unique]])&gt;0,"rg:True","rg:None")</f>
        <v>rg:None</v>
      </c>
    </row>
    <row r="303" spans="1:25" x14ac:dyDescent="0.3">
      <c r="A303" s="5" t="s">
        <v>11</v>
      </c>
      <c r="B303" s="5" t="s">
        <v>7</v>
      </c>
      <c r="C303" s="5">
        <v>150</v>
      </c>
      <c r="D303" s="5" t="s">
        <v>15</v>
      </c>
      <c r="E303" s="54" t="s">
        <v>39</v>
      </c>
      <c r="F303" s="5" t="s">
        <v>5</v>
      </c>
      <c r="G303" s="4"/>
      <c r="H303" s="4"/>
      <c r="I303" s="5" t="str">
        <f t="shared" si="27"/>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150</v>
      </c>
      <c r="U303" s="8" t="str">
        <f>IF(LEN(Table2[[#This Row],[!Name]]) &gt; 0, Table2[[#This Row],[!Name]], "rg:None")</f>
        <v>name</v>
      </c>
      <c r="V303" s="8" t="str">
        <f>IF(LEN(Table2[[#This Row],[!Description]]) &gt; 0, Table2[[#This Row],[!Description]], "rg:None")</f>
        <v>The name of the City</v>
      </c>
      <c r="W303" s="8" t="str">
        <f>IF(LEN(Table2[[#This Row],[!FK]])&gt;0,Table2[[#This Row],[!FK]],"rg:None")</f>
        <v>rg:None</v>
      </c>
      <c r="X303" s="8" t="str">
        <f>IF(LEN(concatif2(A:A,Table2[[#This Row],[!Table]],G:G,"Y",D:D,",")) &gt; 0,"rg:[ { 'req' : '"&amp;concatif2(A:A,Table2[[#This Row],[!Table]],G:G,"Y",D:D,"' }, { 'req': '")&amp;"'} ]","rg:[]")</f>
        <v>rg:[ { 'req' : 'id'} ]</v>
      </c>
      <c r="Y303" s="8" t="str">
        <f>IF(LEN(Table2[[#This Row],[!Unique]])&gt;0,"rg:True","rg:None")</f>
        <v>rg:None</v>
      </c>
    </row>
    <row r="304" spans="1:25" x14ac:dyDescent="0.3">
      <c r="A304" s="5" t="s">
        <v>0</v>
      </c>
      <c r="B304" s="5" t="s">
        <v>4</v>
      </c>
      <c r="D304" s="5" t="s">
        <v>0</v>
      </c>
      <c r="E304" s="76" t="s">
        <v>372</v>
      </c>
      <c r="F304" s="5" t="s">
        <v>5</v>
      </c>
      <c r="G304" s="4"/>
      <c r="H304" s="4"/>
      <c r="I304" s="5" t="str">
        <f t="shared" si="27"/>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User</v>
      </c>
      <c r="V304" s="8" t="str">
        <f>IF(LEN(Table2[[#This Row],[!Description]]) &gt; 0, Table2[[#This Row],[!Description]], "rg:None")</f>
        <v>An identified user in the HETS Application that has a defined authorization level.</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x14ac:dyDescent="0.3">
      <c r="A305" s="5" t="s">
        <v>0</v>
      </c>
      <c r="B305" s="5" t="s">
        <v>6</v>
      </c>
      <c r="D305" s="5" t="s">
        <v>6</v>
      </c>
      <c r="E305" s="54" t="s">
        <v>322</v>
      </c>
      <c r="F305" s="5" t="s">
        <v>5</v>
      </c>
      <c r="G305" s="4" t="s">
        <v>62</v>
      </c>
      <c r="H305" s="41"/>
      <c r="I305" s="5" t="str">
        <f t="shared" si="27"/>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User</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50</v>
      </c>
      <c r="D306" s="5" t="s">
        <v>16</v>
      </c>
      <c r="E306" s="54" t="s">
        <v>323</v>
      </c>
      <c r="F306" s="5" t="s">
        <v>5</v>
      </c>
      <c r="G306" s="41" t="s">
        <v>62</v>
      </c>
      <c r="H306" s="41"/>
      <c r="I306" s="5" t="str">
        <f t="shared" si="27"/>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50</v>
      </c>
      <c r="U306" s="8" t="str">
        <f>IF(LEN(Table2[[#This Row],[!Name]]) &gt; 0, Table2[[#This Row],[!Name]], "rg:None")</f>
        <v>givenName</v>
      </c>
      <c r="V306" s="8" t="str">
        <f>IF(LEN(Table2[[#This Row],[!Description]]) &gt; 0, Table2[[#This Row],[!Description]], "rg:None")</f>
        <v>Given name of the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7</v>
      </c>
      <c r="C307" s="5">
        <v>50</v>
      </c>
      <c r="D307" s="5" t="s">
        <v>17</v>
      </c>
      <c r="E307" s="54" t="s">
        <v>324</v>
      </c>
      <c r="F307" s="5" t="s">
        <v>5</v>
      </c>
      <c r="G307" s="41" t="s">
        <v>62</v>
      </c>
      <c r="H307" s="41"/>
      <c r="I307" s="5" t="str">
        <f t="shared" ref="I307:I345" si="29">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surname</v>
      </c>
      <c r="V307" s="8" t="str">
        <f>IF(LEN(Table2[[#This Row],[!Description]]) &gt; 0, Table2[[#This Row],[!Description]], "rg:None")</f>
        <v>Surname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7</v>
      </c>
      <c r="C308" s="5">
        <v>10</v>
      </c>
      <c r="D308" s="5" t="s">
        <v>42</v>
      </c>
      <c r="E308" s="54" t="s">
        <v>325</v>
      </c>
      <c r="F308" s="5" t="s">
        <v>5</v>
      </c>
      <c r="G308" s="4"/>
      <c r="H308" s="4"/>
      <c r="I308" s="5" t="str">
        <f t="shared" si="29"/>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10</v>
      </c>
      <c r="U308" s="8" t="str">
        <f>IF(LEN(Table2[[#This Row],[!Name]]) &gt; 0, Table2[[#This Row],[!Name]], "rg:None")</f>
        <v>initials</v>
      </c>
      <c r="V308" s="8" t="str">
        <f>IF(LEN(Table2[[#This Row],[!Description]]) &gt; 0, Table2[[#This Row],[!Description]], "rg:None")</f>
        <v>Initials of the user, to be presented where screen space is at a premium.</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5" t="s">
        <v>0</v>
      </c>
      <c r="B309" s="5" t="s">
        <v>7</v>
      </c>
      <c r="C309" s="5">
        <v>255</v>
      </c>
      <c r="D309" s="5" t="s">
        <v>43</v>
      </c>
      <c r="E309" s="54" t="s">
        <v>326</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email</v>
      </c>
      <c r="V309" s="8" t="str">
        <f>IF(LEN(Table2[[#This Row],[!Description]]) &gt; 0, Table2[[#This Row],[!Description]], "rg:None")</f>
        <v>The email address of the user in the system.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Row],[!Unique]])&gt;0,"rg:True","rg:None")</f>
        <v>rg:None</v>
      </c>
    </row>
    <row r="310" spans="1:25" ht="28.8" x14ac:dyDescent="0.3">
      <c r="A310" s="5" t="s">
        <v>0</v>
      </c>
      <c r="B310" s="5" t="s">
        <v>9</v>
      </c>
      <c r="D310" s="5" t="s">
        <v>41</v>
      </c>
      <c r="E310" s="54" t="s">
        <v>327</v>
      </c>
      <c r="F310" s="5" t="s">
        <v>5</v>
      </c>
      <c r="G310" s="4" t="s">
        <v>62</v>
      </c>
      <c r="H310" s="4"/>
      <c r="I310" s="5" t="str">
        <f t="shared" si="29"/>
        <v>Defs</v>
      </c>
      <c r="J310" s="8" t="str">
        <f>IF(Table2[[#This Row],[!Type]]=J$1, J$1,"rg:None")</f>
        <v>boolean</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active</v>
      </c>
      <c r="V310" s="8" t="str">
        <f>IF(LEN(Table2[[#This Row],[!Description]]) &gt; 0, Table2[[#This Row],[!Description]], "rg:None")</f>
        <v>A flag indicating the User is active in the system. Set false to remove access to the system for the user.</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Row],[!Unique]])&gt;0,"rg:True","rg:None")</f>
        <v>rg:None</v>
      </c>
    </row>
    <row r="311" spans="1:25" x14ac:dyDescent="0.3">
      <c r="A311" s="5" t="s">
        <v>0</v>
      </c>
      <c r="B311" s="5" t="s">
        <v>7</v>
      </c>
      <c r="C311" s="5">
        <v>255</v>
      </c>
      <c r="D311" s="5" t="s">
        <v>44</v>
      </c>
      <c r="E311" s="54" t="s">
        <v>45</v>
      </c>
      <c r="F311" s="5" t="s">
        <v>5</v>
      </c>
      <c r="G311" s="4"/>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smUserId</v>
      </c>
      <c r="V311" s="8" t="str">
        <f>IF(LEN(Table2[[#This Row],[!Description]]) &gt; 0, Table2[[#This Row],[!Description]], "rg:None")</f>
        <v>Security Manager User ID</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Row],[!Unique]])&gt;0,"rg:True","rg:None")</f>
        <v>rg:None</v>
      </c>
    </row>
    <row r="312" spans="1:25" ht="57.6" x14ac:dyDescent="0.3">
      <c r="A312" s="5" t="s">
        <v>0</v>
      </c>
      <c r="B312" s="5" t="s">
        <v>7</v>
      </c>
      <c r="C312" s="5">
        <v>255</v>
      </c>
      <c r="D312" s="5" t="s">
        <v>46</v>
      </c>
      <c r="E312" s="54" t="s">
        <v>328</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guid</v>
      </c>
      <c r="V31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Row],[!Unique]])&gt;0,"rg:True","rg:None")</f>
        <v>rg:None</v>
      </c>
    </row>
    <row r="313" spans="1:25" x14ac:dyDescent="0.3">
      <c r="A313" s="5" t="s">
        <v>0</v>
      </c>
      <c r="B313" s="5" t="s">
        <v>7</v>
      </c>
      <c r="C313" s="5">
        <v>255</v>
      </c>
      <c r="D313" s="5" t="s">
        <v>47</v>
      </c>
      <c r="E313" s="54" t="s">
        <v>329</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smAuthorizationDirectory</v>
      </c>
      <c r="V313" s="8" t="str">
        <f>IF(LEN(Table2[[#This Row],[!Description]]) &gt; 0, Table2[[#This Row],[!Description]], "rg:None")</f>
        <v>The user directory service used by Siteminder to authenticate the user - usually IDIR or BCeID.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Row],[!Unique]])&gt;0,"rg:True","rg:None")</f>
        <v>rg:None</v>
      </c>
    </row>
    <row r="314" spans="1:25" x14ac:dyDescent="0.3">
      <c r="A314" s="5" t="s">
        <v>0</v>
      </c>
      <c r="B314" s="5" t="s">
        <v>19</v>
      </c>
      <c r="D314" s="5" t="s">
        <v>48</v>
      </c>
      <c r="F314" s="5" t="s">
        <v>50</v>
      </c>
      <c r="G314" s="4"/>
      <c r="H314" s="4"/>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userRoles</v>
      </c>
      <c r="V314" s="8" t="str">
        <f>IF(LEN(Table2[[#This Row],[!Description]]) &gt; 0, Table2[[#This Row],[!Description]], "rg:None")</f>
        <v>rg:None</v>
      </c>
      <c r="W314" s="8" t="str">
        <f>IF(LEN(Table2[[#This Row],[!FK]])&gt;0,Table2[[#This Row],[!FK]],"rg:None")</f>
        <v>UserRole</v>
      </c>
      <c r="X314" s="8" t="str">
        <f>IF(LEN(concatif2(A:A,Table2[[#This Row],[!Table]],G:G,"Y",D:D,",")) &gt; 0,"rg:[ { 'req' : '"&amp;concatif2(A:A,Table2[[#This Row],[!Table]],G:G,"Y",D:D,"' }, { 'req': '")&amp;"'} ]","rg:[]")</f>
        <v>rg:[ { 'req' : 'id' }, { 'req': 'givenName' }, { 'req': 'surname' }, { 'req': 'active'} ]</v>
      </c>
      <c r="Y314" s="8" t="str">
        <f>IF(LEN(Table2[[#This Row],[!Unique]])&gt;0,"rg:True","rg:None")</f>
        <v>rg:None</v>
      </c>
    </row>
    <row r="315" spans="1:25" x14ac:dyDescent="0.3">
      <c r="A315" s="5" t="s">
        <v>0</v>
      </c>
      <c r="B315" s="5" t="s">
        <v>19</v>
      </c>
      <c r="D315" s="5" t="s">
        <v>49</v>
      </c>
      <c r="F315" s="5" t="s">
        <v>59</v>
      </c>
      <c r="G315" s="4"/>
      <c r="H315" s="4"/>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groupMemberships</v>
      </c>
      <c r="V315" s="8" t="str">
        <f>IF(LEN(Table2[[#This Row],[!Description]]) &gt; 0, Table2[[#This Row],[!Description]], "rg:None")</f>
        <v>rg:None</v>
      </c>
      <c r="W315" s="8" t="str">
        <f>IF(LEN(Table2[[#This Row],[!FK]])&gt;0,Table2[[#This Row],[!FK]],"rg:None")</f>
        <v>GroupMembership</v>
      </c>
      <c r="X315" s="8" t="str">
        <f>IF(LEN(concatif2(A:A,Table2[[#This Row],[!Table]],G:G,"Y",D:D,",")) &gt; 0,"rg:[ { 'req' : '"&amp;concatif2(A:A,Table2[[#This Row],[!Table]],G:G,"Y",D:D,"' }, { 'req': '")&amp;"'} ]","rg:[]")</f>
        <v>rg:[ { 'req' : 'id' }, { 'req': 'givenName' }, { 'req': 'surname' }, { 'req': 'active'} ]</v>
      </c>
      <c r="Y315" s="8" t="str">
        <f>IF(LEN(Table2[[#This Row],[!Unique]])&gt;0,"rg:True","rg:None")</f>
        <v>rg:None</v>
      </c>
    </row>
    <row r="316" spans="1:25" x14ac:dyDescent="0.3">
      <c r="A316" s="67" t="s">
        <v>0</v>
      </c>
      <c r="B316" s="67" t="s">
        <v>8</v>
      </c>
      <c r="C316" s="72"/>
      <c r="D316" s="67" t="s">
        <v>32</v>
      </c>
      <c r="E316" s="47" t="s">
        <v>434</v>
      </c>
      <c r="F316" s="68" t="s">
        <v>32</v>
      </c>
      <c r="G316" s="18"/>
      <c r="H316" s="18"/>
      <c r="I316" s="4" t="str">
        <f>IF(LEN(A316) &gt; 0,"Defs","-")</f>
        <v>Defs</v>
      </c>
      <c r="J316" s="14" t="str">
        <f>IF(Table2[[#This Row],[!Type]]=J$1, J$1,"rg:None")</f>
        <v>rg:None</v>
      </c>
      <c r="K316" s="14" t="str">
        <f>IF(Table2[[#This Row],[!Type]]=K$1, K$1,"rg:None")</f>
        <v>rg:None</v>
      </c>
      <c r="L316" s="14" t="str">
        <f>IF(Table2[[#This Row],[!Type]]=L$1, L$1,"rg:None")</f>
        <v>rg:None</v>
      </c>
      <c r="M316" s="14" t="str">
        <f>IF(Table2[[#This Row],[!Type]]=M$1, M$1,"rg:None")</f>
        <v>rg:None</v>
      </c>
      <c r="N316" s="14" t="str">
        <f>IF(Table2[[#This Row],[!Type]]=N$1, N$1,"rg:None")</f>
        <v>rg:None</v>
      </c>
      <c r="O316" s="14" t="str">
        <f>IF(Table2[[#This Row],[!Type]]=O$1, O$1,"rg:None")</f>
        <v>rg:None</v>
      </c>
      <c r="P316" s="4" t="str">
        <f>IF(Table2[[#This Row],[!Type]]=P$1, P$1,"rg:None")</f>
        <v>rg:None</v>
      </c>
      <c r="Q316" s="4" t="str">
        <f>IF(Table2[[#This Row],[!Type]]=Q$1, Q$1,"rg:None")</f>
        <v>ref</v>
      </c>
      <c r="R316" s="4" t="str">
        <f>IF(Table2[[#This Row],[!Type]]=R$1, R$1,"rg:None")</f>
        <v>rg:None</v>
      </c>
      <c r="S316" s="4" t="str">
        <f>IF(Table2[[#This Row],[!Type]]=S$1, S$1,"rg:None")</f>
        <v>rg:None</v>
      </c>
      <c r="T316" s="14" t="str">
        <f>IF(LEN(Table2[[#This Row],[!Length]]) &gt; 0, Table2[[#This Row],[!Length]], "rg:None")</f>
        <v>rg:None</v>
      </c>
      <c r="U316" s="14" t="str">
        <f>IF(LEN(Table2[[#This Row],[!Name]]) &gt; 0, Table2[[#This Row],[!Name]], "rg:None")</f>
        <v>District</v>
      </c>
      <c r="V316" s="14" t="str">
        <f>IF(LEN(Table2[[#This Row],[!Description]]) &gt; 0, Table2[[#This Row],[!Description]], "rg:None")</f>
        <v>The District that the User belongs to</v>
      </c>
      <c r="W316" s="14" t="str">
        <f>IF(LEN(Table2[[#This Row],[!FK]])&gt;0,Table2[[#This Row],[!FK]],"rg:None")</f>
        <v>District</v>
      </c>
      <c r="X316" s="14" t="str">
        <f>IF(LEN(concatif2(A:A,Table2[[#This Row],[!Table]],G:G,"Y",D:D,",")) &gt; 0,"rg:[ { 'req' : '"&amp;concatif2(A:A,Table2[[#This Row],[!Table]],G:G,"Y",D:D,"' }, { 'req': '")&amp;"'} ]","rg:[]")</f>
        <v>rg:[ { 'req' : 'id' }, { 'req': 'givenName' }, { 'req': 'surname' }, { 'req': 'active'} ]</v>
      </c>
      <c r="Y316" s="14" t="str">
        <f>IF(LEN(Table2[[#This Row],[!Unique]])&gt;0,"rg:True","rg:None")</f>
        <v>rg:None</v>
      </c>
    </row>
    <row r="317" spans="1:25" ht="28.8" x14ac:dyDescent="0.3">
      <c r="A317" s="5" t="s">
        <v>50</v>
      </c>
      <c r="B317" s="5" t="s">
        <v>4</v>
      </c>
      <c r="D317" s="5" t="s">
        <v>50</v>
      </c>
      <c r="E317" s="54" t="s">
        <v>330</v>
      </c>
      <c r="F317" s="5" t="s">
        <v>5</v>
      </c>
      <c r="G317" s="4"/>
      <c r="H317" s="4"/>
      <c r="I317" s="5" t="str">
        <f t="shared" si="29"/>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UserRole</v>
      </c>
      <c r="V31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7" s="8" t="str">
        <f>IF(LEN(Table2[[#This Row],[!FK]])&gt;0,Table2[[#This Row],[!FK]],"rg:None")</f>
        <v>rg:None</v>
      </c>
      <c r="X317" s="8" t="str">
        <f>IF(LEN(concatif2(A:A,Table2[[#This Row],[!Table]],G:G,"Y",D:D,",")) &gt; 0,"rg:[ { 'req' : '"&amp;concatif2(A:A,Table2[[#This Row],[!Table]],G:G,"Y",D:D,"' }, { 'req': '")&amp;"'} ]","rg:[]")</f>
        <v>rg:[ { 'req' : 'id' }, { 'req': 'effectiveDate'} ]</v>
      </c>
      <c r="Y317" s="8" t="str">
        <f>IF(LEN(Table2[[#This Row],[!Unique]])&gt;0,"rg:True","rg:None")</f>
        <v>rg:None</v>
      </c>
    </row>
    <row r="318" spans="1:25" x14ac:dyDescent="0.3">
      <c r="A318" s="5" t="s">
        <v>50</v>
      </c>
      <c r="B318" s="5" t="s">
        <v>6</v>
      </c>
      <c r="D318" s="5" t="s">
        <v>6</v>
      </c>
      <c r="E318" s="54" t="s">
        <v>331</v>
      </c>
      <c r="F318" s="5" t="s">
        <v>5</v>
      </c>
      <c r="G318" s="4" t="s">
        <v>62</v>
      </c>
      <c r="H318" s="4"/>
      <c r="I318" s="5" t="str">
        <f t="shared" si="29"/>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UserRole</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Row],[!Unique]])&gt;0,"rg:True","rg:None")</f>
        <v>rg:None</v>
      </c>
    </row>
    <row r="319" spans="1:25" x14ac:dyDescent="0.3">
      <c r="A319" s="5" t="s">
        <v>50</v>
      </c>
      <c r="B319" s="5" t="s">
        <v>12</v>
      </c>
      <c r="D319" s="5" t="s">
        <v>51</v>
      </c>
      <c r="E319" s="54" t="s">
        <v>332</v>
      </c>
      <c r="F319" s="5" t="s">
        <v>5</v>
      </c>
      <c r="G319" s="4" t="s">
        <v>62</v>
      </c>
      <c r="H319" s="4"/>
      <c r="I319" s="5" t="str">
        <f t="shared" si="29"/>
        <v>Defs</v>
      </c>
      <c r="J319" s="8" t="str">
        <f>IF(Table2[[#This Row],[!Type]]=J$1, J$1,"rg:None")</f>
        <v>rg:None</v>
      </c>
      <c r="K319" s="8" t="str">
        <f>IF(Table2[[#This Row],[!Type]]=K$1, K$1,"rg:None")</f>
        <v>rg:None</v>
      </c>
      <c r="L319" s="8" t="str">
        <f>IF(Table2[[#This Row],[!Type]]=L$1, L$1,"rg:None")</f>
        <v>datetime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effectiveDate</v>
      </c>
      <c r="V319" s="8" t="str">
        <f>IF(LEN(Table2[[#This Row],[!Description]]) &gt; 0, Table2[[#This Row],[!Description]], "rg:None")</f>
        <v>The date on which the user was given the related 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Row],[!Unique]])&gt;0,"rg:True","rg:None")</f>
        <v>rg:None</v>
      </c>
    </row>
    <row r="320" spans="1:25" x14ac:dyDescent="0.3">
      <c r="A320" s="5" t="s">
        <v>50</v>
      </c>
      <c r="B320" s="5" t="s">
        <v>12</v>
      </c>
      <c r="D320" s="5" t="s">
        <v>52</v>
      </c>
      <c r="E320" s="54" t="s">
        <v>333</v>
      </c>
      <c r="F320" s="5" t="s">
        <v>5</v>
      </c>
      <c r="G320" s="4"/>
      <c r="H320" s="4"/>
      <c r="I320" s="5" t="str">
        <f t="shared" si="29"/>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expiryDate</v>
      </c>
      <c r="V320" s="8" t="str">
        <f>IF(LEN(Table2[[#This Row],[!Description]]) &gt; 0, Table2[[#This Row],[!Description]], "rg:None")</f>
        <v>The date on which a role previously assigned to a user was removed from that user.</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Row],[!Unique]])&gt;0,"rg:True","rg:None")</f>
        <v>rg:None</v>
      </c>
    </row>
    <row r="321" spans="1:25" x14ac:dyDescent="0.3">
      <c r="A321" s="5" t="s">
        <v>50</v>
      </c>
      <c r="B321" s="5" t="s">
        <v>8</v>
      </c>
      <c r="D321" s="5" t="s">
        <v>18</v>
      </c>
      <c r="E321" s="130" t="s">
        <v>546</v>
      </c>
      <c r="F321" s="5" t="s">
        <v>53</v>
      </c>
      <c r="G321" s="4"/>
      <c r="H321" s="4"/>
      <c r="I321" s="5" t="str">
        <f t="shared" si="29"/>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role</v>
      </c>
      <c r="V321" s="8" t="str">
        <f>IF(LEN(Table2[[#This Row],[!Description]]) &gt; 0, Table2[[#This Row],[!Description]], "rg:None")</f>
        <v>A foreign key reference to the system-generated unique identifier for a Role</v>
      </c>
      <c r="W321" s="8" t="str">
        <f>IF(LEN(Table2[[#This Row],[!FK]])&gt;0,Table2[[#This Row],[!FK]],"rg:None")</f>
        <v>Role</v>
      </c>
      <c r="X321" s="8" t="str">
        <f>IF(LEN(concatif2(A:A,Table2[[#This Row],[!Table]],G:G,"Y",D:D,",")) &gt; 0,"rg:[ { 'req' : '"&amp;concatif2(A:A,Table2[[#This Row],[!Table]],G:G,"Y",D:D,"' }, { 'req': '")&amp;"'} ]","rg:[]")</f>
        <v>rg:[ { 'req' : 'id' }, { 'req': 'effectiveDate'} ]</v>
      </c>
      <c r="Y321" s="8" t="str">
        <f>IF(LEN(Table2[[#This Row],[!Unique]])&gt;0,"rg:True","rg:None")</f>
        <v>rg:None</v>
      </c>
    </row>
    <row r="322" spans="1:25" ht="43.2" x14ac:dyDescent="0.3">
      <c r="A322" s="5" t="s">
        <v>53</v>
      </c>
      <c r="B322" s="5" t="s">
        <v>4</v>
      </c>
      <c r="D322" s="5" t="s">
        <v>53</v>
      </c>
      <c r="E322" s="76" t="s">
        <v>373</v>
      </c>
      <c r="F322" s="5" t="s">
        <v>5</v>
      </c>
      <c r="G322" s="4"/>
      <c r="H322" s="4"/>
      <c r="I322" s="5" t="str">
        <f t="shared" si="29"/>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Role</v>
      </c>
      <c r="V322"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2" s="8" t="str">
        <f>IF(LEN(Table2[[#This Row],[!FK]])&gt;0,Table2[[#This Row],[!FK]],"rg:None")</f>
        <v>rg:None</v>
      </c>
      <c r="X322" s="8" t="str">
        <f>IF(LEN(concatif2(A:A,Table2[[#This Row],[!Table]],G:G,"Y",D:D,",")) &gt; 0,"rg:[ { 'req' : '"&amp;concatif2(A:A,Table2[[#This Row],[!Table]],G:G,"Y",D:D,"' }, { 'req': '")&amp;"'} ]","rg:[]")</f>
        <v>rg:[ { 'req' : 'id' }, { 'req': 'name' }, { 'req': 'description'} ]</v>
      </c>
      <c r="Y322" s="8" t="str">
        <f>IF(LEN(Table2[[#This Row],[!Unique]])&gt;0,"rg:True","rg:None")</f>
        <v>rg:None</v>
      </c>
    </row>
    <row r="323" spans="1:25" x14ac:dyDescent="0.3">
      <c r="A323" s="5" t="s">
        <v>53</v>
      </c>
      <c r="B323" s="5" t="s">
        <v>6</v>
      </c>
      <c r="D323" s="5" t="s">
        <v>6</v>
      </c>
      <c r="E323" s="54" t="s">
        <v>334</v>
      </c>
      <c r="F323" s="5" t="s">
        <v>5</v>
      </c>
      <c r="G323" s="4" t="s">
        <v>62</v>
      </c>
      <c r="H323" s="4"/>
      <c r="I323" s="5" t="str">
        <f t="shared" si="29"/>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Role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Row],[!Unique]])&gt;0,"rg:True","rg:None")</f>
        <v>rg:None</v>
      </c>
    </row>
    <row r="324" spans="1:25" x14ac:dyDescent="0.3">
      <c r="A324" s="5" t="s">
        <v>53</v>
      </c>
      <c r="B324" s="5" t="s">
        <v>7</v>
      </c>
      <c r="C324" s="5">
        <v>255</v>
      </c>
      <c r="D324" s="5" t="s">
        <v>15</v>
      </c>
      <c r="E324" s="54" t="s">
        <v>335</v>
      </c>
      <c r="F324" s="5" t="s">
        <v>5</v>
      </c>
      <c r="G324" s="4" t="s">
        <v>62</v>
      </c>
      <c r="H324" s="4"/>
      <c r="I324" s="5" t="str">
        <f t="shared" si="29"/>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name</v>
      </c>
      <c r="V324" s="8" t="str">
        <f>IF(LEN(Table2[[#This Row],[!Description]]) &gt; 0, Table2[[#This Row],[!Description]], "rg:None")</f>
        <v>The name of the Role, as established by the user creating the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Row],[!Unique]])&gt;0,"rg:True","rg:None")</f>
        <v>rg:None</v>
      </c>
    </row>
    <row r="325" spans="1:25" x14ac:dyDescent="0.3">
      <c r="A325" s="5" t="s">
        <v>53</v>
      </c>
      <c r="B325" s="5" t="s">
        <v>7</v>
      </c>
      <c r="C325" s="5">
        <v>2048</v>
      </c>
      <c r="D325" s="5" t="s">
        <v>14</v>
      </c>
      <c r="E325" s="54" t="s">
        <v>336</v>
      </c>
      <c r="F325" s="5" t="s">
        <v>5</v>
      </c>
      <c r="G325" s="4" t="s">
        <v>62</v>
      </c>
      <c r="H325" s="4"/>
      <c r="I325" s="5" t="str">
        <f t="shared" si="29"/>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role as set by the user creating/updating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Row],[!Unique]])&gt;0,"rg:True","rg:None")</f>
        <v>rg:None</v>
      </c>
    </row>
    <row r="326" spans="1:25" x14ac:dyDescent="0.3">
      <c r="A326" s="5" t="s">
        <v>53</v>
      </c>
      <c r="B326" s="5" t="s">
        <v>19</v>
      </c>
      <c r="D326" s="5" t="s">
        <v>54</v>
      </c>
      <c r="F326" s="5" t="s">
        <v>55</v>
      </c>
      <c r="G326" s="4"/>
      <c r="H326" s="4"/>
      <c r="I326" s="5" t="str">
        <f t="shared" si="29"/>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rolePermissions</v>
      </c>
      <c r="V326" s="8" t="str">
        <f>IF(LEN(Table2[[#This Row],[!Description]]) &gt; 0, Table2[[#This Row],[!Description]], "rg:None")</f>
        <v>rg:None</v>
      </c>
      <c r="W326" s="8" t="str">
        <f>IF(LEN(Table2[[#This Row],[!FK]])&gt;0,Table2[[#This Row],[!FK]],"rg:None")</f>
        <v>RolePermission</v>
      </c>
      <c r="X326" s="8" t="str">
        <f>IF(LEN(concatif2(A:A,Table2[[#This Row],[!Table]],G:G,"Y",D:D,",")) &gt; 0,"rg:[ { 'req' : '"&amp;concatif2(A:A,Table2[[#This Row],[!Table]],G:G,"Y",D:D,"' }, { 'req': '")&amp;"'} ]","rg:[]")</f>
        <v>rg:[ { 'req' : 'id' }, { 'req': 'name' }, { 'req': 'description'} ]</v>
      </c>
      <c r="Y326" s="8" t="str">
        <f>IF(LEN(Table2[[#This Row],[!Unique]])&gt;0,"rg:True","rg:None")</f>
        <v>rg:None</v>
      </c>
    </row>
    <row r="327" spans="1:25" x14ac:dyDescent="0.3">
      <c r="A327" s="5" t="s">
        <v>53</v>
      </c>
      <c r="B327" s="5" t="s">
        <v>19</v>
      </c>
      <c r="D327" s="5" t="s">
        <v>48</v>
      </c>
      <c r="F327" s="5" t="s">
        <v>50</v>
      </c>
      <c r="G327" s="4"/>
      <c r="H327" s="4"/>
      <c r="I327" s="5" t="str">
        <f t="shared" si="29"/>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userRoles</v>
      </c>
      <c r="V327" s="8" t="str">
        <f>IF(LEN(Table2[[#This Row],[!Description]]) &gt; 0, Table2[[#This Row],[!Description]], "rg:None")</f>
        <v>rg:None</v>
      </c>
      <c r="W327" s="8" t="str">
        <f>IF(LEN(Table2[[#This Row],[!FK]])&gt;0,Table2[[#This Row],[!FK]],"rg:None")</f>
        <v>UserRole</v>
      </c>
      <c r="X327" s="8" t="str">
        <f>IF(LEN(concatif2(A:A,Table2[[#This Row],[!Table]],G:G,"Y",D:D,",")) &gt; 0,"rg:[ { 'req' : '"&amp;concatif2(A:A,Table2[[#This Row],[!Table]],G:G,"Y",D:D,"' }, { 'req': '")&amp;"'} ]","rg:[]")</f>
        <v>rg:[ { 'req' : 'id' }, { 'req': 'name' }, { 'req': 'description'} ]</v>
      </c>
      <c r="Y327" s="8" t="str">
        <f>IF(LEN(Table2[[#This Row],[!Unique]])&gt;0,"rg:True","rg:None")</f>
        <v>rg:None</v>
      </c>
    </row>
    <row r="328" spans="1:25" ht="28.8" x14ac:dyDescent="0.3">
      <c r="A328" s="5" t="s">
        <v>55</v>
      </c>
      <c r="B328" s="5" t="s">
        <v>4</v>
      </c>
      <c r="D328" s="5" t="s">
        <v>55</v>
      </c>
      <c r="E328" s="76" t="s">
        <v>374</v>
      </c>
      <c r="F328" s="5" t="s">
        <v>5</v>
      </c>
      <c r="G328" s="4"/>
      <c r="H328" s="4"/>
      <c r="I328" s="5" t="str">
        <f t="shared" si="29"/>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RolePermission</v>
      </c>
      <c r="V328" s="8" t="str">
        <f>IF(LEN(Table2[[#This Row],[!Description]]) &gt; 0, Table2[[#This Row],[!Description]], "rg:None")</f>
        <v>A permission that is part of a Role - a component of the authorization provided by the Role to the user to which the Role is assigned.</v>
      </c>
      <c r="W328" s="8" t="str">
        <f>IF(LEN(Table2[[#This Row],[!FK]])&gt;0,Table2[[#This Row],[!FK]],"rg:None")</f>
        <v>rg:None</v>
      </c>
      <c r="X328" s="8" t="str">
        <f>IF(LEN(concatif2(A:A,Table2[[#This Row],[!Table]],G:G,"Y",D:D,",")) &gt; 0,"rg:[ { 'req' : '"&amp;concatif2(A:A,Table2[[#This Row],[!Table]],G:G,"Y",D:D,"' }, { 'req': '")&amp;"'} ]","rg:[]")</f>
        <v>rg:[ { 'req' : 'id'} ]</v>
      </c>
      <c r="Y328" s="8" t="str">
        <f>IF(LEN(Table2[[#This Row],[!Unique]])&gt;0,"rg:True","rg:None")</f>
        <v>rg:None</v>
      </c>
    </row>
    <row r="329" spans="1:25" x14ac:dyDescent="0.3">
      <c r="A329" s="5" t="s">
        <v>55</v>
      </c>
      <c r="B329" s="5" t="s">
        <v>6</v>
      </c>
      <c r="D329" s="5" t="s">
        <v>6</v>
      </c>
      <c r="E329" s="54" t="s">
        <v>337</v>
      </c>
      <c r="F329" s="5" t="s">
        <v>5</v>
      </c>
      <c r="G329" s="4" t="s">
        <v>62</v>
      </c>
      <c r="H329" s="4"/>
      <c r="I329" s="5" t="str">
        <f t="shared" si="29"/>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RolePermission</v>
      </c>
      <c r="W329" s="8" t="str">
        <f>IF(LEN(Table2[[#This Row],[!FK]])&gt;0,Table2[[#This Row],[!FK]],"rg:None")</f>
        <v>rg:None</v>
      </c>
      <c r="X329" s="8" t="str">
        <f>IF(LEN(concatif2(A:A,Table2[[#This Row],[!Table]],G:G,"Y",D:D,",")) &gt; 0,"rg:[ { 'req' : '"&amp;concatif2(A:A,Table2[[#This Row],[!Table]],G:G,"Y",D:D,"' }, { 'req': '")&amp;"'} ]","rg:[]")</f>
        <v>rg:[ { 'req' : 'id'} ]</v>
      </c>
      <c r="Y329" s="8" t="str">
        <f>IF(LEN(Table2[[#This Row],[!Unique]])&gt;0,"rg:True","rg:None")</f>
        <v>rg:None</v>
      </c>
    </row>
    <row r="330" spans="1:25" x14ac:dyDescent="0.3">
      <c r="A330" s="5" t="s">
        <v>55</v>
      </c>
      <c r="B330" s="5" t="s">
        <v>8</v>
      </c>
      <c r="D330" s="5" t="s">
        <v>18</v>
      </c>
      <c r="F330" s="5" t="s">
        <v>53</v>
      </c>
      <c r="G330" s="4"/>
      <c r="H330" s="4"/>
      <c r="I330" s="5" t="str">
        <f t="shared" si="29"/>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rg:None</v>
      </c>
      <c r="W330" s="8" t="str">
        <f>IF(LEN(Table2[[#This Row],[!FK]])&gt;0,Table2[[#This Row],[!FK]],"rg:None")</f>
        <v>Role</v>
      </c>
      <c r="X330" s="8" t="str">
        <f>IF(LEN(concatif2(A:A,Table2[[#This Row],[!Table]],G:G,"Y",D:D,",")) &gt; 0,"rg:[ { 'req' : '"&amp;concatif2(A:A,Table2[[#This Row],[!Table]],G:G,"Y",D:D,"' }, { 'req': '")&amp;"'} ]","rg:[]")</f>
        <v>rg:[ { 'req' : 'id'} ]</v>
      </c>
      <c r="Y330" s="8" t="str">
        <f>IF(LEN(Table2[[#This Row],[!Unique]])&gt;0,"rg:True","rg:None")</f>
        <v>rg:None</v>
      </c>
    </row>
    <row r="331" spans="1:25" x14ac:dyDescent="0.3">
      <c r="A331" s="5" t="s">
        <v>55</v>
      </c>
      <c r="B331" s="5" t="s">
        <v>8</v>
      </c>
      <c r="D331" s="5" t="s">
        <v>56</v>
      </c>
      <c r="E331" s="130" t="s">
        <v>547</v>
      </c>
      <c r="F331" s="5" t="s">
        <v>57</v>
      </c>
      <c r="G331" s="4"/>
      <c r="H331" s="4"/>
      <c r="I331" s="5" t="str">
        <f t="shared" si="29"/>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permission</v>
      </c>
      <c r="V331" s="8" t="str">
        <f>IF(LEN(Table2[[#This Row],[!Description]]) &gt; 0, Table2[[#This Row],[!Description]], "rg:None")</f>
        <v>A foreign key reference to the system-generated unique identifier for a Permission</v>
      </c>
      <c r="W331" s="8" t="str">
        <f>IF(LEN(Table2[[#This Row],[!FK]])&gt;0,Table2[[#This Row],[!FK]],"rg:None")</f>
        <v>Permission</v>
      </c>
      <c r="X331" s="8" t="str">
        <f>IF(LEN(concatif2(A:A,Table2[[#This Row],[!Table]],G:G,"Y",D:D,",")) &gt; 0,"rg:[ { 'req' : '"&amp;concatif2(A:A,Table2[[#This Row],[!Table]],G:G,"Y",D:D,"' }, { 'req': '")&amp;"'} ]","rg:[]")</f>
        <v>rg:[ { 'req' : 'id'} ]</v>
      </c>
      <c r="Y331" s="8" t="str">
        <f>IF(LEN(Table2[[#This Row],[!Unique]])&gt;0,"rg:True","rg:None")</f>
        <v>rg:None</v>
      </c>
    </row>
    <row r="332" spans="1:25" ht="72" x14ac:dyDescent="0.3">
      <c r="A332" s="5" t="s">
        <v>57</v>
      </c>
      <c r="B332" s="5" t="s">
        <v>4</v>
      </c>
      <c r="D332" s="5" t="s">
        <v>57</v>
      </c>
      <c r="E332" s="76" t="s">
        <v>375</v>
      </c>
      <c r="F332" s="5" t="s">
        <v>5</v>
      </c>
      <c r="G332" s="4"/>
      <c r="H332" s="4"/>
      <c r="I332" s="5" t="str">
        <f t="shared" si="29"/>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table</v>
      </c>
      <c r="T332" s="8" t="str">
        <f>IF(LEN(Table2[[#This Row],[!Length]]) &gt; 0, Table2[[#This Row],[!Length]], "rg:None")</f>
        <v>rg:None</v>
      </c>
      <c r="U332" s="8" t="str">
        <f>IF(LEN(Table2[[#This Row],[!Name]]) &gt; 0, Table2[[#This Row],[!Name]], "rg:None")</f>
        <v>Permission</v>
      </c>
      <c r="V33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2" s="8" t="str">
        <f>IF(LEN(Table2[[#This Row],[!FK]])&gt;0,Table2[[#This Row],[!FK]],"rg:None")</f>
        <v>rg:None</v>
      </c>
      <c r="X332" s="8" t="str">
        <f>IF(LEN(concatif2(A:A,Table2[[#This Row],[!Table]],G:G,"Y",D:D,",")) &gt; 0,"rg:[ { 'req' : '"&amp;concatif2(A:A,Table2[[#This Row],[!Table]],G:G,"Y",D:D,"' }, { 'req': '")&amp;"'} ]","rg:[]")</f>
        <v>rg:[ { 'req' : 'id' }, { 'req': 'code' }, { 'req': 'name' }, { 'req': 'description'} ]</v>
      </c>
      <c r="Y332" s="8" t="str">
        <f>IF(LEN(Table2[[#This Row],[!Unique]])&gt;0,"rg:True","rg:None")</f>
        <v>rg:None</v>
      </c>
    </row>
    <row r="333" spans="1:25" x14ac:dyDescent="0.3">
      <c r="A333" s="5" t="s">
        <v>57</v>
      </c>
      <c r="B333" s="5" t="s">
        <v>6</v>
      </c>
      <c r="D333" s="5" t="s">
        <v>6</v>
      </c>
      <c r="E333" s="54" t="s">
        <v>338</v>
      </c>
      <c r="F333" s="5" t="s">
        <v>5</v>
      </c>
      <c r="G333" s="4" t="s">
        <v>62</v>
      </c>
      <c r="H333" s="4"/>
      <c r="I333" s="5" t="str">
        <f t="shared" si="29"/>
        <v>Defs</v>
      </c>
      <c r="J333" s="8" t="str">
        <f>IF(Table2[[#This Row],[!Type]]=J$1, J$1,"rg:None")</f>
        <v>rg:None</v>
      </c>
      <c r="K333" s="8" t="str">
        <f>IF(Table2[[#This Row],[!Type]]=K$1, K$1,"rg:None")</f>
        <v>rg:None</v>
      </c>
      <c r="L333" s="8" t="str">
        <f>IF(Table2[[#This Row],[!Type]]=L$1, L$1,"rg:None")</f>
        <v>rg:None</v>
      </c>
      <c r="M333" s="8" t="str">
        <f>IF(Table2[[#This Row],[!Type]]=M$1, M$1,"rg:None")</f>
        <v>id</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id</v>
      </c>
      <c r="V333" s="8" t="str">
        <f>IF(LEN(Table2[[#This Row],[!Description]]) &gt; 0, Table2[[#This Row],[!Description]], "rg:None")</f>
        <v>A system-generated unique identifier for a Permission</v>
      </c>
      <c r="W333" s="8" t="str">
        <f>IF(LEN(Table2[[#This Row],[!FK]])&gt;0,Table2[[#This Row],[!FK]],"rg:None")</f>
        <v>rg:None</v>
      </c>
      <c r="X333" s="8" t="str">
        <f>IF(LEN(concatif2(A:A,Table2[[#This Row],[!Table]],G:G,"Y",D:D,",")) &gt; 0,"rg:[ { 'req' : '"&amp;concatif2(A:A,Table2[[#This Row],[!Table]],G:G,"Y",D:D,"' }, { 'req': '")&amp;"'} ]","rg:[]")</f>
        <v>rg:[ { 'req' : 'id' }, { 'req': 'code' }, { 'req': 'name' }, { 'req': 'description'} ]</v>
      </c>
      <c r="Y333" s="8" t="str">
        <f>IF(LEN(Table2[[#This Row],[!Unique]])&gt;0,"rg:True","rg:None")</f>
        <v>rg:None</v>
      </c>
    </row>
    <row r="334" spans="1:25" x14ac:dyDescent="0.3">
      <c r="A334" s="5" t="s">
        <v>57</v>
      </c>
      <c r="B334" s="5" t="s">
        <v>7</v>
      </c>
      <c r="C334" s="5">
        <v>50</v>
      </c>
      <c r="D334" s="5" t="s">
        <v>58</v>
      </c>
      <c r="E334" s="54" t="s">
        <v>339</v>
      </c>
      <c r="F334" s="5" t="s">
        <v>5</v>
      </c>
      <c r="G334" s="4" t="s">
        <v>62</v>
      </c>
      <c r="H334" s="4"/>
      <c r="I334" s="5" t="str">
        <f t="shared" si="29"/>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50</v>
      </c>
      <c r="U334" s="8" t="str">
        <f>IF(LEN(Table2[[#This Row],[!Name]]) &gt; 0, Table2[[#This Row],[!Name]], "rg:None")</f>
        <v>code</v>
      </c>
      <c r="V334" s="8" t="str">
        <f>IF(LEN(Table2[[#This Row],[!Description]]) &gt; 0, Table2[[#This Row],[!Description]], "rg:None")</f>
        <v>The name of the permission referenced in the software of the application.</v>
      </c>
      <c r="W334" s="8" t="str">
        <f>IF(LEN(Table2[[#This Row],[!FK]])&gt;0,Table2[[#This Row],[!FK]],"rg:None")</f>
        <v>rg:None</v>
      </c>
      <c r="X334" s="8" t="str">
        <f>IF(LEN(concatif2(A:A,Table2[[#This Row],[!Table]],G:G,"Y",D:D,",")) &gt; 0,"rg:[ { 'req' : '"&amp;concatif2(A:A,Table2[[#This Row],[!Table]],G:G,"Y",D:D,"' }, { 'req': '")&amp;"'} ]","rg:[]")</f>
        <v>rg:[ { 'req' : 'id' }, { 'req': 'code' }, { 'req': 'name' }, { 'req': 'description'} ]</v>
      </c>
      <c r="Y334" s="8" t="str">
        <f>IF(LEN(Table2[[#This Row],[!Unique]])&gt;0,"rg:True","rg:None")</f>
        <v>rg:None</v>
      </c>
    </row>
    <row r="335" spans="1:25" ht="28.8" x14ac:dyDescent="0.3">
      <c r="A335" s="5" t="s">
        <v>57</v>
      </c>
      <c r="B335" s="5" t="s">
        <v>7</v>
      </c>
      <c r="C335" s="5">
        <v>150</v>
      </c>
      <c r="D335" s="5" t="s">
        <v>15</v>
      </c>
      <c r="E335" s="54" t="s">
        <v>340</v>
      </c>
      <c r="F335" s="5" t="s">
        <v>5</v>
      </c>
      <c r="G335" s="4" t="s">
        <v>62</v>
      </c>
      <c r="H335" s="4"/>
      <c r="I335" s="5" t="str">
        <f t="shared" si="29"/>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150</v>
      </c>
      <c r="U335" s="8" t="str">
        <f>IF(LEN(Table2[[#This Row],[!Name]]) &gt; 0, Table2[[#This Row],[!Name]], "rg:None")</f>
        <v>name</v>
      </c>
      <c r="V335" s="8" t="str">
        <f>IF(LEN(Table2[[#This Row],[!Description]]) &gt; 0, Table2[[#This Row],[!Description]], "rg:None")</f>
        <v>The 'user friendly' name of the permission exposed to the user selecting the permissions to be included in a Role.</v>
      </c>
      <c r="W335" s="8" t="str">
        <f>IF(LEN(Table2[[#This Row],[!FK]])&gt;0,Table2[[#This Row],[!FK]],"rg:None")</f>
        <v>rg:None</v>
      </c>
      <c r="X335" s="8" t="str">
        <f>IF(LEN(concatif2(A:A,Table2[[#This Row],[!Table]],G:G,"Y",D:D,",")) &gt; 0,"rg:[ { 'req' : '"&amp;concatif2(A:A,Table2[[#This Row],[!Table]],G:G,"Y",D:D,"' }, { 'req': '")&amp;"'} ]","rg:[]")</f>
        <v>rg:[ { 'req' : 'id' }, { 'req': 'code' }, { 'req': 'name' }, { 'req': 'description'} ]</v>
      </c>
      <c r="Y335" s="8" t="str">
        <f>IF(LEN(Table2[[#This Row],[!Unique]])&gt;0,"rg:True","rg:None")</f>
        <v>rg:None</v>
      </c>
    </row>
    <row r="336" spans="1:25" ht="28.8" x14ac:dyDescent="0.3">
      <c r="A336" s="5" t="s">
        <v>57</v>
      </c>
      <c r="B336" s="5" t="s">
        <v>7</v>
      </c>
      <c r="C336" s="5">
        <v>2048</v>
      </c>
      <c r="D336" s="5" t="s">
        <v>14</v>
      </c>
      <c r="E336" s="54" t="s">
        <v>341</v>
      </c>
      <c r="F336" s="5" t="s">
        <v>5</v>
      </c>
      <c r="G336" s="4" t="s">
        <v>62</v>
      </c>
      <c r="H336" s="4"/>
      <c r="I336" s="5" t="str">
        <f t="shared" si="29"/>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2048</v>
      </c>
      <c r="U336" s="8" t="str">
        <f>IF(LEN(Table2[[#This Row],[!Name]]) &gt; 0, Table2[[#This Row],[!Name]], "rg:None")</f>
        <v>description</v>
      </c>
      <c r="V336" s="8" t="str">
        <f>IF(LEN(Table2[[#This Row],[!Description]]) &gt; 0, Table2[[#This Row],[!Description]], "rg:None")</f>
        <v>A description of the purpose of the permission and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 { 'req': 'description'} ]</v>
      </c>
      <c r="Y336" s="8" t="str">
        <f>IF(LEN(Table2[[#This Row],[!Unique]])&gt;0,"rg:True","rg:None")</f>
        <v>rg:None</v>
      </c>
    </row>
    <row r="337" spans="1:25" x14ac:dyDescent="0.3">
      <c r="A337" s="5" t="s">
        <v>59</v>
      </c>
      <c r="B337" s="5" t="s">
        <v>4</v>
      </c>
      <c r="D337" s="5" t="s">
        <v>59</v>
      </c>
      <c r="E337" s="54" t="s">
        <v>342</v>
      </c>
      <c r="F337" s="5" t="s">
        <v>5</v>
      </c>
      <c r="G337" s="4"/>
      <c r="H337" s="4"/>
      <c r="I337" s="5" t="str">
        <f t="shared" si="29"/>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GroupMembership</v>
      </c>
      <c r="V337" s="8" t="str">
        <f>IF(LEN(Table2[[#This Row],[!Description]]) &gt; 0, Table2[[#This Row],[!Description]], "rg:None")</f>
        <v>The users associated with a given group that has been defined in the application.</v>
      </c>
      <c r="W337" s="8" t="str">
        <f>IF(LEN(Table2[[#This Row],[!FK]])&gt;0,Table2[[#This Row],[!FK]],"rg:None")</f>
        <v>rg:None</v>
      </c>
      <c r="X337" s="8" t="str">
        <f>IF(LEN(concatif2(A:A,Table2[[#This Row],[!Table]],G:G,"Y",D:D,",")) &gt; 0,"rg:[ { 'req' : '"&amp;concatif2(A:A,Table2[[#This Row],[!Table]],G:G,"Y",D:D,"' }, { 'req': '")&amp;"'} ]","rg:[]")</f>
        <v>rg:[ { 'req' : 'id' }, { 'req': 'active'} ]</v>
      </c>
      <c r="Y337" s="8" t="str">
        <f>IF(LEN(Table2[[#This Row],[!Unique]])&gt;0,"rg:True","rg:None")</f>
        <v>rg:None</v>
      </c>
    </row>
    <row r="338" spans="1:25" x14ac:dyDescent="0.3">
      <c r="A338" s="5" t="s">
        <v>59</v>
      </c>
      <c r="B338" s="5" t="s">
        <v>6</v>
      </c>
      <c r="D338" s="5" t="s">
        <v>6</v>
      </c>
      <c r="E338" s="54" t="s">
        <v>343</v>
      </c>
      <c r="F338" s="5" t="s">
        <v>5</v>
      </c>
      <c r="G338" s="4" t="s">
        <v>62</v>
      </c>
      <c r="H338" s="4"/>
      <c r="I338" s="5" t="str">
        <f t="shared" si="29"/>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GroupMembership</v>
      </c>
      <c r="W338" s="8" t="str">
        <f>IF(LEN(Table2[[#This Row],[!FK]])&gt;0,Table2[[#This Row],[!FK]],"rg:None")</f>
        <v>rg:None</v>
      </c>
      <c r="X338" s="8" t="str">
        <f>IF(LEN(concatif2(A:A,Table2[[#This Row],[!Table]],G:G,"Y",D:D,",")) &gt; 0,"rg:[ { 'req' : '"&amp;concatif2(A:A,Table2[[#This Row],[!Table]],G:G,"Y",D:D,"' }, { 'req': '")&amp;"'} ]","rg:[]")</f>
        <v>rg:[ { 'req' : 'id' }, { 'req': 'active'} ]</v>
      </c>
      <c r="Y338" s="8" t="str">
        <f>IF(LEN(Table2[[#This Row],[!Unique]])&gt;0,"rg:True","rg:None")</f>
        <v>rg:None</v>
      </c>
    </row>
    <row r="339" spans="1:25" ht="28.8" x14ac:dyDescent="0.3">
      <c r="A339" s="5" t="s">
        <v>59</v>
      </c>
      <c r="B339" s="5" t="s">
        <v>9</v>
      </c>
      <c r="D339" s="5" t="s">
        <v>41</v>
      </c>
      <c r="E339" s="54" t="s">
        <v>344</v>
      </c>
      <c r="F339" s="5" t="s">
        <v>5</v>
      </c>
      <c r="G339" s="4" t="s">
        <v>62</v>
      </c>
      <c r="H339" s="4"/>
      <c r="I339" s="5" t="str">
        <f t="shared" si="29"/>
        <v>Defs</v>
      </c>
      <c r="J339" s="8" t="str">
        <f>IF(Table2[[#This Row],[!Type]]=J$1, J$1,"rg:None")</f>
        <v>boolean</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active</v>
      </c>
      <c r="V339" s="8" t="str">
        <f>IF(LEN(Table2[[#This Row],[!Description]]) &gt; 0, Table2[[#This Row],[!Description]], "rg:None")</f>
        <v>A flag indicating the User is active in the group. Set false to remove the user from the designated group.</v>
      </c>
      <c r="W339" s="8" t="str">
        <f>IF(LEN(Table2[[#This Row],[!FK]])&gt;0,Table2[[#This Row],[!FK]],"rg:None")</f>
        <v>rg:None</v>
      </c>
      <c r="X339" s="8" t="str">
        <f>IF(LEN(concatif2(A:A,Table2[[#This Row],[!Table]],G:G,"Y",D:D,",")) &gt; 0,"rg:[ { 'req' : '"&amp;concatif2(A:A,Table2[[#This Row],[!Table]],G:G,"Y",D:D,"' }, { 'req': '")&amp;"'} ]","rg:[]")</f>
        <v>rg:[ { 'req' : 'id' }, { 'req': 'active'} ]</v>
      </c>
      <c r="Y339" s="8" t="str">
        <f>IF(LEN(Table2[[#This Row],[!Unique]])&gt;0,"rg:True","rg:None")</f>
        <v>rg:None</v>
      </c>
    </row>
    <row r="340" spans="1:25" x14ac:dyDescent="0.3">
      <c r="A340" s="5" t="s">
        <v>59</v>
      </c>
      <c r="B340" s="5" t="s">
        <v>8</v>
      </c>
      <c r="D340" s="5" t="s">
        <v>60</v>
      </c>
      <c r="E340" s="130" t="s">
        <v>548</v>
      </c>
      <c r="F340" s="5" t="s">
        <v>61</v>
      </c>
      <c r="G340" s="4"/>
      <c r="H340" s="4"/>
      <c r="I340" s="5" t="str">
        <f t="shared" si="29"/>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group</v>
      </c>
      <c r="V340" s="8" t="str">
        <f>IF(LEN(Table2[[#This Row],[!Description]]) &gt; 0, Table2[[#This Row],[!Description]], "rg:None")</f>
        <v>A foreign key reference to the system-generated unique identifier for a Group</v>
      </c>
      <c r="W340" s="8" t="str">
        <f>IF(LEN(Table2[[#This Row],[!FK]])&gt;0,Table2[[#This Row],[!FK]],"rg:None")</f>
        <v>Group</v>
      </c>
      <c r="X340" s="8" t="str">
        <f>IF(LEN(concatif2(A:A,Table2[[#This Row],[!Table]],G:G,"Y",D:D,",")) &gt; 0,"rg:[ { 'req' : '"&amp;concatif2(A:A,Table2[[#This Row],[!Table]],G:G,"Y",D:D,"' }, { 'req': '")&amp;"'} ]","rg:[]")</f>
        <v>rg:[ { 'req' : 'id' }, { 'req': 'active'} ]</v>
      </c>
      <c r="Y340" s="8" t="str">
        <f>IF(LEN(Table2[[#This Row],[!Unique]])&gt;0,"rg:True","rg:None")</f>
        <v>rg:None</v>
      </c>
    </row>
    <row r="341" spans="1:25" x14ac:dyDescent="0.3">
      <c r="A341" s="5" t="s">
        <v>59</v>
      </c>
      <c r="B341" s="5" t="s">
        <v>8</v>
      </c>
      <c r="D341" s="5" t="s">
        <v>40</v>
      </c>
      <c r="E341" s="130" t="s">
        <v>549</v>
      </c>
      <c r="F341" s="5" t="s">
        <v>0</v>
      </c>
      <c r="G341" s="4"/>
      <c r="H341" s="4"/>
      <c r="I341" s="5" t="str">
        <f t="shared" si="29"/>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user</v>
      </c>
      <c r="V341" s="8" t="str">
        <f>IF(LEN(Table2[[#This Row],[!Description]]) &gt; 0, Table2[[#This Row],[!Description]], "rg:None")</f>
        <v>A foreign key reference to the system-generated unique identifier for a User</v>
      </c>
      <c r="W341" s="8" t="str">
        <f>IF(LEN(Table2[[#This Row],[!FK]])&gt;0,Table2[[#This Row],[!FK]],"rg:None")</f>
        <v>User</v>
      </c>
      <c r="X341" s="8" t="str">
        <f>IF(LEN(concatif2(A:A,Table2[[#This Row],[!Table]],G:G,"Y",D:D,",")) &gt; 0,"rg:[ { 'req' : '"&amp;concatif2(A:A,Table2[[#This Row],[!Table]],G:G,"Y",D:D,"' }, { 'req': '")&amp;"'} ]","rg:[]")</f>
        <v>rg:[ { 'req' : 'id' }, { 'req': 'active'} ]</v>
      </c>
      <c r="Y341" s="8" t="str">
        <f>IF(LEN(Table2[[#This Row],[!Unique]])&gt;0,"rg:True","rg:None")</f>
        <v>rg:None</v>
      </c>
    </row>
    <row r="342" spans="1:25" ht="43.2" x14ac:dyDescent="0.3">
      <c r="A342" s="5" t="s">
        <v>61</v>
      </c>
      <c r="B342" s="5" t="s">
        <v>4</v>
      </c>
      <c r="D342" s="5" t="s">
        <v>61</v>
      </c>
      <c r="E342" s="76" t="s">
        <v>376</v>
      </c>
      <c r="F342" s="5" t="s">
        <v>5</v>
      </c>
      <c r="G342" s="4"/>
      <c r="H342" s="4"/>
      <c r="I342" s="5" t="str">
        <f t="shared" si="29"/>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table</v>
      </c>
      <c r="T342" s="8" t="str">
        <f>IF(LEN(Table2[[#This Row],[!Length]]) &gt; 0, Table2[[#This Row],[!Length]], "rg:None")</f>
        <v>rg:None</v>
      </c>
      <c r="U342" s="8" t="str">
        <f>IF(LEN(Table2[[#This Row],[!Name]]) &gt; 0, Table2[[#This Row],[!Name]], "rg:None")</f>
        <v>Group</v>
      </c>
      <c r="V342"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2" s="8" t="str">
        <f>IF(LEN(Table2[[#This Row],[!FK]])&gt;0,Table2[[#This Row],[!FK]],"rg:None")</f>
        <v>rg:None</v>
      </c>
      <c r="X342" s="8" t="str">
        <f>IF(LEN(concatif2(A:A,Table2[[#This Row],[!Table]],G:G,"Y",D:D,",")) &gt; 0,"rg:[ { 'req' : '"&amp;concatif2(A:A,Table2[[#This Row],[!Table]],G:G,"Y",D:D,"' }, { 'req': '")&amp;"'} ]","rg:[]")</f>
        <v>rg:[ { 'req' : 'id' }, { 'req': 'name' }, { 'req': 'description'} ]</v>
      </c>
      <c r="Y342" s="8" t="str">
        <f>IF(LEN(Table2[[#This Row],[!Unique]])&gt;0,"rg:True","rg:None")</f>
        <v>rg:None</v>
      </c>
    </row>
    <row r="343" spans="1:25" x14ac:dyDescent="0.3">
      <c r="A343" s="5" t="s">
        <v>61</v>
      </c>
      <c r="B343" s="5" t="s">
        <v>6</v>
      </c>
      <c r="D343" s="5" t="s">
        <v>6</v>
      </c>
      <c r="E343" s="54" t="s">
        <v>345</v>
      </c>
      <c r="F343" s="5" t="s">
        <v>5</v>
      </c>
      <c r="G343" s="4" t="s">
        <v>62</v>
      </c>
      <c r="H343" s="4"/>
      <c r="I343" s="5" t="str">
        <f t="shared" si="29"/>
        <v>Defs</v>
      </c>
      <c r="J343" s="8" t="str">
        <f>IF(Table2[[#This Row],[!Type]]=J$1, J$1,"rg:None")</f>
        <v>rg:None</v>
      </c>
      <c r="K343" s="8" t="str">
        <f>IF(Table2[[#This Row],[!Type]]=K$1, K$1,"rg:None")</f>
        <v>rg:None</v>
      </c>
      <c r="L343" s="8" t="str">
        <f>IF(Table2[[#This Row],[!Type]]=L$1, L$1,"rg:None")</f>
        <v>rg:None</v>
      </c>
      <c r="M343" s="8" t="str">
        <f>IF(Table2[[#This Row],[!Type]]=M$1, M$1,"rg:None")</f>
        <v>id</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id</v>
      </c>
      <c r="V343" s="8" t="str">
        <f>IF(LEN(Table2[[#This Row],[!Description]]) &gt; 0, Table2[[#This Row],[!Description]], "rg:None")</f>
        <v>A system-generated unique identifier for a Group</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Row],[!Unique]])&gt;0,"rg:True","rg:None")</f>
        <v>rg:None</v>
      </c>
    </row>
    <row r="344" spans="1:25" x14ac:dyDescent="0.3">
      <c r="A344" s="5" t="s">
        <v>61</v>
      </c>
      <c r="B344" s="5" t="s">
        <v>7</v>
      </c>
      <c r="C344" s="5">
        <v>150</v>
      </c>
      <c r="D344" s="5" t="s">
        <v>15</v>
      </c>
      <c r="E344" s="54" t="s">
        <v>346</v>
      </c>
      <c r="F344" s="5" t="s">
        <v>5</v>
      </c>
      <c r="G344" s="4" t="s">
        <v>62</v>
      </c>
      <c r="H344" s="4"/>
      <c r="I344" s="5" t="str">
        <f t="shared" si="29"/>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name of the group, as refenced in the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Row],[!Unique]])&gt;0,"rg:True","rg:None")</f>
        <v>rg:None</v>
      </c>
    </row>
    <row r="345" spans="1:25" ht="28.8" x14ac:dyDescent="0.3">
      <c r="A345" s="5" t="s">
        <v>61</v>
      </c>
      <c r="B345" s="5" t="s">
        <v>7</v>
      </c>
      <c r="C345" s="5">
        <v>2048</v>
      </c>
      <c r="D345" s="5" t="s">
        <v>14</v>
      </c>
      <c r="E345" s="54" t="s">
        <v>347</v>
      </c>
      <c r="F345" s="5" t="s">
        <v>5</v>
      </c>
      <c r="G345" s="4" t="s">
        <v>62</v>
      </c>
      <c r="H345" s="4"/>
      <c r="I345" s="5" t="str">
        <f t="shared" si="29"/>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group that is presented to the user when they are setting a user into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Row],[!Unique]])&gt;0,"rg:True","rg:None")</f>
        <v>rg:None</v>
      </c>
    </row>
    <row r="346" spans="1:25" x14ac:dyDescent="0.3">
      <c r="A346" s="150" t="s">
        <v>461</v>
      </c>
      <c r="B346" s="150"/>
      <c r="C346" s="150"/>
      <c r="D346" s="150"/>
      <c r="E346" s="151"/>
      <c r="F346" s="151"/>
      <c r="G346" s="150"/>
      <c r="H346" s="150"/>
      <c r="I346" s="8"/>
      <c r="J346" s="8"/>
      <c r="K346" s="8"/>
      <c r="L346" s="8"/>
      <c r="M346" s="8"/>
      <c r="N346" s="8"/>
      <c r="O346" s="8"/>
      <c r="P346" s="8"/>
      <c r="Q346" s="8"/>
      <c r="R346" s="8"/>
      <c r="S346" s="8"/>
      <c r="T346" s="8"/>
      <c r="U346" s="8"/>
      <c r="V346" s="8"/>
      <c r="W346" s="8"/>
      <c r="Y346" s="8">
        <f>SUBTOTAL(103,Table2[Unique])</f>
        <v>344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35" activePane="bottomLeft" state="frozen"/>
      <selection pane="bottomLeft" activeCell="B60" sqref="B60"/>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595</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597</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596</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596</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581</v>
      </c>
      <c r="C6" s="145" t="s">
        <v>570</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581</v>
      </c>
      <c r="C7" s="145" t="s">
        <v>570</v>
      </c>
      <c r="D7" s="146" t="s">
        <v>570</v>
      </c>
      <c r="E7" s="146" t="s">
        <v>596</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596</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6" t="s">
        <v>594</v>
      </c>
      <c r="C10" s="142" t="s">
        <v>575</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6" t="s">
        <v>594</v>
      </c>
      <c r="C11" s="142" t="s">
        <v>575</v>
      </c>
      <c r="D11" s="142" t="s">
        <v>575</v>
      </c>
      <c r="E11" s="142" t="s">
        <v>596</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596</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596</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8" t="s">
        <v>592</v>
      </c>
      <c r="C16" s="157" t="s">
        <v>593</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8" t="s">
        <v>592</v>
      </c>
      <c r="C17" s="157" t="s">
        <v>593</v>
      </c>
      <c r="D17" s="157" t="s">
        <v>593</v>
      </c>
      <c r="E17" s="154" t="s">
        <v>596</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5"/>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rg:None</v>
      </c>
    </row>
    <row r="19" spans="1:22" x14ac:dyDescent="0.3">
      <c r="A19" s="42" t="s">
        <v>77</v>
      </c>
      <c r="B19" s="42" t="s">
        <v>95</v>
      </c>
      <c r="C19" s="43" t="s">
        <v>61</v>
      </c>
      <c r="D19" s="44" t="s">
        <v>61</v>
      </c>
      <c r="E19" s="44" t="s">
        <v>596</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15"/>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rg:None</v>
      </c>
    </row>
    <row r="21" spans="1:22" x14ac:dyDescent="0.3">
      <c r="A21" s="32" t="s">
        <v>77</v>
      </c>
      <c r="B21" s="32" t="s">
        <v>96</v>
      </c>
      <c r="C21" s="33" t="s">
        <v>57</v>
      </c>
      <c r="D21" s="34" t="s">
        <v>57</v>
      </c>
      <c r="E21" s="34" t="s">
        <v>596</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462</v>
      </c>
      <c r="E22" s="87"/>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rg:None</v>
      </c>
    </row>
    <row r="23" spans="1:22" x14ac:dyDescent="0.3">
      <c r="A23" s="32" t="s">
        <v>77</v>
      </c>
      <c r="B23" s="32" t="s">
        <v>97</v>
      </c>
      <c r="C23" s="33" t="s">
        <v>53</v>
      </c>
      <c r="D23" s="86" t="s">
        <v>53</v>
      </c>
      <c r="E23" s="86" t="s">
        <v>596</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15"/>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rg:None</v>
      </c>
    </row>
    <row r="25" spans="1:22" x14ac:dyDescent="0.3">
      <c r="A25" s="7" t="s">
        <v>75</v>
      </c>
      <c r="B25" s="10" t="s">
        <v>98</v>
      </c>
      <c r="C25" s="3" t="s">
        <v>0</v>
      </c>
      <c r="D25" s="15" t="s">
        <v>107</v>
      </c>
      <c r="E25" s="15"/>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rg:None</v>
      </c>
    </row>
    <row r="26" spans="1:22" x14ac:dyDescent="0.3">
      <c r="A26" s="32" t="s">
        <v>77</v>
      </c>
      <c r="B26" s="32" t="s">
        <v>98</v>
      </c>
      <c r="C26" s="33" t="s">
        <v>0</v>
      </c>
      <c r="D26" s="34" t="s">
        <v>0</v>
      </c>
      <c r="E26" s="15" t="s">
        <v>596</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596</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596</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596</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596</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596</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596</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596</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596</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596</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596</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214</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214</v>
      </c>
      <c r="C46" s="37" t="s">
        <v>158</v>
      </c>
      <c r="D46" s="36" t="s">
        <v>158</v>
      </c>
      <c r="E46" s="45" t="s">
        <v>596</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505</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505</v>
      </c>
      <c r="C48" t="s">
        <v>59</v>
      </c>
      <c r="D48" s="36" t="s">
        <v>59</v>
      </c>
      <c r="E48" s="44" t="s">
        <v>596</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515</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515</v>
      </c>
      <c r="C50" t="s">
        <v>160</v>
      </c>
      <c r="D50" s="36" t="s">
        <v>160</v>
      </c>
      <c r="E50" s="44" t="s">
        <v>596</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506</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506</v>
      </c>
      <c r="C52" t="s">
        <v>199</v>
      </c>
      <c r="D52" s="36" t="s">
        <v>199</v>
      </c>
      <c r="E52" s="44" t="s">
        <v>596</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507</v>
      </c>
      <c r="C53" t="s">
        <v>477</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507</v>
      </c>
      <c r="C54" t="s">
        <v>477</v>
      </c>
      <c r="D54" s="36" t="s">
        <v>477</v>
      </c>
      <c r="E54" s="45" t="s">
        <v>596</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508</v>
      </c>
      <c r="C55" t="s">
        <v>464</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508</v>
      </c>
      <c r="C56" t="s">
        <v>464</v>
      </c>
      <c r="D56" s="36" t="s">
        <v>464</v>
      </c>
      <c r="E56" s="45" t="s">
        <v>596</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509</v>
      </c>
      <c r="C57" t="s">
        <v>429</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509</v>
      </c>
      <c r="C58" t="s">
        <v>429</v>
      </c>
      <c r="D58" s="36" t="s">
        <v>429</v>
      </c>
      <c r="E58" s="45" t="s">
        <v>596</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510</v>
      </c>
      <c r="C59" t="s">
        <v>447</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510</v>
      </c>
      <c r="C60" t="s">
        <v>447</v>
      </c>
      <c r="D60" s="36" t="s">
        <v>447</v>
      </c>
      <c r="E60" s="44" t="s">
        <v>596</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511</v>
      </c>
      <c r="C61" t="s">
        <v>430</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511</v>
      </c>
      <c r="C62" t="s">
        <v>430</v>
      </c>
      <c r="D62" s="36" t="s">
        <v>430</v>
      </c>
      <c r="E62" s="44" t="s">
        <v>596</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596</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512</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512</v>
      </c>
      <c r="C66" t="s">
        <v>147</v>
      </c>
      <c r="D66" s="36" t="s">
        <v>147</v>
      </c>
      <c r="E66" s="45" t="s">
        <v>596</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513</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513</v>
      </c>
      <c r="C68" t="s">
        <v>202</v>
      </c>
      <c r="D68" s="36" t="s">
        <v>202</v>
      </c>
      <c r="E68" s="45" t="s">
        <v>596</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514</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514</v>
      </c>
      <c r="C70" t="s">
        <v>22</v>
      </c>
      <c r="D70" s="36" t="s">
        <v>22</v>
      </c>
      <c r="E70" s="45" t="s">
        <v>596</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5"/>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rg:None</v>
      </c>
    </row>
    <row r="72" spans="1:22" x14ac:dyDescent="0.3">
      <c r="A72" s="35" t="s">
        <v>77</v>
      </c>
      <c r="B72" s="35" t="s">
        <v>99</v>
      </c>
      <c r="C72" t="s">
        <v>50</v>
      </c>
      <c r="D72" s="36" t="s">
        <v>50</v>
      </c>
      <c r="E72" s="44" t="s">
        <v>596</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2017-03-21T17:13:10Z</dcterms:modified>
</cp:coreProperties>
</file>