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Projects\HETS\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defs.csv!$A$1:$Y$352</definedName>
    <definedName name="_xlnm._FilterDatabase" localSheetId="1" hidden="1">paths.csv!$A$1:$G$72</definedName>
  </definedNames>
  <calcPr calcId="171027"/>
</workbook>
</file>

<file path=xl/calcChain.xml><?xml version="1.0" encoding="utf-8"?>
<calcChain xmlns="http://schemas.openxmlformats.org/spreadsheetml/2006/main">
  <c r="I259" i="27" l="1"/>
  <c r="J259" i="27"/>
  <c r="K259" i="27"/>
  <c r="L259" i="27"/>
  <c r="M259" i="27"/>
  <c r="N259" i="27"/>
  <c r="O259" i="27"/>
  <c r="P259" i="27"/>
  <c r="Q259" i="27"/>
  <c r="R259" i="27"/>
  <c r="S259" i="27"/>
  <c r="T259" i="27"/>
  <c r="U259" i="27"/>
  <c r="V259" i="27"/>
  <c r="W259" i="27"/>
  <c r="Y259" i="27"/>
  <c r="X259" i="27"/>
  <c r="I352" i="27" l="1"/>
  <c r="J352" i="27"/>
  <c r="K352" i="27"/>
  <c r="L352" i="27"/>
  <c r="M352" i="27"/>
  <c r="N352" i="27"/>
  <c r="O352" i="27"/>
  <c r="P352" i="27"/>
  <c r="Q352" i="27"/>
  <c r="R352" i="27"/>
  <c r="S352" i="27"/>
  <c r="T352" i="27"/>
  <c r="U352" i="27"/>
  <c r="V352" i="27"/>
  <c r="W352" i="27"/>
  <c r="Y352" i="27"/>
  <c r="I351" i="27"/>
  <c r="J351" i="27"/>
  <c r="K351" i="27"/>
  <c r="L351" i="27"/>
  <c r="M351" i="27"/>
  <c r="N351" i="27"/>
  <c r="O351" i="27"/>
  <c r="P351" i="27"/>
  <c r="Q351" i="27"/>
  <c r="R351" i="27"/>
  <c r="S351" i="27"/>
  <c r="T351" i="27"/>
  <c r="U351" i="27"/>
  <c r="V351" i="27"/>
  <c r="W351" i="27"/>
  <c r="Y351" i="27"/>
  <c r="I350" i="27"/>
  <c r="J350" i="27"/>
  <c r="K350" i="27"/>
  <c r="L350" i="27"/>
  <c r="M350" i="27"/>
  <c r="N350" i="27"/>
  <c r="O350" i="27"/>
  <c r="P350" i="27"/>
  <c r="Q350" i="27"/>
  <c r="R350" i="27"/>
  <c r="S350" i="27"/>
  <c r="T350" i="27"/>
  <c r="U350" i="27"/>
  <c r="V350" i="27"/>
  <c r="W350" i="27"/>
  <c r="Y350" i="27"/>
  <c r="I349" i="27"/>
  <c r="J349" i="27"/>
  <c r="K349" i="27"/>
  <c r="L349" i="27"/>
  <c r="M349" i="27"/>
  <c r="N349" i="27"/>
  <c r="O349" i="27"/>
  <c r="P349" i="27"/>
  <c r="Q349" i="27"/>
  <c r="R349" i="27"/>
  <c r="S349" i="27"/>
  <c r="T349" i="27"/>
  <c r="U349" i="27"/>
  <c r="V349" i="27"/>
  <c r="W349" i="27"/>
  <c r="Y349" i="27"/>
  <c r="I348" i="27"/>
  <c r="J348" i="27"/>
  <c r="K348" i="27"/>
  <c r="L348" i="27"/>
  <c r="M348" i="27"/>
  <c r="N348" i="27"/>
  <c r="O348" i="27"/>
  <c r="P348" i="27"/>
  <c r="Q348" i="27"/>
  <c r="R348" i="27"/>
  <c r="S348" i="27"/>
  <c r="T348" i="27"/>
  <c r="U348" i="27"/>
  <c r="V348" i="27"/>
  <c r="W348" i="27"/>
  <c r="Y348" i="27"/>
  <c r="I347" i="27"/>
  <c r="J347" i="27"/>
  <c r="K347" i="27"/>
  <c r="L347" i="27"/>
  <c r="M347" i="27"/>
  <c r="N347" i="27"/>
  <c r="O347" i="27"/>
  <c r="P347" i="27"/>
  <c r="Q347" i="27"/>
  <c r="R347" i="27"/>
  <c r="S347" i="27"/>
  <c r="T347" i="27"/>
  <c r="U347" i="27"/>
  <c r="V347" i="27"/>
  <c r="W347" i="27"/>
  <c r="Y347" i="27"/>
  <c r="X352" i="27"/>
  <c r="X351" i="27"/>
  <c r="X350" i="27"/>
  <c r="X349" i="27"/>
  <c r="X348" i="27"/>
  <c r="X347"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1" i="27"/>
  <c r="X234" i="27"/>
  <c r="X233" i="27"/>
  <c r="X232" i="27"/>
  <c r="X228" i="27"/>
  <c r="X230" i="27"/>
  <c r="X22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64" i="27"/>
  <c r="X179"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70" i="27"/>
  <c r="X169" i="27"/>
  <c r="X167" i="27"/>
  <c r="X163" i="27"/>
  <c r="X165" i="27"/>
  <c r="X173" i="27"/>
  <c r="X162" i="27"/>
  <c r="X168" i="27"/>
  <c r="X161" i="27"/>
  <c r="X166"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3"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2" i="27"/>
  <c r="X184" i="27"/>
  <c r="X176" i="27"/>
  <c r="X180" i="27"/>
  <c r="X177" i="27"/>
  <c r="X178" i="27"/>
  <c r="I260" i="27" l="1"/>
  <c r="J260" i="27"/>
  <c r="K260" i="27"/>
  <c r="L260" i="27"/>
  <c r="M260" i="27"/>
  <c r="N260" i="27"/>
  <c r="O260" i="27"/>
  <c r="P260" i="27"/>
  <c r="Q260" i="27"/>
  <c r="R260" i="27"/>
  <c r="S260" i="27"/>
  <c r="T260" i="27"/>
  <c r="U260" i="27"/>
  <c r="V260" i="27"/>
  <c r="W260" i="27"/>
  <c r="X260"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59" i="27"/>
  <c r="X76" i="27"/>
  <c r="X73" i="27"/>
  <c r="X66" i="27"/>
  <c r="X70" i="27"/>
  <c r="X58" i="27"/>
  <c r="X71" i="27"/>
  <c r="X77" i="27"/>
  <c r="X69" i="27"/>
  <c r="X78" i="27"/>
  <c r="X79" i="27"/>
  <c r="X63" i="27"/>
  <c r="X62" i="27"/>
  <c r="X72" i="27"/>
  <c r="X75" i="27"/>
  <c r="X65" i="27"/>
  <c r="X55" i="27"/>
  <c r="X83" i="27"/>
  <c r="X74" i="27"/>
  <c r="X61" i="27"/>
  <c r="X216" i="27"/>
  <c r="X56" i="27"/>
  <c r="X67" i="27"/>
  <c r="X51" i="27"/>
  <c r="X64" i="27"/>
  <c r="X60" i="27"/>
  <c r="X6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112" i="27"/>
  <c r="X46" i="27"/>
  <c r="X32" i="27"/>
  <c r="X45" i="27"/>
  <c r="X20" i="27"/>
  <c r="X33" i="27"/>
  <c r="X52" i="27"/>
  <c r="X35" i="27"/>
  <c r="X34"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4" i="27"/>
  <c r="X210" i="27"/>
  <c r="X211" i="27"/>
  <c r="X113" i="27"/>
  <c r="X212" i="27"/>
  <c r="I317" i="27" l="1"/>
  <c r="J317" i="27"/>
  <c r="K317" i="27"/>
  <c r="L317" i="27"/>
  <c r="M317" i="27"/>
  <c r="N317" i="27"/>
  <c r="O317" i="27"/>
  <c r="P317" i="27"/>
  <c r="Q317" i="27"/>
  <c r="R317" i="27"/>
  <c r="S317" i="27"/>
  <c r="T317" i="27"/>
  <c r="U317" i="27"/>
  <c r="V317" i="27"/>
  <c r="W317" i="27"/>
  <c r="X317" i="27"/>
  <c r="I31" i="27" l="1"/>
  <c r="J31" i="27"/>
  <c r="K31" i="27"/>
  <c r="L31" i="27"/>
  <c r="M31" i="27"/>
  <c r="N31" i="27"/>
  <c r="O31" i="27"/>
  <c r="P31" i="27"/>
  <c r="Q31" i="27"/>
  <c r="R31" i="27"/>
  <c r="S31" i="27"/>
  <c r="T31" i="27"/>
  <c r="U31" i="27"/>
  <c r="V31" i="27"/>
  <c r="W31" i="27"/>
  <c r="I222" i="27"/>
  <c r="J222" i="27"/>
  <c r="K222" i="27"/>
  <c r="L222" i="27"/>
  <c r="M222" i="27"/>
  <c r="N222" i="27"/>
  <c r="O222" i="27"/>
  <c r="P222" i="27"/>
  <c r="Q222" i="27"/>
  <c r="R222" i="27"/>
  <c r="S222" i="27"/>
  <c r="T222" i="27"/>
  <c r="U222" i="27"/>
  <c r="V222" i="27"/>
  <c r="W222" i="27"/>
  <c r="X222" i="27"/>
  <c r="X31" i="27"/>
  <c r="I194" i="27" l="1"/>
  <c r="J194" i="27"/>
  <c r="K194" i="27"/>
  <c r="L194" i="27"/>
  <c r="M194" i="27"/>
  <c r="N194" i="27"/>
  <c r="O194" i="27"/>
  <c r="P194" i="27"/>
  <c r="Q194" i="27"/>
  <c r="R194" i="27"/>
  <c r="S194" i="27"/>
  <c r="T194" i="27"/>
  <c r="U194" i="27"/>
  <c r="V194" i="27"/>
  <c r="W194" i="27"/>
  <c r="I297" i="27"/>
  <c r="J297" i="27"/>
  <c r="K297" i="27"/>
  <c r="L297" i="27"/>
  <c r="M297" i="27"/>
  <c r="N297" i="27"/>
  <c r="O297" i="27"/>
  <c r="P297" i="27"/>
  <c r="Q297" i="27"/>
  <c r="R297" i="27"/>
  <c r="S297" i="27"/>
  <c r="T297" i="27"/>
  <c r="U297" i="27"/>
  <c r="V297" i="27"/>
  <c r="W297" i="27"/>
  <c r="W301" i="27"/>
  <c r="V301" i="27"/>
  <c r="U301" i="27"/>
  <c r="T301" i="27"/>
  <c r="S301" i="27"/>
  <c r="R301" i="27"/>
  <c r="Q301" i="27"/>
  <c r="P301" i="27"/>
  <c r="O301" i="27"/>
  <c r="N301" i="27"/>
  <c r="M301" i="27"/>
  <c r="L301" i="27"/>
  <c r="K301" i="27"/>
  <c r="J301" i="27"/>
  <c r="I301" i="27"/>
  <c r="W300" i="27"/>
  <c r="V300" i="27"/>
  <c r="U300" i="27"/>
  <c r="T300" i="27"/>
  <c r="S300" i="27"/>
  <c r="R300" i="27"/>
  <c r="Q300" i="27"/>
  <c r="P300" i="27"/>
  <c r="O300" i="27"/>
  <c r="N300" i="27"/>
  <c r="M300" i="27"/>
  <c r="L300" i="27"/>
  <c r="K300" i="27"/>
  <c r="J300" i="27"/>
  <c r="I300" i="27"/>
  <c r="I290" i="27"/>
  <c r="J290" i="27"/>
  <c r="K290" i="27"/>
  <c r="L290" i="27"/>
  <c r="M290" i="27"/>
  <c r="N290" i="27"/>
  <c r="O290" i="27"/>
  <c r="P290" i="27"/>
  <c r="Q290" i="27"/>
  <c r="R290" i="27"/>
  <c r="S290" i="27"/>
  <c r="T290" i="27"/>
  <c r="U290" i="27"/>
  <c r="V290" i="27"/>
  <c r="W290" i="27"/>
  <c r="I283" i="27"/>
  <c r="J283" i="27"/>
  <c r="K283" i="27"/>
  <c r="L283" i="27"/>
  <c r="M283" i="27"/>
  <c r="N283" i="27"/>
  <c r="O283" i="27"/>
  <c r="P283" i="27"/>
  <c r="Q283" i="27"/>
  <c r="R283" i="27"/>
  <c r="S283" i="27"/>
  <c r="T283" i="27"/>
  <c r="U283" i="27"/>
  <c r="V283" i="27"/>
  <c r="W283" i="27"/>
  <c r="I275" i="27"/>
  <c r="J275" i="27"/>
  <c r="K275" i="27"/>
  <c r="L275" i="27"/>
  <c r="M275" i="27"/>
  <c r="N275" i="27"/>
  <c r="O275" i="27"/>
  <c r="P275" i="27"/>
  <c r="Q275" i="27"/>
  <c r="R275" i="27"/>
  <c r="S275" i="27"/>
  <c r="T275" i="27"/>
  <c r="U275" i="27"/>
  <c r="V275" i="27"/>
  <c r="W275"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98" i="27"/>
  <c r="X209" i="27"/>
  <c r="X297" i="27"/>
  <c r="X290" i="27"/>
  <c r="X38" i="27"/>
  <c r="X300" i="27"/>
  <c r="X194" i="27"/>
  <c r="X283" i="27"/>
  <c r="X301" i="27"/>
  <c r="X99" i="27"/>
  <c r="X6" i="27"/>
  <c r="X115" i="27"/>
  <c r="X275"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V324" i="27"/>
  <c r="I324" i="27"/>
  <c r="J324" i="27"/>
  <c r="K324" i="27"/>
  <c r="L324" i="27"/>
  <c r="M324" i="27"/>
  <c r="N324" i="27"/>
  <c r="O324" i="27"/>
  <c r="P324" i="27"/>
  <c r="Q324" i="27"/>
  <c r="R324" i="27"/>
  <c r="S324" i="27"/>
  <c r="T324" i="27"/>
  <c r="U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V334" i="27"/>
  <c r="I334" i="27"/>
  <c r="J334" i="27"/>
  <c r="K334" i="27"/>
  <c r="L334" i="27"/>
  <c r="M334" i="27"/>
  <c r="N334" i="27"/>
  <c r="O334" i="27"/>
  <c r="P334" i="27"/>
  <c r="Q334" i="27"/>
  <c r="R334" i="27"/>
  <c r="S334" i="27"/>
  <c r="T334" i="27"/>
  <c r="U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Y353"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53" i="27"/>
  <c r="X223" i="27"/>
  <c r="X138" i="27"/>
  <c r="X272" i="27"/>
  <c r="X207" i="27"/>
  <c r="X312" i="27"/>
  <c r="X315" i="27"/>
  <c r="X133" i="27"/>
  <c r="X82" i="27"/>
  <c r="X189" i="27"/>
  <c r="X302" i="27"/>
  <c r="X25" i="27"/>
  <c r="X251" i="27"/>
  <c r="X146" i="27"/>
  <c r="X44" i="27"/>
  <c r="X86" i="27"/>
  <c r="X41" i="27"/>
  <c r="X258" i="27"/>
  <c r="X17" i="27"/>
  <c r="X49" i="27"/>
  <c r="X293" i="27"/>
  <c r="X81" i="27"/>
  <c r="X95" i="27"/>
  <c r="X151" i="27"/>
  <c r="X87" i="27"/>
  <c r="X268" i="27"/>
  <c r="X108" i="27"/>
  <c r="X227" i="27"/>
  <c r="X192" i="27"/>
  <c r="X143" i="27"/>
  <c r="X226" i="27"/>
  <c r="X96" i="27"/>
  <c r="X299" i="27"/>
  <c r="X224" i="27"/>
  <c r="X126" i="27"/>
  <c r="X84" i="27"/>
  <c r="X292" i="27"/>
  <c r="X256" i="27"/>
  <c r="X100" i="27"/>
  <c r="X2" i="27"/>
  <c r="X308" i="27"/>
  <c r="X291" i="27"/>
  <c r="X195" i="27"/>
  <c r="X218" i="27"/>
  <c r="X323" i="27"/>
  <c r="X307" i="27"/>
  <c r="X221" i="27"/>
  <c r="X270" i="27"/>
  <c r="X109" i="27"/>
  <c r="X15" i="27"/>
  <c r="X304" i="27"/>
  <c r="X13" i="27"/>
  <c r="X262" i="27"/>
  <c r="X305" i="27"/>
  <c r="X274" i="27"/>
  <c r="X338" i="27"/>
  <c r="X285" i="27"/>
  <c r="X102" i="27"/>
  <c r="X129" i="27"/>
  <c r="X201" i="27"/>
  <c r="X320" i="27"/>
  <c r="X5" i="27"/>
  <c r="X261" i="27"/>
  <c r="X339" i="27"/>
  <c r="X325" i="27"/>
  <c r="X244" i="27"/>
  <c r="X153" i="27"/>
  <c r="X37" i="27"/>
  <c r="X284" i="27"/>
  <c r="X154" i="27"/>
  <c r="X237" i="27"/>
  <c r="X345" i="27"/>
  <c r="X172" i="27"/>
  <c r="X139" i="27"/>
  <c r="X200" i="27"/>
  <c r="X236" i="27"/>
  <c r="X160" i="27"/>
  <c r="X279" i="27"/>
  <c r="X148" i="27"/>
  <c r="X24" i="27"/>
  <c r="X273" i="27"/>
  <c r="X281" i="27"/>
  <c r="X276" i="27"/>
  <c r="X93" i="27"/>
  <c r="X340" i="27"/>
  <c r="X159" i="27"/>
  <c r="X140" i="27"/>
  <c r="X319" i="27"/>
  <c r="X175" i="27"/>
  <c r="X346" i="27"/>
  <c r="X288" i="27"/>
  <c r="X246" i="27"/>
  <c r="X123" i="27"/>
  <c r="X190" i="27"/>
  <c r="X94" i="27"/>
  <c r="X27" i="27"/>
  <c r="X54" i="27"/>
  <c r="X42" i="27"/>
  <c r="X198" i="27"/>
  <c r="X88" i="27"/>
  <c r="X331" i="27"/>
  <c r="X238" i="27"/>
  <c r="X215" i="27"/>
  <c r="X105" i="27"/>
  <c r="X90" i="27"/>
  <c r="X135" i="27"/>
  <c r="X202" i="27"/>
  <c r="X171" i="27"/>
  <c r="X310" i="27"/>
  <c r="X3" i="27"/>
  <c r="X157" i="27"/>
  <c r="X271" i="27"/>
  <c r="X254" i="27"/>
  <c r="X150" i="27"/>
  <c r="X269" i="27"/>
  <c r="X264" i="27"/>
  <c r="X43" i="27"/>
  <c r="X134" i="27"/>
  <c r="X257" i="27"/>
  <c r="X188" i="27"/>
  <c r="X235" i="27"/>
  <c r="X4" i="27"/>
  <c r="X335" i="27"/>
  <c r="X122" i="27"/>
  <c r="X128" i="27"/>
  <c r="X124" i="27"/>
  <c r="X21" i="27"/>
  <c r="X8" i="27"/>
  <c r="X116" i="27"/>
  <c r="X187" i="27"/>
  <c r="X250" i="27"/>
  <c r="X14" i="27"/>
  <c r="X191" i="27"/>
  <c r="X309" i="27"/>
  <c r="X111" i="27"/>
  <c r="X92" i="27"/>
  <c r="X326" i="27"/>
  <c r="X206" i="27"/>
  <c r="X156" i="27"/>
  <c r="X266" i="27"/>
  <c r="X247" i="27"/>
  <c r="X322" i="27"/>
  <c r="X22" i="27"/>
  <c r="X103" i="27"/>
  <c r="X245" i="27"/>
  <c r="X158" i="27"/>
  <c r="X318" i="27"/>
  <c r="X149" i="27"/>
  <c r="X337" i="27"/>
  <c r="X205" i="27"/>
  <c r="X19" i="27"/>
  <c r="X40" i="27"/>
  <c r="X104" i="27"/>
  <c r="X119" i="27"/>
  <c r="X106" i="27"/>
  <c r="X343" i="27"/>
  <c r="X131" i="27"/>
  <c r="X120" i="27"/>
  <c r="X329" i="27"/>
  <c r="X48" i="27"/>
  <c r="X9" i="27"/>
  <c r="X314" i="27"/>
  <c r="X239" i="27"/>
  <c r="X101" i="27"/>
  <c r="X152" i="27"/>
  <c r="X342" i="27"/>
  <c r="X252" i="27"/>
  <c r="X36" i="27"/>
  <c r="X214" i="27"/>
  <c r="X196" i="27"/>
  <c r="X142" i="27"/>
  <c r="X107" i="27"/>
  <c r="X132" i="27"/>
  <c r="X193" i="27"/>
  <c r="X89" i="27"/>
  <c r="X57" i="27"/>
  <c r="X50" i="27"/>
  <c r="X174" i="27"/>
  <c r="X265" i="27"/>
  <c r="X267" i="27"/>
  <c r="X97" i="27"/>
  <c r="X145" i="27"/>
  <c r="X321" i="27"/>
  <c r="X155" i="27"/>
  <c r="X298" i="27"/>
  <c r="X91" i="27"/>
  <c r="X130" i="27"/>
  <c r="X334" i="27"/>
  <c r="X16" i="27"/>
  <c r="X18" i="27"/>
  <c r="X241" i="27"/>
  <c r="X278" i="27"/>
  <c r="X255" i="27"/>
  <c r="X333" i="27"/>
  <c r="X53" i="27"/>
  <c r="X117" i="27"/>
  <c r="X324" i="27"/>
  <c r="X219" i="27"/>
  <c r="X327" i="27"/>
  <c r="X199" i="27"/>
  <c r="X296" i="27"/>
  <c r="X47" i="27"/>
  <c r="X127" i="27"/>
  <c r="X332" i="27"/>
  <c r="X316" i="27"/>
  <c r="X280" i="27"/>
  <c r="X330" i="27"/>
  <c r="X344" i="27"/>
  <c r="X197" i="27"/>
  <c r="X341" i="27"/>
  <c r="X26" i="27"/>
  <c r="X137" i="27"/>
  <c r="X242" i="27"/>
  <c r="X303" i="27"/>
  <c r="X12" i="27"/>
  <c r="X110" i="27"/>
  <c r="X11" i="27"/>
  <c r="X287" i="27"/>
  <c r="X263" i="27"/>
  <c r="X277" i="27"/>
  <c r="X294" i="27"/>
  <c r="X286" i="27"/>
  <c r="X29" i="27"/>
  <c r="X295" i="27"/>
  <c r="X147" i="27"/>
  <c r="X328" i="27"/>
  <c r="X249" i="27"/>
  <c r="X220" i="27"/>
  <c r="X240" i="27"/>
  <c r="X208" i="27"/>
  <c r="X80" i="27"/>
  <c r="X23" i="27"/>
  <c r="X118" i="27"/>
  <c r="X289" i="27"/>
  <c r="X213" i="27"/>
  <c r="X186" i="27"/>
  <c r="X306" i="27"/>
  <c r="X313" i="27"/>
  <c r="X121" i="27"/>
  <c r="X336" i="27"/>
  <c r="X248" i="27"/>
  <c r="X243" i="27"/>
  <c r="X217" i="27"/>
  <c r="X311" i="27"/>
  <c r="X282" i="27"/>
  <c r="X39" i="27"/>
  <c r="X141" i="27"/>
  <c r="X125" i="27"/>
  <c r="X144" i="27"/>
  <c r="X136" i="27"/>
</calcChain>
</file>

<file path=xl/sharedStrings.xml><?xml version="1.0" encoding="utf-8"?>
<sst xmlns="http://schemas.openxmlformats.org/spreadsheetml/2006/main" count="2146" uniqueCount="609">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</sst>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6" fillId="0" borderId="0"/>
  </cellStyleXfs>
  <cellXfs count="172">
    <xf numFmtId="0" fontId="0" fillId="0" borderId="0" xfId="0"/>
    <xf numFmtId="0" fontId="60" fillId="0" borderId="0" xfId="719" applyFont="1" applyAlignment="1">
      <alignment vertical="top"/>
    </xf>
    <xf numFmtId="0" fontId="60" fillId="0" borderId="0" xfId="719" applyFont="1" applyAlignment="1">
      <alignment vertical="top" wrapText="1"/>
    </xf>
    <xf numFmtId="0" fontId="56" fillId="0" borderId="0" xfId="719"/>
    <xf numFmtId="0" fontId="56" fillId="0" borderId="0" xfId="719" applyNumberFormat="1" applyAlignment="1">
      <alignment vertical="top"/>
    </xf>
    <xf numFmtId="0" fontId="56" fillId="0" borderId="0" xfId="719" applyAlignment="1">
      <alignment vertical="top"/>
    </xf>
    <xf numFmtId="0" fontId="56" fillId="0" borderId="0" xfId="719" applyAlignment="1">
      <alignment vertical="top" wrapText="1"/>
    </xf>
    <xf numFmtId="0" fontId="55" fillId="0" borderId="0" xfId="719" applyFont="1"/>
    <xf numFmtId="0" fontId="0" fillId="0" borderId="0" xfId="0" applyAlignment="1">
      <alignment vertical="top"/>
    </xf>
    <xf numFmtId="0" fontId="60" fillId="0" borderId="0" xfId="0" applyFont="1" applyAlignment="1">
      <alignment vertical="top"/>
    </xf>
    <xf numFmtId="0" fontId="54" fillId="0" borderId="0" xfId="719" applyFont="1"/>
    <xf numFmtId="0" fontId="54" fillId="0" borderId="0" xfId="719" applyFont="1" applyAlignment="1">
      <alignment vertical="top"/>
    </xf>
    <xf numFmtId="0" fontId="56" fillId="0" borderId="0" xfId="719" applyFill="1" applyAlignment="1">
      <alignment vertical="top" wrapText="1"/>
    </xf>
    <xf numFmtId="0" fontId="56" fillId="0" borderId="0" xfId="719" applyNumberFormat="1" applyFill="1"/>
    <xf numFmtId="0" fontId="0" fillId="0" borderId="0" xfId="0" applyNumberFormat="1" applyAlignment="1">
      <alignment vertical="top"/>
    </xf>
    <xf numFmtId="0" fontId="53" fillId="0" borderId="0" xfId="719" applyFont="1"/>
    <xf numFmtId="0" fontId="53" fillId="0" borderId="0" xfId="719" applyFont="1" applyFill="1"/>
    <xf numFmtId="0" fontId="56" fillId="0" borderId="0" xfId="719" applyFill="1"/>
    <xf numFmtId="0" fontId="56" fillId="0" borderId="0" xfId="719" applyNumberFormat="1" applyFill="1" applyAlignment="1">
      <alignment vertical="top"/>
    </xf>
    <xf numFmtId="0" fontId="51" fillId="0" borderId="0" xfId="719" applyFont="1" applyFill="1" applyAlignment="1">
      <alignment vertical="top"/>
    </xf>
    <xf numFmtId="0" fontId="50" fillId="0" borderId="0" xfId="719" applyFont="1"/>
    <xf numFmtId="0" fontId="50" fillId="0" borderId="0" xfId="719" applyFont="1" applyFill="1" applyAlignment="1">
      <alignment vertical="top"/>
    </xf>
    <xf numFmtId="0" fontId="50" fillId="0" borderId="0" xfId="719" applyFont="1" applyFill="1" applyAlignment="1">
      <alignment vertical="top" wrapText="1"/>
    </xf>
    <xf numFmtId="0" fontId="49" fillId="0" borderId="0" xfId="719" applyFont="1" applyFill="1" applyAlignment="1">
      <alignment vertical="top"/>
    </xf>
    <xf numFmtId="0" fontId="49" fillId="0" borderId="0" xfId="719" applyFont="1" applyFill="1" applyAlignment="1">
      <alignment vertical="top" wrapText="1"/>
    </xf>
    <xf numFmtId="0" fontId="49" fillId="0" borderId="0" xfId="719" applyNumberFormat="1" applyFont="1" applyFill="1" applyAlignment="1">
      <alignment vertical="top"/>
    </xf>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Alignment="1">
      <alignment vertical="top"/>
    </xf>
    <xf numFmtId="0" fontId="47" fillId="0" borderId="0" xfId="719" applyFont="1" applyFill="1"/>
    <xf numFmtId="0" fontId="46" fillId="0" borderId="0" xfId="719" applyFont="1" applyFill="1" applyAlignment="1">
      <alignment vertical="top"/>
    </xf>
    <xf numFmtId="0" fontId="43" fillId="0" borderId="0" xfId="719" applyFont="1" applyAlignment="1">
      <alignment vertical="top"/>
    </xf>
    <xf numFmtId="0" fontId="43" fillId="0" borderId="0" xfId="719" applyFont="1" applyFill="1"/>
    <xf numFmtId="0" fontId="43" fillId="0" borderId="0" xfId="719" applyNumberFormat="1" applyFont="1" applyAlignment="1">
      <alignment vertical="top"/>
    </xf>
    <xf numFmtId="0" fontId="41" fillId="0" borderId="0" xfId="719" applyFont="1" applyAlignment="1">
      <alignment vertical="top"/>
    </xf>
    <xf numFmtId="0" fontId="41" fillId="0" borderId="0" xfId="719" applyNumberFormat="1" applyFont="1" applyAlignment="1">
      <alignment vertical="top"/>
    </xf>
    <xf numFmtId="0" fontId="41" fillId="0" borderId="0" xfId="719" applyFont="1" applyFill="1"/>
    <xf numFmtId="0" fontId="40" fillId="0" borderId="0" xfId="719" applyFont="1" applyFill="1" applyAlignment="1">
      <alignment vertical="top"/>
    </xf>
    <xf numFmtId="0" fontId="40" fillId="0" borderId="0" xfId="719" applyFont="1" applyFill="1" applyAlignment="1">
      <alignment vertical="top" wrapText="1"/>
    </xf>
    <xf numFmtId="0" fontId="39" fillId="0" borderId="0" xfId="719" applyFont="1" applyFill="1" applyAlignment="1">
      <alignment vertical="top"/>
    </xf>
    <xf numFmtId="0" fontId="37" fillId="0" borderId="0" xfId="719" applyNumberFormat="1" applyFont="1" applyAlignment="1">
      <alignment vertical="top"/>
    </xf>
    <xf numFmtId="0" fontId="35" fillId="0" borderId="0" xfId="719" applyFont="1" applyAlignment="1">
      <alignment vertical="top"/>
    </xf>
    <xf numFmtId="0" fontId="35" fillId="0" borderId="0" xfId="719" applyFont="1" applyFill="1"/>
    <xf numFmtId="0" fontId="35" fillId="0" borderId="0" xfId="719" applyNumberFormat="1" applyFont="1" applyAlignment="1">
      <alignment vertical="top"/>
    </xf>
    <xf numFmtId="0" fontId="35" fillId="0" borderId="0" xfId="719" applyFont="1"/>
    <xf numFmtId="49" fontId="60" fillId="0" borderId="0" xfId="719" applyNumberFormat="1" applyFont="1" applyAlignment="1">
      <alignment vertical="top" wrapText="1"/>
    </xf>
    <xf numFmtId="49" fontId="56" fillId="0" borderId="0" xfId="719" applyNumberFormat="1" applyFill="1" applyAlignment="1">
      <alignment vertical="top" wrapText="1"/>
    </xf>
    <xf numFmtId="49" fontId="39" fillId="0" borderId="0" xfId="719" applyNumberFormat="1" applyFont="1" applyFill="1" applyAlignment="1">
      <alignment vertical="top" wrapText="1"/>
    </xf>
    <xf numFmtId="49" fontId="38"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51" fillId="0" borderId="0" xfId="719" applyNumberFormat="1" applyFont="1" applyFill="1" applyAlignment="1">
      <alignment vertical="top" wrapText="1"/>
    </xf>
    <xf numFmtId="49" fontId="40" fillId="0" borderId="0" xfId="719" applyNumberFormat="1" applyFont="1" applyAlignment="1">
      <alignment vertical="top" wrapText="1"/>
    </xf>
    <xf numFmtId="49" fontId="40" fillId="0" borderId="0" xfId="719" applyNumberFormat="1" applyFont="1" applyFill="1" applyAlignment="1">
      <alignment vertical="top" wrapText="1"/>
    </xf>
    <xf numFmtId="49" fontId="56" fillId="0" borderId="0" xfId="719" applyNumberFormat="1" applyAlignment="1">
      <alignment vertical="top" wrapText="1"/>
    </xf>
    <xf numFmtId="0" fontId="34" fillId="0" borderId="0" xfId="719" applyFont="1"/>
    <xf numFmtId="0" fontId="34" fillId="0" borderId="0" xfId="719" applyFont="1" applyFill="1"/>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49" fontId="32" fillId="0" borderId="0" xfId="719" applyNumberFormat="1" applyFont="1" applyFill="1" applyAlignment="1">
      <alignment vertical="top" wrapText="1"/>
    </xf>
    <xf numFmtId="0" fontId="32" fillId="0" borderId="0" xfId="719" applyFont="1" applyFill="1" applyAlignment="1">
      <alignment vertical="top"/>
    </xf>
    <xf numFmtId="0" fontId="32" fillId="0" borderId="0" xfId="719" applyFont="1" applyFill="1" applyAlignment="1">
      <alignment vertical="top" wrapText="1"/>
    </xf>
    <xf numFmtId="0" fontId="32" fillId="0" borderId="0" xfId="719" applyNumberFormat="1" applyFont="1" applyAlignment="1">
      <alignment vertical="top"/>
    </xf>
    <xf numFmtId="0" fontId="31" fillId="0" borderId="0" xfId="719" applyFont="1" applyFill="1" applyAlignment="1">
      <alignment vertical="top"/>
    </xf>
    <xf numFmtId="49" fontId="31" fillId="0" borderId="0" xfId="719" applyNumberFormat="1" applyFont="1" applyFill="1" applyAlignment="1">
      <alignment vertical="top" wrapText="1"/>
    </xf>
    <xf numFmtId="0" fontId="29" fillId="0" borderId="0" xfId="719" applyFont="1" applyFill="1" applyAlignment="1">
      <alignment vertical="top"/>
    </xf>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49" fontId="27" fillId="0" borderId="0" xfId="719" applyNumberFormat="1" applyFont="1" applyFill="1" applyAlignment="1">
      <alignment vertical="top" wrapText="1"/>
    </xf>
    <xf numFmtId="0" fontId="26" fillId="0" borderId="0" xfId="719" applyFont="1" applyFill="1" applyAlignment="1">
      <alignment vertical="top"/>
    </xf>
    <xf numFmtId="0" fontId="56" fillId="0" borderId="0" xfId="719" applyFill="1" applyAlignment="1">
      <alignment vertical="top"/>
    </xf>
    <xf numFmtId="0" fontId="25" fillId="0" borderId="0" xfId="719" applyFont="1" applyFill="1" applyAlignment="1">
      <alignment vertical="top"/>
    </xf>
    <xf numFmtId="49" fontId="25" fillId="0" borderId="0" xfId="719" applyNumberFormat="1" applyFont="1" applyFill="1" applyAlignment="1">
      <alignment vertical="top" wrapText="1"/>
    </xf>
    <xf numFmtId="0" fontId="59" fillId="0" borderId="0" xfId="0" applyFont="1" applyAlignment="1">
      <alignment vertical="top"/>
    </xf>
    <xf numFmtId="49" fontId="32" fillId="0" borderId="0" xfId="719" applyNumberFormat="1" applyFont="1" applyAlignment="1">
      <alignment vertical="top" wrapText="1"/>
    </xf>
    <xf numFmtId="0" fontId="49" fillId="0" borderId="0" xfId="719" applyFont="1" applyAlignment="1">
      <alignment vertical="top"/>
    </xf>
    <xf numFmtId="0" fontId="39" fillId="0" borderId="0" xfId="719" applyFont="1" applyAlignment="1">
      <alignment vertical="top"/>
    </xf>
    <xf numFmtId="49" fontId="30" fillId="0" borderId="0" xfId="719" applyNumberFormat="1" applyFont="1" applyAlignment="1">
      <alignment vertical="top" wrapText="1"/>
    </xf>
    <xf numFmtId="0" fontId="32" fillId="0" borderId="0" xfId="719" applyFont="1" applyAlignment="1">
      <alignment vertical="top"/>
    </xf>
    <xf numFmtId="0" fontId="51" fillId="0" borderId="0" xfId="719" applyFont="1" applyAlignment="1">
      <alignment vertical="top"/>
    </xf>
    <xf numFmtId="0" fontId="50" fillId="0" borderId="0" xfId="719" applyFont="1" applyAlignment="1">
      <alignment vertical="top"/>
    </xf>
    <xf numFmtId="0" fontId="25" fillId="0" borderId="0" xfId="719" applyNumberFormat="1"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3" fillId="0" borderId="0" xfId="719" applyNumberFormat="1" applyFont="1" applyAlignment="1">
      <alignment vertical="top"/>
    </xf>
    <xf numFmtId="0" fontId="23" fillId="0" borderId="0" xfId="719" applyFont="1"/>
    <xf numFmtId="0" fontId="25" fillId="0" borderId="0" xfId="719" applyFont="1" applyAlignment="1">
      <alignment vertical="top"/>
    </xf>
    <xf numFmtId="49" fontId="25" fillId="0" borderId="0" xfId="719" applyNumberFormat="1" applyFont="1" applyAlignment="1">
      <alignment vertical="top" wrapText="1"/>
    </xf>
    <xf numFmtId="49" fontId="39" fillId="0" borderId="0" xfId="719" applyNumberFormat="1" applyFont="1" applyAlignment="1">
      <alignment horizontal="fill" vertical="top" wrapText="1"/>
    </xf>
    <xf numFmtId="0" fontId="48" fillId="0" borderId="0" xfId="719" applyFont="1" applyAlignment="1">
      <alignment vertical="top"/>
    </xf>
    <xf numFmtId="0" fontId="31" fillId="0" borderId="0" xfId="719" applyFont="1" applyAlignment="1">
      <alignment vertical="top"/>
    </xf>
    <xf numFmtId="49" fontId="39" fillId="0" borderId="0" xfId="719" applyNumberFormat="1" applyFont="1" applyAlignment="1">
      <alignment vertical="top" wrapText="1"/>
    </xf>
    <xf numFmtId="0" fontId="42" fillId="0" borderId="0" xfId="719" applyFont="1" applyAlignment="1">
      <alignment vertical="top"/>
    </xf>
    <xf numFmtId="0" fontId="38" fillId="0" borderId="0" xfId="719" applyFont="1" applyAlignment="1">
      <alignment vertical="top"/>
    </xf>
    <xf numFmtId="49" fontId="38" fillId="0" borderId="0" xfId="719" applyNumberFormat="1" applyFont="1" applyAlignment="1">
      <alignment vertical="top" wrapText="1"/>
    </xf>
    <xf numFmtId="0" fontId="27" fillId="0" borderId="0" xfId="719" applyFont="1" applyAlignment="1">
      <alignment vertical="top"/>
    </xf>
    <xf numFmtId="49" fontId="31" fillId="0" borderId="0" xfId="719" applyNumberFormat="1" applyFont="1" applyAlignment="1">
      <alignment vertical="top" wrapText="1"/>
    </xf>
    <xf numFmtId="49" fontId="29" fillId="0" borderId="0" xfId="719" applyNumberFormat="1" applyFont="1" applyAlignment="1">
      <alignment vertical="top" wrapText="1"/>
    </xf>
    <xf numFmtId="49" fontId="35" fillId="0" borderId="0" xfId="719" applyNumberFormat="1" applyFont="1" applyAlignment="1">
      <alignment vertical="top" wrapText="1"/>
    </xf>
    <xf numFmtId="49" fontId="37" fillId="0" borderId="0" xfId="719" applyNumberFormat="1" applyFont="1" applyAlignment="1">
      <alignment vertical="top" wrapText="1"/>
    </xf>
    <xf numFmtId="0" fontId="37" fillId="0" borderId="0" xfId="719" applyFont="1" applyAlignment="1">
      <alignment vertical="top"/>
    </xf>
    <xf numFmtId="49" fontId="49" fillId="0" borderId="0" xfId="719" applyNumberFormat="1" applyFont="1" applyAlignment="1">
      <alignment vertical="top" wrapText="1"/>
    </xf>
    <xf numFmtId="49" fontId="45" fillId="0" borderId="0" xfId="719" applyNumberFormat="1" applyFont="1" applyAlignment="1">
      <alignment vertical="top" wrapText="1"/>
    </xf>
    <xf numFmtId="49" fontId="51" fillId="0" borderId="0" xfId="719" applyNumberFormat="1" applyFont="1" applyAlignment="1">
      <alignment vertical="top" wrapText="1"/>
    </xf>
    <xf numFmtId="0" fontId="44" fillId="0" borderId="0" xfId="719" applyFont="1" applyAlignment="1">
      <alignment vertical="top"/>
    </xf>
    <xf numFmtId="49" fontId="44" fillId="0" borderId="0" xfId="719" applyNumberFormat="1" applyFont="1" applyAlignment="1">
      <alignment horizontal="fill" vertical="top" wrapText="1"/>
    </xf>
    <xf numFmtId="0" fontId="40" fillId="0" borderId="0" xfId="719" applyFont="1" applyAlignment="1">
      <alignment vertical="top"/>
    </xf>
    <xf numFmtId="0" fontId="52" fillId="0" borderId="0" xfId="719" applyFont="1" applyAlignment="1">
      <alignment vertical="top"/>
    </xf>
    <xf numFmtId="49" fontId="52" fillId="0" borderId="0" xfId="719" applyNumberFormat="1" applyFont="1" applyAlignment="1">
      <alignment vertical="top" wrapText="1"/>
    </xf>
    <xf numFmtId="0" fontId="22" fillId="0" borderId="0" xfId="719" applyFont="1" applyFill="1" applyAlignment="1">
      <alignment vertical="top"/>
    </xf>
    <xf numFmtId="49" fontId="22" fillId="0" borderId="0" xfId="719" applyNumberFormat="1" applyFont="1" applyFill="1" applyAlignment="1">
      <alignment vertical="top" wrapText="1"/>
    </xf>
    <xf numFmtId="49" fontId="22" fillId="0" borderId="0" xfId="719" applyNumberFormat="1" applyFont="1" applyAlignment="1">
      <alignment vertical="top" wrapText="1"/>
    </xf>
    <xf numFmtId="0" fontId="22" fillId="0" borderId="0" xfId="719" applyNumberFormat="1" applyFont="1" applyFill="1" applyAlignment="1">
      <alignment vertical="top"/>
    </xf>
    <xf numFmtId="0" fontId="22" fillId="0" borderId="0" xfId="719" applyFont="1" applyFill="1" applyAlignment="1">
      <alignment vertical="top" wrapText="1"/>
    </xf>
    <xf numFmtId="0" fontId="22" fillId="0" borderId="0" xfId="719" applyFont="1" applyAlignment="1">
      <alignment vertical="top"/>
    </xf>
    <xf numFmtId="0" fontId="21" fillId="0" borderId="0" xfId="719" applyFont="1"/>
    <xf numFmtId="0" fontId="56" fillId="0" borderId="0" xfId="719" applyAlignment="1"/>
    <xf numFmtId="0" fontId="21" fillId="0" borderId="0" xfId="719" applyNumberFormat="1" applyFont="1" applyAlignment="1">
      <alignment vertical="top"/>
    </xf>
    <xf numFmtId="0" fontId="21" fillId="0" borderId="0" xfId="719" applyFont="1" applyAlignment="1">
      <alignment vertical="top"/>
    </xf>
    <xf numFmtId="0" fontId="21" fillId="0" borderId="0" xfId="719" applyFont="1" applyAlignment="1"/>
    <xf numFmtId="0" fontId="21" fillId="0" borderId="0" xfId="719" applyFont="1" applyFill="1" applyAlignment="1">
      <alignment vertical="top"/>
    </xf>
    <xf numFmtId="49" fontId="21" fillId="0" borderId="0" xfId="719" applyNumberFormat="1" applyFont="1" applyFill="1" applyAlignment="1">
      <alignment vertical="top" wrapText="1"/>
    </xf>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NumberFormat="1" applyFont="1" applyFill="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49" fontId="18" fillId="0" borderId="0" xfId="719" applyNumberFormat="1" applyFont="1" applyFill="1" applyAlignment="1">
      <alignment vertical="top" wrapText="1"/>
    </xf>
    <xf numFmtId="49" fontId="18" fillId="0" borderId="0" xfId="719" applyNumberFormat="1" applyFont="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49" fontId="16" fillId="0" borderId="0" xfId="719" applyNumberFormat="1" applyFont="1" applyFill="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5" fillId="0" borderId="0" xfId="719" applyFont="1" applyAlignment="1">
      <alignment vertical="top"/>
    </xf>
    <xf numFmtId="0" fontId="14" fillId="0" borderId="0" xfId="719" applyFont="1" applyAlignment="1">
      <alignment vertical="top"/>
    </xf>
    <xf numFmtId="49" fontId="14"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49" fontId="14" fillId="0" borderId="0" xfId="719" applyNumberFormat="1" applyFont="1" applyAlignment="1">
      <alignment vertical="top" wrapText="1"/>
    </xf>
    <xf numFmtId="0" fontId="14" fillId="0" borderId="0" xfId="719" applyFont="1"/>
    <xf numFmtId="0" fontId="14" fillId="0" borderId="0" xfId="719" applyNumberFormat="1" applyFont="1" applyAlignment="1">
      <alignment vertical="top"/>
    </xf>
    <xf numFmtId="0" fontId="13" fillId="0" borderId="0" xfId="719" applyFont="1" applyFill="1"/>
    <xf numFmtId="0" fontId="12" fillId="0" borderId="0" xfId="719" applyFont="1" applyFill="1" applyAlignment="1">
      <alignment vertical="top"/>
    </xf>
    <xf numFmtId="49" fontId="12" fillId="0" borderId="0" xfId="719" applyNumberFormat="1" applyFont="1" applyFill="1" applyAlignment="1">
      <alignment vertical="top" wrapText="1"/>
    </xf>
    <xf numFmtId="0" fontId="12" fillId="0" borderId="0" xfId="719" applyFont="1" applyAlignment="1"/>
    <xf numFmtId="0" fontId="12" fillId="0" borderId="0" xfId="719" applyNumberFormat="1" applyFont="1" applyFill="1" applyAlignment="1">
      <alignment vertical="top"/>
    </xf>
    <xf numFmtId="0" fontId="11" fillId="0" borderId="0" xfId="719" applyFont="1"/>
    <xf numFmtId="0" fontId="10" fillId="0" borderId="0" xfId="719" applyFont="1" applyFill="1" applyAlignment="1">
      <alignment vertical="top"/>
    </xf>
    <xf numFmtId="0" fontId="9" fillId="0" borderId="0" xfId="719" applyFont="1" applyFill="1" applyAlignment="1">
      <alignment vertical="top"/>
    </xf>
    <xf numFmtId="0" fontId="8" fillId="0" borderId="0" xfId="719" applyFont="1"/>
    <xf numFmtId="0" fontId="8" fillId="0" borderId="0" xfId="719" applyFont="1" applyFill="1" applyAlignment="1">
      <alignment vertical="top"/>
    </xf>
    <xf numFmtId="0" fontId="7" fillId="0" borderId="0" xfId="719" applyNumberFormat="1" applyFont="1" applyFill="1" applyAlignment="1">
      <alignment vertical="top"/>
    </xf>
    <xf numFmtId="0" fontId="7" fillId="0" borderId="0" xfId="719" applyNumberFormat="1" applyFont="1" applyAlignment="1">
      <alignment vertical="top"/>
    </xf>
    <xf numFmtId="49" fontId="7" fillId="0" borderId="0" xfId="719" applyNumberFormat="1" applyFont="1" applyFill="1" applyAlignment="1">
      <alignment vertical="top" wrapText="1"/>
    </xf>
    <xf numFmtId="0" fontId="6" fillId="0" borderId="0" xfId="719" applyFont="1" applyAlignment="1">
      <alignment vertical="top"/>
    </xf>
    <xf numFmtId="0" fontId="5" fillId="0" borderId="0" xfId="719" applyFont="1" applyFill="1" applyAlignment="1">
      <alignment vertical="top"/>
    </xf>
    <xf numFmtId="0" fontId="5" fillId="0" borderId="0" xfId="719" applyFont="1" applyAlignment="1">
      <alignment vertical="top"/>
    </xf>
    <xf numFmtId="0" fontId="4" fillId="0" borderId="0" xfId="719" applyFont="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NumberFormat="1" applyFont="1" applyFill="1" applyAlignment="1">
      <alignment vertical="top"/>
    </xf>
    <xf numFmtId="0" fontId="2" fillId="0" borderId="0" xfId="719" applyFont="1" applyFill="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53" totalsRowCount="1" headerRowDxfId="75" dataDxfId="74" totalsRowDxfId="73">
  <autoFilter ref="A1:Y352"/>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53"/>
  <sheetViews>
    <sheetView tabSelected="1" zoomScale="90" zoomScaleNormal="90" workbookViewId="0">
      <pane ySplit="1" topLeftCell="A249" activePane="bottomLeft" state="frozen"/>
      <selection pane="bottomLeft" activeCell="E259" sqref="E259"/>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574</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424</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534</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431</v>
      </c>
      <c r="E9" s="135" t="s">
        <v>552</v>
      </c>
      <c r="F9" s="66" t="s">
        <v>427</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550</v>
      </c>
      <c r="E10" s="135" t="s">
        <v>551</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427</v>
      </c>
      <c r="B16" s="5" t="s">
        <v>4</v>
      </c>
      <c r="D16" s="66" t="s">
        <v>427</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427</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427</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427</v>
      </c>
      <c r="B19" s="26" t="s">
        <v>8</v>
      </c>
      <c r="C19" s="72"/>
      <c r="D19" s="26" t="s">
        <v>173</v>
      </c>
      <c r="E19" s="129" t="s">
        <v>535</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427</v>
      </c>
      <c r="B20" s="73" t="s">
        <v>7</v>
      </c>
      <c r="C20" s="72">
        <v>50</v>
      </c>
      <c r="D20" s="73" t="s">
        <v>230</v>
      </c>
      <c r="E20" s="74" t="s">
        <v>443</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427</v>
      </c>
      <c r="B21" s="26" t="s">
        <v>8</v>
      </c>
      <c r="C21" s="72"/>
      <c r="D21" s="140" t="s">
        <v>573</v>
      </c>
      <c r="E21" s="130" t="s">
        <v>536</v>
      </c>
      <c r="F21" s="140" t="s">
        <v>567</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427</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427</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427</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427</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427</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427</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427</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427</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427</v>
      </c>
      <c r="B30" s="21" t="s">
        <v>19</v>
      </c>
      <c r="C30" s="72"/>
      <c r="D30" s="164" t="s">
        <v>596</v>
      </c>
      <c r="E30" s="47"/>
      <c r="F30" s="88" t="s">
        <v>445</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427</v>
      </c>
      <c r="B31" s="64" t="s">
        <v>19</v>
      </c>
      <c r="C31" s="72"/>
      <c r="D31" s="66" t="s">
        <v>429</v>
      </c>
      <c r="E31" s="47"/>
      <c r="F31" s="66" t="s">
        <v>428</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445</v>
      </c>
      <c r="B32" s="73" t="s">
        <v>4</v>
      </c>
      <c r="C32" s="72"/>
      <c r="D32" s="73" t="s">
        <v>445</v>
      </c>
      <c r="E32" s="74" t="s">
        <v>446</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445</v>
      </c>
      <c r="B33" s="73" t="s">
        <v>6</v>
      </c>
      <c r="C33" s="72"/>
      <c r="D33" s="73" t="s">
        <v>6</v>
      </c>
      <c r="E33" s="89" t="s">
        <v>447</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445</v>
      </c>
      <c r="B34" s="73" t="s">
        <v>8</v>
      </c>
      <c r="C34" s="72"/>
      <c r="D34" s="73" t="s">
        <v>430</v>
      </c>
      <c r="E34" s="129" t="s">
        <v>537</v>
      </c>
      <c r="F34" s="84" t="s">
        <v>427</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445</v>
      </c>
      <c r="B35" s="73" t="s">
        <v>7</v>
      </c>
      <c r="C35" s="72">
        <v>150</v>
      </c>
      <c r="D35" s="73" t="s">
        <v>213</v>
      </c>
      <c r="E35" s="74" t="s">
        <v>448</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428</v>
      </c>
      <c r="B36" s="26" t="s">
        <v>4</v>
      </c>
      <c r="C36" s="72"/>
      <c r="D36" s="66" t="s">
        <v>428</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428</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428</v>
      </c>
      <c r="B38" s="61" t="s">
        <v>13</v>
      </c>
      <c r="C38" s="72"/>
      <c r="D38" s="64" t="s">
        <v>420</v>
      </c>
      <c r="E38" s="159" t="s">
        <v>595</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428</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428</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428</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428</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428</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428</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428</v>
      </c>
      <c r="B45" s="73" t="s">
        <v>7</v>
      </c>
      <c r="C45" s="73">
        <v>50</v>
      </c>
      <c r="D45" s="73" t="s">
        <v>457</v>
      </c>
      <c r="E45" s="74" t="s">
        <v>458</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428</v>
      </c>
      <c r="B46" s="73" t="s">
        <v>12</v>
      </c>
      <c r="C46" s="72"/>
      <c r="D46" s="73" t="s">
        <v>454</v>
      </c>
      <c r="E46" s="74" t="s">
        <v>455</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428</v>
      </c>
      <c r="B47" s="26" t="s">
        <v>7</v>
      </c>
      <c r="C47" s="72">
        <v>2048</v>
      </c>
      <c r="D47" s="73" t="s">
        <v>456</v>
      </c>
      <c r="E47" s="112" t="s">
        <v>461</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428</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489</v>
      </c>
      <c r="E51" s="112" t="s">
        <v>490</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444</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538</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539</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474</v>
      </c>
      <c r="E55" s="47"/>
      <c r="F55" s="111" t="s">
        <v>462</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481</v>
      </c>
      <c r="E56" s="47"/>
      <c r="F56" s="111" t="s">
        <v>475</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482</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483</v>
      </c>
      <c r="E59" s="112" t="s">
        <v>484</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487</v>
      </c>
      <c r="E60" s="112" t="s">
        <v>485</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486</v>
      </c>
      <c r="E61" s="112" t="s">
        <v>488</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493</v>
      </c>
      <c r="E62" s="112" t="s">
        <v>496</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468</v>
      </c>
      <c r="E63" s="112" t="s">
        <v>469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497</v>
      </c>
      <c r="E64" s="112" t="s">
        <v>498</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462</v>
      </c>
      <c r="B65" s="111" t="s">
        <v>4</v>
      </c>
      <c r="C65" s="72"/>
      <c r="D65" s="111" t="s">
        <v>462</v>
      </c>
      <c r="E65" s="112" t="s">
        <v>463</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462</v>
      </c>
      <c r="B66" s="111" t="s">
        <v>6</v>
      </c>
      <c r="C66" s="72"/>
      <c r="D66" s="111" t="s">
        <v>6</v>
      </c>
      <c r="E66" s="113" t="s">
        <v>464</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462</v>
      </c>
      <c r="B67" s="111" t="s">
        <v>8</v>
      </c>
      <c r="C67" s="72"/>
      <c r="D67" s="111" t="s">
        <v>199</v>
      </c>
      <c r="E67" s="129" t="s">
        <v>540</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462</v>
      </c>
      <c r="B68" s="111" t="s">
        <v>7</v>
      </c>
      <c r="C68" s="72">
        <v>150</v>
      </c>
      <c r="D68" s="111" t="s">
        <v>472</v>
      </c>
      <c r="E68" s="112" t="s">
        <v>473</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462</v>
      </c>
      <c r="B69" s="111" t="s">
        <v>9</v>
      </c>
      <c r="C69" s="72"/>
      <c r="D69" s="111" t="s">
        <v>494</v>
      </c>
      <c r="E69" s="112" t="s">
        <v>495</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462</v>
      </c>
      <c r="B70" s="111" t="s">
        <v>108</v>
      </c>
      <c r="C70" s="72"/>
      <c r="D70" s="111" t="s">
        <v>144</v>
      </c>
      <c r="E70" s="112" t="s">
        <v>465</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462</v>
      </c>
      <c r="B71" s="111" t="s">
        <v>13</v>
      </c>
      <c r="C71" s="72"/>
      <c r="D71" s="111" t="s">
        <v>466</v>
      </c>
      <c r="E71" s="112" t="s">
        <v>467</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462</v>
      </c>
      <c r="B72" s="111" t="s">
        <v>7</v>
      </c>
      <c r="C72" s="72">
        <v>50</v>
      </c>
      <c r="D72" s="111" t="s">
        <v>468</v>
      </c>
      <c r="E72" s="112" t="s">
        <v>469</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462</v>
      </c>
      <c r="B73" s="111" t="s">
        <v>7</v>
      </c>
      <c r="C73" s="72">
        <v>2048</v>
      </c>
      <c r="D73" s="111" t="s">
        <v>470</v>
      </c>
      <c r="E73" s="112" t="s">
        <v>471</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462</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475</v>
      </c>
      <c r="B75" s="111" t="s">
        <v>4</v>
      </c>
      <c r="C75" s="72"/>
      <c r="D75" s="111" t="s">
        <v>475</v>
      </c>
      <c r="E75" s="112" t="s">
        <v>476</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475</v>
      </c>
      <c r="B76" s="111" t="s">
        <v>6</v>
      </c>
      <c r="C76" s="72"/>
      <c r="D76" s="111" t="s">
        <v>6</v>
      </c>
      <c r="E76" s="113" t="s">
        <v>477</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475</v>
      </c>
      <c r="B77" s="111" t="s">
        <v>8</v>
      </c>
      <c r="C77" s="72"/>
      <c r="D77" s="111" t="s">
        <v>199</v>
      </c>
      <c r="E77" s="129" t="s">
        <v>540</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475</v>
      </c>
      <c r="B78" s="111" t="s">
        <v>7</v>
      </c>
      <c r="C78" s="72">
        <v>150</v>
      </c>
      <c r="D78" s="111" t="s">
        <v>478</v>
      </c>
      <c r="E78" s="112" t="s">
        <v>479</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475</v>
      </c>
      <c r="B79" s="111" t="s">
        <v>7</v>
      </c>
      <c r="C79" s="72">
        <v>2048</v>
      </c>
      <c r="D79" s="111" t="s">
        <v>470</v>
      </c>
      <c r="E79" s="112" t="s">
        <v>480</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540</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491</v>
      </c>
      <c r="E83" s="112" t="s">
        <v>492</v>
      </c>
      <c r="F83" s="115" t="s">
        <v>462</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535</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573</v>
      </c>
      <c r="E91" s="130" t="s">
        <v>541</v>
      </c>
      <c r="F91" s="140" t="s">
        <v>567</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542</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451</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425</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425</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425</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452</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425</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449</v>
      </c>
      <c r="E112" s="74" t="s">
        <v>450</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438</v>
      </c>
      <c r="E113" s="70" t="s">
        <v>439</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437</v>
      </c>
      <c r="E114" s="70" t="s">
        <v>440</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568</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553</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554</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569</v>
      </c>
      <c r="E164" s="141" t="s">
        <v>570</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555</v>
      </c>
      <c r="E165" s="137" t="s">
        <v>556</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562</v>
      </c>
      <c r="E166" s="137" t="s">
        <v>563</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557</v>
      </c>
      <c r="E167" s="137" t="s">
        <v>564</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558</v>
      </c>
      <c r="E168" s="137" t="s">
        <v>559</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560</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561</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567</v>
      </c>
      <c r="B171" s="5" t="s">
        <v>4</v>
      </c>
      <c r="D171" s="140" t="s">
        <v>567</v>
      </c>
      <c r="E171" s="144" t="s">
        <v>571</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567</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567</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567</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567</v>
      </c>
      <c r="B175" s="5" t="s">
        <v>7</v>
      </c>
      <c r="C175" s="5">
        <v>255</v>
      </c>
      <c r="D175" s="139" t="s">
        <v>565</v>
      </c>
      <c r="E175" s="138" t="s">
        <v>566</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572</v>
      </c>
      <c r="B176" s="124" t="s">
        <v>4</v>
      </c>
      <c r="C176" s="72"/>
      <c r="D176" s="142" t="s">
        <v>572</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572</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572</v>
      </c>
      <c r="B178" s="124" t="s">
        <v>8</v>
      </c>
      <c r="C178" s="72"/>
      <c r="D178" s="142" t="s">
        <v>573</v>
      </c>
      <c r="E178" s="129" t="s">
        <v>536</v>
      </c>
      <c r="F178" s="143" t="s">
        <v>567</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572</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572</v>
      </c>
      <c r="B180" s="124" t="s">
        <v>8</v>
      </c>
      <c r="C180" s="72"/>
      <c r="D180" s="124" t="s">
        <v>453</v>
      </c>
      <c r="E180" s="123" t="s">
        <v>531</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572</v>
      </c>
      <c r="B181" s="131" t="s">
        <v>108</v>
      </c>
      <c r="C181" s="72"/>
      <c r="D181" s="131" t="s">
        <v>548</v>
      </c>
      <c r="E181" s="132" t="s">
        <v>547</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572</v>
      </c>
      <c r="B182" s="124" t="s">
        <v>8</v>
      </c>
      <c r="C182" s="72"/>
      <c r="D182" s="124" t="s">
        <v>529</v>
      </c>
      <c r="E182" s="123" t="s">
        <v>532</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572</v>
      </c>
      <c r="B183" s="131" t="s">
        <v>108</v>
      </c>
      <c r="C183" s="72"/>
      <c r="D183" s="131" t="s">
        <v>549</v>
      </c>
      <c r="E183" s="132" t="s">
        <v>547</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572</v>
      </c>
      <c r="B184" s="124" t="s">
        <v>8</v>
      </c>
      <c r="C184" s="72"/>
      <c r="D184" s="122" t="s">
        <v>530</v>
      </c>
      <c r="E184" s="123" t="s">
        <v>533</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572</v>
      </c>
      <c r="B185" s="131" t="s">
        <v>108</v>
      </c>
      <c r="C185" s="72"/>
      <c r="D185" s="131" t="s">
        <v>549</v>
      </c>
      <c r="E185" s="132" t="s">
        <v>547</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576</v>
      </c>
      <c r="E189" s="144" t="s">
        <v>575</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577</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535</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538</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542</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438</v>
      </c>
      <c r="E204" s="70" t="s">
        <v>439</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437</v>
      </c>
      <c r="E205" s="70" t="s">
        <v>440</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92" t="s">
        <v>421</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433</v>
      </c>
      <c r="E210" s="70" t="s">
        <v>434</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442</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441</v>
      </c>
      <c r="E212" s="70" t="s">
        <v>436</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
      <c r="A213" s="5" t="s">
        <v>145</v>
      </c>
      <c r="B213" s="23" t="s">
        <v>8</v>
      </c>
      <c r="C213" s="72"/>
      <c r="D213" s="23" t="s">
        <v>191</v>
      </c>
      <c r="E213" s="103" t="s">
        <v>192</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8" x14ac:dyDescent="0.3">
      <c r="A215" s="5" t="s">
        <v>145</v>
      </c>
      <c r="B215" s="102" t="s">
        <v>9</v>
      </c>
      <c r="D215" s="102" t="s">
        <v>303</v>
      </c>
      <c r="E215" s="101" t="s">
        <v>304</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
      <c r="A216" s="111" t="s">
        <v>145</v>
      </c>
      <c r="B216" s="111" t="s">
        <v>7</v>
      </c>
      <c r="C216" s="72">
        <v>50</v>
      </c>
      <c r="D216" s="111" t="s">
        <v>501</v>
      </c>
      <c r="E216" s="112" t="s">
        <v>499</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5" t="s">
        <v>145</v>
      </c>
      <c r="B217" s="82" t="s">
        <v>12</v>
      </c>
      <c r="D217" s="116" t="s">
        <v>502</v>
      </c>
      <c r="E217" s="113" t="s">
        <v>500</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6" x14ac:dyDescent="0.3">
      <c r="A218" s="5" t="s">
        <v>145</v>
      </c>
      <c r="B218" s="82" t="s">
        <v>12</v>
      </c>
      <c r="D218" s="82" t="s">
        <v>174</v>
      </c>
      <c r="E218" s="101" t="s">
        <v>305</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5" t="s">
        <v>7</v>
      </c>
      <c r="C219" s="5">
        <v>50</v>
      </c>
      <c r="D219" s="102" t="s">
        <v>230</v>
      </c>
      <c r="E219" s="101" t="s">
        <v>306</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8" x14ac:dyDescent="0.3">
      <c r="A220" s="5" t="s">
        <v>145</v>
      </c>
      <c r="B220" s="5" t="s">
        <v>7</v>
      </c>
      <c r="C220" s="5">
        <v>50</v>
      </c>
      <c r="D220" s="102" t="s">
        <v>251</v>
      </c>
      <c r="E220" s="79" t="s">
        <v>426</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3">
      <c r="A221" s="5" t="s">
        <v>145</v>
      </c>
      <c r="B221" s="5" t="s">
        <v>7</v>
      </c>
      <c r="C221" s="5">
        <v>2048</v>
      </c>
      <c r="D221" s="5" t="s">
        <v>140</v>
      </c>
      <c r="E221" s="101" t="s">
        <v>307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8" x14ac:dyDescent="0.3">
      <c r="A222" s="64" t="s">
        <v>145</v>
      </c>
      <c r="B222" s="64" t="s">
        <v>12</v>
      </c>
      <c r="C222" s="72"/>
      <c r="D222" s="64" t="s">
        <v>187</v>
      </c>
      <c r="E222" s="65" t="s">
        <v>422</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3">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3.2" x14ac:dyDescent="0.3">
      <c r="A228" s="153" t="s">
        <v>590</v>
      </c>
      <c r="B228" s="148" t="s">
        <v>4</v>
      </c>
      <c r="C228" s="72"/>
      <c r="D228" s="154" t="s">
        <v>590</v>
      </c>
      <c r="E228" s="149" t="s">
        <v>579</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3">
      <c r="A229" s="153" t="s">
        <v>590</v>
      </c>
      <c r="B229" s="148" t="s">
        <v>6</v>
      </c>
      <c r="C229" s="72"/>
      <c r="D229" s="148" t="s">
        <v>6</v>
      </c>
      <c r="E229" s="150" t="s">
        <v>580</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8" x14ac:dyDescent="0.3">
      <c r="A230" s="153" t="s">
        <v>590</v>
      </c>
      <c r="B230" s="148" t="s">
        <v>7</v>
      </c>
      <c r="C230" s="72">
        <v>100</v>
      </c>
      <c r="D230" s="148" t="s">
        <v>581</v>
      </c>
      <c r="E230" s="149" t="s">
        <v>582</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3">
      <c r="A231" s="153" t="s">
        <v>590</v>
      </c>
      <c r="B231" s="148" t="s">
        <v>9</v>
      </c>
      <c r="C231" s="72"/>
      <c r="D231" s="148" t="s">
        <v>26</v>
      </c>
      <c r="E231" s="149" t="s">
        <v>583</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590</v>
      </c>
      <c r="B232" s="148" t="s">
        <v>13</v>
      </c>
      <c r="C232" s="72"/>
      <c r="D232" s="148" t="s">
        <v>584</v>
      </c>
      <c r="E232" s="149" t="s">
        <v>585</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8" x14ac:dyDescent="0.3">
      <c r="A233" s="153" t="s">
        <v>590</v>
      </c>
      <c r="B233" s="148" t="s">
        <v>7</v>
      </c>
      <c r="C233" s="72">
        <v>30</v>
      </c>
      <c r="D233" s="148" t="s">
        <v>586</v>
      </c>
      <c r="E233" s="149" t="s">
        <v>588</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3">
      <c r="A234" s="153" t="s">
        <v>590</v>
      </c>
      <c r="B234" s="148" t="s">
        <v>7</v>
      </c>
      <c r="C234" s="72">
        <v>100</v>
      </c>
      <c r="D234" s="148" t="s">
        <v>24</v>
      </c>
      <c r="E234" s="149" t="s">
        <v>587</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8" x14ac:dyDescent="0.3">
      <c r="A235" s="81" t="s">
        <v>172</v>
      </c>
      <c r="B235" s="5" t="s">
        <v>4</v>
      </c>
      <c r="D235" s="81" t="s">
        <v>172</v>
      </c>
      <c r="E235" s="76" t="s">
        <v>366</v>
      </c>
      <c r="F235" s="5" t="s">
        <v>5</v>
      </c>
      <c r="G235" s="4"/>
      <c r="H235" s="4"/>
      <c r="I235" s="5" t="str">
        <f t="shared" ref="I235:I249"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172</v>
      </c>
      <c r="B236" s="3" t="s">
        <v>6</v>
      </c>
      <c r="C236" s="3"/>
      <c r="D236" s="3" t="s">
        <v>6</v>
      </c>
      <c r="E236" s="118" t="s">
        <v>308</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100</v>
      </c>
      <c r="D239" s="3" t="s">
        <v>18</v>
      </c>
      <c r="E239" s="121" t="s">
        <v>309</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172</v>
      </c>
      <c r="B240" s="3" t="s">
        <v>7</v>
      </c>
      <c r="C240" s="3">
        <v>512</v>
      </c>
      <c r="D240" s="3" t="s">
        <v>164</v>
      </c>
      <c r="E240" s="121" t="s">
        <v>310</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512</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20" t="s">
        <v>172</v>
      </c>
      <c r="B241" s="120" t="s">
        <v>7</v>
      </c>
      <c r="C241" s="3">
        <v>255</v>
      </c>
      <c r="D241" s="120" t="s">
        <v>514</v>
      </c>
      <c r="E241" s="120" t="s">
        <v>515</v>
      </c>
      <c r="F241" s="6"/>
      <c r="G241" s="18"/>
      <c r="H241" s="18"/>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20</v>
      </c>
      <c r="D242" s="117" t="s">
        <v>516</v>
      </c>
      <c r="E242" s="121" t="s">
        <v>517</v>
      </c>
      <c r="F242" s="3" t="s">
        <v>5</v>
      </c>
      <c r="G242" s="119"/>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7</v>
      </c>
      <c r="C243" s="3">
        <v>20</v>
      </c>
      <c r="D243" s="117" t="s">
        <v>518</v>
      </c>
      <c r="E243" s="121" t="s">
        <v>519</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117" t="s">
        <v>7</v>
      </c>
      <c r="C244" s="3">
        <v>20</v>
      </c>
      <c r="D244" s="117" t="s">
        <v>520</v>
      </c>
      <c r="E244" s="121" t="s">
        <v>521</v>
      </c>
      <c r="F244" s="3" t="s">
        <v>5</v>
      </c>
      <c r="G244" s="4"/>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80</v>
      </c>
      <c r="D245" s="117" t="s">
        <v>522</v>
      </c>
      <c r="E245" s="121" t="s">
        <v>165</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80</v>
      </c>
      <c r="D246" s="117" t="s">
        <v>523</v>
      </c>
      <c r="E246" s="118" t="s">
        <v>166</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100</v>
      </c>
      <c r="D247" s="117" t="s">
        <v>21</v>
      </c>
      <c r="E247" s="118" t="s">
        <v>167</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50</v>
      </c>
      <c r="D248" s="117" t="s">
        <v>168</v>
      </c>
      <c r="E248" s="118" t="s">
        <v>169</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15</v>
      </c>
      <c r="D249" s="117" t="s">
        <v>170</v>
      </c>
      <c r="E249" s="118" t="s">
        <v>171</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ht="28.8" x14ac:dyDescent="0.3">
      <c r="A250" s="81" t="s">
        <v>146</v>
      </c>
      <c r="B250" s="5" t="s">
        <v>4</v>
      </c>
      <c r="D250" s="5" t="s">
        <v>146</v>
      </c>
      <c r="E250" s="76" t="s">
        <v>367</v>
      </c>
      <c r="F250" s="5" t="s">
        <v>5</v>
      </c>
      <c r="G250" s="4"/>
      <c r="H250" s="4"/>
      <c r="I250" s="5" t="str">
        <f t="shared" ref="I250:I263" si="27">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Row],[!Unique]])&gt;0,IF(Table2[[#This Row],[!Type]] = "id", "rg:None","rg:True"),"rg:None")</f>
        <v>rg:None</v>
      </c>
    </row>
    <row r="251" spans="1:25" x14ac:dyDescent="0.3">
      <c r="A251" s="81" t="s">
        <v>146</v>
      </c>
      <c r="B251" s="5" t="s">
        <v>6</v>
      </c>
      <c r="D251" s="5" t="s">
        <v>6</v>
      </c>
      <c r="E251" s="54" t="s">
        <v>312</v>
      </c>
      <c r="F251" s="5" t="s">
        <v>5</v>
      </c>
      <c r="G251" s="4" t="s">
        <v>62</v>
      </c>
      <c r="H251" s="158" t="s">
        <v>62</v>
      </c>
      <c r="I251" s="5" t="str">
        <f t="shared" si="27"/>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3">
      <c r="A252" s="81" t="s">
        <v>146</v>
      </c>
      <c r="B252" s="5" t="s">
        <v>7</v>
      </c>
      <c r="C252" s="5">
        <v>2048</v>
      </c>
      <c r="D252" s="102" t="s">
        <v>347</v>
      </c>
      <c r="E252" s="101" t="s">
        <v>311</v>
      </c>
      <c r="F252" s="5" t="s">
        <v>5</v>
      </c>
      <c r="G252" s="41" t="s">
        <v>62</v>
      </c>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ht="28.8" x14ac:dyDescent="0.3">
      <c r="A253" s="81" t="s">
        <v>146</v>
      </c>
      <c r="B253" s="5" t="s">
        <v>9</v>
      </c>
      <c r="D253" s="5" t="s">
        <v>156</v>
      </c>
      <c r="E253" s="104" t="s">
        <v>313</v>
      </c>
      <c r="F253" s="5" t="s">
        <v>5</v>
      </c>
      <c r="G253" s="4"/>
      <c r="H253" s="4"/>
      <c r="I253" s="5" t="str">
        <f t="shared" si="27"/>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8" x14ac:dyDescent="0.3">
      <c r="A254" s="81" t="s">
        <v>158</v>
      </c>
      <c r="B254" s="5" t="s">
        <v>4</v>
      </c>
      <c r="D254" s="81" t="s">
        <v>158</v>
      </c>
      <c r="E254" s="76" t="s">
        <v>368</v>
      </c>
      <c r="F254" s="5"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 { 'req': 'fileName' }, { 'req': 'fileContents'} ]</v>
      </c>
      <c r="Y254" s="4" t="str">
        <f>IF(LEN(Table2[[#This Row],[!Unique]])&gt;0,IF(Table2[[#This Row],[!Type]] = "id", "rg:None","rg:True"),"rg:None")</f>
        <v>rg:None</v>
      </c>
    </row>
    <row r="255" spans="1:25" x14ac:dyDescent="0.3">
      <c r="A255" s="81" t="s">
        <v>158</v>
      </c>
      <c r="B255" s="5" t="s">
        <v>6</v>
      </c>
      <c r="D255" s="5" t="s">
        <v>6</v>
      </c>
      <c r="E255" s="54" t="s">
        <v>314</v>
      </c>
      <c r="F255" s="5" t="s">
        <v>5</v>
      </c>
      <c r="G255" s="4" t="s">
        <v>62</v>
      </c>
      <c r="H255" s="41" t="s">
        <v>62</v>
      </c>
      <c r="I255" s="5" t="str">
        <f t="shared" si="27"/>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3">
      <c r="A256" s="81" t="s">
        <v>158</v>
      </c>
      <c r="B256" s="5" t="s">
        <v>7</v>
      </c>
      <c r="C256" s="5">
        <v>2048</v>
      </c>
      <c r="D256" s="5" t="s">
        <v>524</v>
      </c>
      <c r="E256" s="54" t="s">
        <v>525</v>
      </c>
      <c r="F256" s="5" t="s">
        <v>5</v>
      </c>
      <c r="G256" s="158" t="s">
        <v>62</v>
      </c>
      <c r="H256" s="41"/>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159</v>
      </c>
      <c r="D257" s="5" t="s">
        <v>526</v>
      </c>
      <c r="E257" s="105" t="s">
        <v>527</v>
      </c>
      <c r="F257" s="5" t="s">
        <v>5</v>
      </c>
      <c r="G257" s="158" t="s">
        <v>62</v>
      </c>
      <c r="H257" s="41"/>
      <c r="I257" s="5" t="str">
        <f t="shared" si="27"/>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14</v>
      </c>
      <c r="E258" s="105" t="s">
        <v>157</v>
      </c>
      <c r="F258" s="5" t="s">
        <v>5</v>
      </c>
      <c r="G258" s="4"/>
      <c r="H258" s="4"/>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72" t="s">
        <v>158</v>
      </c>
      <c r="B259" s="170" t="s">
        <v>7</v>
      </c>
      <c r="C259" s="72">
        <v>255</v>
      </c>
      <c r="D259" s="170" t="s">
        <v>607</v>
      </c>
      <c r="E259" s="171" t="s">
        <v>608</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mimeType</v>
      </c>
      <c r="V259" s="4" t="str">
        <f>IF(LEN(Table2[[#This Row],[!Description]]) &gt; 0, Table2[[#This Row],[!Description]], "rg:None")</f>
        <v>Mime-Type for attachment.</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72" t="s">
        <v>158</v>
      </c>
      <c r="B260" s="72" t="s">
        <v>7</v>
      </c>
      <c r="C260" s="72">
        <v>255</v>
      </c>
      <c r="D260" s="72" t="s">
        <v>20</v>
      </c>
      <c r="E260" s="47" t="s">
        <v>528</v>
      </c>
      <c r="F260" s="12"/>
      <c r="G260" s="18"/>
      <c r="H260" s="18"/>
      <c r="I260" s="4" t="str">
        <f>IF(LEN(A260) &gt; 0,"Defs","-")</f>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255</v>
      </c>
      <c r="U260" s="4" t="str">
        <f>IF(LEN(Table2[[#This Row],[!Name]]) &gt; 0, Table2[[#This Row],[!Name]], "rg:None")</f>
        <v>type</v>
      </c>
      <c r="V260" s="4" t="str">
        <f>IF(LEN(Table2[[#This Row],[!Description]]) &gt; 0, Table2[[#This Row],[!Description]], "rg:None")</f>
        <v>Type of attachment</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ht="28.8" x14ac:dyDescent="0.3">
      <c r="A261" s="81" t="s">
        <v>160</v>
      </c>
      <c r="B261" s="5" t="s">
        <v>4</v>
      </c>
      <c r="D261" s="81" t="s">
        <v>160</v>
      </c>
      <c r="E261" s="76" t="s">
        <v>369</v>
      </c>
      <c r="F261" s="5" t="s">
        <v>5</v>
      </c>
      <c r="G261" s="4"/>
      <c r="H261" s="4"/>
      <c r="I261" s="5" t="str">
        <f t="shared" si="27"/>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History</v>
      </c>
      <c r="V261" s="4" t="str">
        <f>IF(LEN(Table2[[#This Row],[!Description]]) &gt; 0, Table2[[#This Row],[!Description]], "rg:None")</f>
        <v>A log entry created by the system based on a triggering event and related to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3">
      <c r="A262" s="81" t="s">
        <v>160</v>
      </c>
      <c r="B262" s="5" t="s">
        <v>6</v>
      </c>
      <c r="D262" s="5" t="s">
        <v>6</v>
      </c>
      <c r="E262" s="54" t="s">
        <v>315</v>
      </c>
      <c r="F262" s="5" t="s">
        <v>5</v>
      </c>
      <c r="G262" s="4" t="s">
        <v>62</v>
      </c>
      <c r="H262" s="158" t="s">
        <v>62</v>
      </c>
      <c r="I262" s="5" t="str">
        <f t="shared" si="27"/>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History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81" t="s">
        <v>7</v>
      </c>
      <c r="C263" s="5">
        <v>2048</v>
      </c>
      <c r="D263" s="106" t="s">
        <v>209</v>
      </c>
      <c r="E263" s="107" t="s">
        <v>210</v>
      </c>
      <c r="G263" s="41" t="s">
        <v>62</v>
      </c>
      <c r="H263" s="41"/>
      <c r="I263" s="5" t="str">
        <f t="shared" si="27"/>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historyText</v>
      </c>
      <c r="V263" s="4" t="str">
        <f>IF(LEN(Table2[[#This Row],[!Description]]) &gt; 0, Table2[[#This Row],[!Description]], "rg:None")</f>
        <v>The text of the history entry tracked against the related entity.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19" t="s">
        <v>12</v>
      </c>
      <c r="C264" s="72"/>
      <c r="D264" s="31" t="s">
        <v>208</v>
      </c>
      <c r="E264" s="51" t="s">
        <v>161</v>
      </c>
      <c r="F264" s="12"/>
      <c r="G264" s="18"/>
      <c r="H264" s="18"/>
      <c r="I264" s="4" t="str">
        <f>IF(LEN(A264) &gt; 0,"Defs","-")</f>
        <v>Defs</v>
      </c>
      <c r="J264" s="14" t="str">
        <f>IF(Table2[[#This Row],[!Type]]=J$1, J$1,"rg:None")</f>
        <v>rg:None</v>
      </c>
      <c r="K264" s="14" t="str">
        <f>IF(Table2[[#This Row],[!Type]]=K$1, K$1,"rg:None")</f>
        <v>rg:None</v>
      </c>
      <c r="L264" s="14" t="str">
        <f>IF(Table2[[#This Row],[!Type]]=L$1, L$1,"rg:None")</f>
        <v>datetime</v>
      </c>
      <c r="M264" s="14" t="str">
        <f>IF(Table2[[#This Row],[!Type]]=M$1, M$1,"rg:None")</f>
        <v>rg:None</v>
      </c>
      <c r="N264" s="14" t="str">
        <f>IF(Table2[[#This Row],[!Type]]=N$1, N$1,"rg:None")</f>
        <v>rg:None</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createdDate</v>
      </c>
      <c r="V264" s="14" t="str">
        <f>IF(LEN(Table2[[#This Row],[!Description]]) &gt; 0, Table2[[#This Row],[!Description]], "rg:None")</f>
        <v>Date the record is created.</v>
      </c>
      <c r="W264" s="14" t="str">
        <f>IF(LEN(Table2[[#This Row],[!FK]])&gt;0,Table2[[#This Row],[!FK]],"rg:None")</f>
        <v>rg:None</v>
      </c>
      <c r="X264" s="14" t="str">
        <f>IF(LEN(concatif2(A:A,Table2[[#This Row],[!Table]],G:G,"Y",D:D,",")) &gt; 0,"rg:[ { 'req' : '"&amp;concatif2(A:A,Table2[[#This Row],[!Table]],G:G,"Y",D:D,"' }, { 'req': '")&amp;"'} ]","rg:[]")</f>
        <v>rg:[ { 'req' : 'id' }, { 'req': 'historyText'} ]</v>
      </c>
      <c r="Y264" s="14" t="str">
        <f>IF(LEN(Table2[[#This Row],[!Unique]])&gt;0,IF(Table2[[#This Row],[!Type]] = "id", "rg:None","rg:True"),"rg:None")</f>
        <v>rg:None</v>
      </c>
    </row>
    <row r="265" spans="1:25" ht="28.8" x14ac:dyDescent="0.3">
      <c r="A265" s="5" t="s">
        <v>22</v>
      </c>
      <c r="B265" s="5" t="s">
        <v>4</v>
      </c>
      <c r="D265" s="5" t="s">
        <v>22</v>
      </c>
      <c r="E265" s="54" t="s">
        <v>63</v>
      </c>
      <c r="F265" s="5" t="s">
        <v>5</v>
      </c>
      <c r="G265" s="4"/>
      <c r="H265" s="4"/>
      <c r="I265" s="5" t="str">
        <f t="shared" ref="I265:I307" si="28">IF(LEN(A265) &gt; 0,"Defs","-")</f>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8" t="str">
        <f>IF(LEN(Table2[[#This Row],[!Length]]) &gt; 0, Table2[[#This Row],[!Length]], "rg:None")</f>
        <v>rg:None</v>
      </c>
      <c r="U265" s="8" t="str">
        <f>IF(LEN(Table2[[#This Row],[!Name]]) &gt; 0, Table2[[#This Row],[!Name]], "rg:None")</f>
        <v>UserFavourite</v>
      </c>
      <c r="V265" s="8" t="str">
        <f>IF(LEN(Table2[[#This Row],[!Description]]) &gt; 0, Table2[[#This Row],[!Description]], "rg:None")</f>
        <v>User specific settings for a specific location in the UI. The location and saved settings are internally defined by the UI.</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x14ac:dyDescent="0.3">
      <c r="A266" s="5" t="s">
        <v>22</v>
      </c>
      <c r="B266" s="5" t="s">
        <v>6</v>
      </c>
      <c r="D266" s="5" t="s">
        <v>6</v>
      </c>
      <c r="E266" s="54" t="s">
        <v>316</v>
      </c>
      <c r="F266" s="5" t="s">
        <v>5</v>
      </c>
      <c r="G266" s="4" t="s">
        <v>62</v>
      </c>
      <c r="H266" s="158" t="s">
        <v>62</v>
      </c>
      <c r="I266" s="5" t="str">
        <f t="shared" si="28"/>
        <v>Defs</v>
      </c>
      <c r="J266" s="8" t="str">
        <f>IF(Table2[[#This Row],[!Type]]=J$1, J$1,"rg:None")</f>
        <v>rg:None</v>
      </c>
      <c r="K266" s="8" t="str">
        <f>IF(Table2[[#This Row],[!Type]]=K$1, K$1,"rg:None")</f>
        <v>rg:None</v>
      </c>
      <c r="L266" s="8" t="str">
        <f>IF(Table2[[#This Row],[!Type]]=L$1, L$1,"rg:None")</f>
        <v>rg:None</v>
      </c>
      <c r="M266" s="8" t="str">
        <f>IF(Table2[[#This Row],[!Type]]=M$1, M$1,"rg:None")</f>
        <v>id</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id</v>
      </c>
      <c r="V266" s="8" t="str">
        <f>IF(LEN(Table2[[#This Row],[!Description]]) &gt; 0, Table2[[#This Row],[!Description]], "rg:None")</f>
        <v>A system-generated unique identifier for a UserFavourite</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8" x14ac:dyDescent="0.3">
      <c r="A267" s="5" t="s">
        <v>22</v>
      </c>
      <c r="B267" s="5" t="s">
        <v>7</v>
      </c>
      <c r="C267" s="5">
        <v>150</v>
      </c>
      <c r="D267" s="5" t="s">
        <v>15</v>
      </c>
      <c r="E267" s="54" t="s">
        <v>23</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user-defined name for the recorded settings. Allows the user to save different groups of settings and access each one easily when needed.</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2048</v>
      </c>
      <c r="D268" s="5" t="s">
        <v>24</v>
      </c>
      <c r="E268" s="54" t="s">
        <v>25</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2048</v>
      </c>
      <c r="U268" s="8" t="str">
        <f>IF(LEN(Table2[[#This Row],[!Name]]) &gt; 0, Table2[[#This Row],[!Name]], "rg:None")</f>
        <v>value</v>
      </c>
      <c r="V268" s="8" t="str">
        <f>IF(LEN(Table2[[#This Row],[!Description]]) &gt; 0, Table2[[#This Row],[!Description]], "rg:None")</f>
        <v>The settings saved by the user. In general,  a UI defined chunk of json that stores the settings in place when the user created the favourite.</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57.6" x14ac:dyDescent="0.3">
      <c r="A269" s="5" t="s">
        <v>22</v>
      </c>
      <c r="B269" s="5" t="s">
        <v>9</v>
      </c>
      <c r="D269" s="5" t="s">
        <v>26</v>
      </c>
      <c r="E269" s="54" t="s">
        <v>27</v>
      </c>
      <c r="F269" s="5" t="s">
        <v>5</v>
      </c>
      <c r="G269" s="4"/>
      <c r="H269" s="4"/>
      <c r="I269" s="5" t="str">
        <f t="shared" si="28"/>
        <v>Defs</v>
      </c>
      <c r="J269" s="8" t="str">
        <f>IF(Table2[[#This Row],[!Type]]=J$1, J$1,"rg:None")</f>
        <v>boolean</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isDefault</v>
      </c>
      <c r="V26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3">
      <c r="A270" s="5" t="s">
        <v>22</v>
      </c>
      <c r="B270" s="108" t="s">
        <v>7</v>
      </c>
      <c r="C270" s="5">
        <v>150</v>
      </c>
      <c r="D270" s="108" t="s">
        <v>20</v>
      </c>
      <c r="E270" s="52" t="s">
        <v>214</v>
      </c>
      <c r="G270" s="158" t="s">
        <v>62</v>
      </c>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type</v>
      </c>
      <c r="V270" s="8" t="str">
        <f>IF(LEN(Table2[[#This Row],[!Description]]) &gt; 0, Table2[[#This Row],[!Description]], "rg:None")</f>
        <v>The type of Favourite</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38" t="s">
        <v>22</v>
      </c>
      <c r="B271" s="38" t="s">
        <v>8</v>
      </c>
      <c r="C271" s="72"/>
      <c r="D271" s="38" t="s">
        <v>0</v>
      </c>
      <c r="E271" s="53" t="s">
        <v>215</v>
      </c>
      <c r="F271" s="39" t="s">
        <v>0</v>
      </c>
      <c r="G271" s="157" t="s">
        <v>62</v>
      </c>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ref</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User</v>
      </c>
      <c r="V271" s="14" t="str">
        <f>IF(LEN(Table2[[#This Row],[!Description]]) &gt; 0, Table2[[#This Row],[!Description]], "rg:None")</f>
        <v>The User who has this Favourite</v>
      </c>
      <c r="W271" s="14" t="str">
        <f>IF(LEN(Table2[[#This Row],[!FK]])&gt;0,Table2[[#This Row],[!FK]],"rg:None")</f>
        <v>User</v>
      </c>
      <c r="X271" s="14" t="str">
        <f>IF(LEN(concatif2(A:A,Table2[[#This Row],[!Table]],G:G,"Y",D:D,",")) &gt; 0,"rg:[ { 'req' : '"&amp;concatif2(A:A,Table2[[#This Row],[!Table]],G:G,"Y",D:D,"' }, { 'req': '")&amp;"'} ]","rg:[]")</f>
        <v>rg:[ { 'req' : 'id' }, { 'req': 'name' }, { 'req': 'value' }, { 'req': 'type' }, { 'req': 'User'} ]</v>
      </c>
      <c r="Y271" s="14" t="str">
        <f>IF(LEN(Table2[[#This Row],[!Unique]])&gt;0,IF(Table2[[#This Row],[!Type]] = "id", "rg:None","rg:True"),"rg:None")</f>
        <v>rg:None</v>
      </c>
    </row>
    <row r="272" spans="1:25" x14ac:dyDescent="0.3">
      <c r="A272" s="5" t="s">
        <v>28</v>
      </c>
      <c r="B272" s="5" t="s">
        <v>4</v>
      </c>
      <c r="D272" s="5" t="s">
        <v>28</v>
      </c>
      <c r="E272" s="76" t="s">
        <v>401</v>
      </c>
      <c r="F272" s="5" t="s">
        <v>5</v>
      </c>
      <c r="G272" s="4"/>
      <c r="H272" s="4"/>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Region</v>
      </c>
      <c r="V272" s="8" t="str">
        <f>IF(LEN(Table2[[#This Row],[!Description]]) &gt; 0, Table2[[#This Row],[!Description]], "rg:None")</f>
        <v>The Ministry of Transportion and Infrastructure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3">
      <c r="A273" s="5" t="s">
        <v>28</v>
      </c>
      <c r="B273" s="5" t="s">
        <v>6</v>
      </c>
      <c r="D273" s="5" t="s">
        <v>6</v>
      </c>
      <c r="E273" s="54" t="s">
        <v>317</v>
      </c>
      <c r="F273" s="5" t="s">
        <v>5</v>
      </c>
      <c r="G273" s="4" t="s">
        <v>62</v>
      </c>
      <c r="H273" s="158"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13</v>
      </c>
      <c r="D274" s="5" t="s">
        <v>29</v>
      </c>
      <c r="E274" s="76" t="s">
        <v>406</v>
      </c>
      <c r="F274" s="5" t="s">
        <v>5</v>
      </c>
      <c r="G274" s="41" t="s">
        <v>62</v>
      </c>
      <c r="H274" s="41"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ministryRegionID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rg:True</v>
      </c>
    </row>
    <row r="275" spans="1:25" x14ac:dyDescent="0.3">
      <c r="A275" s="61" t="s">
        <v>28</v>
      </c>
      <c r="B275" s="61" t="s">
        <v>13</v>
      </c>
      <c r="C275" s="72"/>
      <c r="D275" s="61" t="s">
        <v>402</v>
      </c>
      <c r="E275" s="60" t="s">
        <v>403</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regionNumber</v>
      </c>
      <c r="V275" s="14" t="str">
        <f>IF(LEN(Table2[[#This Row],[!Description]]) &gt; 0, Table2[[#This Row],[!Description]], "rg:None")</f>
        <v>A code that uniquely defines a Region.</v>
      </c>
      <c r="W275" s="14" t="str">
        <f>IF(LEN(Table2[[#This Row],[!FK]])&gt;0,Table2[[#This Row],[!FK]],"rg:None")</f>
        <v>rg:None</v>
      </c>
      <c r="X275" s="14" t="str">
        <f>IF(LEN(concatif2(A:A,Table2[[#This Row],[!Table]],G:G,"Y",D:D,",")) &gt; 0,"rg:[ { 'req' : '"&amp;concatif2(A:A,Table2[[#This Row],[!Table]],G:G,"Y",D:D,"' }, { 'req': '")&amp;"'} ]","rg:[]")</f>
        <v>rg:[ { 'req' : 'id' }, { 'req': 'ministryRegionID' }, { 'req': 'name' }, { 'req': 'startDate'} ]</v>
      </c>
      <c r="Y275" s="14" t="str">
        <f>IF(LEN(Table2[[#This Row],[!Unique]])&gt;0,IF(Table2[[#This Row],[!Type]] = "id", "rg:None","rg:True"),"rg:None")</f>
        <v>rg:None</v>
      </c>
    </row>
    <row r="276" spans="1:25" x14ac:dyDescent="0.3">
      <c r="A276" s="5" t="s">
        <v>28</v>
      </c>
      <c r="B276" s="5" t="s">
        <v>7</v>
      </c>
      <c r="C276" s="5">
        <v>150</v>
      </c>
      <c r="D276" s="5" t="s">
        <v>15</v>
      </c>
      <c r="E276" s="76" t="s">
        <v>404</v>
      </c>
      <c r="F276" s="5" t="s">
        <v>5</v>
      </c>
      <c r="G276" s="41" t="s">
        <v>62</v>
      </c>
      <c r="H276" s="41"/>
      <c r="I276" s="5" t="str">
        <f t="shared" si="28"/>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Minsitry Region.</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8" x14ac:dyDescent="0.3">
      <c r="A277" s="5" t="s">
        <v>28</v>
      </c>
      <c r="B277" s="5" t="s">
        <v>12</v>
      </c>
      <c r="D277" s="5" t="s">
        <v>30</v>
      </c>
      <c r="E277" s="76" t="s">
        <v>410</v>
      </c>
      <c r="F277" s="5" t="s">
        <v>5</v>
      </c>
      <c r="G277" s="63" t="s">
        <v>62</v>
      </c>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31</v>
      </c>
      <c r="E278" s="76" t="s">
        <v>411</v>
      </c>
      <c r="F278" s="5" t="s">
        <v>5</v>
      </c>
      <c r="G278" s="4"/>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x14ac:dyDescent="0.3">
      <c r="A279" s="5" t="s">
        <v>32</v>
      </c>
      <c r="B279" s="5" t="s">
        <v>4</v>
      </c>
      <c r="D279" s="5" t="s">
        <v>32</v>
      </c>
      <c r="E279" s="76" t="s">
        <v>405</v>
      </c>
      <c r="F279" s="5" t="s">
        <v>5</v>
      </c>
      <c r="G279" s="4"/>
      <c r="H279" s="4"/>
      <c r="I279" s="5" t="str">
        <f t="shared" si="28"/>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District</v>
      </c>
      <c r="V279" s="8" t="str">
        <f>IF(LEN(Table2[[#This Row],[!Description]]) &gt; 0, Table2[[#This Row],[!Description]], "rg:None")</f>
        <v>The Ministry of Transportion and Infrastructure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3">
      <c r="A280" s="5" t="s">
        <v>32</v>
      </c>
      <c r="B280" s="5" t="s">
        <v>6</v>
      </c>
      <c r="D280" s="5" t="s">
        <v>6</v>
      </c>
      <c r="E280" s="54" t="s">
        <v>318</v>
      </c>
      <c r="F280" s="5" t="s">
        <v>5</v>
      </c>
      <c r="G280" s="4" t="s">
        <v>62</v>
      </c>
      <c r="H280" s="158" t="s">
        <v>62</v>
      </c>
      <c r="I280" s="5" t="str">
        <f t="shared" si="28"/>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13</v>
      </c>
      <c r="D281" s="5" t="s">
        <v>33</v>
      </c>
      <c r="E281" s="76" t="s">
        <v>406</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ministryDistrictID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7</v>
      </c>
      <c r="C282" s="5">
        <v>150</v>
      </c>
      <c r="D282" s="5" t="s">
        <v>15</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District.</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61" t="s">
        <v>32</v>
      </c>
      <c r="B283" s="61" t="s">
        <v>13</v>
      </c>
      <c r="C283" s="72"/>
      <c r="D283" s="61" t="s">
        <v>408</v>
      </c>
      <c r="E283" s="47" t="s">
        <v>409</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districtNumber</v>
      </c>
      <c r="V283" s="14" t="str">
        <f>IF(LEN(Table2[[#This Row],[!Description]]) &gt; 0, Table2[[#This Row],[!Description]], "rg:None")</f>
        <v>A number that uniquely defines a Ministry District.</v>
      </c>
      <c r="W283" s="14" t="str">
        <f>IF(LEN(Table2[[#This Row],[!FK]])&gt;0,Table2[[#This Row],[!FK]],"rg:None")</f>
        <v>rg:None</v>
      </c>
      <c r="X283" s="14" t="str">
        <f>IF(LEN(concatif2(A:A,Table2[[#This Row],[!Table]],G:G,"Y",D:D,",")) &gt; 0,"rg:[ { 'req' : '"&amp;concatif2(A:A,Table2[[#This Row],[!Table]],G:G,"Y",D:D,"' }, { 'req': '")&amp;"'} ]","rg:[]")</f>
        <v>rg:[ { 'req' : 'id' }, { 'req': 'ministryDistrictID' }, { 'req': 'name' }, { 'req': 'region' }, { 'req': 'startDate'} ]</v>
      </c>
      <c r="Y283" s="14" t="str">
        <f>IF(LEN(Table2[[#This Row],[!Unique]])&gt;0,IF(Table2[[#This Row],[!Type]] = "id", "rg:None","rg:True"),"rg:None")</f>
        <v>rg:None</v>
      </c>
    </row>
    <row r="284" spans="1:25" x14ac:dyDescent="0.3">
      <c r="A284" s="5" t="s">
        <v>32</v>
      </c>
      <c r="B284" s="5" t="s">
        <v>8</v>
      </c>
      <c r="D284" s="5" t="s">
        <v>34</v>
      </c>
      <c r="E284" s="54" t="s">
        <v>35</v>
      </c>
      <c r="F284" s="5" t="s">
        <v>28</v>
      </c>
      <c r="G284" s="63" t="s">
        <v>62</v>
      </c>
      <c r="H284" s="4"/>
      <c r="I284" s="5" t="str">
        <f t="shared" si="28"/>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region</v>
      </c>
      <c r="V284" s="8" t="str">
        <f>IF(LEN(Table2[[#This Row],[!Description]]) &gt; 0, Table2[[#This Row],[!Description]], "rg:None")</f>
        <v>The region in which the District is found.</v>
      </c>
      <c r="W284" s="8" t="str">
        <f>IF(LEN(Table2[[#This Row],[!FK]])&gt;0,Table2[[#This Row],[!FK]],"rg:None")</f>
        <v>Region</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8" x14ac:dyDescent="0.3">
      <c r="A285" s="5" t="s">
        <v>32</v>
      </c>
      <c r="B285" s="5" t="s">
        <v>12</v>
      </c>
      <c r="D285" s="5" t="s">
        <v>30</v>
      </c>
      <c r="E285" s="76" t="s">
        <v>410</v>
      </c>
      <c r="F285" s="5" t="s">
        <v>5</v>
      </c>
      <c r="G285" s="63" t="s">
        <v>62</v>
      </c>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31</v>
      </c>
      <c r="E286" s="76" t="s">
        <v>411</v>
      </c>
      <c r="F286" s="5" t="s">
        <v>5</v>
      </c>
      <c r="G286" s="4"/>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10</v>
      </c>
      <c r="B287" s="5" t="s">
        <v>4</v>
      </c>
      <c r="D287" s="5" t="s">
        <v>10</v>
      </c>
      <c r="E287" s="54" t="s">
        <v>415</v>
      </c>
      <c r="F287" s="5" t="s">
        <v>5</v>
      </c>
      <c r="G287" s="4"/>
      <c r="H287" s="4"/>
      <c r="I287" s="5" t="str">
        <f t="shared" si="28"/>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ServiceArea</v>
      </c>
      <c r="V287" s="8" t="str">
        <f>IF(LEN(Table2[[#This Row],[!Description]]) &gt; 0, Table2[[#This Row],[!Description]], "rg:None")</f>
        <v>The Ministry of Transportation and Infrastructure SERVICE 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3">
      <c r="A288" s="5" t="s">
        <v>10</v>
      </c>
      <c r="B288" s="5" t="s">
        <v>6</v>
      </c>
      <c r="D288" s="5" t="s">
        <v>6</v>
      </c>
      <c r="E288" s="54" t="s">
        <v>319</v>
      </c>
      <c r="F288" s="5" t="s">
        <v>5</v>
      </c>
      <c r="G288" s="4" t="s">
        <v>62</v>
      </c>
      <c r="H288" s="41" t="s">
        <v>62</v>
      </c>
      <c r="I288" s="5" t="str">
        <f t="shared" si="28"/>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ServiceArea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13</v>
      </c>
      <c r="D289" s="5" t="s">
        <v>36</v>
      </c>
      <c r="E289" s="76" t="s">
        <v>406</v>
      </c>
      <c r="F289" s="5" t="s">
        <v>5</v>
      </c>
      <c r="G289" s="41" t="s">
        <v>62</v>
      </c>
      <c r="H289" s="41"/>
      <c r="I289" s="5" t="str">
        <f t="shared" si="28"/>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ministryServiceAreaID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61" t="s">
        <v>10</v>
      </c>
      <c r="B290" s="61" t="s">
        <v>13</v>
      </c>
      <c r="C290" s="72"/>
      <c r="D290" s="61" t="s">
        <v>413</v>
      </c>
      <c r="E290" s="47" t="s">
        <v>414</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areaNumber</v>
      </c>
      <c r="V290" s="14" t="str">
        <f>IF(LEN(Table2[[#This Row],[!Description]]) &gt; 0, Table2[[#This Row],[!Description]], "rg:None")</f>
        <v>A number that uniquely defines a Ministry Service Area.</v>
      </c>
      <c r="W290" s="14" t="str">
        <f>IF(LEN(Table2[[#This Row],[!FK]])&gt;0,Table2[[#This Row],[!FK]],"rg:None")</f>
        <v>rg:None</v>
      </c>
      <c r="X290" s="14" t="str">
        <f>IF(LEN(concatif2(A:A,Table2[[#This Row],[!Table]],G:G,"Y",D:D,",")) &gt; 0,"rg:[ { 'req' : '"&amp;concatif2(A:A,Table2[[#This Row],[!Table]],G:G,"Y",D:D,"' }, { 'req': '")&amp;"'} ]","rg:[]")</f>
        <v>rg:[ { 'req' : 'id' }, { 'req': 'ministryServiceAreaID' }, { 'req': 'name' }, { 'req': 'district' }, { 'req': 'startDate'} ]</v>
      </c>
      <c r="Y290" s="14" t="str">
        <f>IF(LEN(Table2[[#This Row],[!Unique]])&gt;0,IF(Table2[[#This Row],[!Type]] = "id", "rg:None","rg:True"),"rg:None")</f>
        <v>rg:None</v>
      </c>
    </row>
    <row r="291" spans="1:25" x14ac:dyDescent="0.3">
      <c r="A291" s="5" t="s">
        <v>10</v>
      </c>
      <c r="B291" s="5" t="s">
        <v>7</v>
      </c>
      <c r="C291" s="5">
        <v>150</v>
      </c>
      <c r="D291" s="5" t="s">
        <v>15</v>
      </c>
      <c r="E291" s="76" t="s">
        <v>412</v>
      </c>
      <c r="F291" s="5" t="s">
        <v>5</v>
      </c>
      <c r="G291" s="41" t="s">
        <v>62</v>
      </c>
      <c r="H291" s="41"/>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a Ministry Service Area.</v>
      </c>
      <c r="W291" s="8" t="str">
        <f>IF(LEN(Table2[[#This Row],[!FK]])&gt;0,Table2[[#This Row],[!FK]],"rg:None")</f>
        <v>rg:None</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x14ac:dyDescent="0.3">
      <c r="A292" s="5" t="s">
        <v>10</v>
      </c>
      <c r="B292" s="5" t="s">
        <v>8</v>
      </c>
      <c r="D292" s="5" t="s">
        <v>37</v>
      </c>
      <c r="E292" s="54" t="s">
        <v>38</v>
      </c>
      <c r="F292" s="5" t="s">
        <v>32</v>
      </c>
      <c r="G292" s="63" t="s">
        <v>62</v>
      </c>
      <c r="H292" s="4"/>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district</v>
      </c>
      <c r="V292" s="8" t="str">
        <f>IF(LEN(Table2[[#This Row],[!Description]]) &gt; 0, Table2[[#This Row],[!Description]], "rg:None")</f>
        <v>The district in which the Service Area is found.</v>
      </c>
      <c r="W292" s="8" t="str">
        <f>IF(LEN(Table2[[#This Row],[!FK]])&gt;0,Table2[[#This Row],[!FK]],"rg:None")</f>
        <v>District</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8" x14ac:dyDescent="0.3">
      <c r="A293" s="5" t="s">
        <v>10</v>
      </c>
      <c r="B293" s="5" t="s">
        <v>12</v>
      </c>
      <c r="D293" s="5" t="s">
        <v>30</v>
      </c>
      <c r="E293" s="76" t="s">
        <v>410</v>
      </c>
      <c r="F293" s="5" t="s">
        <v>5</v>
      </c>
      <c r="G293" s="63" t="s">
        <v>62</v>
      </c>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31</v>
      </c>
      <c r="E294" s="76" t="s">
        <v>411</v>
      </c>
      <c r="F294" s="5" t="s">
        <v>5</v>
      </c>
      <c r="G294" s="4"/>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109" t="s">
        <v>151</v>
      </c>
      <c r="B295" s="5" t="s">
        <v>4</v>
      </c>
      <c r="D295" s="109" t="s">
        <v>151</v>
      </c>
      <c r="E295" s="76" t="s">
        <v>370</v>
      </c>
      <c r="F295" s="5" t="s">
        <v>5</v>
      </c>
      <c r="G295" s="4"/>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LocalArea</v>
      </c>
      <c r="V295" s="8" t="str">
        <f>IF(LEN(Table2[[#This Row],[!Description]]) &gt; 0, Table2[[#This Row],[!Description]], "rg:None")</f>
        <v>A HETS-application defined area that is within a Service 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3">
      <c r="A296" s="109" t="s">
        <v>151</v>
      </c>
      <c r="B296" s="5" t="s">
        <v>6</v>
      </c>
      <c r="D296" s="5" t="s">
        <v>6</v>
      </c>
      <c r="E296" s="54" t="s">
        <v>348</v>
      </c>
      <c r="F296" s="5" t="s">
        <v>5</v>
      </c>
      <c r="G296" s="4" t="s">
        <v>62</v>
      </c>
      <c r="H296" s="158" t="s">
        <v>62</v>
      </c>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LocalArea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61" t="s">
        <v>151</v>
      </c>
      <c r="B297" s="61" t="s">
        <v>13</v>
      </c>
      <c r="C297" s="72"/>
      <c r="D297" s="61" t="s">
        <v>417</v>
      </c>
      <c r="E297" s="60" t="s">
        <v>416</v>
      </c>
      <c r="F297" s="12"/>
      <c r="G297" s="157" t="s">
        <v>62</v>
      </c>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localAreaNumber</v>
      </c>
      <c r="V297" s="14" t="str">
        <f>IF(LEN(Table2[[#This Row],[!Description]]) &gt; 0, Table2[[#This Row],[!Description]], "rg:None")</f>
        <v>A system-generated, visible to the user number for the Local Area</v>
      </c>
      <c r="W297" s="14" t="str">
        <f>IF(LEN(Table2[[#This Row],[!FK]])&gt;0,Table2[[#This Row],[!FK]],"rg:None")</f>
        <v>rg:None</v>
      </c>
      <c r="X297" s="14" t="str">
        <f>IF(LEN(concatif2(A:A,Table2[[#This Row],[!Table]],G:G,"Y",D:D,",")) &gt; 0,"rg:[ { 'req' : '"&amp;concatif2(A:A,Table2[[#This Row],[!Table]],G:G,"Y",D:D,"' }, { 'req': '")&amp;"'} ]","rg:[]")</f>
        <v>rg:[ { 'req' : 'id' }, { 'req': 'localAreaNumber' }, { 'req': 'name' }, { 'req': 'serviceArea' }, { 'req': 'startDate'} ]</v>
      </c>
      <c r="Y297" s="14" t="str">
        <f>IF(LEN(Table2[[#This Row],[!Unique]])&gt;0,IF(Table2[[#This Row],[!Type]] = "id", "rg:None","rg:True"),"rg:None")</f>
        <v>rg:None</v>
      </c>
    </row>
    <row r="298" spans="1:25" x14ac:dyDescent="0.3">
      <c r="A298" s="109" t="s">
        <v>151</v>
      </c>
      <c r="B298" s="5" t="s">
        <v>7</v>
      </c>
      <c r="C298" s="5">
        <v>150</v>
      </c>
      <c r="D298" s="5" t="s">
        <v>15</v>
      </c>
      <c r="E298" s="110" t="s">
        <v>152</v>
      </c>
      <c r="F298" s="5" t="s">
        <v>5</v>
      </c>
      <c r="G298" s="158" t="s">
        <v>62</v>
      </c>
      <c r="H298" s="158" t="s">
        <v>62</v>
      </c>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full name of the Local Area</v>
      </c>
      <c r="W298" s="8" t="str">
        <f>IF(LEN(Table2[[#This Row],[!FK]])&gt;0,Table2[[#This Row],[!FK]],"rg:None")</f>
        <v>rg:None</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rg:True</v>
      </c>
    </row>
    <row r="299" spans="1:25" x14ac:dyDescent="0.3">
      <c r="A299" s="109" t="s">
        <v>151</v>
      </c>
      <c r="B299" s="5" t="s">
        <v>8</v>
      </c>
      <c r="D299" s="109" t="s">
        <v>153</v>
      </c>
      <c r="E299" s="110" t="s">
        <v>154</v>
      </c>
      <c r="F299" s="109" t="s">
        <v>10</v>
      </c>
      <c r="G299" s="158" t="s">
        <v>62</v>
      </c>
      <c r="H299" s="4"/>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serviceArea</v>
      </c>
      <c r="V299" s="8" t="str">
        <f>IF(LEN(Table2[[#This Row],[!Description]]) &gt; 0, Table2[[#This Row],[!Description]], "rg:None")</f>
        <v>The Service Area in which the Local Area is found.</v>
      </c>
      <c r="W299" s="8" t="str">
        <f>IF(LEN(Table2[[#This Row],[!FK]])&gt;0,Table2[[#This Row],[!FK]],"rg:None")</f>
        <v>ServiceArea</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8" x14ac:dyDescent="0.3">
      <c r="A300" s="61" t="s">
        <v>151</v>
      </c>
      <c r="B300" s="5" t="s">
        <v>12</v>
      </c>
      <c r="D300" s="5" t="s">
        <v>30</v>
      </c>
      <c r="E300" s="76" t="s">
        <v>410</v>
      </c>
      <c r="F300" s="5" t="s">
        <v>5</v>
      </c>
      <c r="G300" s="63" t="s">
        <v>62</v>
      </c>
      <c r="H300" s="4"/>
      <c r="I300" s="5" t="str">
        <f t="shared" ref="I300:I301" si="29">IF(LEN(A300) &gt; 0,"Defs","-")</f>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x14ac:dyDescent="0.3">
      <c r="A302" s="5" t="s">
        <v>11</v>
      </c>
      <c r="B302" s="5" t="s">
        <v>4</v>
      </c>
      <c r="D302" s="5" t="s">
        <v>11</v>
      </c>
      <c r="E302" s="54" t="s">
        <v>64</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City</v>
      </c>
      <c r="V302" s="8" t="str">
        <f>IF(LEN(Table2[[#This Row],[!Description]]) &gt; 0, Table2[[#This Row],[!Description]], "rg:None")</f>
        <v>A list of cities in BC. Authoritative source to be determined.</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3">
      <c r="A303" s="5" t="s">
        <v>11</v>
      </c>
      <c r="B303" s="5" t="s">
        <v>6</v>
      </c>
      <c r="D303" s="5" t="s">
        <v>6</v>
      </c>
      <c r="E303" s="54" t="s">
        <v>320</v>
      </c>
      <c r="F303" s="5" t="s">
        <v>5</v>
      </c>
      <c r="G303" s="4" t="s">
        <v>62</v>
      </c>
      <c r="H303" s="158" t="s">
        <v>62</v>
      </c>
      <c r="I303" s="5" t="str">
        <f t="shared" si="28"/>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7</v>
      </c>
      <c r="C304" s="5">
        <v>150</v>
      </c>
      <c r="D304" s="5" t="s">
        <v>15</v>
      </c>
      <c r="E304" s="54" t="s">
        <v>39</v>
      </c>
      <c r="F304" s="5" t="s">
        <v>5</v>
      </c>
      <c r="G304" s="158" t="s">
        <v>62</v>
      </c>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name of the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0</v>
      </c>
      <c r="B305" s="5" t="s">
        <v>4</v>
      </c>
      <c r="D305" s="5" t="s">
        <v>0</v>
      </c>
      <c r="E305" s="76" t="s">
        <v>371</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v>
      </c>
      <c r="V305" s="8" t="str">
        <f>IF(LEN(Table2[[#This Row],[!Description]]) &gt; 0, Table2[[#This Row],[!Description]], "rg:None")</f>
        <v>An identified user in the HETS Application that has a defined authorization level.</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
      <c r="A306" s="5" t="s">
        <v>0</v>
      </c>
      <c r="B306" s="5" t="s">
        <v>6</v>
      </c>
      <c r="D306" s="5" t="s">
        <v>6</v>
      </c>
      <c r="E306" s="54" t="s">
        <v>321</v>
      </c>
      <c r="F306" s="5" t="s">
        <v>5</v>
      </c>
      <c r="G306" s="4" t="s">
        <v>62</v>
      </c>
      <c r="H306" s="158" t="s">
        <v>62</v>
      </c>
      <c r="I306" s="5" t="str">
        <f t="shared" si="28"/>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7</v>
      </c>
      <c r="C307" s="5">
        <v>50</v>
      </c>
      <c r="D307" s="5" t="s">
        <v>16</v>
      </c>
      <c r="E307" s="54" t="s">
        <v>322</v>
      </c>
      <c r="F307" s="5" t="s">
        <v>5</v>
      </c>
      <c r="G307" s="41" t="s">
        <v>62</v>
      </c>
      <c r="H307" s="41"/>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givenName</v>
      </c>
      <c r="V307" s="8" t="str">
        <f>IF(LEN(Table2[[#This Row],[!Description]]) &gt; 0, Table2[[#This Row],[!Description]], "rg:None")</f>
        <v>Given 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17</v>
      </c>
      <c r="E308" s="54" t="s">
        <v>323</v>
      </c>
      <c r="F308" s="5" t="s">
        <v>5</v>
      </c>
      <c r="G308" s="41" t="s">
        <v>62</v>
      </c>
      <c r="H308" s="41"/>
      <c r="I308" s="5" t="str">
        <f t="shared" ref="I308:I346" si="30">IF(LEN(A308) &gt; 0,"Defs","-")</f>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surname</v>
      </c>
      <c r="V308" s="8" t="str">
        <f>IF(LEN(Table2[[#This Row],[!Description]]) &gt; 0, Table2[[#This Row],[!Description]], "rg:None")</f>
        <v>Surname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10</v>
      </c>
      <c r="D309" s="5" t="s">
        <v>42</v>
      </c>
      <c r="E309" s="54" t="s">
        <v>324</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10</v>
      </c>
      <c r="U309" s="8" t="str">
        <f>IF(LEN(Table2[[#This Row],[!Name]]) &gt; 0, Table2[[#This Row],[!Name]], "rg:None")</f>
        <v>initials</v>
      </c>
      <c r="V309" s="8" t="str">
        <f>IF(LEN(Table2[[#This Row],[!Description]]) &gt; 0, Table2[[#This Row],[!Description]], "rg:None")</f>
        <v>Initials of the user, to be presented where screen space is at a premium.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255</v>
      </c>
      <c r="D310" s="5" t="s">
        <v>43</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email</v>
      </c>
      <c r="V310" s="8" t="str">
        <f>IF(LEN(Table2[[#This Row],[!Description]]) &gt; 0, Table2[[#This Row],[!Description]], "rg:None")</f>
        <v>The email address of the user in the system.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ht="28.8" x14ac:dyDescent="0.3">
      <c r="A311" s="5" t="s">
        <v>0</v>
      </c>
      <c r="B311" s="5" t="s">
        <v>9</v>
      </c>
      <c r="D311" s="5" t="s">
        <v>41</v>
      </c>
      <c r="E311" s="54" t="s">
        <v>326</v>
      </c>
      <c r="F311" s="5" t="s">
        <v>5</v>
      </c>
      <c r="G311" s="4" t="s">
        <v>62</v>
      </c>
      <c r="H311" s="4"/>
      <c r="I311" s="5" t="str">
        <f t="shared" si="30"/>
        <v>Defs</v>
      </c>
      <c r="J311" s="8" t="str">
        <f>IF(Table2[[#This Row],[!Type]]=J$1, J$1,"rg:None")</f>
        <v>boolean</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active</v>
      </c>
      <c r="V311" s="8" t="str">
        <f>IF(LEN(Table2[[#This Row],[!Description]]) &gt; 0, Table2[[#This Row],[!Description]], "rg:None")</f>
        <v>A flag indicating the User is active in the system. Set false to remove access to the system for the user.</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x14ac:dyDescent="0.3">
      <c r="A312" s="5" t="s">
        <v>0</v>
      </c>
      <c r="B312" s="5" t="s">
        <v>7</v>
      </c>
      <c r="C312" s="5">
        <v>255</v>
      </c>
      <c r="D312" s="5" t="s">
        <v>44</v>
      </c>
      <c r="E312" s="54" t="s">
        <v>45</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smUserId</v>
      </c>
      <c r="V312" s="8" t="str">
        <f>IF(LEN(Table2[[#This Row],[!Description]]) &gt; 0, Table2[[#This Row],[!Description]], "rg:None")</f>
        <v>Security Manager User ID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ht="57.6" x14ac:dyDescent="0.3">
      <c r="A313" s="5" t="s">
        <v>0</v>
      </c>
      <c r="B313" s="5" t="s">
        <v>7</v>
      </c>
      <c r="C313" s="5">
        <v>255</v>
      </c>
      <c r="D313" s="5" t="s">
        <v>46</v>
      </c>
      <c r="E313" s="54" t="s">
        <v>327</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guid</v>
      </c>
      <c r="V313"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255</v>
      </c>
      <c r="D314" s="5" t="s">
        <v>47</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smAuthorizationDirectory</v>
      </c>
      <c r="V314" s="8" t="str">
        <f>IF(LEN(Table2[[#This Row],[!Description]]) &gt; 0, Table2[[#This Row],[!Description]], "rg:None")</f>
        <v>The user directory service used by Siteminder to authenticate the user - usually IDIR or BCeID.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19</v>
      </c>
      <c r="D315" s="5" t="s">
        <v>48</v>
      </c>
      <c r="F315" s="5" t="s">
        <v>50</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49</v>
      </c>
      <c r="F316" s="5" t="s">
        <v>59</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groupMemberships</v>
      </c>
      <c r="V316" s="8" t="str">
        <f>IF(LEN(Table2[[#This Row],[!Description]]) &gt; 0, Table2[[#This Row],[!Description]], "rg:None")</f>
        <v>rg:None</v>
      </c>
      <c r="W316" s="8" t="str">
        <f>IF(LEN(Table2[[#This Row],[!FK]])&gt;0,Table2[[#This Row],[!FK]],"rg:None")</f>
        <v>GroupMembership</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67" t="s">
        <v>0</v>
      </c>
      <c r="B317" s="67" t="s">
        <v>8</v>
      </c>
      <c r="C317" s="72"/>
      <c r="D317" s="67" t="s">
        <v>32</v>
      </c>
      <c r="E317" s="47" t="s">
        <v>432</v>
      </c>
      <c r="F317" s="68" t="s">
        <v>32</v>
      </c>
      <c r="G317" s="18"/>
      <c r="H317" s="18"/>
      <c r="I317" s="4" t="str">
        <f>IF(LEN(A317) &gt; 0,"Defs","-")</f>
        <v>Defs</v>
      </c>
      <c r="J317" s="14" t="str">
        <f>IF(Table2[[#This Row],[!Type]]=J$1, J$1,"rg:None")</f>
        <v>rg:None</v>
      </c>
      <c r="K317" s="14" t="str">
        <f>IF(Table2[[#This Row],[!Type]]=K$1, K$1,"rg:None")</f>
        <v>rg:None</v>
      </c>
      <c r="L317" s="14" t="str">
        <f>IF(Table2[[#This Row],[!Type]]=L$1, L$1,"rg:None")</f>
        <v>rg:None</v>
      </c>
      <c r="M317" s="14" t="str">
        <f>IF(Table2[[#This Row],[!Type]]=M$1, M$1,"rg:None")</f>
        <v>rg:None</v>
      </c>
      <c r="N317" s="14" t="str">
        <f>IF(Table2[[#This Row],[!Type]]=N$1, N$1,"rg:None")</f>
        <v>rg:None</v>
      </c>
      <c r="O317" s="14" t="str">
        <f>IF(Table2[[#This Row],[!Type]]=O$1, O$1,"rg:None")</f>
        <v>rg:None</v>
      </c>
      <c r="P317" s="4" t="str">
        <f>IF(Table2[[#This Row],[!Type]]=P$1, P$1,"rg:None")</f>
        <v>rg:None</v>
      </c>
      <c r="Q317" s="4" t="str">
        <f>IF(Table2[[#This Row],[!Type]]=Q$1, Q$1,"rg:None")</f>
        <v>ref</v>
      </c>
      <c r="R317" s="4" t="str">
        <f>IF(Table2[[#This Row],[!Type]]=R$1, R$1,"rg:None")</f>
        <v>rg:None</v>
      </c>
      <c r="S317" s="4" t="str">
        <f>IF(Table2[[#This Row],[!Type]]=S$1, S$1,"rg:None")</f>
        <v>rg:None</v>
      </c>
      <c r="T317" s="14" t="str">
        <f>IF(LEN(Table2[[#This Row],[!Length]]) &gt; 0, Table2[[#This Row],[!Length]], "rg:None")</f>
        <v>rg:None</v>
      </c>
      <c r="U317" s="14" t="str">
        <f>IF(LEN(Table2[[#This Row],[!Name]]) &gt; 0, Table2[[#This Row],[!Name]], "rg:None")</f>
        <v>District</v>
      </c>
      <c r="V317" s="14" t="str">
        <f>IF(LEN(Table2[[#This Row],[!Description]]) &gt; 0, Table2[[#This Row],[!Description]], "rg:None")</f>
        <v>The District that the User belongs to</v>
      </c>
      <c r="W317" s="14" t="str">
        <f>IF(LEN(Table2[[#This Row],[!FK]])&gt;0,Table2[[#This Row],[!FK]],"rg:None")</f>
        <v>District</v>
      </c>
      <c r="X317" s="14" t="str">
        <f>IF(LEN(concatif2(A:A,Table2[[#This Row],[!Table]],G:G,"Y",D:D,",")) &gt; 0,"rg:[ { 'req' : '"&amp;concatif2(A:A,Table2[[#This Row],[!Table]],G:G,"Y",D:D,"' }, { 'req': '")&amp;"'} ]","rg:[]")</f>
        <v>rg:[ { 'req' : 'id' }, { 'req': 'givenName' }, { 'req': 'surname' }, { 'req': 'active'} ]</v>
      </c>
      <c r="Y317" s="14" t="str">
        <f>IF(LEN(Table2[[#This Row],[!Unique]])&gt;0,IF(Table2[[#This Row],[!Type]] = "id", "rg:None","rg:True"),"rg:None")</f>
        <v>rg:None</v>
      </c>
    </row>
    <row r="318" spans="1:25" ht="28.8" x14ac:dyDescent="0.3">
      <c r="A318" s="5" t="s">
        <v>50</v>
      </c>
      <c r="B318" s="5" t="s">
        <v>4</v>
      </c>
      <c r="D318" s="5" t="s">
        <v>50</v>
      </c>
      <c r="E318" s="54" t="s">
        <v>329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UserRole</v>
      </c>
      <c r="V318"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3">
      <c r="A319" s="5" t="s">
        <v>50</v>
      </c>
      <c r="B319" s="5" t="s">
        <v>6</v>
      </c>
      <c r="D319" s="5" t="s">
        <v>6</v>
      </c>
      <c r="E319" s="54" t="s">
        <v>330</v>
      </c>
      <c r="F319" s="5" t="s">
        <v>5</v>
      </c>
      <c r="G319" s="4" t="s">
        <v>62</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UserRole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12</v>
      </c>
      <c r="D320" s="5" t="s">
        <v>51</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effectiveDate</v>
      </c>
      <c r="V320" s="8" t="str">
        <f>IF(LEN(Table2[[#This Row],[!Description]]) &gt; 0, Table2[[#This Row],[!Description]], "rg:None")</f>
        <v>The date on which the user was given the related 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52</v>
      </c>
      <c r="E321" s="54" t="s">
        <v>332</v>
      </c>
      <c r="F321" s="5" t="s">
        <v>5</v>
      </c>
      <c r="G321" s="4"/>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expiryDate</v>
      </c>
      <c r="V321" s="8" t="str">
        <f>IF(LEN(Table2[[#This Row],[!Description]]) &gt; 0, Table2[[#This Row],[!Description]], "rg:None")</f>
        <v>The date on which a role previously assigned to a user was removed from that user.</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8</v>
      </c>
      <c r="D322" s="5" t="s">
        <v>18</v>
      </c>
      <c r="E322" s="130" t="s">
        <v>543</v>
      </c>
      <c r="F322" s="5" t="s">
        <v>53</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role</v>
      </c>
      <c r="V322" s="8" t="str">
        <f>IF(LEN(Table2[[#This Row],[!Description]]) &gt; 0, Table2[[#This Row],[!Description]], "rg:None")</f>
        <v>A foreign key reference to the system-generated unique identifier for a Role</v>
      </c>
      <c r="W322" s="8" t="str">
        <f>IF(LEN(Table2[[#This Row],[!FK]])&gt;0,Table2[[#This Row],[!FK]],"rg:None")</f>
        <v>Role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ht="43.2" x14ac:dyDescent="0.3">
      <c r="A323" s="5" t="s">
        <v>53</v>
      </c>
      <c r="B323" s="5" t="s">
        <v>4</v>
      </c>
      <c r="D323" s="5" t="s">
        <v>53</v>
      </c>
      <c r="E323" s="76" t="s">
        <v>372</v>
      </c>
      <c r="F323" s="5" t="s">
        <v>5</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Role</v>
      </c>
      <c r="V32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3">
      <c r="A324" s="5" t="s">
        <v>53</v>
      </c>
      <c r="B324" s="5" t="s">
        <v>6</v>
      </c>
      <c r="D324" s="5" t="s">
        <v>6</v>
      </c>
      <c r="E324" s="54" t="s">
        <v>333</v>
      </c>
      <c r="F324" s="5" t="s">
        <v>5</v>
      </c>
      <c r="G324" s="4" t="s">
        <v>62</v>
      </c>
      <c r="H324" s="158" t="s">
        <v>62</v>
      </c>
      <c r="I324" s="5" t="str">
        <f t="shared" si="30"/>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7</v>
      </c>
      <c r="C325" s="5">
        <v>255</v>
      </c>
      <c r="D325" s="5" t="s">
        <v>15</v>
      </c>
      <c r="E325" s="54" t="s">
        <v>334</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name</v>
      </c>
      <c r="V325" s="8" t="str">
        <f>IF(LEN(Table2[[#This Row],[!Description]]) &gt; 0, Table2[[#This Row],[!Description]], "rg:None")</f>
        <v>The name of the Role, as established by the user creating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2048</v>
      </c>
      <c r="D326" s="5" t="s">
        <v>14</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role as set by the user creating/updating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19</v>
      </c>
      <c r="D327" s="5" t="s">
        <v>54</v>
      </c>
      <c r="F327" s="5" t="s">
        <v>55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rolePermissions</v>
      </c>
      <c r="V327" s="8" t="str">
        <f>IF(LEN(Table2[[#This Row],[!Description]]) &gt; 0, Table2[[#This Row],[!Description]], "rg:None")</f>
        <v>rg:None</v>
      </c>
      <c r="W327" s="8" t="str">
        <f>IF(LEN(Table2[[#This Row],[!FK]])&gt;0,Table2[[#This Row],[!FK]],"rg:None")</f>
        <v>RolePermission</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48</v>
      </c>
      <c r="F328" s="5" t="s">
        <v>50</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userRoles</v>
      </c>
      <c r="V328" s="8" t="str">
        <f>IF(LEN(Table2[[#This Row],[!Description]]) &gt; 0, Table2[[#This Row],[!Description]], "rg:None")</f>
        <v>rg:None</v>
      </c>
      <c r="W328" s="8" t="str">
        <f>IF(LEN(Table2[[#This Row],[!FK]])&gt;0,Table2[[#This Row],[!FK]],"rg:None")</f>
        <v>UserRole</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ht="28.8" x14ac:dyDescent="0.3">
      <c r="A329" s="5" t="s">
        <v>55</v>
      </c>
      <c r="B329" s="5" t="s">
        <v>4</v>
      </c>
      <c r="D329" s="5" t="s">
        <v>55</v>
      </c>
      <c r="E329" s="76" t="s">
        <v>373</v>
      </c>
      <c r="F329" s="5" t="s">
        <v>5</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RolePermission</v>
      </c>
      <c r="V329" s="8" t="str">
        <f>IF(LEN(Table2[[#This Row],[!Description]]) &gt; 0, Table2[[#This Row],[!Description]], "rg:None")</f>
        <v>A permission that is part of a Role - a component of the authorization provided by the Role to the user to which the Role is assigned.</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3">
      <c r="A330" s="5" t="s">
        <v>55</v>
      </c>
      <c r="B330" s="5" t="s">
        <v>6</v>
      </c>
      <c r="D330" s="5" t="s">
        <v>6</v>
      </c>
      <c r="E330" s="54" t="s">
        <v>336</v>
      </c>
      <c r="F330" s="5" t="s">
        <v>5</v>
      </c>
      <c r="G330" s="4"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RolePermission</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8</v>
      </c>
      <c r="D331" s="5" t="s">
        <v>18</v>
      </c>
      <c r="F331" s="5" t="s">
        <v>53</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role</v>
      </c>
      <c r="V331" s="8" t="str">
        <f>IF(LEN(Table2[[#This Row],[!Description]]) &gt; 0, Table2[[#This Row],[!Description]], "rg:None")</f>
        <v>rg:None</v>
      </c>
      <c r="W331" s="8" t="str">
        <f>IF(LEN(Table2[[#This Row],[!FK]])&gt;0,Table2[[#This Row],[!FK]],"rg:None")</f>
        <v>Role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56</v>
      </c>
      <c r="E332" s="130" t="s">
        <v>544</v>
      </c>
      <c r="F332" s="5" t="s">
        <v>57</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permission</v>
      </c>
      <c r="V332" s="8" t="str">
        <f>IF(LEN(Table2[[#This Row],[!Description]]) &gt; 0, Table2[[#This Row],[!Description]], "rg:None")</f>
        <v>A foreign key reference to the system-generated unique identifier for a Permission</v>
      </c>
      <c r="W332" s="8" t="str">
        <f>IF(LEN(Table2[[#This Row],[!FK]])&gt;0,Table2[[#This Row],[!FK]],"rg:None")</f>
        <v>Permission</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ht="72" x14ac:dyDescent="0.3">
      <c r="A333" s="5" t="s">
        <v>57</v>
      </c>
      <c r="B333" s="5" t="s">
        <v>4</v>
      </c>
      <c r="D333" s="5" t="s">
        <v>57</v>
      </c>
      <c r="E333" s="76" t="s">
        <v>374</v>
      </c>
      <c r="F333" s="5" t="s">
        <v>5</v>
      </c>
      <c r="G333" s="4"/>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table</v>
      </c>
      <c r="T333" s="8" t="str">
        <f>IF(LEN(Table2[[#This Row],[!Length]]) &gt; 0, Table2[[#This Row],[!Length]], "rg:None")</f>
        <v>rg:None</v>
      </c>
      <c r="U333" s="8" t="str">
        <f>IF(LEN(Table2[[#This Row],[!Name]]) &gt; 0, Table2[[#This Row],[!Name]], "rg:None")</f>
        <v>Permission</v>
      </c>
      <c r="V333"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3">
      <c r="A334" s="5" t="s">
        <v>57</v>
      </c>
      <c r="B334" s="5" t="s">
        <v>6</v>
      </c>
      <c r="D334" s="5" t="s">
        <v>6</v>
      </c>
      <c r="E334" s="54" t="s">
        <v>337</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id</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id</v>
      </c>
      <c r="V334" s="8" t="str">
        <f>IF(LEN(Table2[[#This Row],[!Description]]) &gt; 0, Table2[[#This Row],[!Description]], "rg:None")</f>
        <v>A system-generated unique identifier for a Permission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7</v>
      </c>
      <c r="C335" s="5">
        <v>50</v>
      </c>
      <c r="D335" s="5" t="s">
        <v>58</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50</v>
      </c>
      <c r="U335" s="8" t="str">
        <f>IF(LEN(Table2[[#This Row],[!Name]]) &gt; 0, Table2[[#This Row],[!Name]], "rg:None")</f>
        <v>code</v>
      </c>
      <c r="V335" s="8" t="str">
        <f>IF(LEN(Table2[[#This Row],[!Description]]) &gt; 0, Table2[[#This Row],[!Description]], "rg:None")</f>
        <v>The name of the permission referenced in the software of the application.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8" x14ac:dyDescent="0.3">
      <c r="A336" s="5" t="s">
        <v>57</v>
      </c>
      <c r="B336" s="5" t="s">
        <v>7</v>
      </c>
      <c r="C336" s="5">
        <v>150</v>
      </c>
      <c r="D336" s="5" t="s">
        <v>15</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150</v>
      </c>
      <c r="U336" s="8" t="str">
        <f>IF(LEN(Table2[[#This Row],[!Name]]) &gt; 0, Table2[[#This Row],[!Name]], "rg:None")</f>
        <v>name</v>
      </c>
      <c r="V336" s="8" t="str">
        <f>IF(LEN(Table2[[#This Row],[!Description]]) &gt; 0, Table2[[#This Row],[!Description]], "rg:None")</f>
        <v>The 'user friendly' name of the permission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2048</v>
      </c>
      <c r="D337" s="5" t="s">
        <v>14</v>
      </c>
      <c r="E337" s="54" t="s">
        <v>340</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purpose of the permission and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rg:None</v>
      </c>
    </row>
    <row r="338" spans="1:25" x14ac:dyDescent="0.3">
      <c r="A338" s="5" t="s">
        <v>59</v>
      </c>
      <c r="B338" s="5" t="s">
        <v>4</v>
      </c>
      <c r="D338" s="5" t="s">
        <v>59</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table</v>
      </c>
      <c r="T338" s="8" t="str">
        <f>IF(LEN(Table2[[#This Row],[!Length]]) &gt; 0, Table2[[#This Row],[!Length]], "rg:None")</f>
        <v>rg:None</v>
      </c>
      <c r="U338" s="8" t="str">
        <f>IF(LEN(Table2[[#This Row],[!Name]]) &gt; 0, Table2[[#This Row],[!Name]], "rg:None")</f>
        <v>GroupMembership</v>
      </c>
      <c r="V338" s="8" t="str">
        <f>IF(LEN(Table2[[#This Row],[!Description]]) &gt; 0, Table2[[#This Row],[!Description]], "rg:None")</f>
        <v>The users associated with a given group that has been defined in the application.</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x14ac:dyDescent="0.3">
      <c r="A339" s="5" t="s">
        <v>59</v>
      </c>
      <c r="B339" s="5" t="s">
        <v>6</v>
      </c>
      <c r="D339" s="5" t="s">
        <v>6</v>
      </c>
      <c r="E339" s="54" t="s">
        <v>342</v>
      </c>
      <c r="F339" s="5" t="s">
        <v>5</v>
      </c>
      <c r="G339" s="4" t="s">
        <v>62</v>
      </c>
      <c r="H339" s="158" t="s">
        <v>62</v>
      </c>
      <c r="I339" s="5" t="str">
        <f t="shared" si="30"/>
        <v>Defs</v>
      </c>
      <c r="J339" s="8" t="str">
        <f>IF(Table2[[#This Row],[!Type]]=J$1, J$1,"rg:None")</f>
        <v>rg:None</v>
      </c>
      <c r="K339" s="8" t="str">
        <f>IF(Table2[[#This Row],[!Type]]=K$1, K$1,"rg:None")</f>
        <v>rg:None</v>
      </c>
      <c r="L339" s="8" t="str">
        <f>IF(Table2[[#This Row],[!Type]]=L$1, L$1,"rg:None")</f>
        <v>rg:None</v>
      </c>
      <c r="M339" s="8" t="str">
        <f>IF(Table2[[#This Row],[!Type]]=M$1, M$1,"rg:None")</f>
        <v>id</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id</v>
      </c>
      <c r="V339" s="8" t="str">
        <f>IF(LEN(Table2[[#This Row],[!Description]]) &gt; 0, Table2[[#This Row],[!Description]], "rg:None")</f>
        <v>A system-generated unique identifier for a GroupMembership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ht="28.8" x14ac:dyDescent="0.3">
      <c r="A340" s="5" t="s">
        <v>59</v>
      </c>
      <c r="B340" s="5" t="s">
        <v>9</v>
      </c>
      <c r="D340" s="5" t="s">
        <v>41</v>
      </c>
      <c r="E340" s="54" t="s">
        <v>343</v>
      </c>
      <c r="F340" s="5" t="s">
        <v>5</v>
      </c>
      <c r="G340" s="4" t="s">
        <v>62</v>
      </c>
      <c r="H340" s="4"/>
      <c r="I340" s="5" t="str">
        <f t="shared" si="30"/>
        <v>Defs</v>
      </c>
      <c r="J340" s="8" t="str">
        <f>IF(Table2[[#This Row],[!Type]]=J$1, J$1,"rg:None")</f>
        <v>boolean</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active</v>
      </c>
      <c r="V340" s="8" t="str">
        <f>IF(LEN(Table2[[#This Row],[!Description]]) &gt; 0, Table2[[#This Row],[!Description]], "rg:None")</f>
        <v>A flag indicating the User is active in the group. Set false to remove the user from the designated group.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3">
      <c r="A341" s="5" t="s">
        <v>59</v>
      </c>
      <c r="B341" s="5" t="s">
        <v>8</v>
      </c>
      <c r="D341" s="5" t="s">
        <v>60</v>
      </c>
      <c r="E341" s="130" t="s">
        <v>545</v>
      </c>
      <c r="F341" s="5" t="s">
        <v>61</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group</v>
      </c>
      <c r="V341" s="8" t="str">
        <f>IF(LEN(Table2[[#This Row],[!Description]]) &gt; 0, Table2[[#This Row],[!Description]], "rg:None")</f>
        <v>A foreign key reference to the system-generated unique identifier for a Group</v>
      </c>
      <c r="W341" s="8" t="str">
        <f>IF(LEN(Table2[[#This Row],[!FK]])&gt;0,Table2[[#This Row],[!FK]],"rg:None")</f>
        <v>Group</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40</v>
      </c>
      <c r="E342" s="130" t="s">
        <v>546</v>
      </c>
      <c r="F342" s="5" t="s">
        <v>0</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user</v>
      </c>
      <c r="V342" s="8" t="str">
        <f>IF(LEN(Table2[[#This Row],[!Description]]) &gt; 0, Table2[[#This Row],[!Description]], "rg:None")</f>
        <v>A foreign key reference to the system-generated unique identifier for a User</v>
      </c>
      <c r="W342" s="8" t="str">
        <f>IF(LEN(Table2[[#This Row],[!FK]])&gt;0,Table2[[#This Row],[!FK]],"rg:None")</f>
        <v>User</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ht="43.2" x14ac:dyDescent="0.3">
      <c r="A343" s="5" t="s">
        <v>61</v>
      </c>
      <c r="B343" s="5" t="s">
        <v>4</v>
      </c>
      <c r="D343" s="5" t="s">
        <v>61</v>
      </c>
      <c r="E343" s="76" t="s">
        <v>375</v>
      </c>
      <c r="F343" s="5" t="s">
        <v>5</v>
      </c>
      <c r="G343" s="4"/>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table</v>
      </c>
      <c r="T343" s="8" t="str">
        <f>IF(LEN(Table2[[#This Row],[!Length]]) &gt; 0, Table2[[#This Row],[!Length]], "rg:None")</f>
        <v>rg:None</v>
      </c>
      <c r="U343" s="8" t="str">
        <f>IF(LEN(Table2[[#This Row],[!Name]]) &gt; 0, Table2[[#This Row],[!Name]], "rg:None")</f>
        <v>Group</v>
      </c>
      <c r="V343"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3">
      <c r="A344" s="5" t="s">
        <v>61</v>
      </c>
      <c r="B344" s="5" t="s">
        <v>6</v>
      </c>
      <c r="D344" s="5" t="s">
        <v>6</v>
      </c>
      <c r="E344" s="54" t="s">
        <v>344</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id</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rg:None</v>
      </c>
      <c r="T344" s="8" t="str">
        <f>IF(LEN(Table2[[#This Row],[!Length]]) &gt; 0, Table2[[#This Row],[!Length]], "rg:None")</f>
        <v>rg:None</v>
      </c>
      <c r="U344" s="8" t="str">
        <f>IF(LEN(Table2[[#This Row],[!Name]]) &gt; 0, Table2[[#This Row],[!Name]], "rg:None")</f>
        <v>id</v>
      </c>
      <c r="V344" s="8" t="str">
        <f>IF(LEN(Table2[[#This Row],[!Description]]) &gt; 0, Table2[[#This Row],[!Description]], "rg:None")</f>
        <v>A system-generated unique identifier for a Group</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7</v>
      </c>
      <c r="C345" s="5">
        <v>150</v>
      </c>
      <c r="D345" s="5" t="s">
        <v>15</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150</v>
      </c>
      <c r="U345" s="8" t="str">
        <f>IF(LEN(Table2[[#This Row],[!Name]]) &gt; 0, Table2[[#This Row],[!Name]], "rg:None")</f>
        <v>name</v>
      </c>
      <c r="V345" s="8" t="str">
        <f>IF(LEN(Table2[[#This Row],[!Description]]) &gt; 0, Table2[[#This Row],[!Description]], "rg:None")</f>
        <v>The name of the group, as refenced in the code.</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rg:True</v>
      </c>
    </row>
    <row r="346" spans="1:25" ht="28.8" x14ac:dyDescent="0.3">
      <c r="A346" s="5" t="s">
        <v>61</v>
      </c>
      <c r="B346" s="5" t="s">
        <v>7</v>
      </c>
      <c r="C346" s="5">
        <v>2048</v>
      </c>
      <c r="D346" s="5" t="s">
        <v>14</v>
      </c>
      <c r="E346" s="54" t="s">
        <v>346</v>
      </c>
      <c r="F346" s="5" t="s">
        <v>5</v>
      </c>
      <c r="G346" s="4" t="s">
        <v>62</v>
      </c>
      <c r="H346" s="4"/>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2048</v>
      </c>
      <c r="U346" s="8" t="str">
        <f>IF(LEN(Table2[[#This Row],[!Name]]) &gt; 0, Table2[[#This Row],[!Name]], "rg:None")</f>
        <v>description</v>
      </c>
      <c r="V346" s="8" t="str">
        <f>IF(LEN(Table2[[#This Row],[!Description]]) &gt; 0, Table2[[#This Row],[!Description]], "rg:None")</f>
        <v>A description of the group that is presented to the user when they are setting a user into a group.</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rg:None</v>
      </c>
    </row>
    <row r="347" spans="1:25" x14ac:dyDescent="0.3">
      <c r="A347" s="164" t="s">
        <v>597</v>
      </c>
      <c r="B347" s="164" t="s">
        <v>4</v>
      </c>
      <c r="C347" s="72"/>
      <c r="D347" s="164" t="s">
        <v>597</v>
      </c>
      <c r="E347" s="47"/>
      <c r="F347" s="12"/>
      <c r="G347" s="18"/>
      <c r="H347" s="18"/>
      <c r="I347" s="4" t="str">
        <f t="shared" ref="I347:I352" si="31">IF(LEN(A347) &gt; 0,"Defs","-")</f>
        <v>Defs</v>
      </c>
      <c r="J347" s="14" t="str">
        <f>IF(Table2[[#This Row],[!Type]]=J$1, J$1,"rg:None")</f>
        <v>rg:None</v>
      </c>
      <c r="K347" s="14" t="str">
        <f>IF(Table2[[#This Row],[!Type]]=K$1, K$1,"rg:None")</f>
        <v>rg:None</v>
      </c>
      <c r="L347" s="14" t="str">
        <f>IF(Table2[[#This Row],[!Type]]=L$1, L$1,"rg:None")</f>
        <v>rg:None</v>
      </c>
      <c r="M347" s="14" t="str">
        <f>IF(Table2[[#This Row],[!Type]]=M$1, M$1,"rg:None")</f>
        <v>rg:None</v>
      </c>
      <c r="N347" s="14" t="str">
        <f>IF(Table2[[#This Row],[!Type]]=N$1, N$1,"rg:None")</f>
        <v>rg:None</v>
      </c>
      <c r="O347" s="14" t="str">
        <f>IF(Table2[[#This Row],[!Type]]=O$1, O$1,"rg:None")</f>
        <v>rg:None</v>
      </c>
      <c r="P347" s="4" t="str">
        <f>IF(Table2[[#This Row],[!Type]]=P$1, P$1,"rg:None")</f>
        <v>rg:None</v>
      </c>
      <c r="Q347" s="4" t="str">
        <f>IF(Table2[[#This Row],[!Type]]=Q$1, Q$1,"rg:None")</f>
        <v>rg:None</v>
      </c>
      <c r="R347" s="4" t="str">
        <f>IF(Table2[[#This Row],[!Type]]=R$1, R$1,"rg:None")</f>
        <v>rg:None</v>
      </c>
      <c r="S347" s="4" t="str">
        <f>IF(Table2[[#This Row],[!Type]]=S$1, S$1,"rg:None")</f>
        <v>table</v>
      </c>
      <c r="T347" s="14" t="str">
        <f>IF(LEN(Table2[[#This Row],[!Length]]) &gt; 0, Table2[[#This Row],[!Length]], "rg:None")</f>
        <v>rg:None</v>
      </c>
      <c r="U347" s="14" t="str">
        <f>IF(LEN(Table2[[#This Row],[!Name]]) &gt; 0, Table2[[#This Row],[!Name]], "rg:None")</f>
        <v>ImportMap</v>
      </c>
      <c r="V347" s="14" t="str">
        <f>IF(LEN(Table2[[#This Row],[!Description]]) &gt; 0, Table2[[#This Row],[!Description]], "rg:None")</f>
        <v>rg:None</v>
      </c>
      <c r="W347" s="14" t="str">
        <f>IF(LEN(Table2[[#This Row],[!FK]])&gt;0,Table2[[#This Row],[!FK]],"rg:None")</f>
        <v>rg:None</v>
      </c>
      <c r="X347" s="14" t="str">
        <f>IF(LEN(concatif2(A:A,Table2[[#This Row],[!Table]],G:G,"Y",D:D,",")) &gt; 0,"rg:[ { 'req' : '"&amp;concatif2(A:A,Table2[[#This Row],[!Table]],G:G,"Y",D:D,"' }, { 'req': '")&amp;"'} ]","rg:[]")</f>
        <v>rg:[ { 'req' : 'id' }, { 'req': 'oldTable' }, { 'req': 'newTable' }, { 'req': 'oldKey' }, { 'req': 'newKey'} ]</v>
      </c>
      <c r="Y347" s="14" t="str">
        <f>IF(LEN(Table2[[#This Row],[!Unique]])&gt;0,IF(Table2[[#This Row],[!Type]] = "id", "rg:None","rg:True"),"rg:None")</f>
        <v>rg:None</v>
      </c>
    </row>
    <row r="348" spans="1:25" x14ac:dyDescent="0.3">
      <c r="A348" s="164" t="s">
        <v>597</v>
      </c>
      <c r="B348" s="164" t="s">
        <v>6</v>
      </c>
      <c r="C348" s="72"/>
      <c r="D348" s="164" t="s">
        <v>6</v>
      </c>
      <c r="E348" s="165" t="s">
        <v>599</v>
      </c>
      <c r="F348" s="12"/>
      <c r="G348" s="166" t="s">
        <v>62</v>
      </c>
      <c r="H348" s="166" t="s">
        <v>62</v>
      </c>
      <c r="I348" s="4" t="str">
        <f t="shared" si="31"/>
        <v>Defs</v>
      </c>
      <c r="J348" s="14" t="str">
        <f>IF(Table2[[#This Row],[!Type]]=J$1, J$1,"rg:None")</f>
        <v>rg:None</v>
      </c>
      <c r="K348" s="14" t="str">
        <f>IF(Table2[[#This Row],[!Type]]=K$1, K$1,"rg:None")</f>
        <v>rg:None</v>
      </c>
      <c r="L348" s="14" t="str">
        <f>IF(Table2[[#This Row],[!Type]]=L$1, L$1,"rg:None")</f>
        <v>rg:None</v>
      </c>
      <c r="M348" s="14" t="str">
        <f>IF(Table2[[#This Row],[!Type]]=M$1, M$1,"rg:None")</f>
        <v>id</v>
      </c>
      <c r="N348" s="14" t="str">
        <f>IF(Table2[[#This Row],[!Type]]=N$1, N$1,"rg:None")</f>
        <v>rg:None</v>
      </c>
      <c r="O348" s="14" t="str">
        <f>IF(Table2[[#This Row],[!Type]]=O$1, O$1,"rg:None")</f>
        <v>rg:None</v>
      </c>
      <c r="P348" s="4" t="str">
        <f>IF(Table2[[#This Row],[!Type]]=P$1, P$1,"rg:None")</f>
        <v>rg:None</v>
      </c>
      <c r="Q348" s="4" t="str">
        <f>IF(Table2[[#This Row],[!Type]]=Q$1, Q$1,"rg:None")</f>
        <v>rg:None</v>
      </c>
      <c r="R348" s="4" t="str">
        <f>IF(Table2[[#This Row],[!Type]]=R$1, R$1,"rg:None")</f>
        <v>rg:None</v>
      </c>
      <c r="S348" s="4" t="str">
        <f>IF(Table2[[#This Row],[!Type]]=S$1, S$1,"rg:None")</f>
        <v>rg:None</v>
      </c>
      <c r="T348" s="14" t="str">
        <f>IF(LEN(Table2[[#This Row],[!Length]]) &gt; 0, Table2[[#This Row],[!Length]], "rg:None")</f>
        <v>rg:None</v>
      </c>
      <c r="U348" s="14" t="str">
        <f>IF(LEN(Table2[[#This Row],[!Name]]) &gt; 0, Table2[[#This Row],[!Name]], "rg:None")</f>
        <v>id</v>
      </c>
      <c r="V348" s="14" t="str">
        <f>IF(LEN(Table2[[#This Row],[!Description]]) &gt; 0, Table2[[#This Row],[!Description]], "rg:None")</f>
        <v>A system generated unique identifier for the ImportMap</v>
      </c>
      <c r="W348" s="14" t="str">
        <f>IF(LEN(Table2[[#This Row],[!FK]])&gt;0,Table2[[#This Row],[!FK]],"rg:None")</f>
        <v>rg:None</v>
      </c>
      <c r="X348" s="14" t="str">
        <f>IF(LEN(concatif2(A:A,Table2[[#This Row],[!Table]],G:G,"Y",D:D,",")) &gt; 0,"rg:[ { 'req' : '"&amp;concatif2(A:A,Table2[[#This Row],[!Table]],G:G,"Y",D:D,"' }, { 'req': '")&amp;"'} ]","rg:[]")</f>
        <v>rg:[ { 'req' : 'id' }, { 'req': 'oldTable' }, { 'req': 'newTable' }, { 'req': 'oldKey' }, { 'req': 'newKey'} ]</v>
      </c>
      <c r="Y348" s="14" t="str">
        <f>IF(LEN(Table2[[#This Row],[!Unique]])&gt;0,IF(Table2[[#This Row],[!Type]] = "id", "rg:None","rg:True"),"rg:None")</f>
        <v>rg:None</v>
      </c>
    </row>
    <row r="349" spans="1:25" x14ac:dyDescent="0.3">
      <c r="A349" s="164" t="s">
        <v>597</v>
      </c>
      <c r="B349" s="164" t="s">
        <v>7</v>
      </c>
      <c r="C349" s="72"/>
      <c r="D349" s="164" t="s">
        <v>598</v>
      </c>
      <c r="E349" s="165" t="s">
        <v>600</v>
      </c>
      <c r="F349" s="12"/>
      <c r="G349" s="166" t="s">
        <v>62</v>
      </c>
      <c r="H349" s="18"/>
      <c r="I349" s="4" t="str">
        <f t="shared" si="31"/>
        <v>Defs</v>
      </c>
      <c r="J349" s="14" t="str">
        <f>IF(Table2[[#This Row],[!Type]]=J$1, J$1,"rg:None")</f>
        <v>rg:None</v>
      </c>
      <c r="K349" s="14" t="str">
        <f>IF(Table2[[#This Row],[!Type]]=K$1, K$1,"rg:None")</f>
        <v>rg:None</v>
      </c>
      <c r="L349" s="14" t="str">
        <f>IF(Table2[[#This Row],[!Type]]=L$1, L$1,"rg:None")</f>
        <v>rg:None</v>
      </c>
      <c r="M349" s="14" t="str">
        <f>IF(Table2[[#This Row],[!Type]]=M$1, M$1,"rg:None")</f>
        <v>rg:None</v>
      </c>
      <c r="N349" s="14" t="str">
        <f>IF(Table2[[#This Row],[!Type]]=N$1, N$1,"rg:None")</f>
        <v>rg:None</v>
      </c>
      <c r="O349" s="14" t="str">
        <f>IF(Table2[[#This Row],[!Type]]=O$1, O$1,"rg:None")</f>
        <v>rg:None</v>
      </c>
      <c r="P349" s="4" t="str">
        <f>IF(Table2[[#This Row],[!Type]]=P$1, P$1,"rg:None")</f>
        <v>rg:None</v>
      </c>
      <c r="Q349" s="4" t="str">
        <f>IF(Table2[[#This Row],[!Type]]=Q$1, Q$1,"rg:None")</f>
        <v>rg:None</v>
      </c>
      <c r="R349" s="4" t="str">
        <f>IF(Table2[[#This Row],[!Type]]=R$1, R$1,"rg:None")</f>
        <v>string</v>
      </c>
      <c r="S349" s="4" t="str">
        <f>IF(Table2[[#This Row],[!Type]]=S$1, S$1,"rg:None")</f>
        <v>rg:None</v>
      </c>
      <c r="T349" s="14" t="str">
        <f>IF(LEN(Table2[[#This Row],[!Length]]) &gt; 0, Table2[[#This Row],[!Length]], "rg:None")</f>
        <v>rg:None</v>
      </c>
      <c r="U349" s="14" t="str">
        <f>IF(LEN(Table2[[#This Row],[!Name]]) &gt; 0, Table2[[#This Row],[!Name]], "rg:None")</f>
        <v>oldTable</v>
      </c>
      <c r="V349" s="14" t="str">
        <f>IF(LEN(Table2[[#This Row],[!Description]]) &gt; 0, Table2[[#This Row],[!Description]], "rg:None")</f>
        <v>Table name in old system</v>
      </c>
      <c r="W349" s="14" t="str">
        <f>IF(LEN(Table2[[#This Row],[!FK]])&gt;0,Table2[[#This Row],[!FK]],"rg:None")</f>
        <v>rg:None</v>
      </c>
      <c r="X349" s="14" t="str">
        <f>IF(LEN(concatif2(A:A,Table2[[#This Row],[!Table]],G:G,"Y",D:D,",")) &gt; 0,"rg:[ { 'req' : '"&amp;concatif2(A:A,Table2[[#This Row],[!Table]],G:G,"Y",D:D,"' }, { 'req': '")&amp;"'} ]","rg:[]")</f>
        <v>rg:[ { 'req' : 'id' }, { 'req': 'oldTable' }, { 'req': 'newTable' }, { 'req': 'oldKey' }, { 'req': 'newKey'} ]</v>
      </c>
      <c r="Y349" s="14" t="str">
        <f>IF(LEN(Table2[[#This Row],[!Unique]])&gt;0,IF(Table2[[#This Row],[!Type]] = "id", "rg:None","rg:True"),"rg:None")</f>
        <v>rg:None</v>
      </c>
    </row>
    <row r="350" spans="1:25" x14ac:dyDescent="0.3">
      <c r="A350" s="164" t="s">
        <v>597</v>
      </c>
      <c r="B350" s="164" t="s">
        <v>7</v>
      </c>
      <c r="C350" s="72"/>
      <c r="D350" s="164" t="s">
        <v>601</v>
      </c>
      <c r="E350" s="165" t="s">
        <v>602</v>
      </c>
      <c r="F350" s="12"/>
      <c r="G350" s="166" t="s">
        <v>62</v>
      </c>
      <c r="H350" s="18"/>
      <c r="I350" s="4" t="str">
        <f t="shared" si="31"/>
        <v>Defs</v>
      </c>
      <c r="J350" s="14" t="str">
        <f>IF(Table2[[#This Row],[!Type]]=J$1, J$1,"rg:None")</f>
        <v>rg:None</v>
      </c>
      <c r="K350" s="14" t="str">
        <f>IF(Table2[[#This Row],[!Type]]=K$1, K$1,"rg:None")</f>
        <v>rg:None</v>
      </c>
      <c r="L350" s="14" t="str">
        <f>IF(Table2[[#This Row],[!Type]]=L$1, L$1,"rg:None")</f>
        <v>rg:None</v>
      </c>
      <c r="M350" s="14" t="str">
        <f>IF(Table2[[#This Row],[!Type]]=M$1, M$1,"rg:None")</f>
        <v>rg:None</v>
      </c>
      <c r="N350" s="14" t="str">
        <f>IF(Table2[[#This Row],[!Type]]=N$1, N$1,"rg:None")</f>
        <v>rg:None</v>
      </c>
      <c r="O350" s="14" t="str">
        <f>IF(Table2[[#This Row],[!Type]]=O$1, O$1,"rg:None")</f>
        <v>rg:None</v>
      </c>
      <c r="P350" s="4" t="str">
        <f>IF(Table2[[#This Row],[!Type]]=P$1, P$1,"rg:None")</f>
        <v>rg:None</v>
      </c>
      <c r="Q350" s="4" t="str">
        <f>IF(Table2[[#This Row],[!Type]]=Q$1, Q$1,"rg:None")</f>
        <v>rg:None</v>
      </c>
      <c r="R350" s="4" t="str">
        <f>IF(Table2[[#This Row],[!Type]]=R$1, R$1,"rg:None")</f>
        <v>string</v>
      </c>
      <c r="S350" s="4" t="str">
        <f>IF(Table2[[#This Row],[!Type]]=S$1, S$1,"rg:None")</f>
        <v>rg:None</v>
      </c>
      <c r="T350" s="14" t="str">
        <f>IF(LEN(Table2[[#This Row],[!Length]]) &gt; 0, Table2[[#This Row],[!Length]], "rg:None")</f>
        <v>rg:None</v>
      </c>
      <c r="U350" s="14" t="str">
        <f>IF(LEN(Table2[[#This Row],[!Name]]) &gt; 0, Table2[[#This Row],[!Name]], "rg:None")</f>
        <v>newTable</v>
      </c>
      <c r="V350" s="14" t="str">
        <f>IF(LEN(Table2[[#This Row],[!Description]]) &gt; 0, Table2[[#This Row],[!Description]], "rg:None")</f>
        <v>Table name in new system.</v>
      </c>
      <c r="W350" s="14" t="str">
        <f>IF(LEN(Table2[[#This Row],[!FK]])&gt;0,Table2[[#This Row],[!FK]],"rg:None")</f>
        <v>rg:None</v>
      </c>
      <c r="X350" s="14" t="str">
        <f>IF(LEN(concatif2(A:A,Table2[[#This Row],[!Table]],G:G,"Y",D:D,",")) &gt; 0,"rg:[ { 'req' : '"&amp;concatif2(A:A,Table2[[#This Row],[!Table]],G:G,"Y",D:D,"' }, { 'req': '")&amp;"'} ]","rg:[]")</f>
        <v>rg:[ { 'req' : 'id' }, { 'req': 'oldTable' }, { 'req': 'newTable' }, { 'req': 'oldKey' }, { 'req': 'newKey'} ]</v>
      </c>
      <c r="Y350" s="14" t="str">
        <f>IF(LEN(Table2[[#This Row],[!Unique]])&gt;0,IF(Table2[[#This Row],[!Type]] = "id", "rg:None","rg:True"),"rg:None")</f>
        <v>rg:None</v>
      </c>
    </row>
    <row r="351" spans="1:25" x14ac:dyDescent="0.3">
      <c r="A351" s="164" t="s">
        <v>597</v>
      </c>
      <c r="B351" s="167" t="s">
        <v>7</v>
      </c>
      <c r="C351" s="72">
        <v>250</v>
      </c>
      <c r="D351" s="164" t="s">
        <v>603</v>
      </c>
      <c r="E351" s="165" t="s">
        <v>604</v>
      </c>
      <c r="F351" s="12"/>
      <c r="G351" s="166" t="s">
        <v>62</v>
      </c>
      <c r="H351" s="18"/>
      <c r="I351" s="4" t="str">
        <f t="shared" si="31"/>
        <v>Defs</v>
      </c>
      <c r="J351" s="14" t="str">
        <f>IF(Table2[[#This Row],[!Type]]=J$1, J$1,"rg:None")</f>
        <v>rg:None</v>
      </c>
      <c r="K351" s="14" t="str">
        <f>IF(Table2[[#This Row],[!Type]]=K$1, K$1,"rg:None")</f>
        <v>rg:None</v>
      </c>
      <c r="L351" s="14" t="str">
        <f>IF(Table2[[#This Row],[!Type]]=L$1, L$1,"rg:None")</f>
        <v>rg:None</v>
      </c>
      <c r="M351" s="14" t="str">
        <f>IF(Table2[[#This Row],[!Type]]=M$1, M$1,"rg:None")</f>
        <v>rg:None</v>
      </c>
      <c r="N351" s="14" t="str">
        <f>IF(Table2[[#This Row],[!Type]]=N$1, N$1,"rg:None")</f>
        <v>rg:None</v>
      </c>
      <c r="O351" s="14" t="str">
        <f>IF(Table2[[#This Row],[!Type]]=O$1, O$1,"rg:None")</f>
        <v>rg:None</v>
      </c>
      <c r="P351" s="4" t="str">
        <f>IF(Table2[[#This Row],[!Type]]=P$1, P$1,"rg:None")</f>
        <v>rg:None</v>
      </c>
      <c r="Q351" s="4" t="str">
        <f>IF(Table2[[#This Row],[!Type]]=Q$1, Q$1,"rg:None")</f>
        <v>rg:None</v>
      </c>
      <c r="R351" s="4" t="str">
        <f>IF(Table2[[#This Row],[!Type]]=R$1, R$1,"rg:None")</f>
        <v>string</v>
      </c>
      <c r="S351" s="4" t="str">
        <f>IF(Table2[[#This Row],[!Type]]=S$1, S$1,"rg:None")</f>
        <v>rg:None</v>
      </c>
      <c r="T351" s="14">
        <f>IF(LEN(Table2[[#This Row],[!Length]]) &gt; 0, Table2[[#This Row],[!Length]], "rg:None")</f>
        <v>250</v>
      </c>
      <c r="U351" s="14" t="str">
        <f>IF(LEN(Table2[[#This Row],[!Name]]) &gt; 0, Table2[[#This Row],[!Name]], "rg:None")</f>
        <v>oldKey</v>
      </c>
      <c r="V351" s="14" t="str">
        <f>IF(LEN(Table2[[#This Row],[!Description]]) &gt; 0, Table2[[#This Row],[!Description]], "rg:None")</f>
        <v>Old primary key for record</v>
      </c>
      <c r="W351" s="14" t="str">
        <f>IF(LEN(Table2[[#This Row],[!FK]])&gt;0,Table2[[#This Row],[!FK]],"rg:None")</f>
        <v>rg:None</v>
      </c>
      <c r="X351" s="14" t="str">
        <f>IF(LEN(concatif2(A:A,Table2[[#This Row],[!Table]],G:G,"Y",D:D,",")) &gt; 0,"rg:[ { 'req' : '"&amp;concatif2(A:A,Table2[[#This Row],[!Table]],G:G,"Y",D:D,"' }, { 'req': '")&amp;"'} ]","rg:[]")</f>
        <v>rg:[ { 'req' : 'id' }, { 'req': 'oldTable' }, { 'req': 'newTable' }, { 'req': 'oldKey' }, { 'req': 'newKey'} ]</v>
      </c>
      <c r="Y351" s="14" t="str">
        <f>IF(LEN(Table2[[#This Row],[!Unique]])&gt;0,IF(Table2[[#This Row],[!Type]] = "id", "rg:None","rg:True"),"rg:None")</f>
        <v>rg:None</v>
      </c>
    </row>
    <row r="352" spans="1:25" x14ac:dyDescent="0.3">
      <c r="A352" s="164" t="s">
        <v>597</v>
      </c>
      <c r="B352" s="164" t="s">
        <v>13</v>
      </c>
      <c r="C352" s="72"/>
      <c r="D352" s="164" t="s">
        <v>605</v>
      </c>
      <c r="E352" s="165" t="s">
        <v>606</v>
      </c>
      <c r="F352" s="12"/>
      <c r="G352" s="166" t="s">
        <v>62</v>
      </c>
      <c r="H352" s="18"/>
      <c r="I352" s="4" t="str">
        <f t="shared" si="31"/>
        <v>Defs</v>
      </c>
      <c r="J352" s="14" t="str">
        <f>IF(Table2[[#This Row],[!Type]]=J$1, J$1,"rg:None")</f>
        <v>rg:None</v>
      </c>
      <c r="K352" s="14" t="str">
        <f>IF(Table2[[#This Row],[!Type]]=K$1, K$1,"rg:None")</f>
        <v>rg:None</v>
      </c>
      <c r="L352" s="14" t="str">
        <f>IF(Table2[[#This Row],[!Type]]=L$1, L$1,"rg:None")</f>
        <v>rg:None</v>
      </c>
      <c r="M352" s="14" t="str">
        <f>IF(Table2[[#This Row],[!Type]]=M$1, M$1,"rg:None")</f>
        <v>rg:None</v>
      </c>
      <c r="N352" s="14" t="str">
        <f>IF(Table2[[#This Row],[!Type]]=N$1, N$1,"rg:None")</f>
        <v>integer</v>
      </c>
      <c r="O352" s="14" t="str">
        <f>IF(Table2[[#This Row],[!Type]]=O$1, O$1,"rg:None")</f>
        <v>rg:None</v>
      </c>
      <c r="P352" s="4" t="str">
        <f>IF(Table2[[#This Row],[!Type]]=P$1, P$1,"rg:None")</f>
        <v>rg:None</v>
      </c>
      <c r="Q352" s="4" t="str">
        <f>IF(Table2[[#This Row],[!Type]]=Q$1, Q$1,"rg:None")</f>
        <v>rg:None</v>
      </c>
      <c r="R352" s="4" t="str">
        <f>IF(Table2[[#This Row],[!Type]]=R$1, R$1,"rg:None")</f>
        <v>rg:None</v>
      </c>
      <c r="S352" s="4" t="str">
        <f>IF(Table2[[#This Row],[!Type]]=S$1, S$1,"rg:None")</f>
        <v>rg:None</v>
      </c>
      <c r="T352" s="14" t="str">
        <f>IF(LEN(Table2[[#This Row],[!Length]]) &gt; 0, Table2[[#This Row],[!Length]], "rg:None")</f>
        <v>rg:None</v>
      </c>
      <c r="U352" s="14" t="str">
        <f>IF(LEN(Table2[[#This Row],[!Name]]) &gt; 0, Table2[[#This Row],[!Name]], "rg:None")</f>
        <v>newKey</v>
      </c>
      <c r="V352" s="14" t="str">
        <f>IF(LEN(Table2[[#This Row],[!Description]]) &gt; 0, Table2[[#This Row],[!Description]], "rg:None")</f>
        <v>New primary key for record</v>
      </c>
      <c r="W352" s="14" t="str">
        <f>IF(LEN(Table2[[#This Row],[!FK]])&gt;0,Table2[[#This Row],[!FK]],"rg:None")</f>
        <v>rg:None</v>
      </c>
      <c r="X352" s="14" t="str">
        <f>IF(LEN(concatif2(A:A,Table2[[#This Row],[!Table]],G:G,"Y",D:D,",")) &gt; 0,"rg:[ { 'req' : '"&amp;concatif2(A:A,Table2[[#This Row],[!Table]],G:G,"Y",D:D,"' }, { 'req': '")&amp;"'} ]","rg:[]")</f>
        <v>rg:[ { 'req' : 'id' }, { 'req': 'oldTable' }, { 'req': 'newTable' }, { 'req': 'oldKey' }, { 'req': 'newKey'} ]</v>
      </c>
      <c r="Y352" s="14" t="str">
        <f>IF(LEN(Table2[[#This Row],[!Unique]])&gt;0,IF(Table2[[#This Row],[!Type]] = "id", "rg:None","rg:True"),"rg:None")</f>
        <v>rg:None</v>
      </c>
    </row>
    <row r="353" spans="1:25" x14ac:dyDescent="0.3">
      <c r="A353" s="168" t="s">
        <v>459</v>
      </c>
      <c r="B353" s="168"/>
      <c r="C353" s="168"/>
      <c r="D353" s="168"/>
      <c r="E353" s="169"/>
      <c r="F353" s="169"/>
      <c r="G353" s="168"/>
      <c r="H353" s="168"/>
      <c r="I353" s="8"/>
      <c r="J353" s="8"/>
      <c r="K353" s="8"/>
      <c r="L353" s="8"/>
      <c r="M353" s="8"/>
      <c r="N353" s="8"/>
      <c r="O353" s="8"/>
      <c r="P353" s="8"/>
      <c r="Q353" s="8"/>
      <c r="R353" s="8"/>
      <c r="S353" s="8"/>
      <c r="T353" s="8"/>
      <c r="U353" s="8"/>
      <c r="V353" s="8"/>
      <c r="W353" s="8"/>
      <c r="Y353" s="8">
        <f>SUBTOTAL(103,Table2[Unique])</f>
        <v>351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592</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594</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593</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593</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578</v>
      </c>
      <c r="C6" s="145" t="s">
        <v>567</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578</v>
      </c>
      <c r="C7" s="145" t="s">
        <v>567</v>
      </c>
      <c r="D7" s="146" t="s">
        <v>567</v>
      </c>
      <c r="E7" s="146" t="s">
        <v>593</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593</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591</v>
      </c>
      <c r="C10" s="142" t="s">
        <v>572</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591</v>
      </c>
      <c r="C11" s="142" t="s">
        <v>572</v>
      </c>
      <c r="D11" s="142" t="s">
        <v>572</v>
      </c>
      <c r="E11" s="142" t="s">
        <v>593</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593</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593</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589</v>
      </c>
      <c r="C16" s="155" t="s">
        <v>590</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589</v>
      </c>
      <c r="C17" s="155" t="s">
        <v>590</v>
      </c>
      <c r="D17" s="155" t="s">
        <v>590</v>
      </c>
      <c r="E17" s="152" t="s">
        <v>593</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593</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593</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593</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593</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460</v>
      </c>
      <c r="E22" s="44" t="s">
        <v>593</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593</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593</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593</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593</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593</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593</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593</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593</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593</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593</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593</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593</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593</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593</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593</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503</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503</v>
      </c>
      <c r="C48" t="s">
        <v>59</v>
      </c>
      <c r="D48" s="36" t="s">
        <v>59</v>
      </c>
      <c r="E48" s="44" t="s">
        <v>593</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513</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513</v>
      </c>
      <c r="C50" t="s">
        <v>160</v>
      </c>
      <c r="D50" s="36" t="s">
        <v>160</v>
      </c>
      <c r="E50" s="44" t="s">
        <v>593</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504</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504</v>
      </c>
      <c r="C52" t="s">
        <v>198</v>
      </c>
      <c r="D52" s="36" t="s">
        <v>198</v>
      </c>
      <c r="E52" s="44" t="s">
        <v>593</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505</v>
      </c>
      <c r="C53" t="s">
        <v>475</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505</v>
      </c>
      <c r="C54" t="s">
        <v>475</v>
      </c>
      <c r="D54" s="36" t="s">
        <v>475</v>
      </c>
      <c r="E54" s="45" t="s">
        <v>593</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506</v>
      </c>
      <c r="C55" t="s">
        <v>462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506</v>
      </c>
      <c r="C56" t="s">
        <v>462</v>
      </c>
      <c r="D56" s="36" t="s">
        <v>462</v>
      </c>
      <c r="E56" s="45" t="s">
        <v>593</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507</v>
      </c>
      <c r="C57" t="s">
        <v>427</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507</v>
      </c>
      <c r="C58" t="s">
        <v>427</v>
      </c>
      <c r="D58" s="36" t="s">
        <v>427</v>
      </c>
      <c r="E58" s="45" t="s">
        <v>593</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508</v>
      </c>
      <c r="C59" t="s">
        <v>445</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508</v>
      </c>
      <c r="C60" t="s">
        <v>445</v>
      </c>
      <c r="D60" s="36" t="s">
        <v>445</v>
      </c>
      <c r="E60" s="44" t="s">
        <v>593</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509</v>
      </c>
      <c r="C61" t="s">
        <v>428</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509</v>
      </c>
      <c r="C62" t="s">
        <v>428</v>
      </c>
      <c r="D62" s="36" t="s">
        <v>428</v>
      </c>
      <c r="E62" s="44" t="s">
        <v>593</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593</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510</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510</v>
      </c>
      <c r="C66" t="s">
        <v>147</v>
      </c>
      <c r="D66" s="36" t="s">
        <v>147</v>
      </c>
      <c r="E66" s="45" t="s">
        <v>593</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511</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511</v>
      </c>
      <c r="C68" t="s">
        <v>201</v>
      </c>
      <c r="D68" s="36" t="s">
        <v>201</v>
      </c>
      <c r="E68" s="45" t="s">
        <v>593</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512</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512</v>
      </c>
      <c r="C70" t="s">
        <v>22</v>
      </c>
      <c r="D70" s="36" t="s">
        <v>22</v>
      </c>
      <c r="E70" s="45" t="s">
        <v>593</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593</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593</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George Walker</cp:lastModifiedBy>
  <cp:lastPrinted>2015-09-01T04:09:57Z</cp:lastPrinted>
  <dcterms:created xsi:type="dcterms:W3CDTF">2014-10-09T20:48:06Z</dcterms:created>
  <dcterms:modified xsi:type="dcterms:W3CDTF">2018-01-17T04:07:42Z</dcterms:modified>
</cp:coreProperties>
</file>