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830" codeName="{861861EC-F77C-3E69-5087-FD670AB338C4}"/>
  <workbookPr showInkAnnotation="0" codeName="ThisWorkbook" autoCompressPictures="0"/>
  <mc:AlternateContent xmlns:mc="http://schemas.openxmlformats.org/markup-compatibility/2006">
    <mc:Choice Requires="x15">
      <x15ac:absPath xmlns:x15ac="http://schemas.microsoft.com/office/spreadsheetml/2010/11/ac" url="C:\Users\swcur\moti\hets\APISpec\in\"/>
    </mc:Choice>
  </mc:AlternateContent>
  <bookViews>
    <workbookView xWindow="0" yWindow="0" windowWidth="16505" windowHeight="6657" tabRatio="701"/>
  </bookViews>
  <sheets>
    <sheet name="defs.csv" sheetId="27" r:id="rId1"/>
    <sheet name="paths.csv" sheetId="30" r:id="rId2"/>
    <sheet name="model.csv" sheetId="29" r:id="rId3"/>
    <sheet name="api.csv" sheetId="31" r:id="rId4"/>
  </sheets>
  <functionGroups builtInGroupCount="18"/>
  <definedNames>
    <definedName name="_xlnm._FilterDatabase" localSheetId="0" hidden="1">defs.csv!$A$1:$Y$340</definedName>
    <definedName name="_xlnm._FilterDatabase" localSheetId="1" hidden="1">paths.csv!$A$1:$G$70</definedName>
  </definedNames>
  <calcPr calcId="171027"/>
</workbook>
</file>

<file path=xl/calcChain.xml><?xml version="1.0" encoding="utf-8"?>
<calcChain xmlns="http://schemas.openxmlformats.org/spreadsheetml/2006/main">
  <c r="I311" i="27" l="1"/>
  <c r="J311" i="27"/>
  <c r="K311" i="27"/>
  <c r="L311" i="27"/>
  <c r="M311" i="27"/>
  <c r="N311" i="27"/>
  <c r="O311" i="27"/>
  <c r="P311" i="27"/>
  <c r="Q311" i="27"/>
  <c r="R311" i="27"/>
  <c r="S311" i="27"/>
  <c r="T311" i="27"/>
  <c r="U311" i="27"/>
  <c r="V311" i="27"/>
  <c r="W311" i="27"/>
  <c r="Y311" i="27"/>
  <c r="I121" i="27"/>
  <c r="J121" i="27"/>
  <c r="K121" i="27"/>
  <c r="L121" i="27"/>
  <c r="M121" i="27"/>
  <c r="N121" i="27"/>
  <c r="O121" i="27"/>
  <c r="P121" i="27"/>
  <c r="Q121" i="27"/>
  <c r="R121" i="27"/>
  <c r="S121" i="27"/>
  <c r="T121" i="27"/>
  <c r="U121" i="27"/>
  <c r="V121" i="27"/>
  <c r="W121" i="27"/>
  <c r="Y121" i="27"/>
  <c r="I34" i="27"/>
  <c r="J34" i="27"/>
  <c r="K34" i="27"/>
  <c r="L34" i="27"/>
  <c r="M34" i="27"/>
  <c r="N34" i="27"/>
  <c r="O34" i="27"/>
  <c r="P34" i="27"/>
  <c r="Q34" i="27"/>
  <c r="R34" i="27"/>
  <c r="S34" i="27"/>
  <c r="T34" i="27"/>
  <c r="U34" i="27"/>
  <c r="V34" i="27"/>
  <c r="W34" i="27"/>
  <c r="Y34" i="27"/>
  <c r="X311" i="27"/>
  <c r="X121" i="27"/>
  <c r="X34" i="27"/>
  <c r="I340" i="27" l="1"/>
  <c r="J340" i="27"/>
  <c r="K340" i="27"/>
  <c r="L340" i="27"/>
  <c r="M340" i="27"/>
  <c r="N340" i="27"/>
  <c r="O340" i="27"/>
  <c r="P340" i="27"/>
  <c r="Q340" i="27"/>
  <c r="R340" i="27"/>
  <c r="S340" i="27"/>
  <c r="T340" i="27"/>
  <c r="U340" i="27"/>
  <c r="V340" i="27"/>
  <c r="W340" i="27"/>
  <c r="Y340" i="27"/>
  <c r="I339" i="27"/>
  <c r="J339" i="27"/>
  <c r="K339" i="27"/>
  <c r="L339" i="27"/>
  <c r="M339" i="27"/>
  <c r="N339" i="27"/>
  <c r="O339" i="27"/>
  <c r="P339" i="27"/>
  <c r="Q339" i="27"/>
  <c r="R339" i="27"/>
  <c r="S339" i="27"/>
  <c r="T339" i="27"/>
  <c r="U339" i="27"/>
  <c r="V339" i="27"/>
  <c r="W339" i="27"/>
  <c r="Y339" i="27"/>
  <c r="I338" i="27"/>
  <c r="J338" i="27"/>
  <c r="K338" i="27"/>
  <c r="L338" i="27"/>
  <c r="M338" i="27"/>
  <c r="N338" i="27"/>
  <c r="O338" i="27"/>
  <c r="P338" i="27"/>
  <c r="Q338" i="27"/>
  <c r="R338" i="27"/>
  <c r="S338" i="27"/>
  <c r="T338" i="27"/>
  <c r="U338" i="27"/>
  <c r="V338" i="27"/>
  <c r="W338" i="27"/>
  <c r="Y338" i="27"/>
  <c r="I337" i="27"/>
  <c r="J337" i="27"/>
  <c r="K337" i="27"/>
  <c r="L337" i="27"/>
  <c r="M337" i="27"/>
  <c r="N337" i="27"/>
  <c r="O337" i="27"/>
  <c r="P337" i="27"/>
  <c r="Q337" i="27"/>
  <c r="R337" i="27"/>
  <c r="S337" i="27"/>
  <c r="T337" i="27"/>
  <c r="U337" i="27"/>
  <c r="V337" i="27"/>
  <c r="W337" i="27"/>
  <c r="Y337" i="27"/>
  <c r="I336" i="27"/>
  <c r="J336" i="27"/>
  <c r="K336" i="27"/>
  <c r="L336" i="27"/>
  <c r="M336" i="27"/>
  <c r="N336" i="27"/>
  <c r="O336" i="27"/>
  <c r="P336" i="27"/>
  <c r="Q336" i="27"/>
  <c r="R336" i="27"/>
  <c r="S336" i="27"/>
  <c r="T336" i="27"/>
  <c r="U336" i="27"/>
  <c r="V336" i="27"/>
  <c r="W336" i="27"/>
  <c r="Y336" i="27"/>
  <c r="I335" i="27"/>
  <c r="J335" i="27"/>
  <c r="K335" i="27"/>
  <c r="L335" i="27"/>
  <c r="M335" i="27"/>
  <c r="N335" i="27"/>
  <c r="O335" i="27"/>
  <c r="P335" i="27"/>
  <c r="Q335" i="27"/>
  <c r="R335" i="27"/>
  <c r="S335" i="27"/>
  <c r="T335" i="27"/>
  <c r="U335" i="27"/>
  <c r="V335" i="27"/>
  <c r="W335" i="27"/>
  <c r="Y335" i="27"/>
  <c r="X340" i="27"/>
  <c r="X336" i="27"/>
  <c r="X335" i="27"/>
  <c r="X338" i="27"/>
  <c r="X337" i="27"/>
  <c r="X339" i="27"/>
  <c r="I26" i="27" l="1"/>
  <c r="J26" i="27"/>
  <c r="K26" i="27"/>
  <c r="L26" i="27"/>
  <c r="M26" i="27"/>
  <c r="N26" i="27"/>
  <c r="O26" i="27"/>
  <c r="P26" i="27"/>
  <c r="Q26" i="27"/>
  <c r="R26" i="27"/>
  <c r="S26" i="27"/>
  <c r="T26" i="27"/>
  <c r="U26" i="27"/>
  <c r="V26" i="27"/>
  <c r="W26" i="27"/>
  <c r="Y26" i="27"/>
  <c r="X26" i="27"/>
  <c r="I78" i="27" l="1"/>
  <c r="J78" i="27"/>
  <c r="K78" i="27"/>
  <c r="L78" i="27"/>
  <c r="M78" i="27"/>
  <c r="N78" i="27"/>
  <c r="O78" i="27"/>
  <c r="P78" i="27"/>
  <c r="Q78" i="27"/>
  <c r="R78" i="27"/>
  <c r="S78" i="27"/>
  <c r="T78" i="27"/>
  <c r="U78" i="27"/>
  <c r="V78" i="27"/>
  <c r="W78" i="27"/>
  <c r="Y78" i="27"/>
  <c r="Y196" i="27"/>
  <c r="W196" i="27"/>
  <c r="V196" i="27"/>
  <c r="U196" i="27"/>
  <c r="T196" i="27"/>
  <c r="S196" i="27"/>
  <c r="R196" i="27"/>
  <c r="Q196" i="27"/>
  <c r="P196" i="27"/>
  <c r="O196" i="27"/>
  <c r="N196" i="27"/>
  <c r="M196" i="27"/>
  <c r="L196" i="27"/>
  <c r="K196" i="27"/>
  <c r="J196" i="27"/>
  <c r="I196" i="27"/>
  <c r="Y195" i="27"/>
  <c r="W195" i="27"/>
  <c r="V195" i="27"/>
  <c r="U195" i="27"/>
  <c r="T195" i="27"/>
  <c r="S195" i="27"/>
  <c r="R195" i="27"/>
  <c r="Q195" i="27"/>
  <c r="P195" i="27"/>
  <c r="O195" i="27"/>
  <c r="N195" i="27"/>
  <c r="M195" i="27"/>
  <c r="L195" i="27"/>
  <c r="K195" i="27"/>
  <c r="J195" i="27"/>
  <c r="I195" i="27"/>
  <c r="X196" i="27"/>
  <c r="X195" i="27"/>
  <c r="X78" i="27"/>
  <c r="Y2" i="27" l="1"/>
  <c r="Y3" i="27"/>
  <c r="Y4" i="27"/>
  <c r="Y5" i="27"/>
  <c r="Y6" i="27"/>
  <c r="Y7" i="27"/>
  <c r="Y8" i="27"/>
  <c r="Y9" i="27"/>
  <c r="Y10" i="27"/>
  <c r="Y11" i="27"/>
  <c r="Y12" i="27"/>
  <c r="Y13" i="27"/>
  <c r="Y14" i="27"/>
  <c r="Y15" i="27"/>
  <c r="Y16" i="27"/>
  <c r="Y17" i="27"/>
  <c r="Y18" i="27"/>
  <c r="Y19" i="27"/>
  <c r="Y20" i="27"/>
  <c r="Y21" i="27"/>
  <c r="Y22" i="27"/>
  <c r="Y23" i="27"/>
  <c r="Y24" i="27"/>
  <c r="Y25" i="27"/>
  <c r="Y27" i="27"/>
  <c r="Y28" i="27"/>
  <c r="Y29" i="27"/>
  <c r="Y30" i="27"/>
  <c r="Y31" i="27"/>
  <c r="Y32" i="27"/>
  <c r="Y33" i="27"/>
  <c r="Y35" i="27"/>
  <c r="Y36" i="27"/>
  <c r="Y37" i="27"/>
  <c r="Y38" i="27"/>
  <c r="Y39" i="27"/>
  <c r="Y40" i="27"/>
  <c r="Y41" i="27"/>
  <c r="Y42" i="27"/>
  <c r="Y43" i="27"/>
  <c r="Y44" i="27"/>
  <c r="Y45" i="27"/>
  <c r="Y46" i="27"/>
  <c r="Y47" i="27"/>
  <c r="Y48" i="27"/>
  <c r="Y49" i="27"/>
  <c r="Y50" i="27"/>
  <c r="Y51" i="27"/>
  <c r="Y52" i="27"/>
  <c r="Y53" i="27"/>
  <c r="Y54" i="27"/>
  <c r="Y55" i="27"/>
  <c r="Y56" i="27"/>
  <c r="Y57" i="27"/>
  <c r="Y58" i="27"/>
  <c r="Y59" i="27"/>
  <c r="Y60" i="27"/>
  <c r="Y61" i="27"/>
  <c r="Y62" i="27"/>
  <c r="Y63" i="27"/>
  <c r="Y64" i="27"/>
  <c r="Y65" i="27"/>
  <c r="Y66" i="27"/>
  <c r="Y67" i="27"/>
  <c r="Y68" i="27"/>
  <c r="Y69" i="27"/>
  <c r="Y70" i="27"/>
  <c r="Y71" i="27"/>
  <c r="Y72" i="27"/>
  <c r="Y73" i="27"/>
  <c r="Y74" i="27"/>
  <c r="Y75" i="27"/>
  <c r="Y76" i="27"/>
  <c r="Y77" i="27"/>
  <c r="Y79" i="27"/>
  <c r="Y80" i="27"/>
  <c r="Y81" i="27"/>
  <c r="Y82" i="27"/>
  <c r="Y83" i="27"/>
  <c r="Y84" i="27"/>
  <c r="Y85" i="27"/>
  <c r="Y86" i="27"/>
  <c r="Y87" i="27"/>
  <c r="Y88" i="27"/>
  <c r="Y89" i="27"/>
  <c r="Y90" i="27"/>
  <c r="Y91" i="27"/>
  <c r="Y92" i="27"/>
  <c r="Y93" i="27"/>
  <c r="Y94" i="27"/>
  <c r="Y95" i="27"/>
  <c r="Y96" i="27"/>
  <c r="Y97" i="27"/>
  <c r="Y98" i="27"/>
  <c r="Y99" i="27"/>
  <c r="Y100" i="27"/>
  <c r="Y101" i="27"/>
  <c r="Y102" i="27"/>
  <c r="Y103" i="27"/>
  <c r="Y104" i="27"/>
  <c r="Y105" i="27"/>
  <c r="Y106" i="27"/>
  <c r="Y107" i="27"/>
  <c r="Y108" i="27"/>
  <c r="Y109" i="27"/>
  <c r="Y110" i="27"/>
  <c r="Y111" i="27"/>
  <c r="Y112" i="27"/>
  <c r="Y113" i="27"/>
  <c r="Y114" i="27"/>
  <c r="Y115" i="27"/>
  <c r="Y116" i="27"/>
  <c r="Y117" i="27"/>
  <c r="Y118" i="27"/>
  <c r="Y119" i="27"/>
  <c r="Y120" i="27"/>
  <c r="Y122" i="27"/>
  <c r="Y123" i="27"/>
  <c r="Y124" i="27"/>
  <c r="Y125" i="27"/>
  <c r="Y126" i="27"/>
  <c r="Y127" i="27"/>
  <c r="Y128" i="27"/>
  <c r="Y129" i="27"/>
  <c r="Y130" i="27"/>
  <c r="Y131" i="27"/>
  <c r="Y132" i="27"/>
  <c r="Y133" i="27"/>
  <c r="Y134" i="27"/>
  <c r="Y135" i="27"/>
  <c r="Y136" i="27"/>
  <c r="Y137" i="27"/>
  <c r="Y138" i="27"/>
  <c r="Y139" i="27"/>
  <c r="Y140" i="27"/>
  <c r="Y141" i="27"/>
  <c r="Y142" i="27"/>
  <c r="Y143" i="27"/>
  <c r="Y144" i="27"/>
  <c r="Y145" i="27"/>
  <c r="Y146" i="27"/>
  <c r="Y147" i="27"/>
  <c r="Y148" i="27"/>
  <c r="Y149" i="27"/>
  <c r="Y150" i="27"/>
  <c r="Y151" i="27"/>
  <c r="Y152" i="27"/>
  <c r="Y153" i="27"/>
  <c r="Y154" i="27"/>
  <c r="Y155" i="27"/>
  <c r="Y156" i="27"/>
  <c r="Y157" i="27"/>
  <c r="Y158" i="27"/>
  <c r="Y159" i="27"/>
  <c r="Y160" i="27"/>
  <c r="Y161" i="27"/>
  <c r="Y162" i="27"/>
  <c r="Y163" i="27"/>
  <c r="Y164" i="27"/>
  <c r="Y165" i="27"/>
  <c r="Y166" i="27"/>
  <c r="Y167" i="27"/>
  <c r="Y168" i="27"/>
  <c r="Y169" i="27"/>
  <c r="Y170" i="27"/>
  <c r="Y171" i="27"/>
  <c r="Y172" i="27"/>
  <c r="Y173" i="27"/>
  <c r="Y174" i="27"/>
  <c r="Y175" i="27"/>
  <c r="Y176" i="27"/>
  <c r="Y177" i="27"/>
  <c r="Y178" i="27"/>
  <c r="Y179" i="27"/>
  <c r="Y180" i="27"/>
  <c r="Y181" i="27"/>
  <c r="Y182" i="27"/>
  <c r="Y183" i="27"/>
  <c r="Y184" i="27"/>
  <c r="Y185" i="27"/>
  <c r="Y186" i="27"/>
  <c r="Y187" i="27"/>
  <c r="Y188" i="27"/>
  <c r="Y189" i="27"/>
  <c r="Y190" i="27"/>
  <c r="Y191" i="27"/>
  <c r="Y192" i="27"/>
  <c r="Y193" i="27"/>
  <c r="Y194" i="27"/>
  <c r="Y197" i="27"/>
  <c r="Y198" i="27"/>
  <c r="Y199" i="27"/>
  <c r="Y200" i="27"/>
  <c r="Y201" i="27"/>
  <c r="Y202" i="27"/>
  <c r="Y203" i="27"/>
  <c r="Y204" i="27"/>
  <c r="Y205" i="27"/>
  <c r="Y206" i="27"/>
  <c r="Y207" i="27"/>
  <c r="Y208" i="27"/>
  <c r="Y209" i="27"/>
  <c r="Y210" i="27"/>
  <c r="Y211" i="27"/>
  <c r="Y212" i="27"/>
  <c r="Y213" i="27"/>
  <c r="Y214" i="27"/>
  <c r="Y215" i="27"/>
  <c r="Y216" i="27"/>
  <c r="Y217" i="27"/>
  <c r="Y218" i="27"/>
  <c r="Y219" i="27"/>
  <c r="Y220" i="27"/>
  <c r="Y221" i="27"/>
  <c r="Y222" i="27"/>
  <c r="Y223" i="27"/>
  <c r="Y224" i="27"/>
  <c r="Y225" i="27"/>
  <c r="Y226" i="27"/>
  <c r="Y227" i="27"/>
  <c r="Y228" i="27"/>
  <c r="Y229" i="27"/>
  <c r="Y230" i="27"/>
  <c r="Y231" i="27"/>
  <c r="Y232" i="27"/>
  <c r="Y233" i="27"/>
  <c r="Y234" i="27"/>
  <c r="Y235" i="27"/>
  <c r="Y236" i="27"/>
  <c r="Y237" i="27"/>
  <c r="Y238" i="27"/>
  <c r="Y239" i="27"/>
  <c r="Y240" i="27"/>
  <c r="Y241" i="27"/>
  <c r="Y242" i="27"/>
  <c r="Y243" i="27"/>
  <c r="Y244" i="27"/>
  <c r="Y245" i="27"/>
  <c r="Y246" i="27"/>
  <c r="Y247" i="27"/>
  <c r="Y248" i="27"/>
  <c r="Y249" i="27"/>
  <c r="Y250" i="27"/>
  <c r="Y251" i="27"/>
  <c r="Y252" i="27"/>
  <c r="Y253" i="27"/>
  <c r="Y254" i="27"/>
  <c r="Y255" i="27"/>
  <c r="Y256" i="27"/>
  <c r="Y257" i="27"/>
  <c r="Y258" i="27"/>
  <c r="Y259" i="27"/>
  <c r="Y260" i="27"/>
  <c r="Y261" i="27"/>
  <c r="Y262" i="27"/>
  <c r="Y263" i="27"/>
  <c r="Y264" i="27"/>
  <c r="Y265" i="27"/>
  <c r="Y266" i="27"/>
  <c r="Y267" i="27"/>
  <c r="Y268" i="27"/>
  <c r="Y269" i="27"/>
  <c r="Y270" i="27"/>
  <c r="Y271" i="27"/>
  <c r="Y272" i="27"/>
  <c r="Y273" i="27"/>
  <c r="Y274" i="27"/>
  <c r="Y275" i="27"/>
  <c r="Y276" i="27"/>
  <c r="Y277" i="27"/>
  <c r="Y278" i="27"/>
  <c r="Y279" i="27"/>
  <c r="Y280" i="27"/>
  <c r="Y281" i="27"/>
  <c r="Y282" i="27"/>
  <c r="Y283" i="27"/>
  <c r="Y284" i="27"/>
  <c r="Y285" i="27"/>
  <c r="Y286" i="27"/>
  <c r="Y287" i="27"/>
  <c r="Y288" i="27"/>
  <c r="Y289" i="27"/>
  <c r="Y290" i="27"/>
  <c r="Y291" i="27"/>
  <c r="Y292" i="27"/>
  <c r="Y293" i="27"/>
  <c r="Y294" i="27"/>
  <c r="Y295" i="27"/>
  <c r="Y296" i="27"/>
  <c r="Y297" i="27"/>
  <c r="Y298" i="27"/>
  <c r="Y299" i="27"/>
  <c r="Y300" i="27"/>
  <c r="Y301" i="27"/>
  <c r="Y302" i="27"/>
  <c r="Y303" i="27"/>
  <c r="Y304" i="27"/>
  <c r="Y305" i="27"/>
  <c r="Y306" i="27"/>
  <c r="Y307" i="27"/>
  <c r="Y308" i="27"/>
  <c r="Y309" i="27"/>
  <c r="Y310" i="27"/>
  <c r="Y312" i="27"/>
  <c r="Y313" i="27"/>
  <c r="Y314" i="27"/>
  <c r="Y315" i="27"/>
  <c r="Y316" i="27"/>
  <c r="Y317" i="27"/>
  <c r="Y318" i="27"/>
  <c r="Y319" i="27"/>
  <c r="Y320" i="27"/>
  <c r="Y321" i="27"/>
  <c r="Y322" i="27"/>
  <c r="Y323" i="27"/>
  <c r="Y324" i="27"/>
  <c r="Y325" i="27"/>
  <c r="Y326" i="27"/>
  <c r="Y327" i="27"/>
  <c r="Y328" i="27"/>
  <c r="Y329" i="27"/>
  <c r="Y330" i="27"/>
  <c r="Y331" i="27"/>
  <c r="Y332" i="27"/>
  <c r="Y333" i="27"/>
  <c r="Y334" i="27"/>
  <c r="V3" i="30" l="1"/>
  <c r="V4" i="30"/>
  <c r="V5" i="30"/>
  <c r="V6" i="30"/>
  <c r="V7" i="30"/>
  <c r="V8" i="30"/>
  <c r="V9" i="30"/>
  <c r="V10" i="30"/>
  <c r="V11" i="30"/>
  <c r="V12" i="30"/>
  <c r="V13" i="30"/>
  <c r="V14" i="30"/>
  <c r="V15" i="30"/>
  <c r="V16" i="30"/>
  <c r="V17" i="30"/>
  <c r="V18" i="30"/>
  <c r="V19" i="30"/>
  <c r="V20" i="30"/>
  <c r="V21" i="30"/>
  <c r="V22" i="30"/>
  <c r="V23" i="30"/>
  <c r="V24" i="30"/>
  <c r="V25" i="30"/>
  <c r="V26" i="30"/>
  <c r="V27" i="30"/>
  <c r="V28" i="30"/>
  <c r="V29" i="30"/>
  <c r="V30" i="30"/>
  <c r="V31" i="30"/>
  <c r="V32" i="30"/>
  <c r="V33" i="30"/>
  <c r="V34" i="30"/>
  <c r="V35" i="30"/>
  <c r="V36" i="30"/>
  <c r="V37" i="30"/>
  <c r="V38" i="30"/>
  <c r="V39" i="30"/>
  <c r="V40" i="30"/>
  <c r="V41" i="30"/>
  <c r="V42" i="30"/>
  <c r="V43" i="30"/>
  <c r="V44" i="30"/>
  <c r="V45" i="30"/>
  <c r="V46" i="30"/>
  <c r="V47" i="30"/>
  <c r="V48" i="30"/>
  <c r="V49" i="30"/>
  <c r="V50" i="30"/>
  <c r="V51" i="30"/>
  <c r="V52" i="30"/>
  <c r="V53" i="30"/>
  <c r="V54" i="30"/>
  <c r="V55" i="30"/>
  <c r="V56" i="30"/>
  <c r="V57" i="30"/>
  <c r="V58" i="30"/>
  <c r="V59" i="30"/>
  <c r="V60" i="30"/>
  <c r="V61" i="30"/>
  <c r="V62" i="30"/>
  <c r="V63" i="30"/>
  <c r="V64" i="30"/>
  <c r="V65" i="30"/>
  <c r="V66" i="30"/>
  <c r="V67" i="30"/>
  <c r="V68" i="30"/>
  <c r="V69" i="30"/>
  <c r="V70" i="30"/>
  <c r="V2" i="30"/>
  <c r="H3" i="30"/>
  <c r="I3" i="30"/>
  <c r="J3" i="30"/>
  <c r="K3" i="30"/>
  <c r="L3" i="30"/>
  <c r="M3" i="30"/>
  <c r="N3" i="30"/>
  <c r="O3" i="30"/>
  <c r="P3" i="30"/>
  <c r="Q3" i="30"/>
  <c r="R3" i="30"/>
  <c r="S3" i="30"/>
  <c r="T3" i="30"/>
  <c r="U3" i="30"/>
  <c r="U17" i="30" l="1"/>
  <c r="T17" i="30"/>
  <c r="S17" i="30"/>
  <c r="R17" i="30"/>
  <c r="Q17" i="30"/>
  <c r="P17" i="30"/>
  <c r="O17" i="30"/>
  <c r="N17" i="30"/>
  <c r="M17" i="30"/>
  <c r="L17" i="30"/>
  <c r="K17" i="30"/>
  <c r="J17" i="30"/>
  <c r="I17" i="30"/>
  <c r="H17" i="30"/>
  <c r="U16" i="30"/>
  <c r="T16" i="30"/>
  <c r="S16" i="30"/>
  <c r="R16" i="30"/>
  <c r="Q16" i="30"/>
  <c r="P16" i="30"/>
  <c r="O16" i="30"/>
  <c r="N16" i="30"/>
  <c r="M16" i="30"/>
  <c r="L16" i="30"/>
  <c r="K16" i="30"/>
  <c r="J16" i="30"/>
  <c r="I16" i="30"/>
  <c r="H16" i="30"/>
  <c r="I219" i="27" l="1"/>
  <c r="I220" i="27"/>
  <c r="I221" i="27"/>
  <c r="I222" i="27"/>
  <c r="I223" i="27"/>
  <c r="I224" i="27"/>
  <c r="I225" i="27"/>
  <c r="J219" i="27"/>
  <c r="J220" i="27"/>
  <c r="J221" i="27"/>
  <c r="J222" i="27"/>
  <c r="J223" i="27"/>
  <c r="J224" i="27"/>
  <c r="J225" i="27"/>
  <c r="K219" i="27"/>
  <c r="K220" i="27"/>
  <c r="K221" i="27"/>
  <c r="K222" i="27"/>
  <c r="K223" i="27"/>
  <c r="K224" i="27"/>
  <c r="K225" i="27"/>
  <c r="L219" i="27"/>
  <c r="L220" i="27"/>
  <c r="L221" i="27"/>
  <c r="L222" i="27"/>
  <c r="L223" i="27"/>
  <c r="L224" i="27"/>
  <c r="L225" i="27"/>
  <c r="M219" i="27"/>
  <c r="M220" i="27"/>
  <c r="M221" i="27"/>
  <c r="M222" i="27"/>
  <c r="M223" i="27"/>
  <c r="M224" i="27"/>
  <c r="M225" i="27"/>
  <c r="N219" i="27"/>
  <c r="N220" i="27"/>
  <c r="N221" i="27"/>
  <c r="N222" i="27"/>
  <c r="N223" i="27"/>
  <c r="N224" i="27"/>
  <c r="N225" i="27"/>
  <c r="O219" i="27"/>
  <c r="O220" i="27"/>
  <c r="O221" i="27"/>
  <c r="O222" i="27"/>
  <c r="O223" i="27"/>
  <c r="O224" i="27"/>
  <c r="O225" i="27"/>
  <c r="P219" i="27"/>
  <c r="P220" i="27"/>
  <c r="P221" i="27"/>
  <c r="P222" i="27"/>
  <c r="P223" i="27"/>
  <c r="P224" i="27"/>
  <c r="P225" i="27"/>
  <c r="Q219" i="27"/>
  <c r="Q220" i="27"/>
  <c r="Q221" i="27"/>
  <c r="Q222" i="27"/>
  <c r="Q223" i="27"/>
  <c r="Q224" i="27"/>
  <c r="Q225" i="27"/>
  <c r="R219" i="27"/>
  <c r="R220" i="27"/>
  <c r="R221" i="27"/>
  <c r="R222" i="27"/>
  <c r="R223" i="27"/>
  <c r="R224" i="27"/>
  <c r="R225" i="27"/>
  <c r="S219" i="27"/>
  <c r="S220" i="27"/>
  <c r="S221" i="27"/>
  <c r="S222" i="27"/>
  <c r="S223" i="27"/>
  <c r="S224" i="27"/>
  <c r="S225" i="27"/>
  <c r="T219" i="27"/>
  <c r="T220" i="27"/>
  <c r="T221" i="27"/>
  <c r="T222" i="27"/>
  <c r="T223" i="27"/>
  <c r="T224" i="27"/>
  <c r="T225" i="27"/>
  <c r="U219" i="27"/>
  <c r="U220" i="27"/>
  <c r="U221" i="27"/>
  <c r="U222" i="27"/>
  <c r="U223" i="27"/>
  <c r="U224" i="27"/>
  <c r="U225" i="27"/>
  <c r="V219" i="27"/>
  <c r="V220" i="27"/>
  <c r="V221" i="27"/>
  <c r="V222" i="27"/>
  <c r="V223" i="27"/>
  <c r="V224" i="27"/>
  <c r="V225" i="27"/>
  <c r="W219" i="27"/>
  <c r="W220" i="27"/>
  <c r="W221" i="27"/>
  <c r="W222" i="27"/>
  <c r="W223" i="27"/>
  <c r="W224" i="27"/>
  <c r="W225" i="27"/>
  <c r="X223" i="27"/>
  <c r="X224" i="27"/>
  <c r="X225" i="27"/>
  <c r="X222" i="27"/>
  <c r="X220" i="27"/>
  <c r="X221" i="27"/>
  <c r="X219" i="27"/>
  <c r="U11" i="30" l="1"/>
  <c r="T11" i="30"/>
  <c r="S11" i="30"/>
  <c r="R11" i="30"/>
  <c r="Q11" i="30"/>
  <c r="P11" i="30"/>
  <c r="O11" i="30"/>
  <c r="N11" i="30"/>
  <c r="M11" i="30"/>
  <c r="L11" i="30"/>
  <c r="K11" i="30"/>
  <c r="J11" i="30"/>
  <c r="I11" i="30"/>
  <c r="H11" i="30"/>
  <c r="U10" i="30"/>
  <c r="T10" i="30"/>
  <c r="S10" i="30"/>
  <c r="R10" i="30"/>
  <c r="Q10" i="30"/>
  <c r="P10" i="30"/>
  <c r="O10" i="30"/>
  <c r="N10" i="30"/>
  <c r="M10" i="30"/>
  <c r="L10" i="30"/>
  <c r="K10" i="30"/>
  <c r="J10" i="30"/>
  <c r="I10" i="30"/>
  <c r="H10" i="30"/>
  <c r="U5" i="30" l="1"/>
  <c r="T5" i="30"/>
  <c r="S5" i="30"/>
  <c r="R5" i="30"/>
  <c r="Q5" i="30"/>
  <c r="P5" i="30"/>
  <c r="O5" i="30"/>
  <c r="N5" i="30"/>
  <c r="M5" i="30"/>
  <c r="L5" i="30"/>
  <c r="K5" i="30"/>
  <c r="J5" i="30"/>
  <c r="I5" i="30"/>
  <c r="H5" i="30"/>
  <c r="U4" i="30"/>
  <c r="T4" i="30"/>
  <c r="S4" i="30"/>
  <c r="R4" i="30"/>
  <c r="Q4" i="30"/>
  <c r="P4" i="30"/>
  <c r="O4" i="30"/>
  <c r="N4" i="30"/>
  <c r="M4" i="30"/>
  <c r="L4" i="30"/>
  <c r="K4" i="30"/>
  <c r="J4" i="30"/>
  <c r="I4" i="30"/>
  <c r="H4" i="30"/>
  <c r="I171" i="27"/>
  <c r="J171" i="27"/>
  <c r="K171" i="27"/>
  <c r="L171" i="27"/>
  <c r="M171" i="27"/>
  <c r="N171" i="27"/>
  <c r="O171" i="27"/>
  <c r="P171" i="27"/>
  <c r="Q171" i="27"/>
  <c r="R171" i="27"/>
  <c r="S171" i="27"/>
  <c r="T171" i="27"/>
  <c r="U171" i="27"/>
  <c r="V171" i="27"/>
  <c r="W171" i="27"/>
  <c r="I156" i="27"/>
  <c r="J156" i="27"/>
  <c r="K156" i="27"/>
  <c r="L156" i="27"/>
  <c r="M156" i="27"/>
  <c r="N156" i="27"/>
  <c r="O156" i="27"/>
  <c r="P156" i="27"/>
  <c r="Q156" i="27"/>
  <c r="R156" i="27"/>
  <c r="S156" i="27"/>
  <c r="T156" i="27"/>
  <c r="U156" i="27"/>
  <c r="V156" i="27"/>
  <c r="W156" i="27"/>
  <c r="X156" i="27"/>
  <c r="X171" i="27"/>
  <c r="I165" i="27" l="1"/>
  <c r="J165" i="27"/>
  <c r="K165" i="27"/>
  <c r="L165" i="27"/>
  <c r="M165" i="27"/>
  <c r="N165" i="27"/>
  <c r="O165" i="27"/>
  <c r="P165" i="27"/>
  <c r="Q165" i="27"/>
  <c r="R165" i="27"/>
  <c r="S165" i="27"/>
  <c r="T165" i="27"/>
  <c r="U165" i="27"/>
  <c r="V165" i="27"/>
  <c r="W165" i="27"/>
  <c r="I158" i="27"/>
  <c r="J158" i="27"/>
  <c r="K158" i="27"/>
  <c r="L158" i="27"/>
  <c r="M158" i="27"/>
  <c r="N158" i="27"/>
  <c r="O158" i="27"/>
  <c r="P158" i="27"/>
  <c r="Q158" i="27"/>
  <c r="R158" i="27"/>
  <c r="S158" i="27"/>
  <c r="T158" i="27"/>
  <c r="U158" i="27"/>
  <c r="V158" i="27"/>
  <c r="W158" i="27"/>
  <c r="I162" i="27"/>
  <c r="J162" i="27"/>
  <c r="K162" i="27"/>
  <c r="L162" i="27"/>
  <c r="M162" i="27"/>
  <c r="N162" i="27"/>
  <c r="O162" i="27"/>
  <c r="P162" i="27"/>
  <c r="Q162" i="27"/>
  <c r="R162" i="27"/>
  <c r="S162" i="27"/>
  <c r="T162" i="27"/>
  <c r="U162" i="27"/>
  <c r="V162" i="27"/>
  <c r="W162" i="27"/>
  <c r="I153" i="27"/>
  <c r="I154" i="27"/>
  <c r="I155" i="27"/>
  <c r="I157" i="27"/>
  <c r="I159" i="27"/>
  <c r="I160" i="27"/>
  <c r="I161" i="27"/>
  <c r="J153" i="27"/>
  <c r="J154" i="27"/>
  <c r="J155" i="27"/>
  <c r="J157" i="27"/>
  <c r="J159" i="27"/>
  <c r="J160" i="27"/>
  <c r="J161" i="27"/>
  <c r="K153" i="27"/>
  <c r="K154" i="27"/>
  <c r="K155" i="27"/>
  <c r="K157" i="27"/>
  <c r="K159" i="27"/>
  <c r="K160" i="27"/>
  <c r="K161" i="27"/>
  <c r="L153" i="27"/>
  <c r="L154" i="27"/>
  <c r="L155" i="27"/>
  <c r="L157" i="27"/>
  <c r="L159" i="27"/>
  <c r="L160" i="27"/>
  <c r="L161" i="27"/>
  <c r="M153" i="27"/>
  <c r="M154" i="27"/>
  <c r="M155" i="27"/>
  <c r="M157" i="27"/>
  <c r="M159" i="27"/>
  <c r="M160" i="27"/>
  <c r="M161" i="27"/>
  <c r="N153" i="27"/>
  <c r="N154" i="27"/>
  <c r="N155" i="27"/>
  <c r="N157" i="27"/>
  <c r="N159" i="27"/>
  <c r="N160" i="27"/>
  <c r="N161" i="27"/>
  <c r="O153" i="27"/>
  <c r="O154" i="27"/>
  <c r="O155" i="27"/>
  <c r="O157" i="27"/>
  <c r="O159" i="27"/>
  <c r="O160" i="27"/>
  <c r="O161" i="27"/>
  <c r="P153" i="27"/>
  <c r="P154" i="27"/>
  <c r="P155" i="27"/>
  <c r="P157" i="27"/>
  <c r="P159" i="27"/>
  <c r="P160" i="27"/>
  <c r="P161" i="27"/>
  <c r="Q153" i="27"/>
  <c r="Q154" i="27"/>
  <c r="Q155" i="27"/>
  <c r="Q157" i="27"/>
  <c r="Q159" i="27"/>
  <c r="Q160" i="27"/>
  <c r="Q161" i="27"/>
  <c r="R153" i="27"/>
  <c r="R154" i="27"/>
  <c r="R155" i="27"/>
  <c r="R157" i="27"/>
  <c r="R159" i="27"/>
  <c r="R160" i="27"/>
  <c r="R161" i="27"/>
  <c r="S153" i="27"/>
  <c r="S154" i="27"/>
  <c r="S155" i="27"/>
  <c r="S157" i="27"/>
  <c r="S159" i="27"/>
  <c r="S160" i="27"/>
  <c r="S161" i="27"/>
  <c r="T153" i="27"/>
  <c r="T154" i="27"/>
  <c r="T155" i="27"/>
  <c r="T157" i="27"/>
  <c r="T159" i="27"/>
  <c r="T160" i="27"/>
  <c r="T161" i="27"/>
  <c r="U153" i="27"/>
  <c r="U154" i="27"/>
  <c r="U155" i="27"/>
  <c r="U157" i="27"/>
  <c r="U159" i="27"/>
  <c r="U160" i="27"/>
  <c r="U161" i="27"/>
  <c r="V153" i="27"/>
  <c r="V154" i="27"/>
  <c r="V155" i="27"/>
  <c r="V157" i="27"/>
  <c r="V159" i="27"/>
  <c r="V160" i="27"/>
  <c r="V161" i="27"/>
  <c r="W153" i="27"/>
  <c r="W154" i="27"/>
  <c r="W155" i="27"/>
  <c r="W157" i="27"/>
  <c r="W159" i="27"/>
  <c r="W160" i="27"/>
  <c r="W161" i="27"/>
  <c r="X158" i="27"/>
  <c r="X161" i="27"/>
  <c r="X165" i="27"/>
  <c r="X162" i="27"/>
  <c r="X154" i="27"/>
  <c r="X159" i="27"/>
  <c r="X153" i="27"/>
  <c r="X155" i="27"/>
  <c r="X160" i="27"/>
  <c r="X157" i="27"/>
  <c r="I175" i="27" l="1"/>
  <c r="J175" i="27"/>
  <c r="K175" i="27"/>
  <c r="L175" i="27"/>
  <c r="M175" i="27"/>
  <c r="N175" i="27"/>
  <c r="O175" i="27"/>
  <c r="P175" i="27"/>
  <c r="Q175" i="27"/>
  <c r="R175" i="27"/>
  <c r="S175" i="27"/>
  <c r="T175" i="27"/>
  <c r="U175" i="27"/>
  <c r="V175" i="27"/>
  <c r="W175" i="27"/>
  <c r="I177" i="27"/>
  <c r="J177" i="27"/>
  <c r="K177" i="27"/>
  <c r="L177" i="27"/>
  <c r="M177" i="27"/>
  <c r="N177" i="27"/>
  <c r="O177" i="27"/>
  <c r="P177" i="27"/>
  <c r="Q177" i="27"/>
  <c r="R177" i="27"/>
  <c r="S177" i="27"/>
  <c r="T177" i="27"/>
  <c r="U177" i="27"/>
  <c r="V177" i="27"/>
  <c r="W177" i="27"/>
  <c r="I173" i="27"/>
  <c r="J173" i="27"/>
  <c r="K173" i="27"/>
  <c r="L173" i="27"/>
  <c r="M173" i="27"/>
  <c r="N173" i="27"/>
  <c r="O173" i="27"/>
  <c r="P173" i="27"/>
  <c r="Q173" i="27"/>
  <c r="R173" i="27"/>
  <c r="S173" i="27"/>
  <c r="T173" i="27"/>
  <c r="U173" i="27"/>
  <c r="V173" i="27"/>
  <c r="W173" i="27"/>
  <c r="X175" i="27"/>
  <c r="X177" i="27"/>
  <c r="X173" i="27"/>
  <c r="I7" i="27" l="1"/>
  <c r="J7" i="27"/>
  <c r="K7" i="27"/>
  <c r="L7" i="27"/>
  <c r="M7" i="27"/>
  <c r="N7" i="27"/>
  <c r="O7" i="27"/>
  <c r="P7" i="27"/>
  <c r="Q7" i="27"/>
  <c r="R7" i="27"/>
  <c r="S7" i="27"/>
  <c r="T7" i="27"/>
  <c r="U7" i="27"/>
  <c r="V7" i="27"/>
  <c r="W7" i="27"/>
  <c r="X7" i="27"/>
  <c r="I176" i="27" l="1"/>
  <c r="J176" i="27"/>
  <c r="K176" i="27"/>
  <c r="L176" i="27"/>
  <c r="M176" i="27"/>
  <c r="N176" i="27"/>
  <c r="O176" i="27"/>
  <c r="P176" i="27"/>
  <c r="Q176" i="27"/>
  <c r="R176" i="27"/>
  <c r="S176" i="27"/>
  <c r="T176" i="27"/>
  <c r="U176" i="27"/>
  <c r="V176" i="27"/>
  <c r="W176" i="27"/>
  <c r="I174" i="27"/>
  <c r="J174" i="27"/>
  <c r="K174" i="27"/>
  <c r="L174" i="27"/>
  <c r="M174" i="27"/>
  <c r="N174" i="27"/>
  <c r="O174" i="27"/>
  <c r="P174" i="27"/>
  <c r="Q174" i="27"/>
  <c r="R174" i="27"/>
  <c r="S174" i="27"/>
  <c r="T174" i="27"/>
  <c r="U174" i="27"/>
  <c r="V174" i="27"/>
  <c r="W174" i="27"/>
  <c r="I170" i="27"/>
  <c r="J170" i="27"/>
  <c r="K170" i="27"/>
  <c r="L170" i="27"/>
  <c r="M170" i="27"/>
  <c r="N170" i="27"/>
  <c r="O170" i="27"/>
  <c r="P170" i="27"/>
  <c r="Q170" i="27"/>
  <c r="R170" i="27"/>
  <c r="S170" i="27"/>
  <c r="T170" i="27"/>
  <c r="U170" i="27"/>
  <c r="V170" i="27"/>
  <c r="W170" i="27"/>
  <c r="I172" i="27"/>
  <c r="J172" i="27"/>
  <c r="K172" i="27"/>
  <c r="L172" i="27"/>
  <c r="M172" i="27"/>
  <c r="N172" i="27"/>
  <c r="O172" i="27"/>
  <c r="P172" i="27"/>
  <c r="Q172" i="27"/>
  <c r="R172" i="27"/>
  <c r="S172" i="27"/>
  <c r="T172" i="27"/>
  <c r="U172" i="27"/>
  <c r="V172" i="27"/>
  <c r="W172" i="27"/>
  <c r="I169" i="27"/>
  <c r="J169" i="27"/>
  <c r="K169" i="27"/>
  <c r="L169" i="27"/>
  <c r="M169" i="27"/>
  <c r="N169" i="27"/>
  <c r="O169" i="27"/>
  <c r="P169" i="27"/>
  <c r="Q169" i="27"/>
  <c r="R169" i="27"/>
  <c r="S169" i="27"/>
  <c r="T169" i="27"/>
  <c r="U169" i="27"/>
  <c r="V169" i="27"/>
  <c r="W169" i="27"/>
  <c r="I168" i="27"/>
  <c r="J168" i="27"/>
  <c r="K168" i="27"/>
  <c r="L168" i="27"/>
  <c r="M168" i="27"/>
  <c r="N168" i="27"/>
  <c r="O168" i="27"/>
  <c r="P168" i="27"/>
  <c r="Q168" i="27"/>
  <c r="R168" i="27"/>
  <c r="S168" i="27"/>
  <c r="T168" i="27"/>
  <c r="U168" i="27"/>
  <c r="V168" i="27"/>
  <c r="W168" i="27"/>
  <c r="X172" i="27"/>
  <c r="X170" i="27"/>
  <c r="X168" i="27"/>
  <c r="X176" i="27"/>
  <c r="X174" i="27"/>
  <c r="X169" i="27"/>
  <c r="I251" i="27" l="1"/>
  <c r="J251" i="27"/>
  <c r="K251" i="27"/>
  <c r="L251" i="27"/>
  <c r="M251" i="27"/>
  <c r="N251" i="27"/>
  <c r="O251" i="27"/>
  <c r="P251" i="27"/>
  <c r="Q251" i="27"/>
  <c r="R251" i="27"/>
  <c r="S251" i="27"/>
  <c r="T251" i="27"/>
  <c r="U251" i="27"/>
  <c r="V251" i="27"/>
  <c r="W251" i="27"/>
  <c r="X251" i="27"/>
  <c r="S49" i="30" l="1"/>
  <c r="S50" i="30"/>
  <c r="S54" i="30"/>
  <c r="S58" i="30"/>
  <c r="S62" i="30"/>
  <c r="S66" i="30"/>
  <c r="S70" i="30"/>
  <c r="H45" i="30"/>
  <c r="I45" i="30"/>
  <c r="J45" i="30"/>
  <c r="K45" i="30"/>
  <c r="L45" i="30"/>
  <c r="M45" i="30"/>
  <c r="N45" i="30"/>
  <c r="O45" i="30"/>
  <c r="P45" i="30"/>
  <c r="Q45" i="30"/>
  <c r="R45" i="30"/>
  <c r="S45" i="30"/>
  <c r="T45" i="30"/>
  <c r="U45" i="30"/>
  <c r="H46" i="30"/>
  <c r="I46" i="30"/>
  <c r="J46" i="30"/>
  <c r="K46" i="30"/>
  <c r="L46" i="30"/>
  <c r="M46" i="30"/>
  <c r="N46" i="30"/>
  <c r="O46" i="30"/>
  <c r="P46" i="30"/>
  <c r="Q46" i="30"/>
  <c r="R46" i="30"/>
  <c r="S46" i="30"/>
  <c r="T46" i="30"/>
  <c r="U46" i="30"/>
  <c r="H47" i="30"/>
  <c r="I47" i="30"/>
  <c r="J47" i="30"/>
  <c r="K47" i="30"/>
  <c r="L47" i="30"/>
  <c r="M47" i="30"/>
  <c r="N47" i="30"/>
  <c r="O47" i="30"/>
  <c r="P47" i="30"/>
  <c r="Q47" i="30"/>
  <c r="R47" i="30"/>
  <c r="S47" i="30"/>
  <c r="T47" i="30"/>
  <c r="U47" i="30"/>
  <c r="H48" i="30"/>
  <c r="I48" i="30"/>
  <c r="J48" i="30"/>
  <c r="K48" i="30"/>
  <c r="L48" i="30"/>
  <c r="M48" i="30"/>
  <c r="N48" i="30"/>
  <c r="O48" i="30"/>
  <c r="P48" i="30"/>
  <c r="Q48" i="30"/>
  <c r="R48" i="30"/>
  <c r="S48" i="30"/>
  <c r="T48" i="30"/>
  <c r="U48" i="30"/>
  <c r="H49" i="30"/>
  <c r="I49" i="30"/>
  <c r="J49" i="30"/>
  <c r="K49" i="30"/>
  <c r="L49" i="30"/>
  <c r="M49" i="30"/>
  <c r="N49" i="30"/>
  <c r="O49" i="30"/>
  <c r="P49" i="30"/>
  <c r="Q49" i="30"/>
  <c r="R49" i="30"/>
  <c r="T49" i="30"/>
  <c r="U49" i="30"/>
  <c r="H50" i="30"/>
  <c r="I50" i="30"/>
  <c r="J50" i="30"/>
  <c r="K50" i="30"/>
  <c r="L50" i="30"/>
  <c r="M50" i="30"/>
  <c r="N50" i="30"/>
  <c r="O50" i="30"/>
  <c r="P50" i="30"/>
  <c r="Q50" i="30"/>
  <c r="R50" i="30"/>
  <c r="T50" i="30"/>
  <c r="U50" i="30"/>
  <c r="H51" i="30"/>
  <c r="I51" i="30"/>
  <c r="J51" i="30"/>
  <c r="K51" i="30"/>
  <c r="L51" i="30"/>
  <c r="M51" i="30"/>
  <c r="N51" i="30"/>
  <c r="O51" i="30"/>
  <c r="P51" i="30"/>
  <c r="Q51" i="30"/>
  <c r="R51" i="30"/>
  <c r="S51" i="30"/>
  <c r="T51" i="30"/>
  <c r="U51" i="30"/>
  <c r="S52" i="30"/>
  <c r="H52" i="30"/>
  <c r="I52" i="30"/>
  <c r="J52" i="30"/>
  <c r="K52" i="30"/>
  <c r="L52" i="30"/>
  <c r="M52" i="30"/>
  <c r="N52" i="30"/>
  <c r="O52" i="30"/>
  <c r="P52" i="30"/>
  <c r="Q52" i="30"/>
  <c r="R52" i="30"/>
  <c r="T52" i="30"/>
  <c r="U52" i="30"/>
  <c r="H53" i="30"/>
  <c r="I53" i="30"/>
  <c r="J53" i="30"/>
  <c r="K53" i="30"/>
  <c r="L53" i="30"/>
  <c r="M53" i="30"/>
  <c r="N53" i="30"/>
  <c r="O53" i="30"/>
  <c r="P53" i="30"/>
  <c r="Q53" i="30"/>
  <c r="R53" i="30"/>
  <c r="S53" i="30"/>
  <c r="T53" i="30"/>
  <c r="U53" i="30"/>
  <c r="H54" i="30"/>
  <c r="I54" i="30"/>
  <c r="J54" i="30"/>
  <c r="K54" i="30"/>
  <c r="L54" i="30"/>
  <c r="M54" i="30"/>
  <c r="N54" i="30"/>
  <c r="O54" i="30"/>
  <c r="P54" i="30"/>
  <c r="Q54" i="30"/>
  <c r="R54" i="30"/>
  <c r="T54" i="30"/>
  <c r="U54" i="30"/>
  <c r="H55" i="30"/>
  <c r="I55" i="30"/>
  <c r="J55" i="30"/>
  <c r="K55" i="30"/>
  <c r="L55" i="30"/>
  <c r="M55" i="30"/>
  <c r="N55" i="30"/>
  <c r="O55" i="30"/>
  <c r="P55" i="30"/>
  <c r="Q55" i="30"/>
  <c r="R55" i="30"/>
  <c r="S55" i="30"/>
  <c r="T55" i="30"/>
  <c r="U55" i="30"/>
  <c r="H56" i="30"/>
  <c r="I56" i="30"/>
  <c r="J56" i="30"/>
  <c r="K56" i="30"/>
  <c r="L56" i="30"/>
  <c r="M56" i="30"/>
  <c r="N56" i="30"/>
  <c r="O56" i="30"/>
  <c r="P56" i="30"/>
  <c r="Q56" i="30"/>
  <c r="R56" i="30"/>
  <c r="S56" i="30"/>
  <c r="T56" i="30"/>
  <c r="U56" i="30"/>
  <c r="H57" i="30"/>
  <c r="I57" i="30"/>
  <c r="J57" i="30"/>
  <c r="K57" i="30"/>
  <c r="L57" i="30"/>
  <c r="M57" i="30"/>
  <c r="N57" i="30"/>
  <c r="O57" i="30"/>
  <c r="P57" i="30"/>
  <c r="Q57" i="30"/>
  <c r="R57" i="30"/>
  <c r="S57" i="30"/>
  <c r="T57" i="30"/>
  <c r="U57" i="30"/>
  <c r="H58" i="30"/>
  <c r="I58" i="30"/>
  <c r="J58" i="30"/>
  <c r="K58" i="30"/>
  <c r="L58" i="30"/>
  <c r="M58" i="30"/>
  <c r="N58" i="30"/>
  <c r="O58" i="30"/>
  <c r="P58" i="30"/>
  <c r="Q58" i="30"/>
  <c r="R58" i="30"/>
  <c r="T58" i="30"/>
  <c r="U58" i="30"/>
  <c r="H59" i="30"/>
  <c r="I59" i="30"/>
  <c r="J59" i="30"/>
  <c r="K59" i="30"/>
  <c r="L59" i="30"/>
  <c r="M59" i="30"/>
  <c r="N59" i="30"/>
  <c r="O59" i="30"/>
  <c r="P59" i="30"/>
  <c r="Q59" i="30"/>
  <c r="R59" i="30"/>
  <c r="S59" i="30"/>
  <c r="T59" i="30"/>
  <c r="U59" i="30"/>
  <c r="H60" i="30"/>
  <c r="I60" i="30"/>
  <c r="J60" i="30"/>
  <c r="K60" i="30"/>
  <c r="L60" i="30"/>
  <c r="M60" i="30"/>
  <c r="N60" i="30"/>
  <c r="O60" i="30"/>
  <c r="P60" i="30"/>
  <c r="Q60" i="30"/>
  <c r="R60" i="30"/>
  <c r="S60" i="30"/>
  <c r="T60" i="30"/>
  <c r="U60" i="30"/>
  <c r="H61" i="30"/>
  <c r="I61" i="30"/>
  <c r="J61" i="30"/>
  <c r="K61" i="30"/>
  <c r="L61" i="30"/>
  <c r="M61" i="30"/>
  <c r="N61" i="30"/>
  <c r="O61" i="30"/>
  <c r="P61" i="30"/>
  <c r="Q61" i="30"/>
  <c r="R61" i="30"/>
  <c r="S61" i="30"/>
  <c r="T61" i="30"/>
  <c r="U61" i="30"/>
  <c r="H62" i="30"/>
  <c r="I62" i="30"/>
  <c r="J62" i="30"/>
  <c r="K62" i="30"/>
  <c r="L62" i="30"/>
  <c r="M62" i="30"/>
  <c r="N62" i="30"/>
  <c r="O62" i="30"/>
  <c r="P62" i="30"/>
  <c r="Q62" i="30"/>
  <c r="R62" i="30"/>
  <c r="T62" i="30"/>
  <c r="U62" i="30"/>
  <c r="H63" i="30"/>
  <c r="I63" i="30"/>
  <c r="J63" i="30"/>
  <c r="K63" i="30"/>
  <c r="L63" i="30"/>
  <c r="M63" i="30"/>
  <c r="N63" i="30"/>
  <c r="O63" i="30"/>
  <c r="P63" i="30"/>
  <c r="Q63" i="30"/>
  <c r="R63" i="30"/>
  <c r="S63" i="30"/>
  <c r="T63" i="30"/>
  <c r="U63" i="30"/>
  <c r="H64" i="30"/>
  <c r="I64" i="30"/>
  <c r="J64" i="30"/>
  <c r="K64" i="30"/>
  <c r="L64" i="30"/>
  <c r="M64" i="30"/>
  <c r="N64" i="30"/>
  <c r="O64" i="30"/>
  <c r="P64" i="30"/>
  <c r="Q64" i="30"/>
  <c r="R64" i="30"/>
  <c r="S64" i="30"/>
  <c r="T64" i="30"/>
  <c r="U64" i="30"/>
  <c r="H65" i="30"/>
  <c r="I65" i="30"/>
  <c r="J65" i="30"/>
  <c r="K65" i="30"/>
  <c r="L65" i="30"/>
  <c r="M65" i="30"/>
  <c r="N65" i="30"/>
  <c r="O65" i="30"/>
  <c r="P65" i="30"/>
  <c r="Q65" i="30"/>
  <c r="R65" i="30"/>
  <c r="S65" i="30"/>
  <c r="T65" i="30"/>
  <c r="U65" i="30"/>
  <c r="H66" i="30"/>
  <c r="I66" i="30"/>
  <c r="J66" i="30"/>
  <c r="K66" i="30"/>
  <c r="L66" i="30"/>
  <c r="M66" i="30"/>
  <c r="N66" i="30"/>
  <c r="O66" i="30"/>
  <c r="P66" i="30"/>
  <c r="Q66" i="30"/>
  <c r="R66" i="30"/>
  <c r="T66" i="30"/>
  <c r="U66" i="30"/>
  <c r="H67" i="30"/>
  <c r="I67" i="30"/>
  <c r="J67" i="30"/>
  <c r="K67" i="30"/>
  <c r="L67" i="30"/>
  <c r="M67" i="30"/>
  <c r="N67" i="30"/>
  <c r="O67" i="30"/>
  <c r="P67" i="30"/>
  <c r="Q67" i="30"/>
  <c r="R67" i="30"/>
  <c r="S67" i="30"/>
  <c r="T67" i="30"/>
  <c r="U67" i="30"/>
  <c r="H68" i="30"/>
  <c r="I68" i="30"/>
  <c r="J68" i="30"/>
  <c r="K68" i="30"/>
  <c r="L68" i="30"/>
  <c r="M68" i="30"/>
  <c r="N68" i="30"/>
  <c r="O68" i="30"/>
  <c r="P68" i="30"/>
  <c r="Q68" i="30"/>
  <c r="R68" i="30"/>
  <c r="S68" i="30"/>
  <c r="T68" i="30"/>
  <c r="U68" i="30"/>
  <c r="H69" i="30"/>
  <c r="I69" i="30"/>
  <c r="J69" i="30"/>
  <c r="K69" i="30"/>
  <c r="L69" i="30"/>
  <c r="M69" i="30"/>
  <c r="N69" i="30"/>
  <c r="O69" i="30"/>
  <c r="P69" i="30"/>
  <c r="Q69" i="30"/>
  <c r="R69" i="30"/>
  <c r="S69" i="30"/>
  <c r="T69" i="30"/>
  <c r="U69" i="30"/>
  <c r="H70" i="30"/>
  <c r="I70" i="30"/>
  <c r="J70" i="30"/>
  <c r="K70" i="30"/>
  <c r="L70" i="30"/>
  <c r="M70" i="30"/>
  <c r="N70" i="30"/>
  <c r="O70" i="30"/>
  <c r="P70" i="30"/>
  <c r="Q70" i="30"/>
  <c r="R70" i="30"/>
  <c r="T70" i="30"/>
  <c r="U70" i="30"/>
  <c r="I208" i="27"/>
  <c r="J208" i="27"/>
  <c r="K208" i="27"/>
  <c r="L208" i="27"/>
  <c r="M208" i="27"/>
  <c r="N208" i="27"/>
  <c r="O208" i="27"/>
  <c r="P208" i="27"/>
  <c r="Q208" i="27"/>
  <c r="R208" i="27"/>
  <c r="S208" i="27"/>
  <c r="T208" i="27"/>
  <c r="U208" i="27"/>
  <c r="V208" i="27"/>
  <c r="W208" i="27"/>
  <c r="W76" i="27"/>
  <c r="V76" i="27"/>
  <c r="U76" i="27"/>
  <c r="T76" i="27"/>
  <c r="S76" i="27"/>
  <c r="R76" i="27"/>
  <c r="Q76" i="27"/>
  <c r="P76" i="27"/>
  <c r="O76" i="27"/>
  <c r="N76" i="27"/>
  <c r="M76" i="27"/>
  <c r="L76" i="27"/>
  <c r="K76" i="27"/>
  <c r="J76" i="27"/>
  <c r="I76" i="27"/>
  <c r="I63" i="27"/>
  <c r="J63" i="27"/>
  <c r="K63" i="27"/>
  <c r="L63" i="27"/>
  <c r="M63" i="27"/>
  <c r="N63" i="27"/>
  <c r="O63" i="27"/>
  <c r="P63" i="27"/>
  <c r="Q63" i="27"/>
  <c r="R63" i="27"/>
  <c r="S63" i="27"/>
  <c r="T63" i="27"/>
  <c r="U63" i="27"/>
  <c r="V63" i="27"/>
  <c r="W63" i="27"/>
  <c r="I56" i="27"/>
  <c r="I57" i="27"/>
  <c r="I58" i="27"/>
  <c r="J56" i="27"/>
  <c r="J57" i="27"/>
  <c r="J58" i="27"/>
  <c r="K56" i="27"/>
  <c r="K57" i="27"/>
  <c r="K58" i="27"/>
  <c r="L56" i="27"/>
  <c r="L57" i="27"/>
  <c r="L58" i="27"/>
  <c r="M56" i="27"/>
  <c r="M57" i="27"/>
  <c r="M58" i="27"/>
  <c r="N56" i="27"/>
  <c r="N57" i="27"/>
  <c r="N58" i="27"/>
  <c r="O56" i="27"/>
  <c r="O57" i="27"/>
  <c r="O58" i="27"/>
  <c r="P56" i="27"/>
  <c r="P57" i="27"/>
  <c r="P58" i="27"/>
  <c r="Q56" i="27"/>
  <c r="Q57" i="27"/>
  <c r="Q58" i="27"/>
  <c r="R56" i="27"/>
  <c r="R57" i="27"/>
  <c r="R58" i="27"/>
  <c r="S56" i="27"/>
  <c r="S57" i="27"/>
  <c r="S58" i="27"/>
  <c r="T56" i="27"/>
  <c r="T57" i="27"/>
  <c r="T58" i="27"/>
  <c r="U56" i="27"/>
  <c r="U57" i="27"/>
  <c r="U58" i="27"/>
  <c r="V56" i="27"/>
  <c r="V57" i="27"/>
  <c r="V58" i="27"/>
  <c r="W56" i="27"/>
  <c r="W57" i="27"/>
  <c r="W58" i="27"/>
  <c r="I48" i="27"/>
  <c r="J48" i="27"/>
  <c r="K48" i="27"/>
  <c r="L48" i="27"/>
  <c r="M48" i="27"/>
  <c r="N48" i="27"/>
  <c r="O48" i="27"/>
  <c r="P48" i="27"/>
  <c r="Q48" i="27"/>
  <c r="R48" i="27"/>
  <c r="S48" i="27"/>
  <c r="T48" i="27"/>
  <c r="U48" i="27"/>
  <c r="V48" i="27"/>
  <c r="W48" i="27"/>
  <c r="I55" i="27"/>
  <c r="J55" i="27"/>
  <c r="K55" i="27"/>
  <c r="L55" i="27"/>
  <c r="M55" i="27"/>
  <c r="N55" i="27"/>
  <c r="O55" i="27"/>
  <c r="P55" i="27"/>
  <c r="Q55" i="27"/>
  <c r="R55" i="27"/>
  <c r="S55" i="27"/>
  <c r="T55" i="27"/>
  <c r="U55" i="27"/>
  <c r="V55" i="27"/>
  <c r="W55" i="27"/>
  <c r="I52" i="27"/>
  <c r="I53" i="27"/>
  <c r="I54" i="27"/>
  <c r="J52" i="27"/>
  <c r="J53" i="27"/>
  <c r="J54" i="27"/>
  <c r="K52" i="27"/>
  <c r="K53" i="27"/>
  <c r="K54" i="27"/>
  <c r="L52" i="27"/>
  <c r="L53" i="27"/>
  <c r="L54" i="27"/>
  <c r="M52" i="27"/>
  <c r="M53" i="27"/>
  <c r="M54" i="27"/>
  <c r="N52" i="27"/>
  <c r="N53" i="27"/>
  <c r="N54" i="27"/>
  <c r="O52" i="27"/>
  <c r="O53" i="27"/>
  <c r="O54" i="27"/>
  <c r="P52" i="27"/>
  <c r="P53" i="27"/>
  <c r="P54" i="27"/>
  <c r="Q52" i="27"/>
  <c r="Q53" i="27"/>
  <c r="Q54" i="27"/>
  <c r="R52" i="27"/>
  <c r="R53" i="27"/>
  <c r="R54" i="27"/>
  <c r="S52" i="27"/>
  <c r="S53" i="27"/>
  <c r="S54" i="27"/>
  <c r="T52" i="27"/>
  <c r="T53" i="27"/>
  <c r="T54" i="27"/>
  <c r="U52" i="27"/>
  <c r="U53" i="27"/>
  <c r="U54" i="27"/>
  <c r="V52" i="27"/>
  <c r="V53" i="27"/>
  <c r="V54" i="27"/>
  <c r="W52" i="27"/>
  <c r="W53" i="27"/>
  <c r="W54" i="27"/>
  <c r="I72" i="27"/>
  <c r="J72" i="27"/>
  <c r="K72" i="27"/>
  <c r="L72" i="27"/>
  <c r="M72" i="27"/>
  <c r="N72" i="27"/>
  <c r="O72" i="27"/>
  <c r="P72" i="27"/>
  <c r="Q72" i="27"/>
  <c r="R72" i="27"/>
  <c r="S72" i="27"/>
  <c r="T72" i="27"/>
  <c r="U72" i="27"/>
  <c r="V72" i="27"/>
  <c r="W72" i="27"/>
  <c r="I68" i="27"/>
  <c r="I69" i="27"/>
  <c r="J68" i="27"/>
  <c r="J69" i="27"/>
  <c r="K68" i="27"/>
  <c r="K69" i="27"/>
  <c r="L68" i="27"/>
  <c r="L69" i="27"/>
  <c r="M68" i="27"/>
  <c r="M69" i="27"/>
  <c r="N68" i="27"/>
  <c r="N69" i="27"/>
  <c r="O68" i="27"/>
  <c r="O69" i="27"/>
  <c r="P68" i="27"/>
  <c r="P69" i="27"/>
  <c r="Q68" i="27"/>
  <c r="Q69" i="27"/>
  <c r="R68" i="27"/>
  <c r="R69" i="27"/>
  <c r="S68" i="27"/>
  <c r="S69" i="27"/>
  <c r="T68" i="27"/>
  <c r="T69" i="27"/>
  <c r="U68" i="27"/>
  <c r="U69" i="27"/>
  <c r="V68" i="27"/>
  <c r="V69" i="27"/>
  <c r="W68" i="27"/>
  <c r="W69" i="27"/>
  <c r="I62" i="27"/>
  <c r="J62" i="27"/>
  <c r="K62" i="27"/>
  <c r="L62" i="27"/>
  <c r="M62" i="27"/>
  <c r="N62" i="27"/>
  <c r="O62" i="27"/>
  <c r="P62" i="27"/>
  <c r="Q62" i="27"/>
  <c r="R62" i="27"/>
  <c r="S62" i="27"/>
  <c r="T62" i="27"/>
  <c r="U62" i="27"/>
  <c r="V62" i="27"/>
  <c r="W62" i="27"/>
  <c r="I59" i="27"/>
  <c r="I60" i="27"/>
  <c r="I61" i="27"/>
  <c r="I64" i="27"/>
  <c r="I65" i="27"/>
  <c r="I66" i="27"/>
  <c r="I67" i="27"/>
  <c r="I70" i="27"/>
  <c r="I71" i="27"/>
  <c r="J59" i="27"/>
  <c r="J60" i="27"/>
  <c r="J61" i="27"/>
  <c r="J64" i="27"/>
  <c r="J65" i="27"/>
  <c r="J66" i="27"/>
  <c r="J67" i="27"/>
  <c r="J70" i="27"/>
  <c r="J71" i="27"/>
  <c r="K59" i="27"/>
  <c r="K60" i="27"/>
  <c r="K61" i="27"/>
  <c r="K64" i="27"/>
  <c r="K65" i="27"/>
  <c r="K66" i="27"/>
  <c r="K67" i="27"/>
  <c r="K70" i="27"/>
  <c r="K71" i="27"/>
  <c r="L59" i="27"/>
  <c r="L60" i="27"/>
  <c r="L61" i="27"/>
  <c r="L64" i="27"/>
  <c r="L65" i="27"/>
  <c r="L66" i="27"/>
  <c r="L67" i="27"/>
  <c r="L70" i="27"/>
  <c r="L71" i="27"/>
  <c r="M59" i="27"/>
  <c r="M60" i="27"/>
  <c r="M61" i="27"/>
  <c r="M64" i="27"/>
  <c r="M65" i="27"/>
  <c r="M66" i="27"/>
  <c r="M67" i="27"/>
  <c r="M70" i="27"/>
  <c r="M71" i="27"/>
  <c r="N59" i="27"/>
  <c r="N60" i="27"/>
  <c r="N61" i="27"/>
  <c r="N64" i="27"/>
  <c r="N65" i="27"/>
  <c r="N66" i="27"/>
  <c r="N67" i="27"/>
  <c r="N70" i="27"/>
  <c r="N71" i="27"/>
  <c r="O59" i="27"/>
  <c r="O60" i="27"/>
  <c r="O61" i="27"/>
  <c r="O64" i="27"/>
  <c r="O65" i="27"/>
  <c r="O66" i="27"/>
  <c r="O67" i="27"/>
  <c r="O70" i="27"/>
  <c r="O71" i="27"/>
  <c r="P59" i="27"/>
  <c r="P60" i="27"/>
  <c r="P61" i="27"/>
  <c r="P64" i="27"/>
  <c r="P65" i="27"/>
  <c r="P66" i="27"/>
  <c r="P67" i="27"/>
  <c r="P70" i="27"/>
  <c r="P71" i="27"/>
  <c r="Q59" i="27"/>
  <c r="Q60" i="27"/>
  <c r="Q61" i="27"/>
  <c r="Q64" i="27"/>
  <c r="Q65" i="27"/>
  <c r="Q66" i="27"/>
  <c r="Q67" i="27"/>
  <c r="Q70" i="27"/>
  <c r="Q71" i="27"/>
  <c r="R59" i="27"/>
  <c r="R60" i="27"/>
  <c r="R61" i="27"/>
  <c r="R64" i="27"/>
  <c r="R65" i="27"/>
  <c r="R66" i="27"/>
  <c r="R67" i="27"/>
  <c r="R70" i="27"/>
  <c r="R71" i="27"/>
  <c r="S59" i="27"/>
  <c r="S60" i="27"/>
  <c r="S61" i="27"/>
  <c r="S64" i="27"/>
  <c r="S65" i="27"/>
  <c r="S66" i="27"/>
  <c r="S67" i="27"/>
  <c r="S70" i="27"/>
  <c r="S71" i="27"/>
  <c r="T59" i="27"/>
  <c r="T60" i="27"/>
  <c r="T61" i="27"/>
  <c r="T64" i="27"/>
  <c r="T65" i="27"/>
  <c r="T66" i="27"/>
  <c r="T67" i="27"/>
  <c r="T70" i="27"/>
  <c r="T71" i="27"/>
  <c r="U59" i="27"/>
  <c r="U60" i="27"/>
  <c r="U61" i="27"/>
  <c r="U64" i="27"/>
  <c r="U65" i="27"/>
  <c r="U66" i="27"/>
  <c r="U67" i="27"/>
  <c r="U70" i="27"/>
  <c r="U71" i="27"/>
  <c r="V59" i="27"/>
  <c r="V60" i="27"/>
  <c r="V61" i="27"/>
  <c r="V64" i="27"/>
  <c r="V65" i="27"/>
  <c r="V66" i="27"/>
  <c r="V67" i="27"/>
  <c r="V70" i="27"/>
  <c r="V71" i="27"/>
  <c r="W59" i="27"/>
  <c r="W60" i="27"/>
  <c r="W61" i="27"/>
  <c r="W64" i="27"/>
  <c r="W65" i="27"/>
  <c r="W66" i="27"/>
  <c r="W67" i="27"/>
  <c r="W70" i="27"/>
  <c r="W71" i="27"/>
  <c r="X76" i="27"/>
  <c r="X53" i="27"/>
  <c r="X69" i="27"/>
  <c r="X55" i="27"/>
  <c r="X67" i="27"/>
  <c r="X59" i="27"/>
  <c r="X71" i="27"/>
  <c r="X65" i="27"/>
  <c r="X70" i="27"/>
  <c r="X61" i="27"/>
  <c r="X60" i="27"/>
  <c r="X48" i="27"/>
  <c r="X63" i="27"/>
  <c r="X54" i="27"/>
  <c r="X64" i="27"/>
  <c r="X57" i="27"/>
  <c r="X208" i="27"/>
  <c r="X56" i="27"/>
  <c r="X52" i="27"/>
  <c r="X66" i="27"/>
  <c r="X72" i="27"/>
  <c r="X68" i="27"/>
  <c r="X58" i="27"/>
  <c r="X62" i="27"/>
  <c r="I42" i="27" l="1"/>
  <c r="J42" i="27"/>
  <c r="K42" i="27"/>
  <c r="L42" i="27"/>
  <c r="M42" i="27"/>
  <c r="N42" i="27"/>
  <c r="O42" i="27"/>
  <c r="P42" i="27"/>
  <c r="Q42" i="27"/>
  <c r="R42" i="27"/>
  <c r="S42" i="27"/>
  <c r="T42" i="27"/>
  <c r="U42" i="27"/>
  <c r="V42" i="27"/>
  <c r="W42" i="27"/>
  <c r="I43" i="27"/>
  <c r="J43" i="27"/>
  <c r="K43" i="27"/>
  <c r="L43" i="27"/>
  <c r="M43" i="27"/>
  <c r="N43" i="27"/>
  <c r="O43" i="27"/>
  <c r="P43" i="27"/>
  <c r="Q43" i="27"/>
  <c r="R43" i="27"/>
  <c r="S43" i="27"/>
  <c r="T43" i="27"/>
  <c r="U43" i="27"/>
  <c r="V43" i="27"/>
  <c r="W43" i="27"/>
  <c r="I105" i="27"/>
  <c r="J105" i="27"/>
  <c r="K105" i="27"/>
  <c r="L105" i="27"/>
  <c r="M105" i="27"/>
  <c r="N105" i="27"/>
  <c r="O105" i="27"/>
  <c r="P105" i="27"/>
  <c r="Q105" i="27"/>
  <c r="R105" i="27"/>
  <c r="S105" i="27"/>
  <c r="T105" i="27"/>
  <c r="U105" i="27"/>
  <c r="V105" i="27"/>
  <c r="W105" i="27"/>
  <c r="I28" i="27"/>
  <c r="I29" i="27"/>
  <c r="I30" i="27"/>
  <c r="I31" i="27"/>
  <c r="J28" i="27"/>
  <c r="J29" i="27"/>
  <c r="J30" i="27"/>
  <c r="J31" i="27"/>
  <c r="K28" i="27"/>
  <c r="K29" i="27"/>
  <c r="K30" i="27"/>
  <c r="K31" i="27"/>
  <c r="L28" i="27"/>
  <c r="L29" i="27"/>
  <c r="L30" i="27"/>
  <c r="L31" i="27"/>
  <c r="M28" i="27"/>
  <c r="M29" i="27"/>
  <c r="M30" i="27"/>
  <c r="M31" i="27"/>
  <c r="N28" i="27"/>
  <c r="N29" i="27"/>
  <c r="N30" i="27"/>
  <c r="N31" i="27"/>
  <c r="O28" i="27"/>
  <c r="O29" i="27"/>
  <c r="O30" i="27"/>
  <c r="O31" i="27"/>
  <c r="P28" i="27"/>
  <c r="P29" i="27"/>
  <c r="P30" i="27"/>
  <c r="P31" i="27"/>
  <c r="Q28" i="27"/>
  <c r="Q29" i="27"/>
  <c r="Q30" i="27"/>
  <c r="Q31" i="27"/>
  <c r="R28" i="27"/>
  <c r="R29" i="27"/>
  <c r="R30" i="27"/>
  <c r="R31" i="27"/>
  <c r="S28" i="27"/>
  <c r="S29" i="27"/>
  <c r="S30" i="27"/>
  <c r="S31" i="27"/>
  <c r="T28" i="27"/>
  <c r="T29" i="27"/>
  <c r="T30" i="27"/>
  <c r="T31" i="27"/>
  <c r="U28" i="27"/>
  <c r="U29" i="27"/>
  <c r="U30" i="27"/>
  <c r="U31" i="27"/>
  <c r="V28" i="27"/>
  <c r="V29" i="27"/>
  <c r="V30" i="27"/>
  <c r="V31" i="27"/>
  <c r="W28" i="27"/>
  <c r="W29" i="27"/>
  <c r="W30" i="27"/>
  <c r="W31" i="27"/>
  <c r="I49" i="27"/>
  <c r="J49" i="27"/>
  <c r="K49" i="27"/>
  <c r="L49" i="27"/>
  <c r="M49" i="27"/>
  <c r="N49" i="27"/>
  <c r="O49" i="27"/>
  <c r="P49" i="27"/>
  <c r="Q49" i="27"/>
  <c r="R49" i="27"/>
  <c r="S49" i="27"/>
  <c r="T49" i="27"/>
  <c r="U49" i="27"/>
  <c r="V49" i="27"/>
  <c r="W49" i="27"/>
  <c r="I18" i="27"/>
  <c r="J18" i="27"/>
  <c r="K18" i="27"/>
  <c r="L18" i="27"/>
  <c r="M18" i="27"/>
  <c r="N18" i="27"/>
  <c r="O18" i="27"/>
  <c r="P18" i="27"/>
  <c r="Q18" i="27"/>
  <c r="R18" i="27"/>
  <c r="S18" i="27"/>
  <c r="T18" i="27"/>
  <c r="U18" i="27"/>
  <c r="V18" i="27"/>
  <c r="W18" i="27"/>
  <c r="X31" i="27"/>
  <c r="X28" i="27"/>
  <c r="X29" i="27"/>
  <c r="X49" i="27"/>
  <c r="X30" i="27"/>
  <c r="X42" i="27"/>
  <c r="X105" i="27"/>
  <c r="X18" i="27"/>
  <c r="X43" i="27"/>
  <c r="I107" i="27" l="1"/>
  <c r="J107" i="27"/>
  <c r="K107" i="27"/>
  <c r="L107" i="27"/>
  <c r="M107" i="27"/>
  <c r="N107" i="27"/>
  <c r="O107" i="27"/>
  <c r="P107" i="27"/>
  <c r="Q107" i="27"/>
  <c r="R107" i="27"/>
  <c r="S107" i="27"/>
  <c r="T107" i="27"/>
  <c r="U107" i="27"/>
  <c r="V107" i="27"/>
  <c r="W107" i="27"/>
  <c r="I106" i="27"/>
  <c r="J106" i="27"/>
  <c r="K106" i="27"/>
  <c r="L106" i="27"/>
  <c r="M106" i="27"/>
  <c r="N106" i="27"/>
  <c r="O106" i="27"/>
  <c r="P106" i="27"/>
  <c r="Q106" i="27"/>
  <c r="R106" i="27"/>
  <c r="S106" i="27"/>
  <c r="T106" i="27"/>
  <c r="U106" i="27"/>
  <c r="V106" i="27"/>
  <c r="W106" i="27"/>
  <c r="I204" i="27"/>
  <c r="J204" i="27"/>
  <c r="K204" i="27"/>
  <c r="L204" i="27"/>
  <c r="M204" i="27"/>
  <c r="N204" i="27"/>
  <c r="O204" i="27"/>
  <c r="P204" i="27"/>
  <c r="Q204" i="27"/>
  <c r="R204" i="27"/>
  <c r="S204" i="27"/>
  <c r="T204" i="27"/>
  <c r="U204" i="27"/>
  <c r="V204" i="27"/>
  <c r="W204" i="27"/>
  <c r="I203" i="27"/>
  <c r="J203" i="27"/>
  <c r="K203" i="27"/>
  <c r="L203" i="27"/>
  <c r="M203" i="27"/>
  <c r="N203" i="27"/>
  <c r="O203" i="27"/>
  <c r="P203" i="27"/>
  <c r="Q203" i="27"/>
  <c r="R203" i="27"/>
  <c r="S203" i="27"/>
  <c r="T203" i="27"/>
  <c r="U203" i="27"/>
  <c r="V203" i="27"/>
  <c r="W203" i="27"/>
  <c r="I202" i="27"/>
  <c r="J202" i="27"/>
  <c r="K202" i="27"/>
  <c r="L202" i="27"/>
  <c r="M202" i="27"/>
  <c r="N202" i="27"/>
  <c r="O202" i="27"/>
  <c r="P202" i="27"/>
  <c r="Q202" i="27"/>
  <c r="R202" i="27"/>
  <c r="S202" i="27"/>
  <c r="T202" i="27"/>
  <c r="U202" i="27"/>
  <c r="V202" i="27"/>
  <c r="W202" i="27"/>
  <c r="X202" i="27"/>
  <c r="X203" i="27"/>
  <c r="X106" i="27"/>
  <c r="X107" i="27"/>
  <c r="X204" i="27"/>
  <c r="I306" i="27" l="1"/>
  <c r="J306" i="27"/>
  <c r="K306" i="27"/>
  <c r="L306" i="27"/>
  <c r="M306" i="27"/>
  <c r="N306" i="27"/>
  <c r="O306" i="27"/>
  <c r="P306" i="27"/>
  <c r="Q306" i="27"/>
  <c r="R306" i="27"/>
  <c r="S306" i="27"/>
  <c r="T306" i="27"/>
  <c r="U306" i="27"/>
  <c r="V306" i="27"/>
  <c r="W306" i="27"/>
  <c r="X306" i="27"/>
  <c r="I214" i="27" l="1"/>
  <c r="J214" i="27"/>
  <c r="K214" i="27"/>
  <c r="L214" i="27"/>
  <c r="M214" i="27"/>
  <c r="N214" i="27"/>
  <c r="O214" i="27"/>
  <c r="P214" i="27"/>
  <c r="Q214" i="27"/>
  <c r="R214" i="27"/>
  <c r="S214" i="27"/>
  <c r="T214" i="27"/>
  <c r="U214" i="27"/>
  <c r="V214" i="27"/>
  <c r="W214" i="27"/>
  <c r="X214" i="27"/>
  <c r="I186" i="27" l="1"/>
  <c r="J186" i="27"/>
  <c r="K186" i="27"/>
  <c r="L186" i="27"/>
  <c r="M186" i="27"/>
  <c r="N186" i="27"/>
  <c r="O186" i="27"/>
  <c r="P186" i="27"/>
  <c r="Q186" i="27"/>
  <c r="R186" i="27"/>
  <c r="S186" i="27"/>
  <c r="T186" i="27"/>
  <c r="U186" i="27"/>
  <c r="V186" i="27"/>
  <c r="W186" i="27"/>
  <c r="I288" i="27"/>
  <c r="J288" i="27"/>
  <c r="K288" i="27"/>
  <c r="L288" i="27"/>
  <c r="M288" i="27"/>
  <c r="N288" i="27"/>
  <c r="O288" i="27"/>
  <c r="P288" i="27"/>
  <c r="Q288" i="27"/>
  <c r="R288" i="27"/>
  <c r="S288" i="27"/>
  <c r="T288" i="27"/>
  <c r="U288" i="27"/>
  <c r="V288" i="27"/>
  <c r="W288" i="27"/>
  <c r="W292" i="27"/>
  <c r="V292" i="27"/>
  <c r="U292" i="27"/>
  <c r="T292" i="27"/>
  <c r="S292" i="27"/>
  <c r="R292" i="27"/>
  <c r="Q292" i="27"/>
  <c r="P292" i="27"/>
  <c r="O292" i="27"/>
  <c r="N292" i="27"/>
  <c r="M292" i="27"/>
  <c r="L292" i="27"/>
  <c r="K292" i="27"/>
  <c r="J292" i="27"/>
  <c r="I292" i="27"/>
  <c r="W291" i="27"/>
  <c r="V291" i="27"/>
  <c r="U291" i="27"/>
  <c r="T291" i="27"/>
  <c r="S291" i="27"/>
  <c r="R291" i="27"/>
  <c r="Q291" i="27"/>
  <c r="P291" i="27"/>
  <c r="O291" i="27"/>
  <c r="N291" i="27"/>
  <c r="M291" i="27"/>
  <c r="L291" i="27"/>
  <c r="K291" i="27"/>
  <c r="J291" i="27"/>
  <c r="I291" i="27"/>
  <c r="I281" i="27"/>
  <c r="J281" i="27"/>
  <c r="K281" i="27"/>
  <c r="L281" i="27"/>
  <c r="M281" i="27"/>
  <c r="N281" i="27"/>
  <c r="O281" i="27"/>
  <c r="P281" i="27"/>
  <c r="Q281" i="27"/>
  <c r="R281" i="27"/>
  <c r="S281" i="27"/>
  <c r="T281" i="27"/>
  <c r="U281" i="27"/>
  <c r="V281" i="27"/>
  <c r="W281" i="27"/>
  <c r="I274" i="27"/>
  <c r="J274" i="27"/>
  <c r="K274" i="27"/>
  <c r="L274" i="27"/>
  <c r="M274" i="27"/>
  <c r="N274" i="27"/>
  <c r="O274" i="27"/>
  <c r="P274" i="27"/>
  <c r="Q274" i="27"/>
  <c r="R274" i="27"/>
  <c r="S274" i="27"/>
  <c r="T274" i="27"/>
  <c r="U274" i="27"/>
  <c r="V274" i="27"/>
  <c r="W274" i="27"/>
  <c r="I266" i="27"/>
  <c r="J266" i="27"/>
  <c r="K266" i="27"/>
  <c r="L266" i="27"/>
  <c r="M266" i="27"/>
  <c r="N266" i="27"/>
  <c r="O266" i="27"/>
  <c r="P266" i="27"/>
  <c r="Q266" i="27"/>
  <c r="R266" i="27"/>
  <c r="S266" i="27"/>
  <c r="T266" i="27"/>
  <c r="U266" i="27"/>
  <c r="V266" i="27"/>
  <c r="W266" i="27"/>
  <c r="I201" i="27"/>
  <c r="J201" i="27"/>
  <c r="K201" i="27"/>
  <c r="L201" i="27"/>
  <c r="M201" i="27"/>
  <c r="N201" i="27"/>
  <c r="O201" i="27"/>
  <c r="P201" i="27"/>
  <c r="Q201" i="27"/>
  <c r="R201" i="27"/>
  <c r="S201" i="27"/>
  <c r="T201" i="27"/>
  <c r="U201" i="27"/>
  <c r="V201" i="27"/>
  <c r="W201" i="27"/>
  <c r="I108" i="27"/>
  <c r="J108" i="27"/>
  <c r="K108" i="27"/>
  <c r="L108" i="27"/>
  <c r="M108" i="27"/>
  <c r="N108" i="27"/>
  <c r="O108" i="27"/>
  <c r="P108" i="27"/>
  <c r="Q108" i="27"/>
  <c r="R108" i="27"/>
  <c r="S108" i="27"/>
  <c r="T108" i="27"/>
  <c r="U108" i="27"/>
  <c r="V108" i="27"/>
  <c r="W108" i="27"/>
  <c r="I35" i="27"/>
  <c r="J35" i="27"/>
  <c r="K35" i="27"/>
  <c r="L35" i="27"/>
  <c r="M35" i="27"/>
  <c r="N35" i="27"/>
  <c r="O35" i="27"/>
  <c r="P35" i="27"/>
  <c r="Q35" i="27"/>
  <c r="R35" i="27"/>
  <c r="S35" i="27"/>
  <c r="T35" i="27"/>
  <c r="U35" i="27"/>
  <c r="V35" i="27"/>
  <c r="W35" i="27"/>
  <c r="I91" i="27"/>
  <c r="J91" i="27"/>
  <c r="K91" i="27"/>
  <c r="L91" i="27"/>
  <c r="M91" i="27"/>
  <c r="N91" i="27"/>
  <c r="O91" i="27"/>
  <c r="P91" i="27"/>
  <c r="Q91" i="27"/>
  <c r="R91" i="27"/>
  <c r="S91" i="27"/>
  <c r="T91" i="27"/>
  <c r="U91" i="27"/>
  <c r="V91" i="27"/>
  <c r="W91" i="27"/>
  <c r="I92" i="27"/>
  <c r="J92" i="27"/>
  <c r="K92" i="27"/>
  <c r="L92" i="27"/>
  <c r="M92" i="27"/>
  <c r="N92" i="27"/>
  <c r="O92" i="27"/>
  <c r="P92" i="27"/>
  <c r="Q92" i="27"/>
  <c r="R92" i="27"/>
  <c r="S92" i="27"/>
  <c r="T92" i="27"/>
  <c r="U92" i="27"/>
  <c r="V92" i="27"/>
  <c r="W92" i="27"/>
  <c r="I6" i="27"/>
  <c r="J6" i="27"/>
  <c r="K6" i="27"/>
  <c r="L6" i="27"/>
  <c r="M6" i="27"/>
  <c r="N6" i="27"/>
  <c r="O6" i="27"/>
  <c r="P6" i="27"/>
  <c r="Q6" i="27"/>
  <c r="R6" i="27"/>
  <c r="S6" i="27"/>
  <c r="T6" i="27"/>
  <c r="U6" i="27"/>
  <c r="V6" i="27"/>
  <c r="W6" i="27"/>
  <c r="X186" i="27"/>
  <c r="X266" i="27"/>
  <c r="X288" i="27"/>
  <c r="X35" i="27"/>
  <c r="X92" i="27"/>
  <c r="X91" i="27"/>
  <c r="X6" i="27"/>
  <c r="X292" i="27"/>
  <c r="X201" i="27"/>
  <c r="X108" i="27"/>
  <c r="X291" i="27"/>
  <c r="X281" i="27"/>
  <c r="X274" i="27"/>
  <c r="H9" i="30" l="1"/>
  <c r="I9" i="30"/>
  <c r="J9" i="30"/>
  <c r="K9" i="30"/>
  <c r="L9" i="30"/>
  <c r="M9" i="30"/>
  <c r="N9" i="30"/>
  <c r="O9" i="30"/>
  <c r="P9" i="30"/>
  <c r="Q9" i="30"/>
  <c r="R9" i="30"/>
  <c r="S9" i="30"/>
  <c r="T9" i="30"/>
  <c r="U9" i="30"/>
  <c r="S8" i="30"/>
  <c r="H8" i="30"/>
  <c r="I8" i="30"/>
  <c r="J8" i="30"/>
  <c r="K8" i="30"/>
  <c r="L8" i="30"/>
  <c r="M8" i="30"/>
  <c r="N8" i="30"/>
  <c r="O8" i="30"/>
  <c r="P8" i="30"/>
  <c r="Q8" i="30"/>
  <c r="R8" i="30"/>
  <c r="T8" i="30"/>
  <c r="U8" i="30"/>
  <c r="H36" i="30" l="1"/>
  <c r="I36" i="30"/>
  <c r="J36" i="30"/>
  <c r="K36" i="30"/>
  <c r="L36" i="30"/>
  <c r="M36" i="30"/>
  <c r="N36" i="30"/>
  <c r="O36" i="30"/>
  <c r="P36" i="30"/>
  <c r="Q36" i="30"/>
  <c r="R36" i="30"/>
  <c r="S36" i="30"/>
  <c r="T36" i="30"/>
  <c r="U36" i="30"/>
  <c r="H34" i="30"/>
  <c r="I34" i="30"/>
  <c r="J34" i="30"/>
  <c r="K34" i="30"/>
  <c r="L34" i="30"/>
  <c r="M34" i="30"/>
  <c r="N34" i="30"/>
  <c r="O34" i="30"/>
  <c r="P34" i="30"/>
  <c r="Q34" i="30"/>
  <c r="R34" i="30"/>
  <c r="S34" i="30"/>
  <c r="T34" i="30"/>
  <c r="U34" i="30"/>
  <c r="H32" i="30"/>
  <c r="I32" i="30"/>
  <c r="J32" i="30"/>
  <c r="K32" i="30"/>
  <c r="L32" i="30"/>
  <c r="M32" i="30"/>
  <c r="N32" i="30"/>
  <c r="O32" i="30"/>
  <c r="P32" i="30"/>
  <c r="Q32" i="30"/>
  <c r="R32" i="30"/>
  <c r="S32" i="30"/>
  <c r="T32" i="30"/>
  <c r="U32" i="30"/>
  <c r="H30" i="30"/>
  <c r="I30" i="30"/>
  <c r="J30" i="30"/>
  <c r="K30" i="30"/>
  <c r="L30" i="30"/>
  <c r="M30" i="30"/>
  <c r="N30" i="30"/>
  <c r="O30" i="30"/>
  <c r="P30" i="30"/>
  <c r="Q30" i="30"/>
  <c r="R30" i="30"/>
  <c r="S30" i="30"/>
  <c r="T30" i="30"/>
  <c r="U30" i="30"/>
  <c r="H28" i="30"/>
  <c r="I28" i="30"/>
  <c r="J28" i="30"/>
  <c r="K28" i="30"/>
  <c r="L28" i="30"/>
  <c r="M28" i="30"/>
  <c r="N28" i="30"/>
  <c r="O28" i="30"/>
  <c r="P28" i="30"/>
  <c r="Q28" i="30"/>
  <c r="R28" i="30"/>
  <c r="S28" i="30"/>
  <c r="T28" i="30"/>
  <c r="U28" i="30"/>
  <c r="H19" i="30"/>
  <c r="I19" i="30"/>
  <c r="J19" i="30"/>
  <c r="K19" i="30"/>
  <c r="L19" i="30"/>
  <c r="M19" i="30"/>
  <c r="N19" i="30"/>
  <c r="O19" i="30"/>
  <c r="P19" i="30"/>
  <c r="Q19" i="30"/>
  <c r="R19" i="30"/>
  <c r="S19" i="30"/>
  <c r="T19" i="30"/>
  <c r="U19" i="30"/>
  <c r="S15" i="30"/>
  <c r="H15" i="30"/>
  <c r="I15" i="30"/>
  <c r="J15" i="30"/>
  <c r="K15" i="30"/>
  <c r="L15" i="30"/>
  <c r="M15" i="30"/>
  <c r="N15" i="30"/>
  <c r="O15" i="30"/>
  <c r="P15" i="30"/>
  <c r="Q15" i="30"/>
  <c r="R15" i="30"/>
  <c r="T15" i="30"/>
  <c r="U15" i="30"/>
  <c r="H13" i="30"/>
  <c r="I13" i="30"/>
  <c r="J13" i="30"/>
  <c r="K13" i="30"/>
  <c r="L13" i="30"/>
  <c r="M13" i="30"/>
  <c r="N13" i="30"/>
  <c r="O13" i="30"/>
  <c r="P13" i="30"/>
  <c r="Q13" i="30"/>
  <c r="R13" i="30"/>
  <c r="S13" i="30"/>
  <c r="T13" i="30"/>
  <c r="U13" i="30"/>
  <c r="H7" i="30"/>
  <c r="I7" i="30"/>
  <c r="J7" i="30"/>
  <c r="K7" i="30"/>
  <c r="L7" i="30"/>
  <c r="M7" i="30"/>
  <c r="N7" i="30"/>
  <c r="O7" i="30"/>
  <c r="P7" i="30"/>
  <c r="Q7" i="30"/>
  <c r="R7" i="30"/>
  <c r="S7" i="30"/>
  <c r="T7" i="30"/>
  <c r="U7" i="30"/>
  <c r="I2" i="27" l="1"/>
  <c r="J2" i="27"/>
  <c r="K2" i="27"/>
  <c r="L2" i="27"/>
  <c r="M2" i="27"/>
  <c r="N2" i="27"/>
  <c r="O2" i="27"/>
  <c r="P2" i="27"/>
  <c r="Q2" i="27"/>
  <c r="R2" i="27"/>
  <c r="S2" i="27"/>
  <c r="T2" i="27"/>
  <c r="U2" i="27"/>
  <c r="V2" i="27"/>
  <c r="W2" i="27"/>
  <c r="I3" i="27"/>
  <c r="J3" i="27"/>
  <c r="K3" i="27"/>
  <c r="L3" i="27"/>
  <c r="M3" i="27"/>
  <c r="N3" i="27"/>
  <c r="O3" i="27"/>
  <c r="P3" i="27"/>
  <c r="Q3" i="27"/>
  <c r="R3" i="27"/>
  <c r="S3" i="27"/>
  <c r="T3" i="27"/>
  <c r="U3" i="27"/>
  <c r="V3" i="27"/>
  <c r="W3" i="27"/>
  <c r="I4" i="27"/>
  <c r="J4" i="27"/>
  <c r="K4" i="27"/>
  <c r="L4" i="27"/>
  <c r="M4" i="27"/>
  <c r="N4" i="27"/>
  <c r="O4" i="27"/>
  <c r="P4" i="27"/>
  <c r="Q4" i="27"/>
  <c r="R4" i="27"/>
  <c r="S4" i="27"/>
  <c r="T4" i="27"/>
  <c r="U4" i="27"/>
  <c r="V4" i="27"/>
  <c r="W4" i="27"/>
  <c r="I5" i="27"/>
  <c r="J5" i="27"/>
  <c r="K5" i="27"/>
  <c r="L5" i="27"/>
  <c r="M5" i="27"/>
  <c r="N5" i="27"/>
  <c r="O5" i="27"/>
  <c r="P5" i="27"/>
  <c r="Q5" i="27"/>
  <c r="R5" i="27"/>
  <c r="S5" i="27"/>
  <c r="T5" i="27"/>
  <c r="U5" i="27"/>
  <c r="V5" i="27"/>
  <c r="W5" i="27"/>
  <c r="I8" i="27"/>
  <c r="J8" i="27"/>
  <c r="K8" i="27"/>
  <c r="L8" i="27"/>
  <c r="M8" i="27"/>
  <c r="N8" i="27"/>
  <c r="O8" i="27"/>
  <c r="P8" i="27"/>
  <c r="Q8" i="27"/>
  <c r="R8" i="27"/>
  <c r="S8" i="27"/>
  <c r="T8" i="27"/>
  <c r="U8" i="27"/>
  <c r="V8" i="27"/>
  <c r="W8" i="27"/>
  <c r="I9" i="27"/>
  <c r="J9" i="27"/>
  <c r="K9" i="27"/>
  <c r="L9" i="27"/>
  <c r="M9" i="27"/>
  <c r="N9" i="27"/>
  <c r="O9" i="27"/>
  <c r="P9" i="27"/>
  <c r="Q9" i="27"/>
  <c r="R9" i="27"/>
  <c r="S9" i="27"/>
  <c r="T9" i="27"/>
  <c r="U9" i="27"/>
  <c r="V9" i="27"/>
  <c r="W9" i="27"/>
  <c r="I10" i="27"/>
  <c r="J10" i="27"/>
  <c r="K10" i="27"/>
  <c r="L10" i="27"/>
  <c r="M10" i="27"/>
  <c r="N10" i="27"/>
  <c r="O10" i="27"/>
  <c r="P10" i="27"/>
  <c r="Q10" i="27"/>
  <c r="R10" i="27"/>
  <c r="S10" i="27"/>
  <c r="T10" i="27"/>
  <c r="U10" i="27"/>
  <c r="V10" i="27"/>
  <c r="W10" i="27"/>
  <c r="I11" i="27"/>
  <c r="J11" i="27"/>
  <c r="K11" i="27"/>
  <c r="L11" i="27"/>
  <c r="M11" i="27"/>
  <c r="N11" i="27"/>
  <c r="O11" i="27"/>
  <c r="P11" i="27"/>
  <c r="Q11" i="27"/>
  <c r="R11" i="27"/>
  <c r="S11" i="27"/>
  <c r="T11" i="27"/>
  <c r="U11" i="27"/>
  <c r="V11" i="27"/>
  <c r="W11" i="27"/>
  <c r="I12" i="27"/>
  <c r="J12" i="27"/>
  <c r="K12" i="27"/>
  <c r="L12" i="27"/>
  <c r="M12" i="27"/>
  <c r="N12" i="27"/>
  <c r="O12" i="27"/>
  <c r="P12" i="27"/>
  <c r="Q12" i="27"/>
  <c r="R12" i="27"/>
  <c r="S12" i="27"/>
  <c r="T12" i="27"/>
  <c r="U12" i="27"/>
  <c r="V12" i="27"/>
  <c r="W12" i="27"/>
  <c r="I13" i="27"/>
  <c r="J13" i="27"/>
  <c r="K13" i="27"/>
  <c r="L13" i="27"/>
  <c r="M13" i="27"/>
  <c r="N13" i="27"/>
  <c r="O13" i="27"/>
  <c r="P13" i="27"/>
  <c r="Q13" i="27"/>
  <c r="R13" i="27"/>
  <c r="S13" i="27"/>
  <c r="T13" i="27"/>
  <c r="U13" i="27"/>
  <c r="V13" i="27"/>
  <c r="W13" i="27"/>
  <c r="I14" i="27"/>
  <c r="J14" i="27"/>
  <c r="K14" i="27"/>
  <c r="L14" i="27"/>
  <c r="M14" i="27"/>
  <c r="N14" i="27"/>
  <c r="O14" i="27"/>
  <c r="P14" i="27"/>
  <c r="Q14" i="27"/>
  <c r="R14" i="27"/>
  <c r="S14" i="27"/>
  <c r="T14" i="27"/>
  <c r="U14" i="27"/>
  <c r="V14" i="27"/>
  <c r="W14" i="27"/>
  <c r="I15" i="27"/>
  <c r="J15" i="27"/>
  <c r="K15" i="27"/>
  <c r="L15" i="27"/>
  <c r="M15" i="27"/>
  <c r="N15" i="27"/>
  <c r="O15" i="27"/>
  <c r="P15" i="27"/>
  <c r="Q15" i="27"/>
  <c r="R15" i="27"/>
  <c r="S15" i="27"/>
  <c r="T15" i="27"/>
  <c r="U15" i="27"/>
  <c r="V15" i="27"/>
  <c r="W15" i="27"/>
  <c r="I16" i="27"/>
  <c r="J16" i="27"/>
  <c r="K16" i="27"/>
  <c r="L16" i="27"/>
  <c r="M16" i="27"/>
  <c r="N16" i="27"/>
  <c r="O16" i="27"/>
  <c r="P16" i="27"/>
  <c r="Q16" i="27"/>
  <c r="R16" i="27"/>
  <c r="S16" i="27"/>
  <c r="T16" i="27"/>
  <c r="U16" i="27"/>
  <c r="V16" i="27"/>
  <c r="W16" i="27"/>
  <c r="I17" i="27"/>
  <c r="J17" i="27"/>
  <c r="K17" i="27"/>
  <c r="L17" i="27"/>
  <c r="M17" i="27"/>
  <c r="N17" i="27"/>
  <c r="O17" i="27"/>
  <c r="P17" i="27"/>
  <c r="Q17" i="27"/>
  <c r="R17" i="27"/>
  <c r="S17" i="27"/>
  <c r="T17" i="27"/>
  <c r="U17" i="27"/>
  <c r="V17" i="27"/>
  <c r="W17" i="27"/>
  <c r="I19" i="27"/>
  <c r="J19" i="27"/>
  <c r="K19" i="27"/>
  <c r="L19" i="27"/>
  <c r="M19" i="27"/>
  <c r="N19" i="27"/>
  <c r="O19" i="27"/>
  <c r="P19" i="27"/>
  <c r="Q19" i="27"/>
  <c r="R19" i="27"/>
  <c r="S19" i="27"/>
  <c r="T19" i="27"/>
  <c r="U19" i="27"/>
  <c r="V19" i="27"/>
  <c r="W19" i="27"/>
  <c r="I20" i="27"/>
  <c r="J20" i="27"/>
  <c r="K20" i="27"/>
  <c r="L20" i="27"/>
  <c r="M20" i="27"/>
  <c r="N20" i="27"/>
  <c r="O20" i="27"/>
  <c r="P20" i="27"/>
  <c r="Q20" i="27"/>
  <c r="R20" i="27"/>
  <c r="S20" i="27"/>
  <c r="T20" i="27"/>
  <c r="U20" i="27"/>
  <c r="V20" i="27"/>
  <c r="W20" i="27"/>
  <c r="I21" i="27"/>
  <c r="J21" i="27"/>
  <c r="K21" i="27"/>
  <c r="L21" i="27"/>
  <c r="M21" i="27"/>
  <c r="N21" i="27"/>
  <c r="O21" i="27"/>
  <c r="P21" i="27"/>
  <c r="Q21" i="27"/>
  <c r="R21" i="27"/>
  <c r="S21" i="27"/>
  <c r="T21" i="27"/>
  <c r="U21" i="27"/>
  <c r="V21" i="27"/>
  <c r="W21" i="27"/>
  <c r="I22" i="27"/>
  <c r="J22" i="27"/>
  <c r="K22" i="27"/>
  <c r="L22" i="27"/>
  <c r="M22" i="27"/>
  <c r="N22" i="27"/>
  <c r="O22" i="27"/>
  <c r="P22" i="27"/>
  <c r="Q22" i="27"/>
  <c r="R22" i="27"/>
  <c r="S22" i="27"/>
  <c r="T22" i="27"/>
  <c r="U22" i="27"/>
  <c r="V22" i="27"/>
  <c r="W22" i="27"/>
  <c r="I23" i="27"/>
  <c r="J23" i="27"/>
  <c r="K23" i="27"/>
  <c r="L23" i="27"/>
  <c r="M23" i="27"/>
  <c r="N23" i="27"/>
  <c r="O23" i="27"/>
  <c r="P23" i="27"/>
  <c r="Q23" i="27"/>
  <c r="R23" i="27"/>
  <c r="S23" i="27"/>
  <c r="T23" i="27"/>
  <c r="U23" i="27"/>
  <c r="V23" i="27"/>
  <c r="W23" i="27"/>
  <c r="I24" i="27"/>
  <c r="J24" i="27"/>
  <c r="K24" i="27"/>
  <c r="L24" i="27"/>
  <c r="M24" i="27"/>
  <c r="N24" i="27"/>
  <c r="O24" i="27"/>
  <c r="P24" i="27"/>
  <c r="Q24" i="27"/>
  <c r="R24" i="27"/>
  <c r="S24" i="27"/>
  <c r="T24" i="27"/>
  <c r="U24" i="27"/>
  <c r="V24" i="27"/>
  <c r="W24" i="27"/>
  <c r="I25" i="27"/>
  <c r="J25" i="27"/>
  <c r="K25" i="27"/>
  <c r="L25" i="27"/>
  <c r="M25" i="27"/>
  <c r="N25" i="27"/>
  <c r="O25" i="27"/>
  <c r="P25" i="27"/>
  <c r="Q25" i="27"/>
  <c r="R25" i="27"/>
  <c r="S25" i="27"/>
  <c r="T25" i="27"/>
  <c r="U25" i="27"/>
  <c r="V25" i="27"/>
  <c r="W25" i="27"/>
  <c r="I27" i="27"/>
  <c r="J27" i="27"/>
  <c r="K27" i="27"/>
  <c r="L27" i="27"/>
  <c r="M27" i="27"/>
  <c r="N27" i="27"/>
  <c r="O27" i="27"/>
  <c r="P27" i="27"/>
  <c r="Q27" i="27"/>
  <c r="R27" i="27"/>
  <c r="S27" i="27"/>
  <c r="T27" i="27"/>
  <c r="U27" i="27"/>
  <c r="V27" i="27"/>
  <c r="W27" i="27"/>
  <c r="I32" i="27"/>
  <c r="J32" i="27"/>
  <c r="K32" i="27"/>
  <c r="L32" i="27"/>
  <c r="M32" i="27"/>
  <c r="N32" i="27"/>
  <c r="O32" i="27"/>
  <c r="P32" i="27"/>
  <c r="Q32" i="27"/>
  <c r="R32" i="27"/>
  <c r="S32" i="27"/>
  <c r="T32" i="27"/>
  <c r="U32" i="27"/>
  <c r="V32" i="27"/>
  <c r="W32" i="27"/>
  <c r="I33" i="27"/>
  <c r="J33" i="27"/>
  <c r="K33" i="27"/>
  <c r="L33" i="27"/>
  <c r="M33" i="27"/>
  <c r="N33" i="27"/>
  <c r="O33" i="27"/>
  <c r="P33" i="27"/>
  <c r="Q33" i="27"/>
  <c r="R33" i="27"/>
  <c r="S33" i="27"/>
  <c r="T33" i="27"/>
  <c r="U33" i="27"/>
  <c r="V33" i="27"/>
  <c r="W33" i="27"/>
  <c r="I36" i="27"/>
  <c r="J36" i="27"/>
  <c r="K36" i="27"/>
  <c r="L36" i="27"/>
  <c r="M36" i="27"/>
  <c r="N36" i="27"/>
  <c r="O36" i="27"/>
  <c r="P36" i="27"/>
  <c r="Q36" i="27"/>
  <c r="R36" i="27"/>
  <c r="S36" i="27"/>
  <c r="T36" i="27"/>
  <c r="U36" i="27"/>
  <c r="V36" i="27"/>
  <c r="W36" i="27"/>
  <c r="I37" i="27"/>
  <c r="J37" i="27"/>
  <c r="K37" i="27"/>
  <c r="L37" i="27"/>
  <c r="M37" i="27"/>
  <c r="N37" i="27"/>
  <c r="O37" i="27"/>
  <c r="P37" i="27"/>
  <c r="Q37" i="27"/>
  <c r="R37" i="27"/>
  <c r="S37" i="27"/>
  <c r="T37" i="27"/>
  <c r="U37" i="27"/>
  <c r="V37" i="27"/>
  <c r="W37" i="27"/>
  <c r="I38" i="27"/>
  <c r="J38" i="27"/>
  <c r="K38" i="27"/>
  <c r="L38" i="27"/>
  <c r="M38" i="27"/>
  <c r="N38" i="27"/>
  <c r="O38" i="27"/>
  <c r="P38" i="27"/>
  <c r="Q38" i="27"/>
  <c r="R38" i="27"/>
  <c r="S38" i="27"/>
  <c r="T38" i="27"/>
  <c r="U38" i="27"/>
  <c r="V38" i="27"/>
  <c r="W38" i="27"/>
  <c r="I39" i="27"/>
  <c r="J39" i="27"/>
  <c r="K39" i="27"/>
  <c r="L39" i="27"/>
  <c r="M39" i="27"/>
  <c r="N39" i="27"/>
  <c r="O39" i="27"/>
  <c r="P39" i="27"/>
  <c r="Q39" i="27"/>
  <c r="R39" i="27"/>
  <c r="S39" i="27"/>
  <c r="T39" i="27"/>
  <c r="U39" i="27"/>
  <c r="V39" i="27"/>
  <c r="W39" i="27"/>
  <c r="I40" i="27"/>
  <c r="J40" i="27"/>
  <c r="K40" i="27"/>
  <c r="L40" i="27"/>
  <c r="M40" i="27"/>
  <c r="N40" i="27"/>
  <c r="O40" i="27"/>
  <c r="P40" i="27"/>
  <c r="Q40" i="27"/>
  <c r="R40" i="27"/>
  <c r="S40" i="27"/>
  <c r="T40" i="27"/>
  <c r="U40" i="27"/>
  <c r="V40" i="27"/>
  <c r="W40" i="27"/>
  <c r="I41" i="27"/>
  <c r="J41" i="27"/>
  <c r="K41" i="27"/>
  <c r="L41" i="27"/>
  <c r="M41" i="27"/>
  <c r="N41" i="27"/>
  <c r="O41" i="27"/>
  <c r="P41" i="27"/>
  <c r="Q41" i="27"/>
  <c r="R41" i="27"/>
  <c r="S41" i="27"/>
  <c r="T41" i="27"/>
  <c r="U41" i="27"/>
  <c r="V41" i="27"/>
  <c r="W41" i="27"/>
  <c r="I44" i="27"/>
  <c r="J44" i="27"/>
  <c r="K44" i="27"/>
  <c r="L44" i="27"/>
  <c r="M44" i="27"/>
  <c r="N44" i="27"/>
  <c r="O44" i="27"/>
  <c r="P44" i="27"/>
  <c r="Q44" i="27"/>
  <c r="R44" i="27"/>
  <c r="S44" i="27"/>
  <c r="T44" i="27"/>
  <c r="U44" i="27"/>
  <c r="V44" i="27"/>
  <c r="W44" i="27"/>
  <c r="I45" i="27"/>
  <c r="J45" i="27"/>
  <c r="K45" i="27"/>
  <c r="L45" i="27"/>
  <c r="M45" i="27"/>
  <c r="N45" i="27"/>
  <c r="O45" i="27"/>
  <c r="P45" i="27"/>
  <c r="Q45" i="27"/>
  <c r="R45" i="27"/>
  <c r="S45" i="27"/>
  <c r="T45" i="27"/>
  <c r="U45" i="27"/>
  <c r="V45" i="27"/>
  <c r="W45" i="27"/>
  <c r="I46" i="27"/>
  <c r="J46" i="27"/>
  <c r="K46" i="27"/>
  <c r="L46" i="27"/>
  <c r="M46" i="27"/>
  <c r="N46" i="27"/>
  <c r="O46" i="27"/>
  <c r="P46" i="27"/>
  <c r="Q46" i="27"/>
  <c r="R46" i="27"/>
  <c r="S46" i="27"/>
  <c r="T46" i="27"/>
  <c r="U46" i="27"/>
  <c r="V46" i="27"/>
  <c r="W46" i="27"/>
  <c r="I47" i="27"/>
  <c r="J47" i="27"/>
  <c r="K47" i="27"/>
  <c r="L47" i="27"/>
  <c r="M47" i="27"/>
  <c r="N47" i="27"/>
  <c r="O47" i="27"/>
  <c r="P47" i="27"/>
  <c r="Q47" i="27"/>
  <c r="R47" i="27"/>
  <c r="S47" i="27"/>
  <c r="T47" i="27"/>
  <c r="U47" i="27"/>
  <c r="V47" i="27"/>
  <c r="W47" i="27"/>
  <c r="I50" i="27"/>
  <c r="J50" i="27"/>
  <c r="K50" i="27"/>
  <c r="L50" i="27"/>
  <c r="M50" i="27"/>
  <c r="N50" i="27"/>
  <c r="O50" i="27"/>
  <c r="P50" i="27"/>
  <c r="Q50" i="27"/>
  <c r="R50" i="27"/>
  <c r="S50" i="27"/>
  <c r="T50" i="27"/>
  <c r="U50" i="27"/>
  <c r="V50" i="27"/>
  <c r="W50" i="27"/>
  <c r="I51" i="27"/>
  <c r="J51" i="27"/>
  <c r="K51" i="27"/>
  <c r="L51" i="27"/>
  <c r="M51" i="27"/>
  <c r="N51" i="27"/>
  <c r="O51" i="27"/>
  <c r="P51" i="27"/>
  <c r="Q51" i="27"/>
  <c r="R51" i="27"/>
  <c r="S51" i="27"/>
  <c r="T51" i="27"/>
  <c r="U51" i="27"/>
  <c r="V51" i="27"/>
  <c r="W51" i="27"/>
  <c r="I73" i="27"/>
  <c r="J73" i="27"/>
  <c r="K73" i="27"/>
  <c r="L73" i="27"/>
  <c r="M73" i="27"/>
  <c r="N73" i="27"/>
  <c r="O73" i="27"/>
  <c r="P73" i="27"/>
  <c r="Q73" i="27"/>
  <c r="R73" i="27"/>
  <c r="S73" i="27"/>
  <c r="T73" i="27"/>
  <c r="U73" i="27"/>
  <c r="V73" i="27"/>
  <c r="W73" i="27"/>
  <c r="I74" i="27"/>
  <c r="J74" i="27"/>
  <c r="K74" i="27"/>
  <c r="L74" i="27"/>
  <c r="M74" i="27"/>
  <c r="N74" i="27"/>
  <c r="O74" i="27"/>
  <c r="P74" i="27"/>
  <c r="Q74" i="27"/>
  <c r="R74" i="27"/>
  <c r="S74" i="27"/>
  <c r="T74" i="27"/>
  <c r="U74" i="27"/>
  <c r="V74" i="27"/>
  <c r="W74" i="27"/>
  <c r="I75" i="27"/>
  <c r="J75" i="27"/>
  <c r="K75" i="27"/>
  <c r="L75" i="27"/>
  <c r="M75" i="27"/>
  <c r="N75" i="27"/>
  <c r="O75" i="27"/>
  <c r="P75" i="27"/>
  <c r="Q75" i="27"/>
  <c r="R75" i="27"/>
  <c r="S75" i="27"/>
  <c r="T75" i="27"/>
  <c r="U75" i="27"/>
  <c r="V75" i="27"/>
  <c r="W75" i="27"/>
  <c r="I77" i="27"/>
  <c r="J77" i="27"/>
  <c r="K77" i="27"/>
  <c r="L77" i="27"/>
  <c r="M77" i="27"/>
  <c r="N77" i="27"/>
  <c r="O77" i="27"/>
  <c r="P77" i="27"/>
  <c r="Q77" i="27"/>
  <c r="R77" i="27"/>
  <c r="S77" i="27"/>
  <c r="T77" i="27"/>
  <c r="U77" i="27"/>
  <c r="V77" i="27"/>
  <c r="W77" i="27"/>
  <c r="I79" i="27"/>
  <c r="J79" i="27"/>
  <c r="K79" i="27"/>
  <c r="L79" i="27"/>
  <c r="M79" i="27"/>
  <c r="N79" i="27"/>
  <c r="O79" i="27"/>
  <c r="P79" i="27"/>
  <c r="Q79" i="27"/>
  <c r="R79" i="27"/>
  <c r="S79" i="27"/>
  <c r="T79" i="27"/>
  <c r="U79" i="27"/>
  <c r="V79" i="27"/>
  <c r="W79" i="27"/>
  <c r="I80" i="27"/>
  <c r="J80" i="27"/>
  <c r="K80" i="27"/>
  <c r="L80" i="27"/>
  <c r="M80" i="27"/>
  <c r="N80" i="27"/>
  <c r="O80" i="27"/>
  <c r="P80" i="27"/>
  <c r="Q80" i="27"/>
  <c r="R80" i="27"/>
  <c r="S80" i="27"/>
  <c r="T80" i="27"/>
  <c r="U80" i="27"/>
  <c r="V80" i="27"/>
  <c r="W80" i="27"/>
  <c r="I81" i="27"/>
  <c r="J81" i="27"/>
  <c r="K81" i="27"/>
  <c r="L81" i="27"/>
  <c r="M81" i="27"/>
  <c r="N81" i="27"/>
  <c r="O81" i="27"/>
  <c r="P81" i="27"/>
  <c r="Q81" i="27"/>
  <c r="R81" i="27"/>
  <c r="S81" i="27"/>
  <c r="T81" i="27"/>
  <c r="U81" i="27"/>
  <c r="V81" i="27"/>
  <c r="W81" i="27"/>
  <c r="I82" i="27"/>
  <c r="J82" i="27"/>
  <c r="K82" i="27"/>
  <c r="L82" i="27"/>
  <c r="M82" i="27"/>
  <c r="N82" i="27"/>
  <c r="O82" i="27"/>
  <c r="P82" i="27"/>
  <c r="Q82" i="27"/>
  <c r="R82" i="27"/>
  <c r="S82" i="27"/>
  <c r="T82" i="27"/>
  <c r="U82" i="27"/>
  <c r="V82" i="27"/>
  <c r="W82" i="27"/>
  <c r="I83" i="27"/>
  <c r="J83" i="27"/>
  <c r="K83" i="27"/>
  <c r="L83" i="27"/>
  <c r="M83" i="27"/>
  <c r="N83" i="27"/>
  <c r="O83" i="27"/>
  <c r="P83" i="27"/>
  <c r="Q83" i="27"/>
  <c r="R83" i="27"/>
  <c r="S83" i="27"/>
  <c r="T83" i="27"/>
  <c r="U83" i="27"/>
  <c r="V83" i="27"/>
  <c r="W83" i="27"/>
  <c r="I84" i="27"/>
  <c r="J84" i="27"/>
  <c r="K84" i="27"/>
  <c r="L84" i="27"/>
  <c r="M84" i="27"/>
  <c r="N84" i="27"/>
  <c r="O84" i="27"/>
  <c r="P84" i="27"/>
  <c r="Q84" i="27"/>
  <c r="R84" i="27"/>
  <c r="S84" i="27"/>
  <c r="T84" i="27"/>
  <c r="U84" i="27"/>
  <c r="V84" i="27"/>
  <c r="W84" i="27"/>
  <c r="I85" i="27"/>
  <c r="J85" i="27"/>
  <c r="K85" i="27"/>
  <c r="L85" i="27"/>
  <c r="M85" i="27"/>
  <c r="N85" i="27"/>
  <c r="O85" i="27"/>
  <c r="P85" i="27"/>
  <c r="Q85" i="27"/>
  <c r="R85" i="27"/>
  <c r="S85" i="27"/>
  <c r="T85" i="27"/>
  <c r="U85" i="27"/>
  <c r="V85" i="27"/>
  <c r="W85" i="27"/>
  <c r="I86" i="27"/>
  <c r="J86" i="27"/>
  <c r="K86" i="27"/>
  <c r="L86" i="27"/>
  <c r="M86" i="27"/>
  <c r="N86" i="27"/>
  <c r="O86" i="27"/>
  <c r="P86" i="27"/>
  <c r="Q86" i="27"/>
  <c r="R86" i="27"/>
  <c r="S86" i="27"/>
  <c r="T86" i="27"/>
  <c r="U86" i="27"/>
  <c r="V86" i="27"/>
  <c r="W86" i="27"/>
  <c r="I87" i="27"/>
  <c r="J87" i="27"/>
  <c r="K87" i="27"/>
  <c r="L87" i="27"/>
  <c r="M87" i="27"/>
  <c r="N87" i="27"/>
  <c r="O87" i="27"/>
  <c r="P87" i="27"/>
  <c r="Q87" i="27"/>
  <c r="R87" i="27"/>
  <c r="S87" i="27"/>
  <c r="T87" i="27"/>
  <c r="U87" i="27"/>
  <c r="V87" i="27"/>
  <c r="W87" i="27"/>
  <c r="I89" i="27"/>
  <c r="J89" i="27"/>
  <c r="K89" i="27"/>
  <c r="L89" i="27"/>
  <c r="M89" i="27"/>
  <c r="N89" i="27"/>
  <c r="O89" i="27"/>
  <c r="P89" i="27"/>
  <c r="Q89" i="27"/>
  <c r="R89" i="27"/>
  <c r="S89" i="27"/>
  <c r="T89" i="27"/>
  <c r="U89" i="27"/>
  <c r="V89" i="27"/>
  <c r="W89" i="27"/>
  <c r="I88" i="27"/>
  <c r="J88" i="27"/>
  <c r="K88" i="27"/>
  <c r="L88" i="27"/>
  <c r="M88" i="27"/>
  <c r="N88" i="27"/>
  <c r="O88" i="27"/>
  <c r="P88" i="27"/>
  <c r="Q88" i="27"/>
  <c r="R88" i="27"/>
  <c r="S88" i="27"/>
  <c r="T88" i="27"/>
  <c r="U88" i="27"/>
  <c r="V88" i="27"/>
  <c r="W88" i="27"/>
  <c r="I90" i="27"/>
  <c r="J90" i="27"/>
  <c r="K90" i="27"/>
  <c r="L90" i="27"/>
  <c r="M90" i="27"/>
  <c r="N90" i="27"/>
  <c r="O90" i="27"/>
  <c r="P90" i="27"/>
  <c r="Q90" i="27"/>
  <c r="R90" i="27"/>
  <c r="S90" i="27"/>
  <c r="T90" i="27"/>
  <c r="U90" i="27"/>
  <c r="V90" i="27"/>
  <c r="W90" i="27"/>
  <c r="I93" i="27"/>
  <c r="J93" i="27"/>
  <c r="K93" i="27"/>
  <c r="L93" i="27"/>
  <c r="M93" i="27"/>
  <c r="N93" i="27"/>
  <c r="O93" i="27"/>
  <c r="P93" i="27"/>
  <c r="Q93" i="27"/>
  <c r="R93" i="27"/>
  <c r="S93" i="27"/>
  <c r="T93" i="27"/>
  <c r="U93" i="27"/>
  <c r="V93" i="27"/>
  <c r="W93" i="27"/>
  <c r="I94" i="27"/>
  <c r="J94" i="27"/>
  <c r="K94" i="27"/>
  <c r="L94" i="27"/>
  <c r="M94" i="27"/>
  <c r="N94" i="27"/>
  <c r="O94" i="27"/>
  <c r="P94" i="27"/>
  <c r="Q94" i="27"/>
  <c r="R94" i="27"/>
  <c r="S94" i="27"/>
  <c r="T94" i="27"/>
  <c r="U94" i="27"/>
  <c r="V94" i="27"/>
  <c r="W94" i="27"/>
  <c r="I95" i="27"/>
  <c r="J95" i="27"/>
  <c r="K95" i="27"/>
  <c r="L95" i="27"/>
  <c r="M95" i="27"/>
  <c r="N95" i="27"/>
  <c r="O95" i="27"/>
  <c r="P95" i="27"/>
  <c r="Q95" i="27"/>
  <c r="R95" i="27"/>
  <c r="S95" i="27"/>
  <c r="T95" i="27"/>
  <c r="U95" i="27"/>
  <c r="V95" i="27"/>
  <c r="W95" i="27"/>
  <c r="I96" i="27"/>
  <c r="J96" i="27"/>
  <c r="K96" i="27"/>
  <c r="L96" i="27"/>
  <c r="M96" i="27"/>
  <c r="N96" i="27"/>
  <c r="O96" i="27"/>
  <c r="P96" i="27"/>
  <c r="Q96" i="27"/>
  <c r="R96" i="27"/>
  <c r="S96" i="27"/>
  <c r="T96" i="27"/>
  <c r="U96" i="27"/>
  <c r="V96" i="27"/>
  <c r="W96" i="27"/>
  <c r="I97" i="27"/>
  <c r="J97" i="27"/>
  <c r="K97" i="27"/>
  <c r="L97" i="27"/>
  <c r="M97" i="27"/>
  <c r="N97" i="27"/>
  <c r="O97" i="27"/>
  <c r="P97" i="27"/>
  <c r="Q97" i="27"/>
  <c r="R97" i="27"/>
  <c r="S97" i="27"/>
  <c r="T97" i="27"/>
  <c r="U97" i="27"/>
  <c r="V97" i="27"/>
  <c r="W97" i="27"/>
  <c r="I98" i="27"/>
  <c r="J98" i="27"/>
  <c r="K98" i="27"/>
  <c r="L98" i="27"/>
  <c r="M98" i="27"/>
  <c r="N98" i="27"/>
  <c r="O98" i="27"/>
  <c r="P98" i="27"/>
  <c r="Q98" i="27"/>
  <c r="R98" i="27"/>
  <c r="S98" i="27"/>
  <c r="T98" i="27"/>
  <c r="U98" i="27"/>
  <c r="V98" i="27"/>
  <c r="W98" i="27"/>
  <c r="I99" i="27"/>
  <c r="J99" i="27"/>
  <c r="K99" i="27"/>
  <c r="L99" i="27"/>
  <c r="M99" i="27"/>
  <c r="N99" i="27"/>
  <c r="O99" i="27"/>
  <c r="P99" i="27"/>
  <c r="Q99" i="27"/>
  <c r="R99" i="27"/>
  <c r="S99" i="27"/>
  <c r="T99" i="27"/>
  <c r="U99" i="27"/>
  <c r="V99" i="27"/>
  <c r="W99" i="27"/>
  <c r="I100" i="27"/>
  <c r="J100" i="27"/>
  <c r="K100" i="27"/>
  <c r="L100" i="27"/>
  <c r="M100" i="27"/>
  <c r="N100" i="27"/>
  <c r="O100" i="27"/>
  <c r="P100" i="27"/>
  <c r="Q100" i="27"/>
  <c r="R100" i="27"/>
  <c r="S100" i="27"/>
  <c r="T100" i="27"/>
  <c r="U100" i="27"/>
  <c r="V100" i="27"/>
  <c r="W100" i="27"/>
  <c r="I101" i="27"/>
  <c r="J101" i="27"/>
  <c r="K101" i="27"/>
  <c r="L101" i="27"/>
  <c r="M101" i="27"/>
  <c r="N101" i="27"/>
  <c r="O101" i="27"/>
  <c r="P101" i="27"/>
  <c r="Q101" i="27"/>
  <c r="R101" i="27"/>
  <c r="S101" i="27"/>
  <c r="T101" i="27"/>
  <c r="U101" i="27"/>
  <c r="V101" i="27"/>
  <c r="W101" i="27"/>
  <c r="I102" i="27"/>
  <c r="J102" i="27"/>
  <c r="K102" i="27"/>
  <c r="L102" i="27"/>
  <c r="M102" i="27"/>
  <c r="N102" i="27"/>
  <c r="O102" i="27"/>
  <c r="P102" i="27"/>
  <c r="Q102" i="27"/>
  <c r="R102" i="27"/>
  <c r="S102" i="27"/>
  <c r="T102" i="27"/>
  <c r="U102" i="27"/>
  <c r="V102" i="27"/>
  <c r="W102" i="27"/>
  <c r="I103" i="27"/>
  <c r="J103" i="27"/>
  <c r="K103" i="27"/>
  <c r="L103" i="27"/>
  <c r="M103" i="27"/>
  <c r="N103" i="27"/>
  <c r="O103" i="27"/>
  <c r="P103" i="27"/>
  <c r="Q103" i="27"/>
  <c r="R103" i="27"/>
  <c r="S103" i="27"/>
  <c r="T103" i="27"/>
  <c r="U103" i="27"/>
  <c r="V103" i="27"/>
  <c r="W103" i="27"/>
  <c r="I104" i="27"/>
  <c r="J104" i="27"/>
  <c r="K104" i="27"/>
  <c r="L104" i="27"/>
  <c r="M104" i="27"/>
  <c r="N104" i="27"/>
  <c r="O104" i="27"/>
  <c r="P104" i="27"/>
  <c r="Q104" i="27"/>
  <c r="R104" i="27"/>
  <c r="S104" i="27"/>
  <c r="T104" i="27"/>
  <c r="U104" i="27"/>
  <c r="V104" i="27"/>
  <c r="W104" i="27"/>
  <c r="I109" i="27"/>
  <c r="J109" i="27"/>
  <c r="K109" i="27"/>
  <c r="L109" i="27"/>
  <c r="M109" i="27"/>
  <c r="N109" i="27"/>
  <c r="O109" i="27"/>
  <c r="P109" i="27"/>
  <c r="Q109" i="27"/>
  <c r="R109" i="27"/>
  <c r="S109" i="27"/>
  <c r="T109" i="27"/>
  <c r="U109" i="27"/>
  <c r="V109" i="27"/>
  <c r="W109" i="27"/>
  <c r="I110" i="27"/>
  <c r="J110" i="27"/>
  <c r="K110" i="27"/>
  <c r="L110" i="27"/>
  <c r="M110" i="27"/>
  <c r="N110" i="27"/>
  <c r="O110" i="27"/>
  <c r="P110" i="27"/>
  <c r="Q110" i="27"/>
  <c r="R110" i="27"/>
  <c r="S110" i="27"/>
  <c r="T110" i="27"/>
  <c r="U110" i="27"/>
  <c r="V110" i="27"/>
  <c r="W110" i="27"/>
  <c r="I111" i="27"/>
  <c r="J111" i="27"/>
  <c r="K111" i="27"/>
  <c r="L111" i="27"/>
  <c r="M111" i="27"/>
  <c r="N111" i="27"/>
  <c r="O111" i="27"/>
  <c r="P111" i="27"/>
  <c r="Q111" i="27"/>
  <c r="R111" i="27"/>
  <c r="S111" i="27"/>
  <c r="T111" i="27"/>
  <c r="U111" i="27"/>
  <c r="V111" i="27"/>
  <c r="W111" i="27"/>
  <c r="I112" i="27"/>
  <c r="J112" i="27"/>
  <c r="K112" i="27"/>
  <c r="L112" i="27"/>
  <c r="M112" i="27"/>
  <c r="N112" i="27"/>
  <c r="O112" i="27"/>
  <c r="P112" i="27"/>
  <c r="Q112" i="27"/>
  <c r="R112" i="27"/>
  <c r="S112" i="27"/>
  <c r="T112" i="27"/>
  <c r="U112" i="27"/>
  <c r="V112" i="27"/>
  <c r="W112" i="27"/>
  <c r="I113" i="27"/>
  <c r="J113" i="27"/>
  <c r="K113" i="27"/>
  <c r="L113" i="27"/>
  <c r="M113" i="27"/>
  <c r="N113" i="27"/>
  <c r="O113" i="27"/>
  <c r="P113" i="27"/>
  <c r="Q113" i="27"/>
  <c r="R113" i="27"/>
  <c r="S113" i="27"/>
  <c r="T113" i="27"/>
  <c r="U113" i="27"/>
  <c r="V113" i="27"/>
  <c r="W113" i="27"/>
  <c r="I114" i="27"/>
  <c r="J114" i="27"/>
  <c r="K114" i="27"/>
  <c r="L114" i="27"/>
  <c r="M114" i="27"/>
  <c r="N114" i="27"/>
  <c r="O114" i="27"/>
  <c r="P114" i="27"/>
  <c r="Q114" i="27"/>
  <c r="R114" i="27"/>
  <c r="S114" i="27"/>
  <c r="T114" i="27"/>
  <c r="U114" i="27"/>
  <c r="V114" i="27"/>
  <c r="W114" i="27"/>
  <c r="I115" i="27"/>
  <c r="J115" i="27"/>
  <c r="K115" i="27"/>
  <c r="L115" i="27"/>
  <c r="M115" i="27"/>
  <c r="N115" i="27"/>
  <c r="O115" i="27"/>
  <c r="P115" i="27"/>
  <c r="Q115" i="27"/>
  <c r="R115" i="27"/>
  <c r="S115" i="27"/>
  <c r="T115" i="27"/>
  <c r="U115" i="27"/>
  <c r="V115" i="27"/>
  <c r="W115" i="27"/>
  <c r="I116" i="27"/>
  <c r="J116" i="27"/>
  <c r="K116" i="27"/>
  <c r="L116" i="27"/>
  <c r="M116" i="27"/>
  <c r="N116" i="27"/>
  <c r="O116" i="27"/>
  <c r="P116" i="27"/>
  <c r="Q116" i="27"/>
  <c r="R116" i="27"/>
  <c r="S116" i="27"/>
  <c r="T116" i="27"/>
  <c r="U116" i="27"/>
  <c r="V116" i="27"/>
  <c r="W116" i="27"/>
  <c r="I117" i="27"/>
  <c r="J117" i="27"/>
  <c r="K117" i="27"/>
  <c r="L117" i="27"/>
  <c r="M117" i="27"/>
  <c r="N117" i="27"/>
  <c r="O117" i="27"/>
  <c r="P117" i="27"/>
  <c r="Q117" i="27"/>
  <c r="R117" i="27"/>
  <c r="S117" i="27"/>
  <c r="T117" i="27"/>
  <c r="U117" i="27"/>
  <c r="V117" i="27"/>
  <c r="W117" i="27"/>
  <c r="I118" i="27"/>
  <c r="J118" i="27"/>
  <c r="K118" i="27"/>
  <c r="L118" i="27"/>
  <c r="M118" i="27"/>
  <c r="N118" i="27"/>
  <c r="O118" i="27"/>
  <c r="P118" i="27"/>
  <c r="Q118" i="27"/>
  <c r="R118" i="27"/>
  <c r="S118" i="27"/>
  <c r="T118" i="27"/>
  <c r="U118" i="27"/>
  <c r="V118" i="27"/>
  <c r="W118" i="27"/>
  <c r="I119" i="27"/>
  <c r="J119" i="27"/>
  <c r="K119" i="27"/>
  <c r="L119" i="27"/>
  <c r="M119" i="27"/>
  <c r="N119" i="27"/>
  <c r="O119" i="27"/>
  <c r="P119" i="27"/>
  <c r="Q119" i="27"/>
  <c r="R119" i="27"/>
  <c r="S119" i="27"/>
  <c r="T119" i="27"/>
  <c r="U119" i="27"/>
  <c r="V119" i="27"/>
  <c r="W119" i="27"/>
  <c r="I120" i="27"/>
  <c r="J120" i="27"/>
  <c r="K120" i="27"/>
  <c r="L120" i="27"/>
  <c r="M120" i="27"/>
  <c r="N120" i="27"/>
  <c r="O120" i="27"/>
  <c r="P120" i="27"/>
  <c r="Q120" i="27"/>
  <c r="R120" i="27"/>
  <c r="S120" i="27"/>
  <c r="T120" i="27"/>
  <c r="U120" i="27"/>
  <c r="V120" i="27"/>
  <c r="W120" i="27"/>
  <c r="I122" i="27"/>
  <c r="J122" i="27"/>
  <c r="K122" i="27"/>
  <c r="L122" i="27"/>
  <c r="M122" i="27"/>
  <c r="N122" i="27"/>
  <c r="O122" i="27"/>
  <c r="P122" i="27"/>
  <c r="Q122" i="27"/>
  <c r="R122" i="27"/>
  <c r="S122" i="27"/>
  <c r="T122" i="27"/>
  <c r="U122" i="27"/>
  <c r="V122" i="27"/>
  <c r="W122" i="27"/>
  <c r="I123" i="27"/>
  <c r="J123" i="27"/>
  <c r="K123" i="27"/>
  <c r="L123" i="27"/>
  <c r="M123" i="27"/>
  <c r="N123" i="27"/>
  <c r="O123" i="27"/>
  <c r="P123" i="27"/>
  <c r="Q123" i="27"/>
  <c r="R123" i="27"/>
  <c r="S123" i="27"/>
  <c r="T123" i="27"/>
  <c r="U123" i="27"/>
  <c r="V123" i="27"/>
  <c r="W123" i="27"/>
  <c r="I124" i="27"/>
  <c r="J124" i="27"/>
  <c r="K124" i="27"/>
  <c r="L124" i="27"/>
  <c r="M124" i="27"/>
  <c r="N124" i="27"/>
  <c r="O124" i="27"/>
  <c r="P124" i="27"/>
  <c r="Q124" i="27"/>
  <c r="R124" i="27"/>
  <c r="S124" i="27"/>
  <c r="T124" i="27"/>
  <c r="U124" i="27"/>
  <c r="V124" i="27"/>
  <c r="W124" i="27"/>
  <c r="I125" i="27"/>
  <c r="J125" i="27"/>
  <c r="K125" i="27"/>
  <c r="L125" i="27"/>
  <c r="M125" i="27"/>
  <c r="N125" i="27"/>
  <c r="O125" i="27"/>
  <c r="P125" i="27"/>
  <c r="Q125" i="27"/>
  <c r="R125" i="27"/>
  <c r="S125" i="27"/>
  <c r="T125" i="27"/>
  <c r="U125" i="27"/>
  <c r="V125" i="27"/>
  <c r="W125" i="27"/>
  <c r="I126" i="27"/>
  <c r="J126" i="27"/>
  <c r="K126" i="27"/>
  <c r="L126" i="27"/>
  <c r="M126" i="27"/>
  <c r="N126" i="27"/>
  <c r="O126" i="27"/>
  <c r="P126" i="27"/>
  <c r="Q126" i="27"/>
  <c r="R126" i="27"/>
  <c r="S126" i="27"/>
  <c r="T126" i="27"/>
  <c r="U126" i="27"/>
  <c r="V126" i="27"/>
  <c r="W126" i="27"/>
  <c r="I127" i="27"/>
  <c r="J127" i="27"/>
  <c r="K127" i="27"/>
  <c r="L127" i="27"/>
  <c r="M127" i="27"/>
  <c r="N127" i="27"/>
  <c r="O127" i="27"/>
  <c r="P127" i="27"/>
  <c r="Q127" i="27"/>
  <c r="R127" i="27"/>
  <c r="S127" i="27"/>
  <c r="T127" i="27"/>
  <c r="U127" i="27"/>
  <c r="V127" i="27"/>
  <c r="W127" i="27"/>
  <c r="I128" i="27"/>
  <c r="J128" i="27"/>
  <c r="K128" i="27"/>
  <c r="L128" i="27"/>
  <c r="M128" i="27"/>
  <c r="N128" i="27"/>
  <c r="O128" i="27"/>
  <c r="P128" i="27"/>
  <c r="Q128" i="27"/>
  <c r="R128" i="27"/>
  <c r="S128" i="27"/>
  <c r="T128" i="27"/>
  <c r="U128" i="27"/>
  <c r="V128" i="27"/>
  <c r="W128" i="27"/>
  <c r="I129" i="27"/>
  <c r="J129" i="27"/>
  <c r="K129" i="27"/>
  <c r="L129" i="27"/>
  <c r="M129" i="27"/>
  <c r="N129" i="27"/>
  <c r="O129" i="27"/>
  <c r="P129" i="27"/>
  <c r="Q129" i="27"/>
  <c r="R129" i="27"/>
  <c r="S129" i="27"/>
  <c r="T129" i="27"/>
  <c r="U129" i="27"/>
  <c r="V129" i="27"/>
  <c r="W129" i="27"/>
  <c r="I130" i="27"/>
  <c r="J130" i="27"/>
  <c r="K130" i="27"/>
  <c r="L130" i="27"/>
  <c r="M130" i="27"/>
  <c r="N130" i="27"/>
  <c r="O130" i="27"/>
  <c r="P130" i="27"/>
  <c r="Q130" i="27"/>
  <c r="R130" i="27"/>
  <c r="S130" i="27"/>
  <c r="T130" i="27"/>
  <c r="U130" i="27"/>
  <c r="V130" i="27"/>
  <c r="W130" i="27"/>
  <c r="I131" i="27"/>
  <c r="J131" i="27"/>
  <c r="K131" i="27"/>
  <c r="L131" i="27"/>
  <c r="M131" i="27"/>
  <c r="N131" i="27"/>
  <c r="O131" i="27"/>
  <c r="P131" i="27"/>
  <c r="Q131" i="27"/>
  <c r="R131" i="27"/>
  <c r="S131" i="27"/>
  <c r="T131" i="27"/>
  <c r="U131" i="27"/>
  <c r="V131" i="27"/>
  <c r="W131" i="27"/>
  <c r="I132" i="27"/>
  <c r="J132" i="27"/>
  <c r="K132" i="27"/>
  <c r="L132" i="27"/>
  <c r="M132" i="27"/>
  <c r="N132" i="27"/>
  <c r="O132" i="27"/>
  <c r="P132" i="27"/>
  <c r="Q132" i="27"/>
  <c r="R132" i="27"/>
  <c r="S132" i="27"/>
  <c r="T132" i="27"/>
  <c r="U132" i="27"/>
  <c r="V132" i="27"/>
  <c r="W132" i="27"/>
  <c r="I133" i="27"/>
  <c r="J133" i="27"/>
  <c r="K133" i="27"/>
  <c r="L133" i="27"/>
  <c r="M133" i="27"/>
  <c r="N133" i="27"/>
  <c r="O133" i="27"/>
  <c r="P133" i="27"/>
  <c r="Q133" i="27"/>
  <c r="R133" i="27"/>
  <c r="S133" i="27"/>
  <c r="T133" i="27"/>
  <c r="U133" i="27"/>
  <c r="V133" i="27"/>
  <c r="W133" i="27"/>
  <c r="I134" i="27"/>
  <c r="J134" i="27"/>
  <c r="K134" i="27"/>
  <c r="L134" i="27"/>
  <c r="M134" i="27"/>
  <c r="N134" i="27"/>
  <c r="O134" i="27"/>
  <c r="P134" i="27"/>
  <c r="Q134" i="27"/>
  <c r="R134" i="27"/>
  <c r="S134" i="27"/>
  <c r="T134" i="27"/>
  <c r="U134" i="27"/>
  <c r="V134" i="27"/>
  <c r="W134" i="27"/>
  <c r="I135" i="27"/>
  <c r="J135" i="27"/>
  <c r="K135" i="27"/>
  <c r="L135" i="27"/>
  <c r="M135" i="27"/>
  <c r="N135" i="27"/>
  <c r="O135" i="27"/>
  <c r="P135" i="27"/>
  <c r="Q135" i="27"/>
  <c r="R135" i="27"/>
  <c r="S135" i="27"/>
  <c r="T135" i="27"/>
  <c r="U135" i="27"/>
  <c r="V135" i="27"/>
  <c r="W135" i="27"/>
  <c r="I136" i="27"/>
  <c r="J136" i="27"/>
  <c r="K136" i="27"/>
  <c r="L136" i="27"/>
  <c r="M136" i="27"/>
  <c r="N136" i="27"/>
  <c r="O136" i="27"/>
  <c r="P136" i="27"/>
  <c r="Q136" i="27"/>
  <c r="R136" i="27"/>
  <c r="S136" i="27"/>
  <c r="T136" i="27"/>
  <c r="U136" i="27"/>
  <c r="V136" i="27"/>
  <c r="W136" i="27"/>
  <c r="I137" i="27"/>
  <c r="J137" i="27"/>
  <c r="K137" i="27"/>
  <c r="L137" i="27"/>
  <c r="M137" i="27"/>
  <c r="N137" i="27"/>
  <c r="O137" i="27"/>
  <c r="P137" i="27"/>
  <c r="Q137" i="27"/>
  <c r="R137" i="27"/>
  <c r="S137" i="27"/>
  <c r="T137" i="27"/>
  <c r="U137" i="27"/>
  <c r="V137" i="27"/>
  <c r="W137" i="27"/>
  <c r="I138" i="27"/>
  <c r="J138" i="27"/>
  <c r="K138" i="27"/>
  <c r="L138" i="27"/>
  <c r="M138" i="27"/>
  <c r="N138" i="27"/>
  <c r="O138" i="27"/>
  <c r="P138" i="27"/>
  <c r="Q138" i="27"/>
  <c r="R138" i="27"/>
  <c r="S138" i="27"/>
  <c r="T138" i="27"/>
  <c r="U138" i="27"/>
  <c r="V138" i="27"/>
  <c r="W138" i="27"/>
  <c r="I139" i="27"/>
  <c r="J139" i="27"/>
  <c r="K139" i="27"/>
  <c r="L139" i="27"/>
  <c r="M139" i="27"/>
  <c r="N139" i="27"/>
  <c r="O139" i="27"/>
  <c r="P139" i="27"/>
  <c r="Q139" i="27"/>
  <c r="R139" i="27"/>
  <c r="S139" i="27"/>
  <c r="T139" i="27"/>
  <c r="U139" i="27"/>
  <c r="V139" i="27"/>
  <c r="W139" i="27"/>
  <c r="I140" i="27"/>
  <c r="J140" i="27"/>
  <c r="K140" i="27"/>
  <c r="L140" i="27"/>
  <c r="M140" i="27"/>
  <c r="N140" i="27"/>
  <c r="O140" i="27"/>
  <c r="P140" i="27"/>
  <c r="Q140" i="27"/>
  <c r="R140" i="27"/>
  <c r="S140" i="27"/>
  <c r="T140" i="27"/>
  <c r="U140" i="27"/>
  <c r="V140" i="27"/>
  <c r="W140" i="27"/>
  <c r="I141" i="27"/>
  <c r="J141" i="27"/>
  <c r="K141" i="27"/>
  <c r="L141" i="27"/>
  <c r="M141" i="27"/>
  <c r="N141" i="27"/>
  <c r="O141" i="27"/>
  <c r="P141" i="27"/>
  <c r="Q141" i="27"/>
  <c r="R141" i="27"/>
  <c r="S141" i="27"/>
  <c r="T141" i="27"/>
  <c r="U141" i="27"/>
  <c r="V141" i="27"/>
  <c r="W141" i="27"/>
  <c r="I142" i="27"/>
  <c r="J142" i="27"/>
  <c r="K142" i="27"/>
  <c r="L142" i="27"/>
  <c r="M142" i="27"/>
  <c r="N142" i="27"/>
  <c r="O142" i="27"/>
  <c r="P142" i="27"/>
  <c r="Q142" i="27"/>
  <c r="R142" i="27"/>
  <c r="S142" i="27"/>
  <c r="T142" i="27"/>
  <c r="U142" i="27"/>
  <c r="V142" i="27"/>
  <c r="W142" i="27"/>
  <c r="I143" i="27"/>
  <c r="J143" i="27"/>
  <c r="K143" i="27"/>
  <c r="L143" i="27"/>
  <c r="M143" i="27"/>
  <c r="N143" i="27"/>
  <c r="O143" i="27"/>
  <c r="P143" i="27"/>
  <c r="Q143" i="27"/>
  <c r="R143" i="27"/>
  <c r="S143" i="27"/>
  <c r="T143" i="27"/>
  <c r="U143" i="27"/>
  <c r="V143" i="27"/>
  <c r="W143" i="27"/>
  <c r="I144" i="27"/>
  <c r="J144" i="27"/>
  <c r="K144" i="27"/>
  <c r="L144" i="27"/>
  <c r="M144" i="27"/>
  <c r="N144" i="27"/>
  <c r="O144" i="27"/>
  <c r="P144" i="27"/>
  <c r="Q144" i="27"/>
  <c r="R144" i="27"/>
  <c r="S144" i="27"/>
  <c r="T144" i="27"/>
  <c r="U144" i="27"/>
  <c r="V144" i="27"/>
  <c r="W144" i="27"/>
  <c r="I145" i="27"/>
  <c r="J145" i="27"/>
  <c r="K145" i="27"/>
  <c r="L145" i="27"/>
  <c r="M145" i="27"/>
  <c r="N145" i="27"/>
  <c r="O145" i="27"/>
  <c r="P145" i="27"/>
  <c r="Q145" i="27"/>
  <c r="R145" i="27"/>
  <c r="S145" i="27"/>
  <c r="T145" i="27"/>
  <c r="U145" i="27"/>
  <c r="V145" i="27"/>
  <c r="W145" i="27"/>
  <c r="I146" i="27"/>
  <c r="J146" i="27"/>
  <c r="K146" i="27"/>
  <c r="L146" i="27"/>
  <c r="M146" i="27"/>
  <c r="N146" i="27"/>
  <c r="O146" i="27"/>
  <c r="P146" i="27"/>
  <c r="Q146" i="27"/>
  <c r="R146" i="27"/>
  <c r="S146" i="27"/>
  <c r="T146" i="27"/>
  <c r="U146" i="27"/>
  <c r="V146" i="27"/>
  <c r="W146" i="27"/>
  <c r="I147" i="27"/>
  <c r="J147" i="27"/>
  <c r="K147" i="27"/>
  <c r="L147" i="27"/>
  <c r="M147" i="27"/>
  <c r="N147" i="27"/>
  <c r="O147" i="27"/>
  <c r="P147" i="27"/>
  <c r="Q147" i="27"/>
  <c r="R147" i="27"/>
  <c r="S147" i="27"/>
  <c r="T147" i="27"/>
  <c r="U147" i="27"/>
  <c r="V147" i="27"/>
  <c r="W147" i="27"/>
  <c r="I148" i="27"/>
  <c r="J148" i="27"/>
  <c r="K148" i="27"/>
  <c r="L148" i="27"/>
  <c r="M148" i="27"/>
  <c r="N148" i="27"/>
  <c r="O148" i="27"/>
  <c r="P148" i="27"/>
  <c r="Q148" i="27"/>
  <c r="R148" i="27"/>
  <c r="S148" i="27"/>
  <c r="T148" i="27"/>
  <c r="U148" i="27"/>
  <c r="V148" i="27"/>
  <c r="W148" i="27"/>
  <c r="I149" i="27"/>
  <c r="J149" i="27"/>
  <c r="K149" i="27"/>
  <c r="L149" i="27"/>
  <c r="M149" i="27"/>
  <c r="N149" i="27"/>
  <c r="O149" i="27"/>
  <c r="P149" i="27"/>
  <c r="Q149" i="27"/>
  <c r="R149" i="27"/>
  <c r="S149" i="27"/>
  <c r="T149" i="27"/>
  <c r="U149" i="27"/>
  <c r="V149" i="27"/>
  <c r="W149" i="27"/>
  <c r="I150" i="27"/>
  <c r="J150" i="27"/>
  <c r="K150" i="27"/>
  <c r="L150" i="27"/>
  <c r="M150" i="27"/>
  <c r="N150" i="27"/>
  <c r="O150" i="27"/>
  <c r="P150" i="27"/>
  <c r="Q150" i="27"/>
  <c r="R150" i="27"/>
  <c r="S150" i="27"/>
  <c r="T150" i="27"/>
  <c r="U150" i="27"/>
  <c r="V150" i="27"/>
  <c r="W150" i="27"/>
  <c r="I151" i="27"/>
  <c r="J151" i="27"/>
  <c r="K151" i="27"/>
  <c r="L151" i="27"/>
  <c r="M151" i="27"/>
  <c r="N151" i="27"/>
  <c r="O151" i="27"/>
  <c r="P151" i="27"/>
  <c r="Q151" i="27"/>
  <c r="R151" i="27"/>
  <c r="S151" i="27"/>
  <c r="T151" i="27"/>
  <c r="U151" i="27"/>
  <c r="V151" i="27"/>
  <c r="W151" i="27"/>
  <c r="I152" i="27"/>
  <c r="J152" i="27"/>
  <c r="K152" i="27"/>
  <c r="L152" i="27"/>
  <c r="M152" i="27"/>
  <c r="N152" i="27"/>
  <c r="O152" i="27"/>
  <c r="P152" i="27"/>
  <c r="Q152" i="27"/>
  <c r="R152" i="27"/>
  <c r="S152" i="27"/>
  <c r="T152" i="27"/>
  <c r="U152" i="27"/>
  <c r="V152" i="27"/>
  <c r="W152" i="27"/>
  <c r="I163" i="27"/>
  <c r="J163" i="27"/>
  <c r="K163" i="27"/>
  <c r="L163" i="27"/>
  <c r="M163" i="27"/>
  <c r="N163" i="27"/>
  <c r="O163" i="27"/>
  <c r="P163" i="27"/>
  <c r="Q163" i="27"/>
  <c r="R163" i="27"/>
  <c r="S163" i="27"/>
  <c r="T163" i="27"/>
  <c r="U163" i="27"/>
  <c r="V163" i="27"/>
  <c r="W163" i="27"/>
  <c r="I164" i="27"/>
  <c r="J164" i="27"/>
  <c r="K164" i="27"/>
  <c r="L164" i="27"/>
  <c r="M164" i="27"/>
  <c r="N164" i="27"/>
  <c r="O164" i="27"/>
  <c r="P164" i="27"/>
  <c r="Q164" i="27"/>
  <c r="R164" i="27"/>
  <c r="S164" i="27"/>
  <c r="T164" i="27"/>
  <c r="U164" i="27"/>
  <c r="V164" i="27"/>
  <c r="W164" i="27"/>
  <c r="I166" i="27"/>
  <c r="J166" i="27"/>
  <c r="K166" i="27"/>
  <c r="L166" i="27"/>
  <c r="M166" i="27"/>
  <c r="N166" i="27"/>
  <c r="O166" i="27"/>
  <c r="P166" i="27"/>
  <c r="Q166" i="27"/>
  <c r="R166" i="27"/>
  <c r="S166" i="27"/>
  <c r="T166" i="27"/>
  <c r="U166" i="27"/>
  <c r="V166" i="27"/>
  <c r="W166" i="27"/>
  <c r="I167" i="27"/>
  <c r="J167" i="27"/>
  <c r="K167" i="27"/>
  <c r="L167" i="27"/>
  <c r="M167" i="27"/>
  <c r="N167" i="27"/>
  <c r="O167" i="27"/>
  <c r="P167" i="27"/>
  <c r="Q167" i="27"/>
  <c r="R167" i="27"/>
  <c r="S167" i="27"/>
  <c r="T167" i="27"/>
  <c r="U167" i="27"/>
  <c r="V167" i="27"/>
  <c r="W167" i="27"/>
  <c r="I178" i="27"/>
  <c r="J178" i="27"/>
  <c r="K178" i="27"/>
  <c r="L178" i="27"/>
  <c r="M178" i="27"/>
  <c r="N178" i="27"/>
  <c r="O178" i="27"/>
  <c r="P178" i="27"/>
  <c r="Q178" i="27"/>
  <c r="R178" i="27"/>
  <c r="S178" i="27"/>
  <c r="T178" i="27"/>
  <c r="U178" i="27"/>
  <c r="V178" i="27"/>
  <c r="W178" i="27"/>
  <c r="I179" i="27"/>
  <c r="J179" i="27"/>
  <c r="K179" i="27"/>
  <c r="L179" i="27"/>
  <c r="M179" i="27"/>
  <c r="N179" i="27"/>
  <c r="O179" i="27"/>
  <c r="P179" i="27"/>
  <c r="Q179" i="27"/>
  <c r="R179" i="27"/>
  <c r="S179" i="27"/>
  <c r="T179" i="27"/>
  <c r="U179" i="27"/>
  <c r="V179" i="27"/>
  <c r="W179" i="27"/>
  <c r="I180" i="27"/>
  <c r="J180" i="27"/>
  <c r="K180" i="27"/>
  <c r="L180" i="27"/>
  <c r="M180" i="27"/>
  <c r="N180" i="27"/>
  <c r="O180" i="27"/>
  <c r="P180" i="27"/>
  <c r="Q180" i="27"/>
  <c r="R180" i="27"/>
  <c r="S180" i="27"/>
  <c r="T180" i="27"/>
  <c r="U180" i="27"/>
  <c r="V180" i="27"/>
  <c r="W180" i="27"/>
  <c r="I181" i="27"/>
  <c r="J181" i="27"/>
  <c r="K181" i="27"/>
  <c r="L181" i="27"/>
  <c r="M181" i="27"/>
  <c r="N181" i="27"/>
  <c r="O181" i="27"/>
  <c r="P181" i="27"/>
  <c r="Q181" i="27"/>
  <c r="R181" i="27"/>
  <c r="S181" i="27"/>
  <c r="T181" i="27"/>
  <c r="U181" i="27"/>
  <c r="V181" i="27"/>
  <c r="W181" i="27"/>
  <c r="I182" i="27"/>
  <c r="J182" i="27"/>
  <c r="K182" i="27"/>
  <c r="L182" i="27"/>
  <c r="M182" i="27"/>
  <c r="N182" i="27"/>
  <c r="O182" i="27"/>
  <c r="P182" i="27"/>
  <c r="Q182" i="27"/>
  <c r="R182" i="27"/>
  <c r="S182" i="27"/>
  <c r="T182" i="27"/>
  <c r="U182" i="27"/>
  <c r="V182" i="27"/>
  <c r="W182" i="27"/>
  <c r="I183" i="27"/>
  <c r="J183" i="27"/>
  <c r="K183" i="27"/>
  <c r="L183" i="27"/>
  <c r="M183" i="27"/>
  <c r="N183" i="27"/>
  <c r="O183" i="27"/>
  <c r="P183" i="27"/>
  <c r="Q183" i="27"/>
  <c r="R183" i="27"/>
  <c r="S183" i="27"/>
  <c r="T183" i="27"/>
  <c r="U183" i="27"/>
  <c r="V183" i="27"/>
  <c r="W183" i="27"/>
  <c r="V184" i="27"/>
  <c r="I184" i="27"/>
  <c r="J184" i="27"/>
  <c r="K184" i="27"/>
  <c r="L184" i="27"/>
  <c r="M184" i="27"/>
  <c r="N184" i="27"/>
  <c r="O184" i="27"/>
  <c r="P184" i="27"/>
  <c r="Q184" i="27"/>
  <c r="R184" i="27"/>
  <c r="S184" i="27"/>
  <c r="T184" i="27"/>
  <c r="U184" i="27"/>
  <c r="W184" i="27"/>
  <c r="I185" i="27"/>
  <c r="J185" i="27"/>
  <c r="K185" i="27"/>
  <c r="L185" i="27"/>
  <c r="M185" i="27"/>
  <c r="N185" i="27"/>
  <c r="O185" i="27"/>
  <c r="P185" i="27"/>
  <c r="Q185" i="27"/>
  <c r="R185" i="27"/>
  <c r="S185" i="27"/>
  <c r="T185" i="27"/>
  <c r="U185" i="27"/>
  <c r="V185" i="27"/>
  <c r="W185" i="27"/>
  <c r="I187" i="27"/>
  <c r="J187" i="27"/>
  <c r="K187" i="27"/>
  <c r="L187" i="27"/>
  <c r="M187" i="27"/>
  <c r="N187" i="27"/>
  <c r="O187" i="27"/>
  <c r="P187" i="27"/>
  <c r="Q187" i="27"/>
  <c r="R187" i="27"/>
  <c r="S187" i="27"/>
  <c r="T187" i="27"/>
  <c r="U187" i="27"/>
  <c r="V187" i="27"/>
  <c r="W187" i="27"/>
  <c r="I188" i="27"/>
  <c r="J188" i="27"/>
  <c r="K188" i="27"/>
  <c r="L188" i="27"/>
  <c r="M188" i="27"/>
  <c r="N188" i="27"/>
  <c r="O188" i="27"/>
  <c r="P188" i="27"/>
  <c r="Q188" i="27"/>
  <c r="R188" i="27"/>
  <c r="S188" i="27"/>
  <c r="T188" i="27"/>
  <c r="U188" i="27"/>
  <c r="V188" i="27"/>
  <c r="W188" i="27"/>
  <c r="I189" i="27"/>
  <c r="J189" i="27"/>
  <c r="K189" i="27"/>
  <c r="L189" i="27"/>
  <c r="M189" i="27"/>
  <c r="N189" i="27"/>
  <c r="O189" i="27"/>
  <c r="P189" i="27"/>
  <c r="Q189" i="27"/>
  <c r="R189" i="27"/>
  <c r="S189" i="27"/>
  <c r="T189" i="27"/>
  <c r="U189" i="27"/>
  <c r="V189" i="27"/>
  <c r="W189" i="27"/>
  <c r="I190" i="27"/>
  <c r="J190" i="27"/>
  <c r="K190" i="27"/>
  <c r="L190" i="27"/>
  <c r="M190" i="27"/>
  <c r="N190" i="27"/>
  <c r="O190" i="27"/>
  <c r="P190" i="27"/>
  <c r="Q190" i="27"/>
  <c r="R190" i="27"/>
  <c r="S190" i="27"/>
  <c r="T190" i="27"/>
  <c r="U190" i="27"/>
  <c r="V190" i="27"/>
  <c r="W190" i="27"/>
  <c r="I191" i="27"/>
  <c r="J191" i="27"/>
  <c r="K191" i="27"/>
  <c r="L191" i="27"/>
  <c r="M191" i="27"/>
  <c r="N191" i="27"/>
  <c r="O191" i="27"/>
  <c r="P191" i="27"/>
  <c r="Q191" i="27"/>
  <c r="R191" i="27"/>
  <c r="S191" i="27"/>
  <c r="T191" i="27"/>
  <c r="U191" i="27"/>
  <c r="V191" i="27"/>
  <c r="W191" i="27"/>
  <c r="I192" i="27"/>
  <c r="J192" i="27"/>
  <c r="K192" i="27"/>
  <c r="L192" i="27"/>
  <c r="M192" i="27"/>
  <c r="N192" i="27"/>
  <c r="O192" i="27"/>
  <c r="P192" i="27"/>
  <c r="Q192" i="27"/>
  <c r="R192" i="27"/>
  <c r="S192" i="27"/>
  <c r="T192" i="27"/>
  <c r="U192" i="27"/>
  <c r="V192" i="27"/>
  <c r="W192" i="27"/>
  <c r="I193" i="27"/>
  <c r="J193" i="27"/>
  <c r="K193" i="27"/>
  <c r="L193" i="27"/>
  <c r="M193" i="27"/>
  <c r="N193" i="27"/>
  <c r="O193" i="27"/>
  <c r="P193" i="27"/>
  <c r="Q193" i="27"/>
  <c r="R193" i="27"/>
  <c r="S193" i="27"/>
  <c r="T193" i="27"/>
  <c r="U193" i="27"/>
  <c r="V193" i="27"/>
  <c r="W193" i="27"/>
  <c r="I194" i="27"/>
  <c r="J194" i="27"/>
  <c r="K194" i="27"/>
  <c r="L194" i="27"/>
  <c r="M194" i="27"/>
  <c r="N194" i="27"/>
  <c r="O194" i="27"/>
  <c r="P194" i="27"/>
  <c r="Q194" i="27"/>
  <c r="R194" i="27"/>
  <c r="S194" i="27"/>
  <c r="T194" i="27"/>
  <c r="U194" i="27"/>
  <c r="V194" i="27"/>
  <c r="W194" i="27"/>
  <c r="I197" i="27"/>
  <c r="J197" i="27"/>
  <c r="K197" i="27"/>
  <c r="L197" i="27"/>
  <c r="M197" i="27"/>
  <c r="N197" i="27"/>
  <c r="O197" i="27"/>
  <c r="P197" i="27"/>
  <c r="Q197" i="27"/>
  <c r="R197" i="27"/>
  <c r="S197" i="27"/>
  <c r="T197" i="27"/>
  <c r="U197" i="27"/>
  <c r="V197" i="27"/>
  <c r="W197" i="27"/>
  <c r="I198" i="27"/>
  <c r="J198" i="27"/>
  <c r="K198" i="27"/>
  <c r="L198" i="27"/>
  <c r="M198" i="27"/>
  <c r="N198" i="27"/>
  <c r="O198" i="27"/>
  <c r="P198" i="27"/>
  <c r="Q198" i="27"/>
  <c r="R198" i="27"/>
  <c r="S198" i="27"/>
  <c r="T198" i="27"/>
  <c r="U198" i="27"/>
  <c r="V198" i="27"/>
  <c r="W198" i="27"/>
  <c r="V199" i="27"/>
  <c r="I199" i="27"/>
  <c r="J199" i="27"/>
  <c r="K199" i="27"/>
  <c r="L199" i="27"/>
  <c r="M199" i="27"/>
  <c r="N199" i="27"/>
  <c r="O199" i="27"/>
  <c r="P199" i="27"/>
  <c r="Q199" i="27"/>
  <c r="R199" i="27"/>
  <c r="S199" i="27"/>
  <c r="T199" i="27"/>
  <c r="U199" i="27"/>
  <c r="W199" i="27"/>
  <c r="I200" i="27"/>
  <c r="J200" i="27"/>
  <c r="K200" i="27"/>
  <c r="L200" i="27"/>
  <c r="M200" i="27"/>
  <c r="N200" i="27"/>
  <c r="O200" i="27"/>
  <c r="P200" i="27"/>
  <c r="Q200" i="27"/>
  <c r="R200" i="27"/>
  <c r="S200" i="27"/>
  <c r="T200" i="27"/>
  <c r="U200" i="27"/>
  <c r="V200" i="27"/>
  <c r="W200" i="27"/>
  <c r="I205" i="27"/>
  <c r="J205" i="27"/>
  <c r="K205" i="27"/>
  <c r="L205" i="27"/>
  <c r="M205" i="27"/>
  <c r="N205" i="27"/>
  <c r="O205" i="27"/>
  <c r="P205" i="27"/>
  <c r="Q205" i="27"/>
  <c r="R205" i="27"/>
  <c r="S205" i="27"/>
  <c r="T205" i="27"/>
  <c r="U205" i="27"/>
  <c r="V205" i="27"/>
  <c r="W205" i="27"/>
  <c r="I206" i="27"/>
  <c r="J206" i="27"/>
  <c r="K206" i="27"/>
  <c r="L206" i="27"/>
  <c r="M206" i="27"/>
  <c r="N206" i="27"/>
  <c r="O206" i="27"/>
  <c r="P206" i="27"/>
  <c r="Q206" i="27"/>
  <c r="R206" i="27"/>
  <c r="S206" i="27"/>
  <c r="T206" i="27"/>
  <c r="U206" i="27"/>
  <c r="V206" i="27"/>
  <c r="W206" i="27"/>
  <c r="I207" i="27"/>
  <c r="J207" i="27"/>
  <c r="K207" i="27"/>
  <c r="L207" i="27"/>
  <c r="M207" i="27"/>
  <c r="N207" i="27"/>
  <c r="O207" i="27"/>
  <c r="P207" i="27"/>
  <c r="Q207" i="27"/>
  <c r="R207" i="27"/>
  <c r="S207" i="27"/>
  <c r="T207" i="27"/>
  <c r="U207" i="27"/>
  <c r="V207" i="27"/>
  <c r="W207" i="27"/>
  <c r="I209" i="27"/>
  <c r="J209" i="27"/>
  <c r="K209" i="27"/>
  <c r="L209" i="27"/>
  <c r="M209" i="27"/>
  <c r="N209" i="27"/>
  <c r="O209" i="27"/>
  <c r="P209" i="27"/>
  <c r="Q209" i="27"/>
  <c r="R209" i="27"/>
  <c r="S209" i="27"/>
  <c r="T209" i="27"/>
  <c r="U209" i="27"/>
  <c r="V209" i="27"/>
  <c r="W209" i="27"/>
  <c r="I210" i="27"/>
  <c r="J210" i="27"/>
  <c r="K210" i="27"/>
  <c r="L210" i="27"/>
  <c r="M210" i="27"/>
  <c r="N210" i="27"/>
  <c r="O210" i="27"/>
  <c r="P210" i="27"/>
  <c r="Q210" i="27"/>
  <c r="R210" i="27"/>
  <c r="S210" i="27"/>
  <c r="T210" i="27"/>
  <c r="U210" i="27"/>
  <c r="V210" i="27"/>
  <c r="W210" i="27"/>
  <c r="I211" i="27"/>
  <c r="J211" i="27"/>
  <c r="K211" i="27"/>
  <c r="L211" i="27"/>
  <c r="M211" i="27"/>
  <c r="N211" i="27"/>
  <c r="O211" i="27"/>
  <c r="P211" i="27"/>
  <c r="Q211" i="27"/>
  <c r="R211" i="27"/>
  <c r="S211" i="27"/>
  <c r="T211" i="27"/>
  <c r="U211" i="27"/>
  <c r="V211" i="27"/>
  <c r="W211" i="27"/>
  <c r="I212" i="27"/>
  <c r="J212" i="27"/>
  <c r="K212" i="27"/>
  <c r="L212" i="27"/>
  <c r="M212" i="27"/>
  <c r="N212" i="27"/>
  <c r="O212" i="27"/>
  <c r="P212" i="27"/>
  <c r="Q212" i="27"/>
  <c r="R212" i="27"/>
  <c r="S212" i="27"/>
  <c r="T212" i="27"/>
  <c r="U212" i="27"/>
  <c r="V212" i="27"/>
  <c r="W212" i="27"/>
  <c r="I213" i="27"/>
  <c r="J213" i="27"/>
  <c r="K213" i="27"/>
  <c r="L213" i="27"/>
  <c r="M213" i="27"/>
  <c r="N213" i="27"/>
  <c r="O213" i="27"/>
  <c r="P213" i="27"/>
  <c r="Q213" i="27"/>
  <c r="R213" i="27"/>
  <c r="S213" i="27"/>
  <c r="T213" i="27"/>
  <c r="U213" i="27"/>
  <c r="V213" i="27"/>
  <c r="W213" i="27"/>
  <c r="I215" i="27"/>
  <c r="J215" i="27"/>
  <c r="K215" i="27"/>
  <c r="L215" i="27"/>
  <c r="M215" i="27"/>
  <c r="N215" i="27"/>
  <c r="O215" i="27"/>
  <c r="P215" i="27"/>
  <c r="Q215" i="27"/>
  <c r="R215" i="27"/>
  <c r="S215" i="27"/>
  <c r="T215" i="27"/>
  <c r="U215" i="27"/>
  <c r="V215" i="27"/>
  <c r="W215" i="27"/>
  <c r="I216" i="27"/>
  <c r="J216" i="27"/>
  <c r="K216" i="27"/>
  <c r="L216" i="27"/>
  <c r="M216" i="27"/>
  <c r="N216" i="27"/>
  <c r="O216" i="27"/>
  <c r="P216" i="27"/>
  <c r="Q216" i="27"/>
  <c r="R216" i="27"/>
  <c r="S216" i="27"/>
  <c r="T216" i="27"/>
  <c r="U216" i="27"/>
  <c r="V216" i="27"/>
  <c r="W216" i="27"/>
  <c r="I217" i="27"/>
  <c r="J217" i="27"/>
  <c r="K217" i="27"/>
  <c r="L217" i="27"/>
  <c r="M217" i="27"/>
  <c r="N217" i="27"/>
  <c r="O217" i="27"/>
  <c r="P217" i="27"/>
  <c r="Q217" i="27"/>
  <c r="R217" i="27"/>
  <c r="S217" i="27"/>
  <c r="T217" i="27"/>
  <c r="U217" i="27"/>
  <c r="V217" i="27"/>
  <c r="W217" i="27"/>
  <c r="I218" i="27"/>
  <c r="J218" i="27"/>
  <c r="K218" i="27"/>
  <c r="L218" i="27"/>
  <c r="M218" i="27"/>
  <c r="N218" i="27"/>
  <c r="O218" i="27"/>
  <c r="P218" i="27"/>
  <c r="Q218" i="27"/>
  <c r="R218" i="27"/>
  <c r="S218" i="27"/>
  <c r="T218" i="27"/>
  <c r="U218" i="27"/>
  <c r="V218" i="27"/>
  <c r="W218" i="27"/>
  <c r="I226" i="27"/>
  <c r="J226" i="27"/>
  <c r="K226" i="27"/>
  <c r="L226" i="27"/>
  <c r="M226" i="27"/>
  <c r="N226" i="27"/>
  <c r="O226" i="27"/>
  <c r="P226" i="27"/>
  <c r="Q226" i="27"/>
  <c r="R226" i="27"/>
  <c r="S226" i="27"/>
  <c r="T226" i="27"/>
  <c r="U226" i="27"/>
  <c r="V226" i="27"/>
  <c r="W226" i="27"/>
  <c r="V227" i="27"/>
  <c r="I227" i="27"/>
  <c r="J227" i="27"/>
  <c r="K227" i="27"/>
  <c r="L227" i="27"/>
  <c r="M227" i="27"/>
  <c r="N227" i="27"/>
  <c r="O227" i="27"/>
  <c r="P227" i="27"/>
  <c r="Q227" i="27"/>
  <c r="R227" i="27"/>
  <c r="S227" i="27"/>
  <c r="T227" i="27"/>
  <c r="U227" i="27"/>
  <c r="W227" i="27"/>
  <c r="I228" i="27"/>
  <c r="J228" i="27"/>
  <c r="K228" i="27"/>
  <c r="L228" i="27"/>
  <c r="M228" i="27"/>
  <c r="N228" i="27"/>
  <c r="O228" i="27"/>
  <c r="P228" i="27"/>
  <c r="Q228" i="27"/>
  <c r="R228" i="27"/>
  <c r="S228" i="27"/>
  <c r="T228" i="27"/>
  <c r="U228" i="27"/>
  <c r="V228" i="27"/>
  <c r="W228" i="27"/>
  <c r="I229" i="27"/>
  <c r="J229" i="27"/>
  <c r="K229" i="27"/>
  <c r="L229" i="27"/>
  <c r="M229" i="27"/>
  <c r="N229" i="27"/>
  <c r="O229" i="27"/>
  <c r="P229" i="27"/>
  <c r="Q229" i="27"/>
  <c r="R229" i="27"/>
  <c r="S229" i="27"/>
  <c r="T229" i="27"/>
  <c r="U229" i="27"/>
  <c r="V229" i="27"/>
  <c r="W229" i="27"/>
  <c r="I230" i="27"/>
  <c r="J230" i="27"/>
  <c r="K230" i="27"/>
  <c r="L230" i="27"/>
  <c r="M230" i="27"/>
  <c r="N230" i="27"/>
  <c r="O230" i="27"/>
  <c r="P230" i="27"/>
  <c r="Q230" i="27"/>
  <c r="R230" i="27"/>
  <c r="S230" i="27"/>
  <c r="T230" i="27"/>
  <c r="U230" i="27"/>
  <c r="V230" i="27"/>
  <c r="W230" i="27"/>
  <c r="I231" i="27"/>
  <c r="J231" i="27"/>
  <c r="K231" i="27"/>
  <c r="L231" i="27"/>
  <c r="M231" i="27"/>
  <c r="N231" i="27"/>
  <c r="O231" i="27"/>
  <c r="P231" i="27"/>
  <c r="Q231" i="27"/>
  <c r="R231" i="27"/>
  <c r="S231" i="27"/>
  <c r="T231" i="27"/>
  <c r="U231" i="27"/>
  <c r="V231" i="27"/>
  <c r="W231" i="27"/>
  <c r="I232" i="27"/>
  <c r="J232" i="27"/>
  <c r="K232" i="27"/>
  <c r="L232" i="27"/>
  <c r="M232" i="27"/>
  <c r="N232" i="27"/>
  <c r="O232" i="27"/>
  <c r="P232" i="27"/>
  <c r="Q232" i="27"/>
  <c r="R232" i="27"/>
  <c r="S232" i="27"/>
  <c r="T232" i="27"/>
  <c r="U232" i="27"/>
  <c r="V232" i="27"/>
  <c r="W232" i="27"/>
  <c r="I233" i="27"/>
  <c r="J233" i="27"/>
  <c r="K233" i="27"/>
  <c r="L233" i="27"/>
  <c r="M233" i="27"/>
  <c r="N233" i="27"/>
  <c r="O233" i="27"/>
  <c r="P233" i="27"/>
  <c r="Q233" i="27"/>
  <c r="R233" i="27"/>
  <c r="S233" i="27"/>
  <c r="T233" i="27"/>
  <c r="U233" i="27"/>
  <c r="V233" i="27"/>
  <c r="W233" i="27"/>
  <c r="I234" i="27"/>
  <c r="J234" i="27"/>
  <c r="K234" i="27"/>
  <c r="L234" i="27"/>
  <c r="M234" i="27"/>
  <c r="N234" i="27"/>
  <c r="O234" i="27"/>
  <c r="P234" i="27"/>
  <c r="Q234" i="27"/>
  <c r="R234" i="27"/>
  <c r="S234" i="27"/>
  <c r="T234" i="27"/>
  <c r="U234" i="27"/>
  <c r="V234" i="27"/>
  <c r="W234" i="27"/>
  <c r="I235" i="27"/>
  <c r="J235" i="27"/>
  <c r="K235" i="27"/>
  <c r="L235" i="27"/>
  <c r="M235" i="27"/>
  <c r="N235" i="27"/>
  <c r="O235" i="27"/>
  <c r="P235" i="27"/>
  <c r="Q235" i="27"/>
  <c r="R235" i="27"/>
  <c r="S235" i="27"/>
  <c r="T235" i="27"/>
  <c r="U235" i="27"/>
  <c r="V235" i="27"/>
  <c r="W235" i="27"/>
  <c r="I236" i="27"/>
  <c r="J236" i="27"/>
  <c r="K236" i="27"/>
  <c r="L236" i="27"/>
  <c r="M236" i="27"/>
  <c r="N236" i="27"/>
  <c r="O236" i="27"/>
  <c r="P236" i="27"/>
  <c r="Q236" i="27"/>
  <c r="R236" i="27"/>
  <c r="S236" i="27"/>
  <c r="T236" i="27"/>
  <c r="U236" i="27"/>
  <c r="V236" i="27"/>
  <c r="W236" i="27"/>
  <c r="I237" i="27"/>
  <c r="J237" i="27"/>
  <c r="K237" i="27"/>
  <c r="L237" i="27"/>
  <c r="M237" i="27"/>
  <c r="N237" i="27"/>
  <c r="O237" i="27"/>
  <c r="P237" i="27"/>
  <c r="Q237" i="27"/>
  <c r="R237" i="27"/>
  <c r="S237" i="27"/>
  <c r="T237" i="27"/>
  <c r="U237" i="27"/>
  <c r="V237" i="27"/>
  <c r="W237" i="27"/>
  <c r="I238" i="27"/>
  <c r="J238" i="27"/>
  <c r="K238" i="27"/>
  <c r="L238" i="27"/>
  <c r="M238" i="27"/>
  <c r="N238" i="27"/>
  <c r="O238" i="27"/>
  <c r="P238" i="27"/>
  <c r="Q238" i="27"/>
  <c r="R238" i="27"/>
  <c r="S238" i="27"/>
  <c r="T238" i="27"/>
  <c r="U238" i="27"/>
  <c r="V238" i="27"/>
  <c r="W238" i="27"/>
  <c r="V239" i="27"/>
  <c r="I239" i="27"/>
  <c r="J239" i="27"/>
  <c r="K239" i="27"/>
  <c r="L239" i="27"/>
  <c r="M239" i="27"/>
  <c r="N239" i="27"/>
  <c r="O239" i="27"/>
  <c r="P239" i="27"/>
  <c r="Q239" i="27"/>
  <c r="R239" i="27"/>
  <c r="S239" i="27"/>
  <c r="T239" i="27"/>
  <c r="U239" i="27"/>
  <c r="W239" i="27"/>
  <c r="I240" i="27"/>
  <c r="J240" i="27"/>
  <c r="K240" i="27"/>
  <c r="L240" i="27"/>
  <c r="M240" i="27"/>
  <c r="N240" i="27"/>
  <c r="O240" i="27"/>
  <c r="P240" i="27"/>
  <c r="Q240" i="27"/>
  <c r="R240" i="27"/>
  <c r="S240" i="27"/>
  <c r="T240" i="27"/>
  <c r="U240" i="27"/>
  <c r="V240" i="27"/>
  <c r="W240" i="27"/>
  <c r="I241" i="27"/>
  <c r="J241" i="27"/>
  <c r="K241" i="27"/>
  <c r="L241" i="27"/>
  <c r="M241" i="27"/>
  <c r="N241" i="27"/>
  <c r="O241" i="27"/>
  <c r="P241" i="27"/>
  <c r="Q241" i="27"/>
  <c r="R241" i="27"/>
  <c r="S241" i="27"/>
  <c r="T241" i="27"/>
  <c r="U241" i="27"/>
  <c r="V241" i="27"/>
  <c r="W241" i="27"/>
  <c r="I242" i="27"/>
  <c r="J242" i="27"/>
  <c r="K242" i="27"/>
  <c r="L242" i="27"/>
  <c r="M242" i="27"/>
  <c r="N242" i="27"/>
  <c r="O242" i="27"/>
  <c r="P242" i="27"/>
  <c r="Q242" i="27"/>
  <c r="R242" i="27"/>
  <c r="S242" i="27"/>
  <c r="T242" i="27"/>
  <c r="U242" i="27"/>
  <c r="V242" i="27"/>
  <c r="W242" i="27"/>
  <c r="I243" i="27"/>
  <c r="J243" i="27"/>
  <c r="K243" i="27"/>
  <c r="L243" i="27"/>
  <c r="M243" i="27"/>
  <c r="N243" i="27"/>
  <c r="O243" i="27"/>
  <c r="P243" i="27"/>
  <c r="Q243" i="27"/>
  <c r="R243" i="27"/>
  <c r="S243" i="27"/>
  <c r="T243" i="27"/>
  <c r="U243" i="27"/>
  <c r="V243" i="27"/>
  <c r="W243" i="27"/>
  <c r="I244" i="27"/>
  <c r="J244" i="27"/>
  <c r="K244" i="27"/>
  <c r="L244" i="27"/>
  <c r="M244" i="27"/>
  <c r="N244" i="27"/>
  <c r="O244" i="27"/>
  <c r="P244" i="27"/>
  <c r="Q244" i="27"/>
  <c r="R244" i="27"/>
  <c r="S244" i="27"/>
  <c r="T244" i="27"/>
  <c r="U244" i="27"/>
  <c r="V244" i="27"/>
  <c r="W244" i="27"/>
  <c r="I245" i="27"/>
  <c r="J245" i="27"/>
  <c r="K245" i="27"/>
  <c r="L245" i="27"/>
  <c r="M245" i="27"/>
  <c r="N245" i="27"/>
  <c r="O245" i="27"/>
  <c r="P245" i="27"/>
  <c r="Q245" i="27"/>
  <c r="R245" i="27"/>
  <c r="S245" i="27"/>
  <c r="T245" i="27"/>
  <c r="U245" i="27"/>
  <c r="V245" i="27"/>
  <c r="W245" i="27"/>
  <c r="I246" i="27"/>
  <c r="J246" i="27"/>
  <c r="K246" i="27"/>
  <c r="L246" i="27"/>
  <c r="M246" i="27"/>
  <c r="N246" i="27"/>
  <c r="O246" i="27"/>
  <c r="P246" i="27"/>
  <c r="Q246" i="27"/>
  <c r="R246" i="27"/>
  <c r="S246" i="27"/>
  <c r="T246" i="27"/>
  <c r="U246" i="27"/>
  <c r="V246" i="27"/>
  <c r="W246" i="27"/>
  <c r="V247" i="27"/>
  <c r="I247" i="27"/>
  <c r="J247" i="27"/>
  <c r="K247" i="27"/>
  <c r="L247" i="27"/>
  <c r="M247" i="27"/>
  <c r="N247" i="27"/>
  <c r="O247" i="27"/>
  <c r="P247" i="27"/>
  <c r="Q247" i="27"/>
  <c r="R247" i="27"/>
  <c r="S247" i="27"/>
  <c r="T247" i="27"/>
  <c r="U247" i="27"/>
  <c r="W247" i="27"/>
  <c r="I248" i="27"/>
  <c r="J248" i="27"/>
  <c r="K248" i="27"/>
  <c r="L248" i="27"/>
  <c r="M248" i="27"/>
  <c r="N248" i="27"/>
  <c r="O248" i="27"/>
  <c r="P248" i="27"/>
  <c r="Q248" i="27"/>
  <c r="R248" i="27"/>
  <c r="S248" i="27"/>
  <c r="T248" i="27"/>
  <c r="U248" i="27"/>
  <c r="V248" i="27"/>
  <c r="W248" i="27"/>
  <c r="I249" i="27"/>
  <c r="J249" i="27"/>
  <c r="K249" i="27"/>
  <c r="L249" i="27"/>
  <c r="M249" i="27"/>
  <c r="N249" i="27"/>
  <c r="O249" i="27"/>
  <c r="P249" i="27"/>
  <c r="Q249" i="27"/>
  <c r="R249" i="27"/>
  <c r="S249" i="27"/>
  <c r="T249" i="27"/>
  <c r="U249" i="27"/>
  <c r="V249" i="27"/>
  <c r="W249" i="27"/>
  <c r="I250" i="27"/>
  <c r="J250" i="27"/>
  <c r="K250" i="27"/>
  <c r="L250" i="27"/>
  <c r="M250" i="27"/>
  <c r="N250" i="27"/>
  <c r="O250" i="27"/>
  <c r="P250" i="27"/>
  <c r="Q250" i="27"/>
  <c r="R250" i="27"/>
  <c r="S250" i="27"/>
  <c r="T250" i="27"/>
  <c r="U250" i="27"/>
  <c r="V250" i="27"/>
  <c r="W250" i="27"/>
  <c r="I252" i="27"/>
  <c r="J252" i="27"/>
  <c r="K252" i="27"/>
  <c r="L252" i="27"/>
  <c r="M252" i="27"/>
  <c r="N252" i="27"/>
  <c r="O252" i="27"/>
  <c r="P252" i="27"/>
  <c r="Q252" i="27"/>
  <c r="R252" i="27"/>
  <c r="S252" i="27"/>
  <c r="T252" i="27"/>
  <c r="U252" i="27"/>
  <c r="V252" i="27"/>
  <c r="W252" i="27"/>
  <c r="V253" i="27"/>
  <c r="I253" i="27"/>
  <c r="J253" i="27"/>
  <c r="K253" i="27"/>
  <c r="L253" i="27"/>
  <c r="M253" i="27"/>
  <c r="N253" i="27"/>
  <c r="O253" i="27"/>
  <c r="P253" i="27"/>
  <c r="Q253" i="27"/>
  <c r="R253" i="27"/>
  <c r="S253" i="27"/>
  <c r="T253" i="27"/>
  <c r="U253" i="27"/>
  <c r="W253" i="27"/>
  <c r="I254" i="27"/>
  <c r="J254" i="27"/>
  <c r="K254" i="27"/>
  <c r="L254" i="27"/>
  <c r="M254" i="27"/>
  <c r="N254" i="27"/>
  <c r="O254" i="27"/>
  <c r="P254" i="27"/>
  <c r="Q254" i="27"/>
  <c r="R254" i="27"/>
  <c r="S254" i="27"/>
  <c r="T254" i="27"/>
  <c r="U254" i="27"/>
  <c r="V254" i="27"/>
  <c r="W254" i="27"/>
  <c r="I255" i="27"/>
  <c r="J255" i="27"/>
  <c r="K255" i="27"/>
  <c r="L255" i="27"/>
  <c r="M255" i="27"/>
  <c r="N255" i="27"/>
  <c r="O255" i="27"/>
  <c r="P255" i="27"/>
  <c r="Q255" i="27"/>
  <c r="R255" i="27"/>
  <c r="S255" i="27"/>
  <c r="T255" i="27"/>
  <c r="U255" i="27"/>
  <c r="V255" i="27"/>
  <c r="W255" i="27"/>
  <c r="I286" i="27"/>
  <c r="J286" i="27"/>
  <c r="K286" i="27"/>
  <c r="L286" i="27"/>
  <c r="M286" i="27"/>
  <c r="N286" i="27"/>
  <c r="O286" i="27"/>
  <c r="P286" i="27"/>
  <c r="Q286" i="27"/>
  <c r="R286" i="27"/>
  <c r="S286" i="27"/>
  <c r="T286" i="27"/>
  <c r="U286" i="27"/>
  <c r="V286" i="27"/>
  <c r="W286" i="27"/>
  <c r="V287" i="27"/>
  <c r="I287" i="27"/>
  <c r="J287" i="27"/>
  <c r="K287" i="27"/>
  <c r="L287" i="27"/>
  <c r="M287" i="27"/>
  <c r="N287" i="27"/>
  <c r="O287" i="27"/>
  <c r="P287" i="27"/>
  <c r="Q287" i="27"/>
  <c r="R287" i="27"/>
  <c r="S287" i="27"/>
  <c r="T287" i="27"/>
  <c r="U287" i="27"/>
  <c r="W287" i="27"/>
  <c r="I289" i="27"/>
  <c r="J289" i="27"/>
  <c r="K289" i="27"/>
  <c r="L289" i="27"/>
  <c r="M289" i="27"/>
  <c r="N289" i="27"/>
  <c r="O289" i="27"/>
  <c r="P289" i="27"/>
  <c r="Q289" i="27"/>
  <c r="R289" i="27"/>
  <c r="S289" i="27"/>
  <c r="T289" i="27"/>
  <c r="U289" i="27"/>
  <c r="V289" i="27"/>
  <c r="W289" i="27"/>
  <c r="I290" i="27"/>
  <c r="J290" i="27"/>
  <c r="K290" i="27"/>
  <c r="L290" i="27"/>
  <c r="M290" i="27"/>
  <c r="N290" i="27"/>
  <c r="O290" i="27"/>
  <c r="P290" i="27"/>
  <c r="Q290" i="27"/>
  <c r="R290" i="27"/>
  <c r="S290" i="27"/>
  <c r="T290" i="27"/>
  <c r="U290" i="27"/>
  <c r="V290" i="27"/>
  <c r="W290" i="27"/>
  <c r="I256" i="27"/>
  <c r="J256" i="27"/>
  <c r="K256" i="27"/>
  <c r="L256" i="27"/>
  <c r="M256" i="27"/>
  <c r="N256" i="27"/>
  <c r="O256" i="27"/>
  <c r="P256" i="27"/>
  <c r="Q256" i="27"/>
  <c r="R256" i="27"/>
  <c r="S256" i="27"/>
  <c r="T256" i="27"/>
  <c r="U256" i="27"/>
  <c r="V256" i="27"/>
  <c r="W256" i="27"/>
  <c r="I257" i="27"/>
  <c r="J257" i="27"/>
  <c r="K257" i="27"/>
  <c r="L257" i="27"/>
  <c r="M257" i="27"/>
  <c r="N257" i="27"/>
  <c r="O257" i="27"/>
  <c r="P257" i="27"/>
  <c r="Q257" i="27"/>
  <c r="R257" i="27"/>
  <c r="S257" i="27"/>
  <c r="T257" i="27"/>
  <c r="U257" i="27"/>
  <c r="V257" i="27"/>
  <c r="W257" i="27"/>
  <c r="I258" i="27"/>
  <c r="J258" i="27"/>
  <c r="K258" i="27"/>
  <c r="L258" i="27"/>
  <c r="M258" i="27"/>
  <c r="N258" i="27"/>
  <c r="O258" i="27"/>
  <c r="P258" i="27"/>
  <c r="Q258" i="27"/>
  <c r="R258" i="27"/>
  <c r="S258" i="27"/>
  <c r="T258" i="27"/>
  <c r="U258" i="27"/>
  <c r="V258" i="27"/>
  <c r="W258" i="27"/>
  <c r="I259" i="27"/>
  <c r="J259" i="27"/>
  <c r="K259" i="27"/>
  <c r="L259" i="27"/>
  <c r="M259" i="27"/>
  <c r="N259" i="27"/>
  <c r="O259" i="27"/>
  <c r="P259" i="27"/>
  <c r="Q259" i="27"/>
  <c r="R259" i="27"/>
  <c r="S259" i="27"/>
  <c r="T259" i="27"/>
  <c r="U259" i="27"/>
  <c r="V259" i="27"/>
  <c r="W259" i="27"/>
  <c r="I260" i="27"/>
  <c r="J260" i="27"/>
  <c r="K260" i="27"/>
  <c r="L260" i="27"/>
  <c r="M260" i="27"/>
  <c r="N260" i="27"/>
  <c r="O260" i="27"/>
  <c r="P260" i="27"/>
  <c r="Q260" i="27"/>
  <c r="R260" i="27"/>
  <c r="S260" i="27"/>
  <c r="T260" i="27"/>
  <c r="U260" i="27"/>
  <c r="V260" i="27"/>
  <c r="W260" i="27"/>
  <c r="I261" i="27"/>
  <c r="J261" i="27"/>
  <c r="K261" i="27"/>
  <c r="L261" i="27"/>
  <c r="M261" i="27"/>
  <c r="N261" i="27"/>
  <c r="O261" i="27"/>
  <c r="P261" i="27"/>
  <c r="Q261" i="27"/>
  <c r="R261" i="27"/>
  <c r="S261" i="27"/>
  <c r="T261" i="27"/>
  <c r="U261" i="27"/>
  <c r="V261" i="27"/>
  <c r="W261" i="27"/>
  <c r="I262" i="27"/>
  <c r="J262" i="27"/>
  <c r="K262" i="27"/>
  <c r="L262" i="27"/>
  <c r="M262" i="27"/>
  <c r="N262" i="27"/>
  <c r="O262" i="27"/>
  <c r="P262" i="27"/>
  <c r="Q262" i="27"/>
  <c r="R262" i="27"/>
  <c r="S262" i="27"/>
  <c r="T262" i="27"/>
  <c r="U262" i="27"/>
  <c r="V262" i="27"/>
  <c r="W262" i="27"/>
  <c r="I263" i="27"/>
  <c r="J263" i="27"/>
  <c r="K263" i="27"/>
  <c r="L263" i="27"/>
  <c r="M263" i="27"/>
  <c r="N263" i="27"/>
  <c r="O263" i="27"/>
  <c r="P263" i="27"/>
  <c r="Q263" i="27"/>
  <c r="R263" i="27"/>
  <c r="S263" i="27"/>
  <c r="T263" i="27"/>
  <c r="U263" i="27"/>
  <c r="V263" i="27"/>
  <c r="W263" i="27"/>
  <c r="V264" i="27"/>
  <c r="I264" i="27"/>
  <c r="J264" i="27"/>
  <c r="K264" i="27"/>
  <c r="L264" i="27"/>
  <c r="M264" i="27"/>
  <c r="N264" i="27"/>
  <c r="O264" i="27"/>
  <c r="P264" i="27"/>
  <c r="Q264" i="27"/>
  <c r="R264" i="27"/>
  <c r="S264" i="27"/>
  <c r="T264" i="27"/>
  <c r="U264" i="27"/>
  <c r="W264" i="27"/>
  <c r="I265" i="27"/>
  <c r="J265" i="27"/>
  <c r="K265" i="27"/>
  <c r="L265" i="27"/>
  <c r="M265" i="27"/>
  <c r="N265" i="27"/>
  <c r="O265" i="27"/>
  <c r="P265" i="27"/>
  <c r="Q265" i="27"/>
  <c r="R265" i="27"/>
  <c r="S265" i="27"/>
  <c r="T265" i="27"/>
  <c r="U265" i="27"/>
  <c r="V265" i="27"/>
  <c r="W265" i="27"/>
  <c r="I267" i="27"/>
  <c r="J267" i="27"/>
  <c r="K267" i="27"/>
  <c r="L267" i="27"/>
  <c r="M267" i="27"/>
  <c r="N267" i="27"/>
  <c r="O267" i="27"/>
  <c r="P267" i="27"/>
  <c r="Q267" i="27"/>
  <c r="R267" i="27"/>
  <c r="S267" i="27"/>
  <c r="T267" i="27"/>
  <c r="U267" i="27"/>
  <c r="V267" i="27"/>
  <c r="W267" i="27"/>
  <c r="I268" i="27"/>
  <c r="J268" i="27"/>
  <c r="K268" i="27"/>
  <c r="L268" i="27"/>
  <c r="M268" i="27"/>
  <c r="N268" i="27"/>
  <c r="O268" i="27"/>
  <c r="P268" i="27"/>
  <c r="Q268" i="27"/>
  <c r="R268" i="27"/>
  <c r="S268" i="27"/>
  <c r="T268" i="27"/>
  <c r="U268" i="27"/>
  <c r="V268" i="27"/>
  <c r="W268" i="27"/>
  <c r="I269" i="27"/>
  <c r="J269" i="27"/>
  <c r="K269" i="27"/>
  <c r="L269" i="27"/>
  <c r="M269" i="27"/>
  <c r="N269" i="27"/>
  <c r="O269" i="27"/>
  <c r="P269" i="27"/>
  <c r="Q269" i="27"/>
  <c r="R269" i="27"/>
  <c r="S269" i="27"/>
  <c r="T269" i="27"/>
  <c r="U269" i="27"/>
  <c r="V269" i="27"/>
  <c r="W269" i="27"/>
  <c r="I270" i="27"/>
  <c r="J270" i="27"/>
  <c r="K270" i="27"/>
  <c r="L270" i="27"/>
  <c r="M270" i="27"/>
  <c r="N270" i="27"/>
  <c r="O270" i="27"/>
  <c r="P270" i="27"/>
  <c r="Q270" i="27"/>
  <c r="R270" i="27"/>
  <c r="S270" i="27"/>
  <c r="T270" i="27"/>
  <c r="U270" i="27"/>
  <c r="V270" i="27"/>
  <c r="W270" i="27"/>
  <c r="V271" i="27"/>
  <c r="I271" i="27"/>
  <c r="J271" i="27"/>
  <c r="K271" i="27"/>
  <c r="L271" i="27"/>
  <c r="M271" i="27"/>
  <c r="N271" i="27"/>
  <c r="O271" i="27"/>
  <c r="P271" i="27"/>
  <c r="Q271" i="27"/>
  <c r="R271" i="27"/>
  <c r="S271" i="27"/>
  <c r="T271" i="27"/>
  <c r="U271" i="27"/>
  <c r="W271" i="27"/>
  <c r="I272" i="27"/>
  <c r="J272" i="27"/>
  <c r="K272" i="27"/>
  <c r="L272" i="27"/>
  <c r="M272" i="27"/>
  <c r="N272" i="27"/>
  <c r="O272" i="27"/>
  <c r="P272" i="27"/>
  <c r="Q272" i="27"/>
  <c r="R272" i="27"/>
  <c r="S272" i="27"/>
  <c r="T272" i="27"/>
  <c r="U272" i="27"/>
  <c r="V272" i="27"/>
  <c r="W272" i="27"/>
  <c r="I273" i="27"/>
  <c r="J273" i="27"/>
  <c r="K273" i="27"/>
  <c r="L273" i="27"/>
  <c r="M273" i="27"/>
  <c r="N273" i="27"/>
  <c r="O273" i="27"/>
  <c r="P273" i="27"/>
  <c r="Q273" i="27"/>
  <c r="R273" i="27"/>
  <c r="S273" i="27"/>
  <c r="T273" i="27"/>
  <c r="U273" i="27"/>
  <c r="V273" i="27"/>
  <c r="W273" i="27"/>
  <c r="I275" i="27"/>
  <c r="J275" i="27"/>
  <c r="K275" i="27"/>
  <c r="L275" i="27"/>
  <c r="M275" i="27"/>
  <c r="N275" i="27"/>
  <c r="O275" i="27"/>
  <c r="P275" i="27"/>
  <c r="Q275" i="27"/>
  <c r="R275" i="27"/>
  <c r="S275" i="27"/>
  <c r="T275" i="27"/>
  <c r="U275" i="27"/>
  <c r="V275" i="27"/>
  <c r="W275" i="27"/>
  <c r="I276" i="27"/>
  <c r="J276" i="27"/>
  <c r="K276" i="27"/>
  <c r="L276" i="27"/>
  <c r="M276" i="27"/>
  <c r="N276" i="27"/>
  <c r="O276" i="27"/>
  <c r="P276" i="27"/>
  <c r="Q276" i="27"/>
  <c r="R276" i="27"/>
  <c r="S276" i="27"/>
  <c r="T276" i="27"/>
  <c r="U276" i="27"/>
  <c r="V276" i="27"/>
  <c r="W276" i="27"/>
  <c r="I277" i="27"/>
  <c r="J277" i="27"/>
  <c r="K277" i="27"/>
  <c r="L277" i="27"/>
  <c r="M277" i="27"/>
  <c r="N277" i="27"/>
  <c r="O277" i="27"/>
  <c r="P277" i="27"/>
  <c r="Q277" i="27"/>
  <c r="R277" i="27"/>
  <c r="S277" i="27"/>
  <c r="T277" i="27"/>
  <c r="U277" i="27"/>
  <c r="V277" i="27"/>
  <c r="W277" i="27"/>
  <c r="I278" i="27"/>
  <c r="J278" i="27"/>
  <c r="K278" i="27"/>
  <c r="L278" i="27"/>
  <c r="M278" i="27"/>
  <c r="N278" i="27"/>
  <c r="O278" i="27"/>
  <c r="P278" i="27"/>
  <c r="Q278" i="27"/>
  <c r="R278" i="27"/>
  <c r="S278" i="27"/>
  <c r="T278" i="27"/>
  <c r="U278" i="27"/>
  <c r="V278" i="27"/>
  <c r="W278" i="27"/>
  <c r="I279" i="27"/>
  <c r="J279" i="27"/>
  <c r="K279" i="27"/>
  <c r="L279" i="27"/>
  <c r="M279" i="27"/>
  <c r="N279" i="27"/>
  <c r="O279" i="27"/>
  <c r="P279" i="27"/>
  <c r="Q279" i="27"/>
  <c r="R279" i="27"/>
  <c r="S279" i="27"/>
  <c r="T279" i="27"/>
  <c r="U279" i="27"/>
  <c r="V279" i="27"/>
  <c r="W279" i="27"/>
  <c r="I280" i="27"/>
  <c r="J280" i="27"/>
  <c r="K280" i="27"/>
  <c r="L280" i="27"/>
  <c r="M280" i="27"/>
  <c r="N280" i="27"/>
  <c r="O280" i="27"/>
  <c r="P280" i="27"/>
  <c r="Q280" i="27"/>
  <c r="R280" i="27"/>
  <c r="S280" i="27"/>
  <c r="T280" i="27"/>
  <c r="U280" i="27"/>
  <c r="V280" i="27"/>
  <c r="W280" i="27"/>
  <c r="I282" i="27"/>
  <c r="J282" i="27"/>
  <c r="K282" i="27"/>
  <c r="L282" i="27"/>
  <c r="M282" i="27"/>
  <c r="N282" i="27"/>
  <c r="O282" i="27"/>
  <c r="P282" i="27"/>
  <c r="Q282" i="27"/>
  <c r="R282" i="27"/>
  <c r="S282" i="27"/>
  <c r="T282" i="27"/>
  <c r="U282" i="27"/>
  <c r="V282" i="27"/>
  <c r="W282" i="27"/>
  <c r="I283" i="27"/>
  <c r="J283" i="27"/>
  <c r="K283" i="27"/>
  <c r="L283" i="27"/>
  <c r="M283" i="27"/>
  <c r="N283" i="27"/>
  <c r="O283" i="27"/>
  <c r="P283" i="27"/>
  <c r="Q283" i="27"/>
  <c r="R283" i="27"/>
  <c r="S283" i="27"/>
  <c r="T283" i="27"/>
  <c r="U283" i="27"/>
  <c r="V283" i="27"/>
  <c r="W283" i="27"/>
  <c r="I284" i="27"/>
  <c r="J284" i="27"/>
  <c r="K284" i="27"/>
  <c r="L284" i="27"/>
  <c r="M284" i="27"/>
  <c r="N284" i="27"/>
  <c r="O284" i="27"/>
  <c r="P284" i="27"/>
  <c r="Q284" i="27"/>
  <c r="R284" i="27"/>
  <c r="S284" i="27"/>
  <c r="T284" i="27"/>
  <c r="U284" i="27"/>
  <c r="V284" i="27"/>
  <c r="W284" i="27"/>
  <c r="I285" i="27"/>
  <c r="J285" i="27"/>
  <c r="K285" i="27"/>
  <c r="L285" i="27"/>
  <c r="M285" i="27"/>
  <c r="N285" i="27"/>
  <c r="O285" i="27"/>
  <c r="P285" i="27"/>
  <c r="Q285" i="27"/>
  <c r="R285" i="27"/>
  <c r="S285" i="27"/>
  <c r="T285" i="27"/>
  <c r="U285" i="27"/>
  <c r="V285" i="27"/>
  <c r="W285" i="27"/>
  <c r="I293" i="27"/>
  <c r="J293" i="27"/>
  <c r="K293" i="27"/>
  <c r="L293" i="27"/>
  <c r="M293" i="27"/>
  <c r="N293" i="27"/>
  <c r="O293" i="27"/>
  <c r="P293" i="27"/>
  <c r="Q293" i="27"/>
  <c r="R293" i="27"/>
  <c r="S293" i="27"/>
  <c r="T293" i="27"/>
  <c r="U293" i="27"/>
  <c r="V293" i="27"/>
  <c r="W293" i="27"/>
  <c r="V294" i="27"/>
  <c r="I294" i="27"/>
  <c r="J294" i="27"/>
  <c r="K294" i="27"/>
  <c r="L294" i="27"/>
  <c r="M294" i="27"/>
  <c r="N294" i="27"/>
  <c r="O294" i="27"/>
  <c r="P294" i="27"/>
  <c r="Q294" i="27"/>
  <c r="R294" i="27"/>
  <c r="S294" i="27"/>
  <c r="T294" i="27"/>
  <c r="U294" i="27"/>
  <c r="W294" i="27"/>
  <c r="I295" i="27"/>
  <c r="J295" i="27"/>
  <c r="K295" i="27"/>
  <c r="L295" i="27"/>
  <c r="M295" i="27"/>
  <c r="N295" i="27"/>
  <c r="O295" i="27"/>
  <c r="P295" i="27"/>
  <c r="Q295" i="27"/>
  <c r="R295" i="27"/>
  <c r="S295" i="27"/>
  <c r="T295" i="27"/>
  <c r="U295" i="27"/>
  <c r="V295" i="27"/>
  <c r="W295" i="27"/>
  <c r="I296" i="27"/>
  <c r="J296" i="27"/>
  <c r="K296" i="27"/>
  <c r="L296" i="27"/>
  <c r="M296" i="27"/>
  <c r="N296" i="27"/>
  <c r="O296" i="27"/>
  <c r="P296" i="27"/>
  <c r="Q296" i="27"/>
  <c r="R296" i="27"/>
  <c r="S296" i="27"/>
  <c r="T296" i="27"/>
  <c r="U296" i="27"/>
  <c r="V296" i="27"/>
  <c r="W296" i="27"/>
  <c r="I297" i="27"/>
  <c r="J297" i="27"/>
  <c r="K297" i="27"/>
  <c r="L297" i="27"/>
  <c r="M297" i="27"/>
  <c r="N297" i="27"/>
  <c r="O297" i="27"/>
  <c r="P297" i="27"/>
  <c r="Q297" i="27"/>
  <c r="R297" i="27"/>
  <c r="S297" i="27"/>
  <c r="T297" i="27"/>
  <c r="U297" i="27"/>
  <c r="V297" i="27"/>
  <c r="W297" i="27"/>
  <c r="I298" i="27"/>
  <c r="J298" i="27"/>
  <c r="K298" i="27"/>
  <c r="L298" i="27"/>
  <c r="M298" i="27"/>
  <c r="N298" i="27"/>
  <c r="O298" i="27"/>
  <c r="P298" i="27"/>
  <c r="Q298" i="27"/>
  <c r="R298" i="27"/>
  <c r="S298" i="27"/>
  <c r="T298" i="27"/>
  <c r="U298" i="27"/>
  <c r="V298" i="27"/>
  <c r="W298" i="27"/>
  <c r="I299" i="27"/>
  <c r="J299" i="27"/>
  <c r="K299" i="27"/>
  <c r="L299" i="27"/>
  <c r="M299" i="27"/>
  <c r="N299" i="27"/>
  <c r="O299" i="27"/>
  <c r="P299" i="27"/>
  <c r="Q299" i="27"/>
  <c r="R299" i="27"/>
  <c r="S299" i="27"/>
  <c r="T299" i="27"/>
  <c r="U299" i="27"/>
  <c r="V299" i="27"/>
  <c r="W299" i="27"/>
  <c r="I300" i="27"/>
  <c r="J300" i="27"/>
  <c r="K300" i="27"/>
  <c r="L300" i="27"/>
  <c r="M300" i="27"/>
  <c r="N300" i="27"/>
  <c r="O300" i="27"/>
  <c r="P300" i="27"/>
  <c r="Q300" i="27"/>
  <c r="R300" i="27"/>
  <c r="S300" i="27"/>
  <c r="T300" i="27"/>
  <c r="U300" i="27"/>
  <c r="V300" i="27"/>
  <c r="W300" i="27"/>
  <c r="I301" i="27"/>
  <c r="J301" i="27"/>
  <c r="K301" i="27"/>
  <c r="L301" i="27"/>
  <c r="M301" i="27"/>
  <c r="N301" i="27"/>
  <c r="O301" i="27"/>
  <c r="P301" i="27"/>
  <c r="Q301" i="27"/>
  <c r="R301" i="27"/>
  <c r="S301" i="27"/>
  <c r="T301" i="27"/>
  <c r="U301" i="27"/>
  <c r="V301" i="27"/>
  <c r="W301" i="27"/>
  <c r="I302" i="27"/>
  <c r="J302" i="27"/>
  <c r="K302" i="27"/>
  <c r="L302" i="27"/>
  <c r="M302" i="27"/>
  <c r="N302" i="27"/>
  <c r="O302" i="27"/>
  <c r="P302" i="27"/>
  <c r="Q302" i="27"/>
  <c r="R302" i="27"/>
  <c r="S302" i="27"/>
  <c r="T302" i="27"/>
  <c r="U302" i="27"/>
  <c r="V302" i="27"/>
  <c r="W302" i="27"/>
  <c r="I303" i="27"/>
  <c r="J303" i="27"/>
  <c r="K303" i="27"/>
  <c r="L303" i="27"/>
  <c r="M303" i="27"/>
  <c r="N303" i="27"/>
  <c r="O303" i="27"/>
  <c r="P303" i="27"/>
  <c r="Q303" i="27"/>
  <c r="R303" i="27"/>
  <c r="S303" i="27"/>
  <c r="T303" i="27"/>
  <c r="U303" i="27"/>
  <c r="V303" i="27"/>
  <c r="W303" i="27"/>
  <c r="I304" i="27"/>
  <c r="J304" i="27"/>
  <c r="K304" i="27"/>
  <c r="L304" i="27"/>
  <c r="M304" i="27"/>
  <c r="N304" i="27"/>
  <c r="O304" i="27"/>
  <c r="P304" i="27"/>
  <c r="Q304" i="27"/>
  <c r="R304" i="27"/>
  <c r="S304" i="27"/>
  <c r="T304" i="27"/>
  <c r="U304" i="27"/>
  <c r="V304" i="27"/>
  <c r="W304" i="27"/>
  <c r="I305" i="27"/>
  <c r="J305" i="27"/>
  <c r="K305" i="27"/>
  <c r="L305" i="27"/>
  <c r="M305" i="27"/>
  <c r="N305" i="27"/>
  <c r="O305" i="27"/>
  <c r="P305" i="27"/>
  <c r="Q305" i="27"/>
  <c r="R305" i="27"/>
  <c r="S305" i="27"/>
  <c r="T305" i="27"/>
  <c r="U305" i="27"/>
  <c r="V305" i="27"/>
  <c r="W305" i="27"/>
  <c r="I307" i="27"/>
  <c r="J307" i="27"/>
  <c r="K307" i="27"/>
  <c r="L307" i="27"/>
  <c r="M307" i="27"/>
  <c r="N307" i="27"/>
  <c r="O307" i="27"/>
  <c r="P307" i="27"/>
  <c r="Q307" i="27"/>
  <c r="R307" i="27"/>
  <c r="S307" i="27"/>
  <c r="T307" i="27"/>
  <c r="U307" i="27"/>
  <c r="V307" i="27"/>
  <c r="W307" i="27"/>
  <c r="V308" i="27"/>
  <c r="I308" i="27"/>
  <c r="J308" i="27"/>
  <c r="K308" i="27"/>
  <c r="L308" i="27"/>
  <c r="M308" i="27"/>
  <c r="N308" i="27"/>
  <c r="O308" i="27"/>
  <c r="P308" i="27"/>
  <c r="Q308" i="27"/>
  <c r="R308" i="27"/>
  <c r="S308" i="27"/>
  <c r="T308" i="27"/>
  <c r="U308" i="27"/>
  <c r="W308" i="27"/>
  <c r="I309" i="27"/>
  <c r="J309" i="27"/>
  <c r="K309" i="27"/>
  <c r="L309" i="27"/>
  <c r="M309" i="27"/>
  <c r="N309" i="27"/>
  <c r="O309" i="27"/>
  <c r="P309" i="27"/>
  <c r="Q309" i="27"/>
  <c r="R309" i="27"/>
  <c r="S309" i="27"/>
  <c r="T309" i="27"/>
  <c r="U309" i="27"/>
  <c r="V309" i="27"/>
  <c r="W309" i="27"/>
  <c r="I310" i="27"/>
  <c r="J310" i="27"/>
  <c r="K310" i="27"/>
  <c r="L310" i="27"/>
  <c r="M310" i="27"/>
  <c r="N310" i="27"/>
  <c r="O310" i="27"/>
  <c r="P310" i="27"/>
  <c r="Q310" i="27"/>
  <c r="R310" i="27"/>
  <c r="S310" i="27"/>
  <c r="T310" i="27"/>
  <c r="U310" i="27"/>
  <c r="V310" i="27"/>
  <c r="W310" i="27"/>
  <c r="I312" i="27"/>
  <c r="J312" i="27"/>
  <c r="K312" i="27"/>
  <c r="L312" i="27"/>
  <c r="M312" i="27"/>
  <c r="N312" i="27"/>
  <c r="O312" i="27"/>
  <c r="P312" i="27"/>
  <c r="Q312" i="27"/>
  <c r="R312" i="27"/>
  <c r="S312" i="27"/>
  <c r="T312" i="27"/>
  <c r="U312" i="27"/>
  <c r="V312" i="27"/>
  <c r="W312" i="27"/>
  <c r="I313" i="27"/>
  <c r="J313" i="27"/>
  <c r="K313" i="27"/>
  <c r="L313" i="27"/>
  <c r="M313" i="27"/>
  <c r="N313" i="27"/>
  <c r="O313" i="27"/>
  <c r="P313" i="27"/>
  <c r="Q313" i="27"/>
  <c r="R313" i="27"/>
  <c r="S313" i="27"/>
  <c r="T313" i="27"/>
  <c r="U313" i="27"/>
  <c r="V313" i="27"/>
  <c r="W313" i="27"/>
  <c r="V314" i="27"/>
  <c r="I314" i="27"/>
  <c r="J314" i="27"/>
  <c r="K314" i="27"/>
  <c r="L314" i="27"/>
  <c r="M314" i="27"/>
  <c r="N314" i="27"/>
  <c r="O314" i="27"/>
  <c r="P314" i="27"/>
  <c r="Q314" i="27"/>
  <c r="R314" i="27"/>
  <c r="S314" i="27"/>
  <c r="T314" i="27"/>
  <c r="U314" i="27"/>
  <c r="W314" i="27"/>
  <c r="I315" i="27"/>
  <c r="J315" i="27"/>
  <c r="K315" i="27"/>
  <c r="L315" i="27"/>
  <c r="M315" i="27"/>
  <c r="N315" i="27"/>
  <c r="O315" i="27"/>
  <c r="P315" i="27"/>
  <c r="Q315" i="27"/>
  <c r="R315" i="27"/>
  <c r="S315" i="27"/>
  <c r="T315" i="27"/>
  <c r="U315" i="27"/>
  <c r="V315" i="27"/>
  <c r="W315" i="27"/>
  <c r="I316" i="27"/>
  <c r="J316" i="27"/>
  <c r="K316" i="27"/>
  <c r="L316" i="27"/>
  <c r="M316" i="27"/>
  <c r="N316" i="27"/>
  <c r="O316" i="27"/>
  <c r="P316" i="27"/>
  <c r="Q316" i="27"/>
  <c r="R316" i="27"/>
  <c r="S316" i="27"/>
  <c r="T316" i="27"/>
  <c r="U316" i="27"/>
  <c r="V316" i="27"/>
  <c r="W316" i="27"/>
  <c r="I317" i="27"/>
  <c r="J317" i="27"/>
  <c r="K317" i="27"/>
  <c r="L317" i="27"/>
  <c r="M317" i="27"/>
  <c r="N317" i="27"/>
  <c r="O317" i="27"/>
  <c r="P317" i="27"/>
  <c r="Q317" i="27"/>
  <c r="R317" i="27"/>
  <c r="S317" i="27"/>
  <c r="T317" i="27"/>
  <c r="U317" i="27"/>
  <c r="V317" i="27"/>
  <c r="W317" i="27"/>
  <c r="I318" i="27"/>
  <c r="J318" i="27"/>
  <c r="K318" i="27"/>
  <c r="L318" i="27"/>
  <c r="M318" i="27"/>
  <c r="N318" i="27"/>
  <c r="O318" i="27"/>
  <c r="P318" i="27"/>
  <c r="Q318" i="27"/>
  <c r="R318" i="27"/>
  <c r="S318" i="27"/>
  <c r="T318" i="27"/>
  <c r="U318" i="27"/>
  <c r="V318" i="27"/>
  <c r="W318" i="27"/>
  <c r="I319" i="27"/>
  <c r="J319" i="27"/>
  <c r="K319" i="27"/>
  <c r="L319" i="27"/>
  <c r="M319" i="27"/>
  <c r="N319" i="27"/>
  <c r="O319" i="27"/>
  <c r="P319" i="27"/>
  <c r="Q319" i="27"/>
  <c r="R319" i="27"/>
  <c r="S319" i="27"/>
  <c r="T319" i="27"/>
  <c r="U319" i="27"/>
  <c r="V319" i="27"/>
  <c r="W319" i="27"/>
  <c r="I320" i="27"/>
  <c r="J320" i="27"/>
  <c r="K320" i="27"/>
  <c r="L320" i="27"/>
  <c r="M320" i="27"/>
  <c r="N320" i="27"/>
  <c r="O320" i="27"/>
  <c r="P320" i="27"/>
  <c r="Q320" i="27"/>
  <c r="R320" i="27"/>
  <c r="S320" i="27"/>
  <c r="T320" i="27"/>
  <c r="U320" i="27"/>
  <c r="V320" i="27"/>
  <c r="W320" i="27"/>
  <c r="I321" i="27"/>
  <c r="J321" i="27"/>
  <c r="K321" i="27"/>
  <c r="L321" i="27"/>
  <c r="M321" i="27"/>
  <c r="N321" i="27"/>
  <c r="O321" i="27"/>
  <c r="P321" i="27"/>
  <c r="Q321" i="27"/>
  <c r="R321" i="27"/>
  <c r="S321" i="27"/>
  <c r="T321" i="27"/>
  <c r="U321" i="27"/>
  <c r="V321" i="27"/>
  <c r="W321" i="27"/>
  <c r="V322" i="27"/>
  <c r="I322" i="27"/>
  <c r="J322" i="27"/>
  <c r="K322" i="27"/>
  <c r="L322" i="27"/>
  <c r="M322" i="27"/>
  <c r="N322" i="27"/>
  <c r="O322" i="27"/>
  <c r="P322" i="27"/>
  <c r="Q322" i="27"/>
  <c r="R322" i="27"/>
  <c r="S322" i="27"/>
  <c r="T322" i="27"/>
  <c r="U322" i="27"/>
  <c r="W322" i="27"/>
  <c r="I323" i="27"/>
  <c r="J323" i="27"/>
  <c r="K323" i="27"/>
  <c r="L323" i="27"/>
  <c r="M323" i="27"/>
  <c r="N323" i="27"/>
  <c r="O323" i="27"/>
  <c r="P323" i="27"/>
  <c r="Q323" i="27"/>
  <c r="R323" i="27"/>
  <c r="S323" i="27"/>
  <c r="T323" i="27"/>
  <c r="U323" i="27"/>
  <c r="V323" i="27"/>
  <c r="W323" i="27"/>
  <c r="I324" i="27"/>
  <c r="J324" i="27"/>
  <c r="K324" i="27"/>
  <c r="L324" i="27"/>
  <c r="M324" i="27"/>
  <c r="N324" i="27"/>
  <c r="O324" i="27"/>
  <c r="P324" i="27"/>
  <c r="Q324" i="27"/>
  <c r="R324" i="27"/>
  <c r="S324" i="27"/>
  <c r="T324" i="27"/>
  <c r="U324" i="27"/>
  <c r="V324" i="27"/>
  <c r="W324" i="27"/>
  <c r="I325" i="27"/>
  <c r="J325" i="27"/>
  <c r="K325" i="27"/>
  <c r="L325" i="27"/>
  <c r="M325" i="27"/>
  <c r="N325" i="27"/>
  <c r="O325" i="27"/>
  <c r="P325" i="27"/>
  <c r="Q325" i="27"/>
  <c r="R325" i="27"/>
  <c r="S325" i="27"/>
  <c r="T325" i="27"/>
  <c r="U325" i="27"/>
  <c r="V325" i="27"/>
  <c r="W325" i="27"/>
  <c r="I326" i="27"/>
  <c r="J326" i="27"/>
  <c r="K326" i="27"/>
  <c r="L326" i="27"/>
  <c r="M326" i="27"/>
  <c r="N326" i="27"/>
  <c r="O326" i="27"/>
  <c r="P326" i="27"/>
  <c r="Q326" i="27"/>
  <c r="R326" i="27"/>
  <c r="S326" i="27"/>
  <c r="T326" i="27"/>
  <c r="U326" i="27"/>
  <c r="V326" i="27"/>
  <c r="W326" i="27"/>
  <c r="I327" i="27"/>
  <c r="J327" i="27"/>
  <c r="K327" i="27"/>
  <c r="L327" i="27"/>
  <c r="M327" i="27"/>
  <c r="N327" i="27"/>
  <c r="O327" i="27"/>
  <c r="P327" i="27"/>
  <c r="Q327" i="27"/>
  <c r="R327" i="27"/>
  <c r="S327" i="27"/>
  <c r="T327" i="27"/>
  <c r="U327" i="27"/>
  <c r="V327" i="27"/>
  <c r="W327" i="27"/>
  <c r="I328" i="27"/>
  <c r="J328" i="27"/>
  <c r="K328" i="27"/>
  <c r="L328" i="27"/>
  <c r="M328" i="27"/>
  <c r="N328" i="27"/>
  <c r="O328" i="27"/>
  <c r="P328" i="27"/>
  <c r="Q328" i="27"/>
  <c r="R328" i="27"/>
  <c r="S328" i="27"/>
  <c r="T328" i="27"/>
  <c r="U328" i="27"/>
  <c r="V328" i="27"/>
  <c r="W328" i="27"/>
  <c r="I329" i="27"/>
  <c r="J329" i="27"/>
  <c r="K329" i="27"/>
  <c r="L329" i="27"/>
  <c r="M329" i="27"/>
  <c r="N329" i="27"/>
  <c r="O329" i="27"/>
  <c r="P329" i="27"/>
  <c r="Q329" i="27"/>
  <c r="R329" i="27"/>
  <c r="S329" i="27"/>
  <c r="T329" i="27"/>
  <c r="U329" i="27"/>
  <c r="V329" i="27"/>
  <c r="W329" i="27"/>
  <c r="I330" i="27"/>
  <c r="J330" i="27"/>
  <c r="K330" i="27"/>
  <c r="L330" i="27"/>
  <c r="M330" i="27"/>
  <c r="N330" i="27"/>
  <c r="O330" i="27"/>
  <c r="P330" i="27"/>
  <c r="Q330" i="27"/>
  <c r="R330" i="27"/>
  <c r="S330" i="27"/>
  <c r="T330" i="27"/>
  <c r="U330" i="27"/>
  <c r="V330" i="27"/>
  <c r="W330" i="27"/>
  <c r="I331" i="27"/>
  <c r="J331" i="27"/>
  <c r="K331" i="27"/>
  <c r="L331" i="27"/>
  <c r="M331" i="27"/>
  <c r="N331" i="27"/>
  <c r="O331" i="27"/>
  <c r="P331" i="27"/>
  <c r="Q331" i="27"/>
  <c r="R331" i="27"/>
  <c r="S331" i="27"/>
  <c r="T331" i="27"/>
  <c r="U331" i="27"/>
  <c r="V331" i="27"/>
  <c r="W331" i="27"/>
  <c r="I332" i="27"/>
  <c r="J332" i="27"/>
  <c r="K332" i="27"/>
  <c r="L332" i="27"/>
  <c r="M332" i="27"/>
  <c r="N332" i="27"/>
  <c r="O332" i="27"/>
  <c r="P332" i="27"/>
  <c r="Q332" i="27"/>
  <c r="R332" i="27"/>
  <c r="S332" i="27"/>
  <c r="T332" i="27"/>
  <c r="U332" i="27"/>
  <c r="V332" i="27"/>
  <c r="W332" i="27"/>
  <c r="I333" i="27"/>
  <c r="J333" i="27"/>
  <c r="K333" i="27"/>
  <c r="L333" i="27"/>
  <c r="M333" i="27"/>
  <c r="N333" i="27"/>
  <c r="O333" i="27"/>
  <c r="P333" i="27"/>
  <c r="Q333" i="27"/>
  <c r="R333" i="27"/>
  <c r="S333" i="27"/>
  <c r="T333" i="27"/>
  <c r="U333" i="27"/>
  <c r="V333" i="27"/>
  <c r="W333" i="27"/>
  <c r="I334" i="27"/>
  <c r="J334" i="27"/>
  <c r="K334" i="27"/>
  <c r="L334" i="27"/>
  <c r="M334" i="27"/>
  <c r="N334" i="27"/>
  <c r="O334" i="27"/>
  <c r="P334" i="27"/>
  <c r="Q334" i="27"/>
  <c r="R334" i="27"/>
  <c r="S334" i="27"/>
  <c r="T334" i="27"/>
  <c r="U334" i="27"/>
  <c r="V334" i="27"/>
  <c r="W334" i="27"/>
  <c r="Y341" i="27" l="1"/>
  <c r="S44" i="30"/>
  <c r="H44" i="30"/>
  <c r="I44" i="30"/>
  <c r="J44" i="30"/>
  <c r="K44" i="30"/>
  <c r="L44" i="30"/>
  <c r="M44" i="30"/>
  <c r="N44" i="30"/>
  <c r="O44" i="30"/>
  <c r="P44" i="30"/>
  <c r="Q44" i="30"/>
  <c r="R44" i="30"/>
  <c r="T44" i="30"/>
  <c r="U44" i="30"/>
  <c r="H43" i="30"/>
  <c r="I43" i="30"/>
  <c r="J43" i="30"/>
  <c r="K43" i="30"/>
  <c r="L43" i="30"/>
  <c r="M43" i="30"/>
  <c r="N43" i="30"/>
  <c r="O43" i="30"/>
  <c r="P43" i="30"/>
  <c r="Q43" i="30"/>
  <c r="R43" i="30"/>
  <c r="S43" i="30"/>
  <c r="T43" i="30"/>
  <c r="U43" i="30"/>
  <c r="S42" i="30"/>
  <c r="H42" i="30"/>
  <c r="I42" i="30"/>
  <c r="J42" i="30"/>
  <c r="K42" i="30"/>
  <c r="L42" i="30"/>
  <c r="M42" i="30"/>
  <c r="N42" i="30"/>
  <c r="O42" i="30"/>
  <c r="P42" i="30"/>
  <c r="Q42" i="30"/>
  <c r="R42" i="30"/>
  <c r="T42" i="30"/>
  <c r="U42" i="30"/>
  <c r="S41" i="30"/>
  <c r="H41" i="30"/>
  <c r="I41" i="30"/>
  <c r="J41" i="30"/>
  <c r="K41" i="30"/>
  <c r="L41" i="30"/>
  <c r="M41" i="30"/>
  <c r="N41" i="30"/>
  <c r="O41" i="30"/>
  <c r="P41" i="30"/>
  <c r="Q41" i="30"/>
  <c r="R41" i="30"/>
  <c r="T41" i="30"/>
  <c r="U41" i="30"/>
  <c r="H40" i="30"/>
  <c r="I40" i="30"/>
  <c r="J40" i="30"/>
  <c r="K40" i="30"/>
  <c r="L40" i="30"/>
  <c r="M40" i="30"/>
  <c r="N40" i="30"/>
  <c r="O40" i="30"/>
  <c r="P40" i="30"/>
  <c r="Q40" i="30"/>
  <c r="R40" i="30"/>
  <c r="S40" i="30"/>
  <c r="T40" i="30"/>
  <c r="U40" i="30"/>
  <c r="H39" i="30"/>
  <c r="I39" i="30"/>
  <c r="J39" i="30"/>
  <c r="K39" i="30"/>
  <c r="L39" i="30"/>
  <c r="M39" i="30"/>
  <c r="N39" i="30"/>
  <c r="O39" i="30"/>
  <c r="P39" i="30"/>
  <c r="Q39" i="30"/>
  <c r="R39" i="30"/>
  <c r="S39" i="30"/>
  <c r="T39" i="30"/>
  <c r="U39" i="30"/>
  <c r="H38" i="30"/>
  <c r="I38" i="30"/>
  <c r="J38" i="30"/>
  <c r="K38" i="30"/>
  <c r="L38" i="30"/>
  <c r="M38" i="30"/>
  <c r="N38" i="30"/>
  <c r="O38" i="30"/>
  <c r="P38" i="30"/>
  <c r="Q38" i="30"/>
  <c r="R38" i="30"/>
  <c r="S38" i="30"/>
  <c r="T38" i="30"/>
  <c r="U38" i="30"/>
  <c r="S37" i="30"/>
  <c r="H37" i="30"/>
  <c r="I37" i="30"/>
  <c r="J37" i="30"/>
  <c r="K37" i="30"/>
  <c r="L37" i="30"/>
  <c r="M37" i="30"/>
  <c r="N37" i="30"/>
  <c r="O37" i="30"/>
  <c r="P37" i="30"/>
  <c r="Q37" i="30"/>
  <c r="R37" i="30"/>
  <c r="T37" i="30"/>
  <c r="U37" i="30"/>
  <c r="H21" i="30" l="1"/>
  <c r="I21" i="30"/>
  <c r="J21" i="30"/>
  <c r="K21" i="30"/>
  <c r="L21" i="30"/>
  <c r="M21" i="30"/>
  <c r="N21" i="30"/>
  <c r="O21" i="30"/>
  <c r="P21" i="30"/>
  <c r="Q21" i="30"/>
  <c r="R21" i="30"/>
  <c r="S21" i="30"/>
  <c r="T21" i="30"/>
  <c r="U21" i="30"/>
  <c r="S23" i="30"/>
  <c r="H23" i="30"/>
  <c r="I23" i="30"/>
  <c r="J23" i="30"/>
  <c r="K23" i="30"/>
  <c r="L23" i="30"/>
  <c r="M23" i="30"/>
  <c r="N23" i="30"/>
  <c r="O23" i="30"/>
  <c r="P23" i="30"/>
  <c r="Q23" i="30"/>
  <c r="R23" i="30"/>
  <c r="T23" i="30"/>
  <c r="U23" i="30"/>
  <c r="S25" i="30"/>
  <c r="H25" i="30"/>
  <c r="I25" i="30"/>
  <c r="J25" i="30"/>
  <c r="K25" i="30"/>
  <c r="L25" i="30"/>
  <c r="M25" i="30"/>
  <c r="N25" i="30"/>
  <c r="O25" i="30"/>
  <c r="P25" i="30"/>
  <c r="Q25" i="30"/>
  <c r="R25" i="30"/>
  <c r="T25" i="30"/>
  <c r="U25" i="30"/>
  <c r="U35" i="30" l="1"/>
  <c r="T35" i="30"/>
  <c r="S35" i="30"/>
  <c r="R35" i="30"/>
  <c r="Q35" i="30"/>
  <c r="P35" i="30"/>
  <c r="O35" i="30"/>
  <c r="N35" i="30"/>
  <c r="M35" i="30"/>
  <c r="L35" i="30"/>
  <c r="K35" i="30"/>
  <c r="J35" i="30"/>
  <c r="I35" i="30"/>
  <c r="H35" i="30"/>
  <c r="U33" i="30"/>
  <c r="T33" i="30"/>
  <c r="S33" i="30"/>
  <c r="R33" i="30"/>
  <c r="Q33" i="30"/>
  <c r="P33" i="30"/>
  <c r="O33" i="30"/>
  <c r="N33" i="30"/>
  <c r="M33" i="30"/>
  <c r="L33" i="30"/>
  <c r="K33" i="30"/>
  <c r="J33" i="30"/>
  <c r="I33" i="30"/>
  <c r="H33" i="30"/>
  <c r="U31" i="30"/>
  <c r="T31" i="30"/>
  <c r="S31" i="30"/>
  <c r="R31" i="30"/>
  <c r="Q31" i="30"/>
  <c r="P31" i="30"/>
  <c r="O31" i="30"/>
  <c r="N31" i="30"/>
  <c r="M31" i="30"/>
  <c r="L31" i="30"/>
  <c r="K31" i="30"/>
  <c r="J31" i="30"/>
  <c r="I31" i="30"/>
  <c r="H31" i="30"/>
  <c r="U29" i="30"/>
  <c r="T29" i="30"/>
  <c r="S29" i="30"/>
  <c r="R29" i="30"/>
  <c r="Q29" i="30"/>
  <c r="P29" i="30"/>
  <c r="O29" i="30"/>
  <c r="N29" i="30"/>
  <c r="M29" i="30"/>
  <c r="L29" i="30"/>
  <c r="K29" i="30"/>
  <c r="J29" i="30"/>
  <c r="I29" i="30"/>
  <c r="H29" i="30"/>
  <c r="U27" i="30"/>
  <c r="T27" i="30"/>
  <c r="S27" i="30"/>
  <c r="R27" i="30"/>
  <c r="Q27" i="30"/>
  <c r="P27" i="30"/>
  <c r="O27" i="30"/>
  <c r="N27" i="30"/>
  <c r="M27" i="30"/>
  <c r="L27" i="30"/>
  <c r="K27" i="30"/>
  <c r="J27" i="30"/>
  <c r="I27" i="30"/>
  <c r="H27" i="30"/>
  <c r="U26" i="30"/>
  <c r="T26" i="30"/>
  <c r="S26" i="30"/>
  <c r="R26" i="30"/>
  <c r="Q26" i="30"/>
  <c r="P26" i="30"/>
  <c r="O26" i="30"/>
  <c r="N26" i="30"/>
  <c r="M26" i="30"/>
  <c r="L26" i="30"/>
  <c r="K26" i="30"/>
  <c r="J26" i="30"/>
  <c r="I26" i="30"/>
  <c r="H26" i="30"/>
  <c r="U24" i="30"/>
  <c r="T24" i="30"/>
  <c r="S24" i="30"/>
  <c r="R24" i="30"/>
  <c r="Q24" i="30"/>
  <c r="P24" i="30"/>
  <c r="O24" i="30"/>
  <c r="N24" i="30"/>
  <c r="M24" i="30"/>
  <c r="L24" i="30"/>
  <c r="K24" i="30"/>
  <c r="J24" i="30"/>
  <c r="I24" i="30"/>
  <c r="H24" i="30"/>
  <c r="U22" i="30"/>
  <c r="T22" i="30"/>
  <c r="S22" i="30"/>
  <c r="R22" i="30"/>
  <c r="Q22" i="30"/>
  <c r="P22" i="30"/>
  <c r="O22" i="30"/>
  <c r="N22" i="30"/>
  <c r="M22" i="30"/>
  <c r="L22" i="30"/>
  <c r="K22" i="30"/>
  <c r="J22" i="30"/>
  <c r="I22" i="30"/>
  <c r="H22" i="30"/>
  <c r="U20" i="30"/>
  <c r="T20" i="30"/>
  <c r="S20" i="30"/>
  <c r="R20" i="30"/>
  <c r="Q20" i="30"/>
  <c r="P20" i="30"/>
  <c r="O20" i="30"/>
  <c r="N20" i="30"/>
  <c r="M20" i="30"/>
  <c r="L20" i="30"/>
  <c r="K20" i="30"/>
  <c r="J20" i="30"/>
  <c r="I20" i="30"/>
  <c r="H20" i="30"/>
  <c r="U18" i="30"/>
  <c r="T18" i="30"/>
  <c r="S18" i="30"/>
  <c r="R18" i="30"/>
  <c r="Q18" i="30"/>
  <c r="P18" i="30"/>
  <c r="O18" i="30"/>
  <c r="N18" i="30"/>
  <c r="M18" i="30"/>
  <c r="L18" i="30"/>
  <c r="K18" i="30"/>
  <c r="J18" i="30"/>
  <c r="I18" i="30"/>
  <c r="H18" i="30"/>
  <c r="U14" i="30"/>
  <c r="T14" i="30"/>
  <c r="S14" i="30"/>
  <c r="R14" i="30"/>
  <c r="Q14" i="30"/>
  <c r="P14" i="30"/>
  <c r="O14" i="30"/>
  <c r="N14" i="30"/>
  <c r="M14" i="30"/>
  <c r="L14" i="30"/>
  <c r="K14" i="30"/>
  <c r="J14" i="30"/>
  <c r="I14" i="30"/>
  <c r="H14" i="30"/>
  <c r="U12" i="30"/>
  <c r="T12" i="30"/>
  <c r="S12" i="30"/>
  <c r="R12" i="30"/>
  <c r="Q12" i="30"/>
  <c r="P12" i="30"/>
  <c r="O12" i="30"/>
  <c r="N12" i="30"/>
  <c r="M12" i="30"/>
  <c r="L12" i="30"/>
  <c r="K12" i="30"/>
  <c r="J12" i="30"/>
  <c r="I12" i="30"/>
  <c r="H12" i="30"/>
  <c r="U6" i="30"/>
  <c r="T6" i="30"/>
  <c r="S6" i="30"/>
  <c r="R6" i="30"/>
  <c r="Q6" i="30"/>
  <c r="P6" i="30"/>
  <c r="O6" i="30"/>
  <c r="N6" i="30"/>
  <c r="M6" i="30"/>
  <c r="L6" i="30"/>
  <c r="K6" i="30"/>
  <c r="J6" i="30"/>
  <c r="I6" i="30"/>
  <c r="H6" i="30"/>
  <c r="U2" i="30"/>
  <c r="T2" i="30"/>
  <c r="S2" i="30"/>
  <c r="R2" i="30"/>
  <c r="Q2" i="30"/>
  <c r="P2" i="30"/>
  <c r="O2" i="30"/>
  <c r="N2" i="30"/>
  <c r="M2" i="30"/>
  <c r="L2" i="30"/>
  <c r="K2" i="30"/>
  <c r="J2" i="30"/>
  <c r="I2" i="30"/>
  <c r="H2" i="30"/>
  <c r="X217" i="27"/>
  <c r="X262" i="27"/>
  <c r="X245" i="27"/>
  <c r="X246" i="27"/>
  <c r="X215" i="27"/>
  <c r="X142" i="27"/>
  <c r="X130" i="27"/>
  <c r="X260" i="27"/>
  <c r="X209" i="27"/>
  <c r="X255" i="27"/>
  <c r="X122" i="27"/>
  <c r="X40" i="27"/>
  <c r="X263" i="27"/>
  <c r="X126" i="27"/>
  <c r="X199" i="27"/>
  <c r="X249" i="27"/>
  <c r="X322" i="27"/>
  <c r="X180" i="27"/>
  <c r="X302" i="27"/>
  <c r="X226" i="27"/>
  <c r="X303" i="27"/>
  <c r="X4" i="27"/>
  <c r="X14" i="27"/>
  <c r="X323" i="27"/>
  <c r="X273" i="27"/>
  <c r="X115" i="27"/>
  <c r="X119" i="27"/>
  <c r="X36" i="27"/>
  <c r="X16" i="27"/>
  <c r="X19" i="27"/>
  <c r="X133" i="27"/>
  <c r="X8" i="27"/>
  <c r="X233" i="27"/>
  <c r="X109" i="27"/>
  <c r="X125" i="27"/>
  <c r="X179" i="27"/>
  <c r="X116" i="27"/>
  <c r="X242" i="27"/>
  <c r="X269" i="27"/>
  <c r="X12" i="27"/>
  <c r="X75" i="27"/>
  <c r="X183" i="27"/>
  <c r="X117" i="27"/>
  <c r="X305" i="27"/>
  <c r="X77" i="27"/>
  <c r="X231" i="27"/>
  <c r="X283" i="27"/>
  <c r="X94" i="27"/>
  <c r="X248" i="27"/>
  <c r="X144" i="27"/>
  <c r="X93" i="27"/>
  <c r="X330" i="27"/>
  <c r="X2" i="27"/>
  <c r="X244" i="27"/>
  <c r="X299" i="27"/>
  <c r="X32" i="27"/>
  <c r="X282" i="27"/>
  <c r="X206" i="27"/>
  <c r="X187" i="27"/>
  <c r="X188" i="27"/>
  <c r="X210" i="27"/>
  <c r="X270" i="27"/>
  <c r="X243" i="27"/>
  <c r="X257" i="27"/>
  <c r="X138" i="27"/>
  <c r="X239" i="27"/>
  <c r="X41" i="27"/>
  <c r="X312" i="27"/>
  <c r="X79" i="27"/>
  <c r="X20" i="27"/>
  <c r="X38" i="27"/>
  <c r="X96" i="27"/>
  <c r="X250" i="27"/>
  <c r="X237" i="27"/>
  <c r="X15" i="27"/>
  <c r="X150" i="27"/>
  <c r="X46" i="27"/>
  <c r="X307" i="27"/>
  <c r="X284" i="27"/>
  <c r="X141" i="27"/>
  <c r="X74" i="27"/>
  <c r="X325" i="27"/>
  <c r="X88" i="27"/>
  <c r="X197" i="27"/>
  <c r="X143" i="27"/>
  <c r="X17" i="27"/>
  <c r="X80" i="27"/>
  <c r="X37" i="27"/>
  <c r="X259" i="27"/>
  <c r="X97" i="27"/>
  <c r="X101" i="27"/>
  <c r="X112" i="27"/>
  <c r="X99" i="27"/>
  <c r="X184" i="27"/>
  <c r="X331" i="27"/>
  <c r="X135" i="27"/>
  <c r="X123" i="27"/>
  <c r="X218" i="27"/>
  <c r="X113" i="27"/>
  <c r="X89" i="27"/>
  <c r="X317" i="27"/>
  <c r="X290" i="27"/>
  <c r="X45" i="27"/>
  <c r="X216" i="27"/>
  <c r="X278" i="27"/>
  <c r="X131" i="27"/>
  <c r="X254" i="27"/>
  <c r="X327" i="27"/>
  <c r="X268" i="27"/>
  <c r="X315" i="27"/>
  <c r="X285" i="27"/>
  <c r="X192" i="27"/>
  <c r="X277" i="27"/>
  <c r="X236" i="27"/>
  <c r="X27" i="27"/>
  <c r="X227" i="27"/>
  <c r="X286" i="27"/>
  <c r="X145" i="27"/>
  <c r="X139" i="27"/>
  <c r="X152" i="27"/>
  <c r="X33" i="27"/>
  <c r="X241" i="27"/>
  <c r="X313" i="27"/>
  <c r="X314" i="27"/>
  <c r="X298" i="27"/>
  <c r="X211" i="27"/>
  <c r="X213" i="27"/>
  <c r="X261" i="27"/>
  <c r="X191" i="27"/>
  <c r="X102" i="27"/>
  <c r="X287" i="27"/>
  <c r="X228" i="27"/>
  <c r="X44" i="27"/>
  <c r="X13" i="27"/>
  <c r="X118" i="27"/>
  <c r="X295" i="27"/>
  <c r="X320" i="27"/>
  <c r="X11" i="27"/>
  <c r="X253" i="27"/>
  <c r="X271" i="27"/>
  <c r="X296" i="27"/>
  <c r="X318" i="27"/>
  <c r="X265" i="27"/>
  <c r="X332" i="27"/>
  <c r="X326" i="27"/>
  <c r="X189" i="27"/>
  <c r="X276" i="27"/>
  <c r="X329" i="27"/>
  <c r="X95" i="27"/>
  <c r="X24" i="27"/>
  <c r="X333" i="27"/>
  <c r="X129" i="27"/>
  <c r="X120" i="27"/>
  <c r="X234" i="27"/>
  <c r="X193" i="27"/>
  <c r="X294" i="27"/>
  <c r="X309" i="27"/>
  <c r="X10" i="27"/>
  <c r="X164" i="27"/>
  <c r="X103" i="27"/>
  <c r="X5" i="27"/>
  <c r="X9" i="27"/>
  <c r="X252" i="27"/>
  <c r="X304" i="27"/>
  <c r="X229" i="27"/>
  <c r="X137" i="27"/>
  <c r="X207" i="27"/>
  <c r="X114" i="27"/>
  <c r="X98" i="27"/>
  <c r="X310" i="27"/>
  <c r="X83" i="27"/>
  <c r="X324" i="27"/>
  <c r="X127" i="27"/>
  <c r="X147" i="27"/>
  <c r="X194" i="27"/>
  <c r="X240" i="27"/>
  <c r="X163" i="27"/>
  <c r="X289" i="27"/>
  <c r="X301" i="27"/>
  <c r="X235" i="27"/>
  <c r="X3" i="27"/>
  <c r="X84" i="27"/>
  <c r="X149" i="27"/>
  <c r="X22" i="27"/>
  <c r="X212" i="27"/>
  <c r="X264" i="27"/>
  <c r="X134" i="27"/>
  <c r="X272" i="27"/>
  <c r="X232" i="27"/>
  <c r="X267" i="27"/>
  <c r="X100" i="27"/>
  <c r="X86" i="27"/>
  <c r="X124" i="27"/>
  <c r="X328" i="27"/>
  <c r="X200" i="27"/>
  <c r="X151" i="27"/>
  <c r="X185" i="27"/>
  <c r="X132" i="27"/>
  <c r="X73" i="27"/>
  <c r="X308" i="27"/>
  <c r="X82" i="27"/>
  <c r="X167" i="27"/>
  <c r="X21" i="27"/>
  <c r="X334" i="27"/>
  <c r="X279" i="27"/>
  <c r="X111" i="27"/>
  <c r="X238" i="27"/>
  <c r="X47" i="27"/>
  <c r="X280" i="27"/>
  <c r="X182" i="27"/>
  <c r="X166" i="27"/>
  <c r="X87" i="27"/>
  <c r="X205" i="27"/>
  <c r="X25" i="27"/>
  <c r="X256" i="27"/>
  <c r="X51" i="27"/>
  <c r="X178" i="27"/>
  <c r="X39" i="27"/>
  <c r="X258" i="27"/>
  <c r="X190" i="27"/>
  <c r="X297" i="27"/>
  <c r="X81" i="27"/>
  <c r="X90" i="27"/>
  <c r="X319" i="27"/>
  <c r="X247" i="27"/>
  <c r="X300" i="27"/>
  <c r="X230" i="27"/>
  <c r="X104" i="27"/>
  <c r="X181" i="27"/>
  <c r="X85" i="27"/>
  <c r="X321" i="27"/>
  <c r="X316" i="27"/>
  <c r="X136" i="27"/>
  <c r="X198" i="27"/>
  <c r="X293" i="27"/>
  <c r="X275" i="27"/>
  <c r="X50" i="27"/>
  <c r="X148" i="27"/>
  <c r="X128" i="27"/>
  <c r="X146" i="27"/>
  <c r="X110" i="27"/>
  <c r="X140" i="27"/>
  <c r="X23" i="27"/>
</calcChain>
</file>

<file path=xl/sharedStrings.xml><?xml version="1.0" encoding="utf-8"?>
<sst xmlns="http://schemas.openxmlformats.org/spreadsheetml/2006/main" count="2112" uniqueCount="596">
  <si>
    <t>User</t>
  </si>
  <si>
    <t>Description</t>
  </si>
  <si>
    <t>Length</t>
  </si>
  <si>
    <t>Name</t>
  </si>
  <si>
    <t>table</t>
  </si>
  <si>
    <t/>
  </si>
  <si>
    <t>id</t>
  </si>
  <si>
    <t>string</t>
  </si>
  <si>
    <t>ref</t>
  </si>
  <si>
    <t>boolean</t>
  </si>
  <si>
    <t>ServiceArea</t>
  </si>
  <si>
    <t>City</t>
  </si>
  <si>
    <t>datetime</t>
  </si>
  <si>
    <t>integer</t>
  </si>
  <si>
    <t>description</t>
  </si>
  <si>
    <t>name</t>
  </si>
  <si>
    <t>givenName</t>
  </si>
  <si>
    <t>surname</t>
  </si>
  <si>
    <t>role</t>
  </si>
  <si>
    <t>links</t>
  </si>
  <si>
    <t>type</t>
  </si>
  <si>
    <t>city</t>
  </si>
  <si>
    <t>UserFavourite</t>
  </si>
  <si>
    <t>The user-defined name for the recorded settings. Allows the user to save different groups of settings and access each one easily when needed.</t>
  </si>
  <si>
    <t>value</t>
  </si>
  <si>
    <t>The settings saved by the user. In general,  a UI defined chunk of json that stores the settings in place when the user created the favourite.</t>
  </si>
  <si>
    <t>isDefault</t>
  </si>
  <si>
    <t>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t>
  </si>
  <si>
    <t>Region</t>
  </si>
  <si>
    <t>ministryRegionID</t>
  </si>
  <si>
    <t>startDate</t>
  </si>
  <si>
    <t>endDate</t>
  </si>
  <si>
    <t>District</t>
  </si>
  <si>
    <t>ministryDistrictID</t>
  </si>
  <si>
    <t>region</t>
  </si>
  <si>
    <t>The region in which the District is found.</t>
  </si>
  <si>
    <t>ministryServiceAreaID</t>
  </si>
  <si>
    <t>district</t>
  </si>
  <si>
    <t>The district in which the Service Area is found.</t>
  </si>
  <si>
    <t>The name of the City</t>
  </si>
  <si>
    <t>user</t>
  </si>
  <si>
    <t>active</t>
  </si>
  <si>
    <t>initials</t>
  </si>
  <si>
    <t>email</t>
  </si>
  <si>
    <t>smUserId</t>
  </si>
  <si>
    <t>Security Manager User ID</t>
  </si>
  <si>
    <t>guid</t>
  </si>
  <si>
    <t>smAuthorizationDirectory</t>
  </si>
  <si>
    <t>UserRole</t>
  </si>
  <si>
    <t>effectiveDate</t>
  </si>
  <si>
    <t>expiryDate</t>
  </si>
  <si>
    <t>Role</t>
  </si>
  <si>
    <t>RolePermission</t>
  </si>
  <si>
    <t>permission</t>
  </si>
  <si>
    <t>Permission</t>
  </si>
  <si>
    <t>code</t>
  </si>
  <si>
    <t>GroupMembership</t>
  </si>
  <si>
    <t>group</t>
  </si>
  <si>
    <t>Group</t>
  </si>
  <si>
    <t>Y</t>
  </si>
  <si>
    <t>User specific settings for a specific location in the UI. The location and saved settings are internally defined by the UI.</t>
  </si>
  <si>
    <t>A list of cities in BC. Authoritative source to be determined.</t>
  </si>
  <si>
    <t>File</t>
  </si>
  <si>
    <t>Required</t>
  </si>
  <si>
    <t>!Required</t>
  </si>
  <si>
    <t>list</t>
  </si>
  <si>
    <t>rg:dataset('defs.csv','Defs')</t>
  </si>
  <si>
    <t>Defs</t>
  </si>
  <si>
    <t>path</t>
  </si>
  <si>
    <t>tag</t>
  </si>
  <si>
    <t>paramDef</t>
  </si>
  <si>
    <t>respDef</t>
  </si>
  <si>
    <t>crud</t>
  </si>
  <si>
    <t>post</t>
  </si>
  <si>
    <t>bulk</t>
  </si>
  <si>
    <t>getById</t>
  </si>
  <si>
    <t>putById</t>
  </si>
  <si>
    <t>deleteById</t>
  </si>
  <si>
    <t>fullpath</t>
  </si>
  <si>
    <t>idpath</t>
  </si>
  <si>
    <t>!type</t>
  </si>
  <si>
    <t>!path</t>
  </si>
  <si>
    <t>!tag</t>
  </si>
  <si>
    <t>!paramDef</t>
  </si>
  <si>
    <t>!respDef</t>
  </si>
  <si>
    <t>!Description</t>
  </si>
  <si>
    <t>!Table</t>
  </si>
  <si>
    <t>!Type</t>
  </si>
  <si>
    <t>!Length</t>
  </si>
  <si>
    <t>!Name</t>
  </si>
  <si>
    <t>!FK</t>
  </si>
  <si>
    <t>RefDef</t>
  </si>
  <si>
    <t>groups</t>
  </si>
  <si>
    <t>permissions</t>
  </si>
  <si>
    <t>roles</t>
  </si>
  <si>
    <t>users</t>
  </si>
  <si>
    <t>userroles</t>
  </si>
  <si>
    <t>regions</t>
  </si>
  <si>
    <t>districts</t>
  </si>
  <si>
    <t>serviceareas</t>
  </si>
  <si>
    <t>cities</t>
  </si>
  <si>
    <t>rolepermissions</t>
  </si>
  <si>
    <t>usergroups</t>
  </si>
  <si>
    <t>PermissionViewModel</t>
  </si>
  <si>
    <t>UserViewModel</t>
  </si>
  <si>
    <t>float</t>
  </si>
  <si>
    <t>DumpTruck</t>
  </si>
  <si>
    <t>rearAxleSpacing</t>
  </si>
  <si>
    <t>frontTireSize</t>
  </si>
  <si>
    <t>frontTireUOM</t>
  </si>
  <si>
    <t>frontAxleCapacity</t>
  </si>
  <si>
    <t>legalLoad</t>
  </si>
  <si>
    <t>legalCapacity</t>
  </si>
  <si>
    <t>legalPUPTareWeight</t>
  </si>
  <si>
    <t>licencedGVW</t>
  </si>
  <si>
    <t>licencedGVWUOM</t>
  </si>
  <si>
    <t>licencedTareWeight</t>
  </si>
  <si>
    <t>licencedPUPTareWeight</t>
  </si>
  <si>
    <t>licencedLoad</t>
  </si>
  <si>
    <t>licencedCapacity</t>
  </si>
  <si>
    <t>boxLength</t>
  </si>
  <si>
    <t>boxWidth</t>
  </si>
  <si>
    <t>boxHeight</t>
  </si>
  <si>
    <t>boxCapacity</t>
  </si>
  <si>
    <t>trailerBoxLength</t>
  </si>
  <si>
    <t>trailerBoxWidth</t>
  </si>
  <si>
    <t>trailerBoxHeight</t>
  </si>
  <si>
    <t>trailerBoxCapacity</t>
  </si>
  <si>
    <t>make</t>
  </si>
  <si>
    <t>model</t>
  </si>
  <si>
    <t>year</t>
  </si>
  <si>
    <t>operator</t>
  </si>
  <si>
    <t>payRate</t>
  </si>
  <si>
    <t>Project</t>
  </si>
  <si>
    <t>refuseRate</t>
  </si>
  <si>
    <t>seniority</t>
  </si>
  <si>
    <t>size</t>
  </si>
  <si>
    <t>archiveReason</t>
  </si>
  <si>
    <t>extendHours</t>
  </si>
  <si>
    <t>maxHoursSub</t>
  </si>
  <si>
    <t>hours</t>
  </si>
  <si>
    <t>rate</t>
  </si>
  <si>
    <t>Owner</t>
  </si>
  <si>
    <t>Note</t>
  </si>
  <si>
    <t>SeniorityAudit</t>
  </si>
  <si>
    <t>owner</t>
  </si>
  <si>
    <t>project</t>
  </si>
  <si>
    <t>rg:dataset('paths.csv','Path')</t>
  </si>
  <si>
    <t>LocalArea</t>
  </si>
  <si>
    <t>The full name of the Local Area</t>
  </si>
  <si>
    <t>serviceArea</t>
  </si>
  <si>
    <t>The Service Area in which the Local Area is found.</t>
  </si>
  <si>
    <t>note</t>
  </si>
  <si>
    <t>isNoLongerRelevant</t>
  </si>
  <si>
    <t>A note about the attachment,  optionally maintained by the user.</t>
  </si>
  <si>
    <t>Attachment</t>
  </si>
  <si>
    <t>binary</t>
  </si>
  <si>
    <t>History</t>
  </si>
  <si>
    <t>Date the record is created.</t>
  </si>
  <si>
    <t>The given name of the contact.</t>
  </si>
  <si>
    <t>The surname of the contact.</t>
  </si>
  <si>
    <t>notes</t>
  </si>
  <si>
    <t>Address 1 line of the address.</t>
  </si>
  <si>
    <t>Address 2 line of the address.</t>
  </si>
  <si>
    <t>The City of the address.</t>
  </si>
  <si>
    <t>province</t>
  </si>
  <si>
    <t>The Province of the address.</t>
  </si>
  <si>
    <t>postalCode</t>
  </si>
  <si>
    <t>The postal code of the address.</t>
  </si>
  <si>
    <t>Contact</t>
  </si>
  <si>
    <t>localArea</t>
  </si>
  <si>
    <t>CGLEndDate</t>
  </si>
  <si>
    <t>attachments</t>
  </si>
  <si>
    <t>contacts</t>
  </si>
  <si>
    <t>history</t>
  </si>
  <si>
    <t>equipment</t>
  </si>
  <si>
    <t>Equipment</t>
  </si>
  <si>
    <t>equipmentType</t>
  </si>
  <si>
    <t>EquipmentType</t>
  </si>
  <si>
    <t>EquipmentAttachment</t>
  </si>
  <si>
    <t>approvedDate</t>
  </si>
  <si>
    <t>receivedDate</t>
  </si>
  <si>
    <t>toDate</t>
  </si>
  <si>
    <t>archiveDate</t>
  </si>
  <si>
    <t>rearAxleCapacity</t>
  </si>
  <si>
    <t>blockNumber</t>
  </si>
  <si>
    <t>equipmentAttachments</t>
  </si>
  <si>
    <t>primaryContact</t>
  </si>
  <si>
    <t>Link to the designated Primary Contact.</t>
  </si>
  <si>
    <t>equipmentCount</t>
  </si>
  <si>
    <t>expectedHours</t>
  </si>
  <si>
    <t>expectedStartDate</t>
  </si>
  <si>
    <t>expectedEndDate</t>
  </si>
  <si>
    <t>isForceHire</t>
  </si>
  <si>
    <t>RentalAgreement</t>
  </si>
  <si>
    <t>rentalAgreement</t>
  </si>
  <si>
    <t>TimeRecord</t>
  </si>
  <si>
    <t>workedDate</t>
  </si>
  <si>
    <t>enteredDate</t>
  </si>
  <si>
    <t>owners</t>
  </si>
  <si>
    <t>projects</t>
  </si>
  <si>
    <t>equipmentTypes</t>
  </si>
  <si>
    <t>localAreas</t>
  </si>
  <si>
    <t>createdDate</t>
  </si>
  <si>
    <t>historyText</t>
  </si>
  <si>
    <t>The text of the history entry tracked against the related entity.</t>
  </si>
  <si>
    <t>lastVerifiedDate</t>
  </si>
  <si>
    <t>dumptrucks</t>
  </si>
  <si>
    <t>attachment</t>
  </si>
  <si>
    <t>The type of Favourite</t>
  </si>
  <si>
    <t>The User who has this Favourite</t>
  </si>
  <si>
    <t>Link to the designated Primary Contact for the Project - usually the Project Manager requesting to hire equipment.</t>
  </si>
  <si>
    <t>provincialProjectNumber</t>
  </si>
  <si>
    <t>A system-generated unique identifier for a Request</t>
  </si>
  <si>
    <t>A system-generated unique identifier for a Project</t>
  </si>
  <si>
    <t>wasAsked</t>
  </si>
  <si>
    <t>askedDateTime</t>
  </si>
  <si>
    <t>True if the HETS Clerk contacted the equipment owner and asked to hire the piece of equipment.</t>
  </si>
  <si>
    <t>offerResponse</t>
  </si>
  <si>
    <t>The response to the offer to hire. Null prior to receiving a response; a string after with the response - likely just Yes or No</t>
  </si>
  <si>
    <t>An optional general note about the offer.</t>
  </si>
  <si>
    <t>timePeriod</t>
  </si>
  <si>
    <t>The time period of the entry - either day or week. HETS Clerk have the option of entering time records on a day-by-day or week-by-week basis.</t>
  </si>
  <si>
    <t>The date of the time record entry - the day of the entry if it is a daily entry, or a date in the week in which the work occurred if tracked weekly.</t>
  </si>
  <si>
    <t>The number of hours worked by the equipment.</t>
  </si>
  <si>
    <t>status</t>
  </si>
  <si>
    <t>The current status of the equipment in a UI-controlled string. Initial values are Pending, Approved and Archived, but other values may be added.</t>
  </si>
  <si>
    <t>The date the piece of equipment was first received and recorded in HETS.</t>
  </si>
  <si>
    <t>The date the piece of equipment was first approved in HETS. Part of the seniority calculation for a piece of equipment is based on this date.</t>
  </si>
  <si>
    <t>The date the equipment was last verified by the HETS Clerk as being still in service in the Local Area and available for the HETS Programme.</t>
  </si>
  <si>
    <t>licencePlate</t>
  </si>
  <si>
    <t>The licence plate (if any) of the piece of equipment, as entered by the HETS Clerk.</t>
  </si>
  <si>
    <t>The make of the piece of equipment, as provided by the Equipment Owner.</t>
  </si>
  <si>
    <t>The model of the piece of equipment, as provided by the Equipment Owner.</t>
  </si>
  <si>
    <t>The model year of the piece of equipment, as provided by the Equipment Owner.</t>
  </si>
  <si>
    <t>The number of years of active service of this piece of equipment at the time seniority is calculated - April 1 of the current FY.</t>
  </si>
  <si>
    <t>The serial number of the piece of equipment as provided by the Equipment Owner. Used to detect and reconcile pieces of equipment moved between Local Areas. Duplicate serial numbers are flagged in the system but permitted. The duplicates are flagged in the UI until the HETS Clerks reconcile the differences - either correcting the serial number or archiving a piece of equipment moved to a new local area.</t>
  </si>
  <si>
    <t>The size of the piece of equipment, as provided by the Equipment Owner.</t>
  </si>
  <si>
    <t>The current block number for the piece of equipment as calculated by the Seniority Algorthm for this equipment type in the local area. As currently defined y the business  - 1, 2 or Open</t>
  </si>
  <si>
    <t>The current seniority calculation result for this piece of equipment. The calculation is based on the "numYears" of service + average hours of service over the last three fiscal years - as stored in the related fields (serviceHoursLastYear, serviceHoursTwoYearsAgo serviceHoursThreeYearsAgo).</t>
  </si>
  <si>
    <t>serviceHoursLastYear</t>
  </si>
  <si>
    <t>Number of hours of service by this piece of equipment in the previous fiscal year</t>
  </si>
  <si>
    <t>serviceHoursTwoYearsAgo</t>
  </si>
  <si>
    <t>Number of hours of service by this piece of equipment in the fiscal year before the last one - e.g. if current year is FY2018 then hours in FY2016</t>
  </si>
  <si>
    <t>Number of hours of service by this piece of equipment in the fiscal year three years ago - e.g. if current year is FY2018 then hours in FY2015</t>
  </si>
  <si>
    <t>serviceHoursThreeYearsAgo</t>
  </si>
  <si>
    <t>archiveCode</t>
  </si>
  <si>
    <t>An optional comment about why this piece of equipment has been archived.</t>
  </si>
  <si>
    <t>The date on which a user most recenly marked this piece of equipment as archived.</t>
  </si>
  <si>
    <t>isSingleAxle</t>
  </si>
  <si>
    <t>The expected end date of each piece of equipment hired against this request, as provided by the Project Manager making the request.</t>
  </si>
  <si>
    <t>The expected start date of each piece of equipment hired against this request, as provided by the Project Manager making the request.</t>
  </si>
  <si>
    <t xml:space="preserve">The expected number of rental hours for each piece equipment hired against this request, as provided by the Project Manager making the request. </t>
  </si>
  <si>
    <t>isTandemAxle</t>
  </si>
  <si>
    <t>hasPUP</t>
  </si>
  <si>
    <t>True if the Dump Truck has a PUP trailer - a trailer with it's own hydraulic unloading system. Can be false or null.</t>
  </si>
  <si>
    <t>hasBellyDump</t>
  </si>
  <si>
    <t>True if the Dump Truck has a belly dump capability. Can be false or null.</t>
  </si>
  <si>
    <t>True if the vehicle has a tandem axle. Can be false or null.</t>
  </si>
  <si>
    <t>True if the vehicle has a single axle. Can be false or null.</t>
  </si>
  <si>
    <t>isTridem</t>
  </si>
  <si>
    <t xml:space="preserve">True if the Dump Truck is a tridem - a three axle dump truck. Can be false or null. </t>
  </si>
  <si>
    <t>hasRockBox</t>
  </si>
  <si>
    <t>True if the Dump Truck has a rock box. Can be false or null.</t>
  </si>
  <si>
    <t>hasHiliftGate</t>
  </si>
  <si>
    <t>True if the Dump Truck has a high lift gate vs. a traditional gate. Can be false or null.</t>
  </si>
  <si>
    <t>isWaterTruck</t>
  </si>
  <si>
    <t xml:space="preserve">True if the Dump Truck is a Water Truck. Can be false or null. </t>
  </si>
  <si>
    <t>hasSealcoatHitch</t>
  </si>
  <si>
    <t>True if the Dump Truck has a hitch for using sealcoat trailers. Can be false or null.</t>
  </si>
  <si>
    <t>The spacing of the rear axles, if applicable. Usually in metres.</t>
  </si>
  <si>
    <t>The size of of the Front Tires of the Dump Truck.</t>
  </si>
  <si>
    <t>The Unit of Measure of the Front Tire Size.</t>
  </si>
  <si>
    <t>The rated capacity of the Front Axle.</t>
  </si>
  <si>
    <t>The rated capacity of the Rear Axle.</t>
  </si>
  <si>
    <t>The legal load of the vehicle in kg.</t>
  </si>
  <si>
    <t>The legal capacity of the dump truck.</t>
  </si>
  <si>
    <t>The Gross Vehicle Weight for which the vehicle is licensed. GVW includes the vehicle's chassis, body, engine, engine fluids, fuel, accessories, driver, passengers and cargo but excluding that of any trailers.</t>
  </si>
  <si>
    <t>The Unit of Measure (UOM) of the licenced GVW.</t>
  </si>
  <si>
    <t>The licenced Tare Weight (weight when unloaded) of the vehicle.</t>
  </si>
  <si>
    <t>The legal Tare Weight (weight when unloaded) of the PUP trailer.</t>
  </si>
  <si>
    <t>The licenced Tare Weight (weight when unloaded) of the PUP trailer.</t>
  </si>
  <si>
    <t>The licenced maximum load of the vehicle in kg.</t>
  </si>
  <si>
    <t>The licenced maximum capacity of the vehicle.</t>
  </si>
  <si>
    <t>The capacity of the box.</t>
  </si>
  <si>
    <t>The capacity of the trailer box.</t>
  </si>
  <si>
    <t>A system-generated unique identifier for a DumpTruck</t>
  </si>
  <si>
    <t>A system-generated unique identifier for a Equipment</t>
  </si>
  <si>
    <t>A system-generated unique identifier for a TimeRecord</t>
  </si>
  <si>
    <t>A system-generated unique identifier for a RentalAgreement</t>
  </si>
  <si>
    <t>A system-generated unique identifier for an EquipmentAttachment</t>
  </si>
  <si>
    <t>A system-generated unique identifier for an EquipmentType</t>
  </si>
  <si>
    <t>The history of all changes to the seniority of a piece of equipment. The current seniority information (underlying data elements and the calculation result) is in the equipment record. Every time that information changes, the old values are copied to here, with a start date, end date range. In the normal case, an annual update triggers the old values being copied here and the new values put into the equipment record. If a user manually changes the values, the existing values are copied into a record added here.</t>
  </si>
  <si>
    <t>The seniority calculation result for this piece of equipment. The calculation is based on the "numYears" of service + average hours of service over the last three fiscal years - as stored in the related fields (serviceHoursLastYear, serviceHoursTwoYearsAgo serviceHoursThreeYearsAgo).</t>
  </si>
  <si>
    <t>The block number for the piece of equipment as calculated by the Seniority Algorthm for this equipment type in the local area. As currently defined by the business - 1, 2 or Open</t>
  </si>
  <si>
    <t>A unique prefix in the system that is used to generate the human-friendly IDs of the equipment. E.g. An owner Edwards might have a prefix "EDW" and their equipment numbered sequentially with that prefix - e.g. EDW-0082.</t>
  </si>
  <si>
    <t>isMaintenanceContractor</t>
  </si>
  <si>
    <t>True if the owner is contracted by MOTI to handle Maintenance activities in the area - e.g. provided services in address unscheduled issues on the roads in the area.</t>
  </si>
  <si>
    <t>The end date of the owner's Commercial General Liability insurance coverage. Coverage is only needed prior to an owner's piece of equipment starting a rental period (not when in the HETS program but not hired). The details of the coverage can be entered into a Note, or more often - attached as a scanned/faxed document.</t>
  </si>
  <si>
    <t>The status of the owner record in the system. Current set of values are "Pending", "Approved" and "Archived". Pending is used when an owner self-registers and a HETS Clerk has not reviewed and Approved the record. Archived is when the owner is no longer part of the HETS programme. "Approved" is used in all other cases.</t>
  </si>
  <si>
    <t>A text note about why the owner record has been changed to Archived.</t>
  </si>
  <si>
    <t>A system-generated unique identifier for a Contact</t>
  </si>
  <si>
    <t>The role of the contact. UI controlled as to whether it is free form or selected from an enumerated list - for initial implementation, the field is freeform.</t>
  </si>
  <si>
    <t>A note about the contact maintained by the users.</t>
  </si>
  <si>
    <t>Notes entered by users about instance of entities - e.g. School Buses and School Bus Owners</t>
  </si>
  <si>
    <t>A system-generated unique identifier for a Note</t>
  </si>
  <si>
    <t>A user set flag that the note is no longer relevant. Allows the note to be retained for historical reasons,  but identified to other users as no longer applicable.</t>
  </si>
  <si>
    <t>A system-generated unique identifier for an Attachment</t>
  </si>
  <si>
    <t>A system-generated unique identifier for a History</t>
  </si>
  <si>
    <t>A system-generated unique identifier for a UserFavourite</t>
  </si>
  <si>
    <t>A system-generated unique identifier for a Region</t>
  </si>
  <si>
    <t>A system-generated unique identifier for a District</t>
  </si>
  <si>
    <t>A system-generated unique identifier for a ServiceArea</t>
  </si>
  <si>
    <t>A system-generated unique identifier for a City</t>
  </si>
  <si>
    <t>A system-generated unique identifier for a User</t>
  </si>
  <si>
    <t>Given name of the user.</t>
  </si>
  <si>
    <t>Surname of the user.</t>
  </si>
  <si>
    <t>Initials of the user, to be presented where screen space is at a premium.</t>
  </si>
  <si>
    <t>The email address of the user in the system.</t>
  </si>
  <si>
    <t>A flag indicating the User is active in the system. Set false to remove access to the system for the user.</t>
  </si>
  <si>
    <t>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t>
  </si>
  <si>
    <t>The user directory service used by Siteminder to authenticate the user - usually IDIR or BCeID.</t>
  </si>
  <si>
    <t xml:space="preserve">A join table that provides allows each user to have any number of Roles in the system.  At login time the user is given the sum of the permissions of the roles assigned to that user. </t>
  </si>
  <si>
    <t>A system-generated unique identifier for a UserRole</t>
  </si>
  <si>
    <t>The date on which the user was given the related role.</t>
  </si>
  <si>
    <t>The date on which a role previously assigned to a user was removed from that user.</t>
  </si>
  <si>
    <t>A system-generated unique identifier for a Role</t>
  </si>
  <si>
    <t>The name of the Role, as established by the user creating the role.</t>
  </si>
  <si>
    <t>A description of the role as set by the user creating/updating the role.</t>
  </si>
  <si>
    <t>A system-generated unique identifier for a RolePermission</t>
  </si>
  <si>
    <t>A system-generated unique identifier for a Permission</t>
  </si>
  <si>
    <t>The name of the permission referenced in the software of the application.</t>
  </si>
  <si>
    <t>The 'user friendly' name of the permission exposed to the user selecting the permissions to be included in a Role.</t>
  </si>
  <si>
    <t>A description of the purpose of the permission and exposed to the user selecting the permissions to be included in a Role.</t>
  </si>
  <si>
    <t>The users associated with a given group that has been defined in the application.</t>
  </si>
  <si>
    <t>A system-generated unique identifier for a GroupMembership</t>
  </si>
  <si>
    <t>A flag indicating the User is active in the group. Set false to remove the user from the designated group.</t>
  </si>
  <si>
    <t>A system-generated unique identifier for a Group</t>
  </si>
  <si>
    <t>The name of the group, as refenced in the code.</t>
  </si>
  <si>
    <t>A description of the group that is presented to the user when they are setting a user into a group.</t>
  </si>
  <si>
    <t>text</t>
  </si>
  <si>
    <t>A system-generated unique identifier for a LocalArea</t>
  </si>
  <si>
    <t>!Unique</t>
  </si>
  <si>
    <t>Unique</t>
  </si>
  <si>
    <t>The Date-Time the HETS clerk contacted the equipment owner and asked to hire the piece of equipment.</t>
  </si>
  <si>
    <t>The date-time the time record information was entered.</t>
  </si>
  <si>
    <t>The length of the box, in metres. See - http-//www.bclaws.ca/EPLibraries/bclaws_new/document/ID/freeside/30_7, appendix B</t>
  </si>
  <si>
    <t>The width of the box, in metres. See - http-//www.bclaws.ca/EPLibraries/bclaws_new/document/ID/freeside/30_7, appendix B</t>
  </si>
  <si>
    <t>A system-generated unique identifier for a SeniorityAudit</t>
  </si>
  <si>
    <t>A system-generated unique identifier for a Owner</t>
  </si>
  <si>
    <t>The height of the box, in metres. See- http-//www.bclaws.ca/EPLibraries/bclaws_new/document/ID/freeside/30_7, appendix B</t>
  </si>
  <si>
    <t>The length of the trailer box, in metres. See www.bclaws.ca/EPLibraries/bclaws_new/document/ID/freeside/30_7, appendix B</t>
  </si>
  <si>
    <t>The width of the trailer box, in metres. See www.bclaws.ca/EPLibraries/bclaws_new/document/ID/freeside/30_7, appendix B</t>
  </si>
  <si>
    <t>The height of the trailer box, in metres. See www.bclaws.ca/EPLibraries/bclaws_new/document/ID/freeside/30_7, appendix B</t>
  </si>
  <si>
    <t>A request from a Project for one or more of a type of equipment from a specific Local Area.</t>
  </si>
  <si>
    <t>A record of time worked for a piece of equipment hired for a specific project within a Local Area.</t>
  </si>
  <si>
    <t>A piece of equipment in the HETS system. Each piece of equipment is of a specific equipment type, owned by an Owner, and is within a Local Area.</t>
  </si>
  <si>
    <t>An Equipment Attachment associated with a piece of Equipment.</t>
  </si>
  <si>
    <t>The person or company to which a piece of construction equipment belongs.</t>
  </si>
  <si>
    <t>A person and their related contact information linked to one or more entities in the system. For examples, there are contacts for Owners, Projects.</t>
  </si>
  <si>
    <t>Text entered about an entity in the application - e.g. piece of Equipment, an Owner, a Project and so on.</t>
  </si>
  <si>
    <t>Uploaded documents related to entity in the application - e.g. piece of Equipment, an Owner, a Project and so on.</t>
  </si>
  <si>
    <t>A log entry created by the system based on a triggering event and related to an entity in the application - e.g. piece of Equipment, an Owner, a Project and so on.</t>
  </si>
  <si>
    <t>A HETS-application defined area that is within a Service Area.</t>
  </si>
  <si>
    <t>An identified user in the HETS Application that has a defined authorization level.</t>
  </si>
  <si>
    <t>A HETS application-managed Role that has a selected list of permissions and can be assigned to Users. A role coresponds to the authorization level provided a user based on the work for which they are responsible.</t>
  </si>
  <si>
    <t>A permission that is part of a Role - a component of the authorization provided by the Role to the user to which the Role is assigned.</t>
  </si>
  <si>
    <t>A named element of authorization defined in the code that triggers some behavior in the application. For example, a permission might allow users to see data or to have access to functionality not accessible to users without that permission. Permissions are created as needed to the application code and are added to the permissions table by data migrations executed at the time the software that uses the permission is deployed.</t>
  </si>
  <si>
    <t>A named entity that is used to create a arbitrary collection of users into a group. For example, the HETS Clerks are in the group Clerks. Groups, like permissions are defined by and referenced in code.</t>
  </si>
  <si>
    <t>A Provincial Project that my from time to time request equipment under the HETS programme from a Service Area.</t>
  </si>
  <si>
    <t>A descriptive name for the Project, useful to the HETS Clerk and Project Manager.</t>
  </si>
  <si>
    <t>isInformationUpdateNeeded</t>
  </si>
  <si>
    <t>informationUpdateNeededReason</t>
  </si>
  <si>
    <t>A note about why the needed information/status update that is needed about the equipment.</t>
  </si>
  <si>
    <t>The number of pieces of the equipment type wanted for hire as part of this request.</t>
  </si>
  <si>
    <t>firstOnRotationList</t>
  </si>
  <si>
    <t>The first piece of equipment on the rotation list at the time of the creation of the request.</t>
  </si>
  <si>
    <t>An eligible piece of equipment for a request and a tracking of the hire offer and response process related to a request for that piece of equipment. Includes a link from the equipment to a Rental Agreement if the equipment was hired to satisfy a part of the request.</t>
  </si>
  <si>
    <t>A system-generated unique identifier for a RequestRotationList</t>
  </si>
  <si>
    <t>The rental agreement (if any) created for an accepted hire offer.</t>
  </si>
  <si>
    <t>True if the HETS Clerk designated the hire of this equipment as being a Forced Hire. A Force Hire implies that the usual seniority rules for hiring are bypassed because of special circumstances related to the hire - e.g. a the hire requires an attachment only one piece of equipment has.</t>
  </si>
  <si>
    <t>Information about the hiring of a specific piece of equipment to satisfy part or all of a request from a project. TABLE DEFINITION IN PROGRESS - MORE COLUMNS TO BE ADDED</t>
  </si>
  <si>
    <t>Set true if a need to update the information/status of the equipment is needed. Used during the processing of a request when an update is noted, but the Clerk does not have time to make the update.</t>
  </si>
  <si>
    <t>information</t>
  </si>
  <si>
    <t>Information about the Project needed by the HETS Clerks. Used for capturing varying (project by project) metadata needed to process requests related to the project.</t>
  </si>
  <si>
    <t>A human-visible unique code for the piece of equipment, referenced for convenience by the system users - HETS Clerks and Equipment Owners. Generated at record creation time based on the unique Owner prefix (e.g. EDW) and a zero-filled unique number - resulting in a code like EDW-0083.</t>
  </si>
  <si>
    <t>yearsOfService</t>
  </si>
  <si>
    <t>Additional attributes about a piece of equipment designated as a Dump Truck. Historically, there was a perceived need to track a lot of informatiion about a dump truck, but in practice, few fields are being completed by users. Places for the attributes are being maintained, but the UI is prompting only for a couple of the fields, and only those fields are likely to be populated. Additional basic information about the attributes can be found on Wikipedia, BC-specific details on MOTI's CVSE website and www.bclaws.ca/EPLibraries/bclaws_new/document/ID/freeside/30_78#AppendicesAtoK, Appendix A and  B. Any metrics information provided here is from the Equipment Owner.</t>
  </si>
  <si>
    <t>seniorityEffectiveDate</t>
  </si>
  <si>
    <t>The time the seniority data in the record went into effect. Used to populate the SeniorityAudit table when the seniority data is next updated.</t>
  </si>
  <si>
    <t>organizationName</t>
  </si>
  <si>
    <t>The name of the organization of the Owner. May simply be the First Name, Last Name of the Owner if the Owner is a sole proprietorship, or the name of a company.</t>
  </si>
  <si>
    <t>ownerOrganizationName</t>
  </si>
  <si>
    <t>The name of the organization of the owner from the Owner Record, captured at the time this record was created.</t>
  </si>
  <si>
    <t>The Ministry of Transportion and Infrastructure REGION.</t>
  </si>
  <si>
    <t>regionNumber</t>
  </si>
  <si>
    <t>A code that uniquely defines a Region.</t>
  </si>
  <si>
    <t>The name of a Minsitry Region.</t>
  </si>
  <si>
    <t>The Ministry of Transportion and Infrastructure DISTRICT</t>
  </si>
  <si>
    <t>A system generated unique identifier. NOT GENERATED IN THIS SYSTEM.</t>
  </si>
  <si>
    <t>The Name of a Ministry District.</t>
  </si>
  <si>
    <t>districtNumber</t>
  </si>
  <si>
    <t>A number that uniquely defines a Ministry District.</t>
  </si>
  <si>
    <t>The DATE the business information came into effect. - NOT CURRENTLY ENFORCED IN THIS SYSTEM</t>
  </si>
  <si>
    <t>The DATE the business information ceased to be in effect. - NOT CURRENTLY ENFORCED IN THIS SYSTEM</t>
  </si>
  <si>
    <t>The Name of a Ministry Service Area.</t>
  </si>
  <si>
    <t>areaNumber</t>
  </si>
  <si>
    <t>A number that uniquely defines a Ministry Service Area.</t>
  </si>
  <si>
    <t>The Ministry of Transportation and Infrastructure SERVICE AREA.</t>
  </si>
  <si>
    <t>A system-generated, visible to the user number for the Local Area</t>
  </si>
  <si>
    <t>localAreaNumber</t>
  </si>
  <si>
    <t>The effective date that the Seniority data in this record went into effect.</t>
  </si>
  <si>
    <t>The effective date at which the Seniority data in this record ceased to be in effect.</t>
  </si>
  <si>
    <t>rotationListSortOrder</t>
  </si>
  <si>
    <t>ownerEquipmentCodePrefix</t>
  </si>
  <si>
    <t>The date the Owner record was changed to Archived and removed from active use in the system.</t>
  </si>
  <si>
    <t>TO BE REVIEWED - A reason code indicating why a piece of equipment has been archived.</t>
  </si>
  <si>
    <t>TO BE REVIEWED WITH THE BUSINESS - The Provincial charge code for the equipment hiring related to this project. This will be the same across multiple service areas that provide equipment for the same Project.</t>
  </si>
  <si>
    <t>TO BE REVIEWED WITH THE BUSINESS - WHAT IS THIS?</t>
  </si>
  <si>
    <t>TO BE REVIEWED WITH THE BUSINESS - IS THIS NEEDED -A coded reason for why an owner record has been moved to Archived.</t>
  </si>
  <si>
    <t>RentalRequest</t>
  </si>
  <si>
    <t>RentalRequestRotationList</t>
  </si>
  <si>
    <t>rentalRequest</t>
  </si>
  <si>
    <t>The District that the User belongs to</t>
  </si>
  <si>
    <t>doingBusinessAs</t>
  </si>
  <si>
    <t xml:space="preserve">An official (per BC Registries) alternate name for an Owner organization under which it does business. The application does not verify the name against any registry/lookup. </t>
  </si>
  <si>
    <t>The BC Registries number under which the business is registered.  The application does not verify the number against any registry/lookup.</t>
  </si>
  <si>
    <t>True to indicate that the owner of the business has confirmed to the HETS Clerk that they meet the residency requirements of the HETS programme. See the published information about the MOTI HETS programme for information on the owner residency requirements.</t>
  </si>
  <si>
    <t>seniorityOverrideReason</t>
  </si>
  <si>
    <t>isSeniorityOverridden</t>
  </si>
  <si>
    <t>True if the Seniority for the piece of equipment was manually overridden. Set if a user has gone in and explicitly updated the seniority base information. Indicates that underlying numbers were manually overridden.</t>
  </si>
  <si>
    <t>A text reason for why the piece of equipments underlying data was overridden to change their seniority number.</t>
  </si>
  <si>
    <t>meetsResidency</t>
  </si>
  <si>
    <t>registeredCompanyNumber</t>
  </si>
  <si>
    <t>The status of the Rental Request - whether it in progress, completed or was cancelled.</t>
  </si>
  <si>
    <t>The current status of the Rental Agreement, such as Active or Complete</t>
  </si>
  <si>
    <t>RentalRequestAttachment</t>
  </si>
  <si>
    <t>Attachments that are required as part of the Rental Requests</t>
  </si>
  <si>
    <t>A system-generated unique identifier for a RentalRequestAttachment</t>
  </si>
  <si>
    <t>The name/type attachment needed as part of the fulfillment of the request</t>
  </si>
  <si>
    <t>numberInBlock</t>
  </si>
  <si>
    <t>The number in the block of the piece of equipment so that it can be displayed to the user where it will be useful. This saves the user from having to figure out in their head the order when the list is displayed in Rotation Order.</t>
  </si>
  <si>
    <t>equipmentCode</t>
  </si>
  <si>
    <t>serialNumber</t>
  </si>
  <si>
    <t>askNextBlock1</t>
  </si>
  <si>
    <t>offerResponseDatetime</t>
  </si>
  <si>
    <t>The date and time the final response to the offer was established.</t>
  </si>
  <si>
    <t>offerResponseNote</t>
  </si>
  <si>
    <t>offerRefusalReason</t>
  </si>
  <si>
    <t>The reason why the user refused the offer based on a selection of values from the UI.</t>
  </si>
  <si>
    <t>Total</t>
  </si>
  <si>
    <t>RoleViewModel</t>
  </si>
  <si>
    <t>A note entered about the response to the offer from the equipment owner about the offer. Usually used when the offer is a "No" or "Force Hire".</t>
  </si>
  <si>
    <t>RentalAgreementRate</t>
  </si>
  <si>
    <t>The rate associated with an element of a rental agreement.</t>
  </si>
  <si>
    <t>A system-generated unique identifier for a RentalAgreementRate</t>
  </si>
  <si>
    <t>The dollar rate associated with this component of the rental agreement.</t>
  </si>
  <si>
    <t>percentOfEquipmentRate</t>
  </si>
  <si>
    <t>For other than the actual piece of equipment, the percent of the equipment rate to use for this component of the rental agreement.</t>
  </si>
  <si>
    <t>ratePeriod</t>
  </si>
  <si>
    <t>The period of the rental rate. The vast majority will be hourly, but the rate could apply across a different period, e.g. daily.</t>
  </si>
  <si>
    <t>comment</t>
  </si>
  <si>
    <t>A comment about the rental of this component of the Rental Agreement.</t>
  </si>
  <si>
    <t>componentName</t>
  </si>
  <si>
    <t>Name of the component for the Rental Agreement for which the attached rates apply.</t>
  </si>
  <si>
    <t>RentalAgreementCondition</t>
  </si>
  <si>
    <t>A condition about the rental agreement to be displayed on the Rental Agreement.</t>
  </si>
  <si>
    <t>A system-generated unique identifier for a RentalAgreementCondition</t>
  </si>
  <si>
    <t>conditionName</t>
  </si>
  <si>
    <t>The name of the condition to be placed onto the Rental Agreement.</t>
  </si>
  <si>
    <t>A comment about the condition to be applied to the Rental Agreement.</t>
  </si>
  <si>
    <t>An optional note to be placed onto the Rental Agreement.</t>
  </si>
  <si>
    <t>estimateStartWork</t>
  </si>
  <si>
    <t>The estimated start date of the work to be placed on the rental agreement.</t>
  </si>
  <si>
    <t>The dated on date to put on the Rental Agreement.</t>
  </si>
  <si>
    <t>estimateHours</t>
  </si>
  <si>
    <t>datedOn</t>
  </si>
  <si>
    <t>The estimated number of hours of work to be put onto the Rental Agreement.</t>
  </si>
  <si>
    <t>number</t>
  </si>
  <si>
    <t>A system-generated unique rental agreement number in a format defined by the business as suitable for the business and client to see and use.</t>
  </si>
  <si>
    <t>rentalAgreementRate</t>
  </si>
  <si>
    <t>The Rental Agreement Rate component to which this Rental Agreement applies. If null, this time applies to the equipment itself.</t>
  </si>
  <si>
    <t>equipmentRate</t>
  </si>
  <si>
    <t>isAttachment</t>
  </si>
  <si>
    <t>True if this rate is for an attachment to the piece of equipment.</t>
  </si>
  <si>
    <t>The dollar rate for the piece of equipment itself for this Rental Agreement. Other rates associated with the Rental Agreement are in the Rental Agreement Rate table.</t>
  </si>
  <si>
    <t>rateComment</t>
  </si>
  <si>
    <t>A comment about the rate for the piece of equipment.</t>
  </si>
  <si>
    <t>The Owner's WorkSafeBC (aka WCB) Insurance Policy Number.</t>
  </si>
  <si>
    <t>The expiration of the owner's current WorkSafeBC (aka WCB) permit.</t>
  </si>
  <si>
    <t>workSafeBCPolicyNumber</t>
  </si>
  <si>
    <t>workSafeBCExpiryDate</t>
  </si>
  <si>
    <t>groupmemberships</t>
  </si>
  <si>
    <t>rentalagreements</t>
  </si>
  <si>
    <t>rentalagreementconditions</t>
  </si>
  <si>
    <t>rentalagreementrates</t>
  </si>
  <si>
    <t>rentalrequests</t>
  </si>
  <si>
    <t>rentalrequestattachments</t>
  </si>
  <si>
    <t>rentalrequestrotationlists</t>
  </si>
  <si>
    <t>seniorityaudits</t>
  </si>
  <si>
    <t>timerecords</t>
  </si>
  <si>
    <t>userfavourites</t>
  </si>
  <si>
    <t>histories</t>
  </si>
  <si>
    <t>The organization name of the contact.</t>
  </si>
  <si>
    <t>emailAddress</t>
  </si>
  <si>
    <t>The email address for the contact.</t>
  </si>
  <si>
    <t>workPhoneNumber</t>
  </si>
  <si>
    <t>The work phone number for the contact.</t>
  </si>
  <si>
    <t>mobilePhoneNumber</t>
  </si>
  <si>
    <t>The mobile phone number for the contact.</t>
  </si>
  <si>
    <t>faxPhoneNumber</t>
  </si>
  <si>
    <t>The fax phone number for the contact.</t>
  </si>
  <si>
    <t>address1</t>
  </si>
  <si>
    <t>address2</t>
  </si>
  <si>
    <t>fileName</t>
  </si>
  <si>
    <t>Filename as passed by the user uploading the file</t>
  </si>
  <si>
    <t>fileContents</t>
  </si>
  <si>
    <t>Binary contents of the file</t>
  </si>
  <si>
    <t>Type of attachment</t>
  </si>
  <si>
    <t>askNextBlock2</t>
  </si>
  <si>
    <t>askNextBlockOpen</t>
  </si>
  <si>
    <t>The id of the next piece of Block 1 Equipment to be asked for a Rental Request. If null, start from the first piece of equipment in Block 1.</t>
  </si>
  <si>
    <t>The id of the next piece of Block 2 Equipment to be asked for a Rental Request. If null, start from the first piece of equipment in Block 2.</t>
  </si>
  <si>
    <t>The id of the next piece of Block Open Equipment to be asked for a Rental Request. If null, start from the first piece of equipment in Block Open.</t>
  </si>
  <si>
    <t>The status of the project to determine if it is listed when creating new requests</t>
  </si>
  <si>
    <t>A foreign key reference to the system-generated unique identifier for a Local Area</t>
  </si>
  <si>
    <t>A foreign key reference to the system-generated unique identifier for an Equipment Type</t>
  </si>
  <si>
    <t>A foreign key reference to the system-generated unique identifier for a Rental Request</t>
  </si>
  <si>
    <t>A foreign key reference to the system-generated unique identifier for an Equipment</t>
  </si>
  <si>
    <t>A foreign key reference to the system-generated unique identifier for a Project</t>
  </si>
  <si>
    <t>A foreign key reference to the system-generated unique identifier for a Rental Agreement</t>
  </si>
  <si>
    <t>A foreign key reference to the system-generated unique identifier for a Equipment Type</t>
  </si>
  <si>
    <t>A foreign key reference to the system-generated unique identifier for an Owner</t>
  </si>
  <si>
    <t>A foreign key reference to the system-generated unique identifier for a Role</t>
  </si>
  <si>
    <t>A foreign key reference to the system-generated unique identifier for a Permission</t>
  </si>
  <si>
    <t>A foreign key reference to the system-generated unique identifier for a Group</t>
  </si>
  <si>
    <t>A foreign key reference to the system-generated unique identifier for a User</t>
  </si>
  <si>
    <t>The seniority score of the piece of equipment that is the next to be asked in Block 1.</t>
  </si>
  <si>
    <t>askNextBlock1Seniority</t>
  </si>
  <si>
    <t>askNextBlock2Seniority</t>
  </si>
  <si>
    <t>A system-generated unique identifier for an EquipmentName</t>
  </si>
  <si>
    <t>The generic name of an equipment type - e.g. Dump Truck, Excavator and so on.</t>
  </si>
  <si>
    <t>blueBookSection</t>
  </si>
  <si>
    <t>The section of the Blue Book that is related to equipment types of this name.</t>
  </si>
  <si>
    <t>numberOfBlocks</t>
  </si>
  <si>
    <t>maximumHours</t>
  </si>
  <si>
    <t>The maximum number of hours per year that equipment types of this name/Blue Book section can work in a year</t>
  </si>
  <si>
    <t>The number of extended hours per year that equipment types of this name/Blue Book section can work.</t>
  </si>
  <si>
    <t>The number of substitute hours per year that equipment types of this name/Blue Book section can work.</t>
  </si>
  <si>
    <t>blueBookRateNumber</t>
  </si>
  <si>
    <t>The rate number in the Blue Book that is related to equipment types of this name.</t>
  </si>
  <si>
    <t>The number of blocks defined for the equipment of this name and Blue Book section. In general Dump Truck-class equipment types have 3 blocks, while non-Dump Truck equipment types have 2 blocks.</t>
  </si>
  <si>
    <t>districtEquipmentName</t>
  </si>
  <si>
    <t>The name of this equipment type used at the District Level. This could be just the equipmentName if this is the only EquipmentType defined in this District, or could be a name that separates out multiple EquipmentTypes used within a District to, for instance, separate out the same EquipmentName by size.</t>
  </si>
  <si>
    <t>DistrictEquipmentType</t>
  </si>
  <si>
    <t>A provincial-wide Equipment Type, the related Blue Book Chapter Section and related usage attributes.</t>
  </si>
  <si>
    <t>isDumpTruck</t>
  </si>
  <si>
    <t>True if the Equipment Type is a Dump Truck. Equipment of this type will have a related Dump Truck record containing dump truck-related attributes.</t>
  </si>
  <si>
    <t>An Equipment Type defined at the District level. Links to a provincial Equipment Type for the name of the equipment but supports the District HETS Clerk setting a local name for the Equipment Type. Within a given District, the same provincial Equipment Type might be reused multiple times in, for example, separate sizes (small, medium, large). This enables local areas with large number of the same Equipment Type to have multiple lists.</t>
  </si>
  <si>
    <t>LocalAreaRotationList</t>
  </si>
  <si>
    <t>districtEquipmentType</t>
  </si>
  <si>
    <t>The District associated with this Project record.</t>
  </si>
  <si>
    <t>The name of the attachment type</t>
  </si>
  <si>
    <t>typeName</t>
  </si>
  <si>
    <t>A description of the equipment attachment if the Equipment Attachment Type Name is insufficient.</t>
  </si>
  <si>
    <t>districtEquipmentTypes</t>
  </si>
  <si>
    <t>Lookup values for various enumerated types in the systems - entity status values, rate types, conditions and others. Used to pull the values out of the code and into the database but without having to have a table for each lookup instance.</t>
  </si>
  <si>
    <t>A system-generated unique identifier for a LookupList</t>
  </si>
  <si>
    <t>contextName</t>
  </si>
  <si>
    <t>The context within the app in which this lookup list if used. Defined and referenced in the code of the application.</t>
  </si>
  <si>
    <t>True of the value within the lookup list context should be the default for the lookup instance.</t>
  </si>
  <si>
    <t>displaySortOrder</t>
  </si>
  <si>
    <t>The sort order for list of values within a list context.</t>
  </si>
  <si>
    <t>codeName</t>
  </si>
  <si>
    <t>The fully spelled out value of the lookup entry.</t>
  </si>
  <si>
    <t>The a shorter lookup name to find the value. Can be used at the option of the application to present on the screen a short version of the lookup list value.</t>
  </si>
  <si>
    <t>lookuplists</t>
  </si>
  <si>
    <t>LookupList</t>
  </si>
  <si>
    <t>localarearotationlists</t>
  </si>
  <si>
    <t>!permission</t>
  </si>
  <si>
    <t>ADMIN</t>
  </si>
  <si>
    <t>x-codegen-permission</t>
  </si>
  <si>
    <t>The sort order of the piece of equipment on the rotation list at the time the request was created. This is the order the equipment will be offered the available work.</t>
  </si>
  <si>
    <t>ImportMap</t>
  </si>
  <si>
    <t>oldTable</t>
  </si>
  <si>
    <t>A system generated unique identifier for the ImportMap</t>
  </si>
  <si>
    <t>Table name in old system</t>
  </si>
  <si>
    <t>newTable</t>
  </si>
  <si>
    <t>Table name in new system.</t>
  </si>
  <si>
    <t>oldKey</t>
  </si>
  <si>
    <t>Old primary key for record</t>
  </si>
  <si>
    <t>newKey</t>
  </si>
  <si>
    <t>New primary key for record</t>
  </si>
  <si>
    <t>askNextBlockOpenSeniority</t>
  </si>
  <si>
    <t>The seniority score of the piece of equipment that is the next to be asked in Block Open.</t>
  </si>
  <si>
    <t>The seniority score of the piece of equipment that is the next to be asked in Block 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</si>
</sst>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9"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720">
    <xf numFmtId="0" fontId="0" fillId="0" borderId="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4" fillId="0" borderId="0"/>
  </cellStyleXfs>
  <cellXfs count="173">
    <xf numFmtId="0" fontId="0" fillId="0" borderId="0" xfId="0"/>
    <xf numFmtId="0" fontId="58" fillId="0" borderId="0" xfId="719" applyFont="1" applyAlignment="1">
      <alignment vertical="top"/>
    </xf>
    <xf numFmtId="0" fontId="58" fillId="0" borderId="0" xfId="719" applyFont="1" applyAlignment="1">
      <alignment vertical="top" wrapText="1"/>
    </xf>
    <xf numFmtId="0" fontId="54" fillId="0" borderId="0" xfId="719"/>
    <xf numFmtId="0" fontId="54" fillId="0" borderId="0" xfId="719" applyNumberFormat="1" applyAlignment="1">
      <alignment vertical="top"/>
    </xf>
    <xf numFmtId="0" fontId="54" fillId="0" borderId="0" xfId="719" applyAlignment="1">
      <alignment vertical="top"/>
    </xf>
    <xf numFmtId="0" fontId="54" fillId="0" borderId="0" xfId="719" applyAlignment="1">
      <alignment vertical="top" wrapText="1"/>
    </xf>
    <xf numFmtId="0" fontId="53" fillId="0" borderId="0" xfId="719" applyFont="1"/>
    <xf numFmtId="0" fontId="0" fillId="0" borderId="0" xfId="0" applyAlignment="1">
      <alignment vertical="top"/>
    </xf>
    <xf numFmtId="0" fontId="58" fillId="0" borderId="0" xfId="0" applyFont="1" applyAlignment="1">
      <alignment vertical="top"/>
    </xf>
    <xf numFmtId="0" fontId="52" fillId="0" borderId="0" xfId="719" applyFont="1"/>
    <xf numFmtId="0" fontId="52" fillId="0" borderId="0" xfId="719" applyFont="1" applyAlignment="1">
      <alignment vertical="top"/>
    </xf>
    <xf numFmtId="0" fontId="54" fillId="0" borderId="0" xfId="719" applyFill="1" applyAlignment="1">
      <alignment vertical="top" wrapText="1"/>
    </xf>
    <xf numFmtId="0" fontId="54" fillId="0" borderId="0" xfId="719" applyNumberFormat="1" applyFill="1"/>
    <xf numFmtId="0" fontId="0" fillId="0" borderId="0" xfId="0" applyNumberFormat="1" applyAlignment="1">
      <alignment vertical="top"/>
    </xf>
    <xf numFmtId="0" fontId="51" fillId="0" borderId="0" xfId="719" applyFont="1"/>
    <xf numFmtId="0" fontId="51" fillId="0" borderId="0" xfId="719" applyFont="1" applyFill="1"/>
    <xf numFmtId="0" fontId="54" fillId="0" borderId="0" xfId="719" applyFill="1"/>
    <xf numFmtId="0" fontId="54" fillId="0" borderId="0" xfId="719" applyNumberFormat="1" applyFill="1" applyAlignment="1">
      <alignment vertical="top"/>
    </xf>
    <xf numFmtId="0" fontId="49" fillId="0" borderId="0" xfId="719" applyFont="1" applyFill="1" applyAlignment="1">
      <alignment vertical="top"/>
    </xf>
    <xf numFmtId="0" fontId="48" fillId="0" borderId="0" xfId="719" applyFont="1"/>
    <xf numFmtId="0" fontId="48" fillId="0" borderId="0" xfId="719" applyFont="1" applyFill="1" applyAlignment="1">
      <alignment vertical="top"/>
    </xf>
    <xf numFmtId="0" fontId="48" fillId="0" borderId="0" xfId="719" applyFont="1" applyFill="1" applyAlignment="1">
      <alignment vertical="top" wrapText="1"/>
    </xf>
    <xf numFmtId="0" fontId="47" fillId="0" borderId="0" xfId="719" applyFont="1" applyFill="1" applyAlignment="1">
      <alignment vertical="top"/>
    </xf>
    <xf numFmtId="0" fontId="47" fillId="0" borderId="0" xfId="719" applyFont="1" applyFill="1" applyAlignment="1">
      <alignment vertical="top" wrapText="1"/>
    </xf>
    <xf numFmtId="0" fontId="47" fillId="0" borderId="0" xfId="719" applyNumberFormat="1" applyFont="1" applyFill="1" applyAlignment="1">
      <alignment vertical="top"/>
    </xf>
    <xf numFmtId="0" fontId="46" fillId="0" borderId="0" xfId="719" applyFont="1" applyFill="1" applyAlignment="1">
      <alignment vertical="top"/>
    </xf>
    <xf numFmtId="0" fontId="46" fillId="0" borderId="0" xfId="719" applyFont="1" applyFill="1" applyAlignment="1">
      <alignment vertical="top" wrapText="1"/>
    </xf>
    <xf numFmtId="0" fontId="45" fillId="0" borderId="0" xfId="719" applyFont="1" applyFill="1" applyAlignment="1">
      <alignment vertical="top"/>
    </xf>
    <xf numFmtId="0" fontId="45" fillId="0" borderId="0" xfId="719" applyFont="1" applyAlignment="1">
      <alignment vertical="top"/>
    </xf>
    <xf numFmtId="0" fontId="45" fillId="0" borderId="0" xfId="719" applyFont="1" applyFill="1"/>
    <xf numFmtId="0" fontId="44" fillId="0" borderId="0" xfId="719" applyFont="1" applyFill="1" applyAlignment="1">
      <alignment vertical="top"/>
    </xf>
    <xf numFmtId="0" fontId="41" fillId="0" borderId="0" xfId="719" applyFont="1" applyAlignment="1">
      <alignment vertical="top"/>
    </xf>
    <xf numFmtId="0" fontId="41" fillId="0" borderId="0" xfId="719" applyFont="1" applyFill="1"/>
    <xf numFmtId="0" fontId="41" fillId="0" borderId="0" xfId="719" applyNumberFormat="1" applyFont="1" applyAlignment="1">
      <alignment vertical="top"/>
    </xf>
    <xf numFmtId="0" fontId="39" fillId="0" borderId="0" xfId="719" applyFont="1" applyAlignment="1">
      <alignment vertical="top"/>
    </xf>
    <xf numFmtId="0" fontId="39" fillId="0" borderId="0" xfId="719" applyNumberFormat="1" applyFont="1" applyAlignment="1">
      <alignment vertical="top"/>
    </xf>
    <xf numFmtId="0" fontId="39" fillId="0" borderId="0" xfId="719" applyFont="1" applyFill="1"/>
    <xf numFmtId="0" fontId="38" fillId="0" borderId="0" xfId="719" applyFont="1" applyFill="1" applyAlignment="1">
      <alignment vertical="top"/>
    </xf>
    <xf numFmtId="0" fontId="38" fillId="0" borderId="0" xfId="719" applyFont="1" applyFill="1" applyAlignment="1">
      <alignment vertical="top" wrapText="1"/>
    </xf>
    <xf numFmtId="0" fontId="37" fillId="0" borderId="0" xfId="719" applyFont="1" applyFill="1" applyAlignment="1">
      <alignment vertical="top"/>
    </xf>
    <xf numFmtId="0" fontId="35" fillId="0" borderId="0" xfId="719" applyNumberFormat="1" applyFont="1" applyAlignment="1">
      <alignment vertical="top"/>
    </xf>
    <xf numFmtId="0" fontId="33" fillId="0" borderId="0" xfId="719" applyFont="1" applyAlignment="1">
      <alignment vertical="top"/>
    </xf>
    <xf numFmtId="0" fontId="33" fillId="0" borderId="0" xfId="719" applyFont="1" applyFill="1"/>
    <xf numFmtId="0" fontId="33" fillId="0" borderId="0" xfId="719" applyNumberFormat="1" applyFont="1" applyAlignment="1">
      <alignment vertical="top"/>
    </xf>
    <xf numFmtId="0" fontId="33" fillId="0" borderId="0" xfId="719" applyFont="1"/>
    <xf numFmtId="49" fontId="58" fillId="0" borderId="0" xfId="719" applyNumberFormat="1" applyFont="1" applyAlignment="1">
      <alignment vertical="top" wrapText="1"/>
    </xf>
    <xf numFmtId="49" fontId="54" fillId="0" borderId="0" xfId="719" applyNumberFormat="1" applyFill="1" applyAlignment="1">
      <alignment vertical="top" wrapText="1"/>
    </xf>
    <xf numFmtId="49" fontId="37" fillId="0" borderId="0" xfId="719" applyNumberFormat="1" applyFont="1" applyFill="1" applyAlignment="1">
      <alignment vertical="top" wrapText="1"/>
    </xf>
    <xf numFmtId="49" fontId="36" fillId="0" borderId="0" xfId="719" applyNumberFormat="1" applyFont="1" applyFill="1" applyAlignment="1">
      <alignment vertical="top" wrapText="1"/>
    </xf>
    <xf numFmtId="49" fontId="34" fillId="0" borderId="0" xfId="719" applyNumberFormat="1" applyFont="1" applyFill="1" applyAlignment="1">
      <alignment vertical="top" wrapText="1"/>
    </xf>
    <xf numFmtId="49" fontId="49" fillId="0" borderId="0" xfId="719" applyNumberFormat="1" applyFont="1" applyFill="1" applyAlignment="1">
      <alignment vertical="top" wrapText="1"/>
    </xf>
    <xf numFmtId="49" fontId="38" fillId="0" borderId="0" xfId="719" applyNumberFormat="1" applyFont="1" applyAlignment="1">
      <alignment vertical="top" wrapText="1"/>
    </xf>
    <xf numFmtId="49" fontId="38" fillId="0" borderId="0" xfId="719" applyNumberFormat="1" applyFont="1" applyFill="1" applyAlignment="1">
      <alignment vertical="top" wrapText="1"/>
    </xf>
    <xf numFmtId="49" fontId="54" fillId="0" borderId="0" xfId="719" applyNumberFormat="1" applyAlignment="1">
      <alignment vertical="top" wrapText="1"/>
    </xf>
    <xf numFmtId="0" fontId="32" fillId="0" borderId="0" xfId="719" applyFont="1"/>
    <xf numFmtId="0" fontId="32" fillId="0" borderId="0" xfId="719" applyFont="1" applyFill="1"/>
    <xf numFmtId="0" fontId="31" fillId="0" borderId="0" xfId="719" applyFont="1" applyAlignment="1">
      <alignment vertical="top"/>
    </xf>
    <xf numFmtId="0" fontId="31" fillId="0" borderId="0" xfId="719" applyFont="1" applyFill="1"/>
    <xf numFmtId="0" fontId="31" fillId="0" borderId="0" xfId="719" applyNumberFormat="1" applyFont="1" applyAlignment="1">
      <alignment vertical="top"/>
    </xf>
    <xf numFmtId="49" fontId="30" fillId="0" borderId="0" xfId="719" applyNumberFormat="1" applyFont="1" applyFill="1" applyAlignment="1">
      <alignment vertical="top" wrapText="1"/>
    </xf>
    <xf numFmtId="0" fontId="30" fillId="0" borderId="0" xfId="719" applyFont="1" applyFill="1" applyAlignment="1">
      <alignment vertical="top"/>
    </xf>
    <xf numFmtId="0" fontId="30" fillId="0" borderId="0" xfId="719" applyFont="1" applyFill="1" applyAlignment="1">
      <alignment vertical="top" wrapText="1"/>
    </xf>
    <xf numFmtId="0" fontId="30" fillId="0" borderId="0" xfId="719" applyNumberFormat="1" applyFont="1" applyAlignment="1">
      <alignment vertical="top"/>
    </xf>
    <xf numFmtId="0" fontId="29" fillId="0" borderId="0" xfId="719" applyFont="1" applyFill="1" applyAlignment="1">
      <alignment vertical="top"/>
    </xf>
    <xf numFmtId="49" fontId="29" fillId="0" borderId="0" xfId="719" applyNumberFormat="1" applyFont="1" applyFill="1" applyAlignment="1">
      <alignment vertical="top" wrapText="1"/>
    </xf>
    <xf numFmtId="0" fontId="27" fillId="0" borderId="0" xfId="719" applyFont="1" applyFill="1" applyAlignment="1">
      <alignment vertical="top"/>
    </xf>
    <xf numFmtId="0" fontId="26" fillId="0" borderId="0" xfId="719" applyFont="1" applyFill="1" applyAlignment="1">
      <alignment vertical="top"/>
    </xf>
    <xf numFmtId="0" fontId="26" fillId="0" borderId="0" xfId="719" applyFont="1" applyFill="1" applyAlignment="1">
      <alignment vertical="top" wrapText="1"/>
    </xf>
    <xf numFmtId="0" fontId="25" fillId="0" borderId="0" xfId="719" applyFont="1" applyFill="1" applyAlignment="1">
      <alignment vertical="top"/>
    </xf>
    <xf numFmtId="49" fontId="25" fillId="0" borderId="0" xfId="719" applyNumberFormat="1" applyFont="1" applyFill="1" applyAlignment="1">
      <alignment vertical="top" wrapText="1"/>
    </xf>
    <xf numFmtId="0" fontId="24" fillId="0" borderId="0" xfId="719" applyFont="1" applyFill="1" applyAlignment="1">
      <alignment vertical="top"/>
    </xf>
    <xf numFmtId="0" fontId="54" fillId="0" borderId="0" xfId="719" applyFill="1" applyAlignment="1">
      <alignment vertical="top"/>
    </xf>
    <xf numFmtId="0" fontId="23" fillId="0" borderId="0" xfId="719" applyFont="1" applyFill="1" applyAlignment="1">
      <alignment vertical="top"/>
    </xf>
    <xf numFmtId="49" fontId="23" fillId="0" borderId="0" xfId="719" applyNumberFormat="1" applyFont="1" applyFill="1" applyAlignment="1">
      <alignment vertical="top" wrapText="1"/>
    </xf>
    <xf numFmtId="0" fontId="57" fillId="0" borderId="0" xfId="0" applyFont="1" applyAlignment="1">
      <alignment vertical="top"/>
    </xf>
    <xf numFmtId="49" fontId="30" fillId="0" borderId="0" xfId="719" applyNumberFormat="1" applyFont="1" applyAlignment="1">
      <alignment vertical="top" wrapText="1"/>
    </xf>
    <xf numFmtId="0" fontId="47" fillId="0" borderId="0" xfId="719" applyFont="1" applyAlignment="1">
      <alignment vertical="top"/>
    </xf>
    <xf numFmtId="0" fontId="37" fillId="0" borderId="0" xfId="719" applyFont="1" applyAlignment="1">
      <alignment vertical="top"/>
    </xf>
    <xf numFmtId="49" fontId="28" fillId="0" borderId="0" xfId="719" applyNumberFormat="1" applyFont="1" applyAlignment="1">
      <alignment vertical="top" wrapText="1"/>
    </xf>
    <xf numFmtId="0" fontId="30" fillId="0" borderId="0" xfId="719" applyFont="1" applyAlignment="1">
      <alignment vertical="top"/>
    </xf>
    <xf numFmtId="0" fontId="49" fillId="0" borderId="0" xfId="719" applyFont="1" applyAlignment="1">
      <alignment vertical="top"/>
    </xf>
    <xf numFmtId="0" fontId="48" fillId="0" borderId="0" xfId="719" applyFont="1" applyAlignment="1">
      <alignment vertical="top"/>
    </xf>
    <xf numFmtId="0" fontId="23" fillId="0" borderId="0" xfId="719" applyNumberFormat="1" applyFont="1" applyFill="1" applyAlignment="1">
      <alignment vertical="top"/>
    </xf>
    <xf numFmtId="0" fontId="23" fillId="0" borderId="0" xfId="719" applyFont="1" applyFill="1" applyAlignment="1">
      <alignment vertical="top" wrapText="1"/>
    </xf>
    <xf numFmtId="0" fontId="22" fillId="0" borderId="0" xfId="719" applyFont="1" applyFill="1" applyAlignment="1">
      <alignment vertical="top"/>
    </xf>
    <xf numFmtId="0" fontId="21" fillId="0" borderId="0" xfId="719" applyNumberFormat="1" applyFont="1" applyAlignment="1">
      <alignment vertical="top"/>
    </xf>
    <xf numFmtId="0" fontId="21" fillId="0" borderId="0" xfId="719" applyFont="1"/>
    <xf numFmtId="0" fontId="23" fillId="0" borderId="0" xfId="719" applyFont="1" applyAlignment="1">
      <alignment vertical="top"/>
    </xf>
    <xf numFmtId="49" fontId="23" fillId="0" borderId="0" xfId="719" applyNumberFormat="1" applyFont="1" applyAlignment="1">
      <alignment vertical="top" wrapText="1"/>
    </xf>
    <xf numFmtId="49" fontId="37" fillId="0" borderId="0" xfId="719" applyNumberFormat="1" applyFont="1" applyAlignment="1">
      <alignment horizontal="fill" vertical="top" wrapText="1"/>
    </xf>
    <xf numFmtId="0" fontId="46" fillId="0" borderId="0" xfId="719" applyFont="1" applyAlignment="1">
      <alignment vertical="top"/>
    </xf>
    <xf numFmtId="0" fontId="29" fillId="0" borderId="0" xfId="719" applyFont="1" applyAlignment="1">
      <alignment vertical="top"/>
    </xf>
    <xf numFmtId="49" fontId="37" fillId="0" borderId="0" xfId="719" applyNumberFormat="1" applyFont="1" applyAlignment="1">
      <alignment vertical="top" wrapText="1"/>
    </xf>
    <xf numFmtId="0" fontId="40" fillId="0" borderId="0" xfId="719" applyFont="1" applyAlignment="1">
      <alignment vertical="top"/>
    </xf>
    <xf numFmtId="0" fontId="36" fillId="0" borderId="0" xfId="719" applyFont="1" applyAlignment="1">
      <alignment vertical="top"/>
    </xf>
    <xf numFmtId="49" fontId="36" fillId="0" borderId="0" xfId="719" applyNumberFormat="1" applyFont="1" applyAlignment="1">
      <alignment vertical="top" wrapText="1"/>
    </xf>
    <xf numFmtId="0" fontId="25" fillId="0" borderId="0" xfId="719" applyFont="1" applyAlignment="1">
      <alignment vertical="top"/>
    </xf>
    <xf numFmtId="49" fontId="29" fillId="0" borderId="0" xfId="719" applyNumberFormat="1" applyFont="1" applyAlignment="1">
      <alignment vertical="top" wrapText="1"/>
    </xf>
    <xf numFmtId="49" fontId="27" fillId="0" borderId="0" xfId="719" applyNumberFormat="1" applyFont="1" applyAlignment="1">
      <alignment vertical="top" wrapText="1"/>
    </xf>
    <xf numFmtId="49" fontId="33" fillId="0" borderId="0" xfId="719" applyNumberFormat="1" applyFont="1" applyAlignment="1">
      <alignment vertical="top" wrapText="1"/>
    </xf>
    <xf numFmtId="49" fontId="35" fillId="0" borderId="0" xfId="719" applyNumberFormat="1" applyFont="1" applyAlignment="1">
      <alignment vertical="top" wrapText="1"/>
    </xf>
    <xf numFmtId="0" fontId="35" fillId="0" borderId="0" xfId="719" applyFont="1" applyAlignment="1">
      <alignment vertical="top"/>
    </xf>
    <xf numFmtId="49" fontId="47" fillId="0" borderId="0" xfId="719" applyNumberFormat="1" applyFont="1" applyAlignment="1">
      <alignment vertical="top" wrapText="1"/>
    </xf>
    <xf numFmtId="49" fontId="43" fillId="0" borderId="0" xfId="719" applyNumberFormat="1" applyFont="1" applyAlignment="1">
      <alignment vertical="top" wrapText="1"/>
    </xf>
    <xf numFmtId="49" fontId="49" fillId="0" borderId="0" xfId="719" applyNumberFormat="1" applyFont="1" applyAlignment="1">
      <alignment vertical="top" wrapText="1"/>
    </xf>
    <xf numFmtId="0" fontId="42" fillId="0" borderId="0" xfId="719" applyFont="1" applyAlignment="1">
      <alignment vertical="top"/>
    </xf>
    <xf numFmtId="49" fontId="42" fillId="0" borderId="0" xfId="719" applyNumberFormat="1" applyFont="1" applyAlignment="1">
      <alignment horizontal="fill" vertical="top" wrapText="1"/>
    </xf>
    <xf numFmtId="0" fontId="38" fillId="0" borderId="0" xfId="719" applyFont="1" applyAlignment="1">
      <alignment vertical="top"/>
    </xf>
    <xf numFmtId="0" fontId="50" fillId="0" borderId="0" xfId="719" applyFont="1" applyAlignment="1">
      <alignment vertical="top"/>
    </xf>
    <xf numFmtId="49" fontId="50" fillId="0" borderId="0" xfId="719" applyNumberFormat="1" applyFont="1" applyAlignment="1">
      <alignment vertical="top" wrapText="1"/>
    </xf>
    <xf numFmtId="0" fontId="20" fillId="0" borderId="0" xfId="719" applyFont="1" applyFill="1" applyAlignment="1">
      <alignment vertical="top"/>
    </xf>
    <xf numFmtId="49" fontId="20" fillId="0" borderId="0" xfId="719" applyNumberFormat="1" applyFont="1" applyFill="1" applyAlignment="1">
      <alignment vertical="top" wrapText="1"/>
    </xf>
    <xf numFmtId="49" fontId="20" fillId="0" borderId="0" xfId="719" applyNumberFormat="1" applyFont="1" applyAlignment="1">
      <alignment vertical="top" wrapText="1"/>
    </xf>
    <xf numFmtId="0" fontId="20" fillId="0" borderId="0" xfId="719" applyNumberFormat="1" applyFont="1" applyFill="1" applyAlignment="1">
      <alignment vertical="top"/>
    </xf>
    <xf numFmtId="0" fontId="20" fillId="0" borderId="0" xfId="719" applyFont="1" applyFill="1" applyAlignment="1">
      <alignment vertical="top" wrapText="1"/>
    </xf>
    <xf numFmtId="0" fontId="20" fillId="0" borderId="0" xfId="719" applyFont="1" applyAlignment="1">
      <alignment vertical="top"/>
    </xf>
    <xf numFmtId="0" fontId="19" fillId="0" borderId="0" xfId="719" applyFont="1"/>
    <xf numFmtId="0" fontId="54" fillId="0" borderId="0" xfId="719" applyAlignment="1"/>
    <xf numFmtId="0" fontId="19" fillId="0" borderId="0" xfId="719" applyNumberFormat="1" applyFont="1" applyAlignment="1">
      <alignment vertical="top"/>
    </xf>
    <xf numFmtId="0" fontId="19" fillId="0" borderId="0" xfId="719" applyFont="1" applyAlignment="1">
      <alignment vertical="top"/>
    </xf>
    <xf numFmtId="0" fontId="19" fillId="0" borderId="0" xfId="719" applyFont="1" applyAlignment="1"/>
    <xf numFmtId="0" fontId="19" fillId="0" borderId="0" xfId="719" applyFont="1" applyFill="1" applyAlignment="1">
      <alignment vertical="top"/>
    </xf>
    <xf numFmtId="49" fontId="19" fillId="0" borderId="0" xfId="719" applyNumberFormat="1" applyFont="1" applyFill="1" applyAlignment="1">
      <alignment vertical="top" wrapText="1"/>
    </xf>
    <xf numFmtId="0" fontId="18" fillId="0" borderId="0" xfId="719" applyFont="1" applyFill="1" applyAlignment="1">
      <alignment vertical="top"/>
    </xf>
    <xf numFmtId="0" fontId="18" fillId="0" borderId="0" xfId="719" applyFont="1" applyFill="1" applyAlignment="1">
      <alignment vertical="top" wrapText="1"/>
    </xf>
    <xf numFmtId="0" fontId="18" fillId="0" borderId="0" xfId="719" applyNumberFormat="1" applyFont="1" applyFill="1" applyAlignment="1">
      <alignment vertical="top"/>
    </xf>
    <xf numFmtId="0" fontId="17" fillId="0" borderId="0" xfId="719" applyFont="1" applyFill="1" applyAlignment="1">
      <alignment vertical="top"/>
    </xf>
    <xf numFmtId="49" fontId="17" fillId="0" borderId="0" xfId="719" applyNumberFormat="1" applyFont="1" applyFill="1" applyAlignment="1">
      <alignment vertical="top" wrapText="1"/>
    </xf>
    <xf numFmtId="49" fontId="16" fillId="0" borderId="0" xfId="719" applyNumberFormat="1" applyFont="1" applyFill="1" applyAlignment="1">
      <alignment vertical="top" wrapText="1"/>
    </xf>
    <xf numFmtId="49" fontId="16" fillId="0" borderId="0" xfId="719" applyNumberFormat="1" applyFont="1" applyAlignment="1">
      <alignment vertical="top" wrapText="1"/>
    </xf>
    <xf numFmtId="0" fontId="15" fillId="0" borderId="0" xfId="719" applyFont="1" applyFill="1" applyAlignment="1">
      <alignment vertical="top"/>
    </xf>
    <xf numFmtId="49" fontId="15" fillId="0" borderId="0" xfId="719" applyNumberFormat="1" applyFont="1" applyFill="1" applyAlignment="1">
      <alignment vertical="top" wrapText="1"/>
    </xf>
    <xf numFmtId="0" fontId="14" fillId="0" borderId="0" xfId="719" applyFont="1" applyFill="1" applyAlignment="1">
      <alignment vertical="top"/>
    </xf>
    <xf numFmtId="49" fontId="14" fillId="0" borderId="0" xfId="719" applyNumberFormat="1" applyFont="1" applyFill="1" applyAlignment="1">
      <alignment vertical="top" wrapText="1"/>
    </xf>
    <xf numFmtId="49" fontId="14" fillId="0" borderId="0" xfId="719" applyNumberFormat="1" applyFont="1" applyAlignment="1">
      <alignment vertical="top" wrapText="1"/>
    </xf>
    <xf numFmtId="0" fontId="14" fillId="0" borderId="0" xfId="719" applyFont="1" applyAlignment="1">
      <alignment vertical="top"/>
    </xf>
    <xf numFmtId="0" fontId="13" fillId="0" borderId="0" xfId="719" applyFont="1" applyAlignment="1">
      <alignment vertical="top"/>
    </xf>
    <xf numFmtId="49" fontId="13" fillId="0" borderId="0" xfId="719" applyNumberFormat="1" applyFont="1" applyFill="1" applyAlignment="1">
      <alignment vertical="top" wrapText="1"/>
    </xf>
    <xf numFmtId="0" fontId="13" fillId="0" borderId="0" xfId="719" applyFont="1" applyFill="1" applyAlignment="1">
      <alignment vertical="top"/>
    </xf>
    <xf numFmtId="0" fontId="13" fillId="0" borderId="0" xfId="719" applyFont="1" applyFill="1" applyAlignment="1">
      <alignment vertical="top" wrapText="1"/>
    </xf>
    <xf numFmtId="49" fontId="13" fillId="0" borderId="0" xfId="719" applyNumberFormat="1" applyFont="1" applyAlignment="1">
      <alignment vertical="top" wrapText="1"/>
    </xf>
    <xf numFmtId="0" fontId="13" fillId="0" borderId="0" xfId="719" applyFont="1"/>
    <xf numFmtId="0" fontId="13" fillId="0" borderId="0" xfId="719" applyNumberFormat="1" applyFont="1" applyAlignment="1">
      <alignment vertical="top"/>
    </xf>
    <xf numFmtId="0" fontId="12" fillId="0" borderId="0" xfId="719" applyFont="1" applyFill="1"/>
    <xf numFmtId="0" fontId="11" fillId="0" borderId="0" xfId="719" applyFont="1" applyFill="1" applyAlignment="1">
      <alignment vertical="top"/>
    </xf>
    <xf numFmtId="49" fontId="11" fillId="0" borderId="0" xfId="719" applyNumberFormat="1" applyFont="1" applyFill="1" applyAlignment="1">
      <alignment vertical="top" wrapText="1"/>
    </xf>
    <xf numFmtId="0" fontId="11" fillId="0" borderId="0" xfId="719" applyFont="1" applyAlignment="1"/>
    <xf numFmtId="0" fontId="11" fillId="0" borderId="0" xfId="719" applyNumberFormat="1" applyFont="1" applyFill="1" applyAlignment="1">
      <alignment vertical="top"/>
    </xf>
    <xf numFmtId="0" fontId="10" fillId="0" borderId="0" xfId="719" applyFont="1"/>
    <xf numFmtId="0" fontId="9" fillId="0" borderId="0" xfId="719" applyFont="1" applyFill="1" applyAlignment="1">
      <alignment vertical="top"/>
    </xf>
    <xf numFmtId="0" fontId="8" fillId="0" borderId="0" xfId="719" applyFont="1" applyFill="1" applyAlignment="1">
      <alignment vertical="top"/>
    </xf>
    <xf numFmtId="0" fontId="7" fillId="0" borderId="0" xfId="719" applyFont="1"/>
    <xf numFmtId="0" fontId="7" fillId="0" borderId="0" xfId="719" applyFont="1" applyFill="1" applyAlignment="1">
      <alignment vertical="top"/>
    </xf>
    <xf numFmtId="0" fontId="6" fillId="0" borderId="0" xfId="719" applyNumberFormat="1" applyFont="1" applyFill="1" applyAlignment="1">
      <alignment vertical="top"/>
    </xf>
    <xf numFmtId="0" fontId="6" fillId="0" borderId="0" xfId="719" applyNumberFormat="1" applyFont="1" applyAlignment="1">
      <alignment vertical="top"/>
    </xf>
    <xf numFmtId="49" fontId="6" fillId="0" borderId="0" xfId="719" applyNumberFormat="1" applyFont="1" applyFill="1" applyAlignment="1">
      <alignment vertical="top" wrapText="1"/>
    </xf>
    <xf numFmtId="0" fontId="5" fillId="0" borderId="0" xfId="719" applyFont="1" applyAlignment="1">
      <alignment vertical="top"/>
    </xf>
    <xf numFmtId="0" fontId="4" fillId="0" borderId="0" xfId="719" applyFont="1" applyFill="1" applyAlignment="1">
      <alignment vertical="top"/>
    </xf>
    <xf numFmtId="0" fontId="4" fillId="0" borderId="0" xfId="719" applyFont="1" applyAlignment="1">
      <alignment vertical="top"/>
    </xf>
    <xf numFmtId="0" fontId="3" fillId="0" borderId="0" xfId="719" applyFont="1" applyAlignment="1">
      <alignment vertical="top"/>
    </xf>
    <xf numFmtId="0" fontId="2" fillId="0" borderId="0" xfId="719" applyFont="1" applyFill="1" applyAlignment="1">
      <alignment vertical="top"/>
    </xf>
    <xf numFmtId="49" fontId="2" fillId="0" borderId="0" xfId="719" applyNumberFormat="1" applyFont="1" applyFill="1" applyAlignment="1">
      <alignment vertical="top" wrapText="1"/>
    </xf>
    <xf numFmtId="0" fontId="2" fillId="0" borderId="0" xfId="719" applyNumberFormat="1" applyFont="1" applyFill="1" applyAlignment="1">
      <alignment vertical="top"/>
    </xf>
    <xf numFmtId="0" fontId="1" fillId="0" borderId="0" xfId="719" applyFont="1" applyFill="1" applyAlignment="1">
      <alignment vertical="top"/>
    </xf>
    <xf numFmtId="0" fontId="1" fillId="0" borderId="0" xfId="719" applyFont="1" applyFill="1" applyAlignment="1">
      <alignment vertical="top" wrapText="1"/>
    </xf>
    <xf numFmtId="0" fontId="1" fillId="0" borderId="0" xfId="719" applyNumberFormat="1" applyFont="1" applyFill="1" applyAlignment="1">
      <alignment vertical="top"/>
    </xf>
    <xf numFmtId="0" fontId="1" fillId="0" borderId="0" xfId="719" applyFont="1" applyAlignment="1">
      <alignment vertical="top"/>
    </xf>
    <xf numFmtId="0" fontId="1" fillId="0" borderId="0" xfId="0" applyNumberFormat="1" applyFont="1" applyFill="1" applyBorder="1" applyAlignment="1" applyProtection="1">
      <alignment vertical="top"/>
    </xf>
    <xf numFmtId="0" fontId="1" fillId="0" borderId="0" xfId="0" applyNumberFormat="1" applyFont="1" applyFill="1" applyBorder="1" applyAlignment="1" applyProtection="1">
      <alignment vertical="top" wrapText="1"/>
    </xf>
    <xf numFmtId="49" fontId="1" fillId="0" borderId="0" xfId="719" applyNumberFormat="1" applyFont="1" applyAlignment="1">
      <alignment vertical="top" wrapText="1"/>
    </xf>
    <xf numFmtId="0" fontId="1" fillId="0" borderId="0" xfId="719" applyNumberFormat="1" applyFont="1" applyAlignment="1">
      <alignment vertical="top"/>
    </xf>
    <xf numFmtId="49" fontId="1" fillId="0" borderId="0" xfId="719" applyNumberFormat="1" applyFont="1" applyFill="1" applyAlignment="1">
      <alignment vertical="top" wrapText="1"/>
    </xf>
  </cellXfs>
  <cellStyles count="720">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Normal" xfId="0" builtinId="0"/>
    <cellStyle name="Normal 2" xfId="719"/>
  </cellStyles>
  <dxfs count="76">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1"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1"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vertical="top" textRotation="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1" indent="0" justifyLastLine="0" shrinkToFit="0" readingOrder="0"/>
    </dxf>
    <dxf>
      <numFmt numFmtId="30" formatCode="@"/>
      <alignment horizontal="general" vertical="top" textRotation="0" wrapText="1" indent="0" justifyLastLine="0" shrinkToFit="0" readingOrder="0"/>
    </dxf>
    <dxf>
      <alignment horizontal="general" vertical="top" textRotation="0" wrapText="0" indent="0" justifyLastLine="0" shrinkToFit="0" readingOrder="0"/>
    </dxf>
    <dxf>
      <alignment vertical="top" textRotation="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alignment horizontal="general" vertical="top"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alignment vertical="top" textRotation="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Table2" displayName="Table2" ref="A1:Y341" totalsRowCount="1" headerRowDxfId="75" dataDxfId="74" totalsRowDxfId="73">
  <autoFilter ref="A1:Y340"/>
  <tableColumns count="25">
    <tableColumn id="1" name="!Table" totalsRowLabel="Total" dataDxfId="49" totalsRowDxfId="24" dataCellStyle="Normal 2"/>
    <tableColumn id="2" name="!Type" dataDxfId="48" totalsRowDxfId="23" dataCellStyle="Normal 2"/>
    <tableColumn id="6" name="!Length" dataDxfId="47" totalsRowDxfId="22" dataCellStyle="Normal 2"/>
    <tableColumn id="3" name="!Name" dataDxfId="46" totalsRowDxfId="21" dataCellStyle="Normal 2"/>
    <tableColumn id="4" name="!Description" dataDxfId="45" totalsRowDxfId="20" dataCellStyle="Normal 2"/>
    <tableColumn id="7" name="!FK" dataDxfId="44" totalsRowDxfId="19" dataCellStyle="Normal 2"/>
    <tableColumn id="10" name="!Required" dataDxfId="43" totalsRowDxfId="18" dataCellStyle="Normal 2"/>
    <tableColumn id="26" name="!Unique" dataDxfId="42" totalsRowDxfId="17" dataCellStyle="Normal 2"/>
    <tableColumn id="9" name="File" dataDxfId="41" totalsRowDxfId="16">
      <calculatedColumnFormula>IF(LEN(A2) &gt; 0,"Defs","-")</calculatedColumnFormula>
    </tableColumn>
    <tableColumn id="5" name="boolean" dataDxfId="40" totalsRowDxfId="15">
      <calculatedColumnFormula>IF(Table2[[#This Row],[!Type]]=J$1, J$1,"rg:None")</calculatedColumnFormula>
    </tableColumn>
    <tableColumn id="23" name="binary" dataDxfId="39" totalsRowDxfId="14">
      <calculatedColumnFormula>IF(Table2[[#This Row],[!Type]]=K$1, K$1,"rg:None")</calculatedColumnFormula>
    </tableColumn>
    <tableColumn id="8" name="datetime" dataDxfId="38" totalsRowDxfId="13">
      <calculatedColumnFormula>IF(Table2[[#This Row],[!Type]]=L$1, L$1,"rg:None")</calculatedColumnFormula>
    </tableColumn>
    <tableColumn id="11" name="id" dataDxfId="37" totalsRowDxfId="12">
      <calculatedColumnFormula>IF(Table2[[#This Row],[!Type]]=M$1, M$1,"rg:None")</calculatedColumnFormula>
    </tableColumn>
    <tableColumn id="12" name="integer" dataDxfId="36" totalsRowDxfId="11">
      <calculatedColumnFormula>IF(Table2[[#This Row],[!Type]]=N$1, N$1,"rg:None")</calculatedColumnFormula>
    </tableColumn>
    <tableColumn id="21" name="float" dataDxfId="35" totalsRowDxfId="10">
      <calculatedColumnFormula>IF(Table2[[#This Row],[!Type]]=O$1, O$1,"rg:None")</calculatedColumnFormula>
    </tableColumn>
    <tableColumn id="13" name="links" dataDxfId="34" totalsRowDxfId="9">
      <calculatedColumnFormula>IF(Table2[[#This Row],[!Type]]=P$1, P$1,"rg:None")</calculatedColumnFormula>
    </tableColumn>
    <tableColumn id="14" name="ref" dataDxfId="33" totalsRowDxfId="8">
      <calculatedColumnFormula>IF(Table2[[#This Row],[!Type]]=Q$1, Q$1,"rg:None")</calculatedColumnFormula>
    </tableColumn>
    <tableColumn id="15" name="string" dataDxfId="32" totalsRowDxfId="7">
      <calculatedColumnFormula>IF(Table2[[#This Row],[!Type]]=R$1, R$1,"rg:None")</calculatedColumnFormula>
    </tableColumn>
    <tableColumn id="16" name="table" dataDxfId="31" totalsRowDxfId="6">
      <calculatedColumnFormula>IF(Table2[[#This Row],[!Type]]=S$1, S$1,"rg:None")</calculatedColumnFormula>
    </tableColumn>
    <tableColumn id="17" name="Length" dataDxfId="30" totalsRowDxfId="5">
      <calculatedColumnFormula>IF(LEN(Table2[[#This Row],[!Length]]) &gt; 0, Table2[[#This Row],[!Length]], "rg:None")</calculatedColumnFormula>
    </tableColumn>
    <tableColumn id="18" name="Name" dataDxfId="29" totalsRowDxfId="4">
      <calculatedColumnFormula>IF(LEN(Table2[[#This Row],[!Name]]) &gt; 0, Table2[[#This Row],[!Name]], "rg:None")</calculatedColumnFormula>
    </tableColumn>
    <tableColumn id="19" name="Description" dataDxfId="28" totalsRowDxfId="3">
      <calculatedColumnFormula>IF(LEN(Table2[[#This Row],[!Description]]) &gt; 0, Table2[[#This Row],[!Description]], "rg:None")</calculatedColumnFormula>
    </tableColumn>
    <tableColumn id="20" name="RefDef" dataDxfId="27" totalsRowDxfId="2">
      <calculatedColumnFormula>IF(LEN(Table2[[#This Row],[!FK]])&gt;0,Table2[[#This Row],[!FK]],"rg:None")</calculatedColumnFormula>
    </tableColumn>
    <tableColumn id="22" name="Required" dataDxfId="26" totalsRowDxfId="1">
      <calculatedColumnFormula>IF(LEN(concatif2(A:A,Table2[[#This Row],[!Table]],G:G,"Y",D:D,",")) &gt; 0,"rg:[ { 'req' : '"&amp;concatif2(A:A,Table2[[#This Row],[!Table]],G:G,"Y",D:D,"' }, { 'req': '")&amp;"'} ]","rg:[]")</calculatedColumnFormula>
    </tableColumn>
    <tableColumn id="27" name="Unique" totalsRowFunction="count" dataDxfId="25" totalsRowDxfId="0">
      <calculatedColumnFormula>IF(LEN(Table2[[#This Row],[!Unique]])&gt;0,IF(Table2[[#This Row],[!Type]] = "id", "rg:None","rg:True"),"rg:None")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23" displayName="Table23" ref="A1:V70" totalsRowShown="0" headerRowDxfId="72" dataDxfId="71">
  <autoFilter ref="A1:V70"/>
  <tableColumns count="22">
    <tableColumn id="1" name="!type" dataDxfId="70"/>
    <tableColumn id="2" name="!path" dataDxfId="69"/>
    <tableColumn id="6" name="!tag" dataCellStyle="Normal 2"/>
    <tableColumn id="3" name="!paramDef" dataDxfId="68">
      <calculatedColumnFormula>LOWER(Table23[[#This Row],[!path]])&amp;"s"</calculatedColumnFormula>
    </tableColumn>
    <tableColumn id="21" name="!permission" dataDxfId="67" dataCellStyle="Normal 2"/>
    <tableColumn id="4" name="!respDef" dataDxfId="66" dataCellStyle="Normal 2"/>
    <tableColumn id="5" name="!Description" dataDxfId="65" dataCellStyle="Normal 2"/>
    <tableColumn id="7" name="File" dataDxfId="64">
      <calculatedColumnFormula>IF(LEN(A2) &gt;0,"Path","-")</calculatedColumnFormula>
    </tableColumn>
    <tableColumn id="8" name="crud" dataDxfId="63">
      <calculatedColumnFormula>IF(LEN(Table23[[#This Row],[!type]])&gt;0,IF(Table23[[#This Row],[!type]]=I$1,"1","rg:None"),"-")</calculatedColumnFormula>
    </tableColumn>
    <tableColumn id="9" name="post" dataDxfId="62">
      <calculatedColumnFormula>IF(LEN(Table23[[#This Row],[!type]])&gt;0,IF(Table23[[#This Row],[!type]]=J$1,"1","rg:None"),"-")</calculatedColumnFormula>
    </tableColumn>
    <tableColumn id="10" name="bulk" dataDxfId="61">
      <calculatedColumnFormula>IF(LEN(Table23[[#This Row],[!type]])&gt;0,IF(Table23[[#This Row],[!type]]=K$1,"1","rg:None"),"-")</calculatedColumnFormula>
    </tableColumn>
    <tableColumn id="11" name="getById" dataDxfId="60">
      <calculatedColumnFormula>IF(LEN(Table23[[#This Row],[!type]])&gt;0,IF(Table23[[#This Row],[!type]]=L$1,"1","rg:None"),"-")</calculatedColumnFormula>
    </tableColumn>
    <tableColumn id="12" name="putById" dataDxfId="59">
      <calculatedColumnFormula>IF(LEN(Table23[[#This Row],[!type]])&gt;0,IF(Table23[[#This Row],[!type]]=M$1,"1","rg:None"),"-")</calculatedColumnFormula>
    </tableColumn>
    <tableColumn id="13" name="deleteById" dataDxfId="58">
      <calculatedColumnFormula>IF(LEN(Table23[[#This Row],[!type]])&gt;0,IF(Table23[[#This Row],[!type]]=N$1,"1","rg:None"),"-")</calculatedColumnFormula>
    </tableColumn>
    <tableColumn id="14" name="fullpath" dataDxfId="57">
      <calculatedColumnFormula>IF(LEN(Table23[[#This Row],[!type]])&gt;0,IF(Table23[[#This Row],[!type]]=O$1,"1","rg:None"),"-")</calculatedColumnFormula>
    </tableColumn>
    <tableColumn id="15" name="idpath" dataDxfId="56">
      <calculatedColumnFormula>IF(LEN(Table23[[#This Row],[!type]])&gt;0,IF(Table23[[#This Row],[!type]]=P$1,"1","rg:None"),"-")</calculatedColumnFormula>
    </tableColumn>
    <tableColumn id="16" name="path" dataDxfId="55">
      <calculatedColumnFormula>IF(LEN(Table23[[#This Row],[!path]]) &gt;0,Table23[[#This Row],[!path]],"rg:None")</calculatedColumnFormula>
    </tableColumn>
    <tableColumn id="17" name="tag" dataDxfId="54">
      <calculatedColumnFormula>IF(LEN(Table23[[#This Row],[!tag]]) &gt;0,Table23[[#This Row],[!tag]],"rg:None")</calculatedColumnFormula>
    </tableColumn>
    <tableColumn id="18" name="paramDef" dataDxfId="53">
      <calculatedColumnFormula>IF(LEN(Table23[[#This Row],[!paramDef]]) &gt;0,Table23[[#This Row],[!paramDef]],"rg:None")</calculatedColumnFormula>
    </tableColumn>
    <tableColumn id="19" name="respDef" dataDxfId="52">
      <calculatedColumnFormula>IF(LEN(Table23[[#This Row],[!respDef]]) &gt;0,Table23[[#This Row],[!respDef]],"rg:None")</calculatedColumnFormula>
    </tableColumn>
    <tableColumn id="20" name="Description" dataDxfId="51">
      <calculatedColumnFormula>IF(LEN(Table23[[#This Row],[!Description]]) &gt;0,Table23[[#This Row],[!Description]],"rg:None")</calculatedColumnFormula>
    </tableColumn>
    <tableColumn id="22" name="x-codegen-permission" dataDxfId="50">
      <calculatedColumnFormula>IF(LEN(Table23[!permission]) &gt;0,Table23[!permission],"rg:None")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Y341"/>
  <sheetViews>
    <sheetView tabSelected="1" zoomScale="90" zoomScaleNormal="90" workbookViewId="0">
      <pane ySplit="1" topLeftCell="A58" activePane="bottomLeft" state="frozen"/>
      <selection pane="bottomLeft" activeCell="A68" sqref="A68:XFD68"/>
    </sheetView>
  </sheetViews>
  <sheetFormatPr defaultColWidth="8.7265625" defaultRowHeight="16.100000000000001" x14ac:dyDescent="0.35"/>
  <cols>
    <col min="1" max="1" width="29.6328125" style="5" customWidth="1"/>
    <col min="2" max="2" width="8.7265625" style="5"/>
    <col min="3" max="3" width="8.08984375" style="5" customWidth="1"/>
    <col min="4" max="4" width="33.453125" style="6" customWidth="1"/>
    <col min="5" max="5" width="71.1796875" style="54" customWidth="1"/>
    <col min="6" max="6" width="24.1796875" style="5" customWidth="1"/>
    <col min="7" max="8" width="12.1796875" style="5" customWidth="1"/>
    <col min="9" max="9" width="9.7265625" style="5" customWidth="1"/>
    <col min="10" max="11" width="11.453125" style="5" customWidth="1"/>
    <col min="12" max="12" width="10.6328125" style="5" customWidth="1"/>
    <col min="13" max="22" width="8.7265625" style="5" customWidth="1"/>
    <col min="23" max="23" width="22.90625" style="5" customWidth="1"/>
    <col min="24" max="24" width="8.7265625" style="8" customWidth="1"/>
    <col min="25" max="25" width="36.81640625" style="8" customWidth="1"/>
    <col min="26" max="16384" width="8.7265625" style="5"/>
  </cols>
  <sheetData>
    <row r="1" spans="1:25" s="1" customFormat="1" x14ac:dyDescent="0.35">
      <c r="A1" s="1" t="s">
        <v>86</v>
      </c>
      <c r="B1" s="1" t="s">
        <v>87</v>
      </c>
      <c r="C1" s="1" t="s">
        <v>88</v>
      </c>
      <c r="D1" s="1" t="s">
        <v>89</v>
      </c>
      <c r="E1" s="46" t="s">
        <v>85</v>
      </c>
      <c r="F1" s="2" t="s">
        <v>90</v>
      </c>
      <c r="G1" s="1" t="s">
        <v>64</v>
      </c>
      <c r="H1" s="1" t="s">
        <v>342</v>
      </c>
      <c r="I1" s="75" t="s">
        <v>62</v>
      </c>
      <c r="J1" s="9" t="s">
        <v>9</v>
      </c>
      <c r="K1" s="9" t="s">
        <v>156</v>
      </c>
      <c r="L1" s="9" t="s">
        <v>12</v>
      </c>
      <c r="M1" s="9" t="s">
        <v>6</v>
      </c>
      <c r="N1" s="9" t="s">
        <v>13</v>
      </c>
      <c r="O1" s="9" t="s">
        <v>105</v>
      </c>
      <c r="P1" s="9" t="s">
        <v>19</v>
      </c>
      <c r="Q1" s="9" t="s">
        <v>8</v>
      </c>
      <c r="R1" s="9" t="s">
        <v>7</v>
      </c>
      <c r="S1" s="9" t="s">
        <v>4</v>
      </c>
      <c r="T1" s="9" t="s">
        <v>2</v>
      </c>
      <c r="U1" s="9" t="s">
        <v>3</v>
      </c>
      <c r="V1" s="9" t="s">
        <v>1</v>
      </c>
      <c r="W1" s="9" t="s">
        <v>91</v>
      </c>
      <c r="X1" s="9" t="s">
        <v>63</v>
      </c>
      <c r="Y1" s="9" t="s">
        <v>343</v>
      </c>
    </row>
    <row r="2" spans="1:25" ht="28.8" x14ac:dyDescent="0.35">
      <c r="A2" s="5" t="s">
        <v>133</v>
      </c>
      <c r="B2" s="5" t="s">
        <v>4</v>
      </c>
      <c r="D2" s="5" t="s">
        <v>133</v>
      </c>
      <c r="E2" s="76" t="s">
        <v>369</v>
      </c>
      <c r="F2" s="5" t="s">
        <v>5</v>
      </c>
      <c r="G2" s="4"/>
      <c r="H2" s="4"/>
      <c r="I2" s="4" t="str">
        <f t="shared" ref="I2:I19" si="0">IF(LEN(A2) &gt; 0,"Defs","-")</f>
        <v>Defs</v>
      </c>
      <c r="J2" s="4" t="str">
        <f>IF(Table2[[#This Row],[!Type]]=J$1, J$1,"rg:None")</f>
        <v>rg:None</v>
      </c>
      <c r="K2" s="4" t="str">
        <f>IF(Table2[[#This Row],[!Type]]=K$1, K$1,"rg:None")</f>
        <v>rg:None</v>
      </c>
      <c r="L2" s="4" t="str">
        <f>IF(Table2[[#This Row],[!Type]]=L$1, L$1,"rg:None")</f>
        <v>rg:None</v>
      </c>
      <c r="M2" s="4" t="str">
        <f>IF(Table2[[#This Row],[!Type]]=M$1, M$1,"rg:None")</f>
        <v>rg:None</v>
      </c>
      <c r="N2" s="4" t="str">
        <f>IF(Table2[[#This Row],[!Type]]=N$1, N$1,"rg:None")</f>
        <v>rg:None</v>
      </c>
      <c r="O2" s="4" t="str">
        <f>IF(Table2[[#This Row],[!Type]]=O$1, O$1,"rg:None")</f>
        <v>rg:None</v>
      </c>
      <c r="P2" s="4" t="str">
        <f>IF(Table2[[#This Row],[!Type]]=P$1, P$1,"rg:None")</f>
        <v>rg:None</v>
      </c>
      <c r="Q2" s="4" t="str">
        <f>IF(Table2[[#This Row],[!Type]]=Q$1, Q$1,"rg:None")</f>
        <v>rg:None</v>
      </c>
      <c r="R2" s="4" t="str">
        <f>IF(Table2[[#This Row],[!Type]]=R$1, R$1,"rg:None")</f>
        <v>rg:None</v>
      </c>
      <c r="S2" s="4" t="str">
        <f>IF(Table2[[#This Row],[!Type]]=S$1, S$1,"rg:None")</f>
        <v>table</v>
      </c>
      <c r="T2" s="4" t="str">
        <f>IF(LEN(Table2[[#This Row],[!Length]]) &gt; 0, Table2[[#This Row],[!Length]], "rg:None")</f>
        <v>rg:None</v>
      </c>
      <c r="U2" s="4" t="str">
        <f>IF(LEN(Table2[[#This Row],[!Name]]) &gt; 0, Table2[[#This Row],[!Name]], "rg:None")</f>
        <v>Project</v>
      </c>
      <c r="V2" s="4" t="str">
        <f>IF(LEN(Table2[[#This Row],[!Description]]) &gt; 0, Table2[[#This Row],[!Description]], "rg:None")</f>
        <v>A Provincial Project that my from time to time request equipment under the HETS programme from a Service Area.</v>
      </c>
      <c r="W2" s="4" t="str">
        <f>IF(LEN(Table2[[#This Row],[!FK]])&gt;0,Table2[[#This Row],[!FK]],"rg:None")</f>
        <v>rg:None</v>
      </c>
      <c r="X2" s="14" t="str">
        <f>IF(LEN(concatif2(A:A,Table2[[#This Row],[!Table]],G:G,"Y",D:D,",")) &gt; 0,"rg:[ { 'req' : '"&amp;concatif2(A:A,Table2[[#This Row],[!Table]],G:G,"Y",D:D,"' }, { 'req': '")&amp;"'} ]","rg:[]")</f>
        <v>rg:[ { 'req' : 'id' }, { 'req': 'district' }, { 'req': 'name' }, { 'req': 'status'} ]</v>
      </c>
      <c r="Y2" s="4" t="str">
        <f>IF(LEN(Table2[[#This Row],[!Unique]])&gt;0,IF(Table2[[#This Row],[!Type]] = "id", "rg:None","rg:True"),"rg:None")</f>
        <v>rg:None</v>
      </c>
    </row>
    <row r="3" spans="1:25" x14ac:dyDescent="0.35">
      <c r="A3" s="5" t="s">
        <v>133</v>
      </c>
      <c r="B3" s="5" t="s">
        <v>6</v>
      </c>
      <c r="D3" s="5" t="s">
        <v>6</v>
      </c>
      <c r="E3" s="54" t="s">
        <v>214</v>
      </c>
      <c r="F3" s="5" t="s">
        <v>5</v>
      </c>
      <c r="G3" s="4" t="s">
        <v>59</v>
      </c>
      <c r="H3" s="155" t="s">
        <v>59</v>
      </c>
      <c r="I3" s="4" t="str">
        <f t="shared" si="0"/>
        <v>Defs</v>
      </c>
      <c r="J3" s="4" t="str">
        <f>IF(Table2[[#This Row],[!Type]]=J$1, J$1,"rg:None")</f>
        <v>rg:None</v>
      </c>
      <c r="K3" s="4" t="str">
        <f>IF(Table2[[#This Row],[!Type]]=K$1, K$1,"rg:None")</f>
        <v>rg:None</v>
      </c>
      <c r="L3" s="4" t="str">
        <f>IF(Table2[[#This Row],[!Type]]=L$1, L$1,"rg:None")</f>
        <v>rg:None</v>
      </c>
      <c r="M3" s="4" t="str">
        <f>IF(Table2[[#This Row],[!Type]]=M$1, M$1,"rg:None")</f>
        <v>id</v>
      </c>
      <c r="N3" s="4" t="str">
        <f>IF(Table2[[#This Row],[!Type]]=N$1, N$1,"rg:None")</f>
        <v>rg:None</v>
      </c>
      <c r="O3" s="4" t="str">
        <f>IF(Table2[[#This Row],[!Type]]=O$1, O$1,"rg:None")</f>
        <v>rg:None</v>
      </c>
      <c r="P3" s="4" t="str">
        <f>IF(Table2[[#This Row],[!Type]]=P$1, P$1,"rg:None")</f>
        <v>rg:None</v>
      </c>
      <c r="Q3" s="4" t="str">
        <f>IF(Table2[[#This Row],[!Type]]=Q$1, Q$1,"rg:None")</f>
        <v>rg:None</v>
      </c>
      <c r="R3" s="4" t="str">
        <f>IF(Table2[[#This Row],[!Type]]=R$1, R$1,"rg:None")</f>
        <v>rg:None</v>
      </c>
      <c r="S3" s="4" t="str">
        <f>IF(Table2[[#This Row],[!Type]]=S$1, S$1,"rg:None")</f>
        <v>rg:None</v>
      </c>
      <c r="T3" s="4" t="str">
        <f>IF(LEN(Table2[[#This Row],[!Length]]) &gt; 0, Table2[[#This Row],[!Length]], "rg:None")</f>
        <v>rg:None</v>
      </c>
      <c r="U3" s="4" t="str">
        <f>IF(LEN(Table2[[#This Row],[!Name]]) &gt; 0, Table2[[#This Row],[!Name]], "rg:None")</f>
        <v>id</v>
      </c>
      <c r="V3" s="4" t="str">
        <f>IF(LEN(Table2[[#This Row],[!Description]]) &gt; 0, Table2[[#This Row],[!Description]], "rg:None")</f>
        <v>A system-generated unique identifier for a Project</v>
      </c>
      <c r="W3" s="4" t="str">
        <f>IF(LEN(Table2[[#This Row],[!FK]])&gt;0,Table2[[#This Row],[!FK]],"rg:None")</f>
        <v>rg:None</v>
      </c>
      <c r="X3" s="14" t="str">
        <f>IF(LEN(concatif2(A:A,Table2[[#This Row],[!Table]],G:G,"Y",D:D,",")) &gt; 0,"rg:[ { 'req' : '"&amp;concatif2(A:A,Table2[[#This Row],[!Table]],G:G,"Y",D:D,"' }, { 'req': '")&amp;"'} ]","rg:[]")</f>
        <v>rg:[ { 'req' : 'id' }, { 'req': 'district' }, { 'req': 'name' }, { 'req': 'status'} ]</v>
      </c>
      <c r="Y3" s="4" t="str">
        <f>IF(LEN(Table2[[#This Row],[!Unique]])&gt;0,IF(Table2[[#This Row],[!Type]] = "id", "rg:None","rg:True"),"rg:None")</f>
        <v>rg:None</v>
      </c>
    </row>
    <row r="4" spans="1:25" x14ac:dyDescent="0.35">
      <c r="A4" s="5" t="s">
        <v>133</v>
      </c>
      <c r="B4" s="5" t="s">
        <v>8</v>
      </c>
      <c r="D4" s="137" t="s">
        <v>37</v>
      </c>
      <c r="E4" s="141" t="s">
        <v>561</v>
      </c>
      <c r="F4" s="137" t="s">
        <v>32</v>
      </c>
      <c r="G4" s="155" t="s">
        <v>59</v>
      </c>
      <c r="H4" s="4"/>
      <c r="I4" s="4" t="str">
        <f t="shared" si="0"/>
        <v>Defs</v>
      </c>
      <c r="J4" s="4" t="str">
        <f>IF(Table2[[#This Row],[!Type]]=J$1, J$1,"rg:None")</f>
        <v>rg:None</v>
      </c>
      <c r="K4" s="4" t="str">
        <f>IF(Table2[[#This Row],[!Type]]=K$1, K$1,"rg:None")</f>
        <v>rg:None</v>
      </c>
      <c r="L4" s="4" t="str">
        <f>IF(Table2[[#This Row],[!Type]]=L$1, L$1,"rg:None")</f>
        <v>rg:None</v>
      </c>
      <c r="M4" s="4" t="str">
        <f>IF(Table2[[#This Row],[!Type]]=M$1, M$1,"rg:None")</f>
        <v>rg:None</v>
      </c>
      <c r="N4" s="4" t="str">
        <f>IF(Table2[[#This Row],[!Type]]=N$1, N$1,"rg:None")</f>
        <v>rg:None</v>
      </c>
      <c r="O4" s="4" t="str">
        <f>IF(Table2[[#This Row],[!Type]]=O$1, O$1,"rg:None")</f>
        <v>rg:None</v>
      </c>
      <c r="P4" s="4" t="str">
        <f>IF(Table2[[#This Row],[!Type]]=P$1, P$1,"rg:None")</f>
        <v>rg:None</v>
      </c>
      <c r="Q4" s="4" t="str">
        <f>IF(Table2[[#This Row],[!Type]]=Q$1, Q$1,"rg:None")</f>
        <v>ref</v>
      </c>
      <c r="R4" s="4" t="str">
        <f>IF(Table2[[#This Row],[!Type]]=R$1, R$1,"rg:None")</f>
        <v>rg:None</v>
      </c>
      <c r="S4" s="4" t="str">
        <f>IF(Table2[[#This Row],[!Type]]=S$1, S$1,"rg:None")</f>
        <v>rg:None</v>
      </c>
      <c r="T4" s="4" t="str">
        <f>IF(LEN(Table2[[#This Row],[!Length]]) &gt; 0, Table2[[#This Row],[!Length]], "rg:None")</f>
        <v>rg:None</v>
      </c>
      <c r="U4" s="4" t="str">
        <f>IF(LEN(Table2[[#This Row],[!Name]]) &gt; 0, Table2[[#This Row],[!Name]], "rg:None")</f>
        <v>district</v>
      </c>
      <c r="V4" s="4" t="str">
        <f>IF(LEN(Table2[[#This Row],[!Description]]) &gt; 0, Table2[[#This Row],[!Description]], "rg:None")</f>
        <v>The District associated with this Project record.</v>
      </c>
      <c r="W4" s="4" t="str">
        <f>IF(LEN(Table2[[#This Row],[!FK]])&gt;0,Table2[[#This Row],[!FK]],"rg:None")</f>
        <v>District</v>
      </c>
      <c r="X4" s="14" t="str">
        <f>IF(LEN(concatif2(A:A,Table2[[#This Row],[!Table]],G:G,"Y",D:D,",")) &gt; 0,"rg:[ { 'req' : '"&amp;concatif2(A:A,Table2[[#This Row],[!Table]],G:G,"Y",D:D,"' }, { 'req': '")&amp;"'} ]","rg:[]")</f>
        <v>rg:[ { 'req' : 'id' }, { 'req': 'district' }, { 'req': 'name' }, { 'req': 'status'} ]</v>
      </c>
      <c r="Y4" s="4" t="str">
        <f>IF(LEN(Table2[[#This Row],[!Unique]])&gt;0,IF(Table2[[#This Row],[!Type]] = "id", "rg:None","rg:True"),"rg:None")</f>
        <v>rg:None</v>
      </c>
    </row>
    <row r="5" spans="1:25" ht="43.2" x14ac:dyDescent="0.35">
      <c r="A5" s="5" t="s">
        <v>133</v>
      </c>
      <c r="B5" s="5" t="s">
        <v>7</v>
      </c>
      <c r="C5" s="5">
        <v>150</v>
      </c>
      <c r="D5" s="78" t="s">
        <v>212</v>
      </c>
      <c r="E5" s="79" t="s">
        <v>417</v>
      </c>
      <c r="F5" s="5" t="s">
        <v>5</v>
      </c>
      <c r="G5" s="4"/>
      <c r="H5" s="4"/>
      <c r="I5" s="4" t="str">
        <f t="shared" si="0"/>
        <v>Defs</v>
      </c>
      <c r="J5" s="4" t="str">
        <f>IF(Table2[[#This Row],[!Type]]=J$1, J$1,"rg:None")</f>
        <v>rg:None</v>
      </c>
      <c r="K5" s="4" t="str">
        <f>IF(Table2[[#This Row],[!Type]]=K$1, K$1,"rg:None")</f>
        <v>rg:None</v>
      </c>
      <c r="L5" s="4" t="str">
        <f>IF(Table2[[#This Row],[!Type]]=L$1, L$1,"rg:None")</f>
        <v>rg:None</v>
      </c>
      <c r="M5" s="4" t="str">
        <f>IF(Table2[[#This Row],[!Type]]=M$1, M$1,"rg:None")</f>
        <v>rg:None</v>
      </c>
      <c r="N5" s="4" t="str">
        <f>IF(Table2[[#This Row],[!Type]]=N$1, N$1,"rg:None")</f>
        <v>rg:None</v>
      </c>
      <c r="O5" s="4" t="str">
        <f>IF(Table2[[#This Row],[!Type]]=O$1, O$1,"rg:None")</f>
        <v>rg:None</v>
      </c>
      <c r="P5" s="4" t="str">
        <f>IF(Table2[[#This Row],[!Type]]=P$1, P$1,"rg:None")</f>
        <v>rg:None</v>
      </c>
      <c r="Q5" s="4" t="str">
        <f>IF(Table2[[#This Row],[!Type]]=Q$1, Q$1,"rg:None")</f>
        <v>rg:None</v>
      </c>
      <c r="R5" s="4" t="str">
        <f>IF(Table2[[#This Row],[!Type]]=R$1, R$1,"rg:None")</f>
        <v>string</v>
      </c>
      <c r="S5" s="4" t="str">
        <f>IF(Table2[[#This Row],[!Type]]=S$1, S$1,"rg:None")</f>
        <v>rg:None</v>
      </c>
      <c r="T5" s="4">
        <f>IF(LEN(Table2[[#This Row],[!Length]]) &gt; 0, Table2[[#This Row],[!Length]], "rg:None")</f>
        <v>150</v>
      </c>
      <c r="U5" s="4" t="str">
        <f>IF(LEN(Table2[[#This Row],[!Name]]) &gt; 0, Table2[[#This Row],[!Name]], "rg:None")</f>
        <v>provincialProjectNumber</v>
      </c>
      <c r="V5" s="4" t="str">
        <f>IF(LEN(Table2[[#This Row],[!Description]]) &gt; 0, Table2[[#This Row],[!Description]], "rg:None")</f>
        <v>TO BE REVIEWED WITH THE BUSINESS - The Provincial charge code for the equipment hiring related to this project. This will be the same across multiple service areas that provide equipment for the same Project.</v>
      </c>
      <c r="W5" s="4" t="str">
        <f>IF(LEN(Table2[[#This Row],[!FK]])&gt;0,Table2[[#This Row],[!FK]],"rg:None")</f>
        <v>rg:None</v>
      </c>
      <c r="X5" s="14" t="str">
        <f>IF(LEN(concatif2(A:A,Table2[[#This Row],[!Table]],G:G,"Y",D:D,",")) &gt; 0,"rg:[ { 'req' : '"&amp;concatif2(A:A,Table2[[#This Row],[!Table]],G:G,"Y",D:D,"' }, { 'req': '")&amp;"'} ]","rg:[]")</f>
        <v>rg:[ { 'req' : 'id' }, { 'req': 'district' }, { 'req': 'name' }, { 'req': 'status'} ]</v>
      </c>
      <c r="Y5" s="4" t="str">
        <f>IF(LEN(Table2[[#This Row],[!Unique]])&gt;0,IF(Table2[[#This Row],[!Type]] = "id", "rg:None","rg:True"),"rg:None")</f>
        <v>rg:None</v>
      </c>
    </row>
    <row r="6" spans="1:25" x14ac:dyDescent="0.35">
      <c r="A6" s="61" t="s">
        <v>133</v>
      </c>
      <c r="B6" s="61" t="s">
        <v>7</v>
      </c>
      <c r="C6" s="72">
        <v>100</v>
      </c>
      <c r="D6" s="85" t="s">
        <v>15</v>
      </c>
      <c r="E6" s="60" t="s">
        <v>370</v>
      </c>
      <c r="F6" s="12"/>
      <c r="G6" s="154" t="s">
        <v>59</v>
      </c>
      <c r="H6" s="18"/>
      <c r="I6" s="4" t="str">
        <f>IF(LEN(A6) &gt; 0,"Defs","-")</f>
        <v>Defs</v>
      </c>
      <c r="J6" s="4" t="str">
        <f>IF(Table2[[#This Row],[!Type]]=J$1, J$1,"rg:None")</f>
        <v>rg:None</v>
      </c>
      <c r="K6" s="4" t="str">
        <f>IF(Table2[[#This Row],[!Type]]=K$1, K$1,"rg:None")</f>
        <v>rg:None</v>
      </c>
      <c r="L6" s="4" t="str">
        <f>IF(Table2[[#This Row],[!Type]]=L$1, L$1,"rg:None")</f>
        <v>rg:None</v>
      </c>
      <c r="M6" s="4" t="str">
        <f>IF(Table2[[#This Row],[!Type]]=M$1, M$1,"rg:None")</f>
        <v>rg:None</v>
      </c>
      <c r="N6" s="4" t="str">
        <f>IF(Table2[[#This Row],[!Type]]=N$1, N$1,"rg:None")</f>
        <v>rg:None</v>
      </c>
      <c r="O6" s="4" t="str">
        <f>IF(Table2[[#This Row],[!Type]]=O$1, O$1,"rg:None")</f>
        <v>rg:None</v>
      </c>
      <c r="P6" s="4" t="str">
        <f>IF(Table2[[#This Row],[!Type]]=P$1, P$1,"rg:None")</f>
        <v>rg:None</v>
      </c>
      <c r="Q6" s="4" t="str">
        <f>IF(Table2[[#This Row],[!Type]]=Q$1, Q$1,"rg:None")</f>
        <v>rg:None</v>
      </c>
      <c r="R6" s="4" t="str">
        <f>IF(Table2[[#This Row],[!Type]]=R$1, R$1,"rg:None")</f>
        <v>string</v>
      </c>
      <c r="S6" s="4" t="str">
        <f>IF(Table2[[#This Row],[!Type]]=S$1, S$1,"rg:None")</f>
        <v>rg:None</v>
      </c>
      <c r="T6" s="4">
        <f>IF(LEN(Table2[[#This Row],[!Length]]) &gt; 0, Table2[[#This Row],[!Length]], "rg:None")</f>
        <v>100</v>
      </c>
      <c r="U6" s="4" t="str">
        <f>IF(LEN(Table2[[#This Row],[!Name]]) &gt; 0, Table2[[#This Row],[!Name]], "rg:None")</f>
        <v>name</v>
      </c>
      <c r="V6" s="4" t="str">
        <f>IF(LEN(Table2[[#This Row],[!Description]]) &gt; 0, Table2[[#This Row],[!Description]], "rg:None")</f>
        <v>A descriptive name for the Project, useful to the HETS Clerk and Project Manager.</v>
      </c>
      <c r="W6" s="4" t="str">
        <f>IF(LEN(Table2[[#This Row],[!FK]])&gt;0,Table2[[#This Row],[!FK]],"rg:None")</f>
        <v>rg:None</v>
      </c>
      <c r="X6" s="14" t="str">
        <f>IF(LEN(concatif2(A:A,Table2[[#This Row],[!Table]],G:G,"Y",D:D,",")) &gt; 0,"rg:[ { 'req' : '"&amp;concatif2(A:A,Table2[[#This Row],[!Table]],G:G,"Y",D:D,"' }, { 'req': '")&amp;"'} ]","rg:[]")</f>
        <v>rg:[ { 'req' : 'id' }, { 'req': 'district' }, { 'req': 'name' }, { 'req': 'status'} ]</v>
      </c>
      <c r="Y6" s="4" t="str">
        <f>IF(LEN(Table2[[#This Row],[!Unique]])&gt;0,IF(Table2[[#This Row],[!Type]] = "id", "rg:None","rg:True"),"rg:None")</f>
        <v>rg:None</v>
      </c>
    </row>
    <row r="7" spans="1:25" x14ac:dyDescent="0.35">
      <c r="A7" s="127" t="s">
        <v>133</v>
      </c>
      <c r="B7" s="127" t="s">
        <v>7</v>
      </c>
      <c r="C7" s="72">
        <v>50</v>
      </c>
      <c r="D7" s="127" t="s">
        <v>225</v>
      </c>
      <c r="E7" s="128" t="s">
        <v>524</v>
      </c>
      <c r="F7" s="12"/>
      <c r="G7" s="154" t="s">
        <v>59</v>
      </c>
      <c r="H7" s="18"/>
      <c r="I7" s="4" t="str">
        <f>IF(LEN(A7) &gt; 0,"Defs","-")</f>
        <v>Defs</v>
      </c>
      <c r="J7" s="4" t="str">
        <f>IF(Table2[[#This Row],[!Type]]=J$1, J$1,"rg:None")</f>
        <v>rg:None</v>
      </c>
      <c r="K7" s="4" t="str">
        <f>IF(Table2[[#This Row],[!Type]]=K$1, K$1,"rg:None")</f>
        <v>rg:None</v>
      </c>
      <c r="L7" s="4" t="str">
        <f>IF(Table2[[#This Row],[!Type]]=L$1, L$1,"rg:None")</f>
        <v>rg:None</v>
      </c>
      <c r="M7" s="4" t="str">
        <f>IF(Table2[[#This Row],[!Type]]=M$1, M$1,"rg:None")</f>
        <v>rg:None</v>
      </c>
      <c r="N7" s="4" t="str">
        <f>IF(Table2[[#This Row],[!Type]]=N$1, N$1,"rg:None")</f>
        <v>rg:None</v>
      </c>
      <c r="O7" s="4" t="str">
        <f>IF(Table2[[#This Row],[!Type]]=O$1, O$1,"rg:None")</f>
        <v>rg:None</v>
      </c>
      <c r="P7" s="4" t="str">
        <f>IF(Table2[[#This Row],[!Type]]=P$1, P$1,"rg:None")</f>
        <v>rg:None</v>
      </c>
      <c r="Q7" s="4" t="str">
        <f>IF(Table2[[#This Row],[!Type]]=Q$1, Q$1,"rg:None")</f>
        <v>rg:None</v>
      </c>
      <c r="R7" s="4" t="str">
        <f>IF(Table2[[#This Row],[!Type]]=R$1, R$1,"rg:None")</f>
        <v>string</v>
      </c>
      <c r="S7" s="4" t="str">
        <f>IF(Table2[[#This Row],[!Type]]=S$1, S$1,"rg:None")</f>
        <v>rg:None</v>
      </c>
      <c r="T7" s="4">
        <f>IF(LEN(Table2[[#This Row],[!Length]]) &gt; 0, Table2[[#This Row],[!Length]], "rg:None")</f>
        <v>50</v>
      </c>
      <c r="U7" s="4" t="str">
        <f>IF(LEN(Table2[[#This Row],[!Name]]) &gt; 0, Table2[[#This Row],[!Name]], "rg:None")</f>
        <v>status</v>
      </c>
      <c r="V7" s="4" t="str">
        <f>IF(LEN(Table2[[#This Row],[!Description]]) &gt; 0, Table2[[#This Row],[!Description]], "rg:None")</f>
        <v>The status of the project to determine if it is listed when creating new requests</v>
      </c>
      <c r="W7" s="4" t="str">
        <f>IF(LEN(Table2[[#This Row],[!FK]])&gt;0,Table2[[#This Row],[!FK]],"rg:None")</f>
        <v>rg:None</v>
      </c>
      <c r="X7" s="14" t="str">
        <f>IF(LEN(concatif2(A:A,Table2[[#This Row],[!Table]],G:G,"Y",D:D,",")) &gt; 0,"rg:[ { 'req' : '"&amp;concatif2(A:A,Table2[[#This Row],[!Table]],G:G,"Y",D:D,"' }, { 'req': '")&amp;"'} ]","rg:[]")</f>
        <v>rg:[ { 'req' : 'id' }, { 'req': 'district' }, { 'req': 'name' }, { 'req': 'status'} ]</v>
      </c>
      <c r="Y7" s="4" t="str">
        <f>IF(LEN(Table2[[#This Row],[!Unique]])&gt;0,IF(Table2[[#This Row],[!Type]] = "id", "rg:None","rg:True"),"rg:None")</f>
        <v>rg:None</v>
      </c>
    </row>
    <row r="8" spans="1:25" ht="28.8" x14ac:dyDescent="0.35">
      <c r="A8" s="5" t="s">
        <v>133</v>
      </c>
      <c r="B8" s="5" t="s">
        <v>7</v>
      </c>
      <c r="C8" s="5">
        <v>2048</v>
      </c>
      <c r="D8" s="80" t="s">
        <v>383</v>
      </c>
      <c r="E8" s="76" t="s">
        <v>384</v>
      </c>
      <c r="F8" s="5" t="s">
        <v>5</v>
      </c>
      <c r="G8" s="4"/>
      <c r="H8" s="4"/>
      <c r="I8" s="4" t="str">
        <f t="shared" si="0"/>
        <v>Defs</v>
      </c>
      <c r="J8" s="4" t="str">
        <f>IF(Table2[[#This Row],[!Type]]=J$1, J$1,"rg:None")</f>
        <v>rg:None</v>
      </c>
      <c r="K8" s="4" t="str">
        <f>IF(Table2[[#This Row],[!Type]]=K$1, K$1,"rg:None")</f>
        <v>rg:None</v>
      </c>
      <c r="L8" s="4" t="str">
        <f>IF(Table2[[#This Row],[!Type]]=L$1, L$1,"rg:None")</f>
        <v>rg:None</v>
      </c>
      <c r="M8" s="4" t="str">
        <f>IF(Table2[[#This Row],[!Type]]=M$1, M$1,"rg:None")</f>
        <v>rg:None</v>
      </c>
      <c r="N8" s="4" t="str">
        <f>IF(Table2[[#This Row],[!Type]]=N$1, N$1,"rg:None")</f>
        <v>rg:None</v>
      </c>
      <c r="O8" s="4" t="str">
        <f>IF(Table2[[#This Row],[!Type]]=O$1, O$1,"rg:None")</f>
        <v>rg:None</v>
      </c>
      <c r="P8" s="4" t="str">
        <f>IF(Table2[[#This Row],[!Type]]=P$1, P$1,"rg:None")</f>
        <v>rg:None</v>
      </c>
      <c r="Q8" s="4" t="str">
        <f>IF(Table2[[#This Row],[!Type]]=Q$1, Q$1,"rg:None")</f>
        <v>rg:None</v>
      </c>
      <c r="R8" s="4" t="str">
        <f>IF(Table2[[#This Row],[!Type]]=R$1, R$1,"rg:None")</f>
        <v>string</v>
      </c>
      <c r="S8" s="4" t="str">
        <f>IF(Table2[[#This Row],[!Type]]=S$1, S$1,"rg:None")</f>
        <v>rg:None</v>
      </c>
      <c r="T8" s="4">
        <f>IF(LEN(Table2[[#This Row],[!Length]]) &gt; 0, Table2[[#This Row],[!Length]], "rg:None")</f>
        <v>2048</v>
      </c>
      <c r="U8" s="4" t="str">
        <f>IF(LEN(Table2[[#This Row],[!Name]]) &gt; 0, Table2[[#This Row],[!Name]], "rg:None")</f>
        <v>information</v>
      </c>
      <c r="V8" s="4" t="str">
        <f>IF(LEN(Table2[[#This Row],[!Description]]) &gt; 0, Table2[[#This Row],[!Description]], "rg:None")</f>
        <v>Information about the Project needed by the HETS Clerks. Used for capturing varying (project by project) metadata needed to process requests related to the project.</v>
      </c>
      <c r="W8" s="4" t="str">
        <f>IF(LEN(Table2[[#This Row],[!FK]])&gt;0,Table2[[#This Row],[!FK]],"rg:None")</f>
        <v>rg:None</v>
      </c>
      <c r="X8" s="14" t="str">
        <f>IF(LEN(concatif2(A:A,Table2[[#This Row],[!Table]],G:G,"Y",D:D,",")) &gt; 0,"rg:[ { 'req' : '"&amp;concatif2(A:A,Table2[[#This Row],[!Table]],G:G,"Y",D:D,"' }, { 'req': '")&amp;"'} ]","rg:[]")</f>
        <v>rg:[ { 'req' : 'id' }, { 'req': 'district' }, { 'req': 'name' }, { 'req': 'status'} ]</v>
      </c>
      <c r="Y8" s="4" t="str">
        <f>IF(LEN(Table2[[#This Row],[!Unique]])&gt;0,IF(Table2[[#This Row],[!Type]] = "id", "rg:None","rg:True"),"rg:None")</f>
        <v>rg:None</v>
      </c>
    </row>
    <row r="9" spans="1:25" ht="28.8" x14ac:dyDescent="0.35">
      <c r="A9" s="5" t="s">
        <v>133</v>
      </c>
      <c r="B9" s="23" t="s">
        <v>8</v>
      </c>
      <c r="C9" s="72"/>
      <c r="D9" s="23" t="s">
        <v>187</v>
      </c>
      <c r="E9" s="48" t="s">
        <v>211</v>
      </c>
      <c r="F9" s="24" t="s">
        <v>169</v>
      </c>
      <c r="G9" s="18"/>
      <c r="H9" s="18"/>
      <c r="I9" s="4" t="str">
        <f t="shared" si="0"/>
        <v>Defs</v>
      </c>
      <c r="J9" s="4" t="str">
        <f>IF(Table2[[#This Row],[!Type]]=J$1, J$1,"rg:None")</f>
        <v>rg:None</v>
      </c>
      <c r="K9" s="4" t="str">
        <f>IF(Table2[[#This Row],[!Type]]=K$1, K$1,"rg:None")</f>
        <v>rg:None</v>
      </c>
      <c r="L9" s="4" t="str">
        <f>IF(Table2[[#This Row],[!Type]]=L$1, L$1,"rg:None")</f>
        <v>rg:None</v>
      </c>
      <c r="M9" s="4" t="str">
        <f>IF(Table2[[#This Row],[!Type]]=M$1, M$1,"rg:None")</f>
        <v>rg:None</v>
      </c>
      <c r="N9" s="4" t="str">
        <f>IF(Table2[[#This Row],[!Type]]=N$1, N$1,"rg:None")</f>
        <v>rg:None</v>
      </c>
      <c r="O9" s="4" t="str">
        <f>IF(Table2[[#This Row],[!Type]]=O$1, O$1,"rg:None")</f>
        <v>rg:None</v>
      </c>
      <c r="P9" s="4" t="str">
        <f>IF(Table2[[#This Row],[!Type]]=P$1, P$1,"rg:None")</f>
        <v>rg:None</v>
      </c>
      <c r="Q9" s="4" t="str">
        <f>IF(Table2[[#This Row],[!Type]]=Q$1, Q$1,"rg:None")</f>
        <v>ref</v>
      </c>
      <c r="R9" s="4" t="str">
        <f>IF(Table2[[#This Row],[!Type]]=R$1, R$1,"rg:None")</f>
        <v>rg:None</v>
      </c>
      <c r="S9" s="4" t="str">
        <f>IF(Table2[[#This Row],[!Type]]=S$1, S$1,"rg:None")</f>
        <v>rg:None</v>
      </c>
      <c r="T9" s="4" t="str">
        <f>IF(LEN(Table2[[#This Row],[!Length]]) &gt; 0, Table2[[#This Row],[!Length]], "rg:None")</f>
        <v>rg:None</v>
      </c>
      <c r="U9" s="4" t="str">
        <f>IF(LEN(Table2[[#This Row],[!Name]]) &gt; 0, Table2[[#This Row],[!Name]], "rg:None")</f>
        <v>primaryContact</v>
      </c>
      <c r="V9" s="4" t="str">
        <f>IF(LEN(Table2[[#This Row],[!Description]]) &gt; 0, Table2[[#This Row],[!Description]], "rg:None")</f>
        <v>Link to the designated Primary Contact for the Project - usually the Project Manager requesting to hire equipment.</v>
      </c>
      <c r="W9" s="4" t="str">
        <f>IF(LEN(Table2[[#This Row],[!FK]])&gt;0,Table2[[#This Row],[!FK]],"rg:None")</f>
        <v>Contact</v>
      </c>
      <c r="X9" s="14" t="str">
        <f>IF(LEN(concatif2(A:A,Table2[[#This Row],[!Table]],G:G,"Y",D:D,",")) &gt; 0,"rg:[ { 'req' : '"&amp;concatif2(A:A,Table2[[#This Row],[!Table]],G:G,"Y",D:D,"' }, { 'req': '")&amp;"'} ]","rg:[]")</f>
        <v>rg:[ { 'req' : 'id' }, { 'req': 'district' }, { 'req': 'name' }, { 'req': 'status'} ]</v>
      </c>
      <c r="Y9" s="4" t="str">
        <f>IF(LEN(Table2[[#This Row],[!Unique]])&gt;0,IF(Table2[[#This Row],[!Type]] = "id", "rg:None","rg:True"),"rg:None")</f>
        <v>rg:None</v>
      </c>
    </row>
    <row r="10" spans="1:25" x14ac:dyDescent="0.35">
      <c r="A10" s="5" t="s">
        <v>133</v>
      </c>
      <c r="B10" s="23" t="s">
        <v>19</v>
      </c>
      <c r="C10" s="72"/>
      <c r="D10" s="23" t="s">
        <v>173</v>
      </c>
      <c r="E10" s="47"/>
      <c r="F10" s="24" t="s">
        <v>169</v>
      </c>
      <c r="G10" s="18"/>
      <c r="H10" s="18"/>
      <c r="I10" s="4" t="str">
        <f t="shared" si="0"/>
        <v>Defs</v>
      </c>
      <c r="J10" s="4" t="str">
        <f>IF(Table2[[#This Row],[!Type]]=J$1, J$1,"rg:None")</f>
        <v>rg:None</v>
      </c>
      <c r="K10" s="4" t="str">
        <f>IF(Table2[[#This Row],[!Type]]=K$1, K$1,"rg:None")</f>
        <v>rg:None</v>
      </c>
      <c r="L10" s="4" t="str">
        <f>IF(Table2[[#This Row],[!Type]]=L$1, L$1,"rg:None")</f>
        <v>rg:None</v>
      </c>
      <c r="M10" s="4" t="str">
        <f>IF(Table2[[#This Row],[!Type]]=M$1, M$1,"rg:None")</f>
        <v>rg:None</v>
      </c>
      <c r="N10" s="4" t="str">
        <f>IF(Table2[[#This Row],[!Type]]=N$1, N$1,"rg:None")</f>
        <v>rg:None</v>
      </c>
      <c r="O10" s="4" t="str">
        <f>IF(Table2[[#This Row],[!Type]]=O$1, O$1,"rg:None")</f>
        <v>rg:None</v>
      </c>
      <c r="P10" s="4" t="str">
        <f>IF(Table2[[#This Row],[!Type]]=P$1, P$1,"rg:None")</f>
        <v>links</v>
      </c>
      <c r="Q10" s="4" t="str">
        <f>IF(Table2[[#This Row],[!Type]]=Q$1, Q$1,"rg:None")</f>
        <v>rg:None</v>
      </c>
      <c r="R10" s="4" t="str">
        <f>IF(Table2[[#This Row],[!Type]]=R$1, R$1,"rg:None")</f>
        <v>rg:None</v>
      </c>
      <c r="S10" s="4" t="str">
        <f>IF(Table2[[#This Row],[!Type]]=S$1, S$1,"rg:None")</f>
        <v>rg:None</v>
      </c>
      <c r="T10" s="4" t="str">
        <f>IF(LEN(Table2[[#This Row],[!Length]]) &gt; 0, Table2[[#This Row],[!Length]], "rg:None")</f>
        <v>rg:None</v>
      </c>
      <c r="U10" s="4" t="str">
        <f>IF(LEN(Table2[[#This Row],[!Name]]) &gt; 0, Table2[[#This Row],[!Name]], "rg:None")</f>
        <v>contacts</v>
      </c>
      <c r="V10" s="4" t="str">
        <f>IF(LEN(Table2[[#This Row],[!Description]]) &gt; 0, Table2[[#This Row],[!Description]], "rg:None")</f>
        <v>rg:None</v>
      </c>
      <c r="W10" s="4" t="str">
        <f>IF(LEN(Table2[[#This Row],[!FK]])&gt;0,Table2[[#This Row],[!FK]],"rg:None")</f>
        <v>Contact</v>
      </c>
      <c r="X10" s="14" t="str">
        <f>IF(LEN(concatif2(A:A,Table2[[#This Row],[!Table]],G:G,"Y",D:D,",")) &gt; 0,"rg:[ { 'req' : '"&amp;concatif2(A:A,Table2[[#This Row],[!Table]],G:G,"Y",D:D,"' }, { 'req': '")&amp;"'} ]","rg:[]")</f>
        <v>rg:[ { 'req' : 'id' }, { 'req': 'district' }, { 'req': 'name' }, { 'req': 'status'} ]</v>
      </c>
      <c r="Y10" s="4" t="str">
        <f>IF(LEN(Table2[[#This Row],[!Unique]])&gt;0,IF(Table2[[#This Row],[!Type]] = "id", "rg:None","rg:True"),"rg:None")</f>
        <v>rg:None</v>
      </c>
    </row>
    <row r="11" spans="1:25" x14ac:dyDescent="0.35">
      <c r="A11" s="5" t="s">
        <v>133</v>
      </c>
      <c r="B11" s="21" t="s">
        <v>19</v>
      </c>
      <c r="C11" s="72"/>
      <c r="D11" s="21" t="s">
        <v>161</v>
      </c>
      <c r="E11" s="47"/>
      <c r="F11" s="22" t="s">
        <v>143</v>
      </c>
      <c r="G11" s="18"/>
      <c r="H11" s="18"/>
      <c r="I11" s="4" t="str">
        <f t="shared" si="0"/>
        <v>Defs</v>
      </c>
      <c r="J11" s="4" t="str">
        <f>IF(Table2[[#This Row],[!Type]]=J$1, J$1,"rg:None")</f>
        <v>rg:None</v>
      </c>
      <c r="K11" s="4" t="str">
        <f>IF(Table2[[#This Row],[!Type]]=K$1, K$1,"rg:None")</f>
        <v>rg:None</v>
      </c>
      <c r="L11" s="4" t="str">
        <f>IF(Table2[[#This Row],[!Type]]=L$1, L$1,"rg:None")</f>
        <v>rg:None</v>
      </c>
      <c r="M11" s="4" t="str">
        <f>IF(Table2[[#This Row],[!Type]]=M$1, M$1,"rg:None")</f>
        <v>rg:None</v>
      </c>
      <c r="N11" s="4" t="str">
        <f>IF(Table2[[#This Row],[!Type]]=N$1, N$1,"rg:None")</f>
        <v>rg:None</v>
      </c>
      <c r="O11" s="4" t="str">
        <f>IF(Table2[[#This Row],[!Type]]=O$1, O$1,"rg:None")</f>
        <v>rg:None</v>
      </c>
      <c r="P11" s="4" t="str">
        <f>IF(Table2[[#This Row],[!Type]]=P$1, P$1,"rg:None")</f>
        <v>links</v>
      </c>
      <c r="Q11" s="4" t="str">
        <f>IF(Table2[[#This Row],[!Type]]=Q$1, Q$1,"rg:None")</f>
        <v>rg:None</v>
      </c>
      <c r="R11" s="4" t="str">
        <f>IF(Table2[[#This Row],[!Type]]=R$1, R$1,"rg:None")</f>
        <v>rg:None</v>
      </c>
      <c r="S11" s="4" t="str">
        <f>IF(Table2[[#This Row],[!Type]]=S$1, S$1,"rg:None")</f>
        <v>rg:None</v>
      </c>
      <c r="T11" s="4" t="str">
        <f>IF(LEN(Table2[[#This Row],[!Length]]) &gt; 0, Table2[[#This Row],[!Length]], "rg:None")</f>
        <v>rg:None</v>
      </c>
      <c r="U11" s="4" t="str">
        <f>IF(LEN(Table2[[#This Row],[!Name]]) &gt; 0, Table2[[#This Row],[!Name]], "rg:None")</f>
        <v>notes</v>
      </c>
      <c r="V11" s="4" t="str">
        <f>IF(LEN(Table2[[#This Row],[!Description]]) &gt; 0, Table2[[#This Row],[!Description]], "rg:None")</f>
        <v>rg:None</v>
      </c>
      <c r="W11" s="4" t="str">
        <f>IF(LEN(Table2[[#This Row],[!FK]])&gt;0,Table2[[#This Row],[!FK]],"rg:None")</f>
        <v>Note</v>
      </c>
      <c r="X11" s="14" t="str">
        <f>IF(LEN(concatif2(A:A,Table2[[#This Row],[!Table]],G:G,"Y",D:D,",")) &gt; 0,"rg:[ { 'req' : '"&amp;concatif2(A:A,Table2[[#This Row],[!Table]],G:G,"Y",D:D,"' }, { 'req': '")&amp;"'} ]","rg:[]")</f>
        <v>rg:[ { 'req' : 'id' }, { 'req': 'district' }, { 'req': 'name' }, { 'req': 'status'} ]</v>
      </c>
      <c r="Y11" s="4" t="str">
        <f>IF(LEN(Table2[[#This Row],[!Unique]])&gt;0,IF(Table2[[#This Row],[!Type]] = "id", "rg:None","rg:True"),"rg:None")</f>
        <v>rg:None</v>
      </c>
    </row>
    <row r="12" spans="1:25" x14ac:dyDescent="0.35">
      <c r="A12" s="5" t="s">
        <v>133</v>
      </c>
      <c r="B12" s="21" t="s">
        <v>19</v>
      </c>
      <c r="C12" s="72"/>
      <c r="D12" s="158" t="s">
        <v>172</v>
      </c>
      <c r="E12" s="47"/>
      <c r="F12" s="81" t="s">
        <v>155</v>
      </c>
      <c r="G12" s="18"/>
      <c r="H12" s="18"/>
      <c r="I12" s="4" t="str">
        <f t="shared" si="0"/>
        <v>Defs</v>
      </c>
      <c r="J12" s="4" t="str">
        <f>IF(Table2[[#This Row],[!Type]]=J$1, J$1,"rg:None")</f>
        <v>rg:None</v>
      </c>
      <c r="K12" s="4" t="str">
        <f>IF(Table2[[#This Row],[!Type]]=K$1, K$1,"rg:None")</f>
        <v>rg:None</v>
      </c>
      <c r="L12" s="4" t="str">
        <f>IF(Table2[[#This Row],[!Type]]=L$1, L$1,"rg:None")</f>
        <v>rg:None</v>
      </c>
      <c r="M12" s="4" t="str">
        <f>IF(Table2[[#This Row],[!Type]]=M$1, M$1,"rg:None")</f>
        <v>rg:None</v>
      </c>
      <c r="N12" s="4" t="str">
        <f>IF(Table2[[#This Row],[!Type]]=N$1, N$1,"rg:None")</f>
        <v>rg:None</v>
      </c>
      <c r="O12" s="4" t="str">
        <f>IF(Table2[[#This Row],[!Type]]=O$1, O$1,"rg:None")</f>
        <v>rg:None</v>
      </c>
      <c r="P12" s="4" t="str">
        <f>IF(Table2[[#This Row],[!Type]]=P$1, P$1,"rg:None")</f>
        <v>links</v>
      </c>
      <c r="Q12" s="4" t="str">
        <f>IF(Table2[[#This Row],[!Type]]=Q$1, Q$1,"rg:None")</f>
        <v>rg:None</v>
      </c>
      <c r="R12" s="4" t="str">
        <f>IF(Table2[[#This Row],[!Type]]=R$1, R$1,"rg:None")</f>
        <v>rg:None</v>
      </c>
      <c r="S12" s="4" t="str">
        <f>IF(Table2[[#This Row],[!Type]]=S$1, S$1,"rg:None")</f>
        <v>rg:None</v>
      </c>
      <c r="T12" s="4" t="str">
        <f>IF(LEN(Table2[[#This Row],[!Length]]) &gt; 0, Table2[[#This Row],[!Length]], "rg:None")</f>
        <v>rg:None</v>
      </c>
      <c r="U12" s="4" t="str">
        <f>IF(LEN(Table2[[#This Row],[!Name]]) &gt; 0, Table2[[#This Row],[!Name]], "rg:None")</f>
        <v>attachments</v>
      </c>
      <c r="V12" s="4" t="str">
        <f>IF(LEN(Table2[[#This Row],[!Description]]) &gt; 0, Table2[[#This Row],[!Description]], "rg:None")</f>
        <v>rg:None</v>
      </c>
      <c r="W12" s="4" t="str">
        <f>IF(LEN(Table2[[#This Row],[!FK]])&gt;0,Table2[[#This Row],[!FK]],"rg:None")</f>
        <v>Attachment</v>
      </c>
      <c r="X12" s="14" t="str">
        <f>IF(LEN(concatif2(A:A,Table2[[#This Row],[!Table]],G:G,"Y",D:D,",")) &gt; 0,"rg:[ { 'req' : '"&amp;concatif2(A:A,Table2[[#This Row],[!Table]],G:G,"Y",D:D,"' }, { 'req': '")&amp;"'} ]","rg:[]")</f>
        <v>rg:[ { 'req' : 'id' }, { 'req': 'district' }, { 'req': 'name' }, { 'req': 'status'} ]</v>
      </c>
      <c r="Y12" s="4" t="str">
        <f>IF(LEN(Table2[[#This Row],[!Unique]])&gt;0,IF(Table2[[#This Row],[!Type]] = "id", "rg:None","rg:True"),"rg:None")</f>
        <v>rg:None</v>
      </c>
    </row>
    <row r="13" spans="1:25" x14ac:dyDescent="0.35">
      <c r="A13" s="5" t="s">
        <v>133</v>
      </c>
      <c r="B13" s="21" t="s">
        <v>19</v>
      </c>
      <c r="C13" s="72"/>
      <c r="D13" s="21" t="s">
        <v>174</v>
      </c>
      <c r="E13" s="47"/>
      <c r="F13" s="82" t="s">
        <v>157</v>
      </c>
      <c r="G13" s="18"/>
      <c r="H13" s="18"/>
      <c r="I13" s="4" t="str">
        <f t="shared" si="0"/>
        <v>Defs</v>
      </c>
      <c r="J13" s="4" t="str">
        <f>IF(Table2[[#This Row],[!Type]]=J$1, J$1,"rg:None")</f>
        <v>rg:None</v>
      </c>
      <c r="K13" s="4" t="str">
        <f>IF(Table2[[#This Row],[!Type]]=K$1, K$1,"rg:None")</f>
        <v>rg:None</v>
      </c>
      <c r="L13" s="4" t="str">
        <f>IF(Table2[[#This Row],[!Type]]=L$1, L$1,"rg:None")</f>
        <v>rg:None</v>
      </c>
      <c r="M13" s="4" t="str">
        <f>IF(Table2[[#This Row],[!Type]]=M$1, M$1,"rg:None")</f>
        <v>rg:None</v>
      </c>
      <c r="N13" s="4" t="str">
        <f>IF(Table2[[#This Row],[!Type]]=N$1, N$1,"rg:None")</f>
        <v>rg:None</v>
      </c>
      <c r="O13" s="4" t="str">
        <f>IF(Table2[[#This Row],[!Type]]=O$1, O$1,"rg:None")</f>
        <v>rg:None</v>
      </c>
      <c r="P13" s="4" t="str">
        <f>IF(Table2[[#This Row],[!Type]]=P$1, P$1,"rg:None")</f>
        <v>links</v>
      </c>
      <c r="Q13" s="4" t="str">
        <f>IF(Table2[[#This Row],[!Type]]=Q$1, Q$1,"rg:None")</f>
        <v>rg:None</v>
      </c>
      <c r="R13" s="4" t="str">
        <f>IF(Table2[[#This Row],[!Type]]=R$1, R$1,"rg:None")</f>
        <v>rg:None</v>
      </c>
      <c r="S13" s="4" t="str">
        <f>IF(Table2[[#This Row],[!Type]]=S$1, S$1,"rg:None")</f>
        <v>rg:None</v>
      </c>
      <c r="T13" s="4" t="str">
        <f>IF(LEN(Table2[[#This Row],[!Length]]) &gt; 0, Table2[[#This Row],[!Length]], "rg:None")</f>
        <v>rg:None</v>
      </c>
      <c r="U13" s="4" t="str">
        <f>IF(LEN(Table2[[#This Row],[!Name]]) &gt; 0, Table2[[#This Row],[!Name]], "rg:None")</f>
        <v>history</v>
      </c>
      <c r="V13" s="4" t="str">
        <f>IF(LEN(Table2[[#This Row],[!Description]]) &gt; 0, Table2[[#This Row],[!Description]], "rg:None")</f>
        <v>rg:None</v>
      </c>
      <c r="W13" s="4" t="str">
        <f>IF(LEN(Table2[[#This Row],[!FK]])&gt;0,Table2[[#This Row],[!FK]],"rg:None")</f>
        <v>History</v>
      </c>
      <c r="X13" s="14" t="str">
        <f>IF(LEN(concatif2(A:A,Table2[[#This Row],[!Table]],G:G,"Y",D:D,",")) &gt; 0,"rg:[ { 'req' : '"&amp;concatif2(A:A,Table2[[#This Row],[!Table]],G:G,"Y",D:D,"' }, { 'req': '")&amp;"'} ]","rg:[]")</f>
        <v>rg:[ { 'req' : 'id' }, { 'req': 'district' }, { 'req': 'name' }, { 'req': 'status'} ]</v>
      </c>
      <c r="Y13" s="4" t="str">
        <f>IF(LEN(Table2[[#This Row],[!Unique]])&gt;0,IF(Table2[[#This Row],[!Type]] = "id", "rg:None","rg:True"),"rg:None")</f>
        <v>rg:None</v>
      </c>
    </row>
    <row r="14" spans="1:25" ht="28.8" x14ac:dyDescent="0.35">
      <c r="A14" s="66" t="s">
        <v>420</v>
      </c>
      <c r="B14" s="5" t="s">
        <v>4</v>
      </c>
      <c r="D14" s="66" t="s">
        <v>420</v>
      </c>
      <c r="E14" s="60" t="s">
        <v>354</v>
      </c>
      <c r="F14" s="12"/>
      <c r="G14" s="18"/>
      <c r="H14" s="18"/>
      <c r="I14" s="4" t="str">
        <f t="shared" si="0"/>
        <v>Defs</v>
      </c>
      <c r="J14" s="4" t="str">
        <f>IF(Table2[[#This Row],[!Type]]=J$1, J$1,"rg:None")</f>
        <v>rg:None</v>
      </c>
      <c r="K14" s="4" t="str">
        <f>IF(Table2[[#This Row],[!Type]]=K$1, K$1,"rg:None")</f>
        <v>rg:None</v>
      </c>
      <c r="L14" s="4" t="str">
        <f>IF(Table2[[#This Row],[!Type]]=L$1, L$1,"rg:None")</f>
        <v>rg:None</v>
      </c>
      <c r="M14" s="4" t="str">
        <f>IF(Table2[[#This Row],[!Type]]=M$1, M$1,"rg:None")</f>
        <v>rg:None</v>
      </c>
      <c r="N14" s="4" t="str">
        <f>IF(Table2[[#This Row],[!Type]]=N$1, N$1,"rg:None")</f>
        <v>rg:None</v>
      </c>
      <c r="O14" s="4" t="str">
        <f>IF(Table2[[#This Row],[!Type]]=O$1, O$1,"rg:None")</f>
        <v>rg:None</v>
      </c>
      <c r="P14" s="4" t="str">
        <f>IF(Table2[[#This Row],[!Type]]=P$1, P$1,"rg:None")</f>
        <v>rg:None</v>
      </c>
      <c r="Q14" s="4" t="str">
        <f>IF(Table2[[#This Row],[!Type]]=Q$1, Q$1,"rg:None")</f>
        <v>rg:None</v>
      </c>
      <c r="R14" s="4" t="str">
        <f>IF(Table2[[#This Row],[!Type]]=R$1, R$1,"rg:None")</f>
        <v>rg:None</v>
      </c>
      <c r="S14" s="4" t="str">
        <f>IF(Table2[[#This Row],[!Type]]=S$1, S$1,"rg:None")</f>
        <v>table</v>
      </c>
      <c r="T14" s="4" t="str">
        <f>IF(LEN(Table2[[#This Row],[!Length]]) &gt; 0, Table2[[#This Row],[!Length]], "rg:None")</f>
        <v>rg:None</v>
      </c>
      <c r="U14" s="4" t="str">
        <f>IF(LEN(Table2[[#This Row],[!Name]]) &gt; 0, Table2[[#This Row],[!Name]], "rg:None")</f>
        <v>RentalRequest</v>
      </c>
      <c r="V14" s="4" t="str">
        <f>IF(LEN(Table2[[#This Row],[!Description]]) &gt; 0, Table2[[#This Row],[!Description]], "rg:None")</f>
        <v>A request from a Project for one or more of a type of equipment from a specific Local Area.</v>
      </c>
      <c r="W14" s="4" t="str">
        <f>IF(LEN(Table2[[#This Row],[!FK]])&gt;0,Table2[[#This Row],[!FK]],"rg:None")</f>
        <v>rg:None</v>
      </c>
      <c r="X14" s="14" t="str">
        <f>IF(LEN(concatif2(A:A,Table2[[#This Row],[!Table]],G:G,"Y",D:D,",")) &gt; 0,"rg:[ { 'req' : '"&amp;concatif2(A:A,Table2[[#This Row],[!Table]],G:G,"Y",D:D,"' }, { 'req': '")&amp;"'} ]","rg:[]")</f>
        <v>rg:[ { 'req' : 'id' }, { 'req': 'project' }, { 'req': 'localArea' }, { 'req': 'status' }, { 'req': 'districtEquipmentType' }, { 'req': 'equipmentCount'} ]</v>
      </c>
      <c r="Y14" s="4" t="str">
        <f>IF(LEN(Table2[[#This Row],[!Unique]])&gt;0,IF(Table2[[#This Row],[!Type]] = "id", "rg:None","rg:True"),"rg:None")</f>
        <v>rg:None</v>
      </c>
    </row>
    <row r="15" spans="1:25" x14ac:dyDescent="0.35">
      <c r="A15" s="66" t="s">
        <v>420</v>
      </c>
      <c r="B15" s="23" t="s">
        <v>6</v>
      </c>
      <c r="C15" s="72"/>
      <c r="D15" s="23" t="s">
        <v>6</v>
      </c>
      <c r="E15" s="54" t="s">
        <v>213</v>
      </c>
      <c r="F15" s="12"/>
      <c r="G15" s="25" t="s">
        <v>59</v>
      </c>
      <c r="H15" s="154" t="s">
        <v>59</v>
      </c>
      <c r="I15" s="4" t="str">
        <f t="shared" si="0"/>
        <v>Defs</v>
      </c>
      <c r="J15" s="4" t="str">
        <f>IF(Table2[[#This Row],[!Type]]=J$1, J$1,"rg:None")</f>
        <v>rg:None</v>
      </c>
      <c r="K15" s="4" t="str">
        <f>IF(Table2[[#This Row],[!Type]]=K$1, K$1,"rg:None")</f>
        <v>rg:None</v>
      </c>
      <c r="L15" s="4" t="str">
        <f>IF(Table2[[#This Row],[!Type]]=L$1, L$1,"rg:None")</f>
        <v>rg:None</v>
      </c>
      <c r="M15" s="4" t="str">
        <f>IF(Table2[[#This Row],[!Type]]=M$1, M$1,"rg:None")</f>
        <v>id</v>
      </c>
      <c r="N15" s="4" t="str">
        <f>IF(Table2[[#This Row],[!Type]]=N$1, N$1,"rg:None")</f>
        <v>rg:None</v>
      </c>
      <c r="O15" s="4" t="str">
        <f>IF(Table2[[#This Row],[!Type]]=O$1, O$1,"rg:None")</f>
        <v>rg:None</v>
      </c>
      <c r="P15" s="4" t="str">
        <f>IF(Table2[[#This Row],[!Type]]=P$1, P$1,"rg:None")</f>
        <v>rg:None</v>
      </c>
      <c r="Q15" s="4" t="str">
        <f>IF(Table2[[#This Row],[!Type]]=Q$1, Q$1,"rg:None")</f>
        <v>rg:None</v>
      </c>
      <c r="R15" s="4" t="str">
        <f>IF(Table2[[#This Row],[!Type]]=R$1, R$1,"rg:None")</f>
        <v>rg:None</v>
      </c>
      <c r="S15" s="4" t="str">
        <f>IF(Table2[[#This Row],[!Type]]=S$1, S$1,"rg:None")</f>
        <v>rg:None</v>
      </c>
      <c r="T15" s="4" t="str">
        <f>IF(LEN(Table2[[#This Row],[!Length]]) &gt; 0, Table2[[#This Row],[!Length]], "rg:None")</f>
        <v>rg:None</v>
      </c>
      <c r="U15" s="4" t="str">
        <f>IF(LEN(Table2[[#This Row],[!Name]]) &gt; 0, Table2[[#This Row],[!Name]], "rg:None")</f>
        <v>id</v>
      </c>
      <c r="V15" s="4" t="str">
        <f>IF(LEN(Table2[[#This Row],[!Description]]) &gt; 0, Table2[[#This Row],[!Description]], "rg:None")</f>
        <v>A system-generated unique identifier for a Request</v>
      </c>
      <c r="W15" s="4" t="str">
        <f>IF(LEN(Table2[[#This Row],[!FK]])&gt;0,Table2[[#This Row],[!FK]],"rg:None")</f>
        <v>rg:None</v>
      </c>
      <c r="X15" s="14" t="str">
        <f>IF(LEN(concatif2(A:A,Table2[[#This Row],[!Table]],G:G,"Y",D:D,",")) &gt; 0,"rg:[ { 'req' : '"&amp;concatif2(A:A,Table2[[#This Row],[!Table]],G:G,"Y",D:D,"' }, { 'req': '")&amp;"'} ]","rg:[]")</f>
        <v>rg:[ { 'req' : 'id' }, { 'req': 'project' }, { 'req': 'localArea' }, { 'req': 'status' }, { 'req': 'districtEquipmentType' }, { 'req': 'equipmentCount'} ]</v>
      </c>
      <c r="Y15" s="4" t="str">
        <f>IF(LEN(Table2[[#This Row],[!Unique]])&gt;0,IF(Table2[[#This Row],[!Type]] = "id", "rg:None","rg:True"),"rg:None")</f>
        <v>rg:None</v>
      </c>
    </row>
    <row r="16" spans="1:25" x14ac:dyDescent="0.35">
      <c r="A16" s="66" t="s">
        <v>420</v>
      </c>
      <c r="B16" s="23" t="s">
        <v>8</v>
      </c>
      <c r="C16" s="72"/>
      <c r="D16" s="23" t="s">
        <v>146</v>
      </c>
      <c r="E16" s="47"/>
      <c r="F16" s="24" t="s">
        <v>133</v>
      </c>
      <c r="G16" s="154" t="s">
        <v>59</v>
      </c>
      <c r="H16" s="18"/>
      <c r="I16" s="4" t="str">
        <f t="shared" si="0"/>
        <v>Defs</v>
      </c>
      <c r="J16" s="4" t="str">
        <f>IF(Table2[[#This Row],[!Type]]=J$1, J$1,"rg:None")</f>
        <v>rg:None</v>
      </c>
      <c r="K16" s="4" t="str">
        <f>IF(Table2[[#This Row],[!Type]]=K$1, K$1,"rg:None")</f>
        <v>rg:None</v>
      </c>
      <c r="L16" s="4" t="str">
        <f>IF(Table2[[#This Row],[!Type]]=L$1, L$1,"rg:None")</f>
        <v>rg:None</v>
      </c>
      <c r="M16" s="4" t="str">
        <f>IF(Table2[[#This Row],[!Type]]=M$1, M$1,"rg:None")</f>
        <v>rg:None</v>
      </c>
      <c r="N16" s="4" t="str">
        <f>IF(Table2[[#This Row],[!Type]]=N$1, N$1,"rg:None")</f>
        <v>rg:None</v>
      </c>
      <c r="O16" s="4" t="str">
        <f>IF(Table2[[#This Row],[!Type]]=O$1, O$1,"rg:None")</f>
        <v>rg:None</v>
      </c>
      <c r="P16" s="4" t="str">
        <f>IF(Table2[[#This Row],[!Type]]=P$1, P$1,"rg:None")</f>
        <v>rg:None</v>
      </c>
      <c r="Q16" s="4" t="str">
        <f>IF(Table2[[#This Row],[!Type]]=Q$1, Q$1,"rg:None")</f>
        <v>ref</v>
      </c>
      <c r="R16" s="4" t="str">
        <f>IF(Table2[[#This Row],[!Type]]=R$1, R$1,"rg:None")</f>
        <v>rg:None</v>
      </c>
      <c r="S16" s="4" t="str">
        <f>IF(Table2[[#This Row],[!Type]]=S$1, S$1,"rg:None")</f>
        <v>rg:None</v>
      </c>
      <c r="T16" s="4" t="str">
        <f>IF(LEN(Table2[[#This Row],[!Length]]) &gt; 0, Table2[[#This Row],[!Length]], "rg:None")</f>
        <v>rg:None</v>
      </c>
      <c r="U16" s="4" t="str">
        <f>IF(LEN(Table2[[#This Row],[!Name]]) &gt; 0, Table2[[#This Row],[!Name]], "rg:None")</f>
        <v>project</v>
      </c>
      <c r="V16" s="4" t="str">
        <f>IF(LEN(Table2[[#This Row],[!Description]]) &gt; 0, Table2[[#This Row],[!Description]], "rg:None")</f>
        <v>rg:None</v>
      </c>
      <c r="W16" s="4" t="str">
        <f>IF(LEN(Table2[[#This Row],[!FK]])&gt;0,Table2[[#This Row],[!FK]],"rg:None")</f>
        <v>Project</v>
      </c>
      <c r="X16" s="14" t="str">
        <f>IF(LEN(concatif2(A:A,Table2[[#This Row],[!Table]],G:G,"Y",D:D,",")) &gt; 0,"rg:[ { 'req' : '"&amp;concatif2(A:A,Table2[[#This Row],[!Table]],G:G,"Y",D:D,"' }, { 'req': '")&amp;"'} ]","rg:[]")</f>
        <v>rg:[ { 'req' : 'id' }, { 'req': 'project' }, { 'req': 'localArea' }, { 'req': 'status' }, { 'req': 'districtEquipmentType' }, { 'req': 'equipmentCount'} ]</v>
      </c>
      <c r="Y16" s="4" t="str">
        <f>IF(LEN(Table2[[#This Row],[!Unique]])&gt;0,IF(Table2[[#This Row],[!Type]] = "id", "rg:None","rg:True"),"rg:None")</f>
        <v>rg:None</v>
      </c>
    </row>
    <row r="17" spans="1:25" x14ac:dyDescent="0.35">
      <c r="A17" s="66" t="s">
        <v>420</v>
      </c>
      <c r="B17" s="26" t="s">
        <v>8</v>
      </c>
      <c r="C17" s="72"/>
      <c r="D17" s="26" t="s">
        <v>170</v>
      </c>
      <c r="E17" s="129" t="s">
        <v>525</v>
      </c>
      <c r="F17" s="27" t="s">
        <v>148</v>
      </c>
      <c r="G17" s="154" t="s">
        <v>59</v>
      </c>
      <c r="H17" s="18"/>
      <c r="I17" s="4" t="str">
        <f t="shared" si="0"/>
        <v>Defs</v>
      </c>
      <c r="J17" s="4" t="str">
        <f>IF(Table2[[#This Row],[!Type]]=J$1, J$1,"rg:None")</f>
        <v>rg:None</v>
      </c>
      <c r="K17" s="4" t="str">
        <f>IF(Table2[[#This Row],[!Type]]=K$1, K$1,"rg:None")</f>
        <v>rg:None</v>
      </c>
      <c r="L17" s="4" t="str">
        <f>IF(Table2[[#This Row],[!Type]]=L$1, L$1,"rg:None")</f>
        <v>rg:None</v>
      </c>
      <c r="M17" s="4" t="str">
        <f>IF(Table2[[#This Row],[!Type]]=M$1, M$1,"rg:None")</f>
        <v>rg:None</v>
      </c>
      <c r="N17" s="4" t="str">
        <f>IF(Table2[[#This Row],[!Type]]=N$1, N$1,"rg:None")</f>
        <v>rg:None</v>
      </c>
      <c r="O17" s="4" t="str">
        <f>IF(Table2[[#This Row],[!Type]]=O$1, O$1,"rg:None")</f>
        <v>rg:None</v>
      </c>
      <c r="P17" s="4" t="str">
        <f>IF(Table2[[#This Row],[!Type]]=P$1, P$1,"rg:None")</f>
        <v>rg:None</v>
      </c>
      <c r="Q17" s="4" t="str">
        <f>IF(Table2[[#This Row],[!Type]]=Q$1, Q$1,"rg:None")</f>
        <v>ref</v>
      </c>
      <c r="R17" s="4" t="str">
        <f>IF(Table2[[#This Row],[!Type]]=R$1, R$1,"rg:None")</f>
        <v>rg:None</v>
      </c>
      <c r="S17" s="4" t="str">
        <f>IF(Table2[[#This Row],[!Type]]=S$1, S$1,"rg:None")</f>
        <v>rg:None</v>
      </c>
      <c r="T17" s="4" t="str">
        <f>IF(LEN(Table2[[#This Row],[!Length]]) &gt; 0, Table2[[#This Row],[!Length]], "rg:None")</f>
        <v>rg:None</v>
      </c>
      <c r="U17" s="4" t="str">
        <f>IF(LEN(Table2[[#This Row],[!Name]]) &gt; 0, Table2[[#This Row],[!Name]], "rg:None")</f>
        <v>localArea</v>
      </c>
      <c r="V17" s="4" t="str">
        <f>IF(LEN(Table2[[#This Row],[!Description]]) &gt; 0, Table2[[#This Row],[!Description]], "rg:None")</f>
        <v>A foreign key reference to the system-generated unique identifier for a Local Area</v>
      </c>
      <c r="W17" s="4" t="str">
        <f>IF(LEN(Table2[[#This Row],[!FK]])&gt;0,Table2[[#This Row],[!FK]],"rg:None")</f>
        <v>LocalArea</v>
      </c>
      <c r="X17" s="14" t="str">
        <f>IF(LEN(concatif2(A:A,Table2[[#This Row],[!Table]],G:G,"Y",D:D,",")) &gt; 0,"rg:[ { 'req' : '"&amp;concatif2(A:A,Table2[[#This Row],[!Table]],G:G,"Y",D:D,"' }, { 'req': '")&amp;"'} ]","rg:[]")</f>
        <v>rg:[ { 'req' : 'id' }, { 'req': 'project' }, { 'req': 'localArea' }, { 'req': 'status' }, { 'req': 'districtEquipmentType' }, { 'req': 'equipmentCount'} ]</v>
      </c>
      <c r="Y17" s="4" t="str">
        <f>IF(LEN(Table2[[#This Row],[!Unique]])&gt;0,IF(Table2[[#This Row],[!Type]] = "id", "rg:None","rg:True"),"rg:None")</f>
        <v>rg:None</v>
      </c>
    </row>
    <row r="18" spans="1:25" x14ac:dyDescent="0.35">
      <c r="A18" s="73" t="s">
        <v>420</v>
      </c>
      <c r="B18" s="73" t="s">
        <v>7</v>
      </c>
      <c r="C18" s="72">
        <v>50</v>
      </c>
      <c r="D18" s="73" t="s">
        <v>225</v>
      </c>
      <c r="E18" s="74" t="s">
        <v>434</v>
      </c>
      <c r="F18" s="12"/>
      <c r="G18" s="154" t="s">
        <v>59</v>
      </c>
      <c r="H18" s="18"/>
      <c r="I18" s="4" t="str">
        <f>IF(LEN(A18) &gt; 0,"Defs","-")</f>
        <v>Defs</v>
      </c>
      <c r="J18" s="4" t="str">
        <f>IF(Table2[[#This Row],[!Type]]=J$1, J$1,"rg:None")</f>
        <v>rg:None</v>
      </c>
      <c r="K18" s="4" t="str">
        <f>IF(Table2[[#This Row],[!Type]]=K$1, K$1,"rg:None")</f>
        <v>rg:None</v>
      </c>
      <c r="L18" s="4" t="str">
        <f>IF(Table2[[#This Row],[!Type]]=L$1, L$1,"rg:None")</f>
        <v>rg:None</v>
      </c>
      <c r="M18" s="4" t="str">
        <f>IF(Table2[[#This Row],[!Type]]=M$1, M$1,"rg:None")</f>
        <v>rg:None</v>
      </c>
      <c r="N18" s="4" t="str">
        <f>IF(Table2[[#This Row],[!Type]]=N$1, N$1,"rg:None")</f>
        <v>rg:None</v>
      </c>
      <c r="O18" s="4" t="str">
        <f>IF(Table2[[#This Row],[!Type]]=O$1, O$1,"rg:None")</f>
        <v>rg:None</v>
      </c>
      <c r="P18" s="4" t="str">
        <f>IF(Table2[[#This Row],[!Type]]=P$1, P$1,"rg:None")</f>
        <v>rg:None</v>
      </c>
      <c r="Q18" s="4" t="str">
        <f>IF(Table2[[#This Row],[!Type]]=Q$1, Q$1,"rg:None")</f>
        <v>rg:None</v>
      </c>
      <c r="R18" s="4" t="str">
        <f>IF(Table2[[#This Row],[!Type]]=R$1, R$1,"rg:None")</f>
        <v>string</v>
      </c>
      <c r="S18" s="4" t="str">
        <f>IF(Table2[[#This Row],[!Type]]=S$1, S$1,"rg:None")</f>
        <v>rg:None</v>
      </c>
      <c r="T18" s="4">
        <f>IF(LEN(Table2[[#This Row],[!Length]]) &gt; 0, Table2[[#This Row],[!Length]], "rg:None")</f>
        <v>50</v>
      </c>
      <c r="U18" s="4" t="str">
        <f>IF(LEN(Table2[[#This Row],[!Name]]) &gt; 0, Table2[[#This Row],[!Name]], "rg:None")</f>
        <v>status</v>
      </c>
      <c r="V18" s="4" t="str">
        <f>IF(LEN(Table2[[#This Row],[!Description]]) &gt; 0, Table2[[#This Row],[!Description]], "rg:None")</f>
        <v>The status of the Rental Request - whether it in progress, completed or was cancelled.</v>
      </c>
      <c r="W18" s="4" t="str">
        <f>IF(LEN(Table2[[#This Row],[!FK]])&gt;0,Table2[[#This Row],[!FK]],"rg:None")</f>
        <v>rg:None</v>
      </c>
      <c r="X18" s="14" t="str">
        <f>IF(LEN(concatif2(A:A,Table2[[#This Row],[!Table]],G:G,"Y",D:D,",")) &gt; 0,"rg:[ { 'req' : '"&amp;concatif2(A:A,Table2[[#This Row],[!Table]],G:G,"Y",D:D,"' }, { 'req': '")&amp;"'} ]","rg:[]")</f>
        <v>rg:[ { 'req' : 'id' }, { 'req': 'project' }, { 'req': 'localArea' }, { 'req': 'status' }, { 'req': 'districtEquipmentType' }, { 'req': 'equipmentCount'} ]</v>
      </c>
      <c r="Y18" s="4" t="str">
        <f>IF(LEN(Table2[[#This Row],[!Unique]])&gt;0,IF(Table2[[#This Row],[!Type]] = "id", "rg:None","rg:True"),"rg:None")</f>
        <v>rg:None</v>
      </c>
    </row>
    <row r="19" spans="1:25" x14ac:dyDescent="0.35">
      <c r="A19" s="66" t="s">
        <v>420</v>
      </c>
      <c r="B19" s="26" t="s">
        <v>8</v>
      </c>
      <c r="C19" s="72"/>
      <c r="D19" s="137" t="s">
        <v>560</v>
      </c>
      <c r="E19" s="130" t="s">
        <v>526</v>
      </c>
      <c r="F19" s="137" t="s">
        <v>554</v>
      </c>
      <c r="G19" s="154" t="s">
        <v>59</v>
      </c>
      <c r="H19" s="18"/>
      <c r="I19" s="4" t="str">
        <f t="shared" si="0"/>
        <v>Defs</v>
      </c>
      <c r="J19" s="4" t="str">
        <f>IF(Table2[[#This Row],[!Type]]=J$1, J$1,"rg:None")</f>
        <v>rg:None</v>
      </c>
      <c r="K19" s="4" t="str">
        <f>IF(Table2[[#This Row],[!Type]]=K$1, K$1,"rg:None")</f>
        <v>rg:None</v>
      </c>
      <c r="L19" s="4" t="str">
        <f>IF(Table2[[#This Row],[!Type]]=L$1, L$1,"rg:None")</f>
        <v>rg:None</v>
      </c>
      <c r="M19" s="4" t="str">
        <f>IF(Table2[[#This Row],[!Type]]=M$1, M$1,"rg:None")</f>
        <v>rg:None</v>
      </c>
      <c r="N19" s="4" t="str">
        <f>IF(Table2[[#This Row],[!Type]]=N$1, N$1,"rg:None")</f>
        <v>rg:None</v>
      </c>
      <c r="O19" s="4" t="str">
        <f>IF(Table2[[#This Row],[!Type]]=O$1, O$1,"rg:None")</f>
        <v>rg:None</v>
      </c>
      <c r="P19" s="4" t="str">
        <f>IF(Table2[[#This Row],[!Type]]=P$1, P$1,"rg:None")</f>
        <v>rg:None</v>
      </c>
      <c r="Q19" s="4" t="str">
        <f>IF(Table2[[#This Row],[!Type]]=Q$1, Q$1,"rg:None")</f>
        <v>ref</v>
      </c>
      <c r="R19" s="4" t="str">
        <f>IF(Table2[[#This Row],[!Type]]=R$1, R$1,"rg:None")</f>
        <v>rg:None</v>
      </c>
      <c r="S19" s="4" t="str">
        <f>IF(Table2[[#This Row],[!Type]]=S$1, S$1,"rg:None")</f>
        <v>rg:None</v>
      </c>
      <c r="T19" s="4" t="str">
        <f>IF(LEN(Table2[[#This Row],[!Length]]) &gt; 0, Table2[[#This Row],[!Length]], "rg:None")</f>
        <v>rg:None</v>
      </c>
      <c r="U19" s="4" t="str">
        <f>IF(LEN(Table2[[#This Row],[!Name]]) &gt; 0, Table2[[#This Row],[!Name]], "rg:None")</f>
        <v>districtEquipmentType</v>
      </c>
      <c r="V19" s="4" t="str">
        <f>IF(LEN(Table2[[#This Row],[!Description]]) &gt; 0, Table2[[#This Row],[!Description]], "rg:None")</f>
        <v>A foreign key reference to the system-generated unique identifier for an Equipment Type</v>
      </c>
      <c r="W19" s="4" t="str">
        <f>IF(LEN(Table2[[#This Row],[!FK]])&gt;0,Table2[[#This Row],[!FK]],"rg:None")</f>
        <v>DistrictEquipmentType</v>
      </c>
      <c r="X19" s="14" t="str">
        <f>IF(LEN(concatif2(A:A,Table2[[#This Row],[!Table]],G:G,"Y",D:D,",")) &gt; 0,"rg:[ { 'req' : '"&amp;concatif2(A:A,Table2[[#This Row],[!Table]],G:G,"Y",D:D,"' }, { 'req': '")&amp;"'} ]","rg:[]")</f>
        <v>rg:[ { 'req' : 'id' }, { 'req': 'project' }, { 'req': 'localArea' }, { 'req': 'status' }, { 'req': 'districtEquipmentType' }, { 'req': 'equipmentCount'} ]</v>
      </c>
      <c r="Y19" s="4" t="str">
        <f>IF(LEN(Table2[[#This Row],[!Unique]])&gt;0,IF(Table2[[#This Row],[!Type]] = "id", "rg:None","rg:True"),"rg:None")</f>
        <v>rg:None</v>
      </c>
    </row>
    <row r="20" spans="1:25" x14ac:dyDescent="0.35">
      <c r="A20" s="66" t="s">
        <v>420</v>
      </c>
      <c r="B20" s="26" t="s">
        <v>13</v>
      </c>
      <c r="C20" s="72"/>
      <c r="D20" s="26" t="s">
        <v>189</v>
      </c>
      <c r="E20" s="60" t="s">
        <v>374</v>
      </c>
      <c r="F20" s="12"/>
      <c r="G20" s="154" t="s">
        <v>59</v>
      </c>
      <c r="H20" s="18"/>
      <c r="I20" s="4" t="str">
        <f t="shared" ref="I20:I27" si="1">IF(LEN(A20) &gt; 0,"Defs","-")</f>
        <v>Defs</v>
      </c>
      <c r="J20" s="4" t="str">
        <f>IF(Table2[[#This Row],[!Type]]=J$1, J$1,"rg:None")</f>
        <v>rg:None</v>
      </c>
      <c r="K20" s="4" t="str">
        <f>IF(Table2[[#This Row],[!Type]]=K$1, K$1,"rg:None")</f>
        <v>rg:None</v>
      </c>
      <c r="L20" s="4" t="str">
        <f>IF(Table2[[#This Row],[!Type]]=L$1, L$1,"rg:None")</f>
        <v>rg:None</v>
      </c>
      <c r="M20" s="4" t="str">
        <f>IF(Table2[[#This Row],[!Type]]=M$1, M$1,"rg:None")</f>
        <v>rg:None</v>
      </c>
      <c r="N20" s="4" t="str">
        <f>IF(Table2[[#This Row],[!Type]]=N$1, N$1,"rg:None")</f>
        <v>integer</v>
      </c>
      <c r="O20" s="4" t="str">
        <f>IF(Table2[[#This Row],[!Type]]=O$1, O$1,"rg:None")</f>
        <v>rg:None</v>
      </c>
      <c r="P20" s="4" t="str">
        <f>IF(Table2[[#This Row],[!Type]]=P$1, P$1,"rg:None")</f>
        <v>rg:None</v>
      </c>
      <c r="Q20" s="4" t="str">
        <f>IF(Table2[[#This Row],[!Type]]=Q$1, Q$1,"rg:None")</f>
        <v>rg:None</v>
      </c>
      <c r="R20" s="4" t="str">
        <f>IF(Table2[[#This Row],[!Type]]=R$1, R$1,"rg:None")</f>
        <v>rg:None</v>
      </c>
      <c r="S20" s="4" t="str">
        <f>IF(Table2[[#This Row],[!Type]]=S$1, S$1,"rg:None")</f>
        <v>rg:None</v>
      </c>
      <c r="T20" s="4" t="str">
        <f>IF(LEN(Table2[[#This Row],[!Length]]) &gt; 0, Table2[[#This Row],[!Length]], "rg:None")</f>
        <v>rg:None</v>
      </c>
      <c r="U20" s="4" t="str">
        <f>IF(LEN(Table2[[#This Row],[!Name]]) &gt; 0, Table2[[#This Row],[!Name]], "rg:None")</f>
        <v>equipmentCount</v>
      </c>
      <c r="V20" s="4" t="str">
        <f>IF(LEN(Table2[[#This Row],[!Description]]) &gt; 0, Table2[[#This Row],[!Description]], "rg:None")</f>
        <v>The number of pieces of the equipment type wanted for hire as part of this request.</v>
      </c>
      <c r="W20" s="4" t="str">
        <f>IF(LEN(Table2[[#This Row],[!FK]])&gt;0,Table2[[#This Row],[!FK]],"rg:None")</f>
        <v>rg:None</v>
      </c>
      <c r="X20" s="14" t="str">
        <f>IF(LEN(concatif2(A:A,Table2[[#This Row],[!Table]],G:G,"Y",D:D,",")) &gt; 0,"rg:[ { 'req' : '"&amp;concatif2(A:A,Table2[[#This Row],[!Table]],G:G,"Y",D:D,"' }, { 'req': '")&amp;"'} ]","rg:[]")</f>
        <v>rg:[ { 'req' : 'id' }, { 'req': 'project' }, { 'req': 'localArea' }, { 'req': 'status' }, { 'req': 'districtEquipmentType' }, { 'req': 'equipmentCount'} ]</v>
      </c>
      <c r="Y20" s="4" t="str">
        <f>IF(LEN(Table2[[#This Row],[!Unique]])&gt;0,IF(Table2[[#This Row],[!Type]] = "id", "rg:None","rg:True"),"rg:None")</f>
        <v>rg:None</v>
      </c>
    </row>
    <row r="21" spans="1:25" ht="28.8" x14ac:dyDescent="0.35">
      <c r="A21" s="66" t="s">
        <v>420</v>
      </c>
      <c r="B21" s="26" t="s">
        <v>13</v>
      </c>
      <c r="C21" s="72"/>
      <c r="D21" s="26" t="s">
        <v>190</v>
      </c>
      <c r="E21" s="49" t="s">
        <v>252</v>
      </c>
      <c r="F21" s="12"/>
      <c r="G21" s="18"/>
      <c r="H21" s="18"/>
      <c r="I21" s="4" t="str">
        <f>IF(LEN(A21) &gt; 0,"Defs","-")</f>
        <v>Defs</v>
      </c>
      <c r="J21" s="4" t="str">
        <f>IF(Table2[[#This Row],[!Type]]=J$1, J$1,"rg:None")</f>
        <v>rg:None</v>
      </c>
      <c r="K21" s="4" t="str">
        <f>IF(Table2[[#This Row],[!Type]]=K$1, K$1,"rg:None")</f>
        <v>rg:None</v>
      </c>
      <c r="L21" s="4" t="str">
        <f>IF(Table2[[#This Row],[!Type]]=L$1, L$1,"rg:None")</f>
        <v>rg:None</v>
      </c>
      <c r="M21" s="4" t="str">
        <f>IF(Table2[[#This Row],[!Type]]=M$1, M$1,"rg:None")</f>
        <v>rg:None</v>
      </c>
      <c r="N21" s="4" t="str">
        <f>IF(Table2[[#This Row],[!Type]]=N$1, N$1,"rg:None")</f>
        <v>integer</v>
      </c>
      <c r="O21" s="4" t="str">
        <f>IF(Table2[[#This Row],[!Type]]=O$1, O$1,"rg:None")</f>
        <v>rg:None</v>
      </c>
      <c r="P21" s="4" t="str">
        <f>IF(Table2[[#This Row],[!Type]]=P$1, P$1,"rg:None")</f>
        <v>rg:None</v>
      </c>
      <c r="Q21" s="4" t="str">
        <f>IF(Table2[[#This Row],[!Type]]=Q$1, Q$1,"rg:None")</f>
        <v>rg:None</v>
      </c>
      <c r="R21" s="4" t="str">
        <f>IF(Table2[[#This Row],[!Type]]=R$1, R$1,"rg:None")</f>
        <v>rg:None</v>
      </c>
      <c r="S21" s="4" t="str">
        <f>IF(Table2[[#This Row],[!Type]]=S$1, S$1,"rg:None")</f>
        <v>rg:None</v>
      </c>
      <c r="T21" s="4" t="str">
        <f>IF(LEN(Table2[[#This Row],[!Length]]) &gt; 0, Table2[[#This Row],[!Length]], "rg:None")</f>
        <v>rg:None</v>
      </c>
      <c r="U21" s="4" t="str">
        <f>IF(LEN(Table2[[#This Row],[!Name]]) &gt; 0, Table2[[#This Row],[!Name]], "rg:None")</f>
        <v>expectedHours</v>
      </c>
      <c r="V21" s="4" t="str">
        <f>IF(LEN(Table2[[#This Row],[!Description]]) &gt; 0, Table2[[#This Row],[!Description]], "rg:None")</f>
        <v xml:space="preserve">The expected number of rental hours for each piece equipment hired against this request, as provided by the Project Manager making the request. </v>
      </c>
      <c r="W21" s="4" t="str">
        <f>IF(LEN(Table2[[#This Row],[!FK]])&gt;0,Table2[[#This Row],[!FK]],"rg:None")</f>
        <v>rg:None</v>
      </c>
      <c r="X21" s="14" t="str">
        <f>IF(LEN(concatif2(A:A,Table2[[#This Row],[!Table]],G:G,"Y",D:D,",")) &gt; 0,"rg:[ { 'req' : '"&amp;concatif2(A:A,Table2[[#This Row],[!Table]],G:G,"Y",D:D,"' }, { 'req': '")&amp;"'} ]","rg:[]")</f>
        <v>rg:[ { 'req' : 'id' }, { 'req': 'project' }, { 'req': 'localArea' }, { 'req': 'status' }, { 'req': 'districtEquipmentType' }, { 'req': 'equipmentCount'} ]</v>
      </c>
      <c r="Y21" s="4" t="str">
        <f>IF(LEN(Table2[[#This Row],[!Unique]])&gt;0,IF(Table2[[#This Row],[!Type]] = "id", "rg:None","rg:True"),"rg:None")</f>
        <v>rg:None</v>
      </c>
    </row>
    <row r="22" spans="1:25" ht="28.8" x14ac:dyDescent="0.35">
      <c r="A22" s="66" t="s">
        <v>420</v>
      </c>
      <c r="B22" s="26" t="s">
        <v>12</v>
      </c>
      <c r="C22" s="72"/>
      <c r="D22" s="26" t="s">
        <v>191</v>
      </c>
      <c r="E22" s="49" t="s">
        <v>251</v>
      </c>
      <c r="F22" s="12"/>
      <c r="G22" s="18"/>
      <c r="H22" s="18"/>
      <c r="I22" s="4" t="str">
        <f>IF(LEN(A22) &gt; 0,"Defs","-")</f>
        <v>Defs</v>
      </c>
      <c r="J22" s="4" t="str">
        <f>IF(Table2[[#This Row],[!Type]]=J$1, J$1,"rg:None")</f>
        <v>rg:None</v>
      </c>
      <c r="K22" s="4" t="str">
        <f>IF(Table2[[#This Row],[!Type]]=K$1, K$1,"rg:None")</f>
        <v>rg:None</v>
      </c>
      <c r="L22" s="4" t="str">
        <f>IF(Table2[[#This Row],[!Type]]=L$1, L$1,"rg:None")</f>
        <v>datetime</v>
      </c>
      <c r="M22" s="4" t="str">
        <f>IF(Table2[[#This Row],[!Type]]=M$1, M$1,"rg:None")</f>
        <v>rg:None</v>
      </c>
      <c r="N22" s="4" t="str">
        <f>IF(Table2[[#This Row],[!Type]]=N$1, N$1,"rg:None")</f>
        <v>rg:None</v>
      </c>
      <c r="O22" s="4" t="str">
        <f>IF(Table2[[#This Row],[!Type]]=O$1, O$1,"rg:None")</f>
        <v>rg:None</v>
      </c>
      <c r="P22" s="4" t="str">
        <f>IF(Table2[[#This Row],[!Type]]=P$1, P$1,"rg:None")</f>
        <v>rg:None</v>
      </c>
      <c r="Q22" s="4" t="str">
        <f>IF(Table2[[#This Row],[!Type]]=Q$1, Q$1,"rg:None")</f>
        <v>rg:None</v>
      </c>
      <c r="R22" s="4" t="str">
        <f>IF(Table2[[#This Row],[!Type]]=R$1, R$1,"rg:None")</f>
        <v>rg:None</v>
      </c>
      <c r="S22" s="4" t="str">
        <f>IF(Table2[[#This Row],[!Type]]=S$1, S$1,"rg:None")</f>
        <v>rg:None</v>
      </c>
      <c r="T22" s="4" t="str">
        <f>IF(LEN(Table2[[#This Row],[!Length]]) &gt; 0, Table2[[#This Row],[!Length]], "rg:None")</f>
        <v>rg:None</v>
      </c>
      <c r="U22" s="4" t="str">
        <f>IF(LEN(Table2[[#This Row],[!Name]]) &gt; 0, Table2[[#This Row],[!Name]], "rg:None")</f>
        <v>expectedStartDate</v>
      </c>
      <c r="V22" s="4" t="str">
        <f>IF(LEN(Table2[[#This Row],[!Description]]) &gt; 0, Table2[[#This Row],[!Description]], "rg:None")</f>
        <v>The expected start date of each piece of equipment hired against this request, as provided by the Project Manager making the request.</v>
      </c>
      <c r="W22" s="4" t="str">
        <f>IF(LEN(Table2[[#This Row],[!FK]])&gt;0,Table2[[#This Row],[!FK]],"rg:None")</f>
        <v>rg:None</v>
      </c>
      <c r="X22" s="14" t="str">
        <f>IF(LEN(concatif2(A:A,Table2[[#This Row],[!Table]],G:G,"Y",D:D,",")) &gt; 0,"rg:[ { 'req' : '"&amp;concatif2(A:A,Table2[[#This Row],[!Table]],G:G,"Y",D:D,"' }, { 'req': '")&amp;"'} ]","rg:[]")</f>
        <v>rg:[ { 'req' : 'id' }, { 'req': 'project' }, { 'req': 'localArea' }, { 'req': 'status' }, { 'req': 'districtEquipmentType' }, { 'req': 'equipmentCount'} ]</v>
      </c>
      <c r="Y22" s="4" t="str">
        <f>IF(LEN(Table2[[#This Row],[!Unique]])&gt;0,IF(Table2[[#This Row],[!Type]] = "id", "rg:None","rg:True"),"rg:None")</f>
        <v>rg:None</v>
      </c>
    </row>
    <row r="23" spans="1:25" ht="28.8" x14ac:dyDescent="0.35">
      <c r="A23" s="66" t="s">
        <v>420</v>
      </c>
      <c r="B23" s="26" t="s">
        <v>12</v>
      </c>
      <c r="C23" s="72"/>
      <c r="D23" s="26" t="s">
        <v>192</v>
      </c>
      <c r="E23" s="49" t="s">
        <v>250</v>
      </c>
      <c r="F23" s="12"/>
      <c r="G23" s="18"/>
      <c r="H23" s="18"/>
      <c r="I23" s="4" t="str">
        <f t="shared" si="1"/>
        <v>Defs</v>
      </c>
      <c r="J23" s="4" t="str">
        <f>IF(Table2[[#This Row],[!Type]]=J$1, J$1,"rg:None")</f>
        <v>rg:None</v>
      </c>
      <c r="K23" s="4" t="str">
        <f>IF(Table2[[#This Row],[!Type]]=K$1, K$1,"rg:None")</f>
        <v>rg:None</v>
      </c>
      <c r="L23" s="4" t="str">
        <f>IF(Table2[[#This Row],[!Type]]=L$1, L$1,"rg:None")</f>
        <v>datetime</v>
      </c>
      <c r="M23" s="4" t="str">
        <f>IF(Table2[[#This Row],[!Type]]=M$1, M$1,"rg:None")</f>
        <v>rg:None</v>
      </c>
      <c r="N23" s="4" t="str">
        <f>IF(Table2[[#This Row],[!Type]]=N$1, N$1,"rg:None")</f>
        <v>rg:None</v>
      </c>
      <c r="O23" s="4" t="str">
        <f>IF(Table2[[#This Row],[!Type]]=O$1, O$1,"rg:None")</f>
        <v>rg:None</v>
      </c>
      <c r="P23" s="4" t="str">
        <f>IF(Table2[[#This Row],[!Type]]=P$1, P$1,"rg:None")</f>
        <v>rg:None</v>
      </c>
      <c r="Q23" s="4" t="str">
        <f>IF(Table2[[#This Row],[!Type]]=Q$1, Q$1,"rg:None")</f>
        <v>rg:None</v>
      </c>
      <c r="R23" s="4" t="str">
        <f>IF(Table2[[#This Row],[!Type]]=R$1, R$1,"rg:None")</f>
        <v>rg:None</v>
      </c>
      <c r="S23" s="4" t="str">
        <f>IF(Table2[[#This Row],[!Type]]=S$1, S$1,"rg:None")</f>
        <v>rg:None</v>
      </c>
      <c r="T23" s="4" t="str">
        <f>IF(LEN(Table2[[#This Row],[!Length]]) &gt; 0, Table2[[#This Row],[!Length]], "rg:None")</f>
        <v>rg:None</v>
      </c>
      <c r="U23" s="4" t="str">
        <f>IF(LEN(Table2[[#This Row],[!Name]]) &gt; 0, Table2[[#This Row],[!Name]], "rg:None")</f>
        <v>expectedEndDate</v>
      </c>
      <c r="V23" s="4" t="str">
        <f>IF(LEN(Table2[[#This Row],[!Description]]) &gt; 0, Table2[[#This Row],[!Description]], "rg:None")</f>
        <v>The expected end date of each piece of equipment hired against this request, as provided by the Project Manager making the request.</v>
      </c>
      <c r="W23" s="4" t="str">
        <f>IF(LEN(Table2[[#This Row],[!FK]])&gt;0,Table2[[#This Row],[!FK]],"rg:None")</f>
        <v>rg:None</v>
      </c>
      <c r="X23" s="14" t="str">
        <f>IF(LEN(concatif2(A:A,Table2[[#This Row],[!Table]],G:G,"Y",D:D,",")) &gt; 0,"rg:[ { 'req' : '"&amp;concatif2(A:A,Table2[[#This Row],[!Table]],G:G,"Y",D:D,"' }, { 'req': '")&amp;"'} ]","rg:[]")</f>
        <v>rg:[ { 'req' : 'id' }, { 'req': 'project' }, { 'req': 'localArea' }, { 'req': 'status' }, { 'req': 'districtEquipmentType' }, { 'req': 'equipmentCount'} ]</v>
      </c>
      <c r="Y23" s="4" t="str">
        <f>IF(LEN(Table2[[#This Row],[!Unique]])&gt;0,IF(Table2[[#This Row],[!Type]] = "id", "rg:None","rg:True"),"rg:None")</f>
        <v>rg:None</v>
      </c>
    </row>
    <row r="24" spans="1:25" x14ac:dyDescent="0.35">
      <c r="A24" s="66" t="s">
        <v>420</v>
      </c>
      <c r="B24" s="61" t="s">
        <v>8</v>
      </c>
      <c r="C24" s="72"/>
      <c r="D24" s="61" t="s">
        <v>375</v>
      </c>
      <c r="E24" s="60" t="s">
        <v>376</v>
      </c>
      <c r="F24" s="62" t="s">
        <v>176</v>
      </c>
      <c r="G24" s="18"/>
      <c r="H24" s="18"/>
      <c r="I24" s="4" t="str">
        <f>IF(LEN(A24) &gt; 0,"Defs","-")</f>
        <v>Defs</v>
      </c>
      <c r="J24" s="4" t="str">
        <f>IF(Table2[[#This Row],[!Type]]=J$1, J$1,"rg:None")</f>
        <v>rg:None</v>
      </c>
      <c r="K24" s="4" t="str">
        <f>IF(Table2[[#This Row],[!Type]]=K$1, K$1,"rg:None")</f>
        <v>rg:None</v>
      </c>
      <c r="L24" s="4" t="str">
        <f>IF(Table2[[#This Row],[!Type]]=L$1, L$1,"rg:None")</f>
        <v>rg:None</v>
      </c>
      <c r="M24" s="4" t="str">
        <f>IF(Table2[[#This Row],[!Type]]=M$1, M$1,"rg:None")</f>
        <v>rg:None</v>
      </c>
      <c r="N24" s="4" t="str">
        <f>IF(Table2[[#This Row],[!Type]]=N$1, N$1,"rg:None")</f>
        <v>rg:None</v>
      </c>
      <c r="O24" s="4" t="str">
        <f>IF(Table2[[#This Row],[!Type]]=O$1, O$1,"rg:None")</f>
        <v>rg:None</v>
      </c>
      <c r="P24" s="4" t="str">
        <f>IF(Table2[[#This Row],[!Type]]=P$1, P$1,"rg:None")</f>
        <v>rg:None</v>
      </c>
      <c r="Q24" s="4" t="str">
        <f>IF(Table2[[#This Row],[!Type]]=Q$1, Q$1,"rg:None")</f>
        <v>ref</v>
      </c>
      <c r="R24" s="4" t="str">
        <f>IF(Table2[[#This Row],[!Type]]=R$1, R$1,"rg:None")</f>
        <v>rg:None</v>
      </c>
      <c r="S24" s="4" t="str">
        <f>IF(Table2[[#This Row],[!Type]]=S$1, S$1,"rg:None")</f>
        <v>rg:None</v>
      </c>
      <c r="T24" s="4" t="str">
        <f>IF(LEN(Table2[[#This Row],[!Length]]) &gt; 0, Table2[[#This Row],[!Length]], "rg:None")</f>
        <v>rg:None</v>
      </c>
      <c r="U24" s="4" t="str">
        <f>IF(LEN(Table2[[#This Row],[!Name]]) &gt; 0, Table2[[#This Row],[!Name]], "rg:None")</f>
        <v>firstOnRotationList</v>
      </c>
      <c r="V24" s="4" t="str">
        <f>IF(LEN(Table2[[#This Row],[!Description]]) &gt; 0, Table2[[#This Row],[!Description]], "rg:None")</f>
        <v>The first piece of equipment on the rotation list at the time of the creation of the request.</v>
      </c>
      <c r="W24" s="4" t="str">
        <f>IF(LEN(Table2[[#This Row],[!FK]])&gt;0,Table2[[#This Row],[!FK]],"rg:None")</f>
        <v>Equipment</v>
      </c>
      <c r="X24" s="14" t="str">
        <f>IF(LEN(concatif2(A:A,Table2[[#This Row],[!Table]],G:G,"Y",D:D,",")) &gt; 0,"rg:[ { 'req' : '"&amp;concatif2(A:A,Table2[[#This Row],[!Table]],G:G,"Y",D:D,"' }, { 'req': '")&amp;"'} ]","rg:[]")</f>
        <v>rg:[ { 'req' : 'id' }, { 'req': 'project' }, { 'req': 'localArea' }, { 'req': 'status' }, { 'req': 'districtEquipmentType' }, { 'req': 'equipmentCount'} ]</v>
      </c>
      <c r="Y24" s="4" t="str">
        <f>IF(LEN(Table2[[#This Row],[!Unique]])&gt;0,IF(Table2[[#This Row],[!Type]] = "id", "rg:None","rg:True"),"rg:None")</f>
        <v>rg:None</v>
      </c>
    </row>
    <row r="25" spans="1:25" x14ac:dyDescent="0.35">
      <c r="A25" s="66" t="s">
        <v>420</v>
      </c>
      <c r="B25" s="21" t="s">
        <v>19</v>
      </c>
      <c r="C25" s="72"/>
      <c r="D25" s="21" t="s">
        <v>161</v>
      </c>
      <c r="E25" s="47"/>
      <c r="F25" s="22" t="s">
        <v>143</v>
      </c>
      <c r="G25" s="18"/>
      <c r="H25" s="18"/>
      <c r="I25" s="4" t="str">
        <f t="shared" si="1"/>
        <v>Defs</v>
      </c>
      <c r="J25" s="4" t="str">
        <f>IF(Table2[[#This Row],[!Type]]=J$1, J$1,"rg:None")</f>
        <v>rg:None</v>
      </c>
      <c r="K25" s="4" t="str">
        <f>IF(Table2[[#This Row],[!Type]]=K$1, K$1,"rg:None")</f>
        <v>rg:None</v>
      </c>
      <c r="L25" s="4" t="str">
        <f>IF(Table2[[#This Row],[!Type]]=L$1, L$1,"rg:None")</f>
        <v>rg:None</v>
      </c>
      <c r="M25" s="4" t="str">
        <f>IF(Table2[[#This Row],[!Type]]=M$1, M$1,"rg:None")</f>
        <v>rg:None</v>
      </c>
      <c r="N25" s="4" t="str">
        <f>IF(Table2[[#This Row],[!Type]]=N$1, N$1,"rg:None")</f>
        <v>rg:None</v>
      </c>
      <c r="O25" s="4" t="str">
        <f>IF(Table2[[#This Row],[!Type]]=O$1, O$1,"rg:None")</f>
        <v>rg:None</v>
      </c>
      <c r="P25" s="4" t="str">
        <f>IF(Table2[[#This Row],[!Type]]=P$1, P$1,"rg:None")</f>
        <v>links</v>
      </c>
      <c r="Q25" s="4" t="str">
        <f>IF(Table2[[#This Row],[!Type]]=Q$1, Q$1,"rg:None")</f>
        <v>rg:None</v>
      </c>
      <c r="R25" s="4" t="str">
        <f>IF(Table2[[#This Row],[!Type]]=R$1, R$1,"rg:None")</f>
        <v>rg:None</v>
      </c>
      <c r="S25" s="4" t="str">
        <f>IF(Table2[[#This Row],[!Type]]=S$1, S$1,"rg:None")</f>
        <v>rg:None</v>
      </c>
      <c r="T25" s="4" t="str">
        <f>IF(LEN(Table2[[#This Row],[!Length]]) &gt; 0, Table2[[#This Row],[!Length]], "rg:None")</f>
        <v>rg:None</v>
      </c>
      <c r="U25" s="4" t="str">
        <f>IF(LEN(Table2[[#This Row],[!Name]]) &gt; 0, Table2[[#This Row],[!Name]], "rg:None")</f>
        <v>notes</v>
      </c>
      <c r="V25" s="4" t="str">
        <f>IF(LEN(Table2[[#This Row],[!Description]]) &gt; 0, Table2[[#This Row],[!Description]], "rg:None")</f>
        <v>rg:None</v>
      </c>
      <c r="W25" s="4" t="str">
        <f>IF(LEN(Table2[[#This Row],[!FK]])&gt;0,Table2[[#This Row],[!FK]],"rg:None")</f>
        <v>Note</v>
      </c>
      <c r="X25" s="14" t="str">
        <f>IF(LEN(concatif2(A:A,Table2[[#This Row],[!Table]],G:G,"Y",D:D,",")) &gt; 0,"rg:[ { 'req' : '"&amp;concatif2(A:A,Table2[[#This Row],[!Table]],G:G,"Y",D:D,"' }, { 'req': '")&amp;"'} ]","rg:[]")</f>
        <v>rg:[ { 'req' : 'id' }, { 'req': 'project' }, { 'req': 'localArea' }, { 'req': 'status' }, { 'req': 'districtEquipmentType' }, { 'req': 'equipmentCount'} ]</v>
      </c>
      <c r="Y25" s="4" t="str">
        <f>IF(LEN(Table2[[#This Row],[!Unique]])&gt;0,IF(Table2[[#This Row],[!Type]] = "id", "rg:None","rg:True"),"rg:None")</f>
        <v>rg:None</v>
      </c>
    </row>
    <row r="26" spans="1:25" x14ac:dyDescent="0.35">
      <c r="A26" s="158" t="s">
        <v>420</v>
      </c>
      <c r="B26" s="21" t="s">
        <v>19</v>
      </c>
      <c r="C26" s="72"/>
      <c r="D26" s="159" t="s">
        <v>172</v>
      </c>
      <c r="E26" s="47"/>
      <c r="F26" s="81" t="s">
        <v>155</v>
      </c>
      <c r="G26" s="18"/>
      <c r="H26" s="18"/>
      <c r="I26" s="4" t="str">
        <f t="shared" si="1"/>
        <v>Defs</v>
      </c>
      <c r="J26" s="4" t="str">
        <f>IF(Table2[[#This Row],[!Type]]=J$1, J$1,"rg:None")</f>
        <v>rg:None</v>
      </c>
      <c r="K26" s="4" t="str">
        <f>IF(Table2[[#This Row],[!Type]]=K$1, K$1,"rg:None")</f>
        <v>rg:None</v>
      </c>
      <c r="L26" s="4" t="str">
        <f>IF(Table2[[#This Row],[!Type]]=L$1, L$1,"rg:None")</f>
        <v>rg:None</v>
      </c>
      <c r="M26" s="4" t="str">
        <f>IF(Table2[[#This Row],[!Type]]=M$1, M$1,"rg:None")</f>
        <v>rg:None</v>
      </c>
      <c r="N26" s="4" t="str">
        <f>IF(Table2[[#This Row],[!Type]]=N$1, N$1,"rg:None")</f>
        <v>rg:None</v>
      </c>
      <c r="O26" s="4" t="str">
        <f>IF(Table2[[#This Row],[!Type]]=O$1, O$1,"rg:None")</f>
        <v>rg:None</v>
      </c>
      <c r="P26" s="4" t="str">
        <f>IF(Table2[[#This Row],[!Type]]=P$1, P$1,"rg:None")</f>
        <v>links</v>
      </c>
      <c r="Q26" s="4" t="str">
        <f>IF(Table2[[#This Row],[!Type]]=Q$1, Q$1,"rg:None")</f>
        <v>rg:None</v>
      </c>
      <c r="R26" s="4" t="str">
        <f>IF(Table2[[#This Row],[!Type]]=R$1, R$1,"rg:None")</f>
        <v>rg:None</v>
      </c>
      <c r="S26" s="4" t="str">
        <f>IF(Table2[[#This Row],[!Type]]=S$1, S$1,"rg:None")</f>
        <v>rg:None</v>
      </c>
      <c r="T26" s="4" t="str">
        <f>IF(LEN(Table2[[#This Row],[!Length]]) &gt; 0, Table2[[#This Row],[!Length]], "rg:None")</f>
        <v>rg:None</v>
      </c>
      <c r="U26" s="4" t="str">
        <f>IF(LEN(Table2[[#This Row],[!Name]]) &gt; 0, Table2[[#This Row],[!Name]], "rg:None")</f>
        <v>attachments</v>
      </c>
      <c r="V26" s="4" t="str">
        <f>IF(LEN(Table2[[#This Row],[!Description]]) &gt; 0, Table2[[#This Row],[!Description]], "rg:None")</f>
        <v>rg:None</v>
      </c>
      <c r="W26" s="4" t="str">
        <f>IF(LEN(Table2[[#This Row],[!FK]])&gt;0,Table2[[#This Row],[!FK]],"rg:None")</f>
        <v>Attachment</v>
      </c>
      <c r="X26" s="14" t="str">
        <f>IF(LEN(concatif2(A:A,Table2[[#This Row],[!Table]],G:G,"Y",D:D,",")) &gt; 0,"rg:[ { 'req' : '"&amp;concatif2(A:A,Table2[[#This Row],[!Table]],G:G,"Y",D:D,"' }, { 'req': '")&amp;"'} ]","rg:[]")</f>
        <v>rg:[ { 'req' : 'id' }, { 'req': 'project' }, { 'req': 'localArea' }, { 'req': 'status' }, { 'req': 'districtEquipmentType' }, { 'req': 'equipmentCount'} ]</v>
      </c>
      <c r="Y26" s="4" t="str">
        <f>IF(LEN(Table2[[#This Row],[!Unique]])&gt;0,IF(Table2[[#This Row],[!Type]] = "id", "rg:None","rg:True"),"rg:None")</f>
        <v>rg:None</v>
      </c>
    </row>
    <row r="27" spans="1:25" x14ac:dyDescent="0.35">
      <c r="A27" s="66" t="s">
        <v>420</v>
      </c>
      <c r="B27" s="21" t="s">
        <v>19</v>
      </c>
      <c r="C27" s="72"/>
      <c r="D27" s="21" t="s">
        <v>174</v>
      </c>
      <c r="E27" s="47"/>
      <c r="F27" s="82" t="s">
        <v>157</v>
      </c>
      <c r="G27" s="18"/>
      <c r="H27" s="18"/>
      <c r="I27" s="4" t="str">
        <f t="shared" si="1"/>
        <v>Defs</v>
      </c>
      <c r="J27" s="4" t="str">
        <f>IF(Table2[[#This Row],[!Type]]=J$1, J$1,"rg:None")</f>
        <v>rg:None</v>
      </c>
      <c r="K27" s="4" t="str">
        <f>IF(Table2[[#This Row],[!Type]]=K$1, K$1,"rg:None")</f>
        <v>rg:None</v>
      </c>
      <c r="L27" s="4" t="str">
        <f>IF(Table2[[#This Row],[!Type]]=L$1, L$1,"rg:None")</f>
        <v>rg:None</v>
      </c>
      <c r="M27" s="4" t="str">
        <f>IF(Table2[[#This Row],[!Type]]=M$1, M$1,"rg:None")</f>
        <v>rg:None</v>
      </c>
      <c r="N27" s="4" t="str">
        <f>IF(Table2[[#This Row],[!Type]]=N$1, N$1,"rg:None")</f>
        <v>rg:None</v>
      </c>
      <c r="O27" s="4" t="str">
        <f>IF(Table2[[#This Row],[!Type]]=O$1, O$1,"rg:None")</f>
        <v>rg:None</v>
      </c>
      <c r="P27" s="4" t="str">
        <f>IF(Table2[[#This Row],[!Type]]=P$1, P$1,"rg:None")</f>
        <v>links</v>
      </c>
      <c r="Q27" s="4" t="str">
        <f>IF(Table2[[#This Row],[!Type]]=Q$1, Q$1,"rg:None")</f>
        <v>rg:None</v>
      </c>
      <c r="R27" s="4" t="str">
        <f>IF(Table2[[#This Row],[!Type]]=R$1, R$1,"rg:None")</f>
        <v>rg:None</v>
      </c>
      <c r="S27" s="4" t="str">
        <f>IF(Table2[[#This Row],[!Type]]=S$1, S$1,"rg:None")</f>
        <v>rg:None</v>
      </c>
      <c r="T27" s="4" t="str">
        <f>IF(LEN(Table2[[#This Row],[!Length]]) &gt; 0, Table2[[#This Row],[!Length]], "rg:None")</f>
        <v>rg:None</v>
      </c>
      <c r="U27" s="4" t="str">
        <f>IF(LEN(Table2[[#This Row],[!Name]]) &gt; 0, Table2[[#This Row],[!Name]], "rg:None")</f>
        <v>history</v>
      </c>
      <c r="V27" s="4" t="str">
        <f>IF(LEN(Table2[[#This Row],[!Description]]) &gt; 0, Table2[[#This Row],[!Description]], "rg:None")</f>
        <v>rg:None</v>
      </c>
      <c r="W27" s="4" t="str">
        <f>IF(LEN(Table2[[#This Row],[!FK]])&gt;0,Table2[[#This Row],[!FK]],"rg:None")</f>
        <v>History</v>
      </c>
      <c r="X27" s="14" t="str">
        <f>IF(LEN(concatif2(A:A,Table2[[#This Row],[!Table]],G:G,"Y",D:D,",")) &gt; 0,"rg:[ { 'req' : '"&amp;concatif2(A:A,Table2[[#This Row],[!Table]],G:G,"Y",D:D,"' }, { 'req': '")&amp;"'} ]","rg:[]")</f>
        <v>rg:[ { 'req' : 'id' }, { 'req': 'project' }, { 'req': 'localArea' }, { 'req': 'status' }, { 'req': 'districtEquipmentType' }, { 'req': 'equipmentCount'} ]</v>
      </c>
      <c r="Y27" s="4" t="str">
        <f>IF(LEN(Table2[[#This Row],[!Unique]])&gt;0,IF(Table2[[#This Row],[!Type]] = "id", "rg:None","rg:True"),"rg:None")</f>
        <v>rg:None</v>
      </c>
    </row>
    <row r="28" spans="1:25" x14ac:dyDescent="0.35">
      <c r="A28" s="73" t="s">
        <v>436</v>
      </c>
      <c r="B28" s="73" t="s">
        <v>4</v>
      </c>
      <c r="C28" s="72"/>
      <c r="D28" s="73" t="s">
        <v>436</v>
      </c>
      <c r="E28" s="74" t="s">
        <v>437</v>
      </c>
      <c r="F28" s="12"/>
      <c r="G28" s="18"/>
      <c r="H28" s="18"/>
      <c r="I28" s="4" t="str">
        <f t="shared" ref="I28:I31" si="2">IF(LEN(A28) &gt; 0,"Defs","-")</f>
        <v>Defs</v>
      </c>
      <c r="J28" s="4" t="str">
        <f>IF(Table2[[#This Row],[!Type]]=J$1, J$1,"rg:None")</f>
        <v>rg:None</v>
      </c>
      <c r="K28" s="4" t="str">
        <f>IF(Table2[[#This Row],[!Type]]=K$1, K$1,"rg:None")</f>
        <v>rg:None</v>
      </c>
      <c r="L28" s="4" t="str">
        <f>IF(Table2[[#This Row],[!Type]]=L$1, L$1,"rg:None")</f>
        <v>rg:None</v>
      </c>
      <c r="M28" s="4" t="str">
        <f>IF(Table2[[#This Row],[!Type]]=M$1, M$1,"rg:None")</f>
        <v>rg:None</v>
      </c>
      <c r="N28" s="4" t="str">
        <f>IF(Table2[[#This Row],[!Type]]=N$1, N$1,"rg:None")</f>
        <v>rg:None</v>
      </c>
      <c r="O28" s="4" t="str">
        <f>IF(Table2[[#This Row],[!Type]]=O$1, O$1,"rg:None")</f>
        <v>rg:None</v>
      </c>
      <c r="P28" s="4" t="str">
        <f>IF(Table2[[#This Row],[!Type]]=P$1, P$1,"rg:None")</f>
        <v>rg:None</v>
      </c>
      <c r="Q28" s="4" t="str">
        <f>IF(Table2[[#This Row],[!Type]]=Q$1, Q$1,"rg:None")</f>
        <v>rg:None</v>
      </c>
      <c r="R28" s="4" t="str">
        <f>IF(Table2[[#This Row],[!Type]]=R$1, R$1,"rg:None")</f>
        <v>rg:None</v>
      </c>
      <c r="S28" s="4" t="str">
        <f>IF(Table2[[#This Row],[!Type]]=S$1, S$1,"rg:None")</f>
        <v>table</v>
      </c>
      <c r="T28" s="4" t="str">
        <f>IF(LEN(Table2[[#This Row],[!Length]]) &gt; 0, Table2[[#This Row],[!Length]], "rg:None")</f>
        <v>rg:None</v>
      </c>
      <c r="U28" s="4" t="str">
        <f>IF(LEN(Table2[[#This Row],[!Name]]) &gt; 0, Table2[[#This Row],[!Name]], "rg:None")</f>
        <v>RentalRequestAttachment</v>
      </c>
      <c r="V28" s="4" t="str">
        <f>IF(LEN(Table2[[#This Row],[!Description]]) &gt; 0, Table2[[#This Row],[!Description]], "rg:None")</f>
        <v>Attachments that are required as part of the Rental Requests</v>
      </c>
      <c r="W28" s="4" t="str">
        <f>IF(LEN(Table2[[#This Row],[!FK]])&gt;0,Table2[[#This Row],[!FK]],"rg:None")</f>
        <v>rg:None</v>
      </c>
      <c r="X28" s="14" t="str">
        <f>IF(LEN(concatif2(A:A,Table2[[#This Row],[!Table]],G:G,"Y",D:D,",")) &gt; 0,"rg:[ { 'req' : '"&amp;concatif2(A:A,Table2[[#This Row],[!Table]],G:G,"Y",D:D,"' }, { 'req': '")&amp;"'} ]","rg:[]")</f>
        <v>rg:[ { 'req' : 'id' }, { 'req': 'rentalRequest' }, { 'req': 'attachment'} ]</v>
      </c>
      <c r="Y28" s="4" t="str">
        <f>IF(LEN(Table2[[#This Row],[!Unique]])&gt;0,IF(Table2[[#This Row],[!Type]] = "id", "rg:None","rg:True"),"rg:None")</f>
        <v>rg:None</v>
      </c>
    </row>
    <row r="29" spans="1:25" x14ac:dyDescent="0.35">
      <c r="A29" s="73" t="s">
        <v>436</v>
      </c>
      <c r="B29" s="73" t="s">
        <v>6</v>
      </c>
      <c r="C29" s="72"/>
      <c r="D29" s="73" t="s">
        <v>6</v>
      </c>
      <c r="E29" s="89" t="s">
        <v>438</v>
      </c>
      <c r="F29" s="12"/>
      <c r="G29" s="83" t="s">
        <v>59</v>
      </c>
      <c r="H29" s="154" t="s">
        <v>59</v>
      </c>
      <c r="I29" s="4" t="str">
        <f t="shared" si="2"/>
        <v>Defs</v>
      </c>
      <c r="J29" s="4" t="str">
        <f>IF(Table2[[#This Row],[!Type]]=J$1, J$1,"rg:None")</f>
        <v>rg:None</v>
      </c>
      <c r="K29" s="4" t="str">
        <f>IF(Table2[[#This Row],[!Type]]=K$1, K$1,"rg:None")</f>
        <v>rg:None</v>
      </c>
      <c r="L29" s="4" t="str">
        <f>IF(Table2[[#This Row],[!Type]]=L$1, L$1,"rg:None")</f>
        <v>rg:None</v>
      </c>
      <c r="M29" s="4" t="str">
        <f>IF(Table2[[#This Row],[!Type]]=M$1, M$1,"rg:None")</f>
        <v>id</v>
      </c>
      <c r="N29" s="4" t="str">
        <f>IF(Table2[[#This Row],[!Type]]=N$1, N$1,"rg:None")</f>
        <v>rg:None</v>
      </c>
      <c r="O29" s="4" t="str">
        <f>IF(Table2[[#This Row],[!Type]]=O$1, O$1,"rg:None")</f>
        <v>rg:None</v>
      </c>
      <c r="P29" s="4" t="str">
        <f>IF(Table2[[#This Row],[!Type]]=P$1, P$1,"rg:None")</f>
        <v>rg:None</v>
      </c>
      <c r="Q29" s="4" t="str">
        <f>IF(Table2[[#This Row],[!Type]]=Q$1, Q$1,"rg:None")</f>
        <v>rg:None</v>
      </c>
      <c r="R29" s="4" t="str">
        <f>IF(Table2[[#This Row],[!Type]]=R$1, R$1,"rg:None")</f>
        <v>rg:None</v>
      </c>
      <c r="S29" s="4" t="str">
        <f>IF(Table2[[#This Row],[!Type]]=S$1, S$1,"rg:None")</f>
        <v>rg:None</v>
      </c>
      <c r="T29" s="4" t="str">
        <f>IF(LEN(Table2[[#This Row],[!Length]]) &gt; 0, Table2[[#This Row],[!Length]], "rg:None")</f>
        <v>rg:None</v>
      </c>
      <c r="U29" s="4" t="str">
        <f>IF(LEN(Table2[[#This Row],[!Name]]) &gt; 0, Table2[[#This Row],[!Name]], "rg:None")</f>
        <v>id</v>
      </c>
      <c r="V29" s="4" t="str">
        <f>IF(LEN(Table2[[#This Row],[!Description]]) &gt; 0, Table2[[#This Row],[!Description]], "rg:None")</f>
        <v>A system-generated unique identifier for a RentalRequestAttachment</v>
      </c>
      <c r="W29" s="4" t="str">
        <f>IF(LEN(Table2[[#This Row],[!FK]])&gt;0,Table2[[#This Row],[!FK]],"rg:None")</f>
        <v>rg:None</v>
      </c>
      <c r="X29" s="14" t="str">
        <f>IF(LEN(concatif2(A:A,Table2[[#This Row],[!Table]],G:G,"Y",D:D,",")) &gt; 0,"rg:[ { 'req' : '"&amp;concatif2(A:A,Table2[[#This Row],[!Table]],G:G,"Y",D:D,"' }, { 'req': '")&amp;"'} ]","rg:[]")</f>
        <v>rg:[ { 'req' : 'id' }, { 'req': 'rentalRequest' }, { 'req': 'attachment'} ]</v>
      </c>
      <c r="Y29" s="4" t="str">
        <f>IF(LEN(Table2[[#This Row],[!Unique]])&gt;0,IF(Table2[[#This Row],[!Type]] = "id", "rg:None","rg:True"),"rg:None")</f>
        <v>rg:None</v>
      </c>
    </row>
    <row r="30" spans="1:25" x14ac:dyDescent="0.35">
      <c r="A30" s="73" t="s">
        <v>436</v>
      </c>
      <c r="B30" s="73" t="s">
        <v>8</v>
      </c>
      <c r="C30" s="72"/>
      <c r="D30" s="73" t="s">
        <v>422</v>
      </c>
      <c r="E30" s="129" t="s">
        <v>527</v>
      </c>
      <c r="F30" s="84" t="s">
        <v>420</v>
      </c>
      <c r="G30" s="154" t="s">
        <v>59</v>
      </c>
      <c r="H30" s="18"/>
      <c r="I30" s="4" t="str">
        <f t="shared" si="2"/>
        <v>Defs</v>
      </c>
      <c r="J30" s="4" t="str">
        <f>IF(Table2[[#This Row],[!Type]]=J$1, J$1,"rg:None")</f>
        <v>rg:None</v>
      </c>
      <c r="K30" s="4" t="str">
        <f>IF(Table2[[#This Row],[!Type]]=K$1, K$1,"rg:None")</f>
        <v>rg:None</v>
      </c>
      <c r="L30" s="4" t="str">
        <f>IF(Table2[[#This Row],[!Type]]=L$1, L$1,"rg:None")</f>
        <v>rg:None</v>
      </c>
      <c r="M30" s="4" t="str">
        <f>IF(Table2[[#This Row],[!Type]]=M$1, M$1,"rg:None")</f>
        <v>rg:None</v>
      </c>
      <c r="N30" s="4" t="str">
        <f>IF(Table2[[#This Row],[!Type]]=N$1, N$1,"rg:None")</f>
        <v>rg:None</v>
      </c>
      <c r="O30" s="4" t="str">
        <f>IF(Table2[[#This Row],[!Type]]=O$1, O$1,"rg:None")</f>
        <v>rg:None</v>
      </c>
      <c r="P30" s="4" t="str">
        <f>IF(Table2[[#This Row],[!Type]]=P$1, P$1,"rg:None")</f>
        <v>rg:None</v>
      </c>
      <c r="Q30" s="4" t="str">
        <f>IF(Table2[[#This Row],[!Type]]=Q$1, Q$1,"rg:None")</f>
        <v>ref</v>
      </c>
      <c r="R30" s="4" t="str">
        <f>IF(Table2[[#This Row],[!Type]]=R$1, R$1,"rg:None")</f>
        <v>rg:None</v>
      </c>
      <c r="S30" s="4" t="str">
        <f>IF(Table2[[#This Row],[!Type]]=S$1, S$1,"rg:None")</f>
        <v>rg:None</v>
      </c>
      <c r="T30" s="4" t="str">
        <f>IF(LEN(Table2[[#This Row],[!Length]]) &gt; 0, Table2[[#This Row],[!Length]], "rg:None")</f>
        <v>rg:None</v>
      </c>
      <c r="U30" s="4" t="str">
        <f>IF(LEN(Table2[[#This Row],[!Name]]) &gt; 0, Table2[[#This Row],[!Name]], "rg:None")</f>
        <v>rentalRequest</v>
      </c>
      <c r="V30" s="4" t="str">
        <f>IF(LEN(Table2[[#This Row],[!Description]]) &gt; 0, Table2[[#This Row],[!Description]], "rg:None")</f>
        <v>A foreign key reference to the system-generated unique identifier for a Rental Request</v>
      </c>
      <c r="W30" s="4" t="str">
        <f>IF(LEN(Table2[[#This Row],[!FK]])&gt;0,Table2[[#This Row],[!FK]],"rg:None")</f>
        <v>RentalRequest</v>
      </c>
      <c r="X30" s="14" t="str">
        <f>IF(LEN(concatif2(A:A,Table2[[#This Row],[!Table]],G:G,"Y",D:D,",")) &gt; 0,"rg:[ { 'req' : '"&amp;concatif2(A:A,Table2[[#This Row],[!Table]],G:G,"Y",D:D,"' }, { 'req': '")&amp;"'} ]","rg:[]")</f>
        <v>rg:[ { 'req' : 'id' }, { 'req': 'rentalRequest' }, { 'req': 'attachment'} ]</v>
      </c>
      <c r="Y30" s="4" t="str">
        <f>IF(LEN(Table2[[#This Row],[!Unique]])&gt;0,IF(Table2[[#This Row],[!Type]] = "id", "rg:None","rg:True"),"rg:None")</f>
        <v>rg:None</v>
      </c>
    </row>
    <row r="31" spans="1:25" x14ac:dyDescent="0.35">
      <c r="A31" s="73" t="s">
        <v>436</v>
      </c>
      <c r="B31" s="73" t="s">
        <v>7</v>
      </c>
      <c r="C31" s="72">
        <v>150</v>
      </c>
      <c r="D31" s="73" t="s">
        <v>208</v>
      </c>
      <c r="E31" s="74" t="s">
        <v>439</v>
      </c>
      <c r="F31" s="12"/>
      <c r="G31" s="83" t="s">
        <v>59</v>
      </c>
      <c r="H31" s="18"/>
      <c r="I31" s="4" t="str">
        <f t="shared" si="2"/>
        <v>Defs</v>
      </c>
      <c r="J31" s="4" t="str">
        <f>IF(Table2[[#This Row],[!Type]]=J$1, J$1,"rg:None")</f>
        <v>rg:None</v>
      </c>
      <c r="K31" s="4" t="str">
        <f>IF(Table2[[#This Row],[!Type]]=K$1, K$1,"rg:None")</f>
        <v>rg:None</v>
      </c>
      <c r="L31" s="4" t="str">
        <f>IF(Table2[[#This Row],[!Type]]=L$1, L$1,"rg:None")</f>
        <v>rg:None</v>
      </c>
      <c r="M31" s="4" t="str">
        <f>IF(Table2[[#This Row],[!Type]]=M$1, M$1,"rg:None")</f>
        <v>rg:None</v>
      </c>
      <c r="N31" s="4" t="str">
        <f>IF(Table2[[#This Row],[!Type]]=N$1, N$1,"rg:None")</f>
        <v>rg:None</v>
      </c>
      <c r="O31" s="4" t="str">
        <f>IF(Table2[[#This Row],[!Type]]=O$1, O$1,"rg:None")</f>
        <v>rg:None</v>
      </c>
      <c r="P31" s="4" t="str">
        <f>IF(Table2[[#This Row],[!Type]]=P$1, P$1,"rg:None")</f>
        <v>rg:None</v>
      </c>
      <c r="Q31" s="4" t="str">
        <f>IF(Table2[[#This Row],[!Type]]=Q$1, Q$1,"rg:None")</f>
        <v>rg:None</v>
      </c>
      <c r="R31" s="4" t="str">
        <f>IF(Table2[[#This Row],[!Type]]=R$1, R$1,"rg:None")</f>
        <v>string</v>
      </c>
      <c r="S31" s="4" t="str">
        <f>IF(Table2[[#This Row],[!Type]]=S$1, S$1,"rg:None")</f>
        <v>rg:None</v>
      </c>
      <c r="T31" s="4">
        <f>IF(LEN(Table2[[#This Row],[!Length]]) &gt; 0, Table2[[#This Row],[!Length]], "rg:None")</f>
        <v>150</v>
      </c>
      <c r="U31" s="4" t="str">
        <f>IF(LEN(Table2[[#This Row],[!Name]]) &gt; 0, Table2[[#This Row],[!Name]], "rg:None")</f>
        <v>attachment</v>
      </c>
      <c r="V31" s="4" t="str">
        <f>IF(LEN(Table2[[#This Row],[!Description]]) &gt; 0, Table2[[#This Row],[!Description]], "rg:None")</f>
        <v>The name/type attachment needed as part of the fulfillment of the request</v>
      </c>
      <c r="W31" s="4" t="str">
        <f>IF(LEN(Table2[[#This Row],[!FK]])&gt;0,Table2[[#This Row],[!FK]],"rg:None")</f>
        <v>rg:None</v>
      </c>
      <c r="X31" s="14" t="str">
        <f>IF(LEN(concatif2(A:A,Table2[[#This Row],[!Table]],G:G,"Y",D:D,",")) &gt; 0,"rg:[ { 'req' : '"&amp;concatif2(A:A,Table2[[#This Row],[!Table]],G:G,"Y",D:D,"' }, { 'req': '")&amp;"'} ]","rg:[]")</f>
        <v>rg:[ { 'req' : 'id' }, { 'req': 'rentalRequest' }, { 'req': 'attachment'} ]</v>
      </c>
      <c r="Y31" s="4" t="str">
        <f>IF(LEN(Table2[[#This Row],[!Unique]])&gt;0,IF(Table2[[#This Row],[!Type]] = "id", "rg:None","rg:True"),"rg:None")</f>
        <v>rg:None</v>
      </c>
    </row>
    <row r="32" spans="1:25" ht="57.6" x14ac:dyDescent="0.35">
      <c r="A32" s="66" t="s">
        <v>421</v>
      </c>
      <c r="B32" s="26" t="s">
        <v>4</v>
      </c>
      <c r="C32" s="72"/>
      <c r="D32" s="66" t="s">
        <v>421</v>
      </c>
      <c r="E32" s="60" t="s">
        <v>377</v>
      </c>
      <c r="F32" s="27"/>
      <c r="G32" s="18"/>
      <c r="H32" s="18"/>
      <c r="I32" s="4" t="str">
        <f t="shared" ref="I32:I39" si="3">IF(LEN(A32) &gt; 0,"Defs","-")</f>
        <v>Defs</v>
      </c>
      <c r="J32" s="4" t="str">
        <f>IF(Table2[[#This Row],[!Type]]=J$1, J$1,"rg:None")</f>
        <v>rg:None</v>
      </c>
      <c r="K32" s="4" t="str">
        <f>IF(Table2[[#This Row],[!Type]]=K$1, K$1,"rg:None")</f>
        <v>rg:None</v>
      </c>
      <c r="L32" s="4" t="str">
        <f>IF(Table2[[#This Row],[!Type]]=L$1, L$1,"rg:None")</f>
        <v>rg:None</v>
      </c>
      <c r="M32" s="4" t="str">
        <f>IF(Table2[[#This Row],[!Type]]=M$1, M$1,"rg:None")</f>
        <v>rg:None</v>
      </c>
      <c r="N32" s="4" t="str">
        <f>IF(Table2[[#This Row],[!Type]]=N$1, N$1,"rg:None")</f>
        <v>rg:None</v>
      </c>
      <c r="O32" s="4" t="str">
        <f>IF(Table2[[#This Row],[!Type]]=O$1, O$1,"rg:None")</f>
        <v>rg:None</v>
      </c>
      <c r="P32" s="4" t="str">
        <f>IF(Table2[[#This Row],[!Type]]=P$1, P$1,"rg:None")</f>
        <v>rg:None</v>
      </c>
      <c r="Q32" s="4" t="str">
        <f>IF(Table2[[#This Row],[!Type]]=Q$1, Q$1,"rg:None")</f>
        <v>rg:None</v>
      </c>
      <c r="R32" s="4" t="str">
        <f>IF(Table2[[#This Row],[!Type]]=R$1, R$1,"rg:None")</f>
        <v>rg:None</v>
      </c>
      <c r="S32" s="4" t="str">
        <f>IF(Table2[[#This Row],[!Type]]=S$1, S$1,"rg:None")</f>
        <v>table</v>
      </c>
      <c r="T32" s="4" t="str">
        <f>IF(LEN(Table2[[#This Row],[!Length]]) &gt; 0, Table2[[#This Row],[!Length]], "rg:None")</f>
        <v>rg:None</v>
      </c>
      <c r="U32" s="4" t="str">
        <f>IF(LEN(Table2[[#This Row],[!Name]]) &gt; 0, Table2[[#This Row],[!Name]], "rg:None")</f>
        <v>RentalRequestRotationList</v>
      </c>
      <c r="V32" s="4" t="str">
        <f>IF(LEN(Table2[[#This Row],[!Description]]) &gt; 0, Table2[[#This Row],[!Description]], "rg:None")</f>
        <v>An eligible piece of equipment for a request and a tracking of the hire offer and response process related to a request for that piece of equipment. Includes a link from the equipment to a Rental Agreement if the equipment was hired to satisfy a part of the request.</v>
      </c>
      <c r="W32" s="4" t="str">
        <f>IF(LEN(Table2[[#This Row],[!FK]])&gt;0,Table2[[#This Row],[!FK]],"rg:None")</f>
        <v>rg:None</v>
      </c>
      <c r="X32" s="14" t="str">
        <f>IF(LEN(concatif2(A:A,Table2[[#This Row],[!Table]],G:G,"Y",D:D,",")) &gt; 0,"rg:[ { 'req' : '"&amp;concatif2(A:A,Table2[[#This Row],[!Table]],G:G,"Y",D:D,"' }, { 'req': '")&amp;"'} ]","rg:[]")</f>
        <v>rg:[ { 'req' : 'id' }, { 'req': 'RentalRequest' }, { 'req': 'rotationListSortOrder' }, { 'req': 'equipment'} ]</v>
      </c>
      <c r="Y32" s="4" t="str">
        <f>IF(LEN(Table2[[#This Row],[!Unique]])&gt;0,IF(Table2[[#This Row],[!Type]] = "id", "rg:None","rg:True"),"rg:None")</f>
        <v>rg:None</v>
      </c>
    </row>
    <row r="33" spans="1:25" x14ac:dyDescent="0.35">
      <c r="A33" s="66" t="s">
        <v>421</v>
      </c>
      <c r="B33" s="23" t="s">
        <v>6</v>
      </c>
      <c r="C33" s="72"/>
      <c r="D33" s="23" t="s">
        <v>6</v>
      </c>
      <c r="E33" s="76" t="s">
        <v>378</v>
      </c>
      <c r="F33" s="12"/>
      <c r="G33" s="25" t="s">
        <v>59</v>
      </c>
      <c r="H33" s="154" t="s">
        <v>59</v>
      </c>
      <c r="I33" s="4" t="str">
        <f t="shared" si="3"/>
        <v>Defs</v>
      </c>
      <c r="J33" s="4" t="str">
        <f>IF(Table2[[#This Row],[!Type]]=J$1, J$1,"rg:None")</f>
        <v>rg:None</v>
      </c>
      <c r="K33" s="4" t="str">
        <f>IF(Table2[[#This Row],[!Type]]=K$1, K$1,"rg:None")</f>
        <v>rg:None</v>
      </c>
      <c r="L33" s="4" t="str">
        <f>IF(Table2[[#This Row],[!Type]]=L$1, L$1,"rg:None")</f>
        <v>rg:None</v>
      </c>
      <c r="M33" s="4" t="str">
        <f>IF(Table2[[#This Row],[!Type]]=M$1, M$1,"rg:None")</f>
        <v>id</v>
      </c>
      <c r="N33" s="4" t="str">
        <f>IF(Table2[[#This Row],[!Type]]=N$1, N$1,"rg:None")</f>
        <v>rg:None</v>
      </c>
      <c r="O33" s="4" t="str">
        <f>IF(Table2[[#This Row],[!Type]]=O$1, O$1,"rg:None")</f>
        <v>rg:None</v>
      </c>
      <c r="P33" s="4" t="str">
        <f>IF(Table2[[#This Row],[!Type]]=P$1, P$1,"rg:None")</f>
        <v>rg:None</v>
      </c>
      <c r="Q33" s="4" t="str">
        <f>IF(Table2[[#This Row],[!Type]]=Q$1, Q$1,"rg:None")</f>
        <v>rg:None</v>
      </c>
      <c r="R33" s="4" t="str">
        <f>IF(Table2[[#This Row],[!Type]]=R$1, R$1,"rg:None")</f>
        <v>rg:None</v>
      </c>
      <c r="S33" s="4" t="str">
        <f>IF(Table2[[#This Row],[!Type]]=S$1, S$1,"rg:None")</f>
        <v>rg:None</v>
      </c>
      <c r="T33" s="4" t="str">
        <f>IF(LEN(Table2[[#This Row],[!Length]]) &gt; 0, Table2[[#This Row],[!Length]], "rg:None")</f>
        <v>rg:None</v>
      </c>
      <c r="U33" s="4" t="str">
        <f>IF(LEN(Table2[[#This Row],[!Name]]) &gt; 0, Table2[[#This Row],[!Name]], "rg:None")</f>
        <v>id</v>
      </c>
      <c r="V33" s="4" t="str">
        <f>IF(LEN(Table2[[#This Row],[!Description]]) &gt; 0, Table2[[#This Row],[!Description]], "rg:None")</f>
        <v>A system-generated unique identifier for a RequestRotationList</v>
      </c>
      <c r="W33" s="4" t="str">
        <f>IF(LEN(Table2[[#This Row],[!FK]])&gt;0,Table2[[#This Row],[!FK]],"rg:None")</f>
        <v>rg:None</v>
      </c>
      <c r="X33" s="14" t="str">
        <f>IF(LEN(concatif2(A:A,Table2[[#This Row],[!Table]],G:G,"Y",D:D,",")) &gt; 0,"rg:[ { 'req' : '"&amp;concatif2(A:A,Table2[[#This Row],[!Table]],G:G,"Y",D:D,"' }, { 'req': '")&amp;"'} ]","rg:[]")</f>
        <v>rg:[ { 'req' : 'id' }, { 'req': 'RentalRequest' }, { 'req': 'rotationListSortOrder' }, { 'req': 'equipment'} ]</v>
      </c>
      <c r="Y33" s="4" t="str">
        <f>IF(LEN(Table2[[#This Row],[!Unique]])&gt;0,IF(Table2[[#This Row],[!Type]] = "id", "rg:None","rg:True"),"rg:None")</f>
        <v>rg:None</v>
      </c>
    </row>
    <row r="34" spans="1:25" x14ac:dyDescent="0.35">
      <c r="A34" s="164" t="s">
        <v>421</v>
      </c>
      <c r="B34" s="164" t="s">
        <v>8</v>
      </c>
      <c r="C34" s="72"/>
      <c r="D34" s="164" t="s">
        <v>420</v>
      </c>
      <c r="E34" s="47"/>
      <c r="F34" s="165" t="s">
        <v>420</v>
      </c>
      <c r="G34" s="166" t="s">
        <v>59</v>
      </c>
      <c r="H34" s="166"/>
      <c r="I34" s="4" t="str">
        <f>IF(LEN(A34) &gt; 0,"Defs","-")</f>
        <v>Defs</v>
      </c>
      <c r="J34" s="4" t="str">
        <f>IF(Table2[[#This Row],[!Type]]=J$1, J$1,"rg:None")</f>
        <v>rg:None</v>
      </c>
      <c r="K34" s="4" t="str">
        <f>IF(Table2[[#This Row],[!Type]]=K$1, K$1,"rg:None")</f>
        <v>rg:None</v>
      </c>
      <c r="L34" s="4" t="str">
        <f>IF(Table2[[#This Row],[!Type]]=L$1, L$1,"rg:None")</f>
        <v>rg:None</v>
      </c>
      <c r="M34" s="4" t="str">
        <f>IF(Table2[[#This Row],[!Type]]=M$1, M$1,"rg:None")</f>
        <v>rg:None</v>
      </c>
      <c r="N34" s="4" t="str">
        <f>IF(Table2[[#This Row],[!Type]]=N$1, N$1,"rg:None")</f>
        <v>rg:None</v>
      </c>
      <c r="O34" s="4" t="str">
        <f>IF(Table2[[#This Row],[!Type]]=O$1, O$1,"rg:None")</f>
        <v>rg:None</v>
      </c>
      <c r="P34" s="4" t="str">
        <f>IF(Table2[[#This Row],[!Type]]=P$1, P$1,"rg:None")</f>
        <v>rg:None</v>
      </c>
      <c r="Q34" s="4" t="str">
        <f>IF(Table2[[#This Row],[!Type]]=Q$1, Q$1,"rg:None")</f>
        <v>ref</v>
      </c>
      <c r="R34" s="4" t="str">
        <f>IF(Table2[[#This Row],[!Type]]=R$1, R$1,"rg:None")</f>
        <v>rg:None</v>
      </c>
      <c r="S34" s="4" t="str">
        <f>IF(Table2[[#This Row],[!Type]]=S$1, S$1,"rg:None")</f>
        <v>rg:None</v>
      </c>
      <c r="T34" s="4" t="str">
        <f>IF(LEN(Table2[[#This Row],[!Length]]) &gt; 0, Table2[[#This Row],[!Length]], "rg:None")</f>
        <v>rg:None</v>
      </c>
      <c r="U34" s="4" t="str">
        <f>IF(LEN(Table2[[#This Row],[!Name]]) &gt; 0, Table2[[#This Row],[!Name]], "rg:None")</f>
        <v>RentalRequest</v>
      </c>
      <c r="V34" s="4" t="str">
        <f>IF(LEN(Table2[[#This Row],[!Description]]) &gt; 0, Table2[[#This Row],[!Description]], "rg:None")</f>
        <v>rg:None</v>
      </c>
      <c r="W34" s="4" t="str">
        <f>IF(LEN(Table2[[#This Row],[!FK]])&gt;0,Table2[[#This Row],[!FK]],"rg:None")</f>
        <v>RentalRequest</v>
      </c>
      <c r="X34" s="14" t="str">
        <f>IF(LEN(concatif2(A:A,Table2[[#This Row],[!Table]],G:G,"Y",D:D,",")) &gt; 0,"rg:[ { 'req' : '"&amp;concatif2(A:A,Table2[[#This Row],[!Table]],G:G,"Y",D:D,"' }, { 'req': '")&amp;"'} ]","rg:[]")</f>
        <v>rg:[ { 'req' : 'id' }, { 'req': 'RentalRequest' }, { 'req': 'rotationListSortOrder' }, { 'req': 'equipment'} ]</v>
      </c>
      <c r="Y34" s="4" t="str">
        <f>IF(LEN(Table2[[#This Row],[!Unique]])&gt;0,IF(Table2[[#This Row],[!Type]] = "id", "rg:None","rg:True"),"rg:None")</f>
        <v>rg:None</v>
      </c>
    </row>
    <row r="35" spans="1:25" ht="28.8" x14ac:dyDescent="0.35">
      <c r="A35" s="66" t="s">
        <v>421</v>
      </c>
      <c r="B35" s="61" t="s">
        <v>13</v>
      </c>
      <c r="C35" s="72"/>
      <c r="D35" s="64" t="s">
        <v>413</v>
      </c>
      <c r="E35" s="156" t="s">
        <v>582</v>
      </c>
      <c r="F35" s="12"/>
      <c r="G35" s="154" t="s">
        <v>59</v>
      </c>
      <c r="H35" s="18"/>
      <c r="I35" s="4" t="str">
        <f>IF(LEN(A35) &gt; 0,"Defs","-")</f>
        <v>Defs</v>
      </c>
      <c r="J35" s="4" t="str">
        <f>IF(Table2[[#This Row],[!Type]]=J$1, J$1,"rg:None")</f>
        <v>rg:None</v>
      </c>
      <c r="K35" s="4" t="str">
        <f>IF(Table2[[#This Row],[!Type]]=K$1, K$1,"rg:None")</f>
        <v>rg:None</v>
      </c>
      <c r="L35" s="4" t="str">
        <f>IF(Table2[[#This Row],[!Type]]=L$1, L$1,"rg:None")</f>
        <v>rg:None</v>
      </c>
      <c r="M35" s="4" t="str">
        <f>IF(Table2[[#This Row],[!Type]]=M$1, M$1,"rg:None")</f>
        <v>rg:None</v>
      </c>
      <c r="N35" s="4" t="str">
        <f>IF(Table2[[#This Row],[!Type]]=N$1, N$1,"rg:None")</f>
        <v>integer</v>
      </c>
      <c r="O35" s="4" t="str">
        <f>IF(Table2[[#This Row],[!Type]]=O$1, O$1,"rg:None")</f>
        <v>rg:None</v>
      </c>
      <c r="P35" s="4" t="str">
        <f>IF(Table2[[#This Row],[!Type]]=P$1, P$1,"rg:None")</f>
        <v>rg:None</v>
      </c>
      <c r="Q35" s="4" t="str">
        <f>IF(Table2[[#This Row],[!Type]]=Q$1, Q$1,"rg:None")</f>
        <v>rg:None</v>
      </c>
      <c r="R35" s="4" t="str">
        <f>IF(Table2[[#This Row],[!Type]]=R$1, R$1,"rg:None")</f>
        <v>rg:None</v>
      </c>
      <c r="S35" s="4" t="str">
        <f>IF(Table2[[#This Row],[!Type]]=S$1, S$1,"rg:None")</f>
        <v>rg:None</v>
      </c>
      <c r="T35" s="4" t="str">
        <f>IF(LEN(Table2[[#This Row],[!Length]]) &gt; 0, Table2[[#This Row],[!Length]], "rg:None")</f>
        <v>rg:None</v>
      </c>
      <c r="U35" s="4" t="str">
        <f>IF(LEN(Table2[[#This Row],[!Name]]) &gt; 0, Table2[[#This Row],[!Name]], "rg:None")</f>
        <v>rotationListSortOrder</v>
      </c>
      <c r="V35" s="4" t="str">
        <f>IF(LEN(Table2[[#This Row],[!Description]]) &gt; 0, Table2[[#This Row],[!Description]], "rg:None")</f>
        <v>The sort order of the piece of equipment on the rotation list at the time the request was created. This is the order the equipment will be offered the available work.</v>
      </c>
      <c r="W35" s="4" t="str">
        <f>IF(LEN(Table2[[#This Row],[!FK]])&gt;0,Table2[[#This Row],[!FK]],"rg:None")</f>
        <v>rg:None</v>
      </c>
      <c r="X35" s="14" t="str">
        <f>IF(LEN(concatif2(A:A,Table2[[#This Row],[!Table]],G:G,"Y",D:D,",")) &gt; 0,"rg:[ { 'req' : '"&amp;concatif2(A:A,Table2[[#This Row],[!Table]],G:G,"Y",D:D,"' }, { 'req': '")&amp;"'} ]","rg:[]")</f>
        <v>rg:[ { 'req' : 'id' }, { 'req': 'RentalRequest' }, { 'req': 'rotationListSortOrder' }, { 'req': 'equipment'} ]</v>
      </c>
      <c r="Y35" s="4" t="str">
        <f>IF(LEN(Table2[[#This Row],[!Unique]])&gt;0,IF(Table2[[#This Row],[!Type]] = "id", "rg:None","rg:True"),"rg:None")</f>
        <v>rg:None</v>
      </c>
    </row>
    <row r="36" spans="1:25" x14ac:dyDescent="0.35">
      <c r="A36" s="66" t="s">
        <v>421</v>
      </c>
      <c r="B36" s="26" t="s">
        <v>8</v>
      </c>
      <c r="C36" s="72"/>
      <c r="D36" s="26" t="s">
        <v>175</v>
      </c>
      <c r="E36" s="47"/>
      <c r="F36" s="27" t="s">
        <v>176</v>
      </c>
      <c r="G36" s="154" t="s">
        <v>59</v>
      </c>
      <c r="H36" s="18"/>
      <c r="I36" s="4" t="str">
        <f t="shared" si="3"/>
        <v>Defs</v>
      </c>
      <c r="J36" s="4" t="str">
        <f>IF(Table2[[#This Row],[!Type]]=J$1, J$1,"rg:None")</f>
        <v>rg:None</v>
      </c>
      <c r="K36" s="4" t="str">
        <f>IF(Table2[[#This Row],[!Type]]=K$1, K$1,"rg:None")</f>
        <v>rg:None</v>
      </c>
      <c r="L36" s="4" t="str">
        <f>IF(Table2[[#This Row],[!Type]]=L$1, L$1,"rg:None")</f>
        <v>rg:None</v>
      </c>
      <c r="M36" s="4" t="str">
        <f>IF(Table2[[#This Row],[!Type]]=M$1, M$1,"rg:None")</f>
        <v>rg:None</v>
      </c>
      <c r="N36" s="4" t="str">
        <f>IF(Table2[[#This Row],[!Type]]=N$1, N$1,"rg:None")</f>
        <v>rg:None</v>
      </c>
      <c r="O36" s="4" t="str">
        <f>IF(Table2[[#This Row],[!Type]]=O$1, O$1,"rg:None")</f>
        <v>rg:None</v>
      </c>
      <c r="P36" s="4" t="str">
        <f>IF(Table2[[#This Row],[!Type]]=P$1, P$1,"rg:None")</f>
        <v>rg:None</v>
      </c>
      <c r="Q36" s="4" t="str">
        <f>IF(Table2[[#This Row],[!Type]]=Q$1, Q$1,"rg:None")</f>
        <v>ref</v>
      </c>
      <c r="R36" s="4" t="str">
        <f>IF(Table2[[#This Row],[!Type]]=R$1, R$1,"rg:None")</f>
        <v>rg:None</v>
      </c>
      <c r="S36" s="4" t="str">
        <f>IF(Table2[[#This Row],[!Type]]=S$1, S$1,"rg:None")</f>
        <v>rg:None</v>
      </c>
      <c r="T36" s="4" t="str">
        <f>IF(LEN(Table2[[#This Row],[!Length]]) &gt; 0, Table2[[#This Row],[!Length]], "rg:None")</f>
        <v>rg:None</v>
      </c>
      <c r="U36" s="4" t="str">
        <f>IF(LEN(Table2[[#This Row],[!Name]]) &gt; 0, Table2[[#This Row],[!Name]], "rg:None")</f>
        <v>equipment</v>
      </c>
      <c r="V36" s="4" t="str">
        <f>IF(LEN(Table2[[#This Row],[!Description]]) &gt; 0, Table2[[#This Row],[!Description]], "rg:None")</f>
        <v>rg:None</v>
      </c>
      <c r="W36" s="4" t="str">
        <f>IF(LEN(Table2[[#This Row],[!FK]])&gt;0,Table2[[#This Row],[!FK]],"rg:None")</f>
        <v>Equipment</v>
      </c>
      <c r="X36" s="14" t="str">
        <f>IF(LEN(concatif2(A:A,Table2[[#This Row],[!Table]],G:G,"Y",D:D,",")) &gt; 0,"rg:[ { 'req' : '"&amp;concatif2(A:A,Table2[[#This Row],[!Table]],G:G,"Y",D:D,"' }, { 'req': '")&amp;"'} ]","rg:[]")</f>
        <v>rg:[ { 'req' : 'id' }, { 'req': 'RentalRequest' }, { 'req': 'rotationListSortOrder' }, { 'req': 'equipment'} ]</v>
      </c>
      <c r="Y36" s="4" t="str">
        <f>IF(LEN(Table2[[#This Row],[!Unique]])&gt;0,IF(Table2[[#This Row],[!Type]] = "id", "rg:None","rg:True"),"rg:None")</f>
        <v>rg:None</v>
      </c>
    </row>
    <row r="37" spans="1:25" x14ac:dyDescent="0.35">
      <c r="A37" s="66" t="s">
        <v>421</v>
      </c>
      <c r="B37" s="26" t="s">
        <v>8</v>
      </c>
      <c r="C37" s="72"/>
      <c r="D37" s="26" t="s">
        <v>195</v>
      </c>
      <c r="E37" s="60" t="s">
        <v>379</v>
      </c>
      <c r="F37" s="26" t="s">
        <v>194</v>
      </c>
      <c r="G37" s="18"/>
      <c r="H37" s="18"/>
      <c r="I37" s="4" t="str">
        <f t="shared" si="3"/>
        <v>Defs</v>
      </c>
      <c r="J37" s="4" t="str">
        <f>IF(Table2[[#This Row],[!Type]]=J$1, J$1,"rg:None")</f>
        <v>rg:None</v>
      </c>
      <c r="K37" s="4" t="str">
        <f>IF(Table2[[#This Row],[!Type]]=K$1, K$1,"rg:None")</f>
        <v>rg:None</v>
      </c>
      <c r="L37" s="4" t="str">
        <f>IF(Table2[[#This Row],[!Type]]=L$1, L$1,"rg:None")</f>
        <v>rg:None</v>
      </c>
      <c r="M37" s="4" t="str">
        <f>IF(Table2[[#This Row],[!Type]]=M$1, M$1,"rg:None")</f>
        <v>rg:None</v>
      </c>
      <c r="N37" s="4" t="str">
        <f>IF(Table2[[#This Row],[!Type]]=N$1, N$1,"rg:None")</f>
        <v>rg:None</v>
      </c>
      <c r="O37" s="4" t="str">
        <f>IF(Table2[[#This Row],[!Type]]=O$1, O$1,"rg:None")</f>
        <v>rg:None</v>
      </c>
      <c r="P37" s="4" t="str">
        <f>IF(Table2[[#This Row],[!Type]]=P$1, P$1,"rg:None")</f>
        <v>rg:None</v>
      </c>
      <c r="Q37" s="4" t="str">
        <f>IF(Table2[[#This Row],[!Type]]=Q$1, Q$1,"rg:None")</f>
        <v>ref</v>
      </c>
      <c r="R37" s="4" t="str">
        <f>IF(Table2[[#This Row],[!Type]]=R$1, R$1,"rg:None")</f>
        <v>rg:None</v>
      </c>
      <c r="S37" s="4" t="str">
        <f>IF(Table2[[#This Row],[!Type]]=S$1, S$1,"rg:None")</f>
        <v>rg:None</v>
      </c>
      <c r="T37" s="4" t="str">
        <f>IF(LEN(Table2[[#This Row],[!Length]]) &gt; 0, Table2[[#This Row],[!Length]], "rg:None")</f>
        <v>rg:None</v>
      </c>
      <c r="U37" s="4" t="str">
        <f>IF(LEN(Table2[[#This Row],[!Name]]) &gt; 0, Table2[[#This Row],[!Name]], "rg:None")</f>
        <v>rentalAgreement</v>
      </c>
      <c r="V37" s="4" t="str">
        <f>IF(LEN(Table2[[#This Row],[!Description]]) &gt; 0, Table2[[#This Row],[!Description]], "rg:None")</f>
        <v>The rental agreement (if any) created for an accepted hire offer.</v>
      </c>
      <c r="W37" s="4" t="str">
        <f>IF(LEN(Table2[[#This Row],[!FK]])&gt;0,Table2[[#This Row],[!FK]],"rg:None")</f>
        <v>RentalAgreement</v>
      </c>
      <c r="X37" s="14" t="str">
        <f>IF(LEN(concatif2(A:A,Table2[[#This Row],[!Table]],G:G,"Y",D:D,",")) &gt; 0,"rg:[ { 'req' : '"&amp;concatif2(A:A,Table2[[#This Row],[!Table]],G:G,"Y",D:D,"' }, { 'req': '")&amp;"'} ]","rg:[]")</f>
        <v>rg:[ { 'req' : 'id' }, { 'req': 'RentalRequest' }, { 'req': 'rotationListSortOrder' }, { 'req': 'equipment'} ]</v>
      </c>
      <c r="Y37" s="4" t="str">
        <f>IF(LEN(Table2[[#This Row],[!Unique]])&gt;0,IF(Table2[[#This Row],[!Type]] = "id", "rg:None","rg:True"),"rg:None")</f>
        <v>rg:None</v>
      </c>
    </row>
    <row r="38" spans="1:25" ht="57.6" x14ac:dyDescent="0.35">
      <c r="A38" s="66" t="s">
        <v>421</v>
      </c>
      <c r="B38" s="26" t="s">
        <v>9</v>
      </c>
      <c r="C38" s="72"/>
      <c r="D38" s="26" t="s">
        <v>193</v>
      </c>
      <c r="E38" s="60" t="s">
        <v>380</v>
      </c>
      <c r="F38" s="12"/>
      <c r="G38" s="18"/>
      <c r="H38" s="18"/>
      <c r="I38" s="4" t="str">
        <f t="shared" si="3"/>
        <v>Defs</v>
      </c>
      <c r="J38" s="4" t="str">
        <f>IF(Table2[[#This Row],[!Type]]=J$1, J$1,"rg:None")</f>
        <v>boolean</v>
      </c>
      <c r="K38" s="4" t="str">
        <f>IF(Table2[[#This Row],[!Type]]=K$1, K$1,"rg:None")</f>
        <v>rg:None</v>
      </c>
      <c r="L38" s="4" t="str">
        <f>IF(Table2[[#This Row],[!Type]]=L$1, L$1,"rg:None")</f>
        <v>rg:None</v>
      </c>
      <c r="M38" s="4" t="str">
        <f>IF(Table2[[#This Row],[!Type]]=M$1, M$1,"rg:None")</f>
        <v>rg:None</v>
      </c>
      <c r="N38" s="4" t="str">
        <f>IF(Table2[[#This Row],[!Type]]=N$1, N$1,"rg:None")</f>
        <v>rg:None</v>
      </c>
      <c r="O38" s="4" t="str">
        <f>IF(Table2[[#This Row],[!Type]]=O$1, O$1,"rg:None")</f>
        <v>rg:None</v>
      </c>
      <c r="P38" s="4" t="str">
        <f>IF(Table2[[#This Row],[!Type]]=P$1, P$1,"rg:None")</f>
        <v>rg:None</v>
      </c>
      <c r="Q38" s="4" t="str">
        <f>IF(Table2[[#This Row],[!Type]]=Q$1, Q$1,"rg:None")</f>
        <v>rg:None</v>
      </c>
      <c r="R38" s="4" t="str">
        <f>IF(Table2[[#This Row],[!Type]]=R$1, R$1,"rg:None")</f>
        <v>rg:None</v>
      </c>
      <c r="S38" s="4" t="str">
        <f>IF(Table2[[#This Row],[!Type]]=S$1, S$1,"rg:None")</f>
        <v>rg:None</v>
      </c>
      <c r="T38" s="4" t="str">
        <f>IF(LEN(Table2[[#This Row],[!Length]]) &gt; 0, Table2[[#This Row],[!Length]], "rg:None")</f>
        <v>rg:None</v>
      </c>
      <c r="U38" s="4" t="str">
        <f>IF(LEN(Table2[[#This Row],[!Name]]) &gt; 0, Table2[[#This Row],[!Name]], "rg:None")</f>
        <v>isForceHire</v>
      </c>
      <c r="V38" s="4" t="str">
        <f>IF(LEN(Table2[[#This Row],[!Description]]) &gt; 0, Table2[[#This Row],[!Description]], "rg:None")</f>
        <v>True if the HETS Clerk designated the hire of this equipment as being a Forced Hire. A Force Hire implies that the usual seniority rules for hiring are bypassed because of special circumstances related to the hire - e.g. a the hire requires an attachment only one piece of equipment has.</v>
      </c>
      <c r="W38" s="4" t="str">
        <f>IF(LEN(Table2[[#This Row],[!FK]])&gt;0,Table2[[#This Row],[!FK]],"rg:None")</f>
        <v>rg:None</v>
      </c>
      <c r="X38" s="14" t="str">
        <f>IF(LEN(concatif2(A:A,Table2[[#This Row],[!Table]],G:G,"Y",D:D,",")) &gt; 0,"rg:[ { 'req' : '"&amp;concatif2(A:A,Table2[[#This Row],[!Table]],G:G,"Y",D:D,"' }, { 'req': '")&amp;"'} ]","rg:[]")</f>
        <v>rg:[ { 'req' : 'id' }, { 'req': 'RentalRequest' }, { 'req': 'rotationListSortOrder' }, { 'req': 'equipment'} ]</v>
      </c>
      <c r="Y38" s="4" t="str">
        <f>IF(LEN(Table2[[#This Row],[!Unique]])&gt;0,IF(Table2[[#This Row],[!Type]] = "id", "rg:None","rg:True"),"rg:None")</f>
        <v>rg:None</v>
      </c>
    </row>
    <row r="39" spans="1:25" ht="28.8" x14ac:dyDescent="0.35">
      <c r="A39" s="66" t="s">
        <v>421</v>
      </c>
      <c r="B39" s="28" t="s">
        <v>9</v>
      </c>
      <c r="C39" s="72"/>
      <c r="D39" s="40" t="s">
        <v>215</v>
      </c>
      <c r="E39" s="48" t="s">
        <v>217</v>
      </c>
      <c r="F39" s="12"/>
      <c r="G39" s="18"/>
      <c r="H39" s="18"/>
      <c r="I39" s="4" t="str">
        <f t="shared" si="3"/>
        <v>Defs</v>
      </c>
      <c r="J39" s="4" t="str">
        <f>IF(Table2[[#This Row],[!Type]]=J$1, J$1,"rg:None")</f>
        <v>boolean</v>
      </c>
      <c r="K39" s="4" t="str">
        <f>IF(Table2[[#This Row],[!Type]]=K$1, K$1,"rg:None")</f>
        <v>rg:None</v>
      </c>
      <c r="L39" s="4" t="str">
        <f>IF(Table2[[#This Row],[!Type]]=L$1, L$1,"rg:None")</f>
        <v>rg:None</v>
      </c>
      <c r="M39" s="4" t="str">
        <f>IF(Table2[[#This Row],[!Type]]=M$1, M$1,"rg:None")</f>
        <v>rg:None</v>
      </c>
      <c r="N39" s="4" t="str">
        <f>IF(Table2[[#This Row],[!Type]]=N$1, N$1,"rg:None")</f>
        <v>rg:None</v>
      </c>
      <c r="O39" s="4" t="str">
        <f>IF(Table2[[#This Row],[!Type]]=O$1, O$1,"rg:None")</f>
        <v>rg:None</v>
      </c>
      <c r="P39" s="4" t="str">
        <f>IF(Table2[[#This Row],[!Type]]=P$1, P$1,"rg:None")</f>
        <v>rg:None</v>
      </c>
      <c r="Q39" s="4" t="str">
        <f>IF(Table2[[#This Row],[!Type]]=Q$1, Q$1,"rg:None")</f>
        <v>rg:None</v>
      </c>
      <c r="R39" s="4" t="str">
        <f>IF(Table2[[#This Row],[!Type]]=R$1, R$1,"rg:None")</f>
        <v>rg:None</v>
      </c>
      <c r="S39" s="4" t="str">
        <f>IF(Table2[[#This Row],[!Type]]=S$1, S$1,"rg:None")</f>
        <v>rg:None</v>
      </c>
      <c r="T39" s="4" t="str">
        <f>IF(LEN(Table2[[#This Row],[!Length]]) &gt; 0, Table2[[#This Row],[!Length]], "rg:None")</f>
        <v>rg:None</v>
      </c>
      <c r="U39" s="4" t="str">
        <f>IF(LEN(Table2[[#This Row],[!Name]]) &gt; 0, Table2[[#This Row],[!Name]], "rg:None")</f>
        <v>wasAsked</v>
      </c>
      <c r="V39" s="4" t="str">
        <f>IF(LEN(Table2[[#This Row],[!Description]]) &gt; 0, Table2[[#This Row],[!Description]], "rg:None")</f>
        <v>True if the HETS Clerk contacted the equipment owner and asked to hire the piece of equipment.</v>
      </c>
      <c r="W39" s="4" t="str">
        <f>IF(LEN(Table2[[#This Row],[!FK]])&gt;0,Table2[[#This Row],[!FK]],"rg:None")</f>
        <v>rg:None</v>
      </c>
      <c r="X39" s="14" t="str">
        <f>IF(LEN(concatif2(A:A,Table2[[#This Row],[!Table]],G:G,"Y",D:D,",")) &gt; 0,"rg:[ { 'req' : '"&amp;concatif2(A:A,Table2[[#This Row],[!Table]],G:G,"Y",D:D,"' }, { 'req': '")&amp;"'} ]","rg:[]")</f>
        <v>rg:[ { 'req' : 'id' }, { 'req': 'RentalRequest' }, { 'req': 'rotationListSortOrder' }, { 'req': 'equipment'} ]</v>
      </c>
      <c r="Y39" s="4" t="str">
        <f>IF(LEN(Table2[[#This Row],[!Unique]])&gt;0,IF(Table2[[#This Row],[!Type]] = "id", "rg:None","rg:True"),"rg:None")</f>
        <v>rg:None</v>
      </c>
    </row>
    <row r="40" spans="1:25" ht="28.8" x14ac:dyDescent="0.35">
      <c r="A40" s="66" t="s">
        <v>421</v>
      </c>
      <c r="B40" s="26" t="s">
        <v>12</v>
      </c>
      <c r="C40" s="72"/>
      <c r="D40" s="40" t="s">
        <v>216</v>
      </c>
      <c r="E40" s="50" t="s">
        <v>344</v>
      </c>
      <c r="F40" s="12"/>
      <c r="G40" s="18"/>
      <c r="H40" s="18"/>
      <c r="I40" s="4" t="str">
        <f t="shared" ref="I40:I46" si="4">IF(LEN(A40) &gt; 0,"Defs","-")</f>
        <v>Defs</v>
      </c>
      <c r="J40" s="4" t="str">
        <f>IF(Table2[[#This Row],[!Type]]=J$1, J$1,"rg:None")</f>
        <v>rg:None</v>
      </c>
      <c r="K40" s="4" t="str">
        <f>IF(Table2[[#This Row],[!Type]]=K$1, K$1,"rg:None")</f>
        <v>rg:None</v>
      </c>
      <c r="L40" s="4" t="str">
        <f>IF(Table2[[#This Row],[!Type]]=L$1, L$1,"rg:None")</f>
        <v>datetime</v>
      </c>
      <c r="M40" s="4" t="str">
        <f>IF(Table2[[#This Row],[!Type]]=M$1, M$1,"rg:None")</f>
        <v>rg:None</v>
      </c>
      <c r="N40" s="4" t="str">
        <f>IF(Table2[[#This Row],[!Type]]=N$1, N$1,"rg:None")</f>
        <v>rg:None</v>
      </c>
      <c r="O40" s="4" t="str">
        <f>IF(Table2[[#This Row],[!Type]]=O$1, O$1,"rg:None")</f>
        <v>rg:None</v>
      </c>
      <c r="P40" s="4" t="str">
        <f>IF(Table2[[#This Row],[!Type]]=P$1, P$1,"rg:None")</f>
        <v>rg:None</v>
      </c>
      <c r="Q40" s="4" t="str">
        <f>IF(Table2[[#This Row],[!Type]]=Q$1, Q$1,"rg:None")</f>
        <v>rg:None</v>
      </c>
      <c r="R40" s="4" t="str">
        <f>IF(Table2[[#This Row],[!Type]]=R$1, R$1,"rg:None")</f>
        <v>rg:None</v>
      </c>
      <c r="S40" s="4" t="str">
        <f>IF(Table2[[#This Row],[!Type]]=S$1, S$1,"rg:None")</f>
        <v>rg:None</v>
      </c>
      <c r="T40" s="4" t="str">
        <f>IF(LEN(Table2[[#This Row],[!Length]]) &gt; 0, Table2[[#This Row],[!Length]], "rg:None")</f>
        <v>rg:None</v>
      </c>
      <c r="U40" s="4" t="str">
        <f>IF(LEN(Table2[[#This Row],[!Name]]) &gt; 0, Table2[[#This Row],[!Name]], "rg:None")</f>
        <v>askedDateTime</v>
      </c>
      <c r="V40" s="4" t="str">
        <f>IF(LEN(Table2[[#This Row],[!Description]]) &gt; 0, Table2[[#This Row],[!Description]], "rg:None")</f>
        <v>The Date-Time the HETS clerk contacted the equipment owner and asked to hire the piece of equipment.</v>
      </c>
      <c r="W40" s="4" t="str">
        <f>IF(LEN(Table2[[#This Row],[!FK]])&gt;0,Table2[[#This Row],[!FK]],"rg:None")</f>
        <v>rg:None</v>
      </c>
      <c r="X40" s="14" t="str">
        <f>IF(LEN(concatif2(A:A,Table2[[#This Row],[!Table]],G:G,"Y",D:D,",")) &gt; 0,"rg:[ { 'req' : '"&amp;concatif2(A:A,Table2[[#This Row],[!Table]],G:G,"Y",D:D,"' }, { 'req': '")&amp;"'} ]","rg:[]")</f>
        <v>rg:[ { 'req' : 'id' }, { 'req': 'RentalRequest' }, { 'req': 'rotationListSortOrder' }, { 'req': 'equipment'} ]</v>
      </c>
      <c r="Y40" s="4" t="str">
        <f>IF(LEN(Table2[[#This Row],[!Unique]])&gt;0,IF(Table2[[#This Row],[!Type]] = "id", "rg:None","rg:True"),"rg:None")</f>
        <v>rg:None</v>
      </c>
    </row>
    <row r="41" spans="1:25" x14ac:dyDescent="0.35">
      <c r="A41" s="66" t="s">
        <v>421</v>
      </c>
      <c r="B41" s="40" t="s">
        <v>7</v>
      </c>
      <c r="C41" s="72"/>
      <c r="D41" s="40" t="s">
        <v>218</v>
      </c>
      <c r="E41" s="90" t="s">
        <v>219</v>
      </c>
      <c r="F41" s="12"/>
      <c r="G41" s="18"/>
      <c r="H41" s="18"/>
      <c r="I41" s="4" t="str">
        <f>IF(LEN(A41) &gt; 0,"Defs","-")</f>
        <v>Defs</v>
      </c>
      <c r="J41" s="4" t="str">
        <f>IF(Table2[[#This Row],[!Type]]=J$1, J$1,"rg:None")</f>
        <v>rg:None</v>
      </c>
      <c r="K41" s="4" t="str">
        <f>IF(Table2[[#This Row],[!Type]]=K$1, K$1,"rg:None")</f>
        <v>rg:None</v>
      </c>
      <c r="L41" s="4" t="str">
        <f>IF(Table2[[#This Row],[!Type]]=L$1, L$1,"rg:None")</f>
        <v>rg:None</v>
      </c>
      <c r="M41" s="4" t="str">
        <f>IF(Table2[[#This Row],[!Type]]=M$1, M$1,"rg:None")</f>
        <v>rg:None</v>
      </c>
      <c r="N41" s="4" t="str">
        <f>IF(Table2[[#This Row],[!Type]]=N$1, N$1,"rg:None")</f>
        <v>rg:None</v>
      </c>
      <c r="O41" s="4" t="str">
        <f>IF(Table2[[#This Row],[!Type]]=O$1, O$1,"rg:None")</f>
        <v>rg:None</v>
      </c>
      <c r="P41" s="4" t="str">
        <f>IF(Table2[[#This Row],[!Type]]=P$1, P$1,"rg:None")</f>
        <v>rg:None</v>
      </c>
      <c r="Q41" s="4" t="str">
        <f>IF(Table2[[#This Row],[!Type]]=Q$1, Q$1,"rg:None")</f>
        <v>rg:None</v>
      </c>
      <c r="R41" s="4" t="str">
        <f>IF(Table2[[#This Row],[!Type]]=R$1, R$1,"rg:None")</f>
        <v>string</v>
      </c>
      <c r="S41" s="4" t="str">
        <f>IF(Table2[[#This Row],[!Type]]=S$1, S$1,"rg:None")</f>
        <v>rg:None</v>
      </c>
      <c r="T41" s="4" t="str">
        <f>IF(LEN(Table2[[#This Row],[!Length]]) &gt; 0, Table2[[#This Row],[!Length]], "rg:None")</f>
        <v>rg:None</v>
      </c>
      <c r="U41" s="4" t="str">
        <f>IF(LEN(Table2[[#This Row],[!Name]]) &gt; 0, Table2[[#This Row],[!Name]], "rg:None")</f>
        <v>offerResponse</v>
      </c>
      <c r="V41" s="4" t="str">
        <f>IF(LEN(Table2[[#This Row],[!Description]]) &gt; 0, Table2[[#This Row],[!Description]], "rg:None")</f>
        <v>The response to the offer to hire. Null prior to receiving a response; a string after with the response - likely just Yes or No</v>
      </c>
      <c r="W41" s="4" t="str">
        <f>IF(LEN(Table2[[#This Row],[!FK]])&gt;0,Table2[[#This Row],[!FK]],"rg:None")</f>
        <v>rg:None</v>
      </c>
      <c r="X41" s="14" t="str">
        <f>IF(LEN(concatif2(A:A,Table2[[#This Row],[!Table]],G:G,"Y",D:D,",")) &gt; 0,"rg:[ { 'req' : '"&amp;concatif2(A:A,Table2[[#This Row],[!Table]],G:G,"Y",D:D,"' }, { 'req': '")&amp;"'} ]","rg:[]")</f>
        <v>rg:[ { 'req' : 'id' }, { 'req': 'RentalRequest' }, { 'req': 'rotationListSortOrder' }, { 'req': 'equipment'} ]</v>
      </c>
      <c r="Y41" s="4" t="str">
        <f>IF(LEN(Table2[[#This Row],[!Unique]])&gt;0,IF(Table2[[#This Row],[!Type]] = "id", "rg:None","rg:True"),"rg:None")</f>
        <v>rg:None</v>
      </c>
    </row>
    <row r="42" spans="1:25" x14ac:dyDescent="0.35">
      <c r="A42" s="73" t="s">
        <v>421</v>
      </c>
      <c r="B42" s="73" t="s">
        <v>7</v>
      </c>
      <c r="C42" s="73">
        <v>50</v>
      </c>
      <c r="D42" s="73" t="s">
        <v>448</v>
      </c>
      <c r="E42" s="74" t="s">
        <v>449</v>
      </c>
      <c r="F42" s="12"/>
      <c r="G42" s="18"/>
      <c r="H42" s="18"/>
      <c r="I42" s="4" t="str">
        <f>IF(LEN(A42) &gt; 0,"Defs","-")</f>
        <v>Defs</v>
      </c>
      <c r="J42" s="4" t="str">
        <f>IF(Table2[[#This Row],[!Type]]=J$1, J$1,"rg:None")</f>
        <v>rg:None</v>
      </c>
      <c r="K42" s="4" t="str">
        <f>IF(Table2[[#This Row],[!Type]]=K$1, K$1,"rg:None")</f>
        <v>rg:None</v>
      </c>
      <c r="L42" s="4" t="str">
        <f>IF(Table2[[#This Row],[!Type]]=L$1, L$1,"rg:None")</f>
        <v>rg:None</v>
      </c>
      <c r="M42" s="4" t="str">
        <f>IF(Table2[[#This Row],[!Type]]=M$1, M$1,"rg:None")</f>
        <v>rg:None</v>
      </c>
      <c r="N42" s="4" t="str">
        <f>IF(Table2[[#This Row],[!Type]]=N$1, N$1,"rg:None")</f>
        <v>rg:None</v>
      </c>
      <c r="O42" s="4" t="str">
        <f>IF(Table2[[#This Row],[!Type]]=O$1, O$1,"rg:None")</f>
        <v>rg:None</v>
      </c>
      <c r="P42" s="4" t="str">
        <f>IF(Table2[[#This Row],[!Type]]=P$1, P$1,"rg:None")</f>
        <v>rg:None</v>
      </c>
      <c r="Q42" s="4" t="str">
        <f>IF(Table2[[#This Row],[!Type]]=Q$1, Q$1,"rg:None")</f>
        <v>rg:None</v>
      </c>
      <c r="R42" s="4" t="str">
        <f>IF(Table2[[#This Row],[!Type]]=R$1, R$1,"rg:None")</f>
        <v>string</v>
      </c>
      <c r="S42" s="4" t="str">
        <f>IF(Table2[[#This Row],[!Type]]=S$1, S$1,"rg:None")</f>
        <v>rg:None</v>
      </c>
      <c r="T42" s="4">
        <f>IF(LEN(Table2[[#This Row],[!Length]]) &gt; 0, Table2[[#This Row],[!Length]], "rg:None")</f>
        <v>50</v>
      </c>
      <c r="U42" s="4" t="str">
        <f>IF(LEN(Table2[[#This Row],[!Name]]) &gt; 0, Table2[[#This Row],[!Name]], "rg:None")</f>
        <v>offerRefusalReason</v>
      </c>
      <c r="V42" s="4" t="str">
        <f>IF(LEN(Table2[[#This Row],[!Description]]) &gt; 0, Table2[[#This Row],[!Description]], "rg:None")</f>
        <v>The reason why the user refused the offer based on a selection of values from the UI.</v>
      </c>
      <c r="W42" s="4" t="str">
        <f>IF(LEN(Table2[[#This Row],[!FK]])&gt;0,Table2[[#This Row],[!FK]],"rg:None")</f>
        <v>rg:None</v>
      </c>
      <c r="X42" s="14" t="str">
        <f>IF(LEN(concatif2(A:A,Table2[[#This Row],[!Table]],G:G,"Y",D:D,",")) &gt; 0,"rg:[ { 'req' : '"&amp;concatif2(A:A,Table2[[#This Row],[!Table]],G:G,"Y",D:D,"' }, { 'req': '")&amp;"'} ]","rg:[]")</f>
        <v>rg:[ { 'req' : 'id' }, { 'req': 'RentalRequest' }, { 'req': 'rotationListSortOrder' }, { 'req': 'equipment'} ]</v>
      </c>
      <c r="Y42" s="4" t="str">
        <f>IF(LEN(Table2[[#This Row],[!Unique]])&gt;0,IF(Table2[[#This Row],[!Type]] = "id", "rg:None","rg:True"),"rg:None")</f>
        <v>rg:None</v>
      </c>
    </row>
    <row r="43" spans="1:25" x14ac:dyDescent="0.35">
      <c r="A43" s="66" t="s">
        <v>421</v>
      </c>
      <c r="B43" s="73" t="s">
        <v>12</v>
      </c>
      <c r="C43" s="72"/>
      <c r="D43" s="73" t="s">
        <v>445</v>
      </c>
      <c r="E43" s="74" t="s">
        <v>446</v>
      </c>
      <c r="F43" s="12"/>
      <c r="G43" s="18"/>
      <c r="H43" s="18"/>
      <c r="I43" s="4" t="str">
        <f>IF(LEN(A43) &gt; 0,"Defs","-")</f>
        <v>Defs</v>
      </c>
      <c r="J43" s="4" t="str">
        <f>IF(Table2[[#This Row],[!Type]]=J$1, J$1,"rg:None")</f>
        <v>rg:None</v>
      </c>
      <c r="K43" s="4" t="str">
        <f>IF(Table2[[#This Row],[!Type]]=K$1, K$1,"rg:None")</f>
        <v>rg:None</v>
      </c>
      <c r="L43" s="4" t="str">
        <f>IF(Table2[[#This Row],[!Type]]=L$1, L$1,"rg:None")</f>
        <v>datetime</v>
      </c>
      <c r="M43" s="4" t="str">
        <f>IF(Table2[[#This Row],[!Type]]=M$1, M$1,"rg:None")</f>
        <v>rg:None</v>
      </c>
      <c r="N43" s="4" t="str">
        <f>IF(Table2[[#This Row],[!Type]]=N$1, N$1,"rg:None")</f>
        <v>rg:None</v>
      </c>
      <c r="O43" s="4" t="str">
        <f>IF(Table2[[#This Row],[!Type]]=O$1, O$1,"rg:None")</f>
        <v>rg:None</v>
      </c>
      <c r="P43" s="4" t="str">
        <f>IF(Table2[[#This Row],[!Type]]=P$1, P$1,"rg:None")</f>
        <v>rg:None</v>
      </c>
      <c r="Q43" s="4" t="str">
        <f>IF(Table2[[#This Row],[!Type]]=Q$1, Q$1,"rg:None")</f>
        <v>rg:None</v>
      </c>
      <c r="R43" s="4" t="str">
        <f>IF(Table2[[#This Row],[!Type]]=R$1, R$1,"rg:None")</f>
        <v>rg:None</v>
      </c>
      <c r="S43" s="4" t="str">
        <f>IF(Table2[[#This Row],[!Type]]=S$1, S$1,"rg:None")</f>
        <v>rg:None</v>
      </c>
      <c r="T43" s="4" t="str">
        <f>IF(LEN(Table2[[#This Row],[!Length]]) &gt; 0, Table2[[#This Row],[!Length]], "rg:None")</f>
        <v>rg:None</v>
      </c>
      <c r="U43" s="4" t="str">
        <f>IF(LEN(Table2[[#This Row],[!Name]]) &gt; 0, Table2[[#This Row],[!Name]], "rg:None")</f>
        <v>offerResponseDatetime</v>
      </c>
      <c r="V43" s="4" t="str">
        <f>IF(LEN(Table2[[#This Row],[!Description]]) &gt; 0, Table2[[#This Row],[!Description]], "rg:None")</f>
        <v>The date and time the final response to the offer was established.</v>
      </c>
      <c r="W43" s="4" t="str">
        <f>IF(LEN(Table2[[#This Row],[!FK]])&gt;0,Table2[[#This Row],[!FK]],"rg:None")</f>
        <v>rg:None</v>
      </c>
      <c r="X43" s="14" t="str">
        <f>IF(LEN(concatif2(A:A,Table2[[#This Row],[!Table]],G:G,"Y",D:D,",")) &gt; 0,"rg:[ { 'req' : '"&amp;concatif2(A:A,Table2[[#This Row],[!Table]],G:G,"Y",D:D,"' }, { 'req': '")&amp;"'} ]","rg:[]")</f>
        <v>rg:[ { 'req' : 'id' }, { 'req': 'RentalRequest' }, { 'req': 'rotationListSortOrder' }, { 'req': 'equipment'} ]</v>
      </c>
      <c r="Y43" s="4" t="str">
        <f>IF(LEN(Table2[[#This Row],[!Unique]])&gt;0,IF(Table2[[#This Row],[!Type]] = "id", "rg:None","rg:True"),"rg:None")</f>
        <v>rg:None</v>
      </c>
    </row>
    <row r="44" spans="1:25" ht="28.8" x14ac:dyDescent="0.35">
      <c r="A44" s="66" t="s">
        <v>421</v>
      </c>
      <c r="B44" s="26" t="s">
        <v>7</v>
      </c>
      <c r="C44" s="72">
        <v>2048</v>
      </c>
      <c r="D44" s="73" t="s">
        <v>447</v>
      </c>
      <c r="E44" s="112" t="s">
        <v>452</v>
      </c>
      <c r="F44" s="12"/>
      <c r="G44" s="18"/>
      <c r="H44" s="18"/>
      <c r="I44" s="4" t="str">
        <f t="shared" si="4"/>
        <v>Defs</v>
      </c>
      <c r="J44" s="4" t="str">
        <f>IF(Table2[[#This Row],[!Type]]=J$1, J$1,"rg:None")</f>
        <v>rg:None</v>
      </c>
      <c r="K44" s="4" t="str">
        <f>IF(Table2[[#This Row],[!Type]]=K$1, K$1,"rg:None")</f>
        <v>rg:None</v>
      </c>
      <c r="L44" s="4" t="str">
        <f>IF(Table2[[#This Row],[!Type]]=L$1, L$1,"rg:None")</f>
        <v>rg:None</v>
      </c>
      <c r="M44" s="4" t="str">
        <f>IF(Table2[[#This Row],[!Type]]=M$1, M$1,"rg:None")</f>
        <v>rg:None</v>
      </c>
      <c r="N44" s="4" t="str">
        <f>IF(Table2[[#This Row],[!Type]]=N$1, N$1,"rg:None")</f>
        <v>rg:None</v>
      </c>
      <c r="O44" s="4" t="str">
        <f>IF(Table2[[#This Row],[!Type]]=O$1, O$1,"rg:None")</f>
        <v>rg:None</v>
      </c>
      <c r="P44" s="4" t="str">
        <f>IF(Table2[[#This Row],[!Type]]=P$1, P$1,"rg:None")</f>
        <v>rg:None</v>
      </c>
      <c r="Q44" s="4" t="str">
        <f>IF(Table2[[#This Row],[!Type]]=Q$1, Q$1,"rg:None")</f>
        <v>rg:None</v>
      </c>
      <c r="R44" s="4" t="str">
        <f>IF(Table2[[#This Row],[!Type]]=R$1, R$1,"rg:None")</f>
        <v>string</v>
      </c>
      <c r="S44" s="4" t="str">
        <f>IF(Table2[[#This Row],[!Type]]=S$1, S$1,"rg:None")</f>
        <v>rg:None</v>
      </c>
      <c r="T44" s="4">
        <f>IF(LEN(Table2[[#This Row],[!Length]]) &gt; 0, Table2[[#This Row],[!Length]], "rg:None")</f>
        <v>2048</v>
      </c>
      <c r="U44" s="4" t="str">
        <f>IF(LEN(Table2[[#This Row],[!Name]]) &gt; 0, Table2[[#This Row],[!Name]], "rg:None")</f>
        <v>offerResponseNote</v>
      </c>
      <c r="V44" s="4" t="str">
        <f>IF(LEN(Table2[[#This Row],[!Description]]) &gt; 0, Table2[[#This Row],[!Description]], "rg:None")</f>
        <v>A note entered about the response to the offer from the equipment owner about the offer. Usually used when the offer is a "No" or "Force Hire".</v>
      </c>
      <c r="W44" s="4" t="str">
        <f>IF(LEN(Table2[[#This Row],[!FK]])&gt;0,Table2[[#This Row],[!FK]],"rg:None")</f>
        <v>rg:None</v>
      </c>
      <c r="X44" s="14" t="str">
        <f>IF(LEN(concatif2(A:A,Table2[[#This Row],[!Table]],G:G,"Y",D:D,",")) &gt; 0,"rg:[ { 'req' : '"&amp;concatif2(A:A,Table2[[#This Row],[!Table]],G:G,"Y",D:D,"' }, { 'req': '")&amp;"'} ]","rg:[]")</f>
        <v>rg:[ { 'req' : 'id' }, { 'req': 'RentalRequest' }, { 'req': 'rotationListSortOrder' }, { 'req': 'equipment'} ]</v>
      </c>
      <c r="Y44" s="4" t="str">
        <f>IF(LEN(Table2[[#This Row],[!Unique]])&gt;0,IF(Table2[[#This Row],[!Type]] = "id", "rg:None","rg:True"),"rg:None")</f>
        <v>rg:None</v>
      </c>
    </row>
    <row r="45" spans="1:25" x14ac:dyDescent="0.35">
      <c r="A45" s="66" t="s">
        <v>421</v>
      </c>
      <c r="B45" s="26" t="s">
        <v>7</v>
      </c>
      <c r="C45" s="72">
        <v>2048</v>
      </c>
      <c r="D45" s="26" t="s">
        <v>152</v>
      </c>
      <c r="E45" s="48" t="s">
        <v>220</v>
      </c>
      <c r="F45" s="12"/>
      <c r="G45" s="18"/>
      <c r="H45" s="18"/>
      <c r="I45" s="4" t="str">
        <f t="shared" si="4"/>
        <v>Defs</v>
      </c>
      <c r="J45" s="4" t="str">
        <f>IF(Table2[[#This Row],[!Type]]=J$1, J$1,"rg:None")</f>
        <v>rg:None</v>
      </c>
      <c r="K45" s="4" t="str">
        <f>IF(Table2[[#This Row],[!Type]]=K$1, K$1,"rg:None")</f>
        <v>rg:None</v>
      </c>
      <c r="L45" s="4" t="str">
        <f>IF(Table2[[#This Row],[!Type]]=L$1, L$1,"rg:None")</f>
        <v>rg:None</v>
      </c>
      <c r="M45" s="4" t="str">
        <f>IF(Table2[[#This Row],[!Type]]=M$1, M$1,"rg:None")</f>
        <v>rg:None</v>
      </c>
      <c r="N45" s="4" t="str">
        <f>IF(Table2[[#This Row],[!Type]]=N$1, N$1,"rg:None")</f>
        <v>rg:None</v>
      </c>
      <c r="O45" s="4" t="str">
        <f>IF(Table2[[#This Row],[!Type]]=O$1, O$1,"rg:None")</f>
        <v>rg:None</v>
      </c>
      <c r="P45" s="4" t="str">
        <f>IF(Table2[[#This Row],[!Type]]=P$1, P$1,"rg:None")</f>
        <v>rg:None</v>
      </c>
      <c r="Q45" s="4" t="str">
        <f>IF(Table2[[#This Row],[!Type]]=Q$1, Q$1,"rg:None")</f>
        <v>rg:None</v>
      </c>
      <c r="R45" s="4" t="str">
        <f>IF(Table2[[#This Row],[!Type]]=R$1, R$1,"rg:None")</f>
        <v>string</v>
      </c>
      <c r="S45" s="4" t="str">
        <f>IF(Table2[[#This Row],[!Type]]=S$1, S$1,"rg:None")</f>
        <v>rg:None</v>
      </c>
      <c r="T45" s="4">
        <f>IF(LEN(Table2[[#This Row],[!Length]]) &gt; 0, Table2[[#This Row],[!Length]], "rg:None")</f>
        <v>2048</v>
      </c>
      <c r="U45" s="4" t="str">
        <f>IF(LEN(Table2[[#This Row],[!Name]]) &gt; 0, Table2[[#This Row],[!Name]], "rg:None")</f>
        <v>note</v>
      </c>
      <c r="V45" s="4" t="str">
        <f>IF(LEN(Table2[[#This Row],[!Description]]) &gt; 0, Table2[[#This Row],[!Description]], "rg:None")</f>
        <v>An optional general note about the offer.</v>
      </c>
      <c r="W45" s="4" t="str">
        <f>IF(LEN(Table2[[#This Row],[!FK]])&gt;0,Table2[[#This Row],[!FK]],"rg:None")</f>
        <v>rg:None</v>
      </c>
      <c r="X45" s="14" t="str">
        <f>IF(LEN(concatif2(A:A,Table2[[#This Row],[!Table]],G:G,"Y",D:D,",")) &gt; 0,"rg:[ { 'req' : '"&amp;concatif2(A:A,Table2[[#This Row],[!Table]],G:G,"Y",D:D,"' }, { 'req': '")&amp;"'} ]","rg:[]")</f>
        <v>rg:[ { 'req' : 'id' }, { 'req': 'RentalRequest' }, { 'req': 'rotationListSortOrder' }, { 'req': 'equipment'} ]</v>
      </c>
      <c r="Y45" s="4" t="str">
        <f>IF(LEN(Table2[[#This Row],[!Unique]])&gt;0,IF(Table2[[#This Row],[!Type]] = "id", "rg:None","rg:True"),"rg:None")</f>
        <v>rg:None</v>
      </c>
    </row>
    <row r="46" spans="1:25" ht="28.8" x14ac:dyDescent="0.35">
      <c r="A46" s="26" t="s">
        <v>194</v>
      </c>
      <c r="B46" s="26" t="s">
        <v>4</v>
      </c>
      <c r="C46" s="72"/>
      <c r="D46" s="26" t="s">
        <v>194</v>
      </c>
      <c r="E46" s="60" t="s">
        <v>381</v>
      </c>
      <c r="F46" s="27"/>
      <c r="G46" s="18"/>
      <c r="H46" s="18"/>
      <c r="I46" s="4" t="str">
        <f t="shared" si="4"/>
        <v>Defs</v>
      </c>
      <c r="J46" s="4" t="str">
        <f>IF(Table2[[#This Row],[!Type]]=J$1, J$1,"rg:None")</f>
        <v>rg:None</v>
      </c>
      <c r="K46" s="4" t="str">
        <f>IF(Table2[[#This Row],[!Type]]=K$1, K$1,"rg:None")</f>
        <v>rg:None</v>
      </c>
      <c r="L46" s="4" t="str">
        <f>IF(Table2[[#This Row],[!Type]]=L$1, L$1,"rg:None")</f>
        <v>rg:None</v>
      </c>
      <c r="M46" s="4" t="str">
        <f>IF(Table2[[#This Row],[!Type]]=M$1, M$1,"rg:None")</f>
        <v>rg:None</v>
      </c>
      <c r="N46" s="4" t="str">
        <f>IF(Table2[[#This Row],[!Type]]=N$1, N$1,"rg:None")</f>
        <v>rg:None</v>
      </c>
      <c r="O46" s="4" t="str">
        <f>IF(Table2[[#This Row],[!Type]]=O$1, O$1,"rg:None")</f>
        <v>rg:None</v>
      </c>
      <c r="P46" s="4" t="str">
        <f>IF(Table2[[#This Row],[!Type]]=P$1, P$1,"rg:None")</f>
        <v>rg:None</v>
      </c>
      <c r="Q46" s="4" t="str">
        <f>IF(Table2[[#This Row],[!Type]]=Q$1, Q$1,"rg:None")</f>
        <v>rg:None</v>
      </c>
      <c r="R46" s="4" t="str">
        <f>IF(Table2[[#This Row],[!Type]]=R$1, R$1,"rg:None")</f>
        <v>rg:None</v>
      </c>
      <c r="S46" s="4" t="str">
        <f>IF(Table2[[#This Row],[!Type]]=S$1, S$1,"rg:None")</f>
        <v>table</v>
      </c>
      <c r="T46" s="4" t="str">
        <f>IF(LEN(Table2[[#This Row],[!Length]]) &gt; 0, Table2[[#This Row],[!Length]], "rg:None")</f>
        <v>rg:None</v>
      </c>
      <c r="U46" s="4" t="str">
        <f>IF(LEN(Table2[[#This Row],[!Name]]) &gt; 0, Table2[[#This Row],[!Name]], "rg:None")</f>
        <v>RentalAgreement</v>
      </c>
      <c r="V46" s="4" t="str">
        <f>IF(LEN(Table2[[#This Row],[!Description]]) &gt; 0, Table2[[#This Row],[!Description]], "rg:None")</f>
        <v>Information about the hiring of a specific piece of equipment to satisfy part or all of a request from a project. TABLE DEFINITION IN PROGRESS - MORE COLUMNS TO BE ADDED</v>
      </c>
      <c r="W46" s="4" t="str">
        <f>IF(LEN(Table2[[#This Row],[!FK]])&gt;0,Table2[[#This Row],[!FK]],"rg:None")</f>
        <v>rg:None</v>
      </c>
      <c r="X46" s="14" t="str">
        <f>IF(LEN(concatif2(A:A,Table2[[#This Row],[!Table]],G:G,"Y",D:D,",")) &gt; 0,"rg:[ { 'req' : '"&amp;concatif2(A:A,Table2[[#This Row],[!Table]],G:G,"Y",D:D,"' }, { 'req': '")&amp;"'} ]","rg:[]")</f>
        <v>rg:[ { 'req' : 'id' }, { 'req': 'number' }, { 'req': 'status' }, { 'req': 'equipment' }, { 'req': 'project'} ]</v>
      </c>
      <c r="Y46" s="4" t="str">
        <f>IF(LEN(Table2[[#This Row],[!Unique]])&gt;0,IF(Table2[[#This Row],[!Type]] = "id", "rg:None","rg:True"),"rg:None")</f>
        <v>rg:None</v>
      </c>
    </row>
    <row r="47" spans="1:25" x14ac:dyDescent="0.35">
      <c r="A47" s="26" t="s">
        <v>194</v>
      </c>
      <c r="B47" s="23" t="s">
        <v>6</v>
      </c>
      <c r="C47" s="72"/>
      <c r="D47" s="23" t="s">
        <v>6</v>
      </c>
      <c r="E47" s="54" t="s">
        <v>289</v>
      </c>
      <c r="F47" s="12"/>
      <c r="G47" s="25" t="s">
        <v>59</v>
      </c>
      <c r="H47" s="154" t="s">
        <v>59</v>
      </c>
      <c r="I47" s="4" t="str">
        <f t="shared" ref="I47:I78" si="5">IF(LEN(A47) &gt; 0,"Defs","-")</f>
        <v>Defs</v>
      </c>
      <c r="J47" s="4" t="str">
        <f>IF(Table2[[#This Row],[!Type]]=J$1, J$1,"rg:None")</f>
        <v>rg:None</v>
      </c>
      <c r="K47" s="4" t="str">
        <f>IF(Table2[[#This Row],[!Type]]=K$1, K$1,"rg:None")</f>
        <v>rg:None</v>
      </c>
      <c r="L47" s="4" t="str">
        <f>IF(Table2[[#This Row],[!Type]]=L$1, L$1,"rg:None")</f>
        <v>rg:None</v>
      </c>
      <c r="M47" s="4" t="str">
        <f>IF(Table2[[#This Row],[!Type]]=M$1, M$1,"rg:None")</f>
        <v>id</v>
      </c>
      <c r="N47" s="4" t="str">
        <f>IF(Table2[[#This Row],[!Type]]=N$1, N$1,"rg:None")</f>
        <v>rg:None</v>
      </c>
      <c r="O47" s="4" t="str">
        <f>IF(Table2[[#This Row],[!Type]]=O$1, O$1,"rg:None")</f>
        <v>rg:None</v>
      </c>
      <c r="P47" s="4" t="str">
        <f>IF(Table2[[#This Row],[!Type]]=P$1, P$1,"rg:None")</f>
        <v>rg:None</v>
      </c>
      <c r="Q47" s="4" t="str">
        <f>IF(Table2[[#This Row],[!Type]]=Q$1, Q$1,"rg:None")</f>
        <v>rg:None</v>
      </c>
      <c r="R47" s="4" t="str">
        <f>IF(Table2[[#This Row],[!Type]]=R$1, R$1,"rg:None")</f>
        <v>rg:None</v>
      </c>
      <c r="S47" s="4" t="str">
        <f>IF(Table2[[#This Row],[!Type]]=S$1, S$1,"rg:None")</f>
        <v>rg:None</v>
      </c>
      <c r="T47" s="4" t="str">
        <f>IF(LEN(Table2[[#This Row],[!Length]]) &gt; 0, Table2[[#This Row],[!Length]], "rg:None")</f>
        <v>rg:None</v>
      </c>
      <c r="U47" s="4" t="str">
        <f>IF(LEN(Table2[[#This Row],[!Name]]) &gt; 0, Table2[[#This Row],[!Name]], "rg:None")</f>
        <v>id</v>
      </c>
      <c r="V47" s="4" t="str">
        <f>IF(LEN(Table2[[#This Row],[!Description]]) &gt; 0, Table2[[#This Row],[!Description]], "rg:None")</f>
        <v>A system-generated unique identifier for a RentalAgreement</v>
      </c>
      <c r="W47" s="4" t="str">
        <f>IF(LEN(Table2[[#This Row],[!FK]])&gt;0,Table2[[#This Row],[!FK]],"rg:None")</f>
        <v>rg:None</v>
      </c>
      <c r="X47" s="14" t="str">
        <f>IF(LEN(concatif2(A:A,Table2[[#This Row],[!Table]],G:G,"Y",D:D,",")) &gt; 0,"rg:[ { 'req' : '"&amp;concatif2(A:A,Table2[[#This Row],[!Table]],G:G,"Y",D:D,"' }, { 'req': '")&amp;"'} ]","rg:[]")</f>
        <v>rg:[ { 'req' : 'id' }, { 'req': 'number' }, { 'req': 'status' }, { 'req': 'equipment' }, { 'req': 'project'} ]</v>
      </c>
      <c r="Y47" s="4" t="str">
        <f>IF(LEN(Table2[[#This Row],[!Unique]])&gt;0,IF(Table2[[#This Row],[!Type]] = "id", "rg:None","rg:True"),"rg:None")</f>
        <v>rg:None</v>
      </c>
    </row>
    <row r="48" spans="1:25" ht="28.8" x14ac:dyDescent="0.35">
      <c r="A48" s="111" t="s">
        <v>194</v>
      </c>
      <c r="B48" s="111" t="s">
        <v>7</v>
      </c>
      <c r="C48" s="72">
        <v>30</v>
      </c>
      <c r="D48" s="111" t="s">
        <v>478</v>
      </c>
      <c r="E48" s="112" t="s">
        <v>479</v>
      </c>
      <c r="F48" s="12"/>
      <c r="G48" s="154" t="s">
        <v>59</v>
      </c>
      <c r="H48" s="18"/>
      <c r="I48" s="4" t="str">
        <f>IF(LEN(A48) &gt; 0,"Defs","-")</f>
        <v>Defs</v>
      </c>
      <c r="J48" s="4" t="str">
        <f>IF(Table2[[#This Row],[!Type]]=J$1, J$1,"rg:None")</f>
        <v>rg:None</v>
      </c>
      <c r="K48" s="4" t="str">
        <f>IF(Table2[[#This Row],[!Type]]=K$1, K$1,"rg:None")</f>
        <v>rg:None</v>
      </c>
      <c r="L48" s="4" t="str">
        <f>IF(Table2[[#This Row],[!Type]]=L$1, L$1,"rg:None")</f>
        <v>rg:None</v>
      </c>
      <c r="M48" s="4" t="str">
        <f>IF(Table2[[#This Row],[!Type]]=M$1, M$1,"rg:None")</f>
        <v>rg:None</v>
      </c>
      <c r="N48" s="4" t="str">
        <f>IF(Table2[[#This Row],[!Type]]=N$1, N$1,"rg:None")</f>
        <v>rg:None</v>
      </c>
      <c r="O48" s="4" t="str">
        <f>IF(Table2[[#This Row],[!Type]]=O$1, O$1,"rg:None")</f>
        <v>rg:None</v>
      </c>
      <c r="P48" s="4" t="str">
        <f>IF(Table2[[#This Row],[!Type]]=P$1, P$1,"rg:None")</f>
        <v>rg:None</v>
      </c>
      <c r="Q48" s="4" t="str">
        <f>IF(Table2[[#This Row],[!Type]]=Q$1, Q$1,"rg:None")</f>
        <v>rg:None</v>
      </c>
      <c r="R48" s="4" t="str">
        <f>IF(Table2[[#This Row],[!Type]]=R$1, R$1,"rg:None")</f>
        <v>string</v>
      </c>
      <c r="S48" s="4" t="str">
        <f>IF(Table2[[#This Row],[!Type]]=S$1, S$1,"rg:None")</f>
        <v>rg:None</v>
      </c>
      <c r="T48" s="4">
        <f>IF(LEN(Table2[[#This Row],[!Length]]) &gt; 0, Table2[[#This Row],[!Length]], "rg:None")</f>
        <v>30</v>
      </c>
      <c r="U48" s="4" t="str">
        <f>IF(LEN(Table2[[#This Row],[!Name]]) &gt; 0, Table2[[#This Row],[!Name]], "rg:None")</f>
        <v>number</v>
      </c>
      <c r="V48" s="4" t="str">
        <f>IF(LEN(Table2[[#This Row],[!Description]]) &gt; 0, Table2[[#This Row],[!Description]], "rg:None")</f>
        <v>A system-generated unique rental agreement number in a format defined by the business as suitable for the business and client to see and use.</v>
      </c>
      <c r="W48" s="4" t="str">
        <f>IF(LEN(Table2[[#This Row],[!FK]])&gt;0,Table2[[#This Row],[!FK]],"rg:None")</f>
        <v>rg:None</v>
      </c>
      <c r="X48" s="14" t="str">
        <f>IF(LEN(concatif2(A:A,Table2[[#This Row],[!Table]],G:G,"Y",D:D,",")) &gt; 0,"rg:[ { 'req' : '"&amp;concatif2(A:A,Table2[[#This Row],[!Table]],G:G,"Y",D:D,"' }, { 'req': '")&amp;"'} ]","rg:[]")</f>
        <v>rg:[ { 'req' : 'id' }, { 'req': 'number' }, { 'req': 'status' }, { 'req': 'equipment' }, { 'req': 'project'} ]</v>
      </c>
      <c r="Y48" s="4" t="str">
        <f>IF(LEN(Table2[[#This Row],[!Unique]])&gt;0,IF(Table2[[#This Row],[!Type]] = "id", "rg:None","rg:True"),"rg:None")</f>
        <v>rg:None</v>
      </c>
    </row>
    <row r="49" spans="1:25" x14ac:dyDescent="0.35">
      <c r="A49" s="73" t="s">
        <v>194</v>
      </c>
      <c r="B49" s="73" t="s">
        <v>7</v>
      </c>
      <c r="C49" s="72">
        <v>50</v>
      </c>
      <c r="D49" s="73" t="s">
        <v>225</v>
      </c>
      <c r="E49" s="74" t="s">
        <v>435</v>
      </c>
      <c r="F49" s="12"/>
      <c r="G49" s="154" t="s">
        <v>59</v>
      </c>
      <c r="H49" s="18"/>
      <c r="I49" s="4" t="str">
        <f>IF(LEN(A49) &gt; 0,"Defs","-")</f>
        <v>Defs</v>
      </c>
      <c r="J49" s="4" t="str">
        <f>IF(Table2[[#This Row],[!Type]]=J$1, J$1,"rg:None")</f>
        <v>rg:None</v>
      </c>
      <c r="K49" s="4" t="str">
        <f>IF(Table2[[#This Row],[!Type]]=K$1, K$1,"rg:None")</f>
        <v>rg:None</v>
      </c>
      <c r="L49" s="4" t="str">
        <f>IF(Table2[[#This Row],[!Type]]=L$1, L$1,"rg:None")</f>
        <v>rg:None</v>
      </c>
      <c r="M49" s="4" t="str">
        <f>IF(Table2[[#This Row],[!Type]]=M$1, M$1,"rg:None")</f>
        <v>rg:None</v>
      </c>
      <c r="N49" s="4" t="str">
        <f>IF(Table2[[#This Row],[!Type]]=N$1, N$1,"rg:None")</f>
        <v>rg:None</v>
      </c>
      <c r="O49" s="4" t="str">
        <f>IF(Table2[[#This Row],[!Type]]=O$1, O$1,"rg:None")</f>
        <v>rg:None</v>
      </c>
      <c r="P49" s="4" t="str">
        <f>IF(Table2[[#This Row],[!Type]]=P$1, P$1,"rg:None")</f>
        <v>rg:None</v>
      </c>
      <c r="Q49" s="4" t="str">
        <f>IF(Table2[[#This Row],[!Type]]=Q$1, Q$1,"rg:None")</f>
        <v>rg:None</v>
      </c>
      <c r="R49" s="4" t="str">
        <f>IF(Table2[[#This Row],[!Type]]=R$1, R$1,"rg:None")</f>
        <v>string</v>
      </c>
      <c r="S49" s="4" t="str">
        <f>IF(Table2[[#This Row],[!Type]]=S$1, S$1,"rg:None")</f>
        <v>rg:None</v>
      </c>
      <c r="T49" s="4">
        <f>IF(LEN(Table2[[#This Row],[!Length]]) &gt; 0, Table2[[#This Row],[!Length]], "rg:None")</f>
        <v>50</v>
      </c>
      <c r="U49" s="4" t="str">
        <f>IF(LEN(Table2[[#This Row],[!Name]]) &gt; 0, Table2[[#This Row],[!Name]], "rg:None")</f>
        <v>status</v>
      </c>
      <c r="V49" s="4" t="str">
        <f>IF(LEN(Table2[[#This Row],[!Description]]) &gt; 0, Table2[[#This Row],[!Description]], "rg:None")</f>
        <v>The current status of the Rental Agreement, such as Active or Complete</v>
      </c>
      <c r="W49" s="4" t="str">
        <f>IF(LEN(Table2[[#This Row],[!FK]])&gt;0,Table2[[#This Row],[!FK]],"rg:None")</f>
        <v>rg:None</v>
      </c>
      <c r="X49" s="14" t="str">
        <f>IF(LEN(concatif2(A:A,Table2[[#This Row],[!Table]],G:G,"Y",D:D,",")) &gt; 0,"rg:[ { 'req' : '"&amp;concatif2(A:A,Table2[[#This Row],[!Table]],G:G,"Y",D:D,"' }, { 'req': '")&amp;"'} ]","rg:[]")</f>
        <v>rg:[ { 'req' : 'id' }, { 'req': 'number' }, { 'req': 'status' }, { 'req': 'equipment' }, { 'req': 'project'} ]</v>
      </c>
      <c r="Y49" s="4" t="str">
        <f>IF(LEN(Table2[[#This Row],[!Unique]])&gt;0,IF(Table2[[#This Row],[!Type]] = "id", "rg:None","rg:True"),"rg:None")</f>
        <v>rg:None</v>
      </c>
    </row>
    <row r="50" spans="1:25" x14ac:dyDescent="0.35">
      <c r="A50" s="26" t="s">
        <v>194</v>
      </c>
      <c r="B50" s="26" t="s">
        <v>8</v>
      </c>
      <c r="C50" s="72"/>
      <c r="D50" s="26" t="s">
        <v>175</v>
      </c>
      <c r="E50" s="129" t="s">
        <v>528</v>
      </c>
      <c r="F50" s="27" t="s">
        <v>176</v>
      </c>
      <c r="G50" s="154" t="s">
        <v>59</v>
      </c>
      <c r="H50" s="18"/>
      <c r="I50" s="4" t="str">
        <f t="shared" si="5"/>
        <v>Defs</v>
      </c>
      <c r="J50" s="4" t="str">
        <f>IF(Table2[[#This Row],[!Type]]=J$1, J$1,"rg:None")</f>
        <v>rg:None</v>
      </c>
      <c r="K50" s="4" t="str">
        <f>IF(Table2[[#This Row],[!Type]]=K$1, K$1,"rg:None")</f>
        <v>rg:None</v>
      </c>
      <c r="L50" s="4" t="str">
        <f>IF(Table2[[#This Row],[!Type]]=L$1, L$1,"rg:None")</f>
        <v>rg:None</v>
      </c>
      <c r="M50" s="4" t="str">
        <f>IF(Table2[[#This Row],[!Type]]=M$1, M$1,"rg:None")</f>
        <v>rg:None</v>
      </c>
      <c r="N50" s="4" t="str">
        <f>IF(Table2[[#This Row],[!Type]]=N$1, N$1,"rg:None")</f>
        <v>rg:None</v>
      </c>
      <c r="O50" s="4" t="str">
        <f>IF(Table2[[#This Row],[!Type]]=O$1, O$1,"rg:None")</f>
        <v>rg:None</v>
      </c>
      <c r="P50" s="4" t="str">
        <f>IF(Table2[[#This Row],[!Type]]=P$1, P$1,"rg:None")</f>
        <v>rg:None</v>
      </c>
      <c r="Q50" s="4" t="str">
        <f>IF(Table2[[#This Row],[!Type]]=Q$1, Q$1,"rg:None")</f>
        <v>ref</v>
      </c>
      <c r="R50" s="4" t="str">
        <f>IF(Table2[[#This Row],[!Type]]=R$1, R$1,"rg:None")</f>
        <v>rg:None</v>
      </c>
      <c r="S50" s="4" t="str">
        <f>IF(Table2[[#This Row],[!Type]]=S$1, S$1,"rg:None")</f>
        <v>rg:None</v>
      </c>
      <c r="T50" s="4" t="str">
        <f>IF(LEN(Table2[[#This Row],[!Length]]) &gt; 0, Table2[[#This Row],[!Length]], "rg:None")</f>
        <v>rg:None</v>
      </c>
      <c r="U50" s="4" t="str">
        <f>IF(LEN(Table2[[#This Row],[!Name]]) &gt; 0, Table2[[#This Row],[!Name]], "rg:None")</f>
        <v>equipment</v>
      </c>
      <c r="V50" s="4" t="str">
        <f>IF(LEN(Table2[[#This Row],[!Description]]) &gt; 0, Table2[[#This Row],[!Description]], "rg:None")</f>
        <v>A foreign key reference to the system-generated unique identifier for an Equipment</v>
      </c>
      <c r="W50" s="4" t="str">
        <f>IF(LEN(Table2[[#This Row],[!FK]])&gt;0,Table2[[#This Row],[!FK]],"rg:None")</f>
        <v>Equipment</v>
      </c>
      <c r="X50" s="14" t="str">
        <f>IF(LEN(concatif2(A:A,Table2[[#This Row],[!Table]],G:G,"Y",D:D,",")) &gt; 0,"rg:[ { 'req' : '"&amp;concatif2(A:A,Table2[[#This Row],[!Table]],G:G,"Y",D:D,"' }, { 'req': '")&amp;"'} ]","rg:[]")</f>
        <v>rg:[ { 'req' : 'id' }, { 'req': 'number' }, { 'req': 'status' }, { 'req': 'equipment' }, { 'req': 'project'} ]</v>
      </c>
      <c r="Y50" s="4" t="str">
        <f>IF(LEN(Table2[[#This Row],[!Unique]])&gt;0,IF(Table2[[#This Row],[!Type]] = "id", "rg:None","rg:True"),"rg:None")</f>
        <v>rg:None</v>
      </c>
    </row>
    <row r="51" spans="1:25" x14ac:dyDescent="0.35">
      <c r="A51" s="26" t="s">
        <v>194</v>
      </c>
      <c r="B51" s="23" t="s">
        <v>8</v>
      </c>
      <c r="C51" s="72"/>
      <c r="D51" s="23" t="s">
        <v>146</v>
      </c>
      <c r="E51" s="129" t="s">
        <v>529</v>
      </c>
      <c r="F51" s="24" t="s">
        <v>133</v>
      </c>
      <c r="G51" s="154" t="s">
        <v>59</v>
      </c>
      <c r="H51" s="18"/>
      <c r="I51" s="4" t="str">
        <f t="shared" si="5"/>
        <v>Defs</v>
      </c>
      <c r="J51" s="4" t="str">
        <f>IF(Table2[[#This Row],[!Type]]=J$1, J$1,"rg:None")</f>
        <v>rg:None</v>
      </c>
      <c r="K51" s="4" t="str">
        <f>IF(Table2[[#This Row],[!Type]]=K$1, K$1,"rg:None")</f>
        <v>rg:None</v>
      </c>
      <c r="L51" s="4" t="str">
        <f>IF(Table2[[#This Row],[!Type]]=L$1, L$1,"rg:None")</f>
        <v>rg:None</v>
      </c>
      <c r="M51" s="4" t="str">
        <f>IF(Table2[[#This Row],[!Type]]=M$1, M$1,"rg:None")</f>
        <v>rg:None</v>
      </c>
      <c r="N51" s="4" t="str">
        <f>IF(Table2[[#This Row],[!Type]]=N$1, N$1,"rg:None")</f>
        <v>rg:None</v>
      </c>
      <c r="O51" s="4" t="str">
        <f>IF(Table2[[#This Row],[!Type]]=O$1, O$1,"rg:None")</f>
        <v>rg:None</v>
      </c>
      <c r="P51" s="4" t="str">
        <f>IF(Table2[[#This Row],[!Type]]=P$1, P$1,"rg:None")</f>
        <v>rg:None</v>
      </c>
      <c r="Q51" s="4" t="str">
        <f>IF(Table2[[#This Row],[!Type]]=Q$1, Q$1,"rg:None")</f>
        <v>ref</v>
      </c>
      <c r="R51" s="4" t="str">
        <f>IF(Table2[[#This Row],[!Type]]=R$1, R$1,"rg:None")</f>
        <v>rg:None</v>
      </c>
      <c r="S51" s="4" t="str">
        <f>IF(Table2[[#This Row],[!Type]]=S$1, S$1,"rg:None")</f>
        <v>rg:None</v>
      </c>
      <c r="T51" s="4" t="str">
        <f>IF(LEN(Table2[[#This Row],[!Length]]) &gt; 0, Table2[[#This Row],[!Length]], "rg:None")</f>
        <v>rg:None</v>
      </c>
      <c r="U51" s="4" t="str">
        <f>IF(LEN(Table2[[#This Row],[!Name]]) &gt; 0, Table2[[#This Row],[!Name]], "rg:None")</f>
        <v>project</v>
      </c>
      <c r="V51" s="4" t="str">
        <f>IF(LEN(Table2[[#This Row],[!Description]]) &gt; 0, Table2[[#This Row],[!Description]], "rg:None")</f>
        <v>A foreign key reference to the system-generated unique identifier for a Project</v>
      </c>
      <c r="W51" s="4" t="str">
        <f>IF(LEN(Table2[[#This Row],[!FK]])&gt;0,Table2[[#This Row],[!FK]],"rg:None")</f>
        <v>Project</v>
      </c>
      <c r="X51" s="14" t="str">
        <f>IF(LEN(concatif2(A:A,Table2[[#This Row],[!Table]],G:G,"Y",D:D,",")) &gt; 0,"rg:[ { 'req' : '"&amp;concatif2(A:A,Table2[[#This Row],[!Table]],G:G,"Y",D:D,"' }, { 'req': '")&amp;"'} ]","rg:[]")</f>
        <v>rg:[ { 'req' : 'id' }, { 'req': 'number' }, { 'req': 'status' }, { 'req': 'equipment' }, { 'req': 'project'} ]</v>
      </c>
      <c r="Y51" s="4" t="str">
        <f>IF(LEN(Table2[[#This Row],[!Unique]])&gt;0,IF(Table2[[#This Row],[!Type]] = "id", "rg:None","rg:True"),"rg:None")</f>
        <v>rg:None</v>
      </c>
    </row>
    <row r="52" spans="1:25" x14ac:dyDescent="0.35">
      <c r="A52" s="111" t="s">
        <v>194</v>
      </c>
      <c r="B52" s="111" t="s">
        <v>7</v>
      </c>
      <c r="C52" s="72">
        <v>2048</v>
      </c>
      <c r="D52" s="111" t="s">
        <v>152</v>
      </c>
      <c r="E52" s="112" t="s">
        <v>471</v>
      </c>
      <c r="F52" s="12"/>
      <c r="G52" s="18"/>
      <c r="H52" s="18"/>
      <c r="I52" s="4" t="str">
        <f t="shared" ref="I52:I54" si="6">IF(LEN(A52) &gt; 0,"Defs","-")</f>
        <v>Defs</v>
      </c>
      <c r="J52" s="4" t="str">
        <f>IF(Table2[[#This Row],[!Type]]=J$1, J$1,"rg:None")</f>
        <v>rg:None</v>
      </c>
      <c r="K52" s="4" t="str">
        <f>IF(Table2[[#This Row],[!Type]]=K$1, K$1,"rg:None")</f>
        <v>rg:None</v>
      </c>
      <c r="L52" s="4" t="str">
        <f>IF(Table2[[#This Row],[!Type]]=L$1, L$1,"rg:None")</f>
        <v>rg:None</v>
      </c>
      <c r="M52" s="4" t="str">
        <f>IF(Table2[[#This Row],[!Type]]=M$1, M$1,"rg:None")</f>
        <v>rg:None</v>
      </c>
      <c r="N52" s="4" t="str">
        <f>IF(Table2[[#This Row],[!Type]]=N$1, N$1,"rg:None")</f>
        <v>rg:None</v>
      </c>
      <c r="O52" s="4" t="str">
        <f>IF(Table2[[#This Row],[!Type]]=O$1, O$1,"rg:None")</f>
        <v>rg:None</v>
      </c>
      <c r="P52" s="4" t="str">
        <f>IF(Table2[[#This Row],[!Type]]=P$1, P$1,"rg:None")</f>
        <v>rg:None</v>
      </c>
      <c r="Q52" s="4" t="str">
        <f>IF(Table2[[#This Row],[!Type]]=Q$1, Q$1,"rg:None")</f>
        <v>rg:None</v>
      </c>
      <c r="R52" s="4" t="str">
        <f>IF(Table2[[#This Row],[!Type]]=R$1, R$1,"rg:None")</f>
        <v>string</v>
      </c>
      <c r="S52" s="4" t="str">
        <f>IF(Table2[[#This Row],[!Type]]=S$1, S$1,"rg:None")</f>
        <v>rg:None</v>
      </c>
      <c r="T52" s="4">
        <f>IF(LEN(Table2[[#This Row],[!Length]]) &gt; 0, Table2[[#This Row],[!Length]], "rg:None")</f>
        <v>2048</v>
      </c>
      <c r="U52" s="4" t="str">
        <f>IF(LEN(Table2[[#This Row],[!Name]]) &gt; 0, Table2[[#This Row],[!Name]], "rg:None")</f>
        <v>note</v>
      </c>
      <c r="V52" s="4" t="str">
        <f>IF(LEN(Table2[[#This Row],[!Description]]) &gt; 0, Table2[[#This Row],[!Description]], "rg:None")</f>
        <v>An optional note to be placed onto the Rental Agreement.</v>
      </c>
      <c r="W52" s="4" t="str">
        <f>IF(LEN(Table2[[#This Row],[!FK]])&gt;0,Table2[[#This Row],[!FK]],"rg:None")</f>
        <v>rg:None</v>
      </c>
      <c r="X52" s="14" t="str">
        <f>IF(LEN(concatif2(A:A,Table2[[#This Row],[!Table]],G:G,"Y",D:D,",")) &gt; 0,"rg:[ { 'req' : '"&amp;concatif2(A:A,Table2[[#This Row],[!Table]],G:G,"Y",D:D,"' }, { 'req': '")&amp;"'} ]","rg:[]")</f>
        <v>rg:[ { 'req' : 'id' }, { 'req': 'number' }, { 'req': 'status' }, { 'req': 'equipment' }, { 'req': 'project'} ]</v>
      </c>
      <c r="Y52" s="4" t="str">
        <f>IF(LEN(Table2[[#This Row],[!Unique]])&gt;0,IF(Table2[[#This Row],[!Type]] = "id", "rg:None","rg:True"),"rg:None")</f>
        <v>rg:None</v>
      </c>
    </row>
    <row r="53" spans="1:25" x14ac:dyDescent="0.35">
      <c r="A53" s="111" t="s">
        <v>194</v>
      </c>
      <c r="B53" s="111" t="s">
        <v>12</v>
      </c>
      <c r="C53" s="72"/>
      <c r="D53" s="111" t="s">
        <v>472</v>
      </c>
      <c r="E53" s="112" t="s">
        <v>473</v>
      </c>
      <c r="F53" s="12"/>
      <c r="G53" s="18"/>
      <c r="H53" s="18"/>
      <c r="I53" s="4" t="str">
        <f t="shared" si="6"/>
        <v>Defs</v>
      </c>
      <c r="J53" s="4" t="str">
        <f>IF(Table2[[#This Row],[!Type]]=J$1, J$1,"rg:None")</f>
        <v>rg:None</v>
      </c>
      <c r="K53" s="4" t="str">
        <f>IF(Table2[[#This Row],[!Type]]=K$1, K$1,"rg:None")</f>
        <v>rg:None</v>
      </c>
      <c r="L53" s="4" t="str">
        <f>IF(Table2[[#This Row],[!Type]]=L$1, L$1,"rg:None")</f>
        <v>datetime</v>
      </c>
      <c r="M53" s="4" t="str">
        <f>IF(Table2[[#This Row],[!Type]]=M$1, M$1,"rg:None")</f>
        <v>rg:None</v>
      </c>
      <c r="N53" s="4" t="str">
        <f>IF(Table2[[#This Row],[!Type]]=N$1, N$1,"rg:None")</f>
        <v>rg:None</v>
      </c>
      <c r="O53" s="4" t="str">
        <f>IF(Table2[[#This Row],[!Type]]=O$1, O$1,"rg:None")</f>
        <v>rg:None</v>
      </c>
      <c r="P53" s="4" t="str">
        <f>IF(Table2[[#This Row],[!Type]]=P$1, P$1,"rg:None")</f>
        <v>rg:None</v>
      </c>
      <c r="Q53" s="4" t="str">
        <f>IF(Table2[[#This Row],[!Type]]=Q$1, Q$1,"rg:None")</f>
        <v>rg:None</v>
      </c>
      <c r="R53" s="4" t="str">
        <f>IF(Table2[[#This Row],[!Type]]=R$1, R$1,"rg:None")</f>
        <v>rg:None</v>
      </c>
      <c r="S53" s="4" t="str">
        <f>IF(Table2[[#This Row],[!Type]]=S$1, S$1,"rg:None")</f>
        <v>rg:None</v>
      </c>
      <c r="T53" s="4" t="str">
        <f>IF(LEN(Table2[[#This Row],[!Length]]) &gt; 0, Table2[[#This Row],[!Length]], "rg:None")</f>
        <v>rg:None</v>
      </c>
      <c r="U53" s="4" t="str">
        <f>IF(LEN(Table2[[#This Row],[!Name]]) &gt; 0, Table2[[#This Row],[!Name]], "rg:None")</f>
        <v>estimateStartWork</v>
      </c>
      <c r="V53" s="4" t="str">
        <f>IF(LEN(Table2[[#This Row],[!Description]]) &gt; 0, Table2[[#This Row],[!Description]], "rg:None")</f>
        <v>The estimated start date of the work to be placed on the rental agreement.</v>
      </c>
      <c r="W53" s="4" t="str">
        <f>IF(LEN(Table2[[#This Row],[!FK]])&gt;0,Table2[[#This Row],[!FK]],"rg:None")</f>
        <v>rg:None</v>
      </c>
      <c r="X53" s="14" t="str">
        <f>IF(LEN(concatif2(A:A,Table2[[#This Row],[!Table]],G:G,"Y",D:D,",")) &gt; 0,"rg:[ { 'req' : '"&amp;concatif2(A:A,Table2[[#This Row],[!Table]],G:G,"Y",D:D,"' }, { 'req': '")&amp;"'} ]","rg:[]")</f>
        <v>rg:[ { 'req' : 'id' }, { 'req': 'number' }, { 'req': 'status' }, { 'req': 'equipment' }, { 'req': 'project'} ]</v>
      </c>
      <c r="Y53" s="4" t="str">
        <f>IF(LEN(Table2[[#This Row],[!Unique]])&gt;0,IF(Table2[[#This Row],[!Type]] = "id", "rg:None","rg:True"),"rg:None")</f>
        <v>rg:None</v>
      </c>
    </row>
    <row r="54" spans="1:25" x14ac:dyDescent="0.35">
      <c r="A54" s="111" t="s">
        <v>194</v>
      </c>
      <c r="B54" s="111" t="s">
        <v>12</v>
      </c>
      <c r="C54" s="72"/>
      <c r="D54" s="111" t="s">
        <v>476</v>
      </c>
      <c r="E54" s="112" t="s">
        <v>474</v>
      </c>
      <c r="F54" s="12"/>
      <c r="G54" s="18"/>
      <c r="H54" s="18"/>
      <c r="I54" s="4" t="str">
        <f t="shared" si="6"/>
        <v>Defs</v>
      </c>
      <c r="J54" s="4" t="str">
        <f>IF(Table2[[#This Row],[!Type]]=J$1, J$1,"rg:None")</f>
        <v>rg:None</v>
      </c>
      <c r="K54" s="4" t="str">
        <f>IF(Table2[[#This Row],[!Type]]=K$1, K$1,"rg:None")</f>
        <v>rg:None</v>
      </c>
      <c r="L54" s="4" t="str">
        <f>IF(Table2[[#This Row],[!Type]]=L$1, L$1,"rg:None")</f>
        <v>datetime</v>
      </c>
      <c r="M54" s="4" t="str">
        <f>IF(Table2[[#This Row],[!Type]]=M$1, M$1,"rg:None")</f>
        <v>rg:None</v>
      </c>
      <c r="N54" s="4" t="str">
        <f>IF(Table2[[#This Row],[!Type]]=N$1, N$1,"rg:None")</f>
        <v>rg:None</v>
      </c>
      <c r="O54" s="4" t="str">
        <f>IF(Table2[[#This Row],[!Type]]=O$1, O$1,"rg:None")</f>
        <v>rg:None</v>
      </c>
      <c r="P54" s="4" t="str">
        <f>IF(Table2[[#This Row],[!Type]]=P$1, P$1,"rg:None")</f>
        <v>rg:None</v>
      </c>
      <c r="Q54" s="4" t="str">
        <f>IF(Table2[[#This Row],[!Type]]=Q$1, Q$1,"rg:None")</f>
        <v>rg:None</v>
      </c>
      <c r="R54" s="4" t="str">
        <f>IF(Table2[[#This Row],[!Type]]=R$1, R$1,"rg:None")</f>
        <v>rg:None</v>
      </c>
      <c r="S54" s="4" t="str">
        <f>IF(Table2[[#This Row],[!Type]]=S$1, S$1,"rg:None")</f>
        <v>rg:None</v>
      </c>
      <c r="T54" s="4" t="str">
        <f>IF(LEN(Table2[[#This Row],[!Length]]) &gt; 0, Table2[[#This Row],[!Length]], "rg:None")</f>
        <v>rg:None</v>
      </c>
      <c r="U54" s="4" t="str">
        <f>IF(LEN(Table2[[#This Row],[!Name]]) &gt; 0, Table2[[#This Row],[!Name]], "rg:None")</f>
        <v>datedOn</v>
      </c>
      <c r="V54" s="4" t="str">
        <f>IF(LEN(Table2[[#This Row],[!Description]]) &gt; 0, Table2[[#This Row],[!Description]], "rg:None")</f>
        <v>The dated on date to put on the Rental Agreement.</v>
      </c>
      <c r="W54" s="4" t="str">
        <f>IF(LEN(Table2[[#This Row],[!FK]])&gt;0,Table2[[#This Row],[!FK]],"rg:None")</f>
        <v>rg:None</v>
      </c>
      <c r="X54" s="14" t="str">
        <f>IF(LEN(concatif2(A:A,Table2[[#This Row],[!Table]],G:G,"Y",D:D,",")) &gt; 0,"rg:[ { 'req' : '"&amp;concatif2(A:A,Table2[[#This Row],[!Table]],G:G,"Y",D:D,"' }, { 'req': '")&amp;"'} ]","rg:[]")</f>
        <v>rg:[ { 'req' : 'id' }, { 'req': 'number' }, { 'req': 'status' }, { 'req': 'equipment' }, { 'req': 'project'} ]</v>
      </c>
      <c r="Y54" s="4" t="str">
        <f>IF(LEN(Table2[[#This Row],[!Unique]])&gt;0,IF(Table2[[#This Row],[!Type]] = "id", "rg:None","rg:True"),"rg:None")</f>
        <v>rg:None</v>
      </c>
    </row>
    <row r="55" spans="1:25" x14ac:dyDescent="0.35">
      <c r="A55" s="111" t="s">
        <v>194</v>
      </c>
      <c r="B55" s="111" t="s">
        <v>13</v>
      </c>
      <c r="C55" s="72"/>
      <c r="D55" s="111" t="s">
        <v>475</v>
      </c>
      <c r="E55" s="112" t="s">
        <v>477</v>
      </c>
      <c r="F55" s="12"/>
      <c r="G55" s="18"/>
      <c r="H55" s="18"/>
      <c r="I55" s="4" t="str">
        <f t="shared" ref="I55" si="7">IF(LEN(A55) &gt; 0,"Defs","-")</f>
        <v>Defs</v>
      </c>
      <c r="J55" s="4" t="str">
        <f>IF(Table2[[#This Row],[!Type]]=J$1, J$1,"rg:None")</f>
        <v>rg:None</v>
      </c>
      <c r="K55" s="4" t="str">
        <f>IF(Table2[[#This Row],[!Type]]=K$1, K$1,"rg:None")</f>
        <v>rg:None</v>
      </c>
      <c r="L55" s="4" t="str">
        <f>IF(Table2[[#This Row],[!Type]]=L$1, L$1,"rg:None")</f>
        <v>rg:None</v>
      </c>
      <c r="M55" s="4" t="str">
        <f>IF(Table2[[#This Row],[!Type]]=M$1, M$1,"rg:None")</f>
        <v>rg:None</v>
      </c>
      <c r="N55" s="4" t="str">
        <f>IF(Table2[[#This Row],[!Type]]=N$1, N$1,"rg:None")</f>
        <v>integer</v>
      </c>
      <c r="O55" s="4" t="str">
        <f>IF(Table2[[#This Row],[!Type]]=O$1, O$1,"rg:None")</f>
        <v>rg:None</v>
      </c>
      <c r="P55" s="4" t="str">
        <f>IF(Table2[[#This Row],[!Type]]=P$1, P$1,"rg:None")</f>
        <v>rg:None</v>
      </c>
      <c r="Q55" s="4" t="str">
        <f>IF(Table2[[#This Row],[!Type]]=Q$1, Q$1,"rg:None")</f>
        <v>rg:None</v>
      </c>
      <c r="R55" s="4" t="str">
        <f>IF(Table2[[#This Row],[!Type]]=R$1, R$1,"rg:None")</f>
        <v>rg:None</v>
      </c>
      <c r="S55" s="4" t="str">
        <f>IF(Table2[[#This Row],[!Type]]=S$1, S$1,"rg:None")</f>
        <v>rg:None</v>
      </c>
      <c r="T55" s="4" t="str">
        <f>IF(LEN(Table2[[#This Row],[!Length]]) &gt; 0, Table2[[#This Row],[!Length]], "rg:None")</f>
        <v>rg:None</v>
      </c>
      <c r="U55" s="4" t="str">
        <f>IF(LEN(Table2[[#This Row],[!Name]]) &gt; 0, Table2[[#This Row],[!Name]], "rg:None")</f>
        <v>estimateHours</v>
      </c>
      <c r="V55" s="4" t="str">
        <f>IF(LEN(Table2[[#This Row],[!Description]]) &gt; 0, Table2[[#This Row],[!Description]], "rg:None")</f>
        <v>The estimated number of hours of work to be put onto the Rental Agreement.</v>
      </c>
      <c r="W55" s="4" t="str">
        <f>IF(LEN(Table2[[#This Row],[!FK]])&gt;0,Table2[[#This Row],[!FK]],"rg:None")</f>
        <v>rg:None</v>
      </c>
      <c r="X55" s="14" t="str">
        <f>IF(LEN(concatif2(A:A,Table2[[#This Row],[!Table]],G:G,"Y",D:D,",")) &gt; 0,"rg:[ { 'req' : '"&amp;concatif2(A:A,Table2[[#This Row],[!Table]],G:G,"Y",D:D,"' }, { 'req': '")&amp;"'} ]","rg:[]")</f>
        <v>rg:[ { 'req' : 'id' }, { 'req': 'number' }, { 'req': 'status' }, { 'req': 'equipment' }, { 'req': 'project'} ]</v>
      </c>
      <c r="Y55" s="4" t="str">
        <f>IF(LEN(Table2[[#This Row],[!Unique]])&gt;0,IF(Table2[[#This Row],[!Type]] = "id", "rg:None","rg:True"),"rg:None")</f>
        <v>rg:None</v>
      </c>
    </row>
    <row r="56" spans="1:25" ht="28.8" x14ac:dyDescent="0.35">
      <c r="A56" s="111" t="s">
        <v>194</v>
      </c>
      <c r="B56" s="111" t="s">
        <v>105</v>
      </c>
      <c r="C56" s="72"/>
      <c r="D56" s="111" t="s">
        <v>482</v>
      </c>
      <c r="E56" s="112" t="s">
        <v>485</v>
      </c>
      <c r="F56" s="12"/>
      <c r="G56" s="18"/>
      <c r="H56" s="18"/>
      <c r="I56" s="4" t="str">
        <f t="shared" ref="I56:I58" si="8">IF(LEN(A56) &gt; 0,"Defs","-")</f>
        <v>Defs</v>
      </c>
      <c r="J56" s="4" t="str">
        <f>IF(Table2[[#This Row],[!Type]]=J$1, J$1,"rg:None")</f>
        <v>rg:None</v>
      </c>
      <c r="K56" s="4" t="str">
        <f>IF(Table2[[#This Row],[!Type]]=K$1, K$1,"rg:None")</f>
        <v>rg:None</v>
      </c>
      <c r="L56" s="4" t="str">
        <f>IF(Table2[[#This Row],[!Type]]=L$1, L$1,"rg:None")</f>
        <v>rg:None</v>
      </c>
      <c r="M56" s="4" t="str">
        <f>IF(Table2[[#This Row],[!Type]]=M$1, M$1,"rg:None")</f>
        <v>rg:None</v>
      </c>
      <c r="N56" s="4" t="str">
        <f>IF(Table2[[#This Row],[!Type]]=N$1, N$1,"rg:None")</f>
        <v>rg:None</v>
      </c>
      <c r="O56" s="4" t="str">
        <f>IF(Table2[[#This Row],[!Type]]=O$1, O$1,"rg:None")</f>
        <v>float</v>
      </c>
      <c r="P56" s="4" t="str">
        <f>IF(Table2[[#This Row],[!Type]]=P$1, P$1,"rg:None")</f>
        <v>rg:None</v>
      </c>
      <c r="Q56" s="4" t="str">
        <f>IF(Table2[[#This Row],[!Type]]=Q$1, Q$1,"rg:None")</f>
        <v>rg:None</v>
      </c>
      <c r="R56" s="4" t="str">
        <f>IF(Table2[[#This Row],[!Type]]=R$1, R$1,"rg:None")</f>
        <v>rg:None</v>
      </c>
      <c r="S56" s="4" t="str">
        <f>IF(Table2[[#This Row],[!Type]]=S$1, S$1,"rg:None")</f>
        <v>rg:None</v>
      </c>
      <c r="T56" s="4" t="str">
        <f>IF(LEN(Table2[[#This Row],[!Length]]) &gt; 0, Table2[[#This Row],[!Length]], "rg:None")</f>
        <v>rg:None</v>
      </c>
      <c r="U56" s="4" t="str">
        <f>IF(LEN(Table2[[#This Row],[!Name]]) &gt; 0, Table2[[#This Row],[!Name]], "rg:None")</f>
        <v>equipmentRate</v>
      </c>
      <c r="V56" s="4" t="str">
        <f>IF(LEN(Table2[[#This Row],[!Description]]) &gt; 0, Table2[[#This Row],[!Description]], "rg:None")</f>
        <v>The dollar rate for the piece of equipment itself for this Rental Agreement. Other rates associated with the Rental Agreement are in the Rental Agreement Rate table.</v>
      </c>
      <c r="W56" s="4" t="str">
        <f>IF(LEN(Table2[[#This Row],[!FK]])&gt;0,Table2[[#This Row],[!FK]],"rg:None")</f>
        <v>rg:None</v>
      </c>
      <c r="X56" s="14" t="str">
        <f>IF(LEN(concatif2(A:A,Table2[[#This Row],[!Table]],G:G,"Y",D:D,",")) &gt; 0,"rg:[ { 'req' : '"&amp;concatif2(A:A,Table2[[#This Row],[!Table]],G:G,"Y",D:D,"' }, { 'req': '")&amp;"'} ]","rg:[]")</f>
        <v>rg:[ { 'req' : 'id' }, { 'req': 'number' }, { 'req': 'status' }, { 'req': 'equipment' }, { 'req': 'project'} ]</v>
      </c>
      <c r="Y56" s="4" t="str">
        <f>IF(LEN(Table2[[#This Row],[!Unique]])&gt;0,IF(Table2[[#This Row],[!Type]] = "id", "rg:None","rg:True"),"rg:None")</f>
        <v>rg:None</v>
      </c>
    </row>
    <row r="57" spans="1:25" ht="28.8" x14ac:dyDescent="0.35">
      <c r="A57" s="111" t="s">
        <v>194</v>
      </c>
      <c r="B57" s="111" t="s">
        <v>7</v>
      </c>
      <c r="C57" s="72">
        <v>50</v>
      </c>
      <c r="D57" s="111" t="s">
        <v>459</v>
      </c>
      <c r="E57" s="112" t="s">
        <v>460</v>
      </c>
      <c r="F57" s="12"/>
      <c r="G57" s="18"/>
      <c r="H57" s="18"/>
      <c r="I57" s="4" t="str">
        <f t="shared" si="8"/>
        <v>Defs</v>
      </c>
      <c r="J57" s="4" t="str">
        <f>IF(Table2[[#This Row],[!Type]]=J$1, J$1,"rg:None")</f>
        <v>rg:None</v>
      </c>
      <c r="K57" s="4" t="str">
        <f>IF(Table2[[#This Row],[!Type]]=K$1, K$1,"rg:None")</f>
        <v>rg:None</v>
      </c>
      <c r="L57" s="4" t="str">
        <f>IF(Table2[[#This Row],[!Type]]=L$1, L$1,"rg:None")</f>
        <v>rg:None</v>
      </c>
      <c r="M57" s="4" t="str">
        <f>IF(Table2[[#This Row],[!Type]]=M$1, M$1,"rg:None")</f>
        <v>rg:None</v>
      </c>
      <c r="N57" s="4" t="str">
        <f>IF(Table2[[#This Row],[!Type]]=N$1, N$1,"rg:None")</f>
        <v>rg:None</v>
      </c>
      <c r="O57" s="4" t="str">
        <f>IF(Table2[[#This Row],[!Type]]=O$1, O$1,"rg:None")</f>
        <v>rg:None</v>
      </c>
      <c r="P57" s="4" t="str">
        <f>IF(Table2[[#This Row],[!Type]]=P$1, P$1,"rg:None")</f>
        <v>rg:None</v>
      </c>
      <c r="Q57" s="4" t="str">
        <f>IF(Table2[[#This Row],[!Type]]=Q$1, Q$1,"rg:None")</f>
        <v>rg:None</v>
      </c>
      <c r="R57" s="4" t="str">
        <f>IF(Table2[[#This Row],[!Type]]=R$1, R$1,"rg:None")</f>
        <v>string</v>
      </c>
      <c r="S57" s="4" t="str">
        <f>IF(Table2[[#This Row],[!Type]]=S$1, S$1,"rg:None")</f>
        <v>rg:None</v>
      </c>
      <c r="T57" s="4">
        <f>IF(LEN(Table2[[#This Row],[!Length]]) &gt; 0, Table2[[#This Row],[!Length]], "rg:None")</f>
        <v>50</v>
      </c>
      <c r="U57" s="4" t="str">
        <f>IF(LEN(Table2[[#This Row],[!Name]]) &gt; 0, Table2[[#This Row],[!Name]], "rg:None")</f>
        <v>ratePeriod</v>
      </c>
      <c r="V57" s="4" t="str">
        <f>IF(LEN(Table2[[#This Row],[!Description]]) &gt; 0, Table2[[#This Row],[!Description]], "rg:None")</f>
        <v>The period of the rental rate. The vast majority will be hourly, but the rate could apply across a different period, e.g. daily.</v>
      </c>
      <c r="W57" s="4" t="str">
        <f>IF(LEN(Table2[[#This Row],[!FK]])&gt;0,Table2[[#This Row],[!FK]],"rg:None")</f>
        <v>rg:None</v>
      </c>
      <c r="X57" s="14" t="str">
        <f>IF(LEN(concatif2(A:A,Table2[[#This Row],[!Table]],G:G,"Y",D:D,",")) &gt; 0,"rg:[ { 'req' : '"&amp;concatif2(A:A,Table2[[#This Row],[!Table]],G:G,"Y",D:D,"' }, { 'req': '")&amp;"'} ]","rg:[]")</f>
        <v>rg:[ { 'req' : 'id' }, { 'req': 'number' }, { 'req': 'status' }, { 'req': 'equipment' }, { 'req': 'project'} ]</v>
      </c>
      <c r="Y57" s="4" t="str">
        <f>IF(LEN(Table2[[#This Row],[!Unique]])&gt;0,IF(Table2[[#This Row],[!Type]] = "id", "rg:None","rg:True"),"rg:None")</f>
        <v>rg:None</v>
      </c>
    </row>
    <row r="58" spans="1:25" x14ac:dyDescent="0.35">
      <c r="A58" s="111" t="s">
        <v>194</v>
      </c>
      <c r="B58" s="111" t="s">
        <v>7</v>
      </c>
      <c r="C58" s="72">
        <v>2048</v>
      </c>
      <c r="D58" s="111" t="s">
        <v>486</v>
      </c>
      <c r="E58" s="112" t="s">
        <v>487</v>
      </c>
      <c r="F58" s="12"/>
      <c r="G58" s="18"/>
      <c r="H58" s="18"/>
      <c r="I58" s="4" t="str">
        <f t="shared" si="8"/>
        <v>Defs</v>
      </c>
      <c r="J58" s="4" t="str">
        <f>IF(Table2[[#This Row],[!Type]]=J$1, J$1,"rg:None")</f>
        <v>rg:None</v>
      </c>
      <c r="K58" s="4" t="str">
        <f>IF(Table2[[#This Row],[!Type]]=K$1, K$1,"rg:None")</f>
        <v>rg:None</v>
      </c>
      <c r="L58" s="4" t="str">
        <f>IF(Table2[[#This Row],[!Type]]=L$1, L$1,"rg:None")</f>
        <v>rg:None</v>
      </c>
      <c r="M58" s="4" t="str">
        <f>IF(Table2[[#This Row],[!Type]]=M$1, M$1,"rg:None")</f>
        <v>rg:None</v>
      </c>
      <c r="N58" s="4" t="str">
        <f>IF(Table2[[#This Row],[!Type]]=N$1, N$1,"rg:None")</f>
        <v>rg:None</v>
      </c>
      <c r="O58" s="4" t="str">
        <f>IF(Table2[[#This Row],[!Type]]=O$1, O$1,"rg:None")</f>
        <v>rg:None</v>
      </c>
      <c r="P58" s="4" t="str">
        <f>IF(Table2[[#This Row],[!Type]]=P$1, P$1,"rg:None")</f>
        <v>rg:None</v>
      </c>
      <c r="Q58" s="4" t="str">
        <f>IF(Table2[[#This Row],[!Type]]=Q$1, Q$1,"rg:None")</f>
        <v>rg:None</v>
      </c>
      <c r="R58" s="4" t="str">
        <f>IF(Table2[[#This Row],[!Type]]=R$1, R$1,"rg:None")</f>
        <v>string</v>
      </c>
      <c r="S58" s="4" t="str">
        <f>IF(Table2[[#This Row],[!Type]]=S$1, S$1,"rg:None")</f>
        <v>rg:None</v>
      </c>
      <c r="T58" s="4">
        <f>IF(LEN(Table2[[#This Row],[!Length]]) &gt; 0, Table2[[#This Row],[!Length]], "rg:None")</f>
        <v>2048</v>
      </c>
      <c r="U58" s="4" t="str">
        <f>IF(LEN(Table2[[#This Row],[!Name]]) &gt; 0, Table2[[#This Row],[!Name]], "rg:None")</f>
        <v>rateComment</v>
      </c>
      <c r="V58" s="4" t="str">
        <f>IF(LEN(Table2[[#This Row],[!Description]]) &gt; 0, Table2[[#This Row],[!Description]], "rg:None")</f>
        <v>A comment about the rate for the piece of equipment.</v>
      </c>
      <c r="W58" s="4" t="str">
        <f>IF(LEN(Table2[[#This Row],[!FK]])&gt;0,Table2[[#This Row],[!FK]],"rg:None")</f>
        <v>rg:None</v>
      </c>
      <c r="X58" s="14" t="str">
        <f>IF(LEN(concatif2(A:A,Table2[[#This Row],[!Table]],G:G,"Y",D:D,",")) &gt; 0,"rg:[ { 'req' : '"&amp;concatif2(A:A,Table2[[#This Row],[!Table]],G:G,"Y",D:D,"' }, { 'req': '")&amp;"'} ]","rg:[]")</f>
        <v>rg:[ { 'req' : 'id' }, { 'req': 'number' }, { 'req': 'status' }, { 'req': 'equipment' }, { 'req': 'project'} ]</v>
      </c>
      <c r="Y58" s="4" t="str">
        <f>IF(LEN(Table2[[#This Row],[!Unique]])&gt;0,IF(Table2[[#This Row],[!Type]] = "id", "rg:None","rg:True"),"rg:None")</f>
        <v>rg:None</v>
      </c>
    </row>
    <row r="59" spans="1:25" x14ac:dyDescent="0.35">
      <c r="A59" s="111" t="s">
        <v>453</v>
      </c>
      <c r="B59" s="111" t="s">
        <v>4</v>
      </c>
      <c r="C59" s="72"/>
      <c r="D59" s="111" t="s">
        <v>453</v>
      </c>
      <c r="E59" s="112" t="s">
        <v>454</v>
      </c>
      <c r="F59" s="12"/>
      <c r="G59" s="18"/>
      <c r="H59" s="18"/>
      <c r="I59" s="4" t="str">
        <f t="shared" ref="I59:I71" si="9">IF(LEN(A59) &gt; 0,"Defs","-")</f>
        <v>Defs</v>
      </c>
      <c r="J59" s="4" t="str">
        <f>IF(Table2[[#This Row],[!Type]]=J$1, J$1,"rg:None")</f>
        <v>rg:None</v>
      </c>
      <c r="K59" s="4" t="str">
        <f>IF(Table2[[#This Row],[!Type]]=K$1, K$1,"rg:None")</f>
        <v>rg:None</v>
      </c>
      <c r="L59" s="4" t="str">
        <f>IF(Table2[[#This Row],[!Type]]=L$1, L$1,"rg:None")</f>
        <v>rg:None</v>
      </c>
      <c r="M59" s="4" t="str">
        <f>IF(Table2[[#This Row],[!Type]]=M$1, M$1,"rg:None")</f>
        <v>rg:None</v>
      </c>
      <c r="N59" s="4" t="str">
        <f>IF(Table2[[#This Row],[!Type]]=N$1, N$1,"rg:None")</f>
        <v>rg:None</v>
      </c>
      <c r="O59" s="4" t="str">
        <f>IF(Table2[[#This Row],[!Type]]=O$1, O$1,"rg:None")</f>
        <v>rg:None</v>
      </c>
      <c r="P59" s="4" t="str">
        <f>IF(Table2[[#This Row],[!Type]]=P$1, P$1,"rg:None")</f>
        <v>rg:None</v>
      </c>
      <c r="Q59" s="4" t="str">
        <f>IF(Table2[[#This Row],[!Type]]=Q$1, Q$1,"rg:None")</f>
        <v>rg:None</v>
      </c>
      <c r="R59" s="4" t="str">
        <f>IF(Table2[[#This Row],[!Type]]=R$1, R$1,"rg:None")</f>
        <v>rg:None</v>
      </c>
      <c r="S59" s="4" t="str">
        <f>IF(Table2[[#This Row],[!Type]]=S$1, S$1,"rg:None")</f>
        <v>table</v>
      </c>
      <c r="T59" s="4" t="str">
        <f>IF(LEN(Table2[[#This Row],[!Length]]) &gt; 0, Table2[[#This Row],[!Length]], "rg:None")</f>
        <v>rg:None</v>
      </c>
      <c r="U59" s="4" t="str">
        <f>IF(LEN(Table2[[#This Row],[!Name]]) &gt; 0, Table2[[#This Row],[!Name]], "rg:None")</f>
        <v>RentalAgreementRate</v>
      </c>
      <c r="V59" s="4" t="str">
        <f>IF(LEN(Table2[[#This Row],[!Description]]) &gt; 0, Table2[[#This Row],[!Description]], "rg:None")</f>
        <v>The rate associated with an element of a rental agreement.</v>
      </c>
      <c r="W59" s="4" t="str">
        <f>IF(LEN(Table2[[#This Row],[!FK]])&gt;0,Table2[[#This Row],[!FK]],"rg:None")</f>
        <v>rg:None</v>
      </c>
      <c r="X59" s="14" t="str">
        <f>IF(LEN(concatif2(A:A,Table2[[#This Row],[!Table]],G:G,"Y",D:D,",")) &gt; 0,"rg:[ { 'req' : '"&amp;concatif2(A:A,Table2[[#This Row],[!Table]],G:G,"Y",D:D,"' }, { 'req': '")&amp;"'} ]","rg:[]")</f>
        <v>rg:[ { 'req' : 'id' }, { 'req': 'rentalAgreement'} ]</v>
      </c>
      <c r="Y59" s="4" t="str">
        <f>IF(LEN(Table2[[#This Row],[!Unique]])&gt;0,IF(Table2[[#This Row],[!Type]] = "id", "rg:None","rg:True"),"rg:None")</f>
        <v>rg:None</v>
      </c>
    </row>
    <row r="60" spans="1:25" x14ac:dyDescent="0.35">
      <c r="A60" s="111" t="s">
        <v>453</v>
      </c>
      <c r="B60" s="111" t="s">
        <v>6</v>
      </c>
      <c r="C60" s="72"/>
      <c r="D60" s="111" t="s">
        <v>6</v>
      </c>
      <c r="E60" s="113" t="s">
        <v>455</v>
      </c>
      <c r="F60" s="12"/>
      <c r="G60" s="114" t="s">
        <v>59</v>
      </c>
      <c r="H60" s="154" t="s">
        <v>59</v>
      </c>
      <c r="I60" s="4" t="str">
        <f t="shared" si="9"/>
        <v>Defs</v>
      </c>
      <c r="J60" s="4" t="str">
        <f>IF(Table2[[#This Row],[!Type]]=J$1, J$1,"rg:None")</f>
        <v>rg:None</v>
      </c>
      <c r="K60" s="4" t="str">
        <f>IF(Table2[[#This Row],[!Type]]=K$1, K$1,"rg:None")</f>
        <v>rg:None</v>
      </c>
      <c r="L60" s="4" t="str">
        <f>IF(Table2[[#This Row],[!Type]]=L$1, L$1,"rg:None")</f>
        <v>rg:None</v>
      </c>
      <c r="M60" s="4" t="str">
        <f>IF(Table2[[#This Row],[!Type]]=M$1, M$1,"rg:None")</f>
        <v>id</v>
      </c>
      <c r="N60" s="4" t="str">
        <f>IF(Table2[[#This Row],[!Type]]=N$1, N$1,"rg:None")</f>
        <v>rg:None</v>
      </c>
      <c r="O60" s="4" t="str">
        <f>IF(Table2[[#This Row],[!Type]]=O$1, O$1,"rg:None")</f>
        <v>rg:None</v>
      </c>
      <c r="P60" s="4" t="str">
        <f>IF(Table2[[#This Row],[!Type]]=P$1, P$1,"rg:None")</f>
        <v>rg:None</v>
      </c>
      <c r="Q60" s="4" t="str">
        <f>IF(Table2[[#This Row],[!Type]]=Q$1, Q$1,"rg:None")</f>
        <v>rg:None</v>
      </c>
      <c r="R60" s="4" t="str">
        <f>IF(Table2[[#This Row],[!Type]]=R$1, R$1,"rg:None")</f>
        <v>rg:None</v>
      </c>
      <c r="S60" s="4" t="str">
        <f>IF(Table2[[#This Row],[!Type]]=S$1, S$1,"rg:None")</f>
        <v>rg:None</v>
      </c>
      <c r="T60" s="4" t="str">
        <f>IF(LEN(Table2[[#This Row],[!Length]]) &gt; 0, Table2[[#This Row],[!Length]], "rg:None")</f>
        <v>rg:None</v>
      </c>
      <c r="U60" s="4" t="str">
        <f>IF(LEN(Table2[[#This Row],[!Name]]) &gt; 0, Table2[[#This Row],[!Name]], "rg:None")</f>
        <v>id</v>
      </c>
      <c r="V60" s="4" t="str">
        <f>IF(LEN(Table2[[#This Row],[!Description]]) &gt; 0, Table2[[#This Row],[!Description]], "rg:None")</f>
        <v>A system-generated unique identifier for a RentalAgreementRate</v>
      </c>
      <c r="W60" s="4" t="str">
        <f>IF(LEN(Table2[[#This Row],[!FK]])&gt;0,Table2[[#This Row],[!FK]],"rg:None")</f>
        <v>rg:None</v>
      </c>
      <c r="X60" s="14" t="str">
        <f>IF(LEN(concatif2(A:A,Table2[[#This Row],[!Table]],G:G,"Y",D:D,",")) &gt; 0,"rg:[ { 'req' : '"&amp;concatif2(A:A,Table2[[#This Row],[!Table]],G:G,"Y",D:D,"' }, { 'req': '")&amp;"'} ]","rg:[]")</f>
        <v>rg:[ { 'req' : 'id' }, { 'req': 'rentalAgreement'} ]</v>
      </c>
      <c r="Y60" s="4" t="str">
        <f>IF(LEN(Table2[[#This Row],[!Unique]])&gt;0,IF(Table2[[#This Row],[!Type]] = "id", "rg:None","rg:True"),"rg:None")</f>
        <v>rg:None</v>
      </c>
    </row>
    <row r="61" spans="1:25" x14ac:dyDescent="0.35">
      <c r="A61" s="111" t="s">
        <v>453</v>
      </c>
      <c r="B61" s="111" t="s">
        <v>8</v>
      </c>
      <c r="C61" s="72"/>
      <c r="D61" s="111" t="s">
        <v>195</v>
      </c>
      <c r="E61" s="129" t="s">
        <v>530</v>
      </c>
      <c r="F61" s="27" t="s">
        <v>194</v>
      </c>
      <c r="G61" s="154" t="s">
        <v>59</v>
      </c>
      <c r="H61" s="18"/>
      <c r="I61" s="4" t="str">
        <f t="shared" si="9"/>
        <v>Defs</v>
      </c>
      <c r="J61" s="4" t="str">
        <f>IF(Table2[[#This Row],[!Type]]=J$1, J$1,"rg:None")</f>
        <v>rg:None</v>
      </c>
      <c r="K61" s="4" t="str">
        <f>IF(Table2[[#This Row],[!Type]]=K$1, K$1,"rg:None")</f>
        <v>rg:None</v>
      </c>
      <c r="L61" s="4" t="str">
        <f>IF(Table2[[#This Row],[!Type]]=L$1, L$1,"rg:None")</f>
        <v>rg:None</v>
      </c>
      <c r="M61" s="4" t="str">
        <f>IF(Table2[[#This Row],[!Type]]=M$1, M$1,"rg:None")</f>
        <v>rg:None</v>
      </c>
      <c r="N61" s="4" t="str">
        <f>IF(Table2[[#This Row],[!Type]]=N$1, N$1,"rg:None")</f>
        <v>rg:None</v>
      </c>
      <c r="O61" s="4" t="str">
        <f>IF(Table2[[#This Row],[!Type]]=O$1, O$1,"rg:None")</f>
        <v>rg:None</v>
      </c>
      <c r="P61" s="4" t="str">
        <f>IF(Table2[[#This Row],[!Type]]=P$1, P$1,"rg:None")</f>
        <v>rg:None</v>
      </c>
      <c r="Q61" s="4" t="str">
        <f>IF(Table2[[#This Row],[!Type]]=Q$1, Q$1,"rg:None")</f>
        <v>ref</v>
      </c>
      <c r="R61" s="4" t="str">
        <f>IF(Table2[[#This Row],[!Type]]=R$1, R$1,"rg:None")</f>
        <v>rg:None</v>
      </c>
      <c r="S61" s="4" t="str">
        <f>IF(Table2[[#This Row],[!Type]]=S$1, S$1,"rg:None")</f>
        <v>rg:None</v>
      </c>
      <c r="T61" s="4" t="str">
        <f>IF(LEN(Table2[[#This Row],[!Length]]) &gt; 0, Table2[[#This Row],[!Length]], "rg:None")</f>
        <v>rg:None</v>
      </c>
      <c r="U61" s="4" t="str">
        <f>IF(LEN(Table2[[#This Row],[!Name]]) &gt; 0, Table2[[#This Row],[!Name]], "rg:None")</f>
        <v>rentalAgreement</v>
      </c>
      <c r="V61" s="4" t="str">
        <f>IF(LEN(Table2[[#This Row],[!Description]]) &gt; 0, Table2[[#This Row],[!Description]], "rg:None")</f>
        <v>A foreign key reference to the system-generated unique identifier for a Rental Agreement</v>
      </c>
      <c r="W61" s="4" t="str">
        <f>IF(LEN(Table2[[#This Row],[!FK]])&gt;0,Table2[[#This Row],[!FK]],"rg:None")</f>
        <v>RentalAgreement</v>
      </c>
      <c r="X61" s="14" t="str">
        <f>IF(LEN(concatif2(A:A,Table2[[#This Row],[!Table]],G:G,"Y",D:D,",")) &gt; 0,"rg:[ { 'req' : '"&amp;concatif2(A:A,Table2[[#This Row],[!Table]],G:G,"Y",D:D,"' }, { 'req': '")&amp;"'} ]","rg:[]")</f>
        <v>rg:[ { 'req' : 'id' }, { 'req': 'rentalAgreement'} ]</v>
      </c>
      <c r="Y61" s="4" t="str">
        <f>IF(LEN(Table2[[#This Row],[!Unique]])&gt;0,IF(Table2[[#This Row],[!Type]] = "id", "rg:None","rg:True"),"rg:None")</f>
        <v>rg:None</v>
      </c>
    </row>
    <row r="62" spans="1:25" x14ac:dyDescent="0.35">
      <c r="A62" s="111" t="s">
        <v>453</v>
      </c>
      <c r="B62" s="111" t="s">
        <v>7</v>
      </c>
      <c r="C62" s="72">
        <v>150</v>
      </c>
      <c r="D62" s="111" t="s">
        <v>463</v>
      </c>
      <c r="E62" s="112" t="s">
        <v>464</v>
      </c>
      <c r="F62" s="12"/>
      <c r="G62" s="18"/>
      <c r="H62" s="18"/>
      <c r="I62" s="4" t="str">
        <f>IF(LEN(A62) &gt; 0,"Defs","-")</f>
        <v>Defs</v>
      </c>
      <c r="J62" s="4" t="str">
        <f>IF(Table2[[#This Row],[!Type]]=J$1, J$1,"rg:None")</f>
        <v>rg:None</v>
      </c>
      <c r="K62" s="4" t="str">
        <f>IF(Table2[[#This Row],[!Type]]=K$1, K$1,"rg:None")</f>
        <v>rg:None</v>
      </c>
      <c r="L62" s="4" t="str">
        <f>IF(Table2[[#This Row],[!Type]]=L$1, L$1,"rg:None")</f>
        <v>rg:None</v>
      </c>
      <c r="M62" s="4" t="str">
        <f>IF(Table2[[#This Row],[!Type]]=M$1, M$1,"rg:None")</f>
        <v>rg:None</v>
      </c>
      <c r="N62" s="4" t="str">
        <f>IF(Table2[[#This Row],[!Type]]=N$1, N$1,"rg:None")</f>
        <v>rg:None</v>
      </c>
      <c r="O62" s="4" t="str">
        <f>IF(Table2[[#This Row],[!Type]]=O$1, O$1,"rg:None")</f>
        <v>rg:None</v>
      </c>
      <c r="P62" s="4" t="str">
        <f>IF(Table2[[#This Row],[!Type]]=P$1, P$1,"rg:None")</f>
        <v>rg:None</v>
      </c>
      <c r="Q62" s="4" t="str">
        <f>IF(Table2[[#This Row],[!Type]]=Q$1, Q$1,"rg:None")</f>
        <v>rg:None</v>
      </c>
      <c r="R62" s="4" t="str">
        <f>IF(Table2[[#This Row],[!Type]]=R$1, R$1,"rg:None")</f>
        <v>string</v>
      </c>
      <c r="S62" s="4" t="str">
        <f>IF(Table2[[#This Row],[!Type]]=S$1, S$1,"rg:None")</f>
        <v>rg:None</v>
      </c>
      <c r="T62" s="4">
        <f>IF(LEN(Table2[[#This Row],[!Length]]) &gt; 0, Table2[[#This Row],[!Length]], "rg:None")</f>
        <v>150</v>
      </c>
      <c r="U62" s="4" t="str">
        <f>IF(LEN(Table2[[#This Row],[!Name]]) &gt; 0, Table2[[#This Row],[!Name]], "rg:None")</f>
        <v>componentName</v>
      </c>
      <c r="V62" s="4" t="str">
        <f>IF(LEN(Table2[[#This Row],[!Description]]) &gt; 0, Table2[[#This Row],[!Description]], "rg:None")</f>
        <v>Name of the component for the Rental Agreement for which the attached rates apply.</v>
      </c>
      <c r="W62" s="4" t="str">
        <f>IF(LEN(Table2[[#This Row],[!FK]])&gt;0,Table2[[#This Row],[!FK]],"rg:None")</f>
        <v>rg:None</v>
      </c>
      <c r="X62" s="14" t="str">
        <f>IF(LEN(concatif2(A:A,Table2[[#This Row],[!Table]],G:G,"Y",D:D,",")) &gt; 0,"rg:[ { 'req' : '"&amp;concatif2(A:A,Table2[[#This Row],[!Table]],G:G,"Y",D:D,"' }, { 'req': '")&amp;"'} ]","rg:[]")</f>
        <v>rg:[ { 'req' : 'id' }, { 'req': 'rentalAgreement'} ]</v>
      </c>
      <c r="Y62" s="4" t="str">
        <f>IF(LEN(Table2[[#This Row],[!Unique]])&gt;0,IF(Table2[[#This Row],[!Type]] = "id", "rg:None","rg:True"),"rg:None")</f>
        <v>rg:None</v>
      </c>
    </row>
    <row r="63" spans="1:25" x14ac:dyDescent="0.35">
      <c r="A63" s="111" t="s">
        <v>453</v>
      </c>
      <c r="B63" s="111" t="s">
        <v>9</v>
      </c>
      <c r="C63" s="72"/>
      <c r="D63" s="111" t="s">
        <v>483</v>
      </c>
      <c r="E63" s="112" t="s">
        <v>484</v>
      </c>
      <c r="F63" s="12"/>
      <c r="G63" s="154"/>
      <c r="H63" s="18"/>
      <c r="I63" s="4" t="str">
        <f t="shared" si="9"/>
        <v>Defs</v>
      </c>
      <c r="J63" s="4" t="str">
        <f>IF(Table2[[#This Row],[!Type]]=J$1, J$1,"rg:None")</f>
        <v>boolean</v>
      </c>
      <c r="K63" s="4" t="str">
        <f>IF(Table2[[#This Row],[!Type]]=K$1, K$1,"rg:None")</f>
        <v>rg:None</v>
      </c>
      <c r="L63" s="4" t="str">
        <f>IF(Table2[[#This Row],[!Type]]=L$1, L$1,"rg:None")</f>
        <v>rg:None</v>
      </c>
      <c r="M63" s="4" t="str">
        <f>IF(Table2[[#This Row],[!Type]]=M$1, M$1,"rg:None")</f>
        <v>rg:None</v>
      </c>
      <c r="N63" s="4" t="str">
        <f>IF(Table2[[#This Row],[!Type]]=N$1, N$1,"rg:None")</f>
        <v>rg:None</v>
      </c>
      <c r="O63" s="4" t="str">
        <f>IF(Table2[[#This Row],[!Type]]=O$1, O$1,"rg:None")</f>
        <v>rg:None</v>
      </c>
      <c r="P63" s="4" t="str">
        <f>IF(Table2[[#This Row],[!Type]]=P$1, P$1,"rg:None")</f>
        <v>rg:None</v>
      </c>
      <c r="Q63" s="4" t="str">
        <f>IF(Table2[[#This Row],[!Type]]=Q$1, Q$1,"rg:None")</f>
        <v>rg:None</v>
      </c>
      <c r="R63" s="4" t="str">
        <f>IF(Table2[[#This Row],[!Type]]=R$1, R$1,"rg:None")</f>
        <v>rg:None</v>
      </c>
      <c r="S63" s="4" t="str">
        <f>IF(Table2[[#This Row],[!Type]]=S$1, S$1,"rg:None")</f>
        <v>rg:None</v>
      </c>
      <c r="T63" s="4" t="str">
        <f>IF(LEN(Table2[[#This Row],[!Length]]) &gt; 0, Table2[[#This Row],[!Length]], "rg:None")</f>
        <v>rg:None</v>
      </c>
      <c r="U63" s="4" t="str">
        <f>IF(LEN(Table2[[#This Row],[!Name]]) &gt; 0, Table2[[#This Row],[!Name]], "rg:None")</f>
        <v>isAttachment</v>
      </c>
      <c r="V63" s="4" t="str">
        <f>IF(LEN(Table2[[#This Row],[!Description]]) &gt; 0, Table2[[#This Row],[!Description]], "rg:None")</f>
        <v>True if this rate is for an attachment to the piece of equipment.</v>
      </c>
      <c r="W63" s="4" t="str">
        <f>IF(LEN(Table2[[#This Row],[!FK]])&gt;0,Table2[[#This Row],[!FK]],"rg:None")</f>
        <v>rg:None</v>
      </c>
      <c r="X63" s="14" t="str">
        <f>IF(LEN(concatif2(A:A,Table2[[#This Row],[!Table]],G:G,"Y",D:D,",")) &gt; 0,"rg:[ { 'req' : '"&amp;concatif2(A:A,Table2[[#This Row],[!Table]],G:G,"Y",D:D,"' }, { 'req': '")&amp;"'} ]","rg:[]")</f>
        <v>rg:[ { 'req' : 'id' }, { 'req': 'rentalAgreement'} ]</v>
      </c>
      <c r="Y63" s="4" t="str">
        <f>IF(LEN(Table2[[#This Row],[!Unique]])&gt;0,IF(Table2[[#This Row],[!Type]] = "id", "rg:None","rg:True"),"rg:None")</f>
        <v>rg:None</v>
      </c>
    </row>
    <row r="64" spans="1:25" x14ac:dyDescent="0.35">
      <c r="A64" s="111" t="s">
        <v>453</v>
      </c>
      <c r="B64" s="111" t="s">
        <v>105</v>
      </c>
      <c r="C64" s="72"/>
      <c r="D64" s="111" t="s">
        <v>141</v>
      </c>
      <c r="E64" s="112" t="s">
        <v>456</v>
      </c>
      <c r="F64" s="12"/>
      <c r="G64" s="154"/>
      <c r="H64" s="18"/>
      <c r="I64" s="4" t="str">
        <f t="shared" si="9"/>
        <v>Defs</v>
      </c>
      <c r="J64" s="4" t="str">
        <f>IF(Table2[[#This Row],[!Type]]=J$1, J$1,"rg:None")</f>
        <v>rg:None</v>
      </c>
      <c r="K64" s="4" t="str">
        <f>IF(Table2[[#This Row],[!Type]]=K$1, K$1,"rg:None")</f>
        <v>rg:None</v>
      </c>
      <c r="L64" s="4" t="str">
        <f>IF(Table2[[#This Row],[!Type]]=L$1, L$1,"rg:None")</f>
        <v>rg:None</v>
      </c>
      <c r="M64" s="4" t="str">
        <f>IF(Table2[[#This Row],[!Type]]=M$1, M$1,"rg:None")</f>
        <v>rg:None</v>
      </c>
      <c r="N64" s="4" t="str">
        <f>IF(Table2[[#This Row],[!Type]]=N$1, N$1,"rg:None")</f>
        <v>rg:None</v>
      </c>
      <c r="O64" s="4" t="str">
        <f>IF(Table2[[#This Row],[!Type]]=O$1, O$1,"rg:None")</f>
        <v>float</v>
      </c>
      <c r="P64" s="4" t="str">
        <f>IF(Table2[[#This Row],[!Type]]=P$1, P$1,"rg:None")</f>
        <v>rg:None</v>
      </c>
      <c r="Q64" s="4" t="str">
        <f>IF(Table2[[#This Row],[!Type]]=Q$1, Q$1,"rg:None")</f>
        <v>rg:None</v>
      </c>
      <c r="R64" s="4" t="str">
        <f>IF(Table2[[#This Row],[!Type]]=R$1, R$1,"rg:None")</f>
        <v>rg:None</v>
      </c>
      <c r="S64" s="4" t="str">
        <f>IF(Table2[[#This Row],[!Type]]=S$1, S$1,"rg:None")</f>
        <v>rg:None</v>
      </c>
      <c r="T64" s="4" t="str">
        <f>IF(LEN(Table2[[#This Row],[!Length]]) &gt; 0, Table2[[#This Row],[!Length]], "rg:None")</f>
        <v>rg:None</v>
      </c>
      <c r="U64" s="4" t="str">
        <f>IF(LEN(Table2[[#This Row],[!Name]]) &gt; 0, Table2[[#This Row],[!Name]], "rg:None")</f>
        <v>rate</v>
      </c>
      <c r="V64" s="4" t="str">
        <f>IF(LEN(Table2[[#This Row],[!Description]]) &gt; 0, Table2[[#This Row],[!Description]], "rg:None")</f>
        <v>The dollar rate associated with this component of the rental agreement.</v>
      </c>
      <c r="W64" s="4" t="str">
        <f>IF(LEN(Table2[[#This Row],[!FK]])&gt;0,Table2[[#This Row],[!FK]],"rg:None")</f>
        <v>rg:None</v>
      </c>
      <c r="X64" s="14" t="str">
        <f>IF(LEN(concatif2(A:A,Table2[[#This Row],[!Table]],G:G,"Y",D:D,",")) &gt; 0,"rg:[ { 'req' : '"&amp;concatif2(A:A,Table2[[#This Row],[!Table]],G:G,"Y",D:D,"' }, { 'req': '")&amp;"'} ]","rg:[]")</f>
        <v>rg:[ { 'req' : 'id' }, { 'req': 'rentalAgreement'} ]</v>
      </c>
      <c r="Y64" s="4" t="str">
        <f>IF(LEN(Table2[[#This Row],[!Unique]])&gt;0,IF(Table2[[#This Row],[!Type]] = "id", "rg:None","rg:True"),"rg:None")</f>
        <v>rg:None</v>
      </c>
    </row>
    <row r="65" spans="1:25" ht="28.8" x14ac:dyDescent="0.35">
      <c r="A65" s="111" t="s">
        <v>453</v>
      </c>
      <c r="B65" s="111" t="s">
        <v>13</v>
      </c>
      <c r="C65" s="72"/>
      <c r="D65" s="111" t="s">
        <v>457</v>
      </c>
      <c r="E65" s="112" t="s">
        <v>458</v>
      </c>
      <c r="F65" s="12"/>
      <c r="G65" s="18"/>
      <c r="H65" s="18"/>
      <c r="I65" s="4" t="str">
        <f t="shared" si="9"/>
        <v>Defs</v>
      </c>
      <c r="J65" s="4" t="str">
        <f>IF(Table2[[#This Row],[!Type]]=J$1, J$1,"rg:None")</f>
        <v>rg:None</v>
      </c>
      <c r="K65" s="4" t="str">
        <f>IF(Table2[[#This Row],[!Type]]=K$1, K$1,"rg:None")</f>
        <v>rg:None</v>
      </c>
      <c r="L65" s="4" t="str">
        <f>IF(Table2[[#This Row],[!Type]]=L$1, L$1,"rg:None")</f>
        <v>rg:None</v>
      </c>
      <c r="M65" s="4" t="str">
        <f>IF(Table2[[#This Row],[!Type]]=M$1, M$1,"rg:None")</f>
        <v>rg:None</v>
      </c>
      <c r="N65" s="4" t="str">
        <f>IF(Table2[[#This Row],[!Type]]=N$1, N$1,"rg:None")</f>
        <v>integer</v>
      </c>
      <c r="O65" s="4" t="str">
        <f>IF(Table2[[#This Row],[!Type]]=O$1, O$1,"rg:None")</f>
        <v>rg:None</v>
      </c>
      <c r="P65" s="4" t="str">
        <f>IF(Table2[[#This Row],[!Type]]=P$1, P$1,"rg:None")</f>
        <v>rg:None</v>
      </c>
      <c r="Q65" s="4" t="str">
        <f>IF(Table2[[#This Row],[!Type]]=Q$1, Q$1,"rg:None")</f>
        <v>rg:None</v>
      </c>
      <c r="R65" s="4" t="str">
        <f>IF(Table2[[#This Row],[!Type]]=R$1, R$1,"rg:None")</f>
        <v>rg:None</v>
      </c>
      <c r="S65" s="4" t="str">
        <f>IF(Table2[[#This Row],[!Type]]=S$1, S$1,"rg:None")</f>
        <v>rg:None</v>
      </c>
      <c r="T65" s="4" t="str">
        <f>IF(LEN(Table2[[#This Row],[!Length]]) &gt; 0, Table2[[#This Row],[!Length]], "rg:None")</f>
        <v>rg:None</v>
      </c>
      <c r="U65" s="4" t="str">
        <f>IF(LEN(Table2[[#This Row],[!Name]]) &gt; 0, Table2[[#This Row],[!Name]], "rg:None")</f>
        <v>percentOfEquipmentRate</v>
      </c>
      <c r="V65" s="4" t="str">
        <f>IF(LEN(Table2[[#This Row],[!Description]]) &gt; 0, Table2[[#This Row],[!Description]], "rg:None")</f>
        <v>For other than the actual piece of equipment, the percent of the equipment rate to use for this component of the rental agreement.</v>
      </c>
      <c r="W65" s="4" t="str">
        <f>IF(LEN(Table2[[#This Row],[!FK]])&gt;0,Table2[[#This Row],[!FK]],"rg:None")</f>
        <v>rg:None</v>
      </c>
      <c r="X65" s="14" t="str">
        <f>IF(LEN(concatif2(A:A,Table2[[#This Row],[!Table]],G:G,"Y",D:D,",")) &gt; 0,"rg:[ { 'req' : '"&amp;concatif2(A:A,Table2[[#This Row],[!Table]],G:G,"Y",D:D,"' }, { 'req': '")&amp;"'} ]","rg:[]")</f>
        <v>rg:[ { 'req' : 'id' }, { 'req': 'rentalAgreement'} ]</v>
      </c>
      <c r="Y65" s="4" t="str">
        <f>IF(LEN(Table2[[#This Row],[!Unique]])&gt;0,IF(Table2[[#This Row],[!Type]] = "id", "rg:None","rg:True"),"rg:None")</f>
        <v>rg:None</v>
      </c>
    </row>
    <row r="66" spans="1:25" ht="28.8" x14ac:dyDescent="0.35">
      <c r="A66" s="111" t="s">
        <v>453</v>
      </c>
      <c r="B66" s="111" t="s">
        <v>7</v>
      </c>
      <c r="C66" s="72">
        <v>50</v>
      </c>
      <c r="D66" s="111" t="s">
        <v>459</v>
      </c>
      <c r="E66" s="112" t="s">
        <v>460</v>
      </c>
      <c r="F66" s="12"/>
      <c r="G66" s="18"/>
      <c r="H66" s="18"/>
      <c r="I66" s="4" t="str">
        <f t="shared" si="9"/>
        <v>Defs</v>
      </c>
      <c r="J66" s="4" t="str">
        <f>IF(Table2[[#This Row],[!Type]]=J$1, J$1,"rg:None")</f>
        <v>rg:None</v>
      </c>
      <c r="K66" s="4" t="str">
        <f>IF(Table2[[#This Row],[!Type]]=K$1, K$1,"rg:None")</f>
        <v>rg:None</v>
      </c>
      <c r="L66" s="4" t="str">
        <f>IF(Table2[[#This Row],[!Type]]=L$1, L$1,"rg:None")</f>
        <v>rg:None</v>
      </c>
      <c r="M66" s="4" t="str">
        <f>IF(Table2[[#This Row],[!Type]]=M$1, M$1,"rg:None")</f>
        <v>rg:None</v>
      </c>
      <c r="N66" s="4" t="str">
        <f>IF(Table2[[#This Row],[!Type]]=N$1, N$1,"rg:None")</f>
        <v>rg:None</v>
      </c>
      <c r="O66" s="4" t="str">
        <f>IF(Table2[[#This Row],[!Type]]=O$1, O$1,"rg:None")</f>
        <v>rg:None</v>
      </c>
      <c r="P66" s="4" t="str">
        <f>IF(Table2[[#This Row],[!Type]]=P$1, P$1,"rg:None")</f>
        <v>rg:None</v>
      </c>
      <c r="Q66" s="4" t="str">
        <f>IF(Table2[[#This Row],[!Type]]=Q$1, Q$1,"rg:None")</f>
        <v>rg:None</v>
      </c>
      <c r="R66" s="4" t="str">
        <f>IF(Table2[[#This Row],[!Type]]=R$1, R$1,"rg:None")</f>
        <v>string</v>
      </c>
      <c r="S66" s="4" t="str">
        <f>IF(Table2[[#This Row],[!Type]]=S$1, S$1,"rg:None")</f>
        <v>rg:None</v>
      </c>
      <c r="T66" s="4">
        <f>IF(LEN(Table2[[#This Row],[!Length]]) &gt; 0, Table2[[#This Row],[!Length]], "rg:None")</f>
        <v>50</v>
      </c>
      <c r="U66" s="4" t="str">
        <f>IF(LEN(Table2[[#This Row],[!Name]]) &gt; 0, Table2[[#This Row],[!Name]], "rg:None")</f>
        <v>ratePeriod</v>
      </c>
      <c r="V66" s="4" t="str">
        <f>IF(LEN(Table2[[#This Row],[!Description]]) &gt; 0, Table2[[#This Row],[!Description]], "rg:None")</f>
        <v>The period of the rental rate. The vast majority will be hourly, but the rate could apply across a different period, e.g. daily.</v>
      </c>
      <c r="W66" s="4" t="str">
        <f>IF(LEN(Table2[[#This Row],[!FK]])&gt;0,Table2[[#This Row],[!FK]],"rg:None")</f>
        <v>rg:None</v>
      </c>
      <c r="X66" s="14" t="str">
        <f>IF(LEN(concatif2(A:A,Table2[[#This Row],[!Table]],G:G,"Y",D:D,",")) &gt; 0,"rg:[ { 'req' : '"&amp;concatif2(A:A,Table2[[#This Row],[!Table]],G:G,"Y",D:D,"' }, { 'req': '")&amp;"'} ]","rg:[]")</f>
        <v>rg:[ { 'req' : 'id' }, { 'req': 'rentalAgreement'} ]</v>
      </c>
      <c r="Y66" s="4" t="str">
        <f>IF(LEN(Table2[[#This Row],[!Unique]])&gt;0,IF(Table2[[#This Row],[!Type]] = "id", "rg:None","rg:True"),"rg:None")</f>
        <v>rg:None</v>
      </c>
    </row>
    <row r="67" spans="1:25" x14ac:dyDescent="0.35">
      <c r="A67" s="111" t="s">
        <v>453</v>
      </c>
      <c r="B67" s="111" t="s">
        <v>7</v>
      </c>
      <c r="C67" s="72">
        <v>2048</v>
      </c>
      <c r="D67" s="111" t="s">
        <v>461</v>
      </c>
      <c r="E67" s="112" t="s">
        <v>462</v>
      </c>
      <c r="F67" s="12"/>
      <c r="G67" s="18"/>
      <c r="H67" s="18"/>
      <c r="I67" s="4" t="str">
        <f t="shared" si="9"/>
        <v>Defs</v>
      </c>
      <c r="J67" s="4" t="str">
        <f>IF(Table2[[#This Row],[!Type]]=J$1, J$1,"rg:None")</f>
        <v>rg:None</v>
      </c>
      <c r="K67" s="4" t="str">
        <f>IF(Table2[[#This Row],[!Type]]=K$1, K$1,"rg:None")</f>
        <v>rg:None</v>
      </c>
      <c r="L67" s="4" t="str">
        <f>IF(Table2[[#This Row],[!Type]]=L$1, L$1,"rg:None")</f>
        <v>rg:None</v>
      </c>
      <c r="M67" s="4" t="str">
        <f>IF(Table2[[#This Row],[!Type]]=M$1, M$1,"rg:None")</f>
        <v>rg:None</v>
      </c>
      <c r="N67" s="4" t="str">
        <f>IF(Table2[[#This Row],[!Type]]=N$1, N$1,"rg:None")</f>
        <v>rg:None</v>
      </c>
      <c r="O67" s="4" t="str">
        <f>IF(Table2[[#This Row],[!Type]]=O$1, O$1,"rg:None")</f>
        <v>rg:None</v>
      </c>
      <c r="P67" s="4" t="str">
        <f>IF(Table2[[#This Row],[!Type]]=P$1, P$1,"rg:None")</f>
        <v>rg:None</v>
      </c>
      <c r="Q67" s="4" t="str">
        <f>IF(Table2[[#This Row],[!Type]]=Q$1, Q$1,"rg:None")</f>
        <v>rg:None</v>
      </c>
      <c r="R67" s="4" t="str">
        <f>IF(Table2[[#This Row],[!Type]]=R$1, R$1,"rg:None")</f>
        <v>string</v>
      </c>
      <c r="S67" s="4" t="str">
        <f>IF(Table2[[#This Row],[!Type]]=S$1, S$1,"rg:None")</f>
        <v>rg:None</v>
      </c>
      <c r="T67" s="4">
        <f>IF(LEN(Table2[[#This Row],[!Length]]) &gt; 0, Table2[[#This Row],[!Length]], "rg:None")</f>
        <v>2048</v>
      </c>
      <c r="U67" s="4" t="str">
        <f>IF(LEN(Table2[[#This Row],[!Name]]) &gt; 0, Table2[[#This Row],[!Name]], "rg:None")</f>
        <v>comment</v>
      </c>
      <c r="V67" s="4" t="str">
        <f>IF(LEN(Table2[[#This Row],[!Description]]) &gt; 0, Table2[[#This Row],[!Description]], "rg:None")</f>
        <v>A comment about the rental of this component of the Rental Agreement.</v>
      </c>
      <c r="W67" s="4" t="str">
        <f>IF(LEN(Table2[[#This Row],[!FK]])&gt;0,Table2[[#This Row],[!FK]],"rg:None")</f>
        <v>rg:None</v>
      </c>
      <c r="X67" s="14" t="str">
        <f>IF(LEN(concatif2(A:A,Table2[[#This Row],[!Table]],G:G,"Y",D:D,",")) &gt; 0,"rg:[ { 'req' : '"&amp;concatif2(A:A,Table2[[#This Row],[!Table]],G:G,"Y",D:D,"' }, { 'req': '")&amp;"'} ]","rg:[]")</f>
        <v>rg:[ { 'req' : 'id' }, { 'req': 'rentalAgreement'} ]</v>
      </c>
      <c r="Y67" s="4" t="str">
        <f>IF(LEN(Table2[[#This Row],[!Unique]])&gt;0,IF(Table2[[#This Row],[!Type]] = "id", "rg:None","rg:True"),"rg:None")</f>
        <v>rg:None</v>
      </c>
    </row>
    <row r="68" spans="1:25" x14ac:dyDescent="0.35">
      <c r="A68" s="111" t="s">
        <v>465</v>
      </c>
      <c r="B68" s="111" t="s">
        <v>4</v>
      </c>
      <c r="C68" s="72"/>
      <c r="D68" s="111" t="s">
        <v>465</v>
      </c>
      <c r="E68" s="112" t="s">
        <v>466</v>
      </c>
      <c r="F68" s="12"/>
      <c r="G68" s="18"/>
      <c r="H68" s="18"/>
      <c r="I68" s="4" t="str">
        <f t="shared" ref="I68:I69" si="10">IF(LEN(A68) &gt; 0,"Defs","-")</f>
        <v>Defs</v>
      </c>
      <c r="J68" s="4" t="str">
        <f>IF(Table2[[#This Row],[!Type]]=J$1, J$1,"rg:None")</f>
        <v>rg:None</v>
      </c>
      <c r="K68" s="4" t="str">
        <f>IF(Table2[[#This Row],[!Type]]=K$1, K$1,"rg:None")</f>
        <v>rg:None</v>
      </c>
      <c r="L68" s="4" t="str">
        <f>IF(Table2[[#This Row],[!Type]]=L$1, L$1,"rg:None")</f>
        <v>rg:None</v>
      </c>
      <c r="M68" s="4" t="str">
        <f>IF(Table2[[#This Row],[!Type]]=M$1, M$1,"rg:None")</f>
        <v>rg:None</v>
      </c>
      <c r="N68" s="4" t="str">
        <f>IF(Table2[[#This Row],[!Type]]=N$1, N$1,"rg:None")</f>
        <v>rg:None</v>
      </c>
      <c r="O68" s="4" t="str">
        <f>IF(Table2[[#This Row],[!Type]]=O$1, O$1,"rg:None")</f>
        <v>rg:None</v>
      </c>
      <c r="P68" s="4" t="str">
        <f>IF(Table2[[#This Row],[!Type]]=P$1, P$1,"rg:None")</f>
        <v>rg:None</v>
      </c>
      <c r="Q68" s="4" t="str">
        <f>IF(Table2[[#This Row],[!Type]]=Q$1, Q$1,"rg:None")</f>
        <v>rg:None</v>
      </c>
      <c r="R68" s="4" t="str">
        <f>IF(Table2[[#This Row],[!Type]]=R$1, R$1,"rg:None")</f>
        <v>rg:None</v>
      </c>
      <c r="S68" s="4" t="str">
        <f>IF(Table2[[#This Row],[!Type]]=S$1, S$1,"rg:None")</f>
        <v>table</v>
      </c>
      <c r="T68" s="4" t="str">
        <f>IF(LEN(Table2[[#This Row],[!Length]]) &gt; 0, Table2[[#This Row],[!Length]], "rg:None")</f>
        <v>rg:None</v>
      </c>
      <c r="U68" s="4" t="str">
        <f>IF(LEN(Table2[[#This Row],[!Name]]) &gt; 0, Table2[[#This Row],[!Name]], "rg:None")</f>
        <v>RentalAgreementCondition</v>
      </c>
      <c r="V68" s="4" t="str">
        <f>IF(LEN(Table2[[#This Row],[!Description]]) &gt; 0, Table2[[#This Row],[!Description]], "rg:None")</f>
        <v>A condition about the rental agreement to be displayed on the Rental Agreement.</v>
      </c>
      <c r="W68" s="4" t="str">
        <f>IF(LEN(Table2[[#This Row],[!FK]])&gt;0,Table2[[#This Row],[!FK]],"rg:None")</f>
        <v>rg:None</v>
      </c>
      <c r="X68" s="14" t="str">
        <f>IF(LEN(concatif2(A:A,Table2[[#This Row],[!Table]],G:G,"Y",D:D,",")) &gt; 0,"rg:[ { 'req' : '"&amp;concatif2(A:A,Table2[[#This Row],[!Table]],G:G,"Y",D:D,"' }, { 'req': '")&amp;"'} ]","rg:[]")</f>
        <v>rg:[ { 'req' : 'id' }, { 'req': 'rentalAgreement' }, { 'req': 'conditionName'} ]</v>
      </c>
      <c r="Y68" s="4" t="str">
        <f>IF(LEN(Table2[[#This Row],[!Unique]])&gt;0,IF(Table2[[#This Row],[!Type]] = "id", "rg:None","rg:True"),"rg:None")</f>
        <v>rg:None</v>
      </c>
    </row>
    <row r="69" spans="1:25" x14ac:dyDescent="0.35">
      <c r="A69" s="111" t="s">
        <v>465</v>
      </c>
      <c r="B69" s="111" t="s">
        <v>6</v>
      </c>
      <c r="C69" s="72"/>
      <c r="D69" s="111" t="s">
        <v>6</v>
      </c>
      <c r="E69" s="113" t="s">
        <v>467</v>
      </c>
      <c r="F69" s="12"/>
      <c r="G69" s="154" t="s">
        <v>59</v>
      </c>
      <c r="H69" s="154" t="s">
        <v>59</v>
      </c>
      <c r="I69" s="4" t="str">
        <f t="shared" si="10"/>
        <v>Defs</v>
      </c>
      <c r="J69" s="4" t="str">
        <f>IF(Table2[[#This Row],[!Type]]=J$1, J$1,"rg:None")</f>
        <v>rg:None</v>
      </c>
      <c r="K69" s="4" t="str">
        <f>IF(Table2[[#This Row],[!Type]]=K$1, K$1,"rg:None")</f>
        <v>rg:None</v>
      </c>
      <c r="L69" s="4" t="str">
        <f>IF(Table2[[#This Row],[!Type]]=L$1, L$1,"rg:None")</f>
        <v>rg:None</v>
      </c>
      <c r="M69" s="4" t="str">
        <f>IF(Table2[[#This Row],[!Type]]=M$1, M$1,"rg:None")</f>
        <v>id</v>
      </c>
      <c r="N69" s="4" t="str">
        <f>IF(Table2[[#This Row],[!Type]]=N$1, N$1,"rg:None")</f>
        <v>rg:None</v>
      </c>
      <c r="O69" s="4" t="str">
        <f>IF(Table2[[#This Row],[!Type]]=O$1, O$1,"rg:None")</f>
        <v>rg:None</v>
      </c>
      <c r="P69" s="4" t="str">
        <f>IF(Table2[[#This Row],[!Type]]=P$1, P$1,"rg:None")</f>
        <v>rg:None</v>
      </c>
      <c r="Q69" s="4" t="str">
        <f>IF(Table2[[#This Row],[!Type]]=Q$1, Q$1,"rg:None")</f>
        <v>rg:None</v>
      </c>
      <c r="R69" s="4" t="str">
        <f>IF(Table2[[#This Row],[!Type]]=R$1, R$1,"rg:None")</f>
        <v>rg:None</v>
      </c>
      <c r="S69" s="4" t="str">
        <f>IF(Table2[[#This Row],[!Type]]=S$1, S$1,"rg:None")</f>
        <v>rg:None</v>
      </c>
      <c r="T69" s="4" t="str">
        <f>IF(LEN(Table2[[#This Row],[!Length]]) &gt; 0, Table2[[#This Row],[!Length]], "rg:None")</f>
        <v>rg:None</v>
      </c>
      <c r="U69" s="4" t="str">
        <f>IF(LEN(Table2[[#This Row],[!Name]]) &gt; 0, Table2[[#This Row],[!Name]], "rg:None")</f>
        <v>id</v>
      </c>
      <c r="V69" s="4" t="str">
        <f>IF(LEN(Table2[[#This Row],[!Description]]) &gt; 0, Table2[[#This Row],[!Description]], "rg:None")</f>
        <v>A system-generated unique identifier for a RentalAgreementCondition</v>
      </c>
      <c r="W69" s="4" t="str">
        <f>IF(LEN(Table2[[#This Row],[!FK]])&gt;0,Table2[[#This Row],[!FK]],"rg:None")</f>
        <v>rg:None</v>
      </c>
      <c r="X69" s="14" t="str">
        <f>IF(LEN(concatif2(A:A,Table2[[#This Row],[!Table]],G:G,"Y",D:D,",")) &gt; 0,"rg:[ { 'req' : '"&amp;concatif2(A:A,Table2[[#This Row],[!Table]],G:G,"Y",D:D,"' }, { 'req': '")&amp;"'} ]","rg:[]")</f>
        <v>rg:[ { 'req' : 'id' }, { 'req': 'rentalAgreement' }, { 'req': 'conditionName'} ]</v>
      </c>
      <c r="Y69" s="4" t="str">
        <f>IF(LEN(Table2[[#This Row],[!Unique]])&gt;0,IF(Table2[[#This Row],[!Type]] = "id", "rg:None","rg:True"),"rg:None")</f>
        <v>rg:None</v>
      </c>
    </row>
    <row r="70" spans="1:25" x14ac:dyDescent="0.35">
      <c r="A70" s="111" t="s">
        <v>465</v>
      </c>
      <c r="B70" s="111" t="s">
        <v>8</v>
      </c>
      <c r="C70" s="72"/>
      <c r="D70" s="111" t="s">
        <v>195</v>
      </c>
      <c r="E70" s="129" t="s">
        <v>530</v>
      </c>
      <c r="F70" s="27" t="s">
        <v>194</v>
      </c>
      <c r="G70" s="154" t="s">
        <v>59</v>
      </c>
      <c r="H70" s="18"/>
      <c r="I70" s="4" t="str">
        <f t="shared" si="9"/>
        <v>Defs</v>
      </c>
      <c r="J70" s="4" t="str">
        <f>IF(Table2[[#This Row],[!Type]]=J$1, J$1,"rg:None")</f>
        <v>rg:None</v>
      </c>
      <c r="K70" s="4" t="str">
        <f>IF(Table2[[#This Row],[!Type]]=K$1, K$1,"rg:None")</f>
        <v>rg:None</v>
      </c>
      <c r="L70" s="4" t="str">
        <f>IF(Table2[[#This Row],[!Type]]=L$1, L$1,"rg:None")</f>
        <v>rg:None</v>
      </c>
      <c r="M70" s="4" t="str">
        <f>IF(Table2[[#This Row],[!Type]]=M$1, M$1,"rg:None")</f>
        <v>rg:None</v>
      </c>
      <c r="N70" s="4" t="str">
        <f>IF(Table2[[#This Row],[!Type]]=N$1, N$1,"rg:None")</f>
        <v>rg:None</v>
      </c>
      <c r="O70" s="4" t="str">
        <f>IF(Table2[[#This Row],[!Type]]=O$1, O$1,"rg:None")</f>
        <v>rg:None</v>
      </c>
      <c r="P70" s="4" t="str">
        <f>IF(Table2[[#This Row],[!Type]]=P$1, P$1,"rg:None")</f>
        <v>rg:None</v>
      </c>
      <c r="Q70" s="4" t="str">
        <f>IF(Table2[[#This Row],[!Type]]=Q$1, Q$1,"rg:None")</f>
        <v>ref</v>
      </c>
      <c r="R70" s="4" t="str">
        <f>IF(Table2[[#This Row],[!Type]]=R$1, R$1,"rg:None")</f>
        <v>rg:None</v>
      </c>
      <c r="S70" s="4" t="str">
        <f>IF(Table2[[#This Row],[!Type]]=S$1, S$1,"rg:None")</f>
        <v>rg:None</v>
      </c>
      <c r="T70" s="4" t="str">
        <f>IF(LEN(Table2[[#This Row],[!Length]]) &gt; 0, Table2[[#This Row],[!Length]], "rg:None")</f>
        <v>rg:None</v>
      </c>
      <c r="U70" s="4" t="str">
        <f>IF(LEN(Table2[[#This Row],[!Name]]) &gt; 0, Table2[[#This Row],[!Name]], "rg:None")</f>
        <v>rentalAgreement</v>
      </c>
      <c r="V70" s="4" t="str">
        <f>IF(LEN(Table2[[#This Row],[!Description]]) &gt; 0, Table2[[#This Row],[!Description]], "rg:None")</f>
        <v>A foreign key reference to the system-generated unique identifier for a Rental Agreement</v>
      </c>
      <c r="W70" s="4" t="str">
        <f>IF(LEN(Table2[[#This Row],[!FK]])&gt;0,Table2[[#This Row],[!FK]],"rg:None")</f>
        <v>RentalAgreement</v>
      </c>
      <c r="X70" s="14" t="str">
        <f>IF(LEN(concatif2(A:A,Table2[[#This Row],[!Table]],G:G,"Y",D:D,",")) &gt; 0,"rg:[ { 'req' : '"&amp;concatif2(A:A,Table2[[#This Row],[!Table]],G:G,"Y",D:D,"' }, { 'req': '")&amp;"'} ]","rg:[]")</f>
        <v>rg:[ { 'req' : 'id' }, { 'req': 'rentalAgreement' }, { 'req': 'conditionName'} ]</v>
      </c>
      <c r="Y70" s="4" t="str">
        <f>IF(LEN(Table2[[#This Row],[!Unique]])&gt;0,IF(Table2[[#This Row],[!Type]] = "id", "rg:None","rg:True"),"rg:None")</f>
        <v>rg:None</v>
      </c>
    </row>
    <row r="71" spans="1:25" x14ac:dyDescent="0.35">
      <c r="A71" s="111" t="s">
        <v>465</v>
      </c>
      <c r="B71" s="111" t="s">
        <v>7</v>
      </c>
      <c r="C71" s="72">
        <v>150</v>
      </c>
      <c r="D71" s="111" t="s">
        <v>468</v>
      </c>
      <c r="E71" s="112" t="s">
        <v>469</v>
      </c>
      <c r="F71" s="12"/>
      <c r="G71" s="154" t="s">
        <v>59</v>
      </c>
      <c r="H71" s="18"/>
      <c r="I71" s="4" t="str">
        <f t="shared" si="9"/>
        <v>Defs</v>
      </c>
      <c r="J71" s="4" t="str">
        <f>IF(Table2[[#This Row],[!Type]]=J$1, J$1,"rg:None")</f>
        <v>rg:None</v>
      </c>
      <c r="K71" s="4" t="str">
        <f>IF(Table2[[#This Row],[!Type]]=K$1, K$1,"rg:None")</f>
        <v>rg:None</v>
      </c>
      <c r="L71" s="4" t="str">
        <f>IF(Table2[[#This Row],[!Type]]=L$1, L$1,"rg:None")</f>
        <v>rg:None</v>
      </c>
      <c r="M71" s="4" t="str">
        <f>IF(Table2[[#This Row],[!Type]]=M$1, M$1,"rg:None")</f>
        <v>rg:None</v>
      </c>
      <c r="N71" s="4" t="str">
        <f>IF(Table2[[#This Row],[!Type]]=N$1, N$1,"rg:None")</f>
        <v>rg:None</v>
      </c>
      <c r="O71" s="4" t="str">
        <f>IF(Table2[[#This Row],[!Type]]=O$1, O$1,"rg:None")</f>
        <v>rg:None</v>
      </c>
      <c r="P71" s="4" t="str">
        <f>IF(Table2[[#This Row],[!Type]]=P$1, P$1,"rg:None")</f>
        <v>rg:None</v>
      </c>
      <c r="Q71" s="4" t="str">
        <f>IF(Table2[[#This Row],[!Type]]=Q$1, Q$1,"rg:None")</f>
        <v>rg:None</v>
      </c>
      <c r="R71" s="4" t="str">
        <f>IF(Table2[[#This Row],[!Type]]=R$1, R$1,"rg:None")</f>
        <v>string</v>
      </c>
      <c r="S71" s="4" t="str">
        <f>IF(Table2[[#This Row],[!Type]]=S$1, S$1,"rg:None")</f>
        <v>rg:None</v>
      </c>
      <c r="T71" s="4">
        <f>IF(LEN(Table2[[#This Row],[!Length]]) &gt; 0, Table2[[#This Row],[!Length]], "rg:None")</f>
        <v>150</v>
      </c>
      <c r="U71" s="4" t="str">
        <f>IF(LEN(Table2[[#This Row],[!Name]]) &gt; 0, Table2[[#This Row],[!Name]], "rg:None")</f>
        <v>conditionName</v>
      </c>
      <c r="V71" s="4" t="str">
        <f>IF(LEN(Table2[[#This Row],[!Description]]) &gt; 0, Table2[[#This Row],[!Description]], "rg:None")</f>
        <v>The name of the condition to be placed onto the Rental Agreement.</v>
      </c>
      <c r="W71" s="4" t="str">
        <f>IF(LEN(Table2[[#This Row],[!FK]])&gt;0,Table2[[#This Row],[!FK]],"rg:None")</f>
        <v>rg:None</v>
      </c>
      <c r="X71" s="14" t="str">
        <f>IF(LEN(concatif2(A:A,Table2[[#This Row],[!Table]],G:G,"Y",D:D,",")) &gt; 0,"rg:[ { 'req' : '"&amp;concatif2(A:A,Table2[[#This Row],[!Table]],G:G,"Y",D:D,"' }, { 'req': '")&amp;"'} ]","rg:[]")</f>
        <v>rg:[ { 'req' : 'id' }, { 'req': 'rentalAgreement' }, { 'req': 'conditionName'} ]</v>
      </c>
      <c r="Y71" s="4" t="str">
        <f>IF(LEN(Table2[[#This Row],[!Unique]])&gt;0,IF(Table2[[#This Row],[!Type]] = "id", "rg:None","rg:True"),"rg:None")</f>
        <v>rg:None</v>
      </c>
    </row>
    <row r="72" spans="1:25" x14ac:dyDescent="0.35">
      <c r="A72" s="111" t="s">
        <v>465</v>
      </c>
      <c r="B72" s="111" t="s">
        <v>7</v>
      </c>
      <c r="C72" s="72">
        <v>2048</v>
      </c>
      <c r="D72" s="111" t="s">
        <v>461</v>
      </c>
      <c r="E72" s="112" t="s">
        <v>470</v>
      </c>
      <c r="F72" s="12"/>
      <c r="G72" s="18"/>
      <c r="H72" s="18"/>
      <c r="I72" s="4" t="str">
        <f>IF(LEN(A72) &gt; 0,"Defs","-")</f>
        <v>Defs</v>
      </c>
      <c r="J72" s="4" t="str">
        <f>IF(Table2[[#This Row],[!Type]]=J$1, J$1,"rg:None")</f>
        <v>rg:None</v>
      </c>
      <c r="K72" s="4" t="str">
        <f>IF(Table2[[#This Row],[!Type]]=K$1, K$1,"rg:None")</f>
        <v>rg:None</v>
      </c>
      <c r="L72" s="4" t="str">
        <f>IF(Table2[[#This Row],[!Type]]=L$1, L$1,"rg:None")</f>
        <v>rg:None</v>
      </c>
      <c r="M72" s="4" t="str">
        <f>IF(Table2[[#This Row],[!Type]]=M$1, M$1,"rg:None")</f>
        <v>rg:None</v>
      </c>
      <c r="N72" s="4" t="str">
        <f>IF(Table2[[#This Row],[!Type]]=N$1, N$1,"rg:None")</f>
        <v>rg:None</v>
      </c>
      <c r="O72" s="4" t="str">
        <f>IF(Table2[[#This Row],[!Type]]=O$1, O$1,"rg:None")</f>
        <v>rg:None</v>
      </c>
      <c r="P72" s="4" t="str">
        <f>IF(Table2[[#This Row],[!Type]]=P$1, P$1,"rg:None")</f>
        <v>rg:None</v>
      </c>
      <c r="Q72" s="4" t="str">
        <f>IF(Table2[[#This Row],[!Type]]=Q$1, Q$1,"rg:None")</f>
        <v>rg:None</v>
      </c>
      <c r="R72" s="4" t="str">
        <f>IF(Table2[[#This Row],[!Type]]=R$1, R$1,"rg:None")</f>
        <v>string</v>
      </c>
      <c r="S72" s="4" t="str">
        <f>IF(Table2[[#This Row],[!Type]]=S$1, S$1,"rg:None")</f>
        <v>rg:None</v>
      </c>
      <c r="T72" s="4">
        <f>IF(LEN(Table2[[#This Row],[!Length]]) &gt; 0, Table2[[#This Row],[!Length]], "rg:None")</f>
        <v>2048</v>
      </c>
      <c r="U72" s="4" t="str">
        <f>IF(LEN(Table2[[#This Row],[!Name]]) &gt; 0, Table2[[#This Row],[!Name]], "rg:None")</f>
        <v>comment</v>
      </c>
      <c r="V72" s="4" t="str">
        <f>IF(LEN(Table2[[#This Row],[!Description]]) &gt; 0, Table2[[#This Row],[!Description]], "rg:None")</f>
        <v>A comment about the condition to be applied to the Rental Agreement.</v>
      </c>
      <c r="W72" s="4" t="str">
        <f>IF(LEN(Table2[[#This Row],[!FK]])&gt;0,Table2[[#This Row],[!FK]],"rg:None")</f>
        <v>rg:None</v>
      </c>
      <c r="X72" s="14" t="str">
        <f>IF(LEN(concatif2(A:A,Table2[[#This Row],[!Table]],G:G,"Y",D:D,",")) &gt; 0,"rg:[ { 'req' : '"&amp;concatif2(A:A,Table2[[#This Row],[!Table]],G:G,"Y",D:D,"' }, { 'req': '")&amp;"'} ]","rg:[]")</f>
        <v>rg:[ { 'req' : 'id' }, { 'req': 'rentalAgreement' }, { 'req': 'conditionName'} ]</v>
      </c>
      <c r="Y72" s="4" t="str">
        <f>IF(LEN(Table2[[#This Row],[!Unique]])&gt;0,IF(Table2[[#This Row],[!Type]] = "id", "rg:None","rg:True"),"rg:None")</f>
        <v>rg:None</v>
      </c>
    </row>
    <row r="73" spans="1:25" ht="28.8" x14ac:dyDescent="0.35">
      <c r="A73" s="27" t="s">
        <v>196</v>
      </c>
      <c r="B73" s="26" t="s">
        <v>4</v>
      </c>
      <c r="C73" s="72"/>
      <c r="D73" s="27" t="s">
        <v>196</v>
      </c>
      <c r="E73" s="60" t="s">
        <v>355</v>
      </c>
      <c r="F73" s="12"/>
      <c r="G73" s="18"/>
      <c r="H73" s="18"/>
      <c r="I73" s="4" t="str">
        <f t="shared" si="5"/>
        <v>Defs</v>
      </c>
      <c r="J73" s="4" t="str">
        <f>IF(Table2[[#This Row],[!Type]]=J$1, J$1,"rg:None")</f>
        <v>rg:None</v>
      </c>
      <c r="K73" s="4" t="str">
        <f>IF(Table2[[#This Row],[!Type]]=K$1, K$1,"rg:None")</f>
        <v>rg:None</v>
      </c>
      <c r="L73" s="4" t="str">
        <f>IF(Table2[[#This Row],[!Type]]=L$1, L$1,"rg:None")</f>
        <v>rg:None</v>
      </c>
      <c r="M73" s="4" t="str">
        <f>IF(Table2[[#This Row],[!Type]]=M$1, M$1,"rg:None")</f>
        <v>rg:None</v>
      </c>
      <c r="N73" s="4" t="str">
        <f>IF(Table2[[#This Row],[!Type]]=N$1, N$1,"rg:None")</f>
        <v>rg:None</v>
      </c>
      <c r="O73" s="4" t="str">
        <f>IF(Table2[[#This Row],[!Type]]=O$1, O$1,"rg:None")</f>
        <v>rg:None</v>
      </c>
      <c r="P73" s="4" t="str">
        <f>IF(Table2[[#This Row],[!Type]]=P$1, P$1,"rg:None")</f>
        <v>rg:None</v>
      </c>
      <c r="Q73" s="4" t="str">
        <f>IF(Table2[[#This Row],[!Type]]=Q$1, Q$1,"rg:None")</f>
        <v>rg:None</v>
      </c>
      <c r="R73" s="4" t="str">
        <f>IF(Table2[[#This Row],[!Type]]=R$1, R$1,"rg:None")</f>
        <v>rg:None</v>
      </c>
      <c r="S73" s="4" t="str">
        <f>IF(Table2[[#This Row],[!Type]]=S$1, S$1,"rg:None")</f>
        <v>table</v>
      </c>
      <c r="T73" s="4" t="str">
        <f>IF(LEN(Table2[[#This Row],[!Length]]) &gt; 0, Table2[[#This Row],[!Length]], "rg:None")</f>
        <v>rg:None</v>
      </c>
      <c r="U73" s="4" t="str">
        <f>IF(LEN(Table2[[#This Row],[!Name]]) &gt; 0, Table2[[#This Row],[!Name]], "rg:None")</f>
        <v>TimeRecord</v>
      </c>
      <c r="V73" s="4" t="str">
        <f>IF(LEN(Table2[[#This Row],[!Description]]) &gt; 0, Table2[[#This Row],[!Description]], "rg:None")</f>
        <v>A record of time worked for a piece of equipment hired for a specific project within a Local Area.</v>
      </c>
      <c r="W73" s="4" t="str">
        <f>IF(LEN(Table2[[#This Row],[!FK]])&gt;0,Table2[[#This Row],[!FK]],"rg:None")</f>
        <v>rg:None</v>
      </c>
      <c r="X73" s="14" t="str">
        <f>IF(LEN(concatif2(A:A,Table2[[#This Row],[!Table]],G:G,"Y",D:D,",")) &gt; 0,"rg:[ { 'req' : '"&amp;concatif2(A:A,Table2[[#This Row],[!Table]],G:G,"Y",D:D,"' }, { 'req': '")&amp;"'} ]","rg:[]")</f>
        <v>rg:[ { 'req' : 'id' }, { 'req': 'rentalAgreement' }, { 'req': 'workedDate' }, { 'req': 'hours'} ]</v>
      </c>
      <c r="Y73" s="4" t="str">
        <f>IF(LEN(Table2[[#This Row],[!Unique]])&gt;0,IF(Table2[[#This Row],[!Type]] = "id", "rg:None","rg:True"),"rg:None")</f>
        <v>rg:None</v>
      </c>
    </row>
    <row r="74" spans="1:25" x14ac:dyDescent="0.35">
      <c r="A74" s="27" t="s">
        <v>196</v>
      </c>
      <c r="B74" s="23" t="s">
        <v>6</v>
      </c>
      <c r="C74" s="72"/>
      <c r="D74" s="23" t="s">
        <v>6</v>
      </c>
      <c r="E74" s="54" t="s">
        <v>288</v>
      </c>
      <c r="F74" s="12"/>
      <c r="G74" s="25" t="s">
        <v>59</v>
      </c>
      <c r="H74" s="154" t="s">
        <v>59</v>
      </c>
      <c r="I74" s="4" t="str">
        <f t="shared" si="5"/>
        <v>Defs</v>
      </c>
      <c r="J74" s="4" t="str">
        <f>IF(Table2[[#This Row],[!Type]]=J$1, J$1,"rg:None")</f>
        <v>rg:None</v>
      </c>
      <c r="K74" s="4" t="str">
        <f>IF(Table2[[#This Row],[!Type]]=K$1, K$1,"rg:None")</f>
        <v>rg:None</v>
      </c>
      <c r="L74" s="4" t="str">
        <f>IF(Table2[[#This Row],[!Type]]=L$1, L$1,"rg:None")</f>
        <v>rg:None</v>
      </c>
      <c r="M74" s="4" t="str">
        <f>IF(Table2[[#This Row],[!Type]]=M$1, M$1,"rg:None")</f>
        <v>id</v>
      </c>
      <c r="N74" s="4" t="str">
        <f>IF(Table2[[#This Row],[!Type]]=N$1, N$1,"rg:None")</f>
        <v>rg:None</v>
      </c>
      <c r="O74" s="4" t="str">
        <f>IF(Table2[[#This Row],[!Type]]=O$1, O$1,"rg:None")</f>
        <v>rg:None</v>
      </c>
      <c r="P74" s="4" t="str">
        <f>IF(Table2[[#This Row],[!Type]]=P$1, P$1,"rg:None")</f>
        <v>rg:None</v>
      </c>
      <c r="Q74" s="4" t="str">
        <f>IF(Table2[[#This Row],[!Type]]=Q$1, Q$1,"rg:None")</f>
        <v>rg:None</v>
      </c>
      <c r="R74" s="4" t="str">
        <f>IF(Table2[[#This Row],[!Type]]=R$1, R$1,"rg:None")</f>
        <v>rg:None</v>
      </c>
      <c r="S74" s="4" t="str">
        <f>IF(Table2[[#This Row],[!Type]]=S$1, S$1,"rg:None")</f>
        <v>rg:None</v>
      </c>
      <c r="T74" s="4" t="str">
        <f>IF(LEN(Table2[[#This Row],[!Length]]) &gt; 0, Table2[[#This Row],[!Length]], "rg:None")</f>
        <v>rg:None</v>
      </c>
      <c r="U74" s="4" t="str">
        <f>IF(LEN(Table2[[#This Row],[!Name]]) &gt; 0, Table2[[#This Row],[!Name]], "rg:None")</f>
        <v>id</v>
      </c>
      <c r="V74" s="4" t="str">
        <f>IF(LEN(Table2[[#This Row],[!Description]]) &gt; 0, Table2[[#This Row],[!Description]], "rg:None")</f>
        <v>A system-generated unique identifier for a TimeRecord</v>
      </c>
      <c r="W74" s="4" t="str">
        <f>IF(LEN(Table2[[#This Row],[!FK]])&gt;0,Table2[[#This Row],[!FK]],"rg:None")</f>
        <v>rg:None</v>
      </c>
      <c r="X74" s="14" t="str">
        <f>IF(LEN(concatif2(A:A,Table2[[#This Row],[!Table]],G:G,"Y",D:D,",")) &gt; 0,"rg:[ { 'req' : '"&amp;concatif2(A:A,Table2[[#This Row],[!Table]],G:G,"Y",D:D,"' }, { 'req': '")&amp;"'} ]","rg:[]")</f>
        <v>rg:[ { 'req' : 'id' }, { 'req': 'rentalAgreement' }, { 'req': 'workedDate' }, { 'req': 'hours'} ]</v>
      </c>
      <c r="Y74" s="4" t="str">
        <f>IF(LEN(Table2[[#This Row],[!Unique]])&gt;0,IF(Table2[[#This Row],[!Type]] = "id", "rg:None","rg:True"),"rg:None")</f>
        <v>rg:None</v>
      </c>
    </row>
    <row r="75" spans="1:25" x14ac:dyDescent="0.35">
      <c r="A75" s="27" t="s">
        <v>196</v>
      </c>
      <c r="B75" s="26" t="s">
        <v>8</v>
      </c>
      <c r="C75" s="72"/>
      <c r="D75" s="26" t="s">
        <v>195</v>
      </c>
      <c r="E75" s="129" t="s">
        <v>530</v>
      </c>
      <c r="F75" s="27" t="s">
        <v>194</v>
      </c>
      <c r="G75" s="154" t="s">
        <v>59</v>
      </c>
      <c r="H75" s="18"/>
      <c r="I75" s="4" t="str">
        <f t="shared" si="5"/>
        <v>Defs</v>
      </c>
      <c r="J75" s="4" t="str">
        <f>IF(Table2[[#This Row],[!Type]]=J$1, J$1,"rg:None")</f>
        <v>rg:None</v>
      </c>
      <c r="K75" s="4" t="str">
        <f>IF(Table2[[#This Row],[!Type]]=K$1, K$1,"rg:None")</f>
        <v>rg:None</v>
      </c>
      <c r="L75" s="4" t="str">
        <f>IF(Table2[[#This Row],[!Type]]=L$1, L$1,"rg:None")</f>
        <v>rg:None</v>
      </c>
      <c r="M75" s="4" t="str">
        <f>IF(Table2[[#This Row],[!Type]]=M$1, M$1,"rg:None")</f>
        <v>rg:None</v>
      </c>
      <c r="N75" s="4" t="str">
        <f>IF(Table2[[#This Row],[!Type]]=N$1, N$1,"rg:None")</f>
        <v>rg:None</v>
      </c>
      <c r="O75" s="4" t="str">
        <f>IF(Table2[[#This Row],[!Type]]=O$1, O$1,"rg:None")</f>
        <v>rg:None</v>
      </c>
      <c r="P75" s="4" t="str">
        <f>IF(Table2[[#This Row],[!Type]]=P$1, P$1,"rg:None")</f>
        <v>rg:None</v>
      </c>
      <c r="Q75" s="4" t="str">
        <f>IF(Table2[[#This Row],[!Type]]=Q$1, Q$1,"rg:None")</f>
        <v>ref</v>
      </c>
      <c r="R75" s="4" t="str">
        <f>IF(Table2[[#This Row],[!Type]]=R$1, R$1,"rg:None")</f>
        <v>rg:None</v>
      </c>
      <c r="S75" s="4" t="str">
        <f>IF(Table2[[#This Row],[!Type]]=S$1, S$1,"rg:None")</f>
        <v>rg:None</v>
      </c>
      <c r="T75" s="4" t="str">
        <f>IF(LEN(Table2[[#This Row],[!Length]]) &gt; 0, Table2[[#This Row],[!Length]], "rg:None")</f>
        <v>rg:None</v>
      </c>
      <c r="U75" s="4" t="str">
        <f>IF(LEN(Table2[[#This Row],[!Name]]) &gt; 0, Table2[[#This Row],[!Name]], "rg:None")</f>
        <v>rentalAgreement</v>
      </c>
      <c r="V75" s="4" t="str">
        <f>IF(LEN(Table2[[#This Row],[!Description]]) &gt; 0, Table2[[#This Row],[!Description]], "rg:None")</f>
        <v>A foreign key reference to the system-generated unique identifier for a Rental Agreement</v>
      </c>
      <c r="W75" s="4" t="str">
        <f>IF(LEN(Table2[[#This Row],[!FK]])&gt;0,Table2[[#This Row],[!FK]],"rg:None")</f>
        <v>RentalAgreement</v>
      </c>
      <c r="X75" s="14" t="str">
        <f>IF(LEN(concatif2(A:A,Table2[[#This Row],[!Table]],G:G,"Y",D:D,",")) &gt; 0,"rg:[ { 'req' : '"&amp;concatif2(A:A,Table2[[#This Row],[!Table]],G:G,"Y",D:D,"' }, { 'req': '")&amp;"'} ]","rg:[]")</f>
        <v>rg:[ { 'req' : 'id' }, { 'req': 'rentalAgreement' }, { 'req': 'workedDate' }, { 'req': 'hours'} ]</v>
      </c>
      <c r="Y75" s="4" t="str">
        <f>IF(LEN(Table2[[#This Row],[!Unique]])&gt;0,IF(Table2[[#This Row],[!Type]] = "id", "rg:None","rg:True"),"rg:None")</f>
        <v>rg:None</v>
      </c>
    </row>
    <row r="76" spans="1:25" ht="28.8" x14ac:dyDescent="0.35">
      <c r="A76" s="111" t="s">
        <v>196</v>
      </c>
      <c r="B76" s="111" t="s">
        <v>8</v>
      </c>
      <c r="C76" s="72"/>
      <c r="D76" s="111" t="s">
        <v>480</v>
      </c>
      <c r="E76" s="112" t="s">
        <v>481</v>
      </c>
      <c r="F76" s="115" t="s">
        <v>453</v>
      </c>
      <c r="G76" s="18"/>
      <c r="H76" s="18"/>
      <c r="I76" s="4" t="str">
        <f>IF(LEN(A76) &gt; 0,"Defs","-")</f>
        <v>Defs</v>
      </c>
      <c r="J76" s="4" t="str">
        <f>IF(Table2[[#This Row],[!Type]]=J$1, J$1,"rg:None")</f>
        <v>rg:None</v>
      </c>
      <c r="K76" s="4" t="str">
        <f>IF(Table2[[#This Row],[!Type]]=K$1, K$1,"rg:None")</f>
        <v>rg:None</v>
      </c>
      <c r="L76" s="4" t="str">
        <f>IF(Table2[[#This Row],[!Type]]=L$1, L$1,"rg:None")</f>
        <v>rg:None</v>
      </c>
      <c r="M76" s="4" t="str">
        <f>IF(Table2[[#This Row],[!Type]]=M$1, M$1,"rg:None")</f>
        <v>rg:None</v>
      </c>
      <c r="N76" s="4" t="str">
        <f>IF(Table2[[#This Row],[!Type]]=N$1, N$1,"rg:None")</f>
        <v>rg:None</v>
      </c>
      <c r="O76" s="4" t="str">
        <f>IF(Table2[[#This Row],[!Type]]=O$1, O$1,"rg:None")</f>
        <v>rg:None</v>
      </c>
      <c r="P76" s="4" t="str">
        <f>IF(Table2[[#This Row],[!Type]]=P$1, P$1,"rg:None")</f>
        <v>rg:None</v>
      </c>
      <c r="Q76" s="4" t="str">
        <f>IF(Table2[[#This Row],[!Type]]=Q$1, Q$1,"rg:None")</f>
        <v>ref</v>
      </c>
      <c r="R76" s="4" t="str">
        <f>IF(Table2[[#This Row],[!Type]]=R$1, R$1,"rg:None")</f>
        <v>rg:None</v>
      </c>
      <c r="S76" s="4" t="str">
        <f>IF(Table2[[#This Row],[!Type]]=S$1, S$1,"rg:None")</f>
        <v>rg:None</v>
      </c>
      <c r="T76" s="4" t="str">
        <f>IF(LEN(Table2[[#This Row],[!Length]]) &gt; 0, Table2[[#This Row],[!Length]], "rg:None")</f>
        <v>rg:None</v>
      </c>
      <c r="U76" s="4" t="str">
        <f>IF(LEN(Table2[[#This Row],[!Name]]) &gt; 0, Table2[[#This Row],[!Name]], "rg:None")</f>
        <v>rentalAgreementRate</v>
      </c>
      <c r="V76" s="4" t="str">
        <f>IF(LEN(Table2[[#This Row],[!Description]]) &gt; 0, Table2[[#This Row],[!Description]], "rg:None")</f>
        <v>The Rental Agreement Rate component to which this Rental Agreement applies. If null, this time applies to the equipment itself.</v>
      </c>
      <c r="W76" s="4" t="str">
        <f>IF(LEN(Table2[[#This Row],[!FK]])&gt;0,Table2[[#This Row],[!FK]],"rg:None")</f>
        <v>RentalAgreementRate</v>
      </c>
      <c r="X76" s="14" t="str">
        <f>IF(LEN(concatif2(A:A,Table2[[#This Row],[!Table]],G:G,"Y",D:D,",")) &gt; 0,"rg:[ { 'req' : '"&amp;concatif2(A:A,Table2[[#This Row],[!Table]],G:G,"Y",D:D,"' }, { 'req': '")&amp;"'} ]","rg:[]")</f>
        <v>rg:[ { 'req' : 'id' }, { 'req': 'rentalAgreement' }, { 'req': 'workedDate' }, { 'req': 'hours'} ]</v>
      </c>
      <c r="Y76" s="4" t="str">
        <f>IF(LEN(Table2[[#This Row],[!Unique]])&gt;0,IF(Table2[[#This Row],[!Type]] = "id", "rg:None","rg:True"),"rg:None")</f>
        <v>rg:None</v>
      </c>
    </row>
    <row r="77" spans="1:25" ht="28.8" x14ac:dyDescent="0.35">
      <c r="A77" s="115" t="s">
        <v>196</v>
      </c>
      <c r="B77" s="91" t="s">
        <v>12</v>
      </c>
      <c r="D77" s="91" t="s">
        <v>197</v>
      </c>
      <c r="E77" s="48" t="s">
        <v>223</v>
      </c>
      <c r="F77" s="12"/>
      <c r="G77" s="154" t="s">
        <v>59</v>
      </c>
      <c r="H77" s="18"/>
      <c r="I77" s="4" t="str">
        <f t="shared" si="5"/>
        <v>Defs</v>
      </c>
      <c r="J77" s="4" t="str">
        <f>IF(Table2[[#This Row],[!Type]]=J$1, J$1,"rg:None")</f>
        <v>rg:None</v>
      </c>
      <c r="K77" s="4" t="str">
        <f>IF(Table2[[#This Row],[!Type]]=K$1, K$1,"rg:None")</f>
        <v>rg:None</v>
      </c>
      <c r="L77" s="4" t="str">
        <f>IF(Table2[[#This Row],[!Type]]=L$1, L$1,"rg:None")</f>
        <v>datetime</v>
      </c>
      <c r="M77" s="4" t="str">
        <f>IF(Table2[[#This Row],[!Type]]=M$1, M$1,"rg:None")</f>
        <v>rg:None</v>
      </c>
      <c r="N77" s="4" t="str">
        <f>IF(Table2[[#This Row],[!Type]]=N$1, N$1,"rg:None")</f>
        <v>rg:None</v>
      </c>
      <c r="O77" s="4" t="str">
        <f>IF(Table2[[#This Row],[!Type]]=O$1, O$1,"rg:None")</f>
        <v>rg:None</v>
      </c>
      <c r="P77" s="4" t="str">
        <f>IF(Table2[[#This Row],[!Type]]=P$1, P$1,"rg:None")</f>
        <v>rg:None</v>
      </c>
      <c r="Q77" s="4" t="str">
        <f>IF(Table2[[#This Row],[!Type]]=Q$1, Q$1,"rg:None")</f>
        <v>rg:None</v>
      </c>
      <c r="R77" s="4" t="str">
        <f>IF(Table2[[#This Row],[!Type]]=R$1, R$1,"rg:None")</f>
        <v>rg:None</v>
      </c>
      <c r="S77" s="4" t="str">
        <f>IF(Table2[[#This Row],[!Type]]=S$1, S$1,"rg:None")</f>
        <v>rg:None</v>
      </c>
      <c r="T77" s="4" t="str">
        <f>IF(LEN(Table2[[#This Row],[!Length]]) &gt; 0, Table2[[#This Row],[!Length]], "rg:None")</f>
        <v>rg:None</v>
      </c>
      <c r="U77" s="4" t="str">
        <f>IF(LEN(Table2[[#This Row],[!Name]]) &gt; 0, Table2[[#This Row],[!Name]], "rg:None")</f>
        <v>workedDate</v>
      </c>
      <c r="V77" s="4" t="str">
        <f>IF(LEN(Table2[[#This Row],[!Description]]) &gt; 0, Table2[[#This Row],[!Description]], "rg:None")</f>
        <v>The date of the time record entry - the day of the entry if it is a daily entry, or a date in the week in which the work occurred if tracked weekly.</v>
      </c>
      <c r="W77" s="4" t="str">
        <f>IF(LEN(Table2[[#This Row],[!FK]])&gt;0,Table2[[#This Row],[!FK]],"rg:None")</f>
        <v>rg:None</v>
      </c>
      <c r="X77" s="14" t="str">
        <f>IF(LEN(concatif2(A:A,Table2[[#This Row],[!Table]],G:G,"Y",D:D,",")) &gt; 0,"rg:[ { 'req' : '"&amp;concatif2(A:A,Table2[[#This Row],[!Table]],G:G,"Y",D:D,"' }, { 'req': '")&amp;"'} ]","rg:[]")</f>
        <v>rg:[ { 'req' : 'id' }, { 'req': 'rentalAgreement' }, { 'req': 'workedDate' }, { 'req': 'hours'} ]</v>
      </c>
      <c r="Y77" s="4" t="str">
        <f>IF(LEN(Table2[[#This Row],[!Unique]])&gt;0,IF(Table2[[#This Row],[!Type]] = "id", "rg:None","rg:True"),"rg:None")</f>
        <v>rg:None</v>
      </c>
    </row>
    <row r="78" spans="1:25" x14ac:dyDescent="0.35">
      <c r="A78" s="27" t="s">
        <v>196</v>
      </c>
      <c r="B78" s="91" t="s">
        <v>12</v>
      </c>
      <c r="D78" s="91" t="s">
        <v>198</v>
      </c>
      <c r="E78" s="50" t="s">
        <v>345</v>
      </c>
      <c r="F78" s="12"/>
      <c r="G78" s="18"/>
      <c r="H78" s="18"/>
      <c r="I78" s="4" t="str">
        <f t="shared" si="5"/>
        <v>Defs</v>
      </c>
      <c r="J78" s="4" t="str">
        <f>IF(Table2[[#This Row],[!Type]]=J$1, J$1,"rg:None")</f>
        <v>rg:None</v>
      </c>
      <c r="K78" s="4" t="str">
        <f>IF(Table2[[#This Row],[!Type]]=K$1, K$1,"rg:None")</f>
        <v>rg:None</v>
      </c>
      <c r="L78" s="4" t="str">
        <f>IF(Table2[[#This Row],[!Type]]=L$1, L$1,"rg:None")</f>
        <v>datetime</v>
      </c>
      <c r="M78" s="4" t="str">
        <f>IF(Table2[[#This Row],[!Type]]=M$1, M$1,"rg:None")</f>
        <v>rg:None</v>
      </c>
      <c r="N78" s="4" t="str">
        <f>IF(Table2[[#This Row],[!Type]]=N$1, N$1,"rg:None")</f>
        <v>rg:None</v>
      </c>
      <c r="O78" s="4" t="str">
        <f>IF(Table2[[#This Row],[!Type]]=O$1, O$1,"rg:None")</f>
        <v>rg:None</v>
      </c>
      <c r="P78" s="4" t="str">
        <f>IF(Table2[[#This Row],[!Type]]=P$1, P$1,"rg:None")</f>
        <v>rg:None</v>
      </c>
      <c r="Q78" s="4" t="str">
        <f>IF(Table2[[#This Row],[!Type]]=Q$1, Q$1,"rg:None")</f>
        <v>rg:None</v>
      </c>
      <c r="R78" s="4" t="str">
        <f>IF(Table2[[#This Row],[!Type]]=R$1, R$1,"rg:None")</f>
        <v>rg:None</v>
      </c>
      <c r="S78" s="4" t="str">
        <f>IF(Table2[[#This Row],[!Type]]=S$1, S$1,"rg:None")</f>
        <v>rg:None</v>
      </c>
      <c r="T78" s="4" t="str">
        <f>IF(LEN(Table2[[#This Row],[!Length]]) &gt; 0, Table2[[#This Row],[!Length]], "rg:None")</f>
        <v>rg:None</v>
      </c>
      <c r="U78" s="4" t="str">
        <f>IF(LEN(Table2[[#This Row],[!Name]]) &gt; 0, Table2[[#This Row],[!Name]], "rg:None")</f>
        <v>enteredDate</v>
      </c>
      <c r="V78" s="4" t="str">
        <f>IF(LEN(Table2[[#This Row],[!Description]]) &gt; 0, Table2[[#This Row],[!Description]], "rg:None")</f>
        <v>The date-time the time record information was entered.</v>
      </c>
      <c r="W78" s="4" t="str">
        <f>IF(LEN(Table2[[#This Row],[!FK]])&gt;0,Table2[[#This Row],[!FK]],"rg:None")</f>
        <v>rg:None</v>
      </c>
      <c r="X78" s="14" t="str">
        <f>IF(LEN(concatif2(A:A,Table2[[#This Row],[!Table]],G:G,"Y",D:D,",")) &gt; 0,"rg:[ { 'req' : '"&amp;concatif2(A:A,Table2[[#This Row],[!Table]],G:G,"Y",D:D,"' }, { 'req': '")&amp;"'} ]","rg:[]")</f>
        <v>rg:[ { 'req' : 'id' }, { 'req': 'rentalAgreement' }, { 'req': 'workedDate' }, { 'req': 'hours'} ]</v>
      </c>
      <c r="Y78" s="4" t="str">
        <f>IF(LEN(Table2[[#This Row],[!Unique]])&gt;0,IF(Table2[[#This Row],[!Type]] = "id", "rg:None","rg:True"),"rg:None")</f>
        <v>rg:None</v>
      </c>
    </row>
    <row r="79" spans="1:25" ht="28.8" x14ac:dyDescent="0.35">
      <c r="A79" s="40" t="s">
        <v>196</v>
      </c>
      <c r="B79" s="40" t="s">
        <v>7</v>
      </c>
      <c r="C79" s="72">
        <v>20</v>
      </c>
      <c r="D79" s="40" t="s">
        <v>221</v>
      </c>
      <c r="E79" s="48" t="s">
        <v>222</v>
      </c>
      <c r="F79" s="12"/>
      <c r="G79" s="18"/>
      <c r="H79" s="18"/>
      <c r="I79" s="4" t="str">
        <f>IF(LEN(A79) &gt; 0,"Defs","-")</f>
        <v>Defs</v>
      </c>
      <c r="J79" s="4" t="str">
        <f>IF(Table2[[#This Row],[!Type]]=J$1, J$1,"rg:None")</f>
        <v>rg:None</v>
      </c>
      <c r="K79" s="4" t="str">
        <f>IF(Table2[[#This Row],[!Type]]=K$1, K$1,"rg:None")</f>
        <v>rg:None</v>
      </c>
      <c r="L79" s="4" t="str">
        <f>IF(Table2[[#This Row],[!Type]]=L$1, L$1,"rg:None")</f>
        <v>rg:None</v>
      </c>
      <c r="M79" s="4" t="str">
        <f>IF(Table2[[#This Row],[!Type]]=M$1, M$1,"rg:None")</f>
        <v>rg:None</v>
      </c>
      <c r="N79" s="4" t="str">
        <f>IF(Table2[[#This Row],[!Type]]=N$1, N$1,"rg:None")</f>
        <v>rg:None</v>
      </c>
      <c r="O79" s="4" t="str">
        <f>IF(Table2[[#This Row],[!Type]]=O$1, O$1,"rg:None")</f>
        <v>rg:None</v>
      </c>
      <c r="P79" s="4" t="str">
        <f>IF(Table2[[#This Row],[!Type]]=P$1, P$1,"rg:None")</f>
        <v>rg:None</v>
      </c>
      <c r="Q79" s="4" t="str">
        <f>IF(Table2[[#This Row],[!Type]]=Q$1, Q$1,"rg:None")</f>
        <v>rg:None</v>
      </c>
      <c r="R79" s="4" t="str">
        <f>IF(Table2[[#This Row],[!Type]]=R$1, R$1,"rg:None")</f>
        <v>string</v>
      </c>
      <c r="S79" s="4" t="str">
        <f>IF(Table2[[#This Row],[!Type]]=S$1, S$1,"rg:None")</f>
        <v>rg:None</v>
      </c>
      <c r="T79" s="4">
        <f>IF(LEN(Table2[[#This Row],[!Length]]) &gt; 0, Table2[[#This Row],[!Length]], "rg:None")</f>
        <v>20</v>
      </c>
      <c r="U79" s="4" t="str">
        <f>IF(LEN(Table2[[#This Row],[!Name]]) &gt; 0, Table2[[#This Row],[!Name]], "rg:None")</f>
        <v>timePeriod</v>
      </c>
      <c r="V79" s="4" t="str">
        <f>IF(LEN(Table2[[#This Row],[!Description]]) &gt; 0, Table2[[#This Row],[!Description]], "rg:None")</f>
        <v>The time period of the entry - either day or week. HETS Clerk have the option of entering time records on a day-by-day or week-by-week basis.</v>
      </c>
      <c r="W79" s="4" t="str">
        <f>IF(LEN(Table2[[#This Row],[!FK]])&gt;0,Table2[[#This Row],[!FK]],"rg:None")</f>
        <v>rg:None</v>
      </c>
      <c r="X79" s="14" t="str">
        <f>IF(LEN(concatif2(A:A,Table2[[#This Row],[!Table]],G:G,"Y",D:D,",")) &gt; 0,"rg:[ { 'req' : '"&amp;concatif2(A:A,Table2[[#This Row],[!Table]],G:G,"Y",D:D,"' }, { 'req': '")&amp;"'} ]","rg:[]")</f>
        <v>rg:[ { 'req' : 'id' }, { 'req': 'rentalAgreement' }, { 'req': 'workedDate' }, { 'req': 'hours'} ]</v>
      </c>
      <c r="Y79" s="4" t="str">
        <f>IF(LEN(Table2[[#This Row],[!Unique]])&gt;0,IF(Table2[[#This Row],[!Type]] = "id", "rg:None","rg:True"),"rg:None")</f>
        <v>rg:None</v>
      </c>
    </row>
    <row r="80" spans="1:25" x14ac:dyDescent="0.35">
      <c r="A80" s="27" t="s">
        <v>196</v>
      </c>
      <c r="B80" s="5" t="s">
        <v>105</v>
      </c>
      <c r="D80" s="5" t="s">
        <v>140</v>
      </c>
      <c r="E80" s="48" t="s">
        <v>224</v>
      </c>
      <c r="F80" s="12"/>
      <c r="G80" s="154" t="s">
        <v>59</v>
      </c>
      <c r="H80" s="18"/>
      <c r="I80" s="4" t="str">
        <f t="shared" ref="I80" si="11">IF(LEN(A80) &gt; 0,"Defs","-")</f>
        <v>Defs</v>
      </c>
      <c r="J80" s="4" t="str">
        <f>IF(Table2[[#This Row],[!Type]]=J$1, J$1,"rg:None")</f>
        <v>rg:None</v>
      </c>
      <c r="K80" s="4" t="str">
        <f>IF(Table2[[#This Row],[!Type]]=K$1, K$1,"rg:None")</f>
        <v>rg:None</v>
      </c>
      <c r="L80" s="4" t="str">
        <f>IF(Table2[[#This Row],[!Type]]=L$1, L$1,"rg:None")</f>
        <v>rg:None</v>
      </c>
      <c r="M80" s="4" t="str">
        <f>IF(Table2[[#This Row],[!Type]]=M$1, M$1,"rg:None")</f>
        <v>rg:None</v>
      </c>
      <c r="N80" s="4" t="str">
        <f>IF(Table2[[#This Row],[!Type]]=N$1, N$1,"rg:None")</f>
        <v>rg:None</v>
      </c>
      <c r="O80" s="4" t="str">
        <f>IF(Table2[[#This Row],[!Type]]=O$1, O$1,"rg:None")</f>
        <v>float</v>
      </c>
      <c r="P80" s="4" t="str">
        <f>IF(Table2[[#This Row],[!Type]]=P$1, P$1,"rg:None")</f>
        <v>rg:None</v>
      </c>
      <c r="Q80" s="4" t="str">
        <f>IF(Table2[[#This Row],[!Type]]=Q$1, Q$1,"rg:None")</f>
        <v>rg:None</v>
      </c>
      <c r="R80" s="4" t="str">
        <f>IF(Table2[[#This Row],[!Type]]=R$1, R$1,"rg:None")</f>
        <v>rg:None</v>
      </c>
      <c r="S80" s="4" t="str">
        <f>IF(Table2[[#This Row],[!Type]]=S$1, S$1,"rg:None")</f>
        <v>rg:None</v>
      </c>
      <c r="T80" s="4" t="str">
        <f>IF(LEN(Table2[[#This Row],[!Length]]) &gt; 0, Table2[[#This Row],[!Length]], "rg:None")</f>
        <v>rg:None</v>
      </c>
      <c r="U80" s="4" t="str">
        <f>IF(LEN(Table2[[#This Row],[!Name]]) &gt; 0, Table2[[#This Row],[!Name]], "rg:None")</f>
        <v>hours</v>
      </c>
      <c r="V80" s="4" t="str">
        <f>IF(LEN(Table2[[#This Row],[!Description]]) &gt; 0, Table2[[#This Row],[!Description]], "rg:None")</f>
        <v>The number of hours worked by the equipment.</v>
      </c>
      <c r="W80" s="4" t="str">
        <f>IF(LEN(Table2[[#This Row],[!FK]])&gt;0,Table2[[#This Row],[!FK]],"rg:None")</f>
        <v>rg:None</v>
      </c>
      <c r="X80" s="14" t="str">
        <f>IF(LEN(concatif2(A:A,Table2[[#This Row],[!Table]],G:G,"Y",D:D,",")) &gt; 0,"rg:[ { 'req' : '"&amp;concatif2(A:A,Table2[[#This Row],[!Table]],G:G,"Y",D:D,"' }, { 'req': '")&amp;"'} ]","rg:[]")</f>
        <v>rg:[ { 'req' : 'id' }, { 'req': 'rentalAgreement' }, { 'req': 'workedDate' }, { 'req': 'hours'} ]</v>
      </c>
      <c r="Y80" s="4" t="str">
        <f>IF(LEN(Table2[[#This Row],[!Unique]])&gt;0,IF(Table2[[#This Row],[!Type]] = "id", "rg:None","rg:True"),"rg:None")</f>
        <v>rg:None</v>
      </c>
    </row>
    <row r="81" spans="1:25" ht="28.8" x14ac:dyDescent="0.35">
      <c r="A81" s="82" t="s">
        <v>176</v>
      </c>
      <c r="B81" s="5" t="s">
        <v>4</v>
      </c>
      <c r="D81" s="82" t="s">
        <v>176</v>
      </c>
      <c r="E81" s="76" t="s">
        <v>356</v>
      </c>
      <c r="F81" s="5" t="s">
        <v>5</v>
      </c>
      <c r="G81" s="4"/>
      <c r="H81" s="4"/>
      <c r="I81" s="4" t="str">
        <f t="shared" ref="I81:I89" si="12">IF(LEN(A81) &gt; 0,"Defs","-")</f>
        <v>Defs</v>
      </c>
      <c r="J81" s="4" t="str">
        <f>IF(Table2[[#This Row],[!Type]]=J$1, J$1,"rg:None")</f>
        <v>rg:None</v>
      </c>
      <c r="K81" s="4" t="str">
        <f>IF(Table2[[#This Row],[!Type]]=K$1, K$1,"rg:None")</f>
        <v>rg:None</v>
      </c>
      <c r="L81" s="4" t="str">
        <f>IF(Table2[[#This Row],[!Type]]=L$1, L$1,"rg:None")</f>
        <v>rg:None</v>
      </c>
      <c r="M81" s="4" t="str">
        <f>IF(Table2[[#This Row],[!Type]]=M$1, M$1,"rg:None")</f>
        <v>rg:None</v>
      </c>
      <c r="N81" s="4" t="str">
        <f>IF(Table2[[#This Row],[!Type]]=N$1, N$1,"rg:None")</f>
        <v>rg:None</v>
      </c>
      <c r="O81" s="4" t="str">
        <f>IF(Table2[[#This Row],[!Type]]=O$1, O$1,"rg:None")</f>
        <v>rg:None</v>
      </c>
      <c r="P81" s="4" t="str">
        <f>IF(Table2[[#This Row],[!Type]]=P$1, P$1,"rg:None")</f>
        <v>rg:None</v>
      </c>
      <c r="Q81" s="4" t="str">
        <f>IF(Table2[[#This Row],[!Type]]=Q$1, Q$1,"rg:None")</f>
        <v>rg:None</v>
      </c>
      <c r="R81" s="4" t="str">
        <f>IF(Table2[[#This Row],[!Type]]=R$1, R$1,"rg:None")</f>
        <v>rg:None</v>
      </c>
      <c r="S81" s="4" t="str">
        <f>IF(Table2[[#This Row],[!Type]]=S$1, S$1,"rg:None")</f>
        <v>table</v>
      </c>
      <c r="T81" s="4" t="str">
        <f>IF(LEN(Table2[[#This Row],[!Length]]) &gt; 0, Table2[[#This Row],[!Length]], "rg:None")</f>
        <v>rg:None</v>
      </c>
      <c r="U81" s="4" t="str">
        <f>IF(LEN(Table2[[#This Row],[!Name]]) &gt; 0, Table2[[#This Row],[!Name]], "rg:None")</f>
        <v>Equipment</v>
      </c>
      <c r="V81" s="4" t="str">
        <f>IF(LEN(Table2[[#This Row],[!Description]]) &gt; 0, Table2[[#This Row],[!Description]], "rg:None")</f>
        <v>A piece of equipment in the HETS system. Each piece of equipment is of a specific equipment type, owned by an Owner, and is within a Local Area.</v>
      </c>
      <c r="W81" s="4" t="str">
        <f>IF(LEN(Table2[[#This Row],[!FK]])&gt;0,Table2[[#This Row],[!FK]],"rg:None")</f>
        <v>rg:None</v>
      </c>
      <c r="X81" s="14" t="str">
        <f>IF(LEN(concatif2(A:A,Table2[[#This Row],[!Table]],G:G,"Y",D:D,",")) &gt; 0,"rg:[ { 'req' : '"&amp;concatif2(A:A,Table2[[#This Row],[!Table]],G:G,"Y",D:D,"' }, { 'req': '")&amp;"'} ]","rg:[]")</f>
        <v>rg:[ { 'req' : 'id' }, { 'req': 'localArea' }, { 'req': 'districtEquipmentType' }, { 'req': 'owner' }, { 'req': 'equipmentCode' }, { 'req': 'status' }, { 'req': 'receivedDate' }, { 'req': 'lastVerifiedDate'} ]</v>
      </c>
      <c r="Y81" s="4" t="str">
        <f>IF(LEN(Table2[[#This Row],[!Unique]])&gt;0,IF(Table2[[#This Row],[!Type]] = "id", "rg:None","rg:True"),"rg:None")</f>
        <v>rg:None</v>
      </c>
    </row>
    <row r="82" spans="1:25" x14ac:dyDescent="0.35">
      <c r="A82" s="82" t="s">
        <v>176</v>
      </c>
      <c r="B82" s="5" t="s">
        <v>6</v>
      </c>
      <c r="D82" s="5" t="s">
        <v>6</v>
      </c>
      <c r="E82" s="54" t="s">
        <v>287</v>
      </c>
      <c r="F82" s="5" t="s">
        <v>5</v>
      </c>
      <c r="G82" s="4" t="s">
        <v>59</v>
      </c>
      <c r="H82" s="155" t="s">
        <v>59</v>
      </c>
      <c r="I82" s="4" t="str">
        <f t="shared" si="12"/>
        <v>Defs</v>
      </c>
      <c r="J82" s="4" t="str">
        <f>IF(Table2[[#This Row],[!Type]]=J$1, J$1,"rg:None")</f>
        <v>rg:None</v>
      </c>
      <c r="K82" s="4" t="str">
        <f>IF(Table2[[#This Row],[!Type]]=K$1, K$1,"rg:None")</f>
        <v>rg:None</v>
      </c>
      <c r="L82" s="4" t="str">
        <f>IF(Table2[[#This Row],[!Type]]=L$1, L$1,"rg:None")</f>
        <v>rg:None</v>
      </c>
      <c r="M82" s="4" t="str">
        <f>IF(Table2[[#This Row],[!Type]]=M$1, M$1,"rg:None")</f>
        <v>id</v>
      </c>
      <c r="N82" s="4" t="str">
        <f>IF(Table2[[#This Row],[!Type]]=N$1, N$1,"rg:None")</f>
        <v>rg:None</v>
      </c>
      <c r="O82" s="4" t="str">
        <f>IF(Table2[[#This Row],[!Type]]=O$1, O$1,"rg:None")</f>
        <v>rg:None</v>
      </c>
      <c r="P82" s="4" t="str">
        <f>IF(Table2[[#This Row],[!Type]]=P$1, P$1,"rg:None")</f>
        <v>rg:None</v>
      </c>
      <c r="Q82" s="4" t="str">
        <f>IF(Table2[[#This Row],[!Type]]=Q$1, Q$1,"rg:None")</f>
        <v>rg:None</v>
      </c>
      <c r="R82" s="4" t="str">
        <f>IF(Table2[[#This Row],[!Type]]=R$1, R$1,"rg:None")</f>
        <v>rg:None</v>
      </c>
      <c r="S82" s="4" t="str">
        <f>IF(Table2[[#This Row],[!Type]]=S$1, S$1,"rg:None")</f>
        <v>rg:None</v>
      </c>
      <c r="T82" s="4" t="str">
        <f>IF(LEN(Table2[[#This Row],[!Length]]) &gt; 0, Table2[[#This Row],[!Length]], "rg:None")</f>
        <v>rg:None</v>
      </c>
      <c r="U82" s="4" t="str">
        <f>IF(LEN(Table2[[#This Row],[!Name]]) &gt; 0, Table2[[#This Row],[!Name]], "rg:None")</f>
        <v>id</v>
      </c>
      <c r="V82" s="4" t="str">
        <f>IF(LEN(Table2[[#This Row],[!Description]]) &gt; 0, Table2[[#This Row],[!Description]], "rg:None")</f>
        <v>A system-generated unique identifier for a Equipment</v>
      </c>
      <c r="W82" s="4" t="str">
        <f>IF(LEN(Table2[[#This Row],[!FK]])&gt;0,Table2[[#This Row],[!FK]],"rg:None")</f>
        <v>rg:None</v>
      </c>
      <c r="X82" s="14" t="str">
        <f>IF(LEN(concatif2(A:A,Table2[[#This Row],[!Table]],G:G,"Y",D:D,",")) &gt; 0,"rg:[ { 'req' : '"&amp;concatif2(A:A,Table2[[#This Row],[!Table]],G:G,"Y",D:D,"' }, { 'req': '")&amp;"'} ]","rg:[]")</f>
        <v>rg:[ { 'req' : 'id' }, { 'req': 'localArea' }, { 'req': 'districtEquipmentType' }, { 'req': 'owner' }, { 'req': 'equipmentCode' }, { 'req': 'status' }, { 'req': 'receivedDate' }, { 'req': 'lastVerifiedDate'} ]</v>
      </c>
      <c r="Y82" s="4" t="str">
        <f>IF(LEN(Table2[[#This Row],[!Unique]])&gt;0,IF(Table2[[#This Row],[!Type]] = "id", "rg:None","rg:True"),"rg:None")</f>
        <v>rg:None</v>
      </c>
    </row>
    <row r="83" spans="1:25" x14ac:dyDescent="0.35">
      <c r="A83" s="82" t="s">
        <v>176</v>
      </c>
      <c r="B83" s="5" t="s">
        <v>8</v>
      </c>
      <c r="D83" s="82" t="s">
        <v>170</v>
      </c>
      <c r="E83" s="130" t="s">
        <v>525</v>
      </c>
      <c r="F83" s="82" t="s">
        <v>148</v>
      </c>
      <c r="G83" s="155" t="s">
        <v>59</v>
      </c>
      <c r="H83" s="4"/>
      <c r="I83" s="4" t="str">
        <f t="shared" si="12"/>
        <v>Defs</v>
      </c>
      <c r="J83" s="4" t="str">
        <f>IF(Table2[[#This Row],[!Type]]=J$1, J$1,"rg:None")</f>
        <v>rg:None</v>
      </c>
      <c r="K83" s="4" t="str">
        <f>IF(Table2[[#This Row],[!Type]]=K$1, K$1,"rg:None")</f>
        <v>rg:None</v>
      </c>
      <c r="L83" s="4" t="str">
        <f>IF(Table2[[#This Row],[!Type]]=L$1, L$1,"rg:None")</f>
        <v>rg:None</v>
      </c>
      <c r="M83" s="4" t="str">
        <f>IF(Table2[[#This Row],[!Type]]=M$1, M$1,"rg:None")</f>
        <v>rg:None</v>
      </c>
      <c r="N83" s="4" t="str">
        <f>IF(Table2[[#This Row],[!Type]]=N$1, N$1,"rg:None")</f>
        <v>rg:None</v>
      </c>
      <c r="O83" s="4" t="str">
        <f>IF(Table2[[#This Row],[!Type]]=O$1, O$1,"rg:None")</f>
        <v>rg:None</v>
      </c>
      <c r="P83" s="4" t="str">
        <f>IF(Table2[[#This Row],[!Type]]=P$1, P$1,"rg:None")</f>
        <v>rg:None</v>
      </c>
      <c r="Q83" s="4" t="str">
        <f>IF(Table2[[#This Row],[!Type]]=Q$1, Q$1,"rg:None")</f>
        <v>ref</v>
      </c>
      <c r="R83" s="4" t="str">
        <f>IF(Table2[[#This Row],[!Type]]=R$1, R$1,"rg:None")</f>
        <v>rg:None</v>
      </c>
      <c r="S83" s="4" t="str">
        <f>IF(Table2[[#This Row],[!Type]]=S$1, S$1,"rg:None")</f>
        <v>rg:None</v>
      </c>
      <c r="T83" s="4" t="str">
        <f>IF(LEN(Table2[[#This Row],[!Length]]) &gt; 0, Table2[[#This Row],[!Length]], "rg:None")</f>
        <v>rg:None</v>
      </c>
      <c r="U83" s="4" t="str">
        <f>IF(LEN(Table2[[#This Row],[!Name]]) &gt; 0, Table2[[#This Row],[!Name]], "rg:None")</f>
        <v>localArea</v>
      </c>
      <c r="V83" s="4" t="str">
        <f>IF(LEN(Table2[[#This Row],[!Description]]) &gt; 0, Table2[[#This Row],[!Description]], "rg:None")</f>
        <v>A foreign key reference to the system-generated unique identifier for a Local Area</v>
      </c>
      <c r="W83" s="4" t="str">
        <f>IF(LEN(Table2[[#This Row],[!FK]])&gt;0,Table2[[#This Row],[!FK]],"rg:None")</f>
        <v>LocalArea</v>
      </c>
      <c r="X83" s="14" t="str">
        <f>IF(LEN(concatif2(A:A,Table2[[#This Row],[!Table]],G:G,"Y",D:D,",")) &gt; 0,"rg:[ { 'req' : '"&amp;concatif2(A:A,Table2[[#This Row],[!Table]],G:G,"Y",D:D,"' }, { 'req': '")&amp;"'} ]","rg:[]")</f>
        <v>rg:[ { 'req' : 'id' }, { 'req': 'localArea' }, { 'req': 'districtEquipmentType' }, { 'req': 'owner' }, { 'req': 'equipmentCode' }, { 'req': 'status' }, { 'req': 'receivedDate' }, { 'req': 'lastVerifiedDate'} ]</v>
      </c>
      <c r="Y83" s="4" t="str">
        <f>IF(LEN(Table2[[#This Row],[!Unique]])&gt;0,IF(Table2[[#This Row],[!Type]] = "id", "rg:None","rg:True"),"rg:None")</f>
        <v>rg:None</v>
      </c>
    </row>
    <row r="84" spans="1:25" x14ac:dyDescent="0.35">
      <c r="A84" s="82" t="s">
        <v>176</v>
      </c>
      <c r="B84" s="5" t="s">
        <v>8</v>
      </c>
      <c r="D84" s="137" t="s">
        <v>560</v>
      </c>
      <c r="E84" s="130" t="s">
        <v>531</v>
      </c>
      <c r="F84" s="137" t="s">
        <v>554</v>
      </c>
      <c r="G84" s="155" t="s">
        <v>59</v>
      </c>
      <c r="H84" s="4"/>
      <c r="I84" s="4" t="str">
        <f t="shared" si="12"/>
        <v>Defs</v>
      </c>
      <c r="J84" s="4" t="str">
        <f>IF(Table2[[#This Row],[!Type]]=J$1, J$1,"rg:None")</f>
        <v>rg:None</v>
      </c>
      <c r="K84" s="4" t="str">
        <f>IF(Table2[[#This Row],[!Type]]=K$1, K$1,"rg:None")</f>
        <v>rg:None</v>
      </c>
      <c r="L84" s="4" t="str">
        <f>IF(Table2[[#This Row],[!Type]]=L$1, L$1,"rg:None")</f>
        <v>rg:None</v>
      </c>
      <c r="M84" s="4" t="str">
        <f>IF(Table2[[#This Row],[!Type]]=M$1, M$1,"rg:None")</f>
        <v>rg:None</v>
      </c>
      <c r="N84" s="4" t="str">
        <f>IF(Table2[[#This Row],[!Type]]=N$1, N$1,"rg:None")</f>
        <v>rg:None</v>
      </c>
      <c r="O84" s="4" t="str">
        <f>IF(Table2[[#This Row],[!Type]]=O$1, O$1,"rg:None")</f>
        <v>rg:None</v>
      </c>
      <c r="P84" s="4" t="str">
        <f>IF(Table2[[#This Row],[!Type]]=P$1, P$1,"rg:None")</f>
        <v>rg:None</v>
      </c>
      <c r="Q84" s="4" t="str">
        <f>IF(Table2[[#This Row],[!Type]]=Q$1, Q$1,"rg:None")</f>
        <v>ref</v>
      </c>
      <c r="R84" s="4" t="str">
        <f>IF(Table2[[#This Row],[!Type]]=R$1, R$1,"rg:None")</f>
        <v>rg:None</v>
      </c>
      <c r="S84" s="4" t="str">
        <f>IF(Table2[[#This Row],[!Type]]=S$1, S$1,"rg:None")</f>
        <v>rg:None</v>
      </c>
      <c r="T84" s="4" t="str">
        <f>IF(LEN(Table2[[#This Row],[!Length]]) &gt; 0, Table2[[#This Row],[!Length]], "rg:None")</f>
        <v>rg:None</v>
      </c>
      <c r="U84" s="4" t="str">
        <f>IF(LEN(Table2[[#This Row],[!Name]]) &gt; 0, Table2[[#This Row],[!Name]], "rg:None")</f>
        <v>districtEquipmentType</v>
      </c>
      <c r="V84" s="4" t="str">
        <f>IF(LEN(Table2[[#This Row],[!Description]]) &gt; 0, Table2[[#This Row],[!Description]], "rg:None")</f>
        <v>A foreign key reference to the system-generated unique identifier for a Equipment Type</v>
      </c>
      <c r="W84" s="4" t="str">
        <f>IF(LEN(Table2[[#This Row],[!FK]])&gt;0,Table2[[#This Row],[!FK]],"rg:None")</f>
        <v>DistrictEquipmentType</v>
      </c>
      <c r="X84" s="14" t="str">
        <f>IF(LEN(concatif2(A:A,Table2[[#This Row],[!Table]],G:G,"Y",D:D,",")) &gt; 0,"rg:[ { 'req' : '"&amp;concatif2(A:A,Table2[[#This Row],[!Table]],G:G,"Y",D:D,"' }, { 'req': '")&amp;"'} ]","rg:[]")</f>
        <v>rg:[ { 'req' : 'id' }, { 'req': 'localArea' }, { 'req': 'districtEquipmentType' }, { 'req': 'owner' }, { 'req': 'equipmentCode' }, { 'req': 'status' }, { 'req': 'receivedDate' }, { 'req': 'lastVerifiedDate'} ]</v>
      </c>
      <c r="Y84" s="4" t="str">
        <f>IF(LEN(Table2[[#This Row],[!Unique]])&gt;0,IF(Table2[[#This Row],[!Type]] = "id", "rg:None","rg:True"),"rg:None")</f>
        <v>rg:None</v>
      </c>
    </row>
    <row r="85" spans="1:25" x14ac:dyDescent="0.35">
      <c r="A85" s="82" t="s">
        <v>176</v>
      </c>
      <c r="B85" s="5" t="s">
        <v>8</v>
      </c>
      <c r="D85" s="82" t="s">
        <v>145</v>
      </c>
      <c r="E85" s="130" t="s">
        <v>532</v>
      </c>
      <c r="F85" s="21" t="s">
        <v>142</v>
      </c>
      <c r="G85" s="155" t="s">
        <v>59</v>
      </c>
      <c r="H85" s="4"/>
      <c r="I85" s="4" t="str">
        <f t="shared" si="12"/>
        <v>Defs</v>
      </c>
      <c r="J85" s="4" t="str">
        <f>IF(Table2[[#This Row],[!Type]]=J$1, J$1,"rg:None")</f>
        <v>rg:None</v>
      </c>
      <c r="K85" s="4" t="str">
        <f>IF(Table2[[#This Row],[!Type]]=K$1, K$1,"rg:None")</f>
        <v>rg:None</v>
      </c>
      <c r="L85" s="4" t="str">
        <f>IF(Table2[[#This Row],[!Type]]=L$1, L$1,"rg:None")</f>
        <v>rg:None</v>
      </c>
      <c r="M85" s="4" t="str">
        <f>IF(Table2[[#This Row],[!Type]]=M$1, M$1,"rg:None")</f>
        <v>rg:None</v>
      </c>
      <c r="N85" s="4" t="str">
        <f>IF(Table2[[#This Row],[!Type]]=N$1, N$1,"rg:None")</f>
        <v>rg:None</v>
      </c>
      <c r="O85" s="4" t="str">
        <f>IF(Table2[[#This Row],[!Type]]=O$1, O$1,"rg:None")</f>
        <v>rg:None</v>
      </c>
      <c r="P85" s="4" t="str">
        <f>IF(Table2[[#This Row],[!Type]]=P$1, P$1,"rg:None")</f>
        <v>rg:None</v>
      </c>
      <c r="Q85" s="4" t="str">
        <f>IF(Table2[[#This Row],[!Type]]=Q$1, Q$1,"rg:None")</f>
        <v>ref</v>
      </c>
      <c r="R85" s="4" t="str">
        <f>IF(Table2[[#This Row],[!Type]]=R$1, R$1,"rg:None")</f>
        <v>rg:None</v>
      </c>
      <c r="S85" s="4" t="str">
        <f>IF(Table2[[#This Row],[!Type]]=S$1, S$1,"rg:None")</f>
        <v>rg:None</v>
      </c>
      <c r="T85" s="4" t="str">
        <f>IF(LEN(Table2[[#This Row],[!Length]]) &gt; 0, Table2[[#This Row],[!Length]], "rg:None")</f>
        <v>rg:None</v>
      </c>
      <c r="U85" s="4" t="str">
        <f>IF(LEN(Table2[[#This Row],[!Name]]) &gt; 0, Table2[[#This Row],[!Name]], "rg:None")</f>
        <v>owner</v>
      </c>
      <c r="V85" s="4" t="str">
        <f>IF(LEN(Table2[[#This Row],[!Description]]) &gt; 0, Table2[[#This Row],[!Description]], "rg:None")</f>
        <v>A foreign key reference to the system-generated unique identifier for an Owner</v>
      </c>
      <c r="W85" s="4" t="str">
        <f>IF(LEN(Table2[[#This Row],[!FK]])&gt;0,Table2[[#This Row],[!FK]],"rg:None")</f>
        <v>Owner</v>
      </c>
      <c r="X85" s="14" t="str">
        <f>IF(LEN(concatif2(A:A,Table2[[#This Row],[!Table]],G:G,"Y",D:D,",")) &gt; 0,"rg:[ { 'req' : '"&amp;concatif2(A:A,Table2[[#This Row],[!Table]],G:G,"Y",D:D,"' }, { 'req': '")&amp;"'} ]","rg:[]")</f>
        <v>rg:[ { 'req' : 'id' }, { 'req': 'localArea' }, { 'req': 'districtEquipmentType' }, { 'req': 'owner' }, { 'req': 'equipmentCode' }, { 'req': 'status' }, { 'req': 'receivedDate' }, { 'req': 'lastVerifiedDate'} ]</v>
      </c>
      <c r="Y85" s="4" t="str">
        <f>IF(LEN(Table2[[#This Row],[!Unique]])&gt;0,IF(Table2[[#This Row],[!Type]] = "id", "rg:None","rg:True"),"rg:None")</f>
        <v>rg:None</v>
      </c>
    </row>
    <row r="86" spans="1:25" ht="57.6" x14ac:dyDescent="0.35">
      <c r="A86" s="82" t="s">
        <v>176</v>
      </c>
      <c r="B86" s="5" t="s">
        <v>7</v>
      </c>
      <c r="C86" s="5">
        <v>25</v>
      </c>
      <c r="D86" s="88" t="s">
        <v>442</v>
      </c>
      <c r="E86" s="76" t="s">
        <v>385</v>
      </c>
      <c r="F86" s="5" t="s">
        <v>5</v>
      </c>
      <c r="G86" s="155" t="s">
        <v>59</v>
      </c>
      <c r="H86" s="4"/>
      <c r="I86" s="4" t="str">
        <f t="shared" si="12"/>
        <v>Defs</v>
      </c>
      <c r="J86" s="4" t="str">
        <f>IF(Table2[[#This Row],[!Type]]=J$1, J$1,"rg:None")</f>
        <v>rg:None</v>
      </c>
      <c r="K86" s="4" t="str">
        <f>IF(Table2[[#This Row],[!Type]]=K$1, K$1,"rg:None")</f>
        <v>rg:None</v>
      </c>
      <c r="L86" s="4" t="str">
        <f>IF(Table2[[#This Row],[!Type]]=L$1, L$1,"rg:None")</f>
        <v>rg:None</v>
      </c>
      <c r="M86" s="4" t="str">
        <f>IF(Table2[[#This Row],[!Type]]=M$1, M$1,"rg:None")</f>
        <v>rg:None</v>
      </c>
      <c r="N86" s="4" t="str">
        <f>IF(Table2[[#This Row],[!Type]]=N$1, N$1,"rg:None")</f>
        <v>rg:None</v>
      </c>
      <c r="O86" s="4" t="str">
        <f>IF(Table2[[#This Row],[!Type]]=O$1, O$1,"rg:None")</f>
        <v>rg:None</v>
      </c>
      <c r="P86" s="4" t="str">
        <f>IF(Table2[[#This Row],[!Type]]=P$1, P$1,"rg:None")</f>
        <v>rg:None</v>
      </c>
      <c r="Q86" s="4" t="str">
        <f>IF(Table2[[#This Row],[!Type]]=Q$1, Q$1,"rg:None")</f>
        <v>rg:None</v>
      </c>
      <c r="R86" s="4" t="str">
        <f>IF(Table2[[#This Row],[!Type]]=R$1, R$1,"rg:None")</f>
        <v>string</v>
      </c>
      <c r="S86" s="4" t="str">
        <f>IF(Table2[[#This Row],[!Type]]=S$1, S$1,"rg:None")</f>
        <v>rg:None</v>
      </c>
      <c r="T86" s="4">
        <f>IF(LEN(Table2[[#This Row],[!Length]]) &gt; 0, Table2[[#This Row],[!Length]], "rg:None")</f>
        <v>25</v>
      </c>
      <c r="U86" s="4" t="str">
        <f>IF(LEN(Table2[[#This Row],[!Name]]) &gt; 0, Table2[[#This Row],[!Name]], "rg:None")</f>
        <v>equipmentCode</v>
      </c>
      <c r="V86" s="4" t="str">
        <f>IF(LEN(Table2[[#This Row],[!Description]]) &gt; 0, Table2[[#This Row],[!Description]], "rg:None")</f>
        <v>A human-visible unique code for the piece of equipment, referenced for convenience by the system users - HETS Clerks and Equipment Owners. Generated at record creation time based on the unique Owner prefix (e.g. EDW) and a zero-filled unique number - resulting in a code like EDW-0083.</v>
      </c>
      <c r="W86" s="4" t="str">
        <f>IF(LEN(Table2[[#This Row],[!FK]])&gt;0,Table2[[#This Row],[!FK]],"rg:None")</f>
        <v>rg:None</v>
      </c>
      <c r="X86" s="14" t="str">
        <f>IF(LEN(concatif2(A:A,Table2[[#This Row],[!Table]],G:G,"Y",D:D,",")) &gt; 0,"rg:[ { 'req' : '"&amp;concatif2(A:A,Table2[[#This Row],[!Table]],G:G,"Y",D:D,"' }, { 'req': '")&amp;"'} ]","rg:[]")</f>
        <v>rg:[ { 'req' : 'id' }, { 'req': 'localArea' }, { 'req': 'districtEquipmentType' }, { 'req': 'owner' }, { 'req': 'equipmentCode' }, { 'req': 'status' }, { 'req': 'receivedDate' }, { 'req': 'lastVerifiedDate'} ]</v>
      </c>
      <c r="Y86" s="4" t="str">
        <f>IF(LEN(Table2[[#This Row],[!Unique]])&gt;0,IF(Table2[[#This Row],[!Type]] = "id", "rg:None","rg:True"),"rg:None")</f>
        <v>rg:None</v>
      </c>
    </row>
    <row r="87" spans="1:25" ht="28.8" x14ac:dyDescent="0.35">
      <c r="A87" s="82" t="s">
        <v>176</v>
      </c>
      <c r="B87" s="5" t="s">
        <v>7</v>
      </c>
      <c r="C87" s="5">
        <v>50</v>
      </c>
      <c r="D87" s="92" t="s">
        <v>225</v>
      </c>
      <c r="E87" s="93" t="s">
        <v>226</v>
      </c>
      <c r="F87" s="5" t="s">
        <v>5</v>
      </c>
      <c r="G87" s="155" t="s">
        <v>59</v>
      </c>
      <c r="H87" s="4"/>
      <c r="I87" s="4" t="str">
        <f t="shared" si="12"/>
        <v>Defs</v>
      </c>
      <c r="J87" s="4" t="str">
        <f>IF(Table2[[#This Row],[!Type]]=J$1, J$1,"rg:None")</f>
        <v>rg:None</v>
      </c>
      <c r="K87" s="4" t="str">
        <f>IF(Table2[[#This Row],[!Type]]=K$1, K$1,"rg:None")</f>
        <v>rg:None</v>
      </c>
      <c r="L87" s="4" t="str">
        <f>IF(Table2[[#This Row],[!Type]]=L$1, L$1,"rg:None")</f>
        <v>rg:None</v>
      </c>
      <c r="M87" s="4" t="str">
        <f>IF(Table2[[#This Row],[!Type]]=M$1, M$1,"rg:None")</f>
        <v>rg:None</v>
      </c>
      <c r="N87" s="4" t="str">
        <f>IF(Table2[[#This Row],[!Type]]=N$1, N$1,"rg:None")</f>
        <v>rg:None</v>
      </c>
      <c r="O87" s="4" t="str">
        <f>IF(Table2[[#This Row],[!Type]]=O$1, O$1,"rg:None")</f>
        <v>rg:None</v>
      </c>
      <c r="P87" s="4" t="str">
        <f>IF(Table2[[#This Row],[!Type]]=P$1, P$1,"rg:None")</f>
        <v>rg:None</v>
      </c>
      <c r="Q87" s="4" t="str">
        <f>IF(Table2[[#This Row],[!Type]]=Q$1, Q$1,"rg:None")</f>
        <v>rg:None</v>
      </c>
      <c r="R87" s="4" t="str">
        <f>IF(Table2[[#This Row],[!Type]]=R$1, R$1,"rg:None")</f>
        <v>string</v>
      </c>
      <c r="S87" s="4" t="str">
        <f>IF(Table2[[#This Row],[!Type]]=S$1, S$1,"rg:None")</f>
        <v>rg:None</v>
      </c>
      <c r="T87" s="4">
        <f>IF(LEN(Table2[[#This Row],[!Length]]) &gt; 0, Table2[[#This Row],[!Length]], "rg:None")</f>
        <v>50</v>
      </c>
      <c r="U87" s="4" t="str">
        <f>IF(LEN(Table2[[#This Row],[!Name]]) &gt; 0, Table2[[#This Row],[!Name]], "rg:None")</f>
        <v>status</v>
      </c>
      <c r="V87" s="4" t="str">
        <f>IF(LEN(Table2[[#This Row],[!Description]]) &gt; 0, Table2[[#This Row],[!Description]], "rg:None")</f>
        <v>The current status of the equipment in a UI-controlled string. Initial values are Pending, Approved and Archived, but other values may be added.</v>
      </c>
      <c r="W87" s="4" t="str">
        <f>IF(LEN(Table2[[#This Row],[!FK]])&gt;0,Table2[[#This Row],[!FK]],"rg:None")</f>
        <v>rg:None</v>
      </c>
      <c r="X87" s="14" t="str">
        <f>IF(LEN(concatif2(A:A,Table2[[#This Row],[!Table]],G:G,"Y",D:D,",")) &gt; 0,"rg:[ { 'req' : '"&amp;concatif2(A:A,Table2[[#This Row],[!Table]],G:G,"Y",D:D,"' }, { 'req': '")&amp;"'} ]","rg:[]")</f>
        <v>rg:[ { 'req' : 'id' }, { 'req': 'localArea' }, { 'req': 'districtEquipmentType' }, { 'req': 'owner' }, { 'req': 'equipmentCode' }, { 'req': 'status' }, { 'req': 'receivedDate' }, { 'req': 'lastVerifiedDate'} ]</v>
      </c>
      <c r="Y87" s="4" t="str">
        <f>IF(LEN(Table2[[#This Row],[!Unique]])&gt;0,IF(Table2[[#This Row],[!Type]] = "id", "rg:None","rg:True"),"rg:None")</f>
        <v>rg:None</v>
      </c>
    </row>
    <row r="88" spans="1:25" x14ac:dyDescent="0.35">
      <c r="A88" s="82" t="s">
        <v>176</v>
      </c>
      <c r="B88" s="82" t="s">
        <v>12</v>
      </c>
      <c r="D88" s="82" t="s">
        <v>181</v>
      </c>
      <c r="E88" s="93" t="s">
        <v>227</v>
      </c>
      <c r="F88" s="5" t="s">
        <v>5</v>
      </c>
      <c r="G88" s="155" t="s">
        <v>59</v>
      </c>
      <c r="H88" s="4"/>
      <c r="I88" s="4" t="str">
        <f>IF(LEN(A88) &gt; 0,"Defs","-")</f>
        <v>Defs</v>
      </c>
      <c r="J88" s="4" t="str">
        <f>IF(Table2[[#This Row],[!Type]]=J$1, J$1,"rg:None")</f>
        <v>rg:None</v>
      </c>
      <c r="K88" s="4" t="str">
        <f>IF(Table2[[#This Row],[!Type]]=K$1, K$1,"rg:None")</f>
        <v>rg:None</v>
      </c>
      <c r="L88" s="4" t="str">
        <f>IF(Table2[[#This Row],[!Type]]=L$1, L$1,"rg:None")</f>
        <v>datetime</v>
      </c>
      <c r="M88" s="4" t="str">
        <f>IF(Table2[[#This Row],[!Type]]=M$1, M$1,"rg:None")</f>
        <v>rg:None</v>
      </c>
      <c r="N88" s="4" t="str">
        <f>IF(Table2[[#This Row],[!Type]]=N$1, N$1,"rg:None")</f>
        <v>rg:None</v>
      </c>
      <c r="O88" s="4" t="str">
        <f>IF(Table2[[#This Row],[!Type]]=O$1, O$1,"rg:None")</f>
        <v>rg:None</v>
      </c>
      <c r="P88" s="4" t="str">
        <f>IF(Table2[[#This Row],[!Type]]=P$1, P$1,"rg:None")</f>
        <v>rg:None</v>
      </c>
      <c r="Q88" s="4" t="str">
        <f>IF(Table2[[#This Row],[!Type]]=Q$1, Q$1,"rg:None")</f>
        <v>rg:None</v>
      </c>
      <c r="R88" s="4" t="str">
        <f>IF(Table2[[#This Row],[!Type]]=R$1, R$1,"rg:None")</f>
        <v>rg:None</v>
      </c>
      <c r="S88" s="4" t="str">
        <f>IF(Table2[[#This Row],[!Type]]=S$1, S$1,"rg:None")</f>
        <v>rg:None</v>
      </c>
      <c r="T88" s="4" t="str">
        <f>IF(LEN(Table2[[#This Row],[!Length]]) &gt; 0, Table2[[#This Row],[!Length]], "rg:None")</f>
        <v>rg:None</v>
      </c>
      <c r="U88" s="4" t="str">
        <f>IF(LEN(Table2[[#This Row],[!Name]]) &gt; 0, Table2[[#This Row],[!Name]], "rg:None")</f>
        <v>receivedDate</v>
      </c>
      <c r="V88" s="4" t="str">
        <f>IF(LEN(Table2[[#This Row],[!Description]]) &gt; 0, Table2[[#This Row],[!Description]], "rg:None")</f>
        <v>The date the piece of equipment was first received and recorded in HETS.</v>
      </c>
      <c r="W88" s="4" t="str">
        <f>IF(LEN(Table2[[#This Row],[!FK]])&gt;0,Table2[[#This Row],[!FK]],"rg:None")</f>
        <v>rg:None</v>
      </c>
      <c r="X88" s="14" t="str">
        <f>IF(LEN(concatif2(A:A,Table2[[#This Row],[!Table]],G:G,"Y",D:D,",")) &gt; 0,"rg:[ { 'req' : '"&amp;concatif2(A:A,Table2[[#This Row],[!Table]],G:G,"Y",D:D,"' }, { 'req': '")&amp;"'} ]","rg:[]")</f>
        <v>rg:[ { 'req' : 'id' }, { 'req': 'localArea' }, { 'req': 'districtEquipmentType' }, { 'req': 'owner' }, { 'req': 'equipmentCode' }, { 'req': 'status' }, { 'req': 'receivedDate' }, { 'req': 'lastVerifiedDate'} ]</v>
      </c>
      <c r="Y88" s="4" t="str">
        <f>IF(LEN(Table2[[#This Row],[!Unique]])&gt;0,IF(Table2[[#This Row],[!Type]] = "id", "rg:None","rg:True"),"rg:None")</f>
        <v>rg:None</v>
      </c>
    </row>
    <row r="89" spans="1:25" ht="28.8" x14ac:dyDescent="0.35">
      <c r="A89" s="82" t="s">
        <v>176</v>
      </c>
      <c r="B89" s="82" t="s">
        <v>12</v>
      </c>
      <c r="D89" s="82" t="s">
        <v>180</v>
      </c>
      <c r="E89" s="93" t="s">
        <v>228</v>
      </c>
      <c r="F89" s="5" t="s">
        <v>5</v>
      </c>
      <c r="G89" s="4"/>
      <c r="H89" s="4"/>
      <c r="I89" s="4" t="str">
        <f t="shared" si="12"/>
        <v>Defs</v>
      </c>
      <c r="J89" s="4" t="str">
        <f>IF(Table2[[#This Row],[!Type]]=J$1, J$1,"rg:None")</f>
        <v>rg:None</v>
      </c>
      <c r="K89" s="4" t="str">
        <f>IF(Table2[[#This Row],[!Type]]=K$1, K$1,"rg:None")</f>
        <v>rg:None</v>
      </c>
      <c r="L89" s="4" t="str">
        <f>IF(Table2[[#This Row],[!Type]]=L$1, L$1,"rg:None")</f>
        <v>datetime</v>
      </c>
      <c r="M89" s="4" t="str">
        <f>IF(Table2[[#This Row],[!Type]]=M$1, M$1,"rg:None")</f>
        <v>rg:None</v>
      </c>
      <c r="N89" s="4" t="str">
        <f>IF(Table2[[#This Row],[!Type]]=N$1, N$1,"rg:None")</f>
        <v>rg:None</v>
      </c>
      <c r="O89" s="4" t="str">
        <f>IF(Table2[[#This Row],[!Type]]=O$1, O$1,"rg:None")</f>
        <v>rg:None</v>
      </c>
      <c r="P89" s="4" t="str">
        <f>IF(Table2[[#This Row],[!Type]]=P$1, P$1,"rg:None")</f>
        <v>rg:None</v>
      </c>
      <c r="Q89" s="4" t="str">
        <f>IF(Table2[[#This Row],[!Type]]=Q$1, Q$1,"rg:None")</f>
        <v>rg:None</v>
      </c>
      <c r="R89" s="4" t="str">
        <f>IF(Table2[[#This Row],[!Type]]=R$1, R$1,"rg:None")</f>
        <v>rg:None</v>
      </c>
      <c r="S89" s="4" t="str">
        <f>IF(Table2[[#This Row],[!Type]]=S$1, S$1,"rg:None")</f>
        <v>rg:None</v>
      </c>
      <c r="T89" s="4" t="str">
        <f>IF(LEN(Table2[[#This Row],[!Length]]) &gt; 0, Table2[[#This Row],[!Length]], "rg:None")</f>
        <v>rg:None</v>
      </c>
      <c r="U89" s="4" t="str">
        <f>IF(LEN(Table2[[#This Row],[!Name]]) &gt; 0, Table2[[#This Row],[!Name]], "rg:None")</f>
        <v>approvedDate</v>
      </c>
      <c r="V89" s="4" t="str">
        <f>IF(LEN(Table2[[#This Row],[!Description]]) &gt; 0, Table2[[#This Row],[!Description]], "rg:None")</f>
        <v>The date the piece of equipment was first approved in HETS. Part of the seniority calculation for a piece of equipment is based on this date.</v>
      </c>
      <c r="W89" s="4" t="str">
        <f>IF(LEN(Table2[[#This Row],[!FK]])&gt;0,Table2[[#This Row],[!FK]],"rg:None")</f>
        <v>rg:None</v>
      </c>
      <c r="X89" s="14" t="str">
        <f>IF(LEN(concatif2(A:A,Table2[[#This Row],[!Table]],G:G,"Y",D:D,",")) &gt; 0,"rg:[ { 'req' : '"&amp;concatif2(A:A,Table2[[#This Row],[!Table]],G:G,"Y",D:D,"' }, { 'req': '")&amp;"'} ]","rg:[]")</f>
        <v>rg:[ { 'req' : 'id' }, { 'req': 'localArea' }, { 'req': 'districtEquipmentType' }, { 'req': 'owner' }, { 'req': 'equipmentCode' }, { 'req': 'status' }, { 'req': 'receivedDate' }, { 'req': 'lastVerifiedDate'} ]</v>
      </c>
      <c r="Y89" s="4" t="str">
        <f>IF(LEN(Table2[[#This Row],[!Unique]])&gt;0,IF(Table2[[#This Row],[!Type]] = "id", "rg:None","rg:True"),"rg:None")</f>
        <v>rg:None</v>
      </c>
    </row>
    <row r="90" spans="1:25" ht="28.8" x14ac:dyDescent="0.35">
      <c r="A90" s="82" t="s">
        <v>176</v>
      </c>
      <c r="B90" s="94" t="s">
        <v>12</v>
      </c>
      <c r="D90" s="94" t="s">
        <v>206</v>
      </c>
      <c r="E90" s="93" t="s">
        <v>229</v>
      </c>
      <c r="F90" s="5" t="s">
        <v>5</v>
      </c>
      <c r="G90" s="155" t="s">
        <v>59</v>
      </c>
      <c r="H90" s="4"/>
      <c r="I90" s="4" t="str">
        <f t="shared" ref="I90:I114" si="13">IF(LEN(A90) &gt; 0,"Defs","-")</f>
        <v>Defs</v>
      </c>
      <c r="J90" s="4" t="str">
        <f>IF(Table2[[#This Row],[!Type]]=J$1, J$1,"rg:None")</f>
        <v>rg:None</v>
      </c>
      <c r="K90" s="4" t="str">
        <f>IF(Table2[[#This Row],[!Type]]=K$1, K$1,"rg:None")</f>
        <v>rg:None</v>
      </c>
      <c r="L90" s="4" t="str">
        <f>IF(Table2[[#This Row],[!Type]]=L$1, L$1,"rg:None")</f>
        <v>datetime</v>
      </c>
      <c r="M90" s="4" t="str">
        <f>IF(Table2[[#This Row],[!Type]]=M$1, M$1,"rg:None")</f>
        <v>rg:None</v>
      </c>
      <c r="N90" s="4" t="str">
        <f>IF(Table2[[#This Row],[!Type]]=N$1, N$1,"rg:None")</f>
        <v>rg:None</v>
      </c>
      <c r="O90" s="4" t="str">
        <f>IF(Table2[[#This Row],[!Type]]=O$1, O$1,"rg:None")</f>
        <v>rg:None</v>
      </c>
      <c r="P90" s="4" t="str">
        <f>IF(Table2[[#This Row],[!Type]]=P$1, P$1,"rg:None")</f>
        <v>rg:None</v>
      </c>
      <c r="Q90" s="4" t="str">
        <f>IF(Table2[[#This Row],[!Type]]=Q$1, Q$1,"rg:None")</f>
        <v>rg:None</v>
      </c>
      <c r="R90" s="4" t="str">
        <f>IF(Table2[[#This Row],[!Type]]=R$1, R$1,"rg:None")</f>
        <v>rg:None</v>
      </c>
      <c r="S90" s="4" t="str">
        <f>IF(Table2[[#This Row],[!Type]]=S$1, S$1,"rg:None")</f>
        <v>rg:None</v>
      </c>
      <c r="T90" s="4" t="str">
        <f>IF(LEN(Table2[[#This Row],[!Length]]) &gt; 0, Table2[[#This Row],[!Length]], "rg:None")</f>
        <v>rg:None</v>
      </c>
      <c r="U90" s="4" t="str">
        <f>IF(LEN(Table2[[#This Row],[!Name]]) &gt; 0, Table2[[#This Row],[!Name]], "rg:None")</f>
        <v>lastVerifiedDate</v>
      </c>
      <c r="V90" s="4" t="str">
        <f>IF(LEN(Table2[[#This Row],[!Description]]) &gt; 0, Table2[[#This Row],[!Description]], "rg:None")</f>
        <v>The date the equipment was last verified by the HETS Clerk as being still in service in the Local Area and available for the HETS Programme.</v>
      </c>
      <c r="W90" s="4" t="str">
        <f>IF(LEN(Table2[[#This Row],[!FK]])&gt;0,Table2[[#This Row],[!FK]],"rg:None")</f>
        <v>rg:None</v>
      </c>
      <c r="X90" s="14" t="str">
        <f>IF(LEN(concatif2(A:A,Table2[[#This Row],[!Table]],G:G,"Y",D:D,",")) &gt; 0,"rg:[ { 'req' : '"&amp;concatif2(A:A,Table2[[#This Row],[!Table]],G:G,"Y",D:D,"' }, { 'req': '")&amp;"'} ]","rg:[]")</f>
        <v>rg:[ { 'req' : 'id' }, { 'req': 'localArea' }, { 'req': 'districtEquipmentType' }, { 'req': 'owner' }, { 'req': 'equipmentCode' }, { 'req': 'status' }, { 'req': 'receivedDate' }, { 'req': 'lastVerifiedDate'} ]</v>
      </c>
      <c r="Y90" s="4" t="str">
        <f>IF(LEN(Table2[[#This Row],[!Unique]])&gt;0,IF(Table2[[#This Row],[!Type]] = "id", "rg:None","rg:True"),"rg:None")</f>
        <v>rg:None</v>
      </c>
    </row>
    <row r="91" spans="1:25" ht="43.2" x14ac:dyDescent="0.35">
      <c r="A91" s="61" t="s">
        <v>176</v>
      </c>
      <c r="B91" s="61" t="s">
        <v>9</v>
      </c>
      <c r="C91" s="72"/>
      <c r="D91" s="61" t="s">
        <v>371</v>
      </c>
      <c r="E91" s="60" t="s">
        <v>382</v>
      </c>
      <c r="F91" s="12"/>
      <c r="G91" s="18"/>
      <c r="H91" s="18"/>
      <c r="I91" s="4" t="str">
        <f>IF(LEN(A91) &gt; 0,"Defs","-")</f>
        <v>Defs</v>
      </c>
      <c r="J91" s="4" t="str">
        <f>IF(Table2[[#This Row],[!Type]]=J$1, J$1,"rg:None")</f>
        <v>boolean</v>
      </c>
      <c r="K91" s="4" t="str">
        <f>IF(Table2[[#This Row],[!Type]]=K$1, K$1,"rg:None")</f>
        <v>rg:None</v>
      </c>
      <c r="L91" s="4" t="str">
        <f>IF(Table2[[#This Row],[!Type]]=L$1, L$1,"rg:None")</f>
        <v>rg:None</v>
      </c>
      <c r="M91" s="4" t="str">
        <f>IF(Table2[[#This Row],[!Type]]=M$1, M$1,"rg:None")</f>
        <v>rg:None</v>
      </c>
      <c r="N91" s="4" t="str">
        <f>IF(Table2[[#This Row],[!Type]]=N$1, N$1,"rg:None")</f>
        <v>rg:None</v>
      </c>
      <c r="O91" s="4" t="str">
        <f>IF(Table2[[#This Row],[!Type]]=O$1, O$1,"rg:None")</f>
        <v>rg:None</v>
      </c>
      <c r="P91" s="4" t="str">
        <f>IF(Table2[[#This Row],[!Type]]=P$1, P$1,"rg:None")</f>
        <v>rg:None</v>
      </c>
      <c r="Q91" s="4" t="str">
        <f>IF(Table2[[#This Row],[!Type]]=Q$1, Q$1,"rg:None")</f>
        <v>rg:None</v>
      </c>
      <c r="R91" s="4" t="str">
        <f>IF(Table2[[#This Row],[!Type]]=R$1, R$1,"rg:None")</f>
        <v>rg:None</v>
      </c>
      <c r="S91" s="4" t="str">
        <f>IF(Table2[[#This Row],[!Type]]=S$1, S$1,"rg:None")</f>
        <v>rg:None</v>
      </c>
      <c r="T91" s="4" t="str">
        <f>IF(LEN(Table2[[#This Row],[!Length]]) &gt; 0, Table2[[#This Row],[!Length]], "rg:None")</f>
        <v>rg:None</v>
      </c>
      <c r="U91" s="4" t="str">
        <f>IF(LEN(Table2[[#This Row],[!Name]]) &gt; 0, Table2[[#This Row],[!Name]], "rg:None")</f>
        <v>isInformationUpdateNeeded</v>
      </c>
      <c r="V91" s="4" t="str">
        <f>IF(LEN(Table2[[#This Row],[!Description]]) &gt; 0, Table2[[#This Row],[!Description]], "rg:None")</f>
        <v>Set true if a need to update the information/status of the equipment is needed. Used during the processing of a request when an update is noted, but the Clerk does not have time to make the update.</v>
      </c>
      <c r="W91" s="4" t="str">
        <f>IF(LEN(Table2[[#This Row],[!FK]])&gt;0,Table2[[#This Row],[!FK]],"rg:None")</f>
        <v>rg:None</v>
      </c>
      <c r="X91" s="14" t="str">
        <f>IF(LEN(concatif2(A:A,Table2[[#This Row],[!Table]],G:G,"Y",D:D,",")) &gt; 0,"rg:[ { 'req' : '"&amp;concatif2(A:A,Table2[[#This Row],[!Table]],G:G,"Y",D:D,"' }, { 'req': '")&amp;"'} ]","rg:[]")</f>
        <v>rg:[ { 'req' : 'id' }, { 'req': 'localArea' }, { 'req': 'districtEquipmentType' }, { 'req': 'owner' }, { 'req': 'equipmentCode' }, { 'req': 'status' }, { 'req': 'receivedDate' }, { 'req': 'lastVerifiedDate'} ]</v>
      </c>
      <c r="Y91" s="4" t="str">
        <f>IF(LEN(Table2[[#This Row],[!Unique]])&gt;0,IF(Table2[[#This Row],[!Type]] = "id", "rg:None","rg:True"),"rg:None")</f>
        <v>rg:None</v>
      </c>
    </row>
    <row r="92" spans="1:25" ht="28.8" x14ac:dyDescent="0.35">
      <c r="A92" s="61" t="s">
        <v>176</v>
      </c>
      <c r="B92" s="61" t="s">
        <v>7</v>
      </c>
      <c r="C92" s="72">
        <v>2048</v>
      </c>
      <c r="D92" s="61" t="s">
        <v>372</v>
      </c>
      <c r="E92" s="60" t="s">
        <v>373</v>
      </c>
      <c r="F92" s="12"/>
      <c r="G92" s="18"/>
      <c r="H92" s="18"/>
      <c r="I92" s="4" t="str">
        <f>IF(LEN(A92) &gt; 0,"Defs","-")</f>
        <v>Defs</v>
      </c>
      <c r="J92" s="4" t="str">
        <f>IF(Table2[[#This Row],[!Type]]=J$1, J$1,"rg:None")</f>
        <v>rg:None</v>
      </c>
      <c r="K92" s="4" t="str">
        <f>IF(Table2[[#This Row],[!Type]]=K$1, K$1,"rg:None")</f>
        <v>rg:None</v>
      </c>
      <c r="L92" s="4" t="str">
        <f>IF(Table2[[#This Row],[!Type]]=L$1, L$1,"rg:None")</f>
        <v>rg:None</v>
      </c>
      <c r="M92" s="4" t="str">
        <f>IF(Table2[[#This Row],[!Type]]=M$1, M$1,"rg:None")</f>
        <v>rg:None</v>
      </c>
      <c r="N92" s="4" t="str">
        <f>IF(Table2[[#This Row],[!Type]]=N$1, N$1,"rg:None")</f>
        <v>rg:None</v>
      </c>
      <c r="O92" s="4" t="str">
        <f>IF(Table2[[#This Row],[!Type]]=O$1, O$1,"rg:None")</f>
        <v>rg:None</v>
      </c>
      <c r="P92" s="4" t="str">
        <f>IF(Table2[[#This Row],[!Type]]=P$1, P$1,"rg:None")</f>
        <v>rg:None</v>
      </c>
      <c r="Q92" s="4" t="str">
        <f>IF(Table2[[#This Row],[!Type]]=Q$1, Q$1,"rg:None")</f>
        <v>rg:None</v>
      </c>
      <c r="R92" s="4" t="str">
        <f>IF(Table2[[#This Row],[!Type]]=R$1, R$1,"rg:None")</f>
        <v>string</v>
      </c>
      <c r="S92" s="4" t="str">
        <f>IF(Table2[[#This Row],[!Type]]=S$1, S$1,"rg:None")</f>
        <v>rg:None</v>
      </c>
      <c r="T92" s="4">
        <f>IF(LEN(Table2[[#This Row],[!Length]]) &gt; 0, Table2[[#This Row],[!Length]], "rg:None")</f>
        <v>2048</v>
      </c>
      <c r="U92" s="4" t="str">
        <f>IF(LEN(Table2[[#This Row],[!Name]]) &gt; 0, Table2[[#This Row],[!Name]], "rg:None")</f>
        <v>informationUpdateNeededReason</v>
      </c>
      <c r="V92" s="4" t="str">
        <f>IF(LEN(Table2[[#This Row],[!Description]]) &gt; 0, Table2[[#This Row],[!Description]], "rg:None")</f>
        <v>A note about why the needed information/status update that is needed about the equipment.</v>
      </c>
      <c r="W92" s="4" t="str">
        <f>IF(LEN(Table2[[#This Row],[!FK]])&gt;0,Table2[[#This Row],[!FK]],"rg:None")</f>
        <v>rg:None</v>
      </c>
      <c r="X92" s="14" t="str">
        <f>IF(LEN(concatif2(A:A,Table2[[#This Row],[!Table]],G:G,"Y",D:D,",")) &gt; 0,"rg:[ { 'req' : '"&amp;concatif2(A:A,Table2[[#This Row],[!Table]],G:G,"Y",D:D,"' }, { 'req': '")&amp;"'} ]","rg:[]")</f>
        <v>rg:[ { 'req' : 'id' }, { 'req': 'localArea' }, { 'req': 'districtEquipmentType' }, { 'req': 'owner' }, { 'req': 'equipmentCode' }, { 'req': 'status' }, { 'req': 'receivedDate' }, { 'req': 'lastVerifiedDate'} ]</v>
      </c>
      <c r="Y92" s="4" t="str">
        <f>IF(LEN(Table2[[#This Row],[!Unique]])&gt;0,IF(Table2[[#This Row],[!Type]] = "id", "rg:None","rg:True"),"rg:None")</f>
        <v>rg:None</v>
      </c>
    </row>
    <row r="93" spans="1:25" x14ac:dyDescent="0.35">
      <c r="A93" s="82" t="s">
        <v>176</v>
      </c>
      <c r="B93" s="5" t="s">
        <v>7</v>
      </c>
      <c r="C93" s="5">
        <v>20</v>
      </c>
      <c r="D93" s="78" t="s">
        <v>230</v>
      </c>
      <c r="E93" s="93" t="s">
        <v>231</v>
      </c>
      <c r="F93" s="5" t="s">
        <v>5</v>
      </c>
      <c r="G93" s="4"/>
      <c r="H93" s="4"/>
      <c r="I93" s="4" t="str">
        <f t="shared" si="13"/>
        <v>Defs</v>
      </c>
      <c r="J93" s="4" t="str">
        <f>IF(Table2[[#This Row],[!Type]]=J$1, J$1,"rg:None")</f>
        <v>rg:None</v>
      </c>
      <c r="K93" s="4" t="str">
        <f>IF(Table2[[#This Row],[!Type]]=K$1, K$1,"rg:None")</f>
        <v>rg:None</v>
      </c>
      <c r="L93" s="4" t="str">
        <f>IF(Table2[[#This Row],[!Type]]=L$1, L$1,"rg:None")</f>
        <v>rg:None</v>
      </c>
      <c r="M93" s="4" t="str">
        <f>IF(Table2[[#This Row],[!Type]]=M$1, M$1,"rg:None")</f>
        <v>rg:None</v>
      </c>
      <c r="N93" s="4" t="str">
        <f>IF(Table2[[#This Row],[!Type]]=N$1, N$1,"rg:None")</f>
        <v>rg:None</v>
      </c>
      <c r="O93" s="4" t="str">
        <f>IF(Table2[[#This Row],[!Type]]=O$1, O$1,"rg:None")</f>
        <v>rg:None</v>
      </c>
      <c r="P93" s="4" t="str">
        <f>IF(Table2[[#This Row],[!Type]]=P$1, P$1,"rg:None")</f>
        <v>rg:None</v>
      </c>
      <c r="Q93" s="4" t="str">
        <f>IF(Table2[[#This Row],[!Type]]=Q$1, Q$1,"rg:None")</f>
        <v>rg:None</v>
      </c>
      <c r="R93" s="4" t="str">
        <f>IF(Table2[[#This Row],[!Type]]=R$1, R$1,"rg:None")</f>
        <v>string</v>
      </c>
      <c r="S93" s="4" t="str">
        <f>IF(Table2[[#This Row],[!Type]]=S$1, S$1,"rg:None")</f>
        <v>rg:None</v>
      </c>
      <c r="T93" s="4">
        <f>IF(LEN(Table2[[#This Row],[!Length]]) &gt; 0, Table2[[#This Row],[!Length]], "rg:None")</f>
        <v>20</v>
      </c>
      <c r="U93" s="4" t="str">
        <f>IF(LEN(Table2[[#This Row],[!Name]]) &gt; 0, Table2[[#This Row],[!Name]], "rg:None")</f>
        <v>licencePlate</v>
      </c>
      <c r="V93" s="4" t="str">
        <f>IF(LEN(Table2[[#This Row],[!Description]]) &gt; 0, Table2[[#This Row],[!Description]], "rg:None")</f>
        <v>The licence plate (if any) of the piece of equipment, as entered by the HETS Clerk.</v>
      </c>
      <c r="W93" s="4" t="str">
        <f>IF(LEN(Table2[[#This Row],[!FK]])&gt;0,Table2[[#This Row],[!FK]],"rg:None")</f>
        <v>rg:None</v>
      </c>
      <c r="X93" s="14" t="str">
        <f>IF(LEN(concatif2(A:A,Table2[[#This Row],[!Table]],G:G,"Y",D:D,",")) &gt; 0,"rg:[ { 'req' : '"&amp;concatif2(A:A,Table2[[#This Row],[!Table]],G:G,"Y",D:D,"' }, { 'req': '")&amp;"'} ]","rg:[]")</f>
        <v>rg:[ { 'req' : 'id' }, { 'req': 'localArea' }, { 'req': 'districtEquipmentType' }, { 'req': 'owner' }, { 'req': 'equipmentCode' }, { 'req': 'status' }, { 'req': 'receivedDate' }, { 'req': 'lastVerifiedDate'} ]</v>
      </c>
      <c r="Y93" s="4" t="str">
        <f>IF(LEN(Table2[[#This Row],[!Unique]])&gt;0,IF(Table2[[#This Row],[!Type]] = "id", "rg:None","rg:True"),"rg:None")</f>
        <v>rg:None</v>
      </c>
    </row>
    <row r="94" spans="1:25" x14ac:dyDescent="0.35">
      <c r="A94" s="82" t="s">
        <v>176</v>
      </c>
      <c r="B94" s="5" t="s">
        <v>7</v>
      </c>
      <c r="C94" s="5">
        <v>50</v>
      </c>
      <c r="D94" s="5" t="s">
        <v>128</v>
      </c>
      <c r="E94" s="93" t="s">
        <v>232</v>
      </c>
      <c r="F94" s="5" t="s">
        <v>5</v>
      </c>
      <c r="G94" s="4"/>
      <c r="H94" s="4"/>
      <c r="I94" s="4" t="str">
        <f t="shared" si="13"/>
        <v>Defs</v>
      </c>
      <c r="J94" s="4" t="str">
        <f>IF(Table2[[#This Row],[!Type]]=J$1, J$1,"rg:None")</f>
        <v>rg:None</v>
      </c>
      <c r="K94" s="4" t="str">
        <f>IF(Table2[[#This Row],[!Type]]=K$1, K$1,"rg:None")</f>
        <v>rg:None</v>
      </c>
      <c r="L94" s="4" t="str">
        <f>IF(Table2[[#This Row],[!Type]]=L$1, L$1,"rg:None")</f>
        <v>rg:None</v>
      </c>
      <c r="M94" s="4" t="str">
        <f>IF(Table2[[#This Row],[!Type]]=M$1, M$1,"rg:None")</f>
        <v>rg:None</v>
      </c>
      <c r="N94" s="4" t="str">
        <f>IF(Table2[[#This Row],[!Type]]=N$1, N$1,"rg:None")</f>
        <v>rg:None</v>
      </c>
      <c r="O94" s="4" t="str">
        <f>IF(Table2[[#This Row],[!Type]]=O$1, O$1,"rg:None")</f>
        <v>rg:None</v>
      </c>
      <c r="P94" s="4" t="str">
        <f>IF(Table2[[#This Row],[!Type]]=P$1, P$1,"rg:None")</f>
        <v>rg:None</v>
      </c>
      <c r="Q94" s="4" t="str">
        <f>IF(Table2[[#This Row],[!Type]]=Q$1, Q$1,"rg:None")</f>
        <v>rg:None</v>
      </c>
      <c r="R94" s="4" t="str">
        <f>IF(Table2[[#This Row],[!Type]]=R$1, R$1,"rg:None")</f>
        <v>string</v>
      </c>
      <c r="S94" s="4" t="str">
        <f>IF(Table2[[#This Row],[!Type]]=S$1, S$1,"rg:None")</f>
        <v>rg:None</v>
      </c>
      <c r="T94" s="4">
        <f>IF(LEN(Table2[[#This Row],[!Length]]) &gt; 0, Table2[[#This Row],[!Length]], "rg:None")</f>
        <v>50</v>
      </c>
      <c r="U94" s="4" t="str">
        <f>IF(LEN(Table2[[#This Row],[!Name]]) &gt; 0, Table2[[#This Row],[!Name]], "rg:None")</f>
        <v>make</v>
      </c>
      <c r="V94" s="4" t="str">
        <f>IF(LEN(Table2[[#This Row],[!Description]]) &gt; 0, Table2[[#This Row],[!Description]], "rg:None")</f>
        <v>The make of the piece of equipment, as provided by the Equipment Owner.</v>
      </c>
      <c r="W94" s="4" t="str">
        <f>IF(LEN(Table2[[#This Row],[!FK]])&gt;0,Table2[[#This Row],[!FK]],"rg:None")</f>
        <v>rg:None</v>
      </c>
      <c r="X94" s="14" t="str">
        <f>IF(LEN(concatif2(A:A,Table2[[#This Row],[!Table]],G:G,"Y",D:D,",")) &gt; 0,"rg:[ { 'req' : '"&amp;concatif2(A:A,Table2[[#This Row],[!Table]],G:G,"Y",D:D,"' }, { 'req': '")&amp;"'} ]","rg:[]")</f>
        <v>rg:[ { 'req' : 'id' }, { 'req': 'localArea' }, { 'req': 'districtEquipmentType' }, { 'req': 'owner' }, { 'req': 'equipmentCode' }, { 'req': 'status' }, { 'req': 'receivedDate' }, { 'req': 'lastVerifiedDate'} ]</v>
      </c>
      <c r="Y94" s="4" t="str">
        <f>IF(LEN(Table2[[#This Row],[!Unique]])&gt;0,IF(Table2[[#This Row],[!Type]] = "id", "rg:None","rg:True"),"rg:None")</f>
        <v>rg:None</v>
      </c>
    </row>
    <row r="95" spans="1:25" x14ac:dyDescent="0.35">
      <c r="A95" s="82" t="s">
        <v>176</v>
      </c>
      <c r="B95" s="5" t="s">
        <v>7</v>
      </c>
      <c r="C95" s="5">
        <v>50</v>
      </c>
      <c r="D95" s="5" t="s">
        <v>129</v>
      </c>
      <c r="E95" s="93" t="s">
        <v>233</v>
      </c>
      <c r="F95" s="5" t="s">
        <v>5</v>
      </c>
      <c r="G95" s="4"/>
      <c r="H95" s="4"/>
      <c r="I95" s="4" t="str">
        <f t="shared" si="13"/>
        <v>Defs</v>
      </c>
      <c r="J95" s="4" t="str">
        <f>IF(Table2[[#This Row],[!Type]]=J$1, J$1,"rg:None")</f>
        <v>rg:None</v>
      </c>
      <c r="K95" s="4" t="str">
        <f>IF(Table2[[#This Row],[!Type]]=K$1, K$1,"rg:None")</f>
        <v>rg:None</v>
      </c>
      <c r="L95" s="4" t="str">
        <f>IF(Table2[[#This Row],[!Type]]=L$1, L$1,"rg:None")</f>
        <v>rg:None</v>
      </c>
      <c r="M95" s="4" t="str">
        <f>IF(Table2[[#This Row],[!Type]]=M$1, M$1,"rg:None")</f>
        <v>rg:None</v>
      </c>
      <c r="N95" s="4" t="str">
        <f>IF(Table2[[#This Row],[!Type]]=N$1, N$1,"rg:None")</f>
        <v>rg:None</v>
      </c>
      <c r="O95" s="4" t="str">
        <f>IF(Table2[[#This Row],[!Type]]=O$1, O$1,"rg:None")</f>
        <v>rg:None</v>
      </c>
      <c r="P95" s="4" t="str">
        <f>IF(Table2[[#This Row],[!Type]]=P$1, P$1,"rg:None")</f>
        <v>rg:None</v>
      </c>
      <c r="Q95" s="4" t="str">
        <f>IF(Table2[[#This Row],[!Type]]=Q$1, Q$1,"rg:None")</f>
        <v>rg:None</v>
      </c>
      <c r="R95" s="4" t="str">
        <f>IF(Table2[[#This Row],[!Type]]=R$1, R$1,"rg:None")</f>
        <v>string</v>
      </c>
      <c r="S95" s="4" t="str">
        <f>IF(Table2[[#This Row],[!Type]]=S$1, S$1,"rg:None")</f>
        <v>rg:None</v>
      </c>
      <c r="T95" s="4">
        <f>IF(LEN(Table2[[#This Row],[!Length]]) &gt; 0, Table2[[#This Row],[!Length]], "rg:None")</f>
        <v>50</v>
      </c>
      <c r="U95" s="4" t="str">
        <f>IF(LEN(Table2[[#This Row],[!Name]]) &gt; 0, Table2[[#This Row],[!Name]], "rg:None")</f>
        <v>model</v>
      </c>
      <c r="V95" s="4" t="str">
        <f>IF(LEN(Table2[[#This Row],[!Description]]) &gt; 0, Table2[[#This Row],[!Description]], "rg:None")</f>
        <v>The model of the piece of equipment, as provided by the Equipment Owner.</v>
      </c>
      <c r="W95" s="4" t="str">
        <f>IF(LEN(Table2[[#This Row],[!FK]])&gt;0,Table2[[#This Row],[!FK]],"rg:None")</f>
        <v>rg:None</v>
      </c>
      <c r="X95" s="14" t="str">
        <f>IF(LEN(concatif2(A:A,Table2[[#This Row],[!Table]],G:G,"Y",D:D,",")) &gt; 0,"rg:[ { 'req' : '"&amp;concatif2(A:A,Table2[[#This Row],[!Table]],G:G,"Y",D:D,"' }, { 'req': '")&amp;"'} ]","rg:[]")</f>
        <v>rg:[ { 'req' : 'id' }, { 'req': 'localArea' }, { 'req': 'districtEquipmentType' }, { 'req': 'owner' }, { 'req': 'equipmentCode' }, { 'req': 'status' }, { 'req': 'receivedDate' }, { 'req': 'lastVerifiedDate'} ]</v>
      </c>
      <c r="Y95" s="4" t="str">
        <f>IF(LEN(Table2[[#This Row],[!Unique]])&gt;0,IF(Table2[[#This Row],[!Type]] = "id", "rg:None","rg:True"),"rg:None")</f>
        <v>rg:None</v>
      </c>
    </row>
    <row r="96" spans="1:25" x14ac:dyDescent="0.35">
      <c r="A96" s="82" t="s">
        <v>176</v>
      </c>
      <c r="B96" s="5" t="s">
        <v>7</v>
      </c>
      <c r="C96" s="5">
        <v>15</v>
      </c>
      <c r="D96" s="5" t="s">
        <v>130</v>
      </c>
      <c r="E96" s="93" t="s">
        <v>234</v>
      </c>
      <c r="F96" s="5" t="s">
        <v>5</v>
      </c>
      <c r="G96" s="4"/>
      <c r="H96" s="4"/>
      <c r="I96" s="4" t="str">
        <f t="shared" si="13"/>
        <v>Defs</v>
      </c>
      <c r="J96" s="4" t="str">
        <f>IF(Table2[[#This Row],[!Type]]=J$1, J$1,"rg:None")</f>
        <v>rg:None</v>
      </c>
      <c r="K96" s="4" t="str">
        <f>IF(Table2[[#This Row],[!Type]]=K$1, K$1,"rg:None")</f>
        <v>rg:None</v>
      </c>
      <c r="L96" s="4" t="str">
        <f>IF(Table2[[#This Row],[!Type]]=L$1, L$1,"rg:None")</f>
        <v>rg:None</v>
      </c>
      <c r="M96" s="4" t="str">
        <f>IF(Table2[[#This Row],[!Type]]=M$1, M$1,"rg:None")</f>
        <v>rg:None</v>
      </c>
      <c r="N96" s="4" t="str">
        <f>IF(Table2[[#This Row],[!Type]]=N$1, N$1,"rg:None")</f>
        <v>rg:None</v>
      </c>
      <c r="O96" s="4" t="str">
        <f>IF(Table2[[#This Row],[!Type]]=O$1, O$1,"rg:None")</f>
        <v>rg:None</v>
      </c>
      <c r="P96" s="4" t="str">
        <f>IF(Table2[[#This Row],[!Type]]=P$1, P$1,"rg:None")</f>
        <v>rg:None</v>
      </c>
      <c r="Q96" s="4" t="str">
        <f>IF(Table2[[#This Row],[!Type]]=Q$1, Q$1,"rg:None")</f>
        <v>rg:None</v>
      </c>
      <c r="R96" s="4" t="str">
        <f>IF(Table2[[#This Row],[!Type]]=R$1, R$1,"rg:None")</f>
        <v>string</v>
      </c>
      <c r="S96" s="4" t="str">
        <f>IF(Table2[[#This Row],[!Type]]=S$1, S$1,"rg:None")</f>
        <v>rg:None</v>
      </c>
      <c r="T96" s="4">
        <f>IF(LEN(Table2[[#This Row],[!Length]]) &gt; 0, Table2[[#This Row],[!Length]], "rg:None")</f>
        <v>15</v>
      </c>
      <c r="U96" s="4" t="str">
        <f>IF(LEN(Table2[[#This Row],[!Name]]) &gt; 0, Table2[[#This Row],[!Name]], "rg:None")</f>
        <v>year</v>
      </c>
      <c r="V96" s="4" t="str">
        <f>IF(LEN(Table2[[#This Row],[!Description]]) &gt; 0, Table2[[#This Row],[!Description]], "rg:None")</f>
        <v>The model year of the piece of equipment, as provided by the Equipment Owner.</v>
      </c>
      <c r="W96" s="4" t="str">
        <f>IF(LEN(Table2[[#This Row],[!FK]])&gt;0,Table2[[#This Row],[!FK]],"rg:None")</f>
        <v>rg:None</v>
      </c>
      <c r="X96" s="14" t="str">
        <f>IF(LEN(concatif2(A:A,Table2[[#This Row],[!Table]],G:G,"Y",D:D,",")) &gt; 0,"rg:[ { 'req' : '"&amp;concatif2(A:A,Table2[[#This Row],[!Table]],G:G,"Y",D:D,"' }, { 'req': '")&amp;"'} ]","rg:[]")</f>
        <v>rg:[ { 'req' : 'id' }, { 'req': 'localArea' }, { 'req': 'districtEquipmentType' }, { 'req': 'owner' }, { 'req': 'equipmentCode' }, { 'req': 'status' }, { 'req': 'receivedDate' }, { 'req': 'lastVerifiedDate'} ]</v>
      </c>
      <c r="Y96" s="4" t="str">
        <f>IF(LEN(Table2[[#This Row],[!Unique]])&gt;0,IF(Table2[[#This Row],[!Type]] = "id", "rg:None","rg:True"),"rg:None")</f>
        <v>rg:None</v>
      </c>
    </row>
    <row r="97" spans="1:25" x14ac:dyDescent="0.35">
      <c r="A97" s="82" t="s">
        <v>176</v>
      </c>
      <c r="B97" s="5" t="s">
        <v>7</v>
      </c>
      <c r="C97" s="5">
        <v>255</v>
      </c>
      <c r="D97" s="5" t="s">
        <v>131</v>
      </c>
      <c r="E97" s="79" t="s">
        <v>418</v>
      </c>
      <c r="F97" s="5" t="s">
        <v>5</v>
      </c>
      <c r="G97" s="4"/>
      <c r="H97" s="4"/>
      <c r="I97" s="4" t="str">
        <f t="shared" si="13"/>
        <v>Defs</v>
      </c>
      <c r="J97" s="4" t="str">
        <f>IF(Table2[[#This Row],[!Type]]=J$1, J$1,"rg:None")</f>
        <v>rg:None</v>
      </c>
      <c r="K97" s="4" t="str">
        <f>IF(Table2[[#This Row],[!Type]]=K$1, K$1,"rg:None")</f>
        <v>rg:None</v>
      </c>
      <c r="L97" s="4" t="str">
        <f>IF(Table2[[#This Row],[!Type]]=L$1, L$1,"rg:None")</f>
        <v>rg:None</v>
      </c>
      <c r="M97" s="4" t="str">
        <f>IF(Table2[[#This Row],[!Type]]=M$1, M$1,"rg:None")</f>
        <v>rg:None</v>
      </c>
      <c r="N97" s="4" t="str">
        <f>IF(Table2[[#This Row],[!Type]]=N$1, N$1,"rg:None")</f>
        <v>rg:None</v>
      </c>
      <c r="O97" s="4" t="str">
        <f>IF(Table2[[#This Row],[!Type]]=O$1, O$1,"rg:None")</f>
        <v>rg:None</v>
      </c>
      <c r="P97" s="4" t="str">
        <f>IF(Table2[[#This Row],[!Type]]=P$1, P$1,"rg:None")</f>
        <v>rg:None</v>
      </c>
      <c r="Q97" s="4" t="str">
        <f>IF(Table2[[#This Row],[!Type]]=Q$1, Q$1,"rg:None")</f>
        <v>rg:None</v>
      </c>
      <c r="R97" s="4" t="str">
        <f>IF(Table2[[#This Row],[!Type]]=R$1, R$1,"rg:None")</f>
        <v>string</v>
      </c>
      <c r="S97" s="4" t="str">
        <f>IF(Table2[[#This Row],[!Type]]=S$1, S$1,"rg:None")</f>
        <v>rg:None</v>
      </c>
      <c r="T97" s="4">
        <f>IF(LEN(Table2[[#This Row],[!Length]]) &gt; 0, Table2[[#This Row],[!Length]], "rg:None")</f>
        <v>255</v>
      </c>
      <c r="U97" s="4" t="str">
        <f>IF(LEN(Table2[[#This Row],[!Name]]) &gt; 0, Table2[[#This Row],[!Name]], "rg:None")</f>
        <v>operator</v>
      </c>
      <c r="V97" s="4" t="str">
        <f>IF(LEN(Table2[[#This Row],[!Description]]) &gt; 0, Table2[[#This Row],[!Description]], "rg:None")</f>
        <v>TO BE REVIEWED WITH THE BUSINESS - WHAT IS THIS?</v>
      </c>
      <c r="W97" s="4" t="str">
        <f>IF(LEN(Table2[[#This Row],[!FK]])&gt;0,Table2[[#This Row],[!FK]],"rg:None")</f>
        <v>rg:None</v>
      </c>
      <c r="X97" s="14" t="str">
        <f>IF(LEN(concatif2(A:A,Table2[[#This Row],[!Table]],G:G,"Y",D:D,",")) &gt; 0,"rg:[ { 'req' : '"&amp;concatif2(A:A,Table2[[#This Row],[!Table]],G:G,"Y",D:D,"' }, { 'req': '")&amp;"'} ]","rg:[]")</f>
        <v>rg:[ { 'req' : 'id' }, { 'req': 'localArea' }, { 'req': 'districtEquipmentType' }, { 'req': 'owner' }, { 'req': 'equipmentCode' }, { 'req': 'status' }, { 'req': 'receivedDate' }, { 'req': 'lastVerifiedDate'} ]</v>
      </c>
      <c r="Y97" s="4" t="str">
        <f>IF(LEN(Table2[[#This Row],[!Unique]])&gt;0,IF(Table2[[#This Row],[!Type]] = "id", "rg:None","rg:True"),"rg:None")</f>
        <v>rg:None</v>
      </c>
    </row>
    <row r="98" spans="1:25" x14ac:dyDescent="0.35">
      <c r="A98" s="82" t="s">
        <v>176</v>
      </c>
      <c r="B98" s="5" t="s">
        <v>105</v>
      </c>
      <c r="D98" s="5" t="s">
        <v>132</v>
      </c>
      <c r="E98" s="79" t="s">
        <v>418</v>
      </c>
      <c r="F98" s="5" t="s">
        <v>5</v>
      </c>
      <c r="G98" s="4"/>
      <c r="H98" s="4"/>
      <c r="I98" s="4" t="str">
        <f t="shared" si="13"/>
        <v>Defs</v>
      </c>
      <c r="J98" s="4" t="str">
        <f>IF(Table2[[#This Row],[!Type]]=J$1, J$1,"rg:None")</f>
        <v>rg:None</v>
      </c>
      <c r="K98" s="4" t="str">
        <f>IF(Table2[[#This Row],[!Type]]=K$1, K$1,"rg:None")</f>
        <v>rg:None</v>
      </c>
      <c r="L98" s="4" t="str">
        <f>IF(Table2[[#This Row],[!Type]]=L$1, L$1,"rg:None")</f>
        <v>rg:None</v>
      </c>
      <c r="M98" s="4" t="str">
        <f>IF(Table2[[#This Row],[!Type]]=M$1, M$1,"rg:None")</f>
        <v>rg:None</v>
      </c>
      <c r="N98" s="4" t="str">
        <f>IF(Table2[[#This Row],[!Type]]=N$1, N$1,"rg:None")</f>
        <v>rg:None</v>
      </c>
      <c r="O98" s="4" t="str">
        <f>IF(Table2[[#This Row],[!Type]]=O$1, O$1,"rg:None")</f>
        <v>float</v>
      </c>
      <c r="P98" s="4" t="str">
        <f>IF(Table2[[#This Row],[!Type]]=P$1, P$1,"rg:None")</f>
        <v>rg:None</v>
      </c>
      <c r="Q98" s="4" t="str">
        <f>IF(Table2[[#This Row],[!Type]]=Q$1, Q$1,"rg:None")</f>
        <v>rg:None</v>
      </c>
      <c r="R98" s="4" t="str">
        <f>IF(Table2[[#This Row],[!Type]]=R$1, R$1,"rg:None")</f>
        <v>rg:None</v>
      </c>
      <c r="S98" s="4" t="str">
        <f>IF(Table2[[#This Row],[!Type]]=S$1, S$1,"rg:None")</f>
        <v>rg:None</v>
      </c>
      <c r="T98" s="4" t="str">
        <f>IF(LEN(Table2[[#This Row],[!Length]]) &gt; 0, Table2[[#This Row],[!Length]], "rg:None")</f>
        <v>rg:None</v>
      </c>
      <c r="U98" s="4" t="str">
        <f>IF(LEN(Table2[[#This Row],[!Name]]) &gt; 0, Table2[[#This Row],[!Name]], "rg:None")</f>
        <v>payRate</v>
      </c>
      <c r="V98" s="4" t="str">
        <f>IF(LEN(Table2[[#This Row],[!Description]]) &gt; 0, Table2[[#This Row],[!Description]], "rg:None")</f>
        <v>TO BE REVIEWED WITH THE BUSINESS - WHAT IS THIS?</v>
      </c>
      <c r="W98" s="4" t="str">
        <f>IF(LEN(Table2[[#This Row],[!FK]])&gt;0,Table2[[#This Row],[!FK]],"rg:None")</f>
        <v>rg:None</v>
      </c>
      <c r="X98" s="14" t="str">
        <f>IF(LEN(concatif2(A:A,Table2[[#This Row],[!Table]],G:G,"Y",D:D,",")) &gt; 0,"rg:[ { 'req' : '"&amp;concatif2(A:A,Table2[[#This Row],[!Table]],G:G,"Y",D:D,"' }, { 'req': '")&amp;"'} ]","rg:[]")</f>
        <v>rg:[ { 'req' : 'id' }, { 'req': 'localArea' }, { 'req': 'districtEquipmentType' }, { 'req': 'owner' }, { 'req': 'equipmentCode' }, { 'req': 'status' }, { 'req': 'receivedDate' }, { 'req': 'lastVerifiedDate'} ]</v>
      </c>
      <c r="Y98" s="4" t="str">
        <f>IF(LEN(Table2[[#This Row],[!Unique]])&gt;0,IF(Table2[[#This Row],[!Type]] = "id", "rg:None","rg:True"),"rg:None")</f>
        <v>rg:None</v>
      </c>
    </row>
    <row r="99" spans="1:25" x14ac:dyDescent="0.35">
      <c r="A99" s="82" t="s">
        <v>176</v>
      </c>
      <c r="B99" s="5" t="s">
        <v>7</v>
      </c>
      <c r="C99" s="5">
        <v>255</v>
      </c>
      <c r="D99" s="5" t="s">
        <v>134</v>
      </c>
      <c r="E99" s="79" t="s">
        <v>418</v>
      </c>
      <c r="F99" s="5" t="s">
        <v>5</v>
      </c>
      <c r="G99" s="4"/>
      <c r="H99" s="4"/>
      <c r="I99" s="4" t="str">
        <f t="shared" si="13"/>
        <v>Defs</v>
      </c>
      <c r="J99" s="4" t="str">
        <f>IF(Table2[[#This Row],[!Type]]=J$1, J$1,"rg:None")</f>
        <v>rg:None</v>
      </c>
      <c r="K99" s="4" t="str">
        <f>IF(Table2[[#This Row],[!Type]]=K$1, K$1,"rg:None")</f>
        <v>rg:None</v>
      </c>
      <c r="L99" s="4" t="str">
        <f>IF(Table2[[#This Row],[!Type]]=L$1, L$1,"rg:None")</f>
        <v>rg:None</v>
      </c>
      <c r="M99" s="4" t="str">
        <f>IF(Table2[[#This Row],[!Type]]=M$1, M$1,"rg:None")</f>
        <v>rg:None</v>
      </c>
      <c r="N99" s="4" t="str">
        <f>IF(Table2[[#This Row],[!Type]]=N$1, N$1,"rg:None")</f>
        <v>rg:None</v>
      </c>
      <c r="O99" s="4" t="str">
        <f>IF(Table2[[#This Row],[!Type]]=O$1, O$1,"rg:None")</f>
        <v>rg:None</v>
      </c>
      <c r="P99" s="4" t="str">
        <f>IF(Table2[[#This Row],[!Type]]=P$1, P$1,"rg:None")</f>
        <v>rg:None</v>
      </c>
      <c r="Q99" s="4" t="str">
        <f>IF(Table2[[#This Row],[!Type]]=Q$1, Q$1,"rg:None")</f>
        <v>rg:None</v>
      </c>
      <c r="R99" s="4" t="str">
        <f>IF(Table2[[#This Row],[!Type]]=R$1, R$1,"rg:None")</f>
        <v>string</v>
      </c>
      <c r="S99" s="4" t="str">
        <f>IF(Table2[[#This Row],[!Type]]=S$1, S$1,"rg:None")</f>
        <v>rg:None</v>
      </c>
      <c r="T99" s="4">
        <f>IF(LEN(Table2[[#This Row],[!Length]]) &gt; 0, Table2[[#This Row],[!Length]], "rg:None")</f>
        <v>255</v>
      </c>
      <c r="U99" s="4" t="str">
        <f>IF(LEN(Table2[[#This Row],[!Name]]) &gt; 0, Table2[[#This Row],[!Name]], "rg:None")</f>
        <v>refuseRate</v>
      </c>
      <c r="V99" s="4" t="str">
        <f>IF(LEN(Table2[[#This Row],[!Description]]) &gt; 0, Table2[[#This Row],[!Description]], "rg:None")</f>
        <v>TO BE REVIEWED WITH THE BUSINESS - WHAT IS THIS?</v>
      </c>
      <c r="W99" s="4" t="str">
        <f>IF(LEN(Table2[[#This Row],[!FK]])&gt;0,Table2[[#This Row],[!FK]],"rg:None")</f>
        <v>rg:None</v>
      </c>
      <c r="X99" s="14" t="str">
        <f>IF(LEN(concatif2(A:A,Table2[[#This Row],[!Table]],G:G,"Y",D:D,",")) &gt; 0,"rg:[ { 'req' : '"&amp;concatif2(A:A,Table2[[#This Row],[!Table]],G:G,"Y",D:D,"' }, { 'req': '")&amp;"'} ]","rg:[]")</f>
        <v>rg:[ { 'req' : 'id' }, { 'req': 'localArea' }, { 'req': 'districtEquipmentType' }, { 'req': 'owner' }, { 'req': 'equipmentCode' }, { 'req': 'status' }, { 'req': 'receivedDate' }, { 'req': 'lastVerifiedDate'} ]</v>
      </c>
      <c r="Y99" s="4" t="str">
        <f>IF(LEN(Table2[[#This Row],[!Unique]])&gt;0,IF(Table2[[#This Row],[!Type]] = "id", "rg:None","rg:True"),"rg:None")</f>
        <v>rg:None</v>
      </c>
    </row>
    <row r="100" spans="1:25" ht="72" x14ac:dyDescent="0.35">
      <c r="A100" s="82" t="s">
        <v>176</v>
      </c>
      <c r="B100" s="5" t="s">
        <v>7</v>
      </c>
      <c r="C100" s="5">
        <v>100</v>
      </c>
      <c r="D100" s="88" t="s">
        <v>443</v>
      </c>
      <c r="E100" s="93" t="s">
        <v>236</v>
      </c>
      <c r="F100" s="5" t="s">
        <v>5</v>
      </c>
      <c r="G100" s="4"/>
      <c r="H100" s="4"/>
      <c r="I100" s="4" t="str">
        <f t="shared" si="13"/>
        <v>Defs</v>
      </c>
      <c r="J100" s="4" t="str">
        <f>IF(Table2[[#This Row],[!Type]]=J$1, J$1,"rg:None")</f>
        <v>rg:None</v>
      </c>
      <c r="K100" s="4" t="str">
        <f>IF(Table2[[#This Row],[!Type]]=K$1, K$1,"rg:None")</f>
        <v>rg:None</v>
      </c>
      <c r="L100" s="4" t="str">
        <f>IF(Table2[[#This Row],[!Type]]=L$1, L$1,"rg:None")</f>
        <v>rg:None</v>
      </c>
      <c r="M100" s="4" t="str">
        <f>IF(Table2[[#This Row],[!Type]]=M$1, M$1,"rg:None")</f>
        <v>rg:None</v>
      </c>
      <c r="N100" s="4" t="str">
        <f>IF(Table2[[#This Row],[!Type]]=N$1, N$1,"rg:None")</f>
        <v>rg:None</v>
      </c>
      <c r="O100" s="4" t="str">
        <f>IF(Table2[[#This Row],[!Type]]=O$1, O$1,"rg:None")</f>
        <v>rg:None</v>
      </c>
      <c r="P100" s="4" t="str">
        <f>IF(Table2[[#This Row],[!Type]]=P$1, P$1,"rg:None")</f>
        <v>rg:None</v>
      </c>
      <c r="Q100" s="4" t="str">
        <f>IF(Table2[[#This Row],[!Type]]=Q$1, Q$1,"rg:None")</f>
        <v>rg:None</v>
      </c>
      <c r="R100" s="4" t="str">
        <f>IF(Table2[[#This Row],[!Type]]=R$1, R$1,"rg:None")</f>
        <v>string</v>
      </c>
      <c r="S100" s="4" t="str">
        <f>IF(Table2[[#This Row],[!Type]]=S$1, S$1,"rg:None")</f>
        <v>rg:None</v>
      </c>
      <c r="T100" s="4">
        <f>IF(LEN(Table2[[#This Row],[!Length]]) &gt; 0, Table2[[#This Row],[!Length]], "rg:None")</f>
        <v>100</v>
      </c>
      <c r="U100" s="4" t="str">
        <f>IF(LEN(Table2[[#This Row],[!Name]]) &gt; 0, Table2[[#This Row],[!Name]], "rg:None")</f>
        <v>serialNumber</v>
      </c>
      <c r="V100" s="4" t="str">
        <f>IF(LEN(Table2[[#This Row],[!Description]]) &gt; 0, Table2[[#This Row],[!Description]], "rg:None")</f>
        <v>The serial number of the piece of equipment as provided by the Equipment Owner. Used to detect and reconcile pieces of equipment moved between Local Areas. Duplicate serial numbers are flagged in the system but permitted. The duplicates are flagged in the UI until the HETS Clerks reconcile the differences - either correcting the serial number or archiving a piece of equipment moved to a new local area.</v>
      </c>
      <c r="W100" s="4" t="str">
        <f>IF(LEN(Table2[[#This Row],[!FK]])&gt;0,Table2[[#This Row],[!FK]],"rg:None")</f>
        <v>rg:None</v>
      </c>
      <c r="X100" s="14" t="str">
        <f>IF(LEN(concatif2(A:A,Table2[[#This Row],[!Table]],G:G,"Y",D:D,",")) &gt; 0,"rg:[ { 'req' : '"&amp;concatif2(A:A,Table2[[#This Row],[!Table]],G:G,"Y",D:D,"' }, { 'req': '")&amp;"'} ]","rg:[]")</f>
        <v>rg:[ { 'req' : 'id' }, { 'req': 'localArea' }, { 'req': 'districtEquipmentType' }, { 'req': 'owner' }, { 'req': 'equipmentCode' }, { 'req': 'status' }, { 'req': 'receivedDate' }, { 'req': 'lastVerifiedDate'} ]</v>
      </c>
      <c r="Y100" s="4" t="str">
        <f>IF(LEN(Table2[[#This Row],[!Unique]])&gt;0,IF(Table2[[#This Row],[!Type]] = "id", "rg:None","rg:True"),"rg:None")</f>
        <v>rg:None</v>
      </c>
    </row>
    <row r="101" spans="1:25" x14ac:dyDescent="0.35">
      <c r="A101" s="82" t="s">
        <v>176</v>
      </c>
      <c r="B101" s="5" t="s">
        <v>7</v>
      </c>
      <c r="C101" s="5">
        <v>128</v>
      </c>
      <c r="D101" s="5" t="s">
        <v>136</v>
      </c>
      <c r="E101" s="93" t="s">
        <v>237</v>
      </c>
      <c r="F101" s="5" t="s">
        <v>5</v>
      </c>
      <c r="G101" s="4"/>
      <c r="H101" s="4"/>
      <c r="I101" s="4" t="str">
        <f t="shared" si="13"/>
        <v>Defs</v>
      </c>
      <c r="J101" s="4" t="str">
        <f>IF(Table2[[#This Row],[!Type]]=J$1, J$1,"rg:None")</f>
        <v>rg:None</v>
      </c>
      <c r="K101" s="4" t="str">
        <f>IF(Table2[[#This Row],[!Type]]=K$1, K$1,"rg:None")</f>
        <v>rg:None</v>
      </c>
      <c r="L101" s="4" t="str">
        <f>IF(Table2[[#This Row],[!Type]]=L$1, L$1,"rg:None")</f>
        <v>rg:None</v>
      </c>
      <c r="M101" s="4" t="str">
        <f>IF(Table2[[#This Row],[!Type]]=M$1, M$1,"rg:None")</f>
        <v>rg:None</v>
      </c>
      <c r="N101" s="4" t="str">
        <f>IF(Table2[[#This Row],[!Type]]=N$1, N$1,"rg:None")</f>
        <v>rg:None</v>
      </c>
      <c r="O101" s="4" t="str">
        <f>IF(Table2[[#This Row],[!Type]]=O$1, O$1,"rg:None")</f>
        <v>rg:None</v>
      </c>
      <c r="P101" s="4" t="str">
        <f>IF(Table2[[#This Row],[!Type]]=P$1, P$1,"rg:None")</f>
        <v>rg:None</v>
      </c>
      <c r="Q101" s="4" t="str">
        <f>IF(Table2[[#This Row],[!Type]]=Q$1, Q$1,"rg:None")</f>
        <v>rg:None</v>
      </c>
      <c r="R101" s="4" t="str">
        <f>IF(Table2[[#This Row],[!Type]]=R$1, R$1,"rg:None")</f>
        <v>string</v>
      </c>
      <c r="S101" s="4" t="str">
        <f>IF(Table2[[#This Row],[!Type]]=S$1, S$1,"rg:None")</f>
        <v>rg:None</v>
      </c>
      <c r="T101" s="4">
        <f>IF(LEN(Table2[[#This Row],[!Length]]) &gt; 0, Table2[[#This Row],[!Length]], "rg:None")</f>
        <v>128</v>
      </c>
      <c r="U101" s="4" t="str">
        <f>IF(LEN(Table2[[#This Row],[!Name]]) &gt; 0, Table2[[#This Row],[!Name]], "rg:None")</f>
        <v>size</v>
      </c>
      <c r="V101" s="4" t="str">
        <f>IF(LEN(Table2[[#This Row],[!Description]]) &gt; 0, Table2[[#This Row],[!Description]], "rg:None")</f>
        <v>The size of the piece of equipment, as provided by the Equipment Owner.</v>
      </c>
      <c r="W101" s="4" t="str">
        <f>IF(LEN(Table2[[#This Row],[!FK]])&gt;0,Table2[[#This Row],[!FK]],"rg:None")</f>
        <v>rg:None</v>
      </c>
      <c r="X101" s="14" t="str">
        <f>IF(LEN(concatif2(A:A,Table2[[#This Row],[!Table]],G:G,"Y",D:D,",")) &gt; 0,"rg:[ { 'req' : '"&amp;concatif2(A:A,Table2[[#This Row],[!Table]],G:G,"Y",D:D,"' }, { 'req': '")&amp;"'} ]","rg:[]")</f>
        <v>rg:[ { 'req' : 'id' }, { 'req': 'localArea' }, { 'req': 'districtEquipmentType' }, { 'req': 'owner' }, { 'req': 'equipmentCode' }, { 'req': 'status' }, { 'req': 'receivedDate' }, { 'req': 'lastVerifiedDate'} ]</v>
      </c>
      <c r="Y101" s="4" t="str">
        <f>IF(LEN(Table2[[#This Row],[!Unique]])&gt;0,IF(Table2[[#This Row],[!Type]] = "id", "rg:None","rg:True"),"rg:None")</f>
        <v>rg:None</v>
      </c>
    </row>
    <row r="102" spans="1:25" x14ac:dyDescent="0.35">
      <c r="A102" s="82" t="s">
        <v>176</v>
      </c>
      <c r="B102" s="82" t="s">
        <v>12</v>
      </c>
      <c r="D102" s="82" t="s">
        <v>182</v>
      </c>
      <c r="E102" s="79" t="s">
        <v>418</v>
      </c>
      <c r="F102" s="5" t="s">
        <v>5</v>
      </c>
      <c r="G102" s="4"/>
      <c r="H102" s="4"/>
      <c r="I102" s="4" t="str">
        <f t="shared" si="13"/>
        <v>Defs</v>
      </c>
      <c r="J102" s="4" t="str">
        <f>IF(Table2[[#This Row],[!Type]]=J$1, J$1,"rg:None")</f>
        <v>rg:None</v>
      </c>
      <c r="K102" s="4" t="str">
        <f>IF(Table2[[#This Row],[!Type]]=K$1, K$1,"rg:None")</f>
        <v>rg:None</v>
      </c>
      <c r="L102" s="4" t="str">
        <f>IF(Table2[[#This Row],[!Type]]=L$1, L$1,"rg:None")</f>
        <v>datetime</v>
      </c>
      <c r="M102" s="4" t="str">
        <f>IF(Table2[[#This Row],[!Type]]=M$1, M$1,"rg:None")</f>
        <v>rg:None</v>
      </c>
      <c r="N102" s="4" t="str">
        <f>IF(Table2[[#This Row],[!Type]]=N$1, N$1,"rg:None")</f>
        <v>rg:None</v>
      </c>
      <c r="O102" s="4" t="str">
        <f>IF(Table2[[#This Row],[!Type]]=O$1, O$1,"rg:None")</f>
        <v>rg:None</v>
      </c>
      <c r="P102" s="4" t="str">
        <f>IF(Table2[[#This Row],[!Type]]=P$1, P$1,"rg:None")</f>
        <v>rg:None</v>
      </c>
      <c r="Q102" s="4" t="str">
        <f>IF(Table2[[#This Row],[!Type]]=Q$1, Q$1,"rg:None")</f>
        <v>rg:None</v>
      </c>
      <c r="R102" s="4" t="str">
        <f>IF(Table2[[#This Row],[!Type]]=R$1, R$1,"rg:None")</f>
        <v>rg:None</v>
      </c>
      <c r="S102" s="4" t="str">
        <f>IF(Table2[[#This Row],[!Type]]=S$1, S$1,"rg:None")</f>
        <v>rg:None</v>
      </c>
      <c r="T102" s="4" t="str">
        <f>IF(LEN(Table2[[#This Row],[!Length]]) &gt; 0, Table2[[#This Row],[!Length]], "rg:None")</f>
        <v>rg:None</v>
      </c>
      <c r="U102" s="4" t="str">
        <f>IF(LEN(Table2[[#This Row],[!Name]]) &gt; 0, Table2[[#This Row],[!Name]], "rg:None")</f>
        <v>toDate</v>
      </c>
      <c r="V102" s="4" t="str">
        <f>IF(LEN(Table2[[#This Row],[!Description]]) &gt; 0, Table2[[#This Row],[!Description]], "rg:None")</f>
        <v>TO BE REVIEWED WITH THE BUSINESS - WHAT IS THIS?</v>
      </c>
      <c r="W102" s="4" t="str">
        <f>IF(LEN(Table2[[#This Row],[!FK]])&gt;0,Table2[[#This Row],[!FK]],"rg:None")</f>
        <v>rg:None</v>
      </c>
      <c r="X102" s="14" t="str">
        <f>IF(LEN(concatif2(A:A,Table2[[#This Row],[!Table]],G:G,"Y",D:D,",")) &gt; 0,"rg:[ { 'req' : '"&amp;concatif2(A:A,Table2[[#This Row],[!Table]],G:G,"Y",D:D,"' }, { 'req': '")&amp;"'} ]","rg:[]")</f>
        <v>rg:[ { 'req' : 'id' }, { 'req': 'localArea' }, { 'req': 'districtEquipmentType' }, { 'req': 'owner' }, { 'req': 'equipmentCode' }, { 'req': 'status' }, { 'req': 'receivedDate' }, { 'req': 'lastVerifiedDate'} ]</v>
      </c>
      <c r="Y102" s="4" t="str">
        <f>IF(LEN(Table2[[#This Row],[!Unique]])&gt;0,IF(Table2[[#This Row],[!Type]] = "id", "rg:None","rg:True"),"rg:None")</f>
        <v>rg:None</v>
      </c>
    </row>
    <row r="103" spans="1:25" ht="43.2" x14ac:dyDescent="0.35">
      <c r="A103" s="82" t="s">
        <v>176</v>
      </c>
      <c r="B103" s="157" t="s">
        <v>13</v>
      </c>
      <c r="D103" s="82" t="s">
        <v>185</v>
      </c>
      <c r="E103" s="96" t="s">
        <v>238</v>
      </c>
      <c r="F103" s="5" t="s">
        <v>5</v>
      </c>
      <c r="G103" s="4"/>
      <c r="H103" s="4"/>
      <c r="I103" s="4" t="str">
        <f t="shared" ref="I103:I109" si="14">IF(LEN(A103) &gt; 0,"Defs","-")</f>
        <v>Defs</v>
      </c>
      <c r="J103" s="4" t="str">
        <f>IF(Table2[[#This Row],[!Type]]=J$1, J$1,"rg:None")</f>
        <v>rg:None</v>
      </c>
      <c r="K103" s="4" t="str">
        <f>IF(Table2[[#This Row],[!Type]]=K$1, K$1,"rg:None")</f>
        <v>rg:None</v>
      </c>
      <c r="L103" s="4" t="str">
        <f>IF(Table2[[#This Row],[!Type]]=L$1, L$1,"rg:None")</f>
        <v>rg:None</v>
      </c>
      <c r="M103" s="4" t="str">
        <f>IF(Table2[[#This Row],[!Type]]=M$1, M$1,"rg:None")</f>
        <v>rg:None</v>
      </c>
      <c r="N103" s="4" t="str">
        <f>IF(Table2[[#This Row],[!Type]]=N$1, N$1,"rg:None")</f>
        <v>integer</v>
      </c>
      <c r="O103" s="4" t="str">
        <f>IF(Table2[[#This Row],[!Type]]=O$1, O$1,"rg:None")</f>
        <v>rg:None</v>
      </c>
      <c r="P103" s="4" t="str">
        <f>IF(Table2[[#This Row],[!Type]]=P$1, P$1,"rg:None")</f>
        <v>rg:None</v>
      </c>
      <c r="Q103" s="4" t="str">
        <f>IF(Table2[[#This Row],[!Type]]=Q$1, Q$1,"rg:None")</f>
        <v>rg:None</v>
      </c>
      <c r="R103" s="4" t="str">
        <f>IF(Table2[[#This Row],[!Type]]=R$1, R$1,"rg:None")</f>
        <v>rg:None</v>
      </c>
      <c r="S103" s="4" t="str">
        <f>IF(Table2[[#This Row],[!Type]]=S$1, S$1,"rg:None")</f>
        <v>rg:None</v>
      </c>
      <c r="T103" s="4" t="str">
        <f>IF(LEN(Table2[[#This Row],[!Length]]) &gt; 0, Table2[[#This Row],[!Length]], "rg:None")</f>
        <v>rg:None</v>
      </c>
      <c r="U103" s="4" t="str">
        <f>IF(LEN(Table2[[#This Row],[!Name]]) &gt; 0, Table2[[#This Row],[!Name]], "rg:None")</f>
        <v>blockNumber</v>
      </c>
      <c r="V103" s="4" t="str">
        <f>IF(LEN(Table2[[#This Row],[!Description]]) &gt; 0, Table2[[#This Row],[!Description]], "rg:None")</f>
        <v>The current block number for the piece of equipment as calculated by the Seniority Algorthm for this equipment type in the local area. As currently defined y the business  - 1, 2 or Open</v>
      </c>
      <c r="W103" s="4" t="str">
        <f>IF(LEN(Table2[[#This Row],[!FK]])&gt;0,Table2[[#This Row],[!FK]],"rg:None")</f>
        <v>rg:None</v>
      </c>
      <c r="X103" s="14" t="str">
        <f>IF(LEN(concatif2(A:A,Table2[[#This Row],[!Table]],G:G,"Y",D:D,",")) &gt; 0,"rg:[ { 'req' : '"&amp;concatif2(A:A,Table2[[#This Row],[!Table]],G:G,"Y",D:D,"' }, { 'req': '")&amp;"'} ]","rg:[]")</f>
        <v>rg:[ { 'req' : 'id' }, { 'req': 'localArea' }, { 'req': 'districtEquipmentType' }, { 'req': 'owner' }, { 'req': 'equipmentCode' }, { 'req': 'status' }, { 'req': 'receivedDate' }, { 'req': 'lastVerifiedDate'} ]</v>
      </c>
      <c r="Y103" s="4" t="str">
        <f>IF(LEN(Table2[[#This Row],[!Unique]])&gt;0,IF(Table2[[#This Row],[!Type]] = "id", "rg:None","rg:True"),"rg:None")</f>
        <v>rg:None</v>
      </c>
    </row>
    <row r="104" spans="1:25" ht="57.6" x14ac:dyDescent="0.35">
      <c r="A104" s="82" t="s">
        <v>176</v>
      </c>
      <c r="B104" s="95" t="s">
        <v>105</v>
      </c>
      <c r="D104" s="80" t="s">
        <v>135</v>
      </c>
      <c r="E104" s="96" t="s">
        <v>239</v>
      </c>
      <c r="F104" s="5" t="s">
        <v>5</v>
      </c>
      <c r="G104" s="4"/>
      <c r="H104" s="4"/>
      <c r="I104" s="4" t="str">
        <f t="shared" si="14"/>
        <v>Defs</v>
      </c>
      <c r="J104" s="4" t="str">
        <f>IF(Table2[[#This Row],[!Type]]=J$1, J$1,"rg:None")</f>
        <v>rg:None</v>
      </c>
      <c r="K104" s="4" t="str">
        <f>IF(Table2[[#This Row],[!Type]]=K$1, K$1,"rg:None")</f>
        <v>rg:None</v>
      </c>
      <c r="L104" s="4" t="str">
        <f>IF(Table2[[#This Row],[!Type]]=L$1, L$1,"rg:None")</f>
        <v>rg:None</v>
      </c>
      <c r="M104" s="4" t="str">
        <f>IF(Table2[[#This Row],[!Type]]=M$1, M$1,"rg:None")</f>
        <v>rg:None</v>
      </c>
      <c r="N104" s="4" t="str">
        <f>IF(Table2[[#This Row],[!Type]]=N$1, N$1,"rg:None")</f>
        <v>rg:None</v>
      </c>
      <c r="O104" s="4" t="str">
        <f>IF(Table2[[#This Row],[!Type]]=O$1, O$1,"rg:None")</f>
        <v>float</v>
      </c>
      <c r="P104" s="4" t="str">
        <f>IF(Table2[[#This Row],[!Type]]=P$1, P$1,"rg:None")</f>
        <v>rg:None</v>
      </c>
      <c r="Q104" s="4" t="str">
        <f>IF(Table2[[#This Row],[!Type]]=Q$1, Q$1,"rg:None")</f>
        <v>rg:None</v>
      </c>
      <c r="R104" s="4" t="str">
        <f>IF(Table2[[#This Row],[!Type]]=R$1, R$1,"rg:None")</f>
        <v>rg:None</v>
      </c>
      <c r="S104" s="4" t="str">
        <f>IF(Table2[[#This Row],[!Type]]=S$1, S$1,"rg:None")</f>
        <v>rg:None</v>
      </c>
      <c r="T104" s="4" t="str">
        <f>IF(LEN(Table2[[#This Row],[!Length]]) &gt; 0, Table2[[#This Row],[!Length]], "rg:None")</f>
        <v>rg:None</v>
      </c>
      <c r="U104" s="4" t="str">
        <f>IF(LEN(Table2[[#This Row],[!Name]]) &gt; 0, Table2[[#This Row],[!Name]], "rg:None")</f>
        <v>seniority</v>
      </c>
      <c r="V104" s="4" t="str">
        <f>IF(LEN(Table2[[#This Row],[!Description]]) &gt; 0, Table2[[#This Row],[!Description]], "rg:None")</f>
        <v>The current seniority calculation result for this piece of equipment. The calculation is based on the "numYears" of service + average hours of service over the last three fiscal years - as stored in the related fields (serviceHoursLastYear, serviceHoursTwoYearsAgo serviceHoursThreeYearsAgo).</v>
      </c>
      <c r="W104" s="4" t="str">
        <f>IF(LEN(Table2[[#This Row],[!FK]])&gt;0,Table2[[#This Row],[!FK]],"rg:None")</f>
        <v>rg:None</v>
      </c>
      <c r="X104" s="14" t="str">
        <f>IF(LEN(concatif2(A:A,Table2[[#This Row],[!Table]],G:G,"Y",D:D,",")) &gt; 0,"rg:[ { 'req' : '"&amp;concatif2(A:A,Table2[[#This Row],[!Table]],G:G,"Y",D:D,"' }, { 'req': '")&amp;"'} ]","rg:[]")</f>
        <v>rg:[ { 'req' : 'id' }, { 'req': 'localArea' }, { 'req': 'districtEquipmentType' }, { 'req': 'owner' }, { 'req': 'equipmentCode' }, { 'req': 'status' }, { 'req': 'receivedDate' }, { 'req': 'lastVerifiedDate'} ]</v>
      </c>
      <c r="Y104" s="4" t="str">
        <f>IF(LEN(Table2[[#This Row],[!Unique]])&gt;0,IF(Table2[[#This Row],[!Type]] = "id", "rg:None","rg:True"),"rg:None")</f>
        <v>rg:None</v>
      </c>
    </row>
    <row r="105" spans="1:25" ht="43.2" x14ac:dyDescent="0.35">
      <c r="A105" s="73" t="s">
        <v>176</v>
      </c>
      <c r="B105" s="73" t="s">
        <v>13</v>
      </c>
      <c r="C105" s="72"/>
      <c r="D105" s="73" t="s">
        <v>440</v>
      </c>
      <c r="E105" s="74" t="s">
        <v>441</v>
      </c>
      <c r="F105" s="12"/>
      <c r="G105" s="18"/>
      <c r="H105" s="18"/>
      <c r="I105" s="4" t="str">
        <f>IF(LEN(A105) &gt; 0,"Defs","-")</f>
        <v>Defs</v>
      </c>
      <c r="J105" s="4" t="str">
        <f>IF(Table2[[#This Row],[!Type]]=J$1, J$1,"rg:None")</f>
        <v>rg:None</v>
      </c>
      <c r="K105" s="4" t="str">
        <f>IF(Table2[[#This Row],[!Type]]=K$1, K$1,"rg:None")</f>
        <v>rg:None</v>
      </c>
      <c r="L105" s="4" t="str">
        <f>IF(Table2[[#This Row],[!Type]]=L$1, L$1,"rg:None")</f>
        <v>rg:None</v>
      </c>
      <c r="M105" s="4" t="str">
        <f>IF(Table2[[#This Row],[!Type]]=M$1, M$1,"rg:None")</f>
        <v>rg:None</v>
      </c>
      <c r="N105" s="4" t="str">
        <f>IF(Table2[[#This Row],[!Type]]=N$1, N$1,"rg:None")</f>
        <v>integer</v>
      </c>
      <c r="O105" s="4" t="str">
        <f>IF(Table2[[#This Row],[!Type]]=O$1, O$1,"rg:None")</f>
        <v>rg:None</v>
      </c>
      <c r="P105" s="4" t="str">
        <f>IF(Table2[[#This Row],[!Type]]=P$1, P$1,"rg:None")</f>
        <v>rg:None</v>
      </c>
      <c r="Q105" s="4" t="str">
        <f>IF(Table2[[#This Row],[!Type]]=Q$1, Q$1,"rg:None")</f>
        <v>rg:None</v>
      </c>
      <c r="R105" s="4" t="str">
        <f>IF(Table2[[#This Row],[!Type]]=R$1, R$1,"rg:None")</f>
        <v>rg:None</v>
      </c>
      <c r="S105" s="4" t="str">
        <f>IF(Table2[[#This Row],[!Type]]=S$1, S$1,"rg:None")</f>
        <v>rg:None</v>
      </c>
      <c r="T105" s="4" t="str">
        <f>IF(LEN(Table2[[#This Row],[!Length]]) &gt; 0, Table2[[#This Row],[!Length]], "rg:None")</f>
        <v>rg:None</v>
      </c>
      <c r="U105" s="4" t="str">
        <f>IF(LEN(Table2[[#This Row],[!Name]]) &gt; 0, Table2[[#This Row],[!Name]], "rg:None")</f>
        <v>numberInBlock</v>
      </c>
      <c r="V105" s="4" t="str">
        <f>IF(LEN(Table2[[#This Row],[!Description]]) &gt; 0, Table2[[#This Row],[!Description]], "rg:None")</f>
        <v>The number in the block of the piece of equipment so that it can be displayed to the user where it will be useful. This saves the user from having to figure out in their head the order when the list is displayed in Rotation Order.</v>
      </c>
      <c r="W105" s="4" t="str">
        <f>IF(LEN(Table2[[#This Row],[!FK]])&gt;0,Table2[[#This Row],[!FK]],"rg:None")</f>
        <v>rg:None</v>
      </c>
      <c r="X105" s="14" t="str">
        <f>IF(LEN(concatif2(A:A,Table2[[#This Row],[!Table]],G:G,"Y",D:D,",")) &gt; 0,"rg:[ { 'req' : '"&amp;concatif2(A:A,Table2[[#This Row],[!Table]],G:G,"Y",D:D,"' }, { 'req': '")&amp;"'} ]","rg:[]")</f>
        <v>rg:[ { 'req' : 'id' }, { 'req': 'localArea' }, { 'req': 'districtEquipmentType' }, { 'req': 'owner' }, { 'req': 'equipmentCode' }, { 'req': 'status' }, { 'req': 'receivedDate' }, { 'req': 'lastVerifiedDate'} ]</v>
      </c>
      <c r="Y105" s="4" t="str">
        <f>IF(LEN(Table2[[#This Row],[!Unique]])&gt;0,IF(Table2[[#This Row],[!Type]] = "id", "rg:None","rg:True"),"rg:None")</f>
        <v>rg:None</v>
      </c>
    </row>
    <row r="106" spans="1:25" ht="43.2" x14ac:dyDescent="0.35">
      <c r="A106" s="69" t="s">
        <v>176</v>
      </c>
      <c r="B106" s="69" t="s">
        <v>9</v>
      </c>
      <c r="C106" s="72"/>
      <c r="D106" s="69" t="s">
        <v>429</v>
      </c>
      <c r="E106" s="70" t="s">
        <v>430</v>
      </c>
      <c r="F106" s="12"/>
      <c r="G106" s="18"/>
      <c r="H106" s="18"/>
      <c r="I106" s="4" t="str">
        <f t="shared" si="14"/>
        <v>Defs</v>
      </c>
      <c r="J106" s="4" t="str">
        <f>IF(Table2[[#This Row],[!Type]]=J$1, J$1,"rg:None")</f>
        <v>boolean</v>
      </c>
      <c r="K106" s="4" t="str">
        <f>IF(Table2[[#This Row],[!Type]]=K$1, K$1,"rg:None")</f>
        <v>rg:None</v>
      </c>
      <c r="L106" s="4" t="str">
        <f>IF(Table2[[#This Row],[!Type]]=L$1, L$1,"rg:None")</f>
        <v>rg:None</v>
      </c>
      <c r="M106" s="4" t="str">
        <f>IF(Table2[[#This Row],[!Type]]=M$1, M$1,"rg:None")</f>
        <v>rg:None</v>
      </c>
      <c r="N106" s="4" t="str">
        <f>IF(Table2[[#This Row],[!Type]]=N$1, N$1,"rg:None")</f>
        <v>rg:None</v>
      </c>
      <c r="O106" s="4" t="str">
        <f>IF(Table2[[#This Row],[!Type]]=O$1, O$1,"rg:None")</f>
        <v>rg:None</v>
      </c>
      <c r="P106" s="4" t="str">
        <f>IF(Table2[[#This Row],[!Type]]=P$1, P$1,"rg:None")</f>
        <v>rg:None</v>
      </c>
      <c r="Q106" s="4" t="str">
        <f>IF(Table2[[#This Row],[!Type]]=Q$1, Q$1,"rg:None")</f>
        <v>rg:None</v>
      </c>
      <c r="R106" s="4" t="str">
        <f>IF(Table2[[#This Row],[!Type]]=R$1, R$1,"rg:None")</f>
        <v>rg:None</v>
      </c>
      <c r="S106" s="4" t="str">
        <f>IF(Table2[[#This Row],[!Type]]=S$1, S$1,"rg:None")</f>
        <v>rg:None</v>
      </c>
      <c r="T106" s="4" t="str">
        <f>IF(LEN(Table2[[#This Row],[!Length]]) &gt; 0, Table2[[#This Row],[!Length]], "rg:None")</f>
        <v>rg:None</v>
      </c>
      <c r="U106" s="4" t="str">
        <f>IF(LEN(Table2[[#This Row],[!Name]]) &gt; 0, Table2[[#This Row],[!Name]], "rg:None")</f>
        <v>isSeniorityOverridden</v>
      </c>
      <c r="V106" s="4" t="str">
        <f>IF(LEN(Table2[[#This Row],[!Description]]) &gt; 0, Table2[[#This Row],[!Description]], "rg:None")</f>
        <v>True if the Seniority for the piece of equipment was manually overridden. Set if a user has gone in and explicitly updated the seniority base information. Indicates that underlying numbers were manually overridden.</v>
      </c>
      <c r="W106" s="4" t="str">
        <f>IF(LEN(Table2[[#This Row],[!FK]])&gt;0,Table2[[#This Row],[!FK]],"rg:None")</f>
        <v>rg:None</v>
      </c>
      <c r="X106" s="14" t="str">
        <f>IF(LEN(concatif2(A:A,Table2[[#This Row],[!Table]],G:G,"Y",D:D,",")) &gt; 0,"rg:[ { 'req' : '"&amp;concatif2(A:A,Table2[[#This Row],[!Table]],G:G,"Y",D:D,"' }, { 'req': '")&amp;"'} ]","rg:[]")</f>
        <v>rg:[ { 'req' : 'id' }, { 'req': 'localArea' }, { 'req': 'districtEquipmentType' }, { 'req': 'owner' }, { 'req': 'equipmentCode' }, { 'req': 'status' }, { 'req': 'receivedDate' }, { 'req': 'lastVerifiedDate'} ]</v>
      </c>
      <c r="Y106" s="4" t="str">
        <f>IF(LEN(Table2[[#This Row],[!Unique]])&gt;0,IF(Table2[[#This Row],[!Type]] = "id", "rg:None","rg:True"),"rg:None")</f>
        <v>rg:None</v>
      </c>
    </row>
    <row r="107" spans="1:25" ht="28.8" x14ac:dyDescent="0.35">
      <c r="A107" s="69" t="s">
        <v>176</v>
      </c>
      <c r="B107" s="69" t="s">
        <v>7</v>
      </c>
      <c r="C107" s="72">
        <v>2048</v>
      </c>
      <c r="D107" s="69" t="s">
        <v>428</v>
      </c>
      <c r="E107" s="70" t="s">
        <v>431</v>
      </c>
      <c r="F107" s="12"/>
      <c r="G107" s="18"/>
      <c r="H107" s="18"/>
      <c r="I107" s="4" t="str">
        <f t="shared" si="14"/>
        <v>Defs</v>
      </c>
      <c r="J107" s="4" t="str">
        <f>IF(Table2[[#This Row],[!Type]]=J$1, J$1,"rg:None")</f>
        <v>rg:None</v>
      </c>
      <c r="K107" s="4" t="str">
        <f>IF(Table2[[#This Row],[!Type]]=K$1, K$1,"rg:None")</f>
        <v>rg:None</v>
      </c>
      <c r="L107" s="4" t="str">
        <f>IF(Table2[[#This Row],[!Type]]=L$1, L$1,"rg:None")</f>
        <v>rg:None</v>
      </c>
      <c r="M107" s="4" t="str">
        <f>IF(Table2[[#This Row],[!Type]]=M$1, M$1,"rg:None")</f>
        <v>rg:None</v>
      </c>
      <c r="N107" s="4" t="str">
        <f>IF(Table2[[#This Row],[!Type]]=N$1, N$1,"rg:None")</f>
        <v>rg:None</v>
      </c>
      <c r="O107" s="4" t="str">
        <f>IF(Table2[[#This Row],[!Type]]=O$1, O$1,"rg:None")</f>
        <v>rg:None</v>
      </c>
      <c r="P107" s="4" t="str">
        <f>IF(Table2[[#This Row],[!Type]]=P$1, P$1,"rg:None")</f>
        <v>rg:None</v>
      </c>
      <c r="Q107" s="4" t="str">
        <f>IF(Table2[[#This Row],[!Type]]=Q$1, Q$1,"rg:None")</f>
        <v>rg:None</v>
      </c>
      <c r="R107" s="4" t="str">
        <f>IF(Table2[[#This Row],[!Type]]=R$1, R$1,"rg:None")</f>
        <v>string</v>
      </c>
      <c r="S107" s="4" t="str">
        <f>IF(Table2[[#This Row],[!Type]]=S$1, S$1,"rg:None")</f>
        <v>rg:None</v>
      </c>
      <c r="T107" s="4">
        <f>IF(LEN(Table2[[#This Row],[!Length]]) &gt; 0, Table2[[#This Row],[!Length]], "rg:None")</f>
        <v>2048</v>
      </c>
      <c r="U107" s="4" t="str">
        <f>IF(LEN(Table2[[#This Row],[!Name]]) &gt; 0, Table2[[#This Row],[!Name]], "rg:None")</f>
        <v>seniorityOverrideReason</v>
      </c>
      <c r="V107" s="4" t="str">
        <f>IF(LEN(Table2[[#This Row],[!Description]]) &gt; 0, Table2[[#This Row],[!Description]], "rg:None")</f>
        <v>A text reason for why the piece of equipments underlying data was overridden to change their seniority number.</v>
      </c>
      <c r="W107" s="4" t="str">
        <f>IF(LEN(Table2[[#This Row],[!FK]])&gt;0,Table2[[#This Row],[!FK]],"rg:None")</f>
        <v>rg:None</v>
      </c>
      <c r="X107" s="14" t="str">
        <f>IF(LEN(concatif2(A:A,Table2[[#This Row],[!Table]],G:G,"Y",D:D,",")) &gt; 0,"rg:[ { 'req' : '"&amp;concatif2(A:A,Table2[[#This Row],[!Table]],G:G,"Y",D:D,"' }, { 'req': '")&amp;"'} ]","rg:[]")</f>
        <v>rg:[ { 'req' : 'id' }, { 'req': 'localArea' }, { 'req': 'districtEquipmentType' }, { 'req': 'owner' }, { 'req': 'equipmentCode' }, { 'req': 'status' }, { 'req': 'receivedDate' }, { 'req': 'lastVerifiedDate'} ]</v>
      </c>
      <c r="Y107" s="4" t="str">
        <f>IF(LEN(Table2[[#This Row],[!Unique]])&gt;0,IF(Table2[[#This Row],[!Type]] = "id", "rg:None","rg:True"),"rg:None")</f>
        <v>rg:None</v>
      </c>
    </row>
    <row r="108" spans="1:25" ht="28.8" x14ac:dyDescent="0.35">
      <c r="A108" s="61" t="s">
        <v>176</v>
      </c>
      <c r="B108" s="61" t="s">
        <v>12</v>
      </c>
      <c r="C108" s="72"/>
      <c r="D108" s="61" t="s">
        <v>388</v>
      </c>
      <c r="E108" s="60" t="s">
        <v>389</v>
      </c>
      <c r="F108" s="12"/>
      <c r="G108" s="18"/>
      <c r="H108" s="18"/>
      <c r="I108" s="4" t="str">
        <f t="shared" si="14"/>
        <v>Defs</v>
      </c>
      <c r="J108" s="4" t="str">
        <f>IF(Table2[[#This Row],[!Type]]=J$1, J$1,"rg:None")</f>
        <v>rg:None</v>
      </c>
      <c r="K108" s="4" t="str">
        <f>IF(Table2[[#This Row],[!Type]]=K$1, K$1,"rg:None")</f>
        <v>rg:None</v>
      </c>
      <c r="L108" s="4" t="str">
        <f>IF(Table2[[#This Row],[!Type]]=L$1, L$1,"rg:None")</f>
        <v>datetime</v>
      </c>
      <c r="M108" s="4" t="str">
        <f>IF(Table2[[#This Row],[!Type]]=M$1, M$1,"rg:None")</f>
        <v>rg:None</v>
      </c>
      <c r="N108" s="4" t="str">
        <f>IF(Table2[[#This Row],[!Type]]=N$1, N$1,"rg:None")</f>
        <v>rg:None</v>
      </c>
      <c r="O108" s="4" t="str">
        <f>IF(Table2[[#This Row],[!Type]]=O$1, O$1,"rg:None")</f>
        <v>rg:None</v>
      </c>
      <c r="P108" s="4" t="str">
        <f>IF(Table2[[#This Row],[!Type]]=P$1, P$1,"rg:None")</f>
        <v>rg:None</v>
      </c>
      <c r="Q108" s="4" t="str">
        <f>IF(Table2[[#This Row],[!Type]]=Q$1, Q$1,"rg:None")</f>
        <v>rg:None</v>
      </c>
      <c r="R108" s="4" t="str">
        <f>IF(Table2[[#This Row],[!Type]]=R$1, R$1,"rg:None")</f>
        <v>rg:None</v>
      </c>
      <c r="S108" s="4" t="str">
        <f>IF(Table2[[#This Row],[!Type]]=S$1, S$1,"rg:None")</f>
        <v>rg:None</v>
      </c>
      <c r="T108" s="4" t="str">
        <f>IF(LEN(Table2[[#This Row],[!Length]]) &gt; 0, Table2[[#This Row],[!Length]], "rg:None")</f>
        <v>rg:None</v>
      </c>
      <c r="U108" s="4" t="str">
        <f>IF(LEN(Table2[[#This Row],[!Name]]) &gt; 0, Table2[[#This Row],[!Name]], "rg:None")</f>
        <v>seniorityEffectiveDate</v>
      </c>
      <c r="V108" s="4" t="str">
        <f>IF(LEN(Table2[[#This Row],[!Description]]) &gt; 0, Table2[[#This Row],[!Description]], "rg:None")</f>
        <v>The time the seniority data in the record went into effect. Used to populate the SeniorityAudit table when the seniority data is next updated.</v>
      </c>
      <c r="W108" s="4" t="str">
        <f>IF(LEN(Table2[[#This Row],[!FK]])&gt;0,Table2[[#This Row],[!FK]],"rg:None")</f>
        <v>rg:None</v>
      </c>
      <c r="X108" s="14" t="str">
        <f>IF(LEN(concatif2(A:A,Table2[[#This Row],[!Table]],G:G,"Y",D:D,",")) &gt; 0,"rg:[ { 'req' : '"&amp;concatif2(A:A,Table2[[#This Row],[!Table]],G:G,"Y",D:D,"' }, { 'req': '")&amp;"'} ]","rg:[]")</f>
        <v>rg:[ { 'req' : 'id' }, { 'req': 'localArea' }, { 'req': 'districtEquipmentType' }, { 'req': 'owner' }, { 'req': 'equipmentCode' }, { 'req': 'status' }, { 'req': 'receivedDate' }, { 'req': 'lastVerifiedDate'} ]</v>
      </c>
      <c r="Y108" s="4" t="str">
        <f>IF(LEN(Table2[[#This Row],[!Unique]])&gt;0,IF(Table2[[#This Row],[!Type]] = "id", "rg:None","rg:True"),"rg:None")</f>
        <v>rg:None</v>
      </c>
    </row>
    <row r="109" spans="1:25" ht="28.8" x14ac:dyDescent="0.35">
      <c r="A109" s="82" t="s">
        <v>176</v>
      </c>
      <c r="B109" s="5" t="s">
        <v>105</v>
      </c>
      <c r="D109" s="80" t="s">
        <v>386</v>
      </c>
      <c r="E109" s="93" t="s">
        <v>235</v>
      </c>
      <c r="F109" s="5" t="s">
        <v>5</v>
      </c>
      <c r="G109" s="4"/>
      <c r="H109" s="4"/>
      <c r="I109" s="4" t="str">
        <f t="shared" si="14"/>
        <v>Defs</v>
      </c>
      <c r="J109" s="4" t="str">
        <f>IF(Table2[[#This Row],[!Type]]=J$1, J$1,"rg:None")</f>
        <v>rg:None</v>
      </c>
      <c r="K109" s="4" t="str">
        <f>IF(Table2[[#This Row],[!Type]]=K$1, K$1,"rg:None")</f>
        <v>rg:None</v>
      </c>
      <c r="L109" s="4" t="str">
        <f>IF(Table2[[#This Row],[!Type]]=L$1, L$1,"rg:None")</f>
        <v>rg:None</v>
      </c>
      <c r="M109" s="4" t="str">
        <f>IF(Table2[[#This Row],[!Type]]=M$1, M$1,"rg:None")</f>
        <v>rg:None</v>
      </c>
      <c r="N109" s="4" t="str">
        <f>IF(Table2[[#This Row],[!Type]]=N$1, N$1,"rg:None")</f>
        <v>rg:None</v>
      </c>
      <c r="O109" s="4" t="str">
        <f>IF(Table2[[#This Row],[!Type]]=O$1, O$1,"rg:None")</f>
        <v>float</v>
      </c>
      <c r="P109" s="4" t="str">
        <f>IF(Table2[[#This Row],[!Type]]=P$1, P$1,"rg:None")</f>
        <v>rg:None</v>
      </c>
      <c r="Q109" s="4" t="str">
        <f>IF(Table2[[#This Row],[!Type]]=Q$1, Q$1,"rg:None")</f>
        <v>rg:None</v>
      </c>
      <c r="R109" s="4" t="str">
        <f>IF(Table2[[#This Row],[!Type]]=R$1, R$1,"rg:None")</f>
        <v>rg:None</v>
      </c>
      <c r="S109" s="4" t="str">
        <f>IF(Table2[[#This Row],[!Type]]=S$1, S$1,"rg:None")</f>
        <v>rg:None</v>
      </c>
      <c r="T109" s="4" t="str">
        <f>IF(LEN(Table2[[#This Row],[!Length]]) &gt; 0, Table2[[#This Row],[!Length]], "rg:None")</f>
        <v>rg:None</v>
      </c>
      <c r="U109" s="4" t="str">
        <f>IF(LEN(Table2[[#This Row],[!Name]]) &gt; 0, Table2[[#This Row],[!Name]], "rg:None")</f>
        <v>yearsOfService</v>
      </c>
      <c r="V109" s="4" t="str">
        <f>IF(LEN(Table2[[#This Row],[!Description]]) &gt; 0, Table2[[#This Row],[!Description]], "rg:None")</f>
        <v>The number of years of active service of this piece of equipment at the time seniority is calculated - April 1 of the current FY.</v>
      </c>
      <c r="W109" s="4" t="str">
        <f>IF(LEN(Table2[[#This Row],[!FK]])&gt;0,Table2[[#This Row],[!FK]],"rg:None")</f>
        <v>rg:None</v>
      </c>
      <c r="X109" s="14" t="str">
        <f>IF(LEN(concatif2(A:A,Table2[[#This Row],[!Table]],G:G,"Y",D:D,",")) &gt; 0,"rg:[ { 'req' : '"&amp;concatif2(A:A,Table2[[#This Row],[!Table]],G:G,"Y",D:D,"' }, { 'req': '")&amp;"'} ]","rg:[]")</f>
        <v>rg:[ { 'req' : 'id' }, { 'req': 'localArea' }, { 'req': 'districtEquipmentType' }, { 'req': 'owner' }, { 'req': 'equipmentCode' }, { 'req': 'status' }, { 'req': 'receivedDate' }, { 'req': 'lastVerifiedDate'} ]</v>
      </c>
      <c r="Y109" s="4" t="str">
        <f>IF(LEN(Table2[[#This Row],[!Unique]])&gt;0,IF(Table2[[#This Row],[!Type]] = "id", "rg:None","rg:True"),"rg:None")</f>
        <v>rg:None</v>
      </c>
    </row>
    <row r="110" spans="1:25" x14ac:dyDescent="0.35">
      <c r="A110" s="82" t="s">
        <v>176</v>
      </c>
      <c r="B110" s="97" t="s">
        <v>105</v>
      </c>
      <c r="D110" s="95" t="s">
        <v>240</v>
      </c>
      <c r="E110" s="96" t="s">
        <v>241</v>
      </c>
      <c r="F110" s="5" t="s">
        <v>5</v>
      </c>
      <c r="G110" s="4"/>
      <c r="H110" s="4"/>
      <c r="I110" s="4" t="str">
        <f t="shared" si="13"/>
        <v>Defs</v>
      </c>
      <c r="J110" s="4" t="str">
        <f>IF(Table2[[#This Row],[!Type]]=J$1, J$1,"rg:None")</f>
        <v>rg:None</v>
      </c>
      <c r="K110" s="4" t="str">
        <f>IF(Table2[[#This Row],[!Type]]=K$1, K$1,"rg:None")</f>
        <v>rg:None</v>
      </c>
      <c r="L110" s="4" t="str">
        <f>IF(Table2[[#This Row],[!Type]]=L$1, L$1,"rg:None")</f>
        <v>rg:None</v>
      </c>
      <c r="M110" s="4" t="str">
        <f>IF(Table2[[#This Row],[!Type]]=M$1, M$1,"rg:None")</f>
        <v>rg:None</v>
      </c>
      <c r="N110" s="4" t="str">
        <f>IF(Table2[[#This Row],[!Type]]=N$1, N$1,"rg:None")</f>
        <v>rg:None</v>
      </c>
      <c r="O110" s="4" t="str">
        <f>IF(Table2[[#This Row],[!Type]]=O$1, O$1,"rg:None")</f>
        <v>float</v>
      </c>
      <c r="P110" s="4" t="str">
        <f>IF(Table2[[#This Row],[!Type]]=P$1, P$1,"rg:None")</f>
        <v>rg:None</v>
      </c>
      <c r="Q110" s="4" t="str">
        <f>IF(Table2[[#This Row],[!Type]]=Q$1, Q$1,"rg:None")</f>
        <v>rg:None</v>
      </c>
      <c r="R110" s="4" t="str">
        <f>IF(Table2[[#This Row],[!Type]]=R$1, R$1,"rg:None")</f>
        <v>rg:None</v>
      </c>
      <c r="S110" s="4" t="str">
        <f>IF(Table2[[#This Row],[!Type]]=S$1, S$1,"rg:None")</f>
        <v>rg:None</v>
      </c>
      <c r="T110" s="4" t="str">
        <f>IF(LEN(Table2[[#This Row],[!Length]]) &gt; 0, Table2[[#This Row],[!Length]], "rg:None")</f>
        <v>rg:None</v>
      </c>
      <c r="U110" s="4" t="str">
        <f>IF(LEN(Table2[[#This Row],[!Name]]) &gt; 0, Table2[[#This Row],[!Name]], "rg:None")</f>
        <v>serviceHoursLastYear</v>
      </c>
      <c r="V110" s="4" t="str">
        <f>IF(LEN(Table2[[#This Row],[!Description]]) &gt; 0, Table2[[#This Row],[!Description]], "rg:None")</f>
        <v>Number of hours of service by this piece of equipment in the previous fiscal year</v>
      </c>
      <c r="W110" s="4" t="str">
        <f>IF(LEN(Table2[[#This Row],[!FK]])&gt;0,Table2[[#This Row],[!FK]],"rg:None")</f>
        <v>rg:None</v>
      </c>
      <c r="X110" s="14" t="str">
        <f>IF(LEN(concatif2(A:A,Table2[[#This Row],[!Table]],G:G,"Y",D:D,",")) &gt; 0,"rg:[ { 'req' : '"&amp;concatif2(A:A,Table2[[#This Row],[!Table]],G:G,"Y",D:D,"' }, { 'req': '")&amp;"'} ]","rg:[]")</f>
        <v>rg:[ { 'req' : 'id' }, { 'req': 'localArea' }, { 'req': 'districtEquipmentType' }, { 'req': 'owner' }, { 'req': 'equipmentCode' }, { 'req': 'status' }, { 'req': 'receivedDate' }, { 'req': 'lastVerifiedDate'} ]</v>
      </c>
      <c r="Y110" s="4" t="str">
        <f>IF(LEN(Table2[[#This Row],[!Unique]])&gt;0,IF(Table2[[#This Row],[!Type]] = "id", "rg:None","rg:True"),"rg:None")</f>
        <v>rg:None</v>
      </c>
    </row>
    <row r="111" spans="1:25" ht="28.8" x14ac:dyDescent="0.35">
      <c r="A111" s="82" t="s">
        <v>176</v>
      </c>
      <c r="B111" s="5" t="s">
        <v>105</v>
      </c>
      <c r="D111" s="95" t="s">
        <v>242</v>
      </c>
      <c r="E111" s="96" t="s">
        <v>243</v>
      </c>
      <c r="F111" s="5" t="s">
        <v>5</v>
      </c>
      <c r="G111" s="4"/>
      <c r="H111" s="4"/>
      <c r="I111" s="4" t="str">
        <f t="shared" si="13"/>
        <v>Defs</v>
      </c>
      <c r="J111" s="4" t="str">
        <f>IF(Table2[[#This Row],[!Type]]=J$1, J$1,"rg:None")</f>
        <v>rg:None</v>
      </c>
      <c r="K111" s="4" t="str">
        <f>IF(Table2[[#This Row],[!Type]]=K$1, K$1,"rg:None")</f>
        <v>rg:None</v>
      </c>
      <c r="L111" s="4" t="str">
        <f>IF(Table2[[#This Row],[!Type]]=L$1, L$1,"rg:None")</f>
        <v>rg:None</v>
      </c>
      <c r="M111" s="4" t="str">
        <f>IF(Table2[[#This Row],[!Type]]=M$1, M$1,"rg:None")</f>
        <v>rg:None</v>
      </c>
      <c r="N111" s="4" t="str">
        <f>IF(Table2[[#This Row],[!Type]]=N$1, N$1,"rg:None")</f>
        <v>rg:None</v>
      </c>
      <c r="O111" s="4" t="str">
        <f>IF(Table2[[#This Row],[!Type]]=O$1, O$1,"rg:None")</f>
        <v>float</v>
      </c>
      <c r="P111" s="4" t="str">
        <f>IF(Table2[[#This Row],[!Type]]=P$1, P$1,"rg:None")</f>
        <v>rg:None</v>
      </c>
      <c r="Q111" s="4" t="str">
        <f>IF(Table2[[#This Row],[!Type]]=Q$1, Q$1,"rg:None")</f>
        <v>rg:None</v>
      </c>
      <c r="R111" s="4" t="str">
        <f>IF(Table2[[#This Row],[!Type]]=R$1, R$1,"rg:None")</f>
        <v>rg:None</v>
      </c>
      <c r="S111" s="4" t="str">
        <f>IF(Table2[[#This Row],[!Type]]=S$1, S$1,"rg:None")</f>
        <v>rg:None</v>
      </c>
      <c r="T111" s="4" t="str">
        <f>IF(LEN(Table2[[#This Row],[!Length]]) &gt; 0, Table2[[#This Row],[!Length]], "rg:None")</f>
        <v>rg:None</v>
      </c>
      <c r="U111" s="4" t="str">
        <f>IF(LEN(Table2[[#This Row],[!Name]]) &gt; 0, Table2[[#This Row],[!Name]], "rg:None")</f>
        <v>serviceHoursTwoYearsAgo</v>
      </c>
      <c r="V111" s="4" t="str">
        <f>IF(LEN(Table2[[#This Row],[!Description]]) &gt; 0, Table2[[#This Row],[!Description]], "rg:None")</f>
        <v>Number of hours of service by this piece of equipment in the fiscal year before the last one - e.g. if current year is FY2018 then hours in FY2016</v>
      </c>
      <c r="W111" s="4" t="str">
        <f>IF(LEN(Table2[[#This Row],[!FK]])&gt;0,Table2[[#This Row],[!FK]],"rg:None")</f>
        <v>rg:None</v>
      </c>
      <c r="X111" s="14" t="str">
        <f>IF(LEN(concatif2(A:A,Table2[[#This Row],[!Table]],G:G,"Y",D:D,",")) &gt; 0,"rg:[ { 'req' : '"&amp;concatif2(A:A,Table2[[#This Row],[!Table]],G:G,"Y",D:D,"' }, { 'req': '")&amp;"'} ]","rg:[]")</f>
        <v>rg:[ { 'req' : 'id' }, { 'req': 'localArea' }, { 'req': 'districtEquipmentType' }, { 'req': 'owner' }, { 'req': 'equipmentCode' }, { 'req': 'status' }, { 'req': 'receivedDate' }, { 'req': 'lastVerifiedDate'} ]</v>
      </c>
      <c r="Y111" s="4" t="str">
        <f>IF(LEN(Table2[[#This Row],[!Unique]])&gt;0,IF(Table2[[#This Row],[!Type]] = "id", "rg:None","rg:True"),"rg:None")</f>
        <v>rg:None</v>
      </c>
    </row>
    <row r="112" spans="1:25" ht="28.8" x14ac:dyDescent="0.35">
      <c r="A112" s="82" t="s">
        <v>176</v>
      </c>
      <c r="B112" s="5" t="s">
        <v>105</v>
      </c>
      <c r="D112" s="95" t="s">
        <v>245</v>
      </c>
      <c r="E112" s="96" t="s">
        <v>244</v>
      </c>
      <c r="F112" s="5" t="s">
        <v>5</v>
      </c>
      <c r="G112" s="4"/>
      <c r="H112" s="4"/>
      <c r="I112" s="4" t="str">
        <f t="shared" si="13"/>
        <v>Defs</v>
      </c>
      <c r="J112" s="4" t="str">
        <f>IF(Table2[[#This Row],[!Type]]=J$1, J$1,"rg:None")</f>
        <v>rg:None</v>
      </c>
      <c r="K112" s="4" t="str">
        <f>IF(Table2[[#This Row],[!Type]]=K$1, K$1,"rg:None")</f>
        <v>rg:None</v>
      </c>
      <c r="L112" s="4" t="str">
        <f>IF(Table2[[#This Row],[!Type]]=L$1, L$1,"rg:None")</f>
        <v>rg:None</v>
      </c>
      <c r="M112" s="4" t="str">
        <f>IF(Table2[[#This Row],[!Type]]=M$1, M$1,"rg:None")</f>
        <v>rg:None</v>
      </c>
      <c r="N112" s="4" t="str">
        <f>IF(Table2[[#This Row],[!Type]]=N$1, N$1,"rg:None")</f>
        <v>rg:None</v>
      </c>
      <c r="O112" s="4" t="str">
        <f>IF(Table2[[#This Row],[!Type]]=O$1, O$1,"rg:None")</f>
        <v>float</v>
      </c>
      <c r="P112" s="4" t="str">
        <f>IF(Table2[[#This Row],[!Type]]=P$1, P$1,"rg:None")</f>
        <v>rg:None</v>
      </c>
      <c r="Q112" s="4" t="str">
        <f>IF(Table2[[#This Row],[!Type]]=Q$1, Q$1,"rg:None")</f>
        <v>rg:None</v>
      </c>
      <c r="R112" s="4" t="str">
        <f>IF(Table2[[#This Row],[!Type]]=R$1, R$1,"rg:None")</f>
        <v>rg:None</v>
      </c>
      <c r="S112" s="4" t="str">
        <f>IF(Table2[[#This Row],[!Type]]=S$1, S$1,"rg:None")</f>
        <v>rg:None</v>
      </c>
      <c r="T112" s="4" t="str">
        <f>IF(LEN(Table2[[#This Row],[!Length]]) &gt; 0, Table2[[#This Row],[!Length]], "rg:None")</f>
        <v>rg:None</v>
      </c>
      <c r="U112" s="4" t="str">
        <f>IF(LEN(Table2[[#This Row],[!Name]]) &gt; 0, Table2[[#This Row],[!Name]], "rg:None")</f>
        <v>serviceHoursThreeYearsAgo</v>
      </c>
      <c r="V112" s="4" t="str">
        <f>IF(LEN(Table2[[#This Row],[!Description]]) &gt; 0, Table2[[#This Row],[!Description]], "rg:None")</f>
        <v>Number of hours of service by this piece of equipment in the fiscal year three years ago - e.g. if current year is FY2018 then hours in FY2015</v>
      </c>
      <c r="W112" s="4" t="str">
        <f>IF(LEN(Table2[[#This Row],[!FK]])&gt;0,Table2[[#This Row],[!FK]],"rg:None")</f>
        <v>rg:None</v>
      </c>
      <c r="X112" s="14" t="str">
        <f>IF(LEN(concatif2(A:A,Table2[[#This Row],[!Table]],G:G,"Y",D:D,",")) &gt; 0,"rg:[ { 'req' : '"&amp;concatif2(A:A,Table2[[#This Row],[!Table]],G:G,"Y",D:D,"' }, { 'req': '")&amp;"'} ]","rg:[]")</f>
        <v>rg:[ { 'req' : 'id' }, { 'req': 'localArea' }, { 'req': 'districtEquipmentType' }, { 'req': 'owner' }, { 'req': 'equipmentCode' }, { 'req': 'status' }, { 'req': 'receivedDate' }, { 'req': 'lastVerifiedDate'} ]</v>
      </c>
      <c r="Y112" s="4" t="str">
        <f>IF(LEN(Table2[[#This Row],[!Unique]])&gt;0,IF(Table2[[#This Row],[!Type]] = "id", "rg:None","rg:True"),"rg:None")</f>
        <v>rg:None</v>
      </c>
    </row>
    <row r="113" spans="1:25" x14ac:dyDescent="0.35">
      <c r="A113" s="82" t="s">
        <v>176</v>
      </c>
      <c r="B113" s="5" t="s">
        <v>7</v>
      </c>
      <c r="C113" s="5">
        <v>50</v>
      </c>
      <c r="D113" s="95" t="s">
        <v>246</v>
      </c>
      <c r="E113" s="98" t="s">
        <v>416</v>
      </c>
      <c r="F113" s="5" t="s">
        <v>5</v>
      </c>
      <c r="G113" s="4"/>
      <c r="H113" s="4"/>
      <c r="I113" s="4" t="str">
        <f t="shared" si="13"/>
        <v>Defs</v>
      </c>
      <c r="J113" s="4" t="str">
        <f>IF(Table2[[#This Row],[!Type]]=J$1, J$1,"rg:None")</f>
        <v>rg:None</v>
      </c>
      <c r="K113" s="4" t="str">
        <f>IF(Table2[[#This Row],[!Type]]=K$1, K$1,"rg:None")</f>
        <v>rg:None</v>
      </c>
      <c r="L113" s="4" t="str">
        <f>IF(Table2[[#This Row],[!Type]]=L$1, L$1,"rg:None")</f>
        <v>rg:None</v>
      </c>
      <c r="M113" s="4" t="str">
        <f>IF(Table2[[#This Row],[!Type]]=M$1, M$1,"rg:None")</f>
        <v>rg:None</v>
      </c>
      <c r="N113" s="4" t="str">
        <f>IF(Table2[[#This Row],[!Type]]=N$1, N$1,"rg:None")</f>
        <v>rg:None</v>
      </c>
      <c r="O113" s="4" t="str">
        <f>IF(Table2[[#This Row],[!Type]]=O$1, O$1,"rg:None")</f>
        <v>rg:None</v>
      </c>
      <c r="P113" s="4" t="str">
        <f>IF(Table2[[#This Row],[!Type]]=P$1, P$1,"rg:None")</f>
        <v>rg:None</v>
      </c>
      <c r="Q113" s="4" t="str">
        <f>IF(Table2[[#This Row],[!Type]]=Q$1, Q$1,"rg:None")</f>
        <v>rg:None</v>
      </c>
      <c r="R113" s="4" t="str">
        <f>IF(Table2[[#This Row],[!Type]]=R$1, R$1,"rg:None")</f>
        <v>string</v>
      </c>
      <c r="S113" s="4" t="str">
        <f>IF(Table2[[#This Row],[!Type]]=S$1, S$1,"rg:None")</f>
        <v>rg:None</v>
      </c>
      <c r="T113" s="4">
        <f>IF(LEN(Table2[[#This Row],[!Length]]) &gt; 0, Table2[[#This Row],[!Length]], "rg:None")</f>
        <v>50</v>
      </c>
      <c r="U113" s="4" t="str">
        <f>IF(LEN(Table2[[#This Row],[!Name]]) &gt; 0, Table2[[#This Row],[!Name]], "rg:None")</f>
        <v>archiveCode</v>
      </c>
      <c r="V113" s="4" t="str">
        <f>IF(LEN(Table2[[#This Row],[!Description]]) &gt; 0, Table2[[#This Row],[!Description]], "rg:None")</f>
        <v>TO BE REVIEWED - A reason code indicating why a piece of equipment has been archived.</v>
      </c>
      <c r="W113" s="4" t="str">
        <f>IF(LEN(Table2[[#This Row],[!FK]])&gt;0,Table2[[#This Row],[!FK]],"rg:None")</f>
        <v>rg:None</v>
      </c>
      <c r="X113" s="14" t="str">
        <f>IF(LEN(concatif2(A:A,Table2[[#This Row],[!Table]],G:G,"Y",D:D,",")) &gt; 0,"rg:[ { 'req' : '"&amp;concatif2(A:A,Table2[[#This Row],[!Table]],G:G,"Y",D:D,"' }, { 'req': '")&amp;"'} ]","rg:[]")</f>
        <v>rg:[ { 'req' : 'id' }, { 'req': 'localArea' }, { 'req': 'districtEquipmentType' }, { 'req': 'owner' }, { 'req': 'equipmentCode' }, { 'req': 'status' }, { 'req': 'receivedDate' }, { 'req': 'lastVerifiedDate'} ]</v>
      </c>
      <c r="Y113" s="4" t="str">
        <f>IF(LEN(Table2[[#This Row],[!Unique]])&gt;0,IF(Table2[[#This Row],[!Type]] = "id", "rg:None","rg:True"),"rg:None")</f>
        <v>rg:None</v>
      </c>
    </row>
    <row r="114" spans="1:25" x14ac:dyDescent="0.35">
      <c r="A114" s="82" t="s">
        <v>176</v>
      </c>
      <c r="B114" s="5" t="s">
        <v>7</v>
      </c>
      <c r="C114" s="5">
        <v>2048</v>
      </c>
      <c r="D114" s="5" t="s">
        <v>137</v>
      </c>
      <c r="E114" s="96" t="s">
        <v>247</v>
      </c>
      <c r="F114" s="5" t="s">
        <v>5</v>
      </c>
      <c r="G114" s="4"/>
      <c r="H114" s="4"/>
      <c r="I114" s="4" t="str">
        <f t="shared" si="13"/>
        <v>Defs</v>
      </c>
      <c r="J114" s="4" t="str">
        <f>IF(Table2[[#This Row],[!Type]]=J$1, J$1,"rg:None")</f>
        <v>rg:None</v>
      </c>
      <c r="K114" s="4" t="str">
        <f>IF(Table2[[#This Row],[!Type]]=K$1, K$1,"rg:None")</f>
        <v>rg:None</v>
      </c>
      <c r="L114" s="4" t="str">
        <f>IF(Table2[[#This Row],[!Type]]=L$1, L$1,"rg:None")</f>
        <v>rg:None</v>
      </c>
      <c r="M114" s="4" t="str">
        <f>IF(Table2[[#This Row],[!Type]]=M$1, M$1,"rg:None")</f>
        <v>rg:None</v>
      </c>
      <c r="N114" s="4" t="str">
        <f>IF(Table2[[#This Row],[!Type]]=N$1, N$1,"rg:None")</f>
        <v>rg:None</v>
      </c>
      <c r="O114" s="4" t="str">
        <f>IF(Table2[[#This Row],[!Type]]=O$1, O$1,"rg:None")</f>
        <v>rg:None</v>
      </c>
      <c r="P114" s="4" t="str">
        <f>IF(Table2[[#This Row],[!Type]]=P$1, P$1,"rg:None")</f>
        <v>rg:None</v>
      </c>
      <c r="Q114" s="4" t="str">
        <f>IF(Table2[[#This Row],[!Type]]=Q$1, Q$1,"rg:None")</f>
        <v>rg:None</v>
      </c>
      <c r="R114" s="4" t="str">
        <f>IF(Table2[[#This Row],[!Type]]=R$1, R$1,"rg:None")</f>
        <v>string</v>
      </c>
      <c r="S114" s="4" t="str">
        <f>IF(Table2[[#This Row],[!Type]]=S$1, S$1,"rg:None")</f>
        <v>rg:None</v>
      </c>
      <c r="T114" s="4">
        <f>IF(LEN(Table2[[#This Row],[!Length]]) &gt; 0, Table2[[#This Row],[!Length]], "rg:None")</f>
        <v>2048</v>
      </c>
      <c r="U114" s="4" t="str">
        <f>IF(LEN(Table2[[#This Row],[!Name]]) &gt; 0, Table2[[#This Row],[!Name]], "rg:None")</f>
        <v>archiveReason</v>
      </c>
      <c r="V114" s="4" t="str">
        <f>IF(LEN(Table2[[#This Row],[!Description]]) &gt; 0, Table2[[#This Row],[!Description]], "rg:None")</f>
        <v>An optional comment about why this piece of equipment has been archived.</v>
      </c>
      <c r="W114" s="4" t="str">
        <f>IF(LEN(Table2[[#This Row],[!FK]])&gt;0,Table2[[#This Row],[!FK]],"rg:None")</f>
        <v>rg:None</v>
      </c>
      <c r="X114" s="14" t="str">
        <f>IF(LEN(concatif2(A:A,Table2[[#This Row],[!Table]],G:G,"Y",D:D,",")) &gt; 0,"rg:[ { 'req' : '"&amp;concatif2(A:A,Table2[[#This Row],[!Table]],G:G,"Y",D:D,"' }, { 'req': '")&amp;"'} ]","rg:[]")</f>
        <v>rg:[ { 'req' : 'id' }, { 'req': 'localArea' }, { 'req': 'districtEquipmentType' }, { 'req': 'owner' }, { 'req': 'equipmentCode' }, { 'req': 'status' }, { 'req': 'receivedDate' }, { 'req': 'lastVerifiedDate'} ]</v>
      </c>
      <c r="Y114" s="4" t="str">
        <f>IF(LEN(Table2[[#This Row],[!Unique]])&gt;0,IF(Table2[[#This Row],[!Type]] = "id", "rg:None","rg:True"),"rg:None")</f>
        <v>rg:None</v>
      </c>
    </row>
    <row r="115" spans="1:25" x14ac:dyDescent="0.35">
      <c r="A115" s="82" t="s">
        <v>176</v>
      </c>
      <c r="B115" s="82" t="s">
        <v>12</v>
      </c>
      <c r="D115" s="82" t="s">
        <v>183</v>
      </c>
      <c r="E115" s="96" t="s">
        <v>248</v>
      </c>
      <c r="F115" s="5" t="s">
        <v>5</v>
      </c>
      <c r="G115" s="4"/>
      <c r="H115" s="4"/>
      <c r="I115" s="4" t="str">
        <f t="shared" ref="I115:I132" si="15">IF(LEN(A115) &gt; 0,"Defs","-")</f>
        <v>Defs</v>
      </c>
      <c r="J115" s="4" t="str">
        <f>IF(Table2[[#This Row],[!Type]]=J$1, J$1,"rg:None")</f>
        <v>rg:None</v>
      </c>
      <c r="K115" s="4" t="str">
        <f>IF(Table2[[#This Row],[!Type]]=K$1, K$1,"rg:None")</f>
        <v>rg:None</v>
      </c>
      <c r="L115" s="4" t="str">
        <f>IF(Table2[[#This Row],[!Type]]=L$1, L$1,"rg:None")</f>
        <v>datetime</v>
      </c>
      <c r="M115" s="4" t="str">
        <f>IF(Table2[[#This Row],[!Type]]=M$1, M$1,"rg:None")</f>
        <v>rg:None</v>
      </c>
      <c r="N115" s="4" t="str">
        <f>IF(Table2[[#This Row],[!Type]]=N$1, N$1,"rg:None")</f>
        <v>rg:None</v>
      </c>
      <c r="O115" s="4" t="str">
        <f>IF(Table2[[#This Row],[!Type]]=O$1, O$1,"rg:None")</f>
        <v>rg:None</v>
      </c>
      <c r="P115" s="4" t="str">
        <f>IF(Table2[[#This Row],[!Type]]=P$1, P$1,"rg:None")</f>
        <v>rg:None</v>
      </c>
      <c r="Q115" s="4" t="str">
        <f>IF(Table2[[#This Row],[!Type]]=Q$1, Q$1,"rg:None")</f>
        <v>rg:None</v>
      </c>
      <c r="R115" s="4" t="str">
        <f>IF(Table2[[#This Row],[!Type]]=R$1, R$1,"rg:None")</f>
        <v>rg:None</v>
      </c>
      <c r="S115" s="4" t="str">
        <f>IF(Table2[[#This Row],[!Type]]=S$1, S$1,"rg:None")</f>
        <v>rg:None</v>
      </c>
      <c r="T115" s="4" t="str">
        <f>IF(LEN(Table2[[#This Row],[!Length]]) &gt; 0, Table2[[#This Row],[!Length]], "rg:None")</f>
        <v>rg:None</v>
      </c>
      <c r="U115" s="4" t="str">
        <f>IF(LEN(Table2[[#This Row],[!Name]]) &gt; 0, Table2[[#This Row],[!Name]], "rg:None")</f>
        <v>archiveDate</v>
      </c>
      <c r="V115" s="4" t="str">
        <f>IF(LEN(Table2[[#This Row],[!Description]]) &gt; 0, Table2[[#This Row],[!Description]], "rg:None")</f>
        <v>The date on which a user most recenly marked this piece of equipment as archived.</v>
      </c>
      <c r="W115" s="4" t="str">
        <f>IF(LEN(Table2[[#This Row],[!FK]])&gt;0,Table2[[#This Row],[!FK]],"rg:None")</f>
        <v>rg:None</v>
      </c>
      <c r="X115" s="14" t="str">
        <f>IF(LEN(concatif2(A:A,Table2[[#This Row],[!Table]],G:G,"Y",D:D,",")) &gt; 0,"rg:[ { 'req' : '"&amp;concatif2(A:A,Table2[[#This Row],[!Table]],G:G,"Y",D:D,"' }, { 'req': '")&amp;"'} ]","rg:[]")</f>
        <v>rg:[ { 'req' : 'id' }, { 'req': 'localArea' }, { 'req': 'districtEquipmentType' }, { 'req': 'owner' }, { 'req': 'equipmentCode' }, { 'req': 'status' }, { 'req': 'receivedDate' }, { 'req': 'lastVerifiedDate'} ]</v>
      </c>
      <c r="Y115" s="4" t="str">
        <f>IF(LEN(Table2[[#This Row],[!Unique]])&gt;0,IF(Table2[[#This Row],[!Type]] = "id", "rg:None","rg:True"),"rg:None")</f>
        <v>rg:None</v>
      </c>
    </row>
    <row r="116" spans="1:25" x14ac:dyDescent="0.35">
      <c r="A116" s="82" t="s">
        <v>176</v>
      </c>
      <c r="B116" s="21" t="s">
        <v>19</v>
      </c>
      <c r="C116" s="72"/>
      <c r="D116" s="21" t="s">
        <v>161</v>
      </c>
      <c r="E116" s="47"/>
      <c r="F116" s="22" t="s">
        <v>143</v>
      </c>
      <c r="G116" s="18"/>
      <c r="H116" s="18"/>
      <c r="I116" s="4" t="str">
        <f t="shared" si="15"/>
        <v>Defs</v>
      </c>
      <c r="J116" s="4" t="str">
        <f>IF(Table2[[#This Row],[!Type]]=J$1, J$1,"rg:None")</f>
        <v>rg:None</v>
      </c>
      <c r="K116" s="4" t="str">
        <f>IF(Table2[[#This Row],[!Type]]=K$1, K$1,"rg:None")</f>
        <v>rg:None</v>
      </c>
      <c r="L116" s="4" t="str">
        <f>IF(Table2[[#This Row],[!Type]]=L$1, L$1,"rg:None")</f>
        <v>rg:None</v>
      </c>
      <c r="M116" s="4" t="str">
        <f>IF(Table2[[#This Row],[!Type]]=M$1, M$1,"rg:None")</f>
        <v>rg:None</v>
      </c>
      <c r="N116" s="4" t="str">
        <f>IF(Table2[[#This Row],[!Type]]=N$1, N$1,"rg:None")</f>
        <v>rg:None</v>
      </c>
      <c r="O116" s="4" t="str">
        <f>IF(Table2[[#This Row],[!Type]]=O$1, O$1,"rg:None")</f>
        <v>rg:None</v>
      </c>
      <c r="P116" s="4" t="str">
        <f>IF(Table2[[#This Row],[!Type]]=P$1, P$1,"rg:None")</f>
        <v>links</v>
      </c>
      <c r="Q116" s="4" t="str">
        <f>IF(Table2[[#This Row],[!Type]]=Q$1, Q$1,"rg:None")</f>
        <v>rg:None</v>
      </c>
      <c r="R116" s="4" t="str">
        <f>IF(Table2[[#This Row],[!Type]]=R$1, R$1,"rg:None")</f>
        <v>rg:None</v>
      </c>
      <c r="S116" s="4" t="str">
        <f>IF(Table2[[#This Row],[!Type]]=S$1, S$1,"rg:None")</f>
        <v>rg:None</v>
      </c>
      <c r="T116" s="4" t="str">
        <f>IF(LEN(Table2[[#This Row],[!Length]]) &gt; 0, Table2[[#This Row],[!Length]], "rg:None")</f>
        <v>rg:None</v>
      </c>
      <c r="U116" s="4" t="str">
        <f>IF(LEN(Table2[[#This Row],[!Name]]) &gt; 0, Table2[[#This Row],[!Name]], "rg:None")</f>
        <v>notes</v>
      </c>
      <c r="V116" s="4" t="str">
        <f>IF(LEN(Table2[[#This Row],[!Description]]) &gt; 0, Table2[[#This Row],[!Description]], "rg:None")</f>
        <v>rg:None</v>
      </c>
      <c r="W116" s="4" t="str">
        <f>IF(LEN(Table2[[#This Row],[!FK]])&gt;0,Table2[[#This Row],[!FK]],"rg:None")</f>
        <v>Note</v>
      </c>
      <c r="X116" s="14" t="str">
        <f>IF(LEN(concatif2(A:A,Table2[[#This Row],[!Table]],G:G,"Y",D:D,",")) &gt; 0,"rg:[ { 'req' : '"&amp;concatif2(A:A,Table2[[#This Row],[!Table]],G:G,"Y",D:D,"' }, { 'req': '")&amp;"'} ]","rg:[]")</f>
        <v>rg:[ { 'req' : 'id' }, { 'req': 'localArea' }, { 'req': 'districtEquipmentType' }, { 'req': 'owner' }, { 'req': 'equipmentCode' }, { 'req': 'status' }, { 'req': 'receivedDate' }, { 'req': 'lastVerifiedDate'} ]</v>
      </c>
      <c r="Y116" s="4" t="str">
        <f>IF(LEN(Table2[[#This Row],[!Unique]])&gt;0,IF(Table2[[#This Row],[!Type]] = "id", "rg:None","rg:True"),"rg:None")</f>
        <v>rg:None</v>
      </c>
    </row>
    <row r="117" spans="1:25" x14ac:dyDescent="0.35">
      <c r="A117" s="82" t="s">
        <v>176</v>
      </c>
      <c r="B117" s="21" t="s">
        <v>19</v>
      </c>
      <c r="C117" s="72"/>
      <c r="D117" s="21" t="s">
        <v>172</v>
      </c>
      <c r="E117" s="47"/>
      <c r="F117" s="81" t="s">
        <v>155</v>
      </c>
      <c r="G117" s="18"/>
      <c r="H117" s="18"/>
      <c r="I117" s="4" t="str">
        <f t="shared" si="15"/>
        <v>Defs</v>
      </c>
      <c r="J117" s="4" t="str">
        <f>IF(Table2[[#This Row],[!Type]]=J$1, J$1,"rg:None")</f>
        <v>rg:None</v>
      </c>
      <c r="K117" s="4" t="str">
        <f>IF(Table2[[#This Row],[!Type]]=K$1, K$1,"rg:None")</f>
        <v>rg:None</v>
      </c>
      <c r="L117" s="4" t="str">
        <f>IF(Table2[[#This Row],[!Type]]=L$1, L$1,"rg:None")</f>
        <v>rg:None</v>
      </c>
      <c r="M117" s="4" t="str">
        <f>IF(Table2[[#This Row],[!Type]]=M$1, M$1,"rg:None")</f>
        <v>rg:None</v>
      </c>
      <c r="N117" s="4" t="str">
        <f>IF(Table2[[#This Row],[!Type]]=N$1, N$1,"rg:None")</f>
        <v>rg:None</v>
      </c>
      <c r="O117" s="4" t="str">
        <f>IF(Table2[[#This Row],[!Type]]=O$1, O$1,"rg:None")</f>
        <v>rg:None</v>
      </c>
      <c r="P117" s="4" t="str">
        <f>IF(Table2[[#This Row],[!Type]]=P$1, P$1,"rg:None")</f>
        <v>links</v>
      </c>
      <c r="Q117" s="4" t="str">
        <f>IF(Table2[[#This Row],[!Type]]=Q$1, Q$1,"rg:None")</f>
        <v>rg:None</v>
      </c>
      <c r="R117" s="4" t="str">
        <f>IF(Table2[[#This Row],[!Type]]=R$1, R$1,"rg:None")</f>
        <v>rg:None</v>
      </c>
      <c r="S117" s="4" t="str">
        <f>IF(Table2[[#This Row],[!Type]]=S$1, S$1,"rg:None")</f>
        <v>rg:None</v>
      </c>
      <c r="T117" s="4" t="str">
        <f>IF(LEN(Table2[[#This Row],[!Length]]) &gt; 0, Table2[[#This Row],[!Length]], "rg:None")</f>
        <v>rg:None</v>
      </c>
      <c r="U117" s="4" t="str">
        <f>IF(LEN(Table2[[#This Row],[!Name]]) &gt; 0, Table2[[#This Row],[!Name]], "rg:None")</f>
        <v>attachments</v>
      </c>
      <c r="V117" s="4" t="str">
        <f>IF(LEN(Table2[[#This Row],[!Description]]) &gt; 0, Table2[[#This Row],[!Description]], "rg:None")</f>
        <v>rg:None</v>
      </c>
      <c r="W117" s="4" t="str">
        <f>IF(LEN(Table2[[#This Row],[!FK]])&gt;0,Table2[[#This Row],[!FK]],"rg:None")</f>
        <v>Attachment</v>
      </c>
      <c r="X117" s="14" t="str">
        <f>IF(LEN(concatif2(A:A,Table2[[#This Row],[!Table]],G:G,"Y",D:D,",")) &gt; 0,"rg:[ { 'req' : '"&amp;concatif2(A:A,Table2[[#This Row],[!Table]],G:G,"Y",D:D,"' }, { 'req': '")&amp;"'} ]","rg:[]")</f>
        <v>rg:[ { 'req' : 'id' }, { 'req': 'localArea' }, { 'req': 'districtEquipmentType' }, { 'req': 'owner' }, { 'req': 'equipmentCode' }, { 'req': 'status' }, { 'req': 'receivedDate' }, { 'req': 'lastVerifiedDate'} ]</v>
      </c>
      <c r="Y117" s="4" t="str">
        <f>IF(LEN(Table2[[#This Row],[!Unique]])&gt;0,IF(Table2[[#This Row],[!Type]] = "id", "rg:None","rg:True"),"rg:None")</f>
        <v>rg:None</v>
      </c>
    </row>
    <row r="118" spans="1:25" x14ac:dyDescent="0.35">
      <c r="A118" s="82" t="s">
        <v>176</v>
      </c>
      <c r="B118" s="21" t="s">
        <v>19</v>
      </c>
      <c r="C118" s="72"/>
      <c r="D118" s="21" t="s">
        <v>174</v>
      </c>
      <c r="E118" s="47"/>
      <c r="F118" s="82" t="s">
        <v>157</v>
      </c>
      <c r="G118" s="18"/>
      <c r="H118" s="18"/>
      <c r="I118" s="4" t="str">
        <f t="shared" si="15"/>
        <v>Defs</v>
      </c>
      <c r="J118" s="4" t="str">
        <f>IF(Table2[[#This Row],[!Type]]=J$1, J$1,"rg:None")</f>
        <v>rg:None</v>
      </c>
      <c r="K118" s="4" t="str">
        <f>IF(Table2[[#This Row],[!Type]]=K$1, K$1,"rg:None")</f>
        <v>rg:None</v>
      </c>
      <c r="L118" s="4" t="str">
        <f>IF(Table2[[#This Row],[!Type]]=L$1, L$1,"rg:None")</f>
        <v>rg:None</v>
      </c>
      <c r="M118" s="4" t="str">
        <f>IF(Table2[[#This Row],[!Type]]=M$1, M$1,"rg:None")</f>
        <v>rg:None</v>
      </c>
      <c r="N118" s="4" t="str">
        <f>IF(Table2[[#This Row],[!Type]]=N$1, N$1,"rg:None")</f>
        <v>rg:None</v>
      </c>
      <c r="O118" s="4" t="str">
        <f>IF(Table2[[#This Row],[!Type]]=O$1, O$1,"rg:None")</f>
        <v>rg:None</v>
      </c>
      <c r="P118" s="4" t="str">
        <f>IF(Table2[[#This Row],[!Type]]=P$1, P$1,"rg:None")</f>
        <v>links</v>
      </c>
      <c r="Q118" s="4" t="str">
        <f>IF(Table2[[#This Row],[!Type]]=Q$1, Q$1,"rg:None")</f>
        <v>rg:None</v>
      </c>
      <c r="R118" s="4" t="str">
        <f>IF(Table2[[#This Row],[!Type]]=R$1, R$1,"rg:None")</f>
        <v>rg:None</v>
      </c>
      <c r="S118" s="4" t="str">
        <f>IF(Table2[[#This Row],[!Type]]=S$1, S$1,"rg:None")</f>
        <v>rg:None</v>
      </c>
      <c r="T118" s="4" t="str">
        <f>IF(LEN(Table2[[#This Row],[!Length]]) &gt; 0, Table2[[#This Row],[!Length]], "rg:None")</f>
        <v>rg:None</v>
      </c>
      <c r="U118" s="4" t="str">
        <f>IF(LEN(Table2[[#This Row],[!Name]]) &gt; 0, Table2[[#This Row],[!Name]], "rg:None")</f>
        <v>history</v>
      </c>
      <c r="V118" s="4" t="str">
        <f>IF(LEN(Table2[[#This Row],[!Description]]) &gt; 0, Table2[[#This Row],[!Description]], "rg:None")</f>
        <v>rg:None</v>
      </c>
      <c r="W118" s="4" t="str">
        <f>IF(LEN(Table2[[#This Row],[!FK]])&gt;0,Table2[[#This Row],[!FK]],"rg:None")</f>
        <v>History</v>
      </c>
      <c r="X118" s="14" t="str">
        <f>IF(LEN(concatif2(A:A,Table2[[#This Row],[!Table]],G:G,"Y",D:D,",")) &gt; 0,"rg:[ { 'req' : '"&amp;concatif2(A:A,Table2[[#This Row],[!Table]],G:G,"Y",D:D,"' }, { 'req': '")&amp;"'} ]","rg:[]")</f>
        <v>rg:[ { 'req' : 'id' }, { 'req': 'localArea' }, { 'req': 'districtEquipmentType' }, { 'req': 'owner' }, { 'req': 'equipmentCode' }, { 'req': 'status' }, { 'req': 'receivedDate' }, { 'req': 'lastVerifiedDate'} ]</v>
      </c>
      <c r="Y118" s="4" t="str">
        <f>IF(LEN(Table2[[#This Row],[!Unique]])&gt;0,IF(Table2[[#This Row],[!Type]] = "id", "rg:None","rg:True"),"rg:None")</f>
        <v>rg:None</v>
      </c>
    </row>
    <row r="119" spans="1:25" ht="115.2" x14ac:dyDescent="0.35">
      <c r="A119" s="5" t="s">
        <v>106</v>
      </c>
      <c r="B119" s="5" t="s">
        <v>4</v>
      </c>
      <c r="D119" s="5" t="s">
        <v>106</v>
      </c>
      <c r="E119" s="99" t="s">
        <v>387</v>
      </c>
      <c r="F119" s="5" t="s">
        <v>5</v>
      </c>
      <c r="G119" s="4"/>
      <c r="H119" s="4"/>
      <c r="I119" s="4" t="str">
        <f t="shared" si="15"/>
        <v>Defs</v>
      </c>
      <c r="J119" s="4" t="str">
        <f>IF(Table2[[#This Row],[!Type]]=J$1, J$1,"rg:None")</f>
        <v>rg:None</v>
      </c>
      <c r="K119" s="4" t="str">
        <f>IF(Table2[[#This Row],[!Type]]=K$1, K$1,"rg:None")</f>
        <v>rg:None</v>
      </c>
      <c r="L119" s="4" t="str">
        <f>IF(Table2[[#This Row],[!Type]]=L$1, L$1,"rg:None")</f>
        <v>rg:None</v>
      </c>
      <c r="M119" s="4" t="str">
        <f>IF(Table2[[#This Row],[!Type]]=M$1, M$1,"rg:None")</f>
        <v>rg:None</v>
      </c>
      <c r="N119" s="4" t="str">
        <f>IF(Table2[[#This Row],[!Type]]=N$1, N$1,"rg:None")</f>
        <v>rg:None</v>
      </c>
      <c r="O119" s="4" t="str">
        <f>IF(Table2[[#This Row],[!Type]]=O$1, O$1,"rg:None")</f>
        <v>rg:None</v>
      </c>
      <c r="P119" s="4" t="str">
        <f>IF(Table2[[#This Row],[!Type]]=P$1, P$1,"rg:None")</f>
        <v>rg:None</v>
      </c>
      <c r="Q119" s="4" t="str">
        <f>IF(Table2[[#This Row],[!Type]]=Q$1, Q$1,"rg:None")</f>
        <v>rg:None</v>
      </c>
      <c r="R119" s="4" t="str">
        <f>IF(Table2[[#This Row],[!Type]]=R$1, R$1,"rg:None")</f>
        <v>rg:None</v>
      </c>
      <c r="S119" s="4" t="str">
        <f>IF(Table2[[#This Row],[!Type]]=S$1, S$1,"rg:None")</f>
        <v>table</v>
      </c>
      <c r="T119" s="4" t="str">
        <f>IF(LEN(Table2[[#This Row],[!Length]]) &gt; 0, Table2[[#This Row],[!Length]], "rg:None")</f>
        <v>rg:None</v>
      </c>
      <c r="U119" s="4" t="str">
        <f>IF(LEN(Table2[[#This Row],[!Name]]) &gt; 0, Table2[[#This Row],[!Name]], "rg:None")</f>
        <v>DumpTruck</v>
      </c>
      <c r="V119" s="4" t="str">
        <f>IF(LEN(Table2[[#This Row],[!Description]]) &gt; 0, Table2[[#This Row],[!Description]], "rg:None")</f>
        <v>Additional attributes about a piece of equipment designated as a Dump Truck. Historically, there was a perceived need to track a lot of informatiion about a dump truck, but in practice, few fields are being completed by users. Places for the attributes are being maintained, but the UI is prompting only for a couple of the fields, and only those fields are likely to be populated. Additional basic information about the attributes can be found on Wikipedia, BC-specific details on MOTI's CVSE website and www.bclaws.ca/EPLibraries/bclaws_new/document/ID/freeside/30_78#AppendicesAtoK, Appendix A and  B. Any metrics information provided here is from the Equipment Owner.</v>
      </c>
      <c r="W119" s="4" t="str">
        <f>IF(LEN(Table2[[#This Row],[!FK]])&gt;0,Table2[[#This Row],[!FK]],"rg:None")</f>
        <v>rg:None</v>
      </c>
      <c r="X119" s="14" t="str">
        <f>IF(LEN(concatif2(A:A,Table2[[#This Row],[!Table]],G:G,"Y",D:D,",")) &gt; 0,"rg:[ { 'req' : '"&amp;concatif2(A:A,Table2[[#This Row],[!Table]],G:G,"Y",D:D,"' }, { 'req': '")&amp;"'} ]","rg:[]")</f>
        <v>rg:[ { 'req' : 'id' }, { 'req': 'equipment'} ]</v>
      </c>
      <c r="Y119" s="4" t="str">
        <f>IF(LEN(Table2[[#This Row],[!Unique]])&gt;0,IF(Table2[[#This Row],[!Type]] = "id", "rg:None","rg:True"),"rg:None")</f>
        <v>rg:None</v>
      </c>
    </row>
    <row r="120" spans="1:25" x14ac:dyDescent="0.35">
      <c r="A120" s="5" t="s">
        <v>106</v>
      </c>
      <c r="B120" s="5" t="s">
        <v>6</v>
      </c>
      <c r="D120" s="5" t="s">
        <v>6</v>
      </c>
      <c r="E120" s="54" t="s">
        <v>286</v>
      </c>
      <c r="F120" s="5" t="s">
        <v>5</v>
      </c>
      <c r="G120" s="4" t="s">
        <v>59</v>
      </c>
      <c r="H120" s="155" t="s">
        <v>59</v>
      </c>
      <c r="I120" s="4" t="str">
        <f t="shared" si="15"/>
        <v>Defs</v>
      </c>
      <c r="J120" s="4" t="str">
        <f>IF(Table2[[#This Row],[!Type]]=J$1, J$1,"rg:None")</f>
        <v>rg:None</v>
      </c>
      <c r="K120" s="4" t="str">
        <f>IF(Table2[[#This Row],[!Type]]=K$1, K$1,"rg:None")</f>
        <v>rg:None</v>
      </c>
      <c r="L120" s="4" t="str">
        <f>IF(Table2[[#This Row],[!Type]]=L$1, L$1,"rg:None")</f>
        <v>rg:None</v>
      </c>
      <c r="M120" s="4" t="str">
        <f>IF(Table2[[#This Row],[!Type]]=M$1, M$1,"rg:None")</f>
        <v>id</v>
      </c>
      <c r="N120" s="4" t="str">
        <f>IF(Table2[[#This Row],[!Type]]=N$1, N$1,"rg:None")</f>
        <v>rg:None</v>
      </c>
      <c r="O120" s="4" t="str">
        <f>IF(Table2[[#This Row],[!Type]]=O$1, O$1,"rg:None")</f>
        <v>rg:None</v>
      </c>
      <c r="P120" s="4" t="str">
        <f>IF(Table2[[#This Row],[!Type]]=P$1, P$1,"rg:None")</f>
        <v>rg:None</v>
      </c>
      <c r="Q120" s="4" t="str">
        <f>IF(Table2[[#This Row],[!Type]]=Q$1, Q$1,"rg:None")</f>
        <v>rg:None</v>
      </c>
      <c r="R120" s="4" t="str">
        <f>IF(Table2[[#This Row],[!Type]]=R$1, R$1,"rg:None")</f>
        <v>rg:None</v>
      </c>
      <c r="S120" s="4" t="str">
        <f>IF(Table2[[#This Row],[!Type]]=S$1, S$1,"rg:None")</f>
        <v>rg:None</v>
      </c>
      <c r="T120" s="4" t="str">
        <f>IF(LEN(Table2[[#This Row],[!Length]]) &gt; 0, Table2[[#This Row],[!Length]], "rg:None")</f>
        <v>rg:None</v>
      </c>
      <c r="U120" s="4" t="str">
        <f>IF(LEN(Table2[[#This Row],[!Name]]) &gt; 0, Table2[[#This Row],[!Name]], "rg:None")</f>
        <v>id</v>
      </c>
      <c r="V120" s="4" t="str">
        <f>IF(LEN(Table2[[#This Row],[!Description]]) &gt; 0, Table2[[#This Row],[!Description]], "rg:None")</f>
        <v>A system-generated unique identifier for a DumpTruck</v>
      </c>
      <c r="W120" s="4" t="str">
        <f>IF(LEN(Table2[[#This Row],[!FK]])&gt;0,Table2[[#This Row],[!FK]],"rg:None")</f>
        <v>rg:None</v>
      </c>
      <c r="X120" s="14" t="str">
        <f>IF(LEN(concatif2(A:A,Table2[[#This Row],[!Table]],G:G,"Y",D:D,",")) &gt; 0,"rg:[ { 'req' : '"&amp;concatif2(A:A,Table2[[#This Row],[!Table]],G:G,"Y",D:D,"' }, { 'req': '")&amp;"'} ]","rg:[]")</f>
        <v>rg:[ { 'req' : 'id' }, { 'req': 'equipment'} ]</v>
      </c>
      <c r="Y120" s="4" t="str">
        <f>IF(LEN(Table2[[#This Row],[!Unique]])&gt;0,IF(Table2[[#This Row],[!Type]] = "id", "rg:None","rg:True"),"rg:None")</f>
        <v>rg:None</v>
      </c>
    </row>
    <row r="121" spans="1:25" x14ac:dyDescent="0.35">
      <c r="A121" s="164" t="s">
        <v>106</v>
      </c>
      <c r="B121" s="164" t="s">
        <v>8</v>
      </c>
      <c r="C121" s="72"/>
      <c r="D121" s="164" t="s">
        <v>175</v>
      </c>
      <c r="E121" s="47"/>
      <c r="F121" s="165" t="s">
        <v>176</v>
      </c>
      <c r="G121" s="166" t="s">
        <v>59</v>
      </c>
      <c r="H121" s="18"/>
      <c r="I121" s="4" t="str">
        <f>IF(LEN(A121) &gt; 0,"Defs","-")</f>
        <v>Defs</v>
      </c>
      <c r="J121" s="4" t="str">
        <f>IF(Table2[[#This Row],[!Type]]=J$1, J$1,"rg:None")</f>
        <v>rg:None</v>
      </c>
      <c r="K121" s="4" t="str">
        <f>IF(Table2[[#This Row],[!Type]]=K$1, K$1,"rg:None")</f>
        <v>rg:None</v>
      </c>
      <c r="L121" s="4" t="str">
        <f>IF(Table2[[#This Row],[!Type]]=L$1, L$1,"rg:None")</f>
        <v>rg:None</v>
      </c>
      <c r="M121" s="4" t="str">
        <f>IF(Table2[[#This Row],[!Type]]=M$1, M$1,"rg:None")</f>
        <v>rg:None</v>
      </c>
      <c r="N121" s="4" t="str">
        <f>IF(Table2[[#This Row],[!Type]]=N$1, N$1,"rg:None")</f>
        <v>rg:None</v>
      </c>
      <c r="O121" s="4" t="str">
        <f>IF(Table2[[#This Row],[!Type]]=O$1, O$1,"rg:None")</f>
        <v>rg:None</v>
      </c>
      <c r="P121" s="4" t="str">
        <f>IF(Table2[[#This Row],[!Type]]=P$1, P$1,"rg:None")</f>
        <v>rg:None</v>
      </c>
      <c r="Q121" s="4" t="str">
        <f>IF(Table2[[#This Row],[!Type]]=Q$1, Q$1,"rg:None")</f>
        <v>ref</v>
      </c>
      <c r="R121" s="4" t="str">
        <f>IF(Table2[[#This Row],[!Type]]=R$1, R$1,"rg:None")</f>
        <v>rg:None</v>
      </c>
      <c r="S121" s="4" t="str">
        <f>IF(Table2[[#This Row],[!Type]]=S$1, S$1,"rg:None")</f>
        <v>rg:None</v>
      </c>
      <c r="T121" s="4" t="str">
        <f>IF(LEN(Table2[[#This Row],[!Length]]) &gt; 0, Table2[[#This Row],[!Length]], "rg:None")</f>
        <v>rg:None</v>
      </c>
      <c r="U121" s="4" t="str">
        <f>IF(LEN(Table2[[#This Row],[!Name]]) &gt; 0, Table2[[#This Row],[!Name]], "rg:None")</f>
        <v>equipment</v>
      </c>
      <c r="V121" s="4" t="str">
        <f>IF(LEN(Table2[[#This Row],[!Description]]) &gt; 0, Table2[[#This Row],[!Description]], "rg:None")</f>
        <v>rg:None</v>
      </c>
      <c r="W121" s="4" t="str">
        <f>IF(LEN(Table2[[#This Row],[!FK]])&gt;0,Table2[[#This Row],[!FK]],"rg:None")</f>
        <v>Equipment</v>
      </c>
      <c r="X121" s="14" t="str">
        <f>IF(LEN(concatif2(A:A,Table2[[#This Row],[!Table]],G:G,"Y",D:D,",")) &gt; 0,"rg:[ { 'req' : '"&amp;concatif2(A:A,Table2[[#This Row],[!Table]],G:G,"Y",D:D,"' }, { 'req': '")&amp;"'} ]","rg:[]")</f>
        <v>rg:[ { 'req' : 'id' }, { 'req': 'equipment'} ]</v>
      </c>
      <c r="Y121" s="4" t="str">
        <f>IF(LEN(Table2[[#This Row],[!Unique]])&gt;0,IF(Table2[[#This Row],[!Type]] = "id", "rg:None","rg:True"),"rg:None")</f>
        <v>rg:None</v>
      </c>
    </row>
    <row r="122" spans="1:25" x14ac:dyDescent="0.35">
      <c r="A122" s="82" t="s">
        <v>106</v>
      </c>
      <c r="B122" s="95" t="s">
        <v>9</v>
      </c>
      <c r="D122" s="95" t="s">
        <v>249</v>
      </c>
      <c r="E122" s="96" t="s">
        <v>259</v>
      </c>
      <c r="F122" s="5" t="s">
        <v>5</v>
      </c>
      <c r="G122" s="4"/>
      <c r="H122" s="4"/>
      <c r="I122" s="4" t="str">
        <f t="shared" si="15"/>
        <v>Defs</v>
      </c>
      <c r="J122" s="4" t="str">
        <f>IF(Table2[[#This Row],[!Type]]=J$1, J$1,"rg:None")</f>
        <v>boolean</v>
      </c>
      <c r="K122" s="4" t="str">
        <f>IF(Table2[[#This Row],[!Type]]=K$1, K$1,"rg:None")</f>
        <v>rg:None</v>
      </c>
      <c r="L122" s="4" t="str">
        <f>IF(Table2[[#This Row],[!Type]]=L$1, L$1,"rg:None")</f>
        <v>rg:None</v>
      </c>
      <c r="M122" s="4" t="str">
        <f>IF(Table2[[#This Row],[!Type]]=M$1, M$1,"rg:None")</f>
        <v>rg:None</v>
      </c>
      <c r="N122" s="4" t="str">
        <f>IF(Table2[[#This Row],[!Type]]=N$1, N$1,"rg:None")</f>
        <v>rg:None</v>
      </c>
      <c r="O122" s="4" t="str">
        <f>IF(Table2[[#This Row],[!Type]]=O$1, O$1,"rg:None")</f>
        <v>rg:None</v>
      </c>
      <c r="P122" s="4" t="str">
        <f>IF(Table2[[#This Row],[!Type]]=P$1, P$1,"rg:None")</f>
        <v>rg:None</v>
      </c>
      <c r="Q122" s="4" t="str">
        <f>IF(Table2[[#This Row],[!Type]]=Q$1, Q$1,"rg:None")</f>
        <v>rg:None</v>
      </c>
      <c r="R122" s="4" t="str">
        <f>IF(Table2[[#This Row],[!Type]]=R$1, R$1,"rg:None")</f>
        <v>rg:None</v>
      </c>
      <c r="S122" s="4" t="str">
        <f>IF(Table2[[#This Row],[!Type]]=S$1, S$1,"rg:None")</f>
        <v>rg:None</v>
      </c>
      <c r="T122" s="4" t="str">
        <f>IF(LEN(Table2[[#This Row],[!Length]]) &gt; 0, Table2[[#This Row],[!Length]], "rg:None")</f>
        <v>rg:None</v>
      </c>
      <c r="U122" s="4" t="str">
        <f>IF(LEN(Table2[[#This Row],[!Name]]) &gt; 0, Table2[[#This Row],[!Name]], "rg:None")</f>
        <v>isSingleAxle</v>
      </c>
      <c r="V122" s="4" t="str">
        <f>IF(LEN(Table2[[#This Row],[!Description]]) &gt; 0, Table2[[#This Row],[!Description]], "rg:None")</f>
        <v>True if the vehicle has a single axle. Can be false or null.</v>
      </c>
      <c r="W122" s="4" t="str">
        <f>IF(LEN(Table2[[#This Row],[!FK]])&gt;0,Table2[[#This Row],[!FK]],"rg:None")</f>
        <v>rg:None</v>
      </c>
      <c r="X122" s="14" t="str">
        <f>IF(LEN(concatif2(A:A,Table2[[#This Row],[!Table]],G:G,"Y",D:D,",")) &gt; 0,"rg:[ { 'req' : '"&amp;concatif2(A:A,Table2[[#This Row],[!Table]],G:G,"Y",D:D,"' }, { 'req': '")&amp;"'} ]","rg:[]")</f>
        <v>rg:[ { 'req' : 'id' }, { 'req': 'equipment'} ]</v>
      </c>
      <c r="Y122" s="4" t="str">
        <f>IF(LEN(Table2[[#This Row],[!Unique]])&gt;0,IF(Table2[[#This Row],[!Type]] = "id", "rg:None","rg:True"),"rg:None")</f>
        <v>rg:None</v>
      </c>
    </row>
    <row r="123" spans="1:25" x14ac:dyDescent="0.35">
      <c r="A123" s="5" t="s">
        <v>106</v>
      </c>
      <c r="B123" s="95" t="s">
        <v>9</v>
      </c>
      <c r="D123" s="95" t="s">
        <v>253</v>
      </c>
      <c r="E123" s="96" t="s">
        <v>258</v>
      </c>
      <c r="F123" s="5" t="s">
        <v>5</v>
      </c>
      <c r="G123" s="4"/>
      <c r="H123" s="4"/>
      <c r="I123" s="4" t="str">
        <f t="shared" si="15"/>
        <v>Defs</v>
      </c>
      <c r="J123" s="4" t="str">
        <f>IF(Table2[[#This Row],[!Type]]=J$1, J$1,"rg:None")</f>
        <v>boolean</v>
      </c>
      <c r="K123" s="4" t="str">
        <f>IF(Table2[[#This Row],[!Type]]=K$1, K$1,"rg:None")</f>
        <v>rg:None</v>
      </c>
      <c r="L123" s="4" t="str">
        <f>IF(Table2[[#This Row],[!Type]]=L$1, L$1,"rg:None")</f>
        <v>rg:None</v>
      </c>
      <c r="M123" s="4" t="str">
        <f>IF(Table2[[#This Row],[!Type]]=M$1, M$1,"rg:None")</f>
        <v>rg:None</v>
      </c>
      <c r="N123" s="4" t="str">
        <f>IF(Table2[[#This Row],[!Type]]=N$1, N$1,"rg:None")</f>
        <v>rg:None</v>
      </c>
      <c r="O123" s="4" t="str">
        <f>IF(Table2[[#This Row],[!Type]]=O$1, O$1,"rg:None")</f>
        <v>rg:None</v>
      </c>
      <c r="P123" s="4" t="str">
        <f>IF(Table2[[#This Row],[!Type]]=P$1, P$1,"rg:None")</f>
        <v>rg:None</v>
      </c>
      <c r="Q123" s="4" t="str">
        <f>IF(Table2[[#This Row],[!Type]]=Q$1, Q$1,"rg:None")</f>
        <v>rg:None</v>
      </c>
      <c r="R123" s="4" t="str">
        <f>IF(Table2[[#This Row],[!Type]]=R$1, R$1,"rg:None")</f>
        <v>rg:None</v>
      </c>
      <c r="S123" s="4" t="str">
        <f>IF(Table2[[#This Row],[!Type]]=S$1, S$1,"rg:None")</f>
        <v>rg:None</v>
      </c>
      <c r="T123" s="4" t="str">
        <f>IF(LEN(Table2[[#This Row],[!Length]]) &gt; 0, Table2[[#This Row],[!Length]], "rg:None")</f>
        <v>rg:None</v>
      </c>
      <c r="U123" s="4" t="str">
        <f>IF(LEN(Table2[[#This Row],[!Name]]) &gt; 0, Table2[[#This Row],[!Name]], "rg:None")</f>
        <v>isTandemAxle</v>
      </c>
      <c r="V123" s="4" t="str">
        <f>IF(LEN(Table2[[#This Row],[!Description]]) &gt; 0, Table2[[#This Row],[!Description]], "rg:None")</f>
        <v>True if the vehicle has a tandem axle. Can be false or null.</v>
      </c>
      <c r="W123" s="4" t="str">
        <f>IF(LEN(Table2[[#This Row],[!FK]])&gt;0,Table2[[#This Row],[!FK]],"rg:None")</f>
        <v>rg:None</v>
      </c>
      <c r="X123" s="14" t="str">
        <f>IF(LEN(concatif2(A:A,Table2[[#This Row],[!Table]],G:G,"Y",D:D,",")) &gt; 0,"rg:[ { 'req' : '"&amp;concatif2(A:A,Table2[[#This Row],[!Table]],G:G,"Y",D:D,"' }, { 'req': '")&amp;"'} ]","rg:[]")</f>
        <v>rg:[ { 'req' : 'id' }, { 'req': 'equipment'} ]</v>
      </c>
      <c r="Y123" s="4" t="str">
        <f>IF(LEN(Table2[[#This Row],[!Unique]])&gt;0,IF(Table2[[#This Row],[!Type]] = "id", "rg:None","rg:True"),"rg:None")</f>
        <v>rg:None</v>
      </c>
    </row>
    <row r="124" spans="1:25" x14ac:dyDescent="0.35">
      <c r="A124" s="5" t="s">
        <v>106</v>
      </c>
      <c r="B124" s="95" t="s">
        <v>9</v>
      </c>
      <c r="D124" s="95" t="s">
        <v>260</v>
      </c>
      <c r="E124" s="96" t="s">
        <v>261</v>
      </c>
      <c r="F124" s="5" t="s">
        <v>5</v>
      </c>
      <c r="G124" s="4"/>
      <c r="H124" s="4"/>
      <c r="I124" s="4" t="str">
        <f>IF(LEN(A124) &gt; 0,"Defs","-")</f>
        <v>Defs</v>
      </c>
      <c r="J124" s="4" t="str">
        <f>IF(Table2[[#This Row],[!Type]]=J$1, J$1,"rg:None")</f>
        <v>boolean</v>
      </c>
      <c r="K124" s="4" t="str">
        <f>IF(Table2[[#This Row],[!Type]]=K$1, K$1,"rg:None")</f>
        <v>rg:None</v>
      </c>
      <c r="L124" s="4" t="str">
        <f>IF(Table2[[#This Row],[!Type]]=L$1, L$1,"rg:None")</f>
        <v>rg:None</v>
      </c>
      <c r="M124" s="4" t="str">
        <f>IF(Table2[[#This Row],[!Type]]=M$1, M$1,"rg:None")</f>
        <v>rg:None</v>
      </c>
      <c r="N124" s="4" t="str">
        <f>IF(Table2[[#This Row],[!Type]]=N$1, N$1,"rg:None")</f>
        <v>rg:None</v>
      </c>
      <c r="O124" s="4" t="str">
        <f>IF(Table2[[#This Row],[!Type]]=O$1, O$1,"rg:None")</f>
        <v>rg:None</v>
      </c>
      <c r="P124" s="4" t="str">
        <f>IF(Table2[[#This Row],[!Type]]=P$1, P$1,"rg:None")</f>
        <v>rg:None</v>
      </c>
      <c r="Q124" s="4" t="str">
        <f>IF(Table2[[#This Row],[!Type]]=Q$1, Q$1,"rg:None")</f>
        <v>rg:None</v>
      </c>
      <c r="R124" s="4" t="str">
        <f>IF(Table2[[#This Row],[!Type]]=R$1, R$1,"rg:None")</f>
        <v>rg:None</v>
      </c>
      <c r="S124" s="4" t="str">
        <f>IF(Table2[[#This Row],[!Type]]=S$1, S$1,"rg:None")</f>
        <v>rg:None</v>
      </c>
      <c r="T124" s="4" t="str">
        <f>IF(LEN(Table2[[#This Row],[!Length]]) &gt; 0, Table2[[#This Row],[!Length]], "rg:None")</f>
        <v>rg:None</v>
      </c>
      <c r="U124" s="4" t="str">
        <f>IF(LEN(Table2[[#This Row],[!Name]]) &gt; 0, Table2[[#This Row],[!Name]], "rg:None")</f>
        <v>isTridem</v>
      </c>
      <c r="V124" s="4" t="str">
        <f>IF(LEN(Table2[[#This Row],[!Description]]) &gt; 0, Table2[[#This Row],[!Description]], "rg:None")</f>
        <v xml:space="preserve">True if the Dump Truck is a tridem - a three axle dump truck. Can be false or null. </v>
      </c>
      <c r="W124" s="4" t="str">
        <f>IF(LEN(Table2[[#This Row],[!FK]])&gt;0,Table2[[#This Row],[!FK]],"rg:None")</f>
        <v>rg:None</v>
      </c>
      <c r="X124" s="14" t="str">
        <f>IF(LEN(concatif2(A:A,Table2[[#This Row],[!Table]],G:G,"Y",D:D,",")) &gt; 0,"rg:[ { 'req' : '"&amp;concatif2(A:A,Table2[[#This Row],[!Table]],G:G,"Y",D:D,"' }, { 'req': '")&amp;"'} ]","rg:[]")</f>
        <v>rg:[ { 'req' : 'id' }, { 'req': 'equipment'} ]</v>
      </c>
      <c r="Y124" s="4" t="str">
        <f>IF(LEN(Table2[[#This Row],[!Unique]])&gt;0,IF(Table2[[#This Row],[!Type]] = "id", "rg:None","rg:True"),"rg:None")</f>
        <v>rg:None</v>
      </c>
    </row>
    <row r="125" spans="1:25" ht="28.8" x14ac:dyDescent="0.35">
      <c r="A125" s="5" t="s">
        <v>106</v>
      </c>
      <c r="B125" s="95" t="s">
        <v>9</v>
      </c>
      <c r="D125" s="95" t="s">
        <v>254</v>
      </c>
      <c r="E125" s="96" t="s">
        <v>255</v>
      </c>
      <c r="F125" s="5" t="s">
        <v>5</v>
      </c>
      <c r="G125" s="4"/>
      <c r="H125" s="4"/>
      <c r="I125" s="4" t="str">
        <f t="shared" si="15"/>
        <v>Defs</v>
      </c>
      <c r="J125" s="4" t="str">
        <f>IF(Table2[[#This Row],[!Type]]=J$1, J$1,"rg:None")</f>
        <v>boolean</v>
      </c>
      <c r="K125" s="4" t="str">
        <f>IF(Table2[[#This Row],[!Type]]=K$1, K$1,"rg:None")</f>
        <v>rg:None</v>
      </c>
      <c r="L125" s="4" t="str">
        <f>IF(Table2[[#This Row],[!Type]]=L$1, L$1,"rg:None")</f>
        <v>rg:None</v>
      </c>
      <c r="M125" s="4" t="str">
        <f>IF(Table2[[#This Row],[!Type]]=M$1, M$1,"rg:None")</f>
        <v>rg:None</v>
      </c>
      <c r="N125" s="4" t="str">
        <f>IF(Table2[[#This Row],[!Type]]=N$1, N$1,"rg:None")</f>
        <v>rg:None</v>
      </c>
      <c r="O125" s="4" t="str">
        <f>IF(Table2[[#This Row],[!Type]]=O$1, O$1,"rg:None")</f>
        <v>rg:None</v>
      </c>
      <c r="P125" s="4" t="str">
        <f>IF(Table2[[#This Row],[!Type]]=P$1, P$1,"rg:None")</f>
        <v>rg:None</v>
      </c>
      <c r="Q125" s="4" t="str">
        <f>IF(Table2[[#This Row],[!Type]]=Q$1, Q$1,"rg:None")</f>
        <v>rg:None</v>
      </c>
      <c r="R125" s="4" t="str">
        <f>IF(Table2[[#This Row],[!Type]]=R$1, R$1,"rg:None")</f>
        <v>rg:None</v>
      </c>
      <c r="S125" s="4" t="str">
        <f>IF(Table2[[#This Row],[!Type]]=S$1, S$1,"rg:None")</f>
        <v>rg:None</v>
      </c>
      <c r="T125" s="4" t="str">
        <f>IF(LEN(Table2[[#This Row],[!Length]]) &gt; 0, Table2[[#This Row],[!Length]], "rg:None")</f>
        <v>rg:None</v>
      </c>
      <c r="U125" s="4" t="str">
        <f>IF(LEN(Table2[[#This Row],[!Name]]) &gt; 0, Table2[[#This Row],[!Name]], "rg:None")</f>
        <v>hasPUP</v>
      </c>
      <c r="V125" s="4" t="str">
        <f>IF(LEN(Table2[[#This Row],[!Description]]) &gt; 0, Table2[[#This Row],[!Description]], "rg:None")</f>
        <v>True if the Dump Truck has a PUP trailer - a trailer with it's own hydraulic unloading system. Can be false or null.</v>
      </c>
      <c r="W125" s="4" t="str">
        <f>IF(LEN(Table2[[#This Row],[!FK]])&gt;0,Table2[[#This Row],[!FK]],"rg:None")</f>
        <v>rg:None</v>
      </c>
      <c r="X125" s="14" t="str">
        <f>IF(LEN(concatif2(A:A,Table2[[#This Row],[!Table]],G:G,"Y",D:D,",")) &gt; 0,"rg:[ { 'req' : '"&amp;concatif2(A:A,Table2[[#This Row],[!Table]],G:G,"Y",D:D,"' }, { 'req': '")&amp;"'} ]","rg:[]")</f>
        <v>rg:[ { 'req' : 'id' }, { 'req': 'equipment'} ]</v>
      </c>
      <c r="Y125" s="4" t="str">
        <f>IF(LEN(Table2[[#This Row],[!Unique]])&gt;0,IF(Table2[[#This Row],[!Type]] = "id", "rg:None","rg:True"),"rg:None")</f>
        <v>rg:None</v>
      </c>
    </row>
    <row r="126" spans="1:25" x14ac:dyDescent="0.35">
      <c r="A126" s="5" t="s">
        <v>106</v>
      </c>
      <c r="B126" s="95" t="s">
        <v>9</v>
      </c>
      <c r="D126" s="95" t="s">
        <v>256</v>
      </c>
      <c r="E126" s="96" t="s">
        <v>257</v>
      </c>
      <c r="F126" s="5" t="s">
        <v>5</v>
      </c>
      <c r="G126" s="4"/>
      <c r="H126" s="4"/>
      <c r="I126" s="4" t="str">
        <f t="shared" si="15"/>
        <v>Defs</v>
      </c>
      <c r="J126" s="4" t="str">
        <f>IF(Table2[[#This Row],[!Type]]=J$1, J$1,"rg:None")</f>
        <v>boolean</v>
      </c>
      <c r="K126" s="4" t="str">
        <f>IF(Table2[[#This Row],[!Type]]=K$1, K$1,"rg:None")</f>
        <v>rg:None</v>
      </c>
      <c r="L126" s="4" t="str">
        <f>IF(Table2[[#This Row],[!Type]]=L$1, L$1,"rg:None")</f>
        <v>rg:None</v>
      </c>
      <c r="M126" s="4" t="str">
        <f>IF(Table2[[#This Row],[!Type]]=M$1, M$1,"rg:None")</f>
        <v>rg:None</v>
      </c>
      <c r="N126" s="4" t="str">
        <f>IF(Table2[[#This Row],[!Type]]=N$1, N$1,"rg:None")</f>
        <v>rg:None</v>
      </c>
      <c r="O126" s="4" t="str">
        <f>IF(Table2[[#This Row],[!Type]]=O$1, O$1,"rg:None")</f>
        <v>rg:None</v>
      </c>
      <c r="P126" s="4" t="str">
        <f>IF(Table2[[#This Row],[!Type]]=P$1, P$1,"rg:None")</f>
        <v>rg:None</v>
      </c>
      <c r="Q126" s="4" t="str">
        <f>IF(Table2[[#This Row],[!Type]]=Q$1, Q$1,"rg:None")</f>
        <v>rg:None</v>
      </c>
      <c r="R126" s="4" t="str">
        <f>IF(Table2[[#This Row],[!Type]]=R$1, R$1,"rg:None")</f>
        <v>rg:None</v>
      </c>
      <c r="S126" s="4" t="str">
        <f>IF(Table2[[#This Row],[!Type]]=S$1, S$1,"rg:None")</f>
        <v>rg:None</v>
      </c>
      <c r="T126" s="4" t="str">
        <f>IF(LEN(Table2[[#This Row],[!Length]]) &gt; 0, Table2[[#This Row],[!Length]], "rg:None")</f>
        <v>rg:None</v>
      </c>
      <c r="U126" s="4" t="str">
        <f>IF(LEN(Table2[[#This Row],[!Name]]) &gt; 0, Table2[[#This Row],[!Name]], "rg:None")</f>
        <v>hasBellyDump</v>
      </c>
      <c r="V126" s="4" t="str">
        <f>IF(LEN(Table2[[#This Row],[!Description]]) &gt; 0, Table2[[#This Row],[!Description]], "rg:None")</f>
        <v>True if the Dump Truck has a belly dump capability. Can be false or null.</v>
      </c>
      <c r="W126" s="4" t="str">
        <f>IF(LEN(Table2[[#This Row],[!FK]])&gt;0,Table2[[#This Row],[!FK]],"rg:None")</f>
        <v>rg:None</v>
      </c>
      <c r="X126" s="14" t="str">
        <f>IF(LEN(concatif2(A:A,Table2[[#This Row],[!Table]],G:G,"Y",D:D,",")) &gt; 0,"rg:[ { 'req' : '"&amp;concatif2(A:A,Table2[[#This Row],[!Table]],G:G,"Y",D:D,"' }, { 'req': '")&amp;"'} ]","rg:[]")</f>
        <v>rg:[ { 'req' : 'id' }, { 'req': 'equipment'} ]</v>
      </c>
      <c r="Y126" s="4" t="str">
        <f>IF(LEN(Table2[[#This Row],[!Unique]])&gt;0,IF(Table2[[#This Row],[!Type]] = "id", "rg:None","rg:True"),"rg:None")</f>
        <v>rg:None</v>
      </c>
    </row>
    <row r="127" spans="1:25" x14ac:dyDescent="0.35">
      <c r="A127" s="5" t="s">
        <v>106</v>
      </c>
      <c r="B127" s="95" t="s">
        <v>9</v>
      </c>
      <c r="D127" s="95" t="s">
        <v>262</v>
      </c>
      <c r="E127" s="96" t="s">
        <v>263</v>
      </c>
      <c r="F127" s="5" t="s">
        <v>5</v>
      </c>
      <c r="G127" s="4"/>
      <c r="H127" s="4"/>
      <c r="I127" s="4" t="str">
        <f t="shared" si="15"/>
        <v>Defs</v>
      </c>
      <c r="J127" s="4" t="str">
        <f>IF(Table2[[#This Row],[!Type]]=J$1, J$1,"rg:None")</f>
        <v>boolean</v>
      </c>
      <c r="K127" s="4" t="str">
        <f>IF(Table2[[#This Row],[!Type]]=K$1, K$1,"rg:None")</f>
        <v>rg:None</v>
      </c>
      <c r="L127" s="4" t="str">
        <f>IF(Table2[[#This Row],[!Type]]=L$1, L$1,"rg:None")</f>
        <v>rg:None</v>
      </c>
      <c r="M127" s="4" t="str">
        <f>IF(Table2[[#This Row],[!Type]]=M$1, M$1,"rg:None")</f>
        <v>rg:None</v>
      </c>
      <c r="N127" s="4" t="str">
        <f>IF(Table2[[#This Row],[!Type]]=N$1, N$1,"rg:None")</f>
        <v>rg:None</v>
      </c>
      <c r="O127" s="4" t="str">
        <f>IF(Table2[[#This Row],[!Type]]=O$1, O$1,"rg:None")</f>
        <v>rg:None</v>
      </c>
      <c r="P127" s="4" t="str">
        <f>IF(Table2[[#This Row],[!Type]]=P$1, P$1,"rg:None")</f>
        <v>rg:None</v>
      </c>
      <c r="Q127" s="4" t="str">
        <f>IF(Table2[[#This Row],[!Type]]=Q$1, Q$1,"rg:None")</f>
        <v>rg:None</v>
      </c>
      <c r="R127" s="4" t="str">
        <f>IF(Table2[[#This Row],[!Type]]=R$1, R$1,"rg:None")</f>
        <v>rg:None</v>
      </c>
      <c r="S127" s="4" t="str">
        <f>IF(Table2[[#This Row],[!Type]]=S$1, S$1,"rg:None")</f>
        <v>rg:None</v>
      </c>
      <c r="T127" s="4" t="str">
        <f>IF(LEN(Table2[[#This Row],[!Length]]) &gt; 0, Table2[[#This Row],[!Length]], "rg:None")</f>
        <v>rg:None</v>
      </c>
      <c r="U127" s="4" t="str">
        <f>IF(LEN(Table2[[#This Row],[!Name]]) &gt; 0, Table2[[#This Row],[!Name]], "rg:None")</f>
        <v>hasRockBox</v>
      </c>
      <c r="V127" s="4" t="str">
        <f>IF(LEN(Table2[[#This Row],[!Description]]) &gt; 0, Table2[[#This Row],[!Description]], "rg:None")</f>
        <v>True if the Dump Truck has a rock box. Can be false or null.</v>
      </c>
      <c r="W127" s="4" t="str">
        <f>IF(LEN(Table2[[#This Row],[!FK]])&gt;0,Table2[[#This Row],[!FK]],"rg:None")</f>
        <v>rg:None</v>
      </c>
      <c r="X127" s="14" t="str">
        <f>IF(LEN(concatif2(A:A,Table2[[#This Row],[!Table]],G:G,"Y",D:D,",")) &gt; 0,"rg:[ { 'req' : '"&amp;concatif2(A:A,Table2[[#This Row],[!Table]],G:G,"Y",D:D,"' }, { 'req': '")&amp;"'} ]","rg:[]")</f>
        <v>rg:[ { 'req' : 'id' }, { 'req': 'equipment'} ]</v>
      </c>
      <c r="Y127" s="4" t="str">
        <f>IF(LEN(Table2[[#This Row],[!Unique]])&gt;0,IF(Table2[[#This Row],[!Type]] = "id", "rg:None","rg:True"),"rg:None")</f>
        <v>rg:None</v>
      </c>
    </row>
    <row r="128" spans="1:25" x14ac:dyDescent="0.35">
      <c r="A128" s="5" t="s">
        <v>106</v>
      </c>
      <c r="B128" s="95" t="s">
        <v>9</v>
      </c>
      <c r="D128" s="95" t="s">
        <v>264</v>
      </c>
      <c r="E128" s="96" t="s">
        <v>265</v>
      </c>
      <c r="F128" s="5" t="s">
        <v>5</v>
      </c>
      <c r="G128" s="4"/>
      <c r="H128" s="4"/>
      <c r="I128" s="4" t="str">
        <f t="shared" si="15"/>
        <v>Defs</v>
      </c>
      <c r="J128" s="4" t="str">
        <f>IF(Table2[[#This Row],[!Type]]=J$1, J$1,"rg:None")</f>
        <v>boolean</v>
      </c>
      <c r="K128" s="4" t="str">
        <f>IF(Table2[[#This Row],[!Type]]=K$1, K$1,"rg:None")</f>
        <v>rg:None</v>
      </c>
      <c r="L128" s="4" t="str">
        <f>IF(Table2[[#This Row],[!Type]]=L$1, L$1,"rg:None")</f>
        <v>rg:None</v>
      </c>
      <c r="M128" s="4" t="str">
        <f>IF(Table2[[#This Row],[!Type]]=M$1, M$1,"rg:None")</f>
        <v>rg:None</v>
      </c>
      <c r="N128" s="4" t="str">
        <f>IF(Table2[[#This Row],[!Type]]=N$1, N$1,"rg:None")</f>
        <v>rg:None</v>
      </c>
      <c r="O128" s="4" t="str">
        <f>IF(Table2[[#This Row],[!Type]]=O$1, O$1,"rg:None")</f>
        <v>rg:None</v>
      </c>
      <c r="P128" s="4" t="str">
        <f>IF(Table2[[#This Row],[!Type]]=P$1, P$1,"rg:None")</f>
        <v>rg:None</v>
      </c>
      <c r="Q128" s="4" t="str">
        <f>IF(Table2[[#This Row],[!Type]]=Q$1, Q$1,"rg:None")</f>
        <v>rg:None</v>
      </c>
      <c r="R128" s="4" t="str">
        <f>IF(Table2[[#This Row],[!Type]]=R$1, R$1,"rg:None")</f>
        <v>rg:None</v>
      </c>
      <c r="S128" s="4" t="str">
        <f>IF(Table2[[#This Row],[!Type]]=S$1, S$1,"rg:None")</f>
        <v>rg:None</v>
      </c>
      <c r="T128" s="4" t="str">
        <f>IF(LEN(Table2[[#This Row],[!Length]]) &gt; 0, Table2[[#This Row],[!Length]], "rg:None")</f>
        <v>rg:None</v>
      </c>
      <c r="U128" s="4" t="str">
        <f>IF(LEN(Table2[[#This Row],[!Name]]) &gt; 0, Table2[[#This Row],[!Name]], "rg:None")</f>
        <v>hasHiliftGate</v>
      </c>
      <c r="V128" s="4" t="str">
        <f>IF(LEN(Table2[[#This Row],[!Description]]) &gt; 0, Table2[[#This Row],[!Description]], "rg:None")</f>
        <v>True if the Dump Truck has a high lift gate vs. a traditional gate. Can be false or null.</v>
      </c>
      <c r="W128" s="4" t="str">
        <f>IF(LEN(Table2[[#This Row],[!FK]])&gt;0,Table2[[#This Row],[!FK]],"rg:None")</f>
        <v>rg:None</v>
      </c>
      <c r="X128" s="14" t="str">
        <f>IF(LEN(concatif2(A:A,Table2[[#This Row],[!Table]],G:G,"Y",D:D,",")) &gt; 0,"rg:[ { 'req' : '"&amp;concatif2(A:A,Table2[[#This Row],[!Table]],G:G,"Y",D:D,"' }, { 'req': '")&amp;"'} ]","rg:[]")</f>
        <v>rg:[ { 'req' : 'id' }, { 'req': 'equipment'} ]</v>
      </c>
      <c r="Y128" s="4" t="str">
        <f>IF(LEN(Table2[[#This Row],[!Unique]])&gt;0,IF(Table2[[#This Row],[!Type]] = "id", "rg:None","rg:True"),"rg:None")</f>
        <v>rg:None</v>
      </c>
    </row>
    <row r="129" spans="1:25" x14ac:dyDescent="0.35">
      <c r="A129" s="5" t="s">
        <v>106</v>
      </c>
      <c r="B129" s="95" t="s">
        <v>9</v>
      </c>
      <c r="D129" s="95" t="s">
        <v>266</v>
      </c>
      <c r="E129" s="96" t="s">
        <v>267</v>
      </c>
      <c r="F129" s="5" t="s">
        <v>5</v>
      </c>
      <c r="G129" s="4"/>
      <c r="H129" s="4"/>
      <c r="I129" s="4" t="str">
        <f t="shared" si="15"/>
        <v>Defs</v>
      </c>
      <c r="J129" s="4" t="str">
        <f>IF(Table2[[#This Row],[!Type]]=J$1, J$1,"rg:None")</f>
        <v>boolean</v>
      </c>
      <c r="K129" s="4" t="str">
        <f>IF(Table2[[#This Row],[!Type]]=K$1, K$1,"rg:None")</f>
        <v>rg:None</v>
      </c>
      <c r="L129" s="4" t="str">
        <f>IF(Table2[[#This Row],[!Type]]=L$1, L$1,"rg:None")</f>
        <v>rg:None</v>
      </c>
      <c r="M129" s="4" t="str">
        <f>IF(Table2[[#This Row],[!Type]]=M$1, M$1,"rg:None")</f>
        <v>rg:None</v>
      </c>
      <c r="N129" s="4" t="str">
        <f>IF(Table2[[#This Row],[!Type]]=N$1, N$1,"rg:None")</f>
        <v>rg:None</v>
      </c>
      <c r="O129" s="4" t="str">
        <f>IF(Table2[[#This Row],[!Type]]=O$1, O$1,"rg:None")</f>
        <v>rg:None</v>
      </c>
      <c r="P129" s="4" t="str">
        <f>IF(Table2[[#This Row],[!Type]]=P$1, P$1,"rg:None")</f>
        <v>rg:None</v>
      </c>
      <c r="Q129" s="4" t="str">
        <f>IF(Table2[[#This Row],[!Type]]=Q$1, Q$1,"rg:None")</f>
        <v>rg:None</v>
      </c>
      <c r="R129" s="4" t="str">
        <f>IF(Table2[[#This Row],[!Type]]=R$1, R$1,"rg:None")</f>
        <v>rg:None</v>
      </c>
      <c r="S129" s="4" t="str">
        <f>IF(Table2[[#This Row],[!Type]]=S$1, S$1,"rg:None")</f>
        <v>rg:None</v>
      </c>
      <c r="T129" s="4" t="str">
        <f>IF(LEN(Table2[[#This Row],[!Length]]) &gt; 0, Table2[[#This Row],[!Length]], "rg:None")</f>
        <v>rg:None</v>
      </c>
      <c r="U129" s="4" t="str">
        <f>IF(LEN(Table2[[#This Row],[!Name]]) &gt; 0, Table2[[#This Row],[!Name]], "rg:None")</f>
        <v>isWaterTruck</v>
      </c>
      <c r="V129" s="4" t="str">
        <f>IF(LEN(Table2[[#This Row],[!Description]]) &gt; 0, Table2[[#This Row],[!Description]], "rg:None")</f>
        <v xml:space="preserve">True if the Dump Truck is a Water Truck. Can be false or null. </v>
      </c>
      <c r="W129" s="4" t="str">
        <f>IF(LEN(Table2[[#This Row],[!FK]])&gt;0,Table2[[#This Row],[!FK]],"rg:None")</f>
        <v>rg:None</v>
      </c>
      <c r="X129" s="14" t="str">
        <f>IF(LEN(concatif2(A:A,Table2[[#This Row],[!Table]],G:G,"Y",D:D,",")) &gt; 0,"rg:[ { 'req' : '"&amp;concatif2(A:A,Table2[[#This Row],[!Table]],G:G,"Y",D:D,"' }, { 'req': '")&amp;"'} ]","rg:[]")</f>
        <v>rg:[ { 'req' : 'id' }, { 'req': 'equipment'} ]</v>
      </c>
      <c r="Y129" s="4" t="str">
        <f>IF(LEN(Table2[[#This Row],[!Unique]])&gt;0,IF(Table2[[#This Row],[!Type]] = "id", "rg:None","rg:True"),"rg:None")</f>
        <v>rg:None</v>
      </c>
    </row>
    <row r="130" spans="1:25" x14ac:dyDescent="0.35">
      <c r="A130" s="5" t="s">
        <v>106</v>
      </c>
      <c r="B130" s="95" t="s">
        <v>9</v>
      </c>
      <c r="C130" s="95"/>
      <c r="D130" s="95" t="s">
        <v>268</v>
      </c>
      <c r="E130" s="96" t="s">
        <v>269</v>
      </c>
      <c r="F130" s="5" t="s">
        <v>5</v>
      </c>
      <c r="G130" s="4"/>
      <c r="H130" s="4"/>
      <c r="I130" s="4" t="str">
        <f t="shared" si="15"/>
        <v>Defs</v>
      </c>
      <c r="J130" s="4" t="str">
        <f>IF(Table2[[#This Row],[!Type]]=J$1, J$1,"rg:None")</f>
        <v>boolean</v>
      </c>
      <c r="K130" s="4" t="str">
        <f>IF(Table2[[#This Row],[!Type]]=K$1, K$1,"rg:None")</f>
        <v>rg:None</v>
      </c>
      <c r="L130" s="4" t="str">
        <f>IF(Table2[[#This Row],[!Type]]=L$1, L$1,"rg:None")</f>
        <v>rg:None</v>
      </c>
      <c r="M130" s="4" t="str">
        <f>IF(Table2[[#This Row],[!Type]]=M$1, M$1,"rg:None")</f>
        <v>rg:None</v>
      </c>
      <c r="N130" s="4" t="str">
        <f>IF(Table2[[#This Row],[!Type]]=N$1, N$1,"rg:None")</f>
        <v>rg:None</v>
      </c>
      <c r="O130" s="4" t="str">
        <f>IF(Table2[[#This Row],[!Type]]=O$1, O$1,"rg:None")</f>
        <v>rg:None</v>
      </c>
      <c r="P130" s="4" t="str">
        <f>IF(Table2[[#This Row],[!Type]]=P$1, P$1,"rg:None")</f>
        <v>rg:None</v>
      </c>
      <c r="Q130" s="4" t="str">
        <f>IF(Table2[[#This Row],[!Type]]=Q$1, Q$1,"rg:None")</f>
        <v>rg:None</v>
      </c>
      <c r="R130" s="4" t="str">
        <f>IF(Table2[[#This Row],[!Type]]=R$1, R$1,"rg:None")</f>
        <v>rg:None</v>
      </c>
      <c r="S130" s="4" t="str">
        <f>IF(Table2[[#This Row],[!Type]]=S$1, S$1,"rg:None")</f>
        <v>rg:None</v>
      </c>
      <c r="T130" s="4" t="str">
        <f>IF(LEN(Table2[[#This Row],[!Length]]) &gt; 0, Table2[[#This Row],[!Length]], "rg:None")</f>
        <v>rg:None</v>
      </c>
      <c r="U130" s="4" t="str">
        <f>IF(LEN(Table2[[#This Row],[!Name]]) &gt; 0, Table2[[#This Row],[!Name]], "rg:None")</f>
        <v>hasSealcoatHitch</v>
      </c>
      <c r="V130" s="4" t="str">
        <f>IF(LEN(Table2[[#This Row],[!Description]]) &gt; 0, Table2[[#This Row],[!Description]], "rg:None")</f>
        <v>True if the Dump Truck has a hitch for using sealcoat trailers. Can be false or null.</v>
      </c>
      <c r="W130" s="4" t="str">
        <f>IF(LEN(Table2[[#This Row],[!FK]])&gt;0,Table2[[#This Row],[!FK]],"rg:None")</f>
        <v>rg:None</v>
      </c>
      <c r="X130" s="14" t="str">
        <f>IF(LEN(concatif2(A:A,Table2[[#This Row],[!Table]],G:G,"Y",D:D,",")) &gt; 0,"rg:[ { 'req' : '"&amp;concatif2(A:A,Table2[[#This Row],[!Table]],G:G,"Y",D:D,"' }, { 'req': '")&amp;"'} ]","rg:[]")</f>
        <v>rg:[ { 'req' : 'id' }, { 'req': 'equipment'} ]</v>
      </c>
      <c r="Y130" s="4" t="str">
        <f>IF(LEN(Table2[[#This Row],[!Unique]])&gt;0,IF(Table2[[#This Row],[!Type]] = "id", "rg:None","rg:True"),"rg:None")</f>
        <v>rg:None</v>
      </c>
    </row>
    <row r="131" spans="1:25" x14ac:dyDescent="0.35">
      <c r="A131" s="5" t="s">
        <v>106</v>
      </c>
      <c r="B131" s="5" t="s">
        <v>7</v>
      </c>
      <c r="C131" s="5">
        <v>150</v>
      </c>
      <c r="D131" s="5" t="s">
        <v>107</v>
      </c>
      <c r="E131" s="96" t="s">
        <v>270</v>
      </c>
      <c r="F131" s="5" t="s">
        <v>5</v>
      </c>
      <c r="G131" s="4"/>
      <c r="H131" s="4"/>
      <c r="I131" s="4" t="str">
        <f t="shared" si="15"/>
        <v>Defs</v>
      </c>
      <c r="J131" s="4" t="str">
        <f>IF(Table2[[#This Row],[!Type]]=J$1, J$1,"rg:None")</f>
        <v>rg:None</v>
      </c>
      <c r="K131" s="4" t="str">
        <f>IF(Table2[[#This Row],[!Type]]=K$1, K$1,"rg:None")</f>
        <v>rg:None</v>
      </c>
      <c r="L131" s="4" t="str">
        <f>IF(Table2[[#This Row],[!Type]]=L$1, L$1,"rg:None")</f>
        <v>rg:None</v>
      </c>
      <c r="M131" s="4" t="str">
        <f>IF(Table2[[#This Row],[!Type]]=M$1, M$1,"rg:None")</f>
        <v>rg:None</v>
      </c>
      <c r="N131" s="4" t="str">
        <f>IF(Table2[[#This Row],[!Type]]=N$1, N$1,"rg:None")</f>
        <v>rg:None</v>
      </c>
      <c r="O131" s="4" t="str">
        <f>IF(Table2[[#This Row],[!Type]]=O$1, O$1,"rg:None")</f>
        <v>rg:None</v>
      </c>
      <c r="P131" s="4" t="str">
        <f>IF(Table2[[#This Row],[!Type]]=P$1, P$1,"rg:None")</f>
        <v>rg:None</v>
      </c>
      <c r="Q131" s="4" t="str">
        <f>IF(Table2[[#This Row],[!Type]]=Q$1, Q$1,"rg:None")</f>
        <v>rg:None</v>
      </c>
      <c r="R131" s="4" t="str">
        <f>IF(Table2[[#This Row],[!Type]]=R$1, R$1,"rg:None")</f>
        <v>string</v>
      </c>
      <c r="S131" s="4" t="str">
        <f>IF(Table2[[#This Row],[!Type]]=S$1, S$1,"rg:None")</f>
        <v>rg:None</v>
      </c>
      <c r="T131" s="4">
        <f>IF(LEN(Table2[[#This Row],[!Length]]) &gt; 0, Table2[[#This Row],[!Length]], "rg:None")</f>
        <v>150</v>
      </c>
      <c r="U131" s="4" t="str">
        <f>IF(LEN(Table2[[#This Row],[!Name]]) &gt; 0, Table2[[#This Row],[!Name]], "rg:None")</f>
        <v>rearAxleSpacing</v>
      </c>
      <c r="V131" s="4" t="str">
        <f>IF(LEN(Table2[[#This Row],[!Description]]) &gt; 0, Table2[[#This Row],[!Description]], "rg:None")</f>
        <v>The spacing of the rear axles, if applicable. Usually in metres.</v>
      </c>
      <c r="W131" s="4" t="str">
        <f>IF(LEN(Table2[[#This Row],[!FK]])&gt;0,Table2[[#This Row],[!FK]],"rg:None")</f>
        <v>rg:None</v>
      </c>
      <c r="X131" s="14" t="str">
        <f>IF(LEN(concatif2(A:A,Table2[[#This Row],[!Table]],G:G,"Y",D:D,",")) &gt; 0,"rg:[ { 'req' : '"&amp;concatif2(A:A,Table2[[#This Row],[!Table]],G:G,"Y",D:D,"' }, { 'req': '")&amp;"'} ]","rg:[]")</f>
        <v>rg:[ { 'req' : 'id' }, { 'req': 'equipment'} ]</v>
      </c>
      <c r="Y131" s="4" t="str">
        <f>IF(LEN(Table2[[#This Row],[!Unique]])&gt;0,IF(Table2[[#This Row],[!Type]] = "id", "rg:None","rg:True"),"rg:None")</f>
        <v>rg:None</v>
      </c>
    </row>
    <row r="132" spans="1:25" x14ac:dyDescent="0.35">
      <c r="A132" s="5" t="s">
        <v>106</v>
      </c>
      <c r="B132" s="5" t="s">
        <v>7</v>
      </c>
      <c r="C132" s="5">
        <v>150</v>
      </c>
      <c r="D132" s="5" t="s">
        <v>108</v>
      </c>
      <c r="E132" s="96" t="s">
        <v>271</v>
      </c>
      <c r="F132" s="5" t="s">
        <v>5</v>
      </c>
      <c r="G132" s="4"/>
      <c r="H132" s="4"/>
      <c r="I132" s="4" t="str">
        <f t="shared" si="15"/>
        <v>Defs</v>
      </c>
      <c r="J132" s="4" t="str">
        <f>IF(Table2[[#This Row],[!Type]]=J$1, J$1,"rg:None")</f>
        <v>rg:None</v>
      </c>
      <c r="K132" s="4" t="str">
        <f>IF(Table2[[#This Row],[!Type]]=K$1, K$1,"rg:None")</f>
        <v>rg:None</v>
      </c>
      <c r="L132" s="4" t="str">
        <f>IF(Table2[[#This Row],[!Type]]=L$1, L$1,"rg:None")</f>
        <v>rg:None</v>
      </c>
      <c r="M132" s="4" t="str">
        <f>IF(Table2[[#This Row],[!Type]]=M$1, M$1,"rg:None")</f>
        <v>rg:None</v>
      </c>
      <c r="N132" s="4" t="str">
        <f>IF(Table2[[#This Row],[!Type]]=N$1, N$1,"rg:None")</f>
        <v>rg:None</v>
      </c>
      <c r="O132" s="4" t="str">
        <f>IF(Table2[[#This Row],[!Type]]=O$1, O$1,"rg:None")</f>
        <v>rg:None</v>
      </c>
      <c r="P132" s="4" t="str">
        <f>IF(Table2[[#This Row],[!Type]]=P$1, P$1,"rg:None")</f>
        <v>rg:None</v>
      </c>
      <c r="Q132" s="4" t="str">
        <f>IF(Table2[[#This Row],[!Type]]=Q$1, Q$1,"rg:None")</f>
        <v>rg:None</v>
      </c>
      <c r="R132" s="4" t="str">
        <f>IF(Table2[[#This Row],[!Type]]=R$1, R$1,"rg:None")</f>
        <v>string</v>
      </c>
      <c r="S132" s="4" t="str">
        <f>IF(Table2[[#This Row],[!Type]]=S$1, S$1,"rg:None")</f>
        <v>rg:None</v>
      </c>
      <c r="T132" s="4">
        <f>IF(LEN(Table2[[#This Row],[!Length]]) &gt; 0, Table2[[#This Row],[!Length]], "rg:None")</f>
        <v>150</v>
      </c>
      <c r="U132" s="4" t="str">
        <f>IF(LEN(Table2[[#This Row],[!Name]]) &gt; 0, Table2[[#This Row],[!Name]], "rg:None")</f>
        <v>frontTireSize</v>
      </c>
      <c r="V132" s="4" t="str">
        <f>IF(LEN(Table2[[#This Row],[!Description]]) &gt; 0, Table2[[#This Row],[!Description]], "rg:None")</f>
        <v>The size of of the Front Tires of the Dump Truck.</v>
      </c>
      <c r="W132" s="4" t="str">
        <f>IF(LEN(Table2[[#This Row],[!FK]])&gt;0,Table2[[#This Row],[!FK]],"rg:None")</f>
        <v>rg:None</v>
      </c>
      <c r="X132" s="14" t="str">
        <f>IF(LEN(concatif2(A:A,Table2[[#This Row],[!Table]],G:G,"Y",D:D,",")) &gt; 0,"rg:[ { 'req' : '"&amp;concatif2(A:A,Table2[[#This Row],[!Table]],G:G,"Y",D:D,"' }, { 'req': '")&amp;"'} ]","rg:[]")</f>
        <v>rg:[ { 'req' : 'id' }, { 'req': 'equipment'} ]</v>
      </c>
      <c r="Y132" s="4" t="str">
        <f>IF(LEN(Table2[[#This Row],[!Unique]])&gt;0,IF(Table2[[#This Row],[!Type]] = "id", "rg:None","rg:True"),"rg:None")</f>
        <v>rg:None</v>
      </c>
    </row>
    <row r="133" spans="1:25" x14ac:dyDescent="0.35">
      <c r="A133" s="5" t="s">
        <v>106</v>
      </c>
      <c r="B133" s="5" t="s">
        <v>7</v>
      </c>
      <c r="C133" s="5">
        <v>150</v>
      </c>
      <c r="D133" s="5" t="s">
        <v>109</v>
      </c>
      <c r="E133" s="96" t="s">
        <v>272</v>
      </c>
      <c r="F133" s="5" t="s">
        <v>5</v>
      </c>
      <c r="G133" s="4"/>
      <c r="H133" s="4"/>
      <c r="I133" s="4" t="str">
        <f t="shared" ref="I133:I152" si="16">IF(LEN(A133) &gt; 0,"Defs","-")</f>
        <v>Defs</v>
      </c>
      <c r="J133" s="4" t="str">
        <f>IF(Table2[[#This Row],[!Type]]=J$1, J$1,"rg:None")</f>
        <v>rg:None</v>
      </c>
      <c r="K133" s="4" t="str">
        <f>IF(Table2[[#This Row],[!Type]]=K$1, K$1,"rg:None")</f>
        <v>rg:None</v>
      </c>
      <c r="L133" s="4" t="str">
        <f>IF(Table2[[#This Row],[!Type]]=L$1, L$1,"rg:None")</f>
        <v>rg:None</v>
      </c>
      <c r="M133" s="4" t="str">
        <f>IF(Table2[[#This Row],[!Type]]=M$1, M$1,"rg:None")</f>
        <v>rg:None</v>
      </c>
      <c r="N133" s="4" t="str">
        <f>IF(Table2[[#This Row],[!Type]]=N$1, N$1,"rg:None")</f>
        <v>rg:None</v>
      </c>
      <c r="O133" s="4" t="str">
        <f>IF(Table2[[#This Row],[!Type]]=O$1, O$1,"rg:None")</f>
        <v>rg:None</v>
      </c>
      <c r="P133" s="4" t="str">
        <f>IF(Table2[[#This Row],[!Type]]=P$1, P$1,"rg:None")</f>
        <v>rg:None</v>
      </c>
      <c r="Q133" s="4" t="str">
        <f>IF(Table2[[#This Row],[!Type]]=Q$1, Q$1,"rg:None")</f>
        <v>rg:None</v>
      </c>
      <c r="R133" s="4" t="str">
        <f>IF(Table2[[#This Row],[!Type]]=R$1, R$1,"rg:None")</f>
        <v>string</v>
      </c>
      <c r="S133" s="4" t="str">
        <f>IF(Table2[[#This Row],[!Type]]=S$1, S$1,"rg:None")</f>
        <v>rg:None</v>
      </c>
      <c r="T133" s="4">
        <f>IF(LEN(Table2[[#This Row],[!Length]]) &gt; 0, Table2[[#This Row],[!Length]], "rg:None")</f>
        <v>150</v>
      </c>
      <c r="U133" s="4" t="str">
        <f>IF(LEN(Table2[[#This Row],[!Name]]) &gt; 0, Table2[[#This Row],[!Name]], "rg:None")</f>
        <v>frontTireUOM</v>
      </c>
      <c r="V133" s="4" t="str">
        <f>IF(LEN(Table2[[#This Row],[!Description]]) &gt; 0, Table2[[#This Row],[!Description]], "rg:None")</f>
        <v>The Unit of Measure of the Front Tire Size.</v>
      </c>
      <c r="W133" s="4" t="str">
        <f>IF(LEN(Table2[[#This Row],[!FK]])&gt;0,Table2[[#This Row],[!FK]],"rg:None")</f>
        <v>rg:None</v>
      </c>
      <c r="X133" s="14" t="str">
        <f>IF(LEN(concatif2(A:A,Table2[[#This Row],[!Table]],G:G,"Y",D:D,",")) &gt; 0,"rg:[ { 'req' : '"&amp;concatif2(A:A,Table2[[#This Row],[!Table]],G:G,"Y",D:D,"' }, { 'req': '")&amp;"'} ]","rg:[]")</f>
        <v>rg:[ { 'req' : 'id' }, { 'req': 'equipment'} ]</v>
      </c>
      <c r="Y133" s="4" t="str">
        <f>IF(LEN(Table2[[#This Row],[!Unique]])&gt;0,IF(Table2[[#This Row],[!Type]] = "id", "rg:None","rg:True"),"rg:None")</f>
        <v>rg:None</v>
      </c>
    </row>
    <row r="134" spans="1:25" x14ac:dyDescent="0.35">
      <c r="A134" s="5" t="s">
        <v>106</v>
      </c>
      <c r="B134" s="5" t="s">
        <v>7</v>
      </c>
      <c r="C134" s="5">
        <v>150</v>
      </c>
      <c r="D134" s="5" t="s">
        <v>110</v>
      </c>
      <c r="E134" s="96" t="s">
        <v>273</v>
      </c>
      <c r="F134" s="5" t="s">
        <v>5</v>
      </c>
      <c r="G134" s="4"/>
      <c r="H134" s="4"/>
      <c r="I134" s="4" t="str">
        <f t="shared" si="16"/>
        <v>Defs</v>
      </c>
      <c r="J134" s="4" t="str">
        <f>IF(Table2[[#This Row],[!Type]]=J$1, J$1,"rg:None")</f>
        <v>rg:None</v>
      </c>
      <c r="K134" s="4" t="str">
        <f>IF(Table2[[#This Row],[!Type]]=K$1, K$1,"rg:None")</f>
        <v>rg:None</v>
      </c>
      <c r="L134" s="4" t="str">
        <f>IF(Table2[[#This Row],[!Type]]=L$1, L$1,"rg:None")</f>
        <v>rg:None</v>
      </c>
      <c r="M134" s="4" t="str">
        <f>IF(Table2[[#This Row],[!Type]]=M$1, M$1,"rg:None")</f>
        <v>rg:None</v>
      </c>
      <c r="N134" s="4" t="str">
        <f>IF(Table2[[#This Row],[!Type]]=N$1, N$1,"rg:None")</f>
        <v>rg:None</v>
      </c>
      <c r="O134" s="4" t="str">
        <f>IF(Table2[[#This Row],[!Type]]=O$1, O$1,"rg:None")</f>
        <v>rg:None</v>
      </c>
      <c r="P134" s="4" t="str">
        <f>IF(Table2[[#This Row],[!Type]]=P$1, P$1,"rg:None")</f>
        <v>rg:None</v>
      </c>
      <c r="Q134" s="4" t="str">
        <f>IF(Table2[[#This Row],[!Type]]=Q$1, Q$1,"rg:None")</f>
        <v>rg:None</v>
      </c>
      <c r="R134" s="4" t="str">
        <f>IF(Table2[[#This Row],[!Type]]=R$1, R$1,"rg:None")</f>
        <v>string</v>
      </c>
      <c r="S134" s="4" t="str">
        <f>IF(Table2[[#This Row],[!Type]]=S$1, S$1,"rg:None")</f>
        <v>rg:None</v>
      </c>
      <c r="T134" s="4">
        <f>IF(LEN(Table2[[#This Row],[!Length]]) &gt; 0, Table2[[#This Row],[!Length]], "rg:None")</f>
        <v>150</v>
      </c>
      <c r="U134" s="4" t="str">
        <f>IF(LEN(Table2[[#This Row],[!Name]]) &gt; 0, Table2[[#This Row],[!Name]], "rg:None")</f>
        <v>frontAxleCapacity</v>
      </c>
      <c r="V134" s="4" t="str">
        <f>IF(LEN(Table2[[#This Row],[!Description]]) &gt; 0, Table2[[#This Row],[!Description]], "rg:None")</f>
        <v>The rated capacity of the Front Axle.</v>
      </c>
      <c r="W134" s="4" t="str">
        <f>IF(LEN(Table2[[#This Row],[!FK]])&gt;0,Table2[[#This Row],[!FK]],"rg:None")</f>
        <v>rg:None</v>
      </c>
      <c r="X134" s="14" t="str">
        <f>IF(LEN(concatif2(A:A,Table2[[#This Row],[!Table]],G:G,"Y",D:D,",")) &gt; 0,"rg:[ { 'req' : '"&amp;concatif2(A:A,Table2[[#This Row],[!Table]],G:G,"Y",D:D,"' }, { 'req': '")&amp;"'} ]","rg:[]")</f>
        <v>rg:[ { 'req' : 'id' }, { 'req': 'equipment'} ]</v>
      </c>
      <c r="Y134" s="4" t="str">
        <f>IF(LEN(Table2[[#This Row],[!Unique]])&gt;0,IF(Table2[[#This Row],[!Type]] = "id", "rg:None","rg:True"),"rg:None")</f>
        <v>rg:None</v>
      </c>
    </row>
    <row r="135" spans="1:25" x14ac:dyDescent="0.35">
      <c r="A135" s="5" t="s">
        <v>106</v>
      </c>
      <c r="B135" s="5" t="s">
        <v>7</v>
      </c>
      <c r="C135" s="5">
        <v>150</v>
      </c>
      <c r="D135" s="82" t="s">
        <v>184</v>
      </c>
      <c r="E135" s="96" t="s">
        <v>274</v>
      </c>
      <c r="F135" s="5" t="s">
        <v>5</v>
      </c>
      <c r="G135" s="4"/>
      <c r="H135" s="4"/>
      <c r="I135" s="4" t="str">
        <f t="shared" si="16"/>
        <v>Defs</v>
      </c>
      <c r="J135" s="4" t="str">
        <f>IF(Table2[[#This Row],[!Type]]=J$1, J$1,"rg:None")</f>
        <v>rg:None</v>
      </c>
      <c r="K135" s="4" t="str">
        <f>IF(Table2[[#This Row],[!Type]]=K$1, K$1,"rg:None")</f>
        <v>rg:None</v>
      </c>
      <c r="L135" s="4" t="str">
        <f>IF(Table2[[#This Row],[!Type]]=L$1, L$1,"rg:None")</f>
        <v>rg:None</v>
      </c>
      <c r="M135" s="4" t="str">
        <f>IF(Table2[[#This Row],[!Type]]=M$1, M$1,"rg:None")</f>
        <v>rg:None</v>
      </c>
      <c r="N135" s="4" t="str">
        <f>IF(Table2[[#This Row],[!Type]]=N$1, N$1,"rg:None")</f>
        <v>rg:None</v>
      </c>
      <c r="O135" s="4" t="str">
        <f>IF(Table2[[#This Row],[!Type]]=O$1, O$1,"rg:None")</f>
        <v>rg:None</v>
      </c>
      <c r="P135" s="4" t="str">
        <f>IF(Table2[[#This Row],[!Type]]=P$1, P$1,"rg:None")</f>
        <v>rg:None</v>
      </c>
      <c r="Q135" s="4" t="str">
        <f>IF(Table2[[#This Row],[!Type]]=Q$1, Q$1,"rg:None")</f>
        <v>rg:None</v>
      </c>
      <c r="R135" s="4" t="str">
        <f>IF(Table2[[#This Row],[!Type]]=R$1, R$1,"rg:None")</f>
        <v>string</v>
      </c>
      <c r="S135" s="4" t="str">
        <f>IF(Table2[[#This Row],[!Type]]=S$1, S$1,"rg:None")</f>
        <v>rg:None</v>
      </c>
      <c r="T135" s="4">
        <f>IF(LEN(Table2[[#This Row],[!Length]]) &gt; 0, Table2[[#This Row],[!Length]], "rg:None")</f>
        <v>150</v>
      </c>
      <c r="U135" s="4" t="str">
        <f>IF(LEN(Table2[[#This Row],[!Name]]) &gt; 0, Table2[[#This Row],[!Name]], "rg:None")</f>
        <v>rearAxleCapacity</v>
      </c>
      <c r="V135" s="4" t="str">
        <f>IF(LEN(Table2[[#This Row],[!Description]]) &gt; 0, Table2[[#This Row],[!Description]], "rg:None")</f>
        <v>The rated capacity of the Rear Axle.</v>
      </c>
      <c r="W135" s="4" t="str">
        <f>IF(LEN(Table2[[#This Row],[!FK]])&gt;0,Table2[[#This Row],[!FK]],"rg:None")</f>
        <v>rg:None</v>
      </c>
      <c r="X135" s="14" t="str">
        <f>IF(LEN(concatif2(A:A,Table2[[#This Row],[!Table]],G:G,"Y",D:D,",")) &gt; 0,"rg:[ { 'req' : '"&amp;concatif2(A:A,Table2[[#This Row],[!Table]],G:G,"Y",D:D,"' }, { 'req': '")&amp;"'} ]","rg:[]")</f>
        <v>rg:[ { 'req' : 'id' }, { 'req': 'equipment'} ]</v>
      </c>
      <c r="Y135" s="4" t="str">
        <f>IF(LEN(Table2[[#This Row],[!Unique]])&gt;0,IF(Table2[[#This Row],[!Type]] = "id", "rg:None","rg:True"),"rg:None")</f>
        <v>rg:None</v>
      </c>
    </row>
    <row r="136" spans="1:25" x14ac:dyDescent="0.35">
      <c r="A136" s="5" t="s">
        <v>106</v>
      </c>
      <c r="B136" s="5" t="s">
        <v>7</v>
      </c>
      <c r="C136" s="5">
        <v>150</v>
      </c>
      <c r="D136" s="5" t="s">
        <v>111</v>
      </c>
      <c r="E136" s="96" t="s">
        <v>275</v>
      </c>
      <c r="F136" s="5" t="s">
        <v>5</v>
      </c>
      <c r="G136" s="4"/>
      <c r="H136" s="4"/>
      <c r="I136" s="4" t="str">
        <f t="shared" si="16"/>
        <v>Defs</v>
      </c>
      <c r="J136" s="4" t="str">
        <f>IF(Table2[[#This Row],[!Type]]=J$1, J$1,"rg:None")</f>
        <v>rg:None</v>
      </c>
      <c r="K136" s="4" t="str">
        <f>IF(Table2[[#This Row],[!Type]]=K$1, K$1,"rg:None")</f>
        <v>rg:None</v>
      </c>
      <c r="L136" s="4" t="str">
        <f>IF(Table2[[#This Row],[!Type]]=L$1, L$1,"rg:None")</f>
        <v>rg:None</v>
      </c>
      <c r="M136" s="4" t="str">
        <f>IF(Table2[[#This Row],[!Type]]=M$1, M$1,"rg:None")</f>
        <v>rg:None</v>
      </c>
      <c r="N136" s="4" t="str">
        <f>IF(Table2[[#This Row],[!Type]]=N$1, N$1,"rg:None")</f>
        <v>rg:None</v>
      </c>
      <c r="O136" s="4" t="str">
        <f>IF(Table2[[#This Row],[!Type]]=O$1, O$1,"rg:None")</f>
        <v>rg:None</v>
      </c>
      <c r="P136" s="4" t="str">
        <f>IF(Table2[[#This Row],[!Type]]=P$1, P$1,"rg:None")</f>
        <v>rg:None</v>
      </c>
      <c r="Q136" s="4" t="str">
        <f>IF(Table2[[#This Row],[!Type]]=Q$1, Q$1,"rg:None")</f>
        <v>rg:None</v>
      </c>
      <c r="R136" s="4" t="str">
        <f>IF(Table2[[#This Row],[!Type]]=R$1, R$1,"rg:None")</f>
        <v>string</v>
      </c>
      <c r="S136" s="4" t="str">
        <f>IF(Table2[[#This Row],[!Type]]=S$1, S$1,"rg:None")</f>
        <v>rg:None</v>
      </c>
      <c r="T136" s="4">
        <f>IF(LEN(Table2[[#This Row],[!Length]]) &gt; 0, Table2[[#This Row],[!Length]], "rg:None")</f>
        <v>150</v>
      </c>
      <c r="U136" s="4" t="str">
        <f>IF(LEN(Table2[[#This Row],[!Name]]) &gt; 0, Table2[[#This Row],[!Name]], "rg:None")</f>
        <v>legalLoad</v>
      </c>
      <c r="V136" s="4" t="str">
        <f>IF(LEN(Table2[[#This Row],[!Description]]) &gt; 0, Table2[[#This Row],[!Description]], "rg:None")</f>
        <v>The legal load of the vehicle in kg.</v>
      </c>
      <c r="W136" s="4" t="str">
        <f>IF(LEN(Table2[[#This Row],[!FK]])&gt;0,Table2[[#This Row],[!FK]],"rg:None")</f>
        <v>rg:None</v>
      </c>
      <c r="X136" s="14" t="str">
        <f>IF(LEN(concatif2(A:A,Table2[[#This Row],[!Table]],G:G,"Y",D:D,",")) &gt; 0,"rg:[ { 'req' : '"&amp;concatif2(A:A,Table2[[#This Row],[!Table]],G:G,"Y",D:D,"' }, { 'req': '")&amp;"'} ]","rg:[]")</f>
        <v>rg:[ { 'req' : 'id' }, { 'req': 'equipment'} ]</v>
      </c>
      <c r="Y136" s="4" t="str">
        <f>IF(LEN(Table2[[#This Row],[!Unique]])&gt;0,IF(Table2[[#This Row],[!Type]] = "id", "rg:None","rg:True"),"rg:None")</f>
        <v>rg:None</v>
      </c>
    </row>
    <row r="137" spans="1:25" x14ac:dyDescent="0.35">
      <c r="A137" s="5" t="s">
        <v>106</v>
      </c>
      <c r="B137" s="5" t="s">
        <v>7</v>
      </c>
      <c r="C137" s="5">
        <v>150</v>
      </c>
      <c r="D137" s="5" t="s">
        <v>112</v>
      </c>
      <c r="E137" s="96" t="s">
        <v>276</v>
      </c>
      <c r="F137" s="5" t="s">
        <v>5</v>
      </c>
      <c r="G137" s="4"/>
      <c r="H137" s="4"/>
      <c r="I137" s="4" t="str">
        <f t="shared" si="16"/>
        <v>Defs</v>
      </c>
      <c r="J137" s="4" t="str">
        <f>IF(Table2[[#This Row],[!Type]]=J$1, J$1,"rg:None")</f>
        <v>rg:None</v>
      </c>
      <c r="K137" s="4" t="str">
        <f>IF(Table2[[#This Row],[!Type]]=K$1, K$1,"rg:None")</f>
        <v>rg:None</v>
      </c>
      <c r="L137" s="4" t="str">
        <f>IF(Table2[[#This Row],[!Type]]=L$1, L$1,"rg:None")</f>
        <v>rg:None</v>
      </c>
      <c r="M137" s="4" t="str">
        <f>IF(Table2[[#This Row],[!Type]]=M$1, M$1,"rg:None")</f>
        <v>rg:None</v>
      </c>
      <c r="N137" s="4" t="str">
        <f>IF(Table2[[#This Row],[!Type]]=N$1, N$1,"rg:None")</f>
        <v>rg:None</v>
      </c>
      <c r="O137" s="4" t="str">
        <f>IF(Table2[[#This Row],[!Type]]=O$1, O$1,"rg:None")</f>
        <v>rg:None</v>
      </c>
      <c r="P137" s="4" t="str">
        <f>IF(Table2[[#This Row],[!Type]]=P$1, P$1,"rg:None")</f>
        <v>rg:None</v>
      </c>
      <c r="Q137" s="4" t="str">
        <f>IF(Table2[[#This Row],[!Type]]=Q$1, Q$1,"rg:None")</f>
        <v>rg:None</v>
      </c>
      <c r="R137" s="4" t="str">
        <f>IF(Table2[[#This Row],[!Type]]=R$1, R$1,"rg:None")</f>
        <v>string</v>
      </c>
      <c r="S137" s="4" t="str">
        <f>IF(Table2[[#This Row],[!Type]]=S$1, S$1,"rg:None")</f>
        <v>rg:None</v>
      </c>
      <c r="T137" s="4">
        <f>IF(LEN(Table2[[#This Row],[!Length]]) &gt; 0, Table2[[#This Row],[!Length]], "rg:None")</f>
        <v>150</v>
      </c>
      <c r="U137" s="4" t="str">
        <f>IF(LEN(Table2[[#This Row],[!Name]]) &gt; 0, Table2[[#This Row],[!Name]], "rg:None")</f>
        <v>legalCapacity</v>
      </c>
      <c r="V137" s="4" t="str">
        <f>IF(LEN(Table2[[#This Row],[!Description]]) &gt; 0, Table2[[#This Row],[!Description]], "rg:None")</f>
        <v>The legal capacity of the dump truck.</v>
      </c>
      <c r="W137" s="4" t="str">
        <f>IF(LEN(Table2[[#This Row],[!FK]])&gt;0,Table2[[#This Row],[!FK]],"rg:None")</f>
        <v>rg:None</v>
      </c>
      <c r="X137" s="14" t="str">
        <f>IF(LEN(concatif2(A:A,Table2[[#This Row],[!Table]],G:G,"Y",D:D,",")) &gt; 0,"rg:[ { 'req' : '"&amp;concatif2(A:A,Table2[[#This Row],[!Table]],G:G,"Y",D:D,"' }, { 'req': '")&amp;"'} ]","rg:[]")</f>
        <v>rg:[ { 'req' : 'id' }, { 'req': 'equipment'} ]</v>
      </c>
      <c r="Y137" s="4" t="str">
        <f>IF(LEN(Table2[[#This Row],[!Unique]])&gt;0,IF(Table2[[#This Row],[!Type]] = "id", "rg:None","rg:True"),"rg:None")</f>
        <v>rg:None</v>
      </c>
    </row>
    <row r="138" spans="1:25" x14ac:dyDescent="0.35">
      <c r="A138" s="5" t="s">
        <v>106</v>
      </c>
      <c r="B138" s="5" t="s">
        <v>7</v>
      </c>
      <c r="C138" s="5">
        <v>150</v>
      </c>
      <c r="D138" s="5" t="s">
        <v>113</v>
      </c>
      <c r="E138" s="96" t="s">
        <v>280</v>
      </c>
      <c r="F138" s="5" t="s">
        <v>5</v>
      </c>
      <c r="G138" s="4"/>
      <c r="H138" s="4"/>
      <c r="I138" s="4" t="str">
        <f t="shared" si="16"/>
        <v>Defs</v>
      </c>
      <c r="J138" s="4" t="str">
        <f>IF(Table2[[#This Row],[!Type]]=J$1, J$1,"rg:None")</f>
        <v>rg:None</v>
      </c>
      <c r="K138" s="4" t="str">
        <f>IF(Table2[[#This Row],[!Type]]=K$1, K$1,"rg:None")</f>
        <v>rg:None</v>
      </c>
      <c r="L138" s="4" t="str">
        <f>IF(Table2[[#This Row],[!Type]]=L$1, L$1,"rg:None")</f>
        <v>rg:None</v>
      </c>
      <c r="M138" s="4" t="str">
        <f>IF(Table2[[#This Row],[!Type]]=M$1, M$1,"rg:None")</f>
        <v>rg:None</v>
      </c>
      <c r="N138" s="4" t="str">
        <f>IF(Table2[[#This Row],[!Type]]=N$1, N$1,"rg:None")</f>
        <v>rg:None</v>
      </c>
      <c r="O138" s="4" t="str">
        <f>IF(Table2[[#This Row],[!Type]]=O$1, O$1,"rg:None")</f>
        <v>rg:None</v>
      </c>
      <c r="P138" s="4" t="str">
        <f>IF(Table2[[#This Row],[!Type]]=P$1, P$1,"rg:None")</f>
        <v>rg:None</v>
      </c>
      <c r="Q138" s="4" t="str">
        <f>IF(Table2[[#This Row],[!Type]]=Q$1, Q$1,"rg:None")</f>
        <v>rg:None</v>
      </c>
      <c r="R138" s="4" t="str">
        <f>IF(Table2[[#This Row],[!Type]]=R$1, R$1,"rg:None")</f>
        <v>string</v>
      </c>
      <c r="S138" s="4" t="str">
        <f>IF(Table2[[#This Row],[!Type]]=S$1, S$1,"rg:None")</f>
        <v>rg:None</v>
      </c>
      <c r="T138" s="4">
        <f>IF(LEN(Table2[[#This Row],[!Length]]) &gt; 0, Table2[[#This Row],[!Length]], "rg:None")</f>
        <v>150</v>
      </c>
      <c r="U138" s="4" t="str">
        <f>IF(LEN(Table2[[#This Row],[!Name]]) &gt; 0, Table2[[#This Row],[!Name]], "rg:None")</f>
        <v>legalPUPTareWeight</v>
      </c>
      <c r="V138" s="4" t="str">
        <f>IF(LEN(Table2[[#This Row],[!Description]]) &gt; 0, Table2[[#This Row],[!Description]], "rg:None")</f>
        <v>The legal Tare Weight (weight when unloaded) of the PUP trailer.</v>
      </c>
      <c r="W138" s="4" t="str">
        <f>IF(LEN(Table2[[#This Row],[!FK]])&gt;0,Table2[[#This Row],[!FK]],"rg:None")</f>
        <v>rg:None</v>
      </c>
      <c r="X138" s="14" t="str">
        <f>IF(LEN(concatif2(A:A,Table2[[#This Row],[!Table]],G:G,"Y",D:D,",")) &gt; 0,"rg:[ { 'req' : '"&amp;concatif2(A:A,Table2[[#This Row],[!Table]],G:G,"Y",D:D,"' }, { 'req': '")&amp;"'} ]","rg:[]")</f>
        <v>rg:[ { 'req' : 'id' }, { 'req': 'equipment'} ]</v>
      </c>
      <c r="Y138" s="4" t="str">
        <f>IF(LEN(Table2[[#This Row],[!Unique]])&gt;0,IF(Table2[[#This Row],[!Type]] = "id", "rg:None","rg:True"),"rg:None")</f>
        <v>rg:None</v>
      </c>
    </row>
    <row r="139" spans="1:25" ht="43.2" x14ac:dyDescent="0.35">
      <c r="A139" s="5" t="s">
        <v>106</v>
      </c>
      <c r="B139" s="5" t="s">
        <v>7</v>
      </c>
      <c r="C139" s="5">
        <v>150</v>
      </c>
      <c r="D139" s="5" t="s">
        <v>114</v>
      </c>
      <c r="E139" s="96" t="s">
        <v>277</v>
      </c>
      <c r="F139" s="5" t="s">
        <v>5</v>
      </c>
      <c r="G139" s="4"/>
      <c r="H139" s="4"/>
      <c r="I139" s="4" t="str">
        <f t="shared" si="16"/>
        <v>Defs</v>
      </c>
      <c r="J139" s="4" t="str">
        <f>IF(Table2[[#This Row],[!Type]]=J$1, J$1,"rg:None")</f>
        <v>rg:None</v>
      </c>
      <c r="K139" s="4" t="str">
        <f>IF(Table2[[#This Row],[!Type]]=K$1, K$1,"rg:None")</f>
        <v>rg:None</v>
      </c>
      <c r="L139" s="4" t="str">
        <f>IF(Table2[[#This Row],[!Type]]=L$1, L$1,"rg:None")</f>
        <v>rg:None</v>
      </c>
      <c r="M139" s="4" t="str">
        <f>IF(Table2[[#This Row],[!Type]]=M$1, M$1,"rg:None")</f>
        <v>rg:None</v>
      </c>
      <c r="N139" s="4" t="str">
        <f>IF(Table2[[#This Row],[!Type]]=N$1, N$1,"rg:None")</f>
        <v>rg:None</v>
      </c>
      <c r="O139" s="4" t="str">
        <f>IF(Table2[[#This Row],[!Type]]=O$1, O$1,"rg:None")</f>
        <v>rg:None</v>
      </c>
      <c r="P139" s="4" t="str">
        <f>IF(Table2[[#This Row],[!Type]]=P$1, P$1,"rg:None")</f>
        <v>rg:None</v>
      </c>
      <c r="Q139" s="4" t="str">
        <f>IF(Table2[[#This Row],[!Type]]=Q$1, Q$1,"rg:None")</f>
        <v>rg:None</v>
      </c>
      <c r="R139" s="4" t="str">
        <f>IF(Table2[[#This Row],[!Type]]=R$1, R$1,"rg:None")</f>
        <v>string</v>
      </c>
      <c r="S139" s="4" t="str">
        <f>IF(Table2[[#This Row],[!Type]]=S$1, S$1,"rg:None")</f>
        <v>rg:None</v>
      </c>
      <c r="T139" s="4">
        <f>IF(LEN(Table2[[#This Row],[!Length]]) &gt; 0, Table2[[#This Row],[!Length]], "rg:None")</f>
        <v>150</v>
      </c>
      <c r="U139" s="4" t="str">
        <f>IF(LEN(Table2[[#This Row],[!Name]]) &gt; 0, Table2[[#This Row],[!Name]], "rg:None")</f>
        <v>licencedGVW</v>
      </c>
      <c r="V139" s="4" t="str">
        <f>IF(LEN(Table2[[#This Row],[!Description]]) &gt; 0, Table2[[#This Row],[!Description]], "rg:None")</f>
        <v>The Gross Vehicle Weight for which the vehicle is licensed. GVW includes the vehicle's chassis, body, engine, engine fluids, fuel, accessories, driver, passengers and cargo but excluding that of any trailers.</v>
      </c>
      <c r="W139" s="4" t="str">
        <f>IF(LEN(Table2[[#This Row],[!FK]])&gt;0,Table2[[#This Row],[!FK]],"rg:None")</f>
        <v>rg:None</v>
      </c>
      <c r="X139" s="14" t="str">
        <f>IF(LEN(concatif2(A:A,Table2[[#This Row],[!Table]],G:G,"Y",D:D,",")) &gt; 0,"rg:[ { 'req' : '"&amp;concatif2(A:A,Table2[[#This Row],[!Table]],G:G,"Y",D:D,"' }, { 'req': '")&amp;"'} ]","rg:[]")</f>
        <v>rg:[ { 'req' : 'id' }, { 'req': 'equipment'} ]</v>
      </c>
      <c r="Y139" s="4" t="str">
        <f>IF(LEN(Table2[[#This Row],[!Unique]])&gt;0,IF(Table2[[#This Row],[!Type]] = "id", "rg:None","rg:True"),"rg:None")</f>
        <v>rg:None</v>
      </c>
    </row>
    <row r="140" spans="1:25" x14ac:dyDescent="0.35">
      <c r="A140" s="5" t="s">
        <v>106</v>
      </c>
      <c r="B140" s="5" t="s">
        <v>7</v>
      </c>
      <c r="C140" s="5">
        <v>150</v>
      </c>
      <c r="D140" s="5" t="s">
        <v>115</v>
      </c>
      <c r="E140" s="96" t="s">
        <v>278</v>
      </c>
      <c r="F140" s="5" t="s">
        <v>5</v>
      </c>
      <c r="G140" s="4"/>
      <c r="H140" s="4"/>
      <c r="I140" s="4" t="str">
        <f t="shared" si="16"/>
        <v>Defs</v>
      </c>
      <c r="J140" s="4" t="str">
        <f>IF(Table2[[#This Row],[!Type]]=J$1, J$1,"rg:None")</f>
        <v>rg:None</v>
      </c>
      <c r="K140" s="4" t="str">
        <f>IF(Table2[[#This Row],[!Type]]=K$1, K$1,"rg:None")</f>
        <v>rg:None</v>
      </c>
      <c r="L140" s="4" t="str">
        <f>IF(Table2[[#This Row],[!Type]]=L$1, L$1,"rg:None")</f>
        <v>rg:None</v>
      </c>
      <c r="M140" s="4" t="str">
        <f>IF(Table2[[#This Row],[!Type]]=M$1, M$1,"rg:None")</f>
        <v>rg:None</v>
      </c>
      <c r="N140" s="4" t="str">
        <f>IF(Table2[[#This Row],[!Type]]=N$1, N$1,"rg:None")</f>
        <v>rg:None</v>
      </c>
      <c r="O140" s="4" t="str">
        <f>IF(Table2[[#This Row],[!Type]]=O$1, O$1,"rg:None")</f>
        <v>rg:None</v>
      </c>
      <c r="P140" s="4" t="str">
        <f>IF(Table2[[#This Row],[!Type]]=P$1, P$1,"rg:None")</f>
        <v>rg:None</v>
      </c>
      <c r="Q140" s="4" t="str">
        <f>IF(Table2[[#This Row],[!Type]]=Q$1, Q$1,"rg:None")</f>
        <v>rg:None</v>
      </c>
      <c r="R140" s="4" t="str">
        <f>IF(Table2[[#This Row],[!Type]]=R$1, R$1,"rg:None")</f>
        <v>string</v>
      </c>
      <c r="S140" s="4" t="str">
        <f>IF(Table2[[#This Row],[!Type]]=S$1, S$1,"rg:None")</f>
        <v>rg:None</v>
      </c>
      <c r="T140" s="4">
        <f>IF(LEN(Table2[[#This Row],[!Length]]) &gt; 0, Table2[[#This Row],[!Length]], "rg:None")</f>
        <v>150</v>
      </c>
      <c r="U140" s="4" t="str">
        <f>IF(LEN(Table2[[#This Row],[!Name]]) &gt; 0, Table2[[#This Row],[!Name]], "rg:None")</f>
        <v>licencedGVWUOM</v>
      </c>
      <c r="V140" s="4" t="str">
        <f>IF(LEN(Table2[[#This Row],[!Description]]) &gt; 0, Table2[[#This Row],[!Description]], "rg:None")</f>
        <v>The Unit of Measure (UOM) of the licenced GVW.</v>
      </c>
      <c r="W140" s="4" t="str">
        <f>IF(LEN(Table2[[#This Row],[!FK]])&gt;0,Table2[[#This Row],[!FK]],"rg:None")</f>
        <v>rg:None</v>
      </c>
      <c r="X140" s="14" t="str">
        <f>IF(LEN(concatif2(A:A,Table2[[#This Row],[!Table]],G:G,"Y",D:D,",")) &gt; 0,"rg:[ { 'req' : '"&amp;concatif2(A:A,Table2[[#This Row],[!Table]],G:G,"Y",D:D,"' }, { 'req': '")&amp;"'} ]","rg:[]")</f>
        <v>rg:[ { 'req' : 'id' }, { 'req': 'equipment'} ]</v>
      </c>
      <c r="Y140" s="4" t="str">
        <f>IF(LEN(Table2[[#This Row],[!Unique]])&gt;0,IF(Table2[[#This Row],[!Type]] = "id", "rg:None","rg:True"),"rg:None")</f>
        <v>rg:None</v>
      </c>
    </row>
    <row r="141" spans="1:25" x14ac:dyDescent="0.35">
      <c r="A141" s="5" t="s">
        <v>106</v>
      </c>
      <c r="B141" s="5" t="s">
        <v>7</v>
      </c>
      <c r="C141" s="5">
        <v>150</v>
      </c>
      <c r="D141" s="5" t="s">
        <v>116</v>
      </c>
      <c r="E141" s="96" t="s">
        <v>279</v>
      </c>
      <c r="F141" s="5" t="s">
        <v>5</v>
      </c>
      <c r="G141" s="4"/>
      <c r="H141" s="4"/>
      <c r="I141" s="4" t="str">
        <f t="shared" si="16"/>
        <v>Defs</v>
      </c>
      <c r="J141" s="4" t="str">
        <f>IF(Table2[[#This Row],[!Type]]=J$1, J$1,"rg:None")</f>
        <v>rg:None</v>
      </c>
      <c r="K141" s="4" t="str">
        <f>IF(Table2[[#This Row],[!Type]]=K$1, K$1,"rg:None")</f>
        <v>rg:None</v>
      </c>
      <c r="L141" s="4" t="str">
        <f>IF(Table2[[#This Row],[!Type]]=L$1, L$1,"rg:None")</f>
        <v>rg:None</v>
      </c>
      <c r="M141" s="4" t="str">
        <f>IF(Table2[[#This Row],[!Type]]=M$1, M$1,"rg:None")</f>
        <v>rg:None</v>
      </c>
      <c r="N141" s="4" t="str">
        <f>IF(Table2[[#This Row],[!Type]]=N$1, N$1,"rg:None")</f>
        <v>rg:None</v>
      </c>
      <c r="O141" s="4" t="str">
        <f>IF(Table2[[#This Row],[!Type]]=O$1, O$1,"rg:None")</f>
        <v>rg:None</v>
      </c>
      <c r="P141" s="4" t="str">
        <f>IF(Table2[[#This Row],[!Type]]=P$1, P$1,"rg:None")</f>
        <v>rg:None</v>
      </c>
      <c r="Q141" s="4" t="str">
        <f>IF(Table2[[#This Row],[!Type]]=Q$1, Q$1,"rg:None")</f>
        <v>rg:None</v>
      </c>
      <c r="R141" s="4" t="str">
        <f>IF(Table2[[#This Row],[!Type]]=R$1, R$1,"rg:None")</f>
        <v>string</v>
      </c>
      <c r="S141" s="4" t="str">
        <f>IF(Table2[[#This Row],[!Type]]=S$1, S$1,"rg:None")</f>
        <v>rg:None</v>
      </c>
      <c r="T141" s="4">
        <f>IF(LEN(Table2[[#This Row],[!Length]]) &gt; 0, Table2[[#This Row],[!Length]], "rg:None")</f>
        <v>150</v>
      </c>
      <c r="U141" s="4" t="str">
        <f>IF(LEN(Table2[[#This Row],[!Name]]) &gt; 0, Table2[[#This Row],[!Name]], "rg:None")</f>
        <v>licencedTareWeight</v>
      </c>
      <c r="V141" s="4" t="str">
        <f>IF(LEN(Table2[[#This Row],[!Description]]) &gt; 0, Table2[[#This Row],[!Description]], "rg:None")</f>
        <v>The licenced Tare Weight (weight when unloaded) of the vehicle.</v>
      </c>
      <c r="W141" s="4" t="str">
        <f>IF(LEN(Table2[[#This Row],[!FK]])&gt;0,Table2[[#This Row],[!FK]],"rg:None")</f>
        <v>rg:None</v>
      </c>
      <c r="X141" s="14" t="str">
        <f>IF(LEN(concatif2(A:A,Table2[[#This Row],[!Table]],G:G,"Y",D:D,",")) &gt; 0,"rg:[ { 'req' : '"&amp;concatif2(A:A,Table2[[#This Row],[!Table]],G:G,"Y",D:D,"' }, { 'req': '")&amp;"'} ]","rg:[]")</f>
        <v>rg:[ { 'req' : 'id' }, { 'req': 'equipment'} ]</v>
      </c>
      <c r="Y141" s="4" t="str">
        <f>IF(LEN(Table2[[#This Row],[!Unique]])&gt;0,IF(Table2[[#This Row],[!Type]] = "id", "rg:None","rg:True"),"rg:None")</f>
        <v>rg:None</v>
      </c>
    </row>
    <row r="142" spans="1:25" x14ac:dyDescent="0.35">
      <c r="A142" s="5" t="s">
        <v>106</v>
      </c>
      <c r="B142" s="5" t="s">
        <v>7</v>
      </c>
      <c r="C142" s="5">
        <v>150</v>
      </c>
      <c r="D142" s="5" t="s">
        <v>117</v>
      </c>
      <c r="E142" s="96" t="s">
        <v>281</v>
      </c>
      <c r="F142" s="5" t="s">
        <v>5</v>
      </c>
      <c r="G142" s="4"/>
      <c r="H142" s="4"/>
      <c r="I142" s="4" t="str">
        <f t="shared" si="16"/>
        <v>Defs</v>
      </c>
      <c r="J142" s="4" t="str">
        <f>IF(Table2[[#This Row],[!Type]]=J$1, J$1,"rg:None")</f>
        <v>rg:None</v>
      </c>
      <c r="K142" s="4" t="str">
        <f>IF(Table2[[#This Row],[!Type]]=K$1, K$1,"rg:None")</f>
        <v>rg:None</v>
      </c>
      <c r="L142" s="4" t="str">
        <f>IF(Table2[[#This Row],[!Type]]=L$1, L$1,"rg:None")</f>
        <v>rg:None</v>
      </c>
      <c r="M142" s="4" t="str">
        <f>IF(Table2[[#This Row],[!Type]]=M$1, M$1,"rg:None")</f>
        <v>rg:None</v>
      </c>
      <c r="N142" s="4" t="str">
        <f>IF(Table2[[#This Row],[!Type]]=N$1, N$1,"rg:None")</f>
        <v>rg:None</v>
      </c>
      <c r="O142" s="4" t="str">
        <f>IF(Table2[[#This Row],[!Type]]=O$1, O$1,"rg:None")</f>
        <v>rg:None</v>
      </c>
      <c r="P142" s="4" t="str">
        <f>IF(Table2[[#This Row],[!Type]]=P$1, P$1,"rg:None")</f>
        <v>rg:None</v>
      </c>
      <c r="Q142" s="4" t="str">
        <f>IF(Table2[[#This Row],[!Type]]=Q$1, Q$1,"rg:None")</f>
        <v>rg:None</v>
      </c>
      <c r="R142" s="4" t="str">
        <f>IF(Table2[[#This Row],[!Type]]=R$1, R$1,"rg:None")</f>
        <v>string</v>
      </c>
      <c r="S142" s="4" t="str">
        <f>IF(Table2[[#This Row],[!Type]]=S$1, S$1,"rg:None")</f>
        <v>rg:None</v>
      </c>
      <c r="T142" s="4">
        <f>IF(LEN(Table2[[#This Row],[!Length]]) &gt; 0, Table2[[#This Row],[!Length]], "rg:None")</f>
        <v>150</v>
      </c>
      <c r="U142" s="4" t="str">
        <f>IF(LEN(Table2[[#This Row],[!Name]]) &gt; 0, Table2[[#This Row],[!Name]], "rg:None")</f>
        <v>licencedPUPTareWeight</v>
      </c>
      <c r="V142" s="4" t="str">
        <f>IF(LEN(Table2[[#This Row],[!Description]]) &gt; 0, Table2[[#This Row],[!Description]], "rg:None")</f>
        <v>The licenced Tare Weight (weight when unloaded) of the PUP trailer.</v>
      </c>
      <c r="W142" s="4" t="str">
        <f>IF(LEN(Table2[[#This Row],[!FK]])&gt;0,Table2[[#This Row],[!FK]],"rg:None")</f>
        <v>rg:None</v>
      </c>
      <c r="X142" s="14" t="str">
        <f>IF(LEN(concatif2(A:A,Table2[[#This Row],[!Table]],G:G,"Y",D:D,",")) &gt; 0,"rg:[ { 'req' : '"&amp;concatif2(A:A,Table2[[#This Row],[!Table]],G:G,"Y",D:D,"' }, { 'req': '")&amp;"'} ]","rg:[]")</f>
        <v>rg:[ { 'req' : 'id' }, { 'req': 'equipment'} ]</v>
      </c>
      <c r="Y142" s="4" t="str">
        <f>IF(LEN(Table2[[#This Row],[!Unique]])&gt;0,IF(Table2[[#This Row],[!Type]] = "id", "rg:None","rg:True"),"rg:None")</f>
        <v>rg:None</v>
      </c>
    </row>
    <row r="143" spans="1:25" x14ac:dyDescent="0.35">
      <c r="A143" s="5" t="s">
        <v>106</v>
      </c>
      <c r="B143" s="5" t="s">
        <v>7</v>
      </c>
      <c r="C143" s="5">
        <v>150</v>
      </c>
      <c r="D143" s="5" t="s">
        <v>118</v>
      </c>
      <c r="E143" s="96" t="s">
        <v>282</v>
      </c>
      <c r="F143" s="5" t="s">
        <v>5</v>
      </c>
      <c r="G143" s="4"/>
      <c r="H143" s="4"/>
      <c r="I143" s="4" t="str">
        <f t="shared" si="16"/>
        <v>Defs</v>
      </c>
      <c r="J143" s="4" t="str">
        <f>IF(Table2[[#This Row],[!Type]]=J$1, J$1,"rg:None")</f>
        <v>rg:None</v>
      </c>
      <c r="K143" s="4" t="str">
        <f>IF(Table2[[#This Row],[!Type]]=K$1, K$1,"rg:None")</f>
        <v>rg:None</v>
      </c>
      <c r="L143" s="4" t="str">
        <f>IF(Table2[[#This Row],[!Type]]=L$1, L$1,"rg:None")</f>
        <v>rg:None</v>
      </c>
      <c r="M143" s="4" t="str">
        <f>IF(Table2[[#This Row],[!Type]]=M$1, M$1,"rg:None")</f>
        <v>rg:None</v>
      </c>
      <c r="N143" s="4" t="str">
        <f>IF(Table2[[#This Row],[!Type]]=N$1, N$1,"rg:None")</f>
        <v>rg:None</v>
      </c>
      <c r="O143" s="4" t="str">
        <f>IF(Table2[[#This Row],[!Type]]=O$1, O$1,"rg:None")</f>
        <v>rg:None</v>
      </c>
      <c r="P143" s="4" t="str">
        <f>IF(Table2[[#This Row],[!Type]]=P$1, P$1,"rg:None")</f>
        <v>rg:None</v>
      </c>
      <c r="Q143" s="4" t="str">
        <f>IF(Table2[[#This Row],[!Type]]=Q$1, Q$1,"rg:None")</f>
        <v>rg:None</v>
      </c>
      <c r="R143" s="4" t="str">
        <f>IF(Table2[[#This Row],[!Type]]=R$1, R$1,"rg:None")</f>
        <v>string</v>
      </c>
      <c r="S143" s="4" t="str">
        <f>IF(Table2[[#This Row],[!Type]]=S$1, S$1,"rg:None")</f>
        <v>rg:None</v>
      </c>
      <c r="T143" s="4">
        <f>IF(LEN(Table2[[#This Row],[!Length]]) &gt; 0, Table2[[#This Row],[!Length]], "rg:None")</f>
        <v>150</v>
      </c>
      <c r="U143" s="4" t="str">
        <f>IF(LEN(Table2[[#This Row],[!Name]]) &gt; 0, Table2[[#This Row],[!Name]], "rg:None")</f>
        <v>licencedLoad</v>
      </c>
      <c r="V143" s="4" t="str">
        <f>IF(LEN(Table2[[#This Row],[!Description]]) &gt; 0, Table2[[#This Row],[!Description]], "rg:None")</f>
        <v>The licenced maximum load of the vehicle in kg.</v>
      </c>
      <c r="W143" s="4" t="str">
        <f>IF(LEN(Table2[[#This Row],[!FK]])&gt;0,Table2[[#This Row],[!FK]],"rg:None")</f>
        <v>rg:None</v>
      </c>
      <c r="X143" s="14" t="str">
        <f>IF(LEN(concatif2(A:A,Table2[[#This Row],[!Table]],G:G,"Y",D:D,",")) &gt; 0,"rg:[ { 'req' : '"&amp;concatif2(A:A,Table2[[#This Row],[!Table]],G:G,"Y",D:D,"' }, { 'req': '")&amp;"'} ]","rg:[]")</f>
        <v>rg:[ { 'req' : 'id' }, { 'req': 'equipment'} ]</v>
      </c>
      <c r="Y143" s="4" t="str">
        <f>IF(LEN(Table2[[#This Row],[!Unique]])&gt;0,IF(Table2[[#This Row],[!Type]] = "id", "rg:None","rg:True"),"rg:None")</f>
        <v>rg:None</v>
      </c>
    </row>
    <row r="144" spans="1:25" x14ac:dyDescent="0.35">
      <c r="A144" s="5" t="s">
        <v>106</v>
      </c>
      <c r="B144" s="5" t="s">
        <v>7</v>
      </c>
      <c r="C144" s="5">
        <v>150</v>
      </c>
      <c r="D144" s="5" t="s">
        <v>119</v>
      </c>
      <c r="E144" s="96" t="s">
        <v>283</v>
      </c>
      <c r="F144" s="5" t="s">
        <v>5</v>
      </c>
      <c r="G144" s="4"/>
      <c r="H144" s="4"/>
      <c r="I144" s="4" t="str">
        <f t="shared" si="16"/>
        <v>Defs</v>
      </c>
      <c r="J144" s="4" t="str">
        <f>IF(Table2[[#This Row],[!Type]]=J$1, J$1,"rg:None")</f>
        <v>rg:None</v>
      </c>
      <c r="K144" s="4" t="str">
        <f>IF(Table2[[#This Row],[!Type]]=K$1, K$1,"rg:None")</f>
        <v>rg:None</v>
      </c>
      <c r="L144" s="4" t="str">
        <f>IF(Table2[[#This Row],[!Type]]=L$1, L$1,"rg:None")</f>
        <v>rg:None</v>
      </c>
      <c r="M144" s="4" t="str">
        <f>IF(Table2[[#This Row],[!Type]]=M$1, M$1,"rg:None")</f>
        <v>rg:None</v>
      </c>
      <c r="N144" s="4" t="str">
        <f>IF(Table2[[#This Row],[!Type]]=N$1, N$1,"rg:None")</f>
        <v>rg:None</v>
      </c>
      <c r="O144" s="4" t="str">
        <f>IF(Table2[[#This Row],[!Type]]=O$1, O$1,"rg:None")</f>
        <v>rg:None</v>
      </c>
      <c r="P144" s="4" t="str">
        <f>IF(Table2[[#This Row],[!Type]]=P$1, P$1,"rg:None")</f>
        <v>rg:None</v>
      </c>
      <c r="Q144" s="4" t="str">
        <f>IF(Table2[[#This Row],[!Type]]=Q$1, Q$1,"rg:None")</f>
        <v>rg:None</v>
      </c>
      <c r="R144" s="4" t="str">
        <f>IF(Table2[[#This Row],[!Type]]=R$1, R$1,"rg:None")</f>
        <v>string</v>
      </c>
      <c r="S144" s="4" t="str">
        <f>IF(Table2[[#This Row],[!Type]]=S$1, S$1,"rg:None")</f>
        <v>rg:None</v>
      </c>
      <c r="T144" s="4">
        <f>IF(LEN(Table2[[#This Row],[!Length]]) &gt; 0, Table2[[#This Row],[!Length]], "rg:None")</f>
        <v>150</v>
      </c>
      <c r="U144" s="4" t="str">
        <f>IF(LEN(Table2[[#This Row],[!Name]]) &gt; 0, Table2[[#This Row],[!Name]], "rg:None")</f>
        <v>licencedCapacity</v>
      </c>
      <c r="V144" s="4" t="str">
        <f>IF(LEN(Table2[[#This Row],[!Description]]) &gt; 0, Table2[[#This Row],[!Description]], "rg:None")</f>
        <v>The licenced maximum capacity of the vehicle.</v>
      </c>
      <c r="W144" s="4" t="str">
        <f>IF(LEN(Table2[[#This Row],[!FK]])&gt;0,Table2[[#This Row],[!FK]],"rg:None")</f>
        <v>rg:None</v>
      </c>
      <c r="X144" s="14" t="str">
        <f>IF(LEN(concatif2(A:A,Table2[[#This Row],[!Table]],G:G,"Y",D:D,",")) &gt; 0,"rg:[ { 'req' : '"&amp;concatif2(A:A,Table2[[#This Row],[!Table]],G:G,"Y",D:D,"' }, { 'req': '")&amp;"'} ]","rg:[]")</f>
        <v>rg:[ { 'req' : 'id' }, { 'req': 'equipment'} ]</v>
      </c>
      <c r="Y144" s="4" t="str">
        <f>IF(LEN(Table2[[#This Row],[!Unique]])&gt;0,IF(Table2[[#This Row],[!Type]] = "id", "rg:None","rg:True"),"rg:None")</f>
        <v>rg:None</v>
      </c>
    </row>
    <row r="145" spans="1:25" ht="28.8" x14ac:dyDescent="0.35">
      <c r="A145" s="5" t="s">
        <v>106</v>
      </c>
      <c r="B145" s="5" t="s">
        <v>7</v>
      </c>
      <c r="C145" s="5">
        <v>150</v>
      </c>
      <c r="D145" s="5" t="s">
        <v>120</v>
      </c>
      <c r="E145" s="100" t="s">
        <v>346</v>
      </c>
      <c r="F145" s="5" t="s">
        <v>5</v>
      </c>
      <c r="G145" s="4"/>
      <c r="H145" s="4"/>
      <c r="I145" s="4" t="str">
        <f t="shared" si="16"/>
        <v>Defs</v>
      </c>
      <c r="J145" s="4" t="str">
        <f>IF(Table2[[#This Row],[!Type]]=J$1, J$1,"rg:None")</f>
        <v>rg:None</v>
      </c>
      <c r="K145" s="4" t="str">
        <f>IF(Table2[[#This Row],[!Type]]=K$1, K$1,"rg:None")</f>
        <v>rg:None</v>
      </c>
      <c r="L145" s="4" t="str">
        <f>IF(Table2[[#This Row],[!Type]]=L$1, L$1,"rg:None")</f>
        <v>rg:None</v>
      </c>
      <c r="M145" s="4" t="str">
        <f>IF(Table2[[#This Row],[!Type]]=M$1, M$1,"rg:None")</f>
        <v>rg:None</v>
      </c>
      <c r="N145" s="4" t="str">
        <f>IF(Table2[[#This Row],[!Type]]=N$1, N$1,"rg:None")</f>
        <v>rg:None</v>
      </c>
      <c r="O145" s="4" t="str">
        <f>IF(Table2[[#This Row],[!Type]]=O$1, O$1,"rg:None")</f>
        <v>rg:None</v>
      </c>
      <c r="P145" s="4" t="str">
        <f>IF(Table2[[#This Row],[!Type]]=P$1, P$1,"rg:None")</f>
        <v>rg:None</v>
      </c>
      <c r="Q145" s="4" t="str">
        <f>IF(Table2[[#This Row],[!Type]]=Q$1, Q$1,"rg:None")</f>
        <v>rg:None</v>
      </c>
      <c r="R145" s="4" t="str">
        <f>IF(Table2[[#This Row],[!Type]]=R$1, R$1,"rg:None")</f>
        <v>string</v>
      </c>
      <c r="S145" s="4" t="str">
        <f>IF(Table2[[#This Row],[!Type]]=S$1, S$1,"rg:None")</f>
        <v>rg:None</v>
      </c>
      <c r="T145" s="4">
        <f>IF(LEN(Table2[[#This Row],[!Length]]) &gt; 0, Table2[[#This Row],[!Length]], "rg:None")</f>
        <v>150</v>
      </c>
      <c r="U145" s="4" t="str">
        <f>IF(LEN(Table2[[#This Row],[!Name]]) &gt; 0, Table2[[#This Row],[!Name]], "rg:None")</f>
        <v>boxLength</v>
      </c>
      <c r="V145" s="4" t="str">
        <f>IF(LEN(Table2[[#This Row],[!Description]]) &gt; 0, Table2[[#This Row],[!Description]], "rg:None")</f>
        <v>The length of the box, in metres. See - http-//www.bclaws.ca/EPLibraries/bclaws_new/document/ID/freeside/30_7, appendix B</v>
      </c>
      <c r="W145" s="4" t="str">
        <f>IF(LEN(Table2[[#This Row],[!FK]])&gt;0,Table2[[#This Row],[!FK]],"rg:None")</f>
        <v>rg:None</v>
      </c>
      <c r="X145" s="14" t="str">
        <f>IF(LEN(concatif2(A:A,Table2[[#This Row],[!Table]],G:G,"Y",D:D,",")) &gt; 0,"rg:[ { 'req' : '"&amp;concatif2(A:A,Table2[[#This Row],[!Table]],G:G,"Y",D:D,"' }, { 'req': '")&amp;"'} ]","rg:[]")</f>
        <v>rg:[ { 'req' : 'id' }, { 'req': 'equipment'} ]</v>
      </c>
      <c r="Y145" s="4" t="str">
        <f>IF(LEN(Table2[[#This Row],[!Unique]])&gt;0,IF(Table2[[#This Row],[!Type]] = "id", "rg:None","rg:True"),"rg:None")</f>
        <v>rg:None</v>
      </c>
    </row>
    <row r="146" spans="1:25" ht="28.8" x14ac:dyDescent="0.35">
      <c r="A146" s="5" t="s">
        <v>106</v>
      </c>
      <c r="B146" s="5" t="s">
        <v>7</v>
      </c>
      <c r="C146" s="5">
        <v>150</v>
      </c>
      <c r="D146" s="5" t="s">
        <v>121</v>
      </c>
      <c r="E146" s="100" t="s">
        <v>347</v>
      </c>
      <c r="F146" s="5" t="s">
        <v>5</v>
      </c>
      <c r="G146" s="4"/>
      <c r="H146" s="4"/>
      <c r="I146" s="4" t="str">
        <f t="shared" si="16"/>
        <v>Defs</v>
      </c>
      <c r="J146" s="4" t="str">
        <f>IF(Table2[[#This Row],[!Type]]=J$1, J$1,"rg:None")</f>
        <v>rg:None</v>
      </c>
      <c r="K146" s="4" t="str">
        <f>IF(Table2[[#This Row],[!Type]]=K$1, K$1,"rg:None")</f>
        <v>rg:None</v>
      </c>
      <c r="L146" s="4" t="str">
        <f>IF(Table2[[#This Row],[!Type]]=L$1, L$1,"rg:None")</f>
        <v>rg:None</v>
      </c>
      <c r="M146" s="4" t="str">
        <f>IF(Table2[[#This Row],[!Type]]=M$1, M$1,"rg:None")</f>
        <v>rg:None</v>
      </c>
      <c r="N146" s="4" t="str">
        <f>IF(Table2[[#This Row],[!Type]]=N$1, N$1,"rg:None")</f>
        <v>rg:None</v>
      </c>
      <c r="O146" s="4" t="str">
        <f>IF(Table2[[#This Row],[!Type]]=O$1, O$1,"rg:None")</f>
        <v>rg:None</v>
      </c>
      <c r="P146" s="4" t="str">
        <f>IF(Table2[[#This Row],[!Type]]=P$1, P$1,"rg:None")</f>
        <v>rg:None</v>
      </c>
      <c r="Q146" s="4" t="str">
        <f>IF(Table2[[#This Row],[!Type]]=Q$1, Q$1,"rg:None")</f>
        <v>rg:None</v>
      </c>
      <c r="R146" s="4" t="str">
        <f>IF(Table2[[#This Row],[!Type]]=R$1, R$1,"rg:None")</f>
        <v>string</v>
      </c>
      <c r="S146" s="4" t="str">
        <f>IF(Table2[[#This Row],[!Type]]=S$1, S$1,"rg:None")</f>
        <v>rg:None</v>
      </c>
      <c r="T146" s="4">
        <f>IF(LEN(Table2[[#This Row],[!Length]]) &gt; 0, Table2[[#This Row],[!Length]], "rg:None")</f>
        <v>150</v>
      </c>
      <c r="U146" s="4" t="str">
        <f>IF(LEN(Table2[[#This Row],[!Name]]) &gt; 0, Table2[[#This Row],[!Name]], "rg:None")</f>
        <v>boxWidth</v>
      </c>
      <c r="V146" s="4" t="str">
        <f>IF(LEN(Table2[[#This Row],[!Description]]) &gt; 0, Table2[[#This Row],[!Description]], "rg:None")</f>
        <v>The width of the box, in metres. See - http-//www.bclaws.ca/EPLibraries/bclaws_new/document/ID/freeside/30_7, appendix B</v>
      </c>
      <c r="W146" s="4" t="str">
        <f>IF(LEN(Table2[[#This Row],[!FK]])&gt;0,Table2[[#This Row],[!FK]],"rg:None")</f>
        <v>rg:None</v>
      </c>
      <c r="X146" s="14" t="str">
        <f>IF(LEN(concatif2(A:A,Table2[[#This Row],[!Table]],G:G,"Y",D:D,",")) &gt; 0,"rg:[ { 'req' : '"&amp;concatif2(A:A,Table2[[#This Row],[!Table]],G:G,"Y",D:D,"' }, { 'req': '")&amp;"'} ]","rg:[]")</f>
        <v>rg:[ { 'req' : 'id' }, { 'req': 'equipment'} ]</v>
      </c>
      <c r="Y146" s="4" t="str">
        <f>IF(LEN(Table2[[#This Row],[!Unique]])&gt;0,IF(Table2[[#This Row],[!Type]] = "id", "rg:None","rg:True"),"rg:None")</f>
        <v>rg:None</v>
      </c>
    </row>
    <row r="147" spans="1:25" ht="28.8" x14ac:dyDescent="0.35">
      <c r="A147" s="5" t="s">
        <v>106</v>
      </c>
      <c r="B147" s="5" t="s">
        <v>7</v>
      </c>
      <c r="C147" s="5">
        <v>150</v>
      </c>
      <c r="D147" s="5" t="s">
        <v>122</v>
      </c>
      <c r="E147" s="100" t="s">
        <v>350</v>
      </c>
      <c r="F147" s="5" t="s">
        <v>5</v>
      </c>
      <c r="G147" s="4"/>
      <c r="H147" s="4"/>
      <c r="I147" s="4" t="str">
        <f t="shared" si="16"/>
        <v>Defs</v>
      </c>
      <c r="J147" s="4" t="str">
        <f>IF(Table2[[#This Row],[!Type]]=J$1, J$1,"rg:None")</f>
        <v>rg:None</v>
      </c>
      <c r="K147" s="4" t="str">
        <f>IF(Table2[[#This Row],[!Type]]=K$1, K$1,"rg:None")</f>
        <v>rg:None</v>
      </c>
      <c r="L147" s="4" t="str">
        <f>IF(Table2[[#This Row],[!Type]]=L$1, L$1,"rg:None")</f>
        <v>rg:None</v>
      </c>
      <c r="M147" s="4" t="str">
        <f>IF(Table2[[#This Row],[!Type]]=M$1, M$1,"rg:None")</f>
        <v>rg:None</v>
      </c>
      <c r="N147" s="4" t="str">
        <f>IF(Table2[[#This Row],[!Type]]=N$1, N$1,"rg:None")</f>
        <v>rg:None</v>
      </c>
      <c r="O147" s="4" t="str">
        <f>IF(Table2[[#This Row],[!Type]]=O$1, O$1,"rg:None")</f>
        <v>rg:None</v>
      </c>
      <c r="P147" s="4" t="str">
        <f>IF(Table2[[#This Row],[!Type]]=P$1, P$1,"rg:None")</f>
        <v>rg:None</v>
      </c>
      <c r="Q147" s="4" t="str">
        <f>IF(Table2[[#This Row],[!Type]]=Q$1, Q$1,"rg:None")</f>
        <v>rg:None</v>
      </c>
      <c r="R147" s="4" t="str">
        <f>IF(Table2[[#This Row],[!Type]]=R$1, R$1,"rg:None")</f>
        <v>string</v>
      </c>
      <c r="S147" s="4" t="str">
        <f>IF(Table2[[#This Row],[!Type]]=S$1, S$1,"rg:None")</f>
        <v>rg:None</v>
      </c>
      <c r="T147" s="4">
        <f>IF(LEN(Table2[[#This Row],[!Length]]) &gt; 0, Table2[[#This Row],[!Length]], "rg:None")</f>
        <v>150</v>
      </c>
      <c r="U147" s="4" t="str">
        <f>IF(LEN(Table2[[#This Row],[!Name]]) &gt; 0, Table2[[#This Row],[!Name]], "rg:None")</f>
        <v>boxHeight</v>
      </c>
      <c r="V147" s="4" t="str">
        <f>IF(LEN(Table2[[#This Row],[!Description]]) &gt; 0, Table2[[#This Row],[!Description]], "rg:None")</f>
        <v>The height of the box, in metres. See- http-//www.bclaws.ca/EPLibraries/bclaws_new/document/ID/freeside/30_7, appendix B</v>
      </c>
      <c r="W147" s="4" t="str">
        <f>IF(LEN(Table2[[#This Row],[!FK]])&gt;0,Table2[[#This Row],[!FK]],"rg:None")</f>
        <v>rg:None</v>
      </c>
      <c r="X147" s="14" t="str">
        <f>IF(LEN(concatif2(A:A,Table2[[#This Row],[!Table]],G:G,"Y",D:D,",")) &gt; 0,"rg:[ { 'req' : '"&amp;concatif2(A:A,Table2[[#This Row],[!Table]],G:G,"Y",D:D,"' }, { 'req': '")&amp;"'} ]","rg:[]")</f>
        <v>rg:[ { 'req' : 'id' }, { 'req': 'equipment'} ]</v>
      </c>
      <c r="Y147" s="4" t="str">
        <f>IF(LEN(Table2[[#This Row],[!Unique]])&gt;0,IF(Table2[[#This Row],[!Type]] = "id", "rg:None","rg:True"),"rg:None")</f>
        <v>rg:None</v>
      </c>
    </row>
    <row r="148" spans="1:25" x14ac:dyDescent="0.35">
      <c r="A148" s="5" t="s">
        <v>106</v>
      </c>
      <c r="B148" s="5" t="s">
        <v>7</v>
      </c>
      <c r="C148" s="5">
        <v>150</v>
      </c>
      <c r="D148" s="5" t="s">
        <v>123</v>
      </c>
      <c r="E148" s="96" t="s">
        <v>284</v>
      </c>
      <c r="F148" s="5" t="s">
        <v>5</v>
      </c>
      <c r="G148" s="4"/>
      <c r="H148" s="4"/>
      <c r="I148" s="4" t="str">
        <f t="shared" si="16"/>
        <v>Defs</v>
      </c>
      <c r="J148" s="4" t="str">
        <f>IF(Table2[[#This Row],[!Type]]=J$1, J$1,"rg:None")</f>
        <v>rg:None</v>
      </c>
      <c r="K148" s="4" t="str">
        <f>IF(Table2[[#This Row],[!Type]]=K$1, K$1,"rg:None")</f>
        <v>rg:None</v>
      </c>
      <c r="L148" s="4" t="str">
        <f>IF(Table2[[#This Row],[!Type]]=L$1, L$1,"rg:None")</f>
        <v>rg:None</v>
      </c>
      <c r="M148" s="4" t="str">
        <f>IF(Table2[[#This Row],[!Type]]=M$1, M$1,"rg:None")</f>
        <v>rg:None</v>
      </c>
      <c r="N148" s="4" t="str">
        <f>IF(Table2[[#This Row],[!Type]]=N$1, N$1,"rg:None")</f>
        <v>rg:None</v>
      </c>
      <c r="O148" s="4" t="str">
        <f>IF(Table2[[#This Row],[!Type]]=O$1, O$1,"rg:None")</f>
        <v>rg:None</v>
      </c>
      <c r="P148" s="4" t="str">
        <f>IF(Table2[[#This Row],[!Type]]=P$1, P$1,"rg:None")</f>
        <v>rg:None</v>
      </c>
      <c r="Q148" s="4" t="str">
        <f>IF(Table2[[#This Row],[!Type]]=Q$1, Q$1,"rg:None")</f>
        <v>rg:None</v>
      </c>
      <c r="R148" s="4" t="str">
        <f>IF(Table2[[#This Row],[!Type]]=R$1, R$1,"rg:None")</f>
        <v>string</v>
      </c>
      <c r="S148" s="4" t="str">
        <f>IF(Table2[[#This Row],[!Type]]=S$1, S$1,"rg:None")</f>
        <v>rg:None</v>
      </c>
      <c r="T148" s="4">
        <f>IF(LEN(Table2[[#This Row],[!Length]]) &gt; 0, Table2[[#This Row],[!Length]], "rg:None")</f>
        <v>150</v>
      </c>
      <c r="U148" s="4" t="str">
        <f>IF(LEN(Table2[[#This Row],[!Name]]) &gt; 0, Table2[[#This Row],[!Name]], "rg:None")</f>
        <v>boxCapacity</v>
      </c>
      <c r="V148" s="4" t="str">
        <f>IF(LEN(Table2[[#This Row],[!Description]]) &gt; 0, Table2[[#This Row],[!Description]], "rg:None")</f>
        <v>The capacity of the box.</v>
      </c>
      <c r="W148" s="4" t="str">
        <f>IF(LEN(Table2[[#This Row],[!FK]])&gt;0,Table2[[#This Row],[!FK]],"rg:None")</f>
        <v>rg:None</v>
      </c>
      <c r="X148" s="14" t="str">
        <f>IF(LEN(concatif2(A:A,Table2[[#This Row],[!Table]],G:G,"Y",D:D,",")) &gt; 0,"rg:[ { 'req' : '"&amp;concatif2(A:A,Table2[[#This Row],[!Table]],G:G,"Y",D:D,"' }, { 'req': '")&amp;"'} ]","rg:[]")</f>
        <v>rg:[ { 'req' : 'id' }, { 'req': 'equipment'} ]</v>
      </c>
      <c r="Y148" s="4" t="str">
        <f>IF(LEN(Table2[[#This Row],[!Unique]])&gt;0,IF(Table2[[#This Row],[!Type]] = "id", "rg:None","rg:True"),"rg:None")</f>
        <v>rg:None</v>
      </c>
    </row>
    <row r="149" spans="1:25" ht="28.8" x14ac:dyDescent="0.35">
      <c r="A149" s="5" t="s">
        <v>106</v>
      </c>
      <c r="B149" s="5" t="s">
        <v>7</v>
      </c>
      <c r="C149" s="5">
        <v>150</v>
      </c>
      <c r="D149" s="5" t="s">
        <v>124</v>
      </c>
      <c r="E149" s="100" t="s">
        <v>351</v>
      </c>
      <c r="F149" s="5" t="s">
        <v>5</v>
      </c>
      <c r="G149" s="4"/>
      <c r="H149" s="4"/>
      <c r="I149" s="4" t="str">
        <f t="shared" si="16"/>
        <v>Defs</v>
      </c>
      <c r="J149" s="4" t="str">
        <f>IF(Table2[[#This Row],[!Type]]=J$1, J$1,"rg:None")</f>
        <v>rg:None</v>
      </c>
      <c r="K149" s="4" t="str">
        <f>IF(Table2[[#This Row],[!Type]]=K$1, K$1,"rg:None")</f>
        <v>rg:None</v>
      </c>
      <c r="L149" s="4" t="str">
        <f>IF(Table2[[#This Row],[!Type]]=L$1, L$1,"rg:None")</f>
        <v>rg:None</v>
      </c>
      <c r="M149" s="4" t="str">
        <f>IF(Table2[[#This Row],[!Type]]=M$1, M$1,"rg:None")</f>
        <v>rg:None</v>
      </c>
      <c r="N149" s="4" t="str">
        <f>IF(Table2[[#This Row],[!Type]]=N$1, N$1,"rg:None")</f>
        <v>rg:None</v>
      </c>
      <c r="O149" s="4" t="str">
        <f>IF(Table2[[#This Row],[!Type]]=O$1, O$1,"rg:None")</f>
        <v>rg:None</v>
      </c>
      <c r="P149" s="4" t="str">
        <f>IF(Table2[[#This Row],[!Type]]=P$1, P$1,"rg:None")</f>
        <v>rg:None</v>
      </c>
      <c r="Q149" s="4" t="str">
        <f>IF(Table2[[#This Row],[!Type]]=Q$1, Q$1,"rg:None")</f>
        <v>rg:None</v>
      </c>
      <c r="R149" s="4" t="str">
        <f>IF(Table2[[#This Row],[!Type]]=R$1, R$1,"rg:None")</f>
        <v>string</v>
      </c>
      <c r="S149" s="4" t="str">
        <f>IF(Table2[[#This Row],[!Type]]=S$1, S$1,"rg:None")</f>
        <v>rg:None</v>
      </c>
      <c r="T149" s="4">
        <f>IF(LEN(Table2[[#This Row],[!Length]]) &gt; 0, Table2[[#This Row],[!Length]], "rg:None")</f>
        <v>150</v>
      </c>
      <c r="U149" s="4" t="str">
        <f>IF(LEN(Table2[[#This Row],[!Name]]) &gt; 0, Table2[[#This Row],[!Name]], "rg:None")</f>
        <v>trailerBoxLength</v>
      </c>
      <c r="V149" s="4" t="str">
        <f>IF(LEN(Table2[[#This Row],[!Description]]) &gt; 0, Table2[[#This Row],[!Description]], "rg:None")</f>
        <v>The length of the trailer box, in metres. See www.bclaws.ca/EPLibraries/bclaws_new/document/ID/freeside/30_7, appendix B</v>
      </c>
      <c r="W149" s="4" t="str">
        <f>IF(LEN(Table2[[#This Row],[!FK]])&gt;0,Table2[[#This Row],[!FK]],"rg:None")</f>
        <v>rg:None</v>
      </c>
      <c r="X149" s="14" t="str">
        <f>IF(LEN(concatif2(A:A,Table2[[#This Row],[!Table]],G:G,"Y",D:D,",")) &gt; 0,"rg:[ { 'req' : '"&amp;concatif2(A:A,Table2[[#This Row],[!Table]],G:G,"Y",D:D,"' }, { 'req': '")&amp;"'} ]","rg:[]")</f>
        <v>rg:[ { 'req' : 'id' }, { 'req': 'equipment'} ]</v>
      </c>
      <c r="Y149" s="4" t="str">
        <f>IF(LEN(Table2[[#This Row],[!Unique]])&gt;0,IF(Table2[[#This Row],[!Type]] = "id", "rg:None","rg:True"),"rg:None")</f>
        <v>rg:None</v>
      </c>
    </row>
    <row r="150" spans="1:25" ht="28.8" x14ac:dyDescent="0.35">
      <c r="A150" s="5" t="s">
        <v>106</v>
      </c>
      <c r="B150" s="5" t="s">
        <v>7</v>
      </c>
      <c r="C150" s="5">
        <v>150</v>
      </c>
      <c r="D150" s="5" t="s">
        <v>125</v>
      </c>
      <c r="E150" s="100" t="s">
        <v>352</v>
      </c>
      <c r="F150" s="5" t="s">
        <v>5</v>
      </c>
      <c r="G150" s="4"/>
      <c r="H150" s="4"/>
      <c r="I150" s="4" t="str">
        <f t="shared" si="16"/>
        <v>Defs</v>
      </c>
      <c r="J150" s="4" t="str">
        <f>IF(Table2[[#This Row],[!Type]]=J$1, J$1,"rg:None")</f>
        <v>rg:None</v>
      </c>
      <c r="K150" s="4" t="str">
        <f>IF(Table2[[#This Row],[!Type]]=K$1, K$1,"rg:None")</f>
        <v>rg:None</v>
      </c>
      <c r="L150" s="4" t="str">
        <f>IF(Table2[[#This Row],[!Type]]=L$1, L$1,"rg:None")</f>
        <v>rg:None</v>
      </c>
      <c r="M150" s="4" t="str">
        <f>IF(Table2[[#This Row],[!Type]]=M$1, M$1,"rg:None")</f>
        <v>rg:None</v>
      </c>
      <c r="N150" s="4" t="str">
        <f>IF(Table2[[#This Row],[!Type]]=N$1, N$1,"rg:None")</f>
        <v>rg:None</v>
      </c>
      <c r="O150" s="4" t="str">
        <f>IF(Table2[[#This Row],[!Type]]=O$1, O$1,"rg:None")</f>
        <v>rg:None</v>
      </c>
      <c r="P150" s="4" t="str">
        <f>IF(Table2[[#This Row],[!Type]]=P$1, P$1,"rg:None")</f>
        <v>rg:None</v>
      </c>
      <c r="Q150" s="4" t="str">
        <f>IF(Table2[[#This Row],[!Type]]=Q$1, Q$1,"rg:None")</f>
        <v>rg:None</v>
      </c>
      <c r="R150" s="4" t="str">
        <f>IF(Table2[[#This Row],[!Type]]=R$1, R$1,"rg:None")</f>
        <v>string</v>
      </c>
      <c r="S150" s="4" t="str">
        <f>IF(Table2[[#This Row],[!Type]]=S$1, S$1,"rg:None")</f>
        <v>rg:None</v>
      </c>
      <c r="T150" s="4">
        <f>IF(LEN(Table2[[#This Row],[!Length]]) &gt; 0, Table2[[#This Row],[!Length]], "rg:None")</f>
        <v>150</v>
      </c>
      <c r="U150" s="4" t="str">
        <f>IF(LEN(Table2[[#This Row],[!Name]]) &gt; 0, Table2[[#This Row],[!Name]], "rg:None")</f>
        <v>trailerBoxWidth</v>
      </c>
      <c r="V150" s="4" t="str">
        <f>IF(LEN(Table2[[#This Row],[!Description]]) &gt; 0, Table2[[#This Row],[!Description]], "rg:None")</f>
        <v>The width of the trailer box, in metres. See www.bclaws.ca/EPLibraries/bclaws_new/document/ID/freeside/30_7, appendix B</v>
      </c>
      <c r="W150" s="4" t="str">
        <f>IF(LEN(Table2[[#This Row],[!FK]])&gt;0,Table2[[#This Row],[!FK]],"rg:None")</f>
        <v>rg:None</v>
      </c>
      <c r="X150" s="14" t="str">
        <f>IF(LEN(concatif2(A:A,Table2[[#This Row],[!Table]],G:G,"Y",D:D,",")) &gt; 0,"rg:[ { 'req' : '"&amp;concatif2(A:A,Table2[[#This Row],[!Table]],G:G,"Y",D:D,"' }, { 'req': '")&amp;"'} ]","rg:[]")</f>
        <v>rg:[ { 'req' : 'id' }, { 'req': 'equipment'} ]</v>
      </c>
      <c r="Y150" s="4" t="str">
        <f>IF(LEN(Table2[[#This Row],[!Unique]])&gt;0,IF(Table2[[#This Row],[!Type]] = "id", "rg:None","rg:True"),"rg:None")</f>
        <v>rg:None</v>
      </c>
    </row>
    <row r="151" spans="1:25" ht="28.8" x14ac:dyDescent="0.35">
      <c r="A151" s="5" t="s">
        <v>106</v>
      </c>
      <c r="B151" s="5" t="s">
        <v>7</v>
      </c>
      <c r="C151" s="5">
        <v>150</v>
      </c>
      <c r="D151" s="5" t="s">
        <v>126</v>
      </c>
      <c r="E151" s="100" t="s">
        <v>353</v>
      </c>
      <c r="F151" s="5" t="s">
        <v>5</v>
      </c>
      <c r="G151" s="4"/>
      <c r="H151" s="4"/>
      <c r="I151" s="4" t="str">
        <f t="shared" si="16"/>
        <v>Defs</v>
      </c>
      <c r="J151" s="4" t="str">
        <f>IF(Table2[[#This Row],[!Type]]=J$1, J$1,"rg:None")</f>
        <v>rg:None</v>
      </c>
      <c r="K151" s="4" t="str">
        <f>IF(Table2[[#This Row],[!Type]]=K$1, K$1,"rg:None")</f>
        <v>rg:None</v>
      </c>
      <c r="L151" s="4" t="str">
        <f>IF(Table2[[#This Row],[!Type]]=L$1, L$1,"rg:None")</f>
        <v>rg:None</v>
      </c>
      <c r="M151" s="4" t="str">
        <f>IF(Table2[[#This Row],[!Type]]=M$1, M$1,"rg:None")</f>
        <v>rg:None</v>
      </c>
      <c r="N151" s="4" t="str">
        <f>IF(Table2[[#This Row],[!Type]]=N$1, N$1,"rg:None")</f>
        <v>rg:None</v>
      </c>
      <c r="O151" s="4" t="str">
        <f>IF(Table2[[#This Row],[!Type]]=O$1, O$1,"rg:None")</f>
        <v>rg:None</v>
      </c>
      <c r="P151" s="4" t="str">
        <f>IF(Table2[[#This Row],[!Type]]=P$1, P$1,"rg:None")</f>
        <v>rg:None</v>
      </c>
      <c r="Q151" s="4" t="str">
        <f>IF(Table2[[#This Row],[!Type]]=Q$1, Q$1,"rg:None")</f>
        <v>rg:None</v>
      </c>
      <c r="R151" s="4" t="str">
        <f>IF(Table2[[#This Row],[!Type]]=R$1, R$1,"rg:None")</f>
        <v>string</v>
      </c>
      <c r="S151" s="4" t="str">
        <f>IF(Table2[[#This Row],[!Type]]=S$1, S$1,"rg:None")</f>
        <v>rg:None</v>
      </c>
      <c r="T151" s="4">
        <f>IF(LEN(Table2[[#This Row],[!Length]]) &gt; 0, Table2[[#This Row],[!Length]], "rg:None")</f>
        <v>150</v>
      </c>
      <c r="U151" s="4" t="str">
        <f>IF(LEN(Table2[[#This Row],[!Name]]) &gt; 0, Table2[[#This Row],[!Name]], "rg:None")</f>
        <v>trailerBoxHeight</v>
      </c>
      <c r="V151" s="4" t="str">
        <f>IF(LEN(Table2[[#This Row],[!Description]]) &gt; 0, Table2[[#This Row],[!Description]], "rg:None")</f>
        <v>The height of the trailer box, in metres. See www.bclaws.ca/EPLibraries/bclaws_new/document/ID/freeside/30_7, appendix B</v>
      </c>
      <c r="W151" s="4" t="str">
        <f>IF(LEN(Table2[[#This Row],[!FK]])&gt;0,Table2[[#This Row],[!FK]],"rg:None")</f>
        <v>rg:None</v>
      </c>
      <c r="X151" s="14" t="str">
        <f>IF(LEN(concatif2(A:A,Table2[[#This Row],[!Table]],G:G,"Y",D:D,",")) &gt; 0,"rg:[ { 'req' : '"&amp;concatif2(A:A,Table2[[#This Row],[!Table]],G:G,"Y",D:D,"' }, { 'req': '")&amp;"'} ]","rg:[]")</f>
        <v>rg:[ { 'req' : 'id' }, { 'req': 'equipment'} ]</v>
      </c>
      <c r="Y151" s="4" t="str">
        <f>IF(LEN(Table2[[#This Row],[!Unique]])&gt;0,IF(Table2[[#This Row],[!Type]] = "id", "rg:None","rg:True"),"rg:None")</f>
        <v>rg:None</v>
      </c>
    </row>
    <row r="152" spans="1:25" x14ac:dyDescent="0.35">
      <c r="A152" s="5" t="s">
        <v>106</v>
      </c>
      <c r="B152" s="5" t="s">
        <v>7</v>
      </c>
      <c r="C152" s="5">
        <v>150</v>
      </c>
      <c r="D152" s="5" t="s">
        <v>127</v>
      </c>
      <c r="E152" s="96" t="s">
        <v>285</v>
      </c>
      <c r="F152" s="5" t="s">
        <v>5</v>
      </c>
      <c r="G152" s="4"/>
      <c r="H152" s="4"/>
      <c r="I152" s="4" t="str">
        <f t="shared" si="16"/>
        <v>Defs</v>
      </c>
      <c r="J152" s="4" t="str">
        <f>IF(Table2[[#This Row],[!Type]]=J$1, J$1,"rg:None")</f>
        <v>rg:None</v>
      </c>
      <c r="K152" s="4" t="str">
        <f>IF(Table2[[#This Row],[!Type]]=K$1, K$1,"rg:None")</f>
        <v>rg:None</v>
      </c>
      <c r="L152" s="4" t="str">
        <f>IF(Table2[[#This Row],[!Type]]=L$1, L$1,"rg:None")</f>
        <v>rg:None</v>
      </c>
      <c r="M152" s="4" t="str">
        <f>IF(Table2[[#This Row],[!Type]]=M$1, M$1,"rg:None")</f>
        <v>rg:None</v>
      </c>
      <c r="N152" s="4" t="str">
        <f>IF(Table2[[#This Row],[!Type]]=N$1, N$1,"rg:None")</f>
        <v>rg:None</v>
      </c>
      <c r="O152" s="4" t="str">
        <f>IF(Table2[[#This Row],[!Type]]=O$1, O$1,"rg:None")</f>
        <v>rg:None</v>
      </c>
      <c r="P152" s="4" t="str">
        <f>IF(Table2[[#This Row],[!Type]]=P$1, P$1,"rg:None")</f>
        <v>rg:None</v>
      </c>
      <c r="Q152" s="4" t="str">
        <f>IF(Table2[[#This Row],[!Type]]=Q$1, Q$1,"rg:None")</f>
        <v>rg:None</v>
      </c>
      <c r="R152" s="4" t="str">
        <f>IF(Table2[[#This Row],[!Type]]=R$1, R$1,"rg:None")</f>
        <v>string</v>
      </c>
      <c r="S152" s="4" t="str">
        <f>IF(Table2[[#This Row],[!Type]]=S$1, S$1,"rg:None")</f>
        <v>rg:None</v>
      </c>
      <c r="T152" s="4">
        <f>IF(LEN(Table2[[#This Row],[!Length]]) &gt; 0, Table2[[#This Row],[!Length]], "rg:None")</f>
        <v>150</v>
      </c>
      <c r="U152" s="4" t="str">
        <f>IF(LEN(Table2[[#This Row],[!Name]]) &gt; 0, Table2[[#This Row],[!Name]], "rg:None")</f>
        <v>trailerBoxCapacity</v>
      </c>
      <c r="V152" s="4" t="str">
        <f>IF(LEN(Table2[[#This Row],[!Description]]) &gt; 0, Table2[[#This Row],[!Description]], "rg:None")</f>
        <v>The capacity of the trailer box.</v>
      </c>
      <c r="W152" s="4" t="str">
        <f>IF(LEN(Table2[[#This Row],[!FK]])&gt;0,Table2[[#This Row],[!FK]],"rg:None")</f>
        <v>rg:None</v>
      </c>
      <c r="X152" s="14" t="str">
        <f>IF(LEN(concatif2(A:A,Table2[[#This Row],[!Table]],G:G,"Y",D:D,",")) &gt; 0,"rg:[ { 'req' : '"&amp;concatif2(A:A,Table2[[#This Row],[!Table]],G:G,"Y",D:D,"' }, { 'req': '")&amp;"'} ]","rg:[]")</f>
        <v>rg:[ { 'req' : 'id' }, { 'req': 'equipment'} ]</v>
      </c>
      <c r="Y152" s="4" t="str">
        <f>IF(LEN(Table2[[#This Row],[!Unique]])&gt;0,IF(Table2[[#This Row],[!Type]] = "id", "rg:None","rg:True"),"rg:None")</f>
        <v>rg:None</v>
      </c>
    </row>
    <row r="153" spans="1:25" ht="28.8" x14ac:dyDescent="0.35">
      <c r="A153" s="82" t="s">
        <v>178</v>
      </c>
      <c r="B153" s="133" t="s">
        <v>4</v>
      </c>
      <c r="C153" s="72"/>
      <c r="D153" s="82" t="s">
        <v>178</v>
      </c>
      <c r="E153" s="138" t="s">
        <v>555</v>
      </c>
      <c r="F153" s="12"/>
      <c r="G153" s="18"/>
      <c r="H153" s="18"/>
      <c r="I153" s="4" t="str">
        <f t="shared" ref="I153:I161" si="17">IF(LEN(A153) &gt; 0,"Defs","-")</f>
        <v>Defs</v>
      </c>
      <c r="J153" s="4" t="str">
        <f>IF(Table2[[#This Row],[!Type]]=J$1, J$1,"rg:None")</f>
        <v>rg:None</v>
      </c>
      <c r="K153" s="4" t="str">
        <f>IF(Table2[[#This Row],[!Type]]=K$1, K$1,"rg:None")</f>
        <v>rg:None</v>
      </c>
      <c r="L153" s="4" t="str">
        <f>IF(Table2[[#This Row],[!Type]]=L$1, L$1,"rg:None")</f>
        <v>rg:None</v>
      </c>
      <c r="M153" s="4" t="str">
        <f>IF(Table2[[#This Row],[!Type]]=M$1, M$1,"rg:None")</f>
        <v>rg:None</v>
      </c>
      <c r="N153" s="4" t="str">
        <f>IF(Table2[[#This Row],[!Type]]=N$1, N$1,"rg:None")</f>
        <v>rg:None</v>
      </c>
      <c r="O153" s="4" t="str">
        <f>IF(Table2[[#This Row],[!Type]]=O$1, O$1,"rg:None")</f>
        <v>rg:None</v>
      </c>
      <c r="P153" s="4" t="str">
        <f>IF(Table2[[#This Row],[!Type]]=P$1, P$1,"rg:None")</f>
        <v>rg:None</v>
      </c>
      <c r="Q153" s="4" t="str">
        <f>IF(Table2[[#This Row],[!Type]]=Q$1, Q$1,"rg:None")</f>
        <v>rg:None</v>
      </c>
      <c r="R153" s="4" t="str">
        <f>IF(Table2[[#This Row],[!Type]]=R$1, R$1,"rg:None")</f>
        <v>rg:None</v>
      </c>
      <c r="S153" s="4" t="str">
        <f>IF(Table2[[#This Row],[!Type]]=S$1, S$1,"rg:None")</f>
        <v>table</v>
      </c>
      <c r="T153" s="4" t="str">
        <f>IF(LEN(Table2[[#This Row],[!Length]]) &gt; 0, Table2[[#This Row],[!Length]], "rg:None")</f>
        <v>rg:None</v>
      </c>
      <c r="U153" s="4" t="str">
        <f>IF(LEN(Table2[[#This Row],[!Name]]) &gt; 0, Table2[[#This Row],[!Name]], "rg:None")</f>
        <v>EquipmentType</v>
      </c>
      <c r="V153" s="4" t="str">
        <f>IF(LEN(Table2[[#This Row],[!Description]]) &gt; 0, Table2[[#This Row],[!Description]], "rg:None")</f>
        <v>A provincial-wide Equipment Type, the related Blue Book Chapter Section and related usage attributes.</v>
      </c>
      <c r="W153" s="4" t="str">
        <f>IF(LEN(Table2[[#This Row],[!FK]])&gt;0,Table2[[#This Row],[!FK]],"rg:None")</f>
        <v>rg:None</v>
      </c>
      <c r="X153" s="14" t="str">
        <f>IF(LEN(concatif2(A:A,Table2[[#This Row],[!Table]],G:G,"Y",D:D,",")) &gt; 0,"rg:[ { 'req' : '"&amp;concatif2(A:A,Table2[[#This Row],[!Table]],G:G,"Y",D:D,"' }, { 'req': '")&amp;"'} ]","rg:[]")</f>
        <v>rg:[ { 'req' : 'id' }, { 'req': 'name' }, { 'req': 'isDumpTruck' }, { 'req': 'blueBookSection' }, { 'req': 'numberOfBlocks'} ]</v>
      </c>
      <c r="Y153" s="4" t="str">
        <f>IF(LEN(Table2[[#This Row],[!Unique]])&gt;0,IF(Table2[[#This Row],[!Type]] = "id", "rg:None","rg:True"),"rg:None")</f>
        <v>rg:None</v>
      </c>
    </row>
    <row r="154" spans="1:25" x14ac:dyDescent="0.35">
      <c r="A154" s="82" t="s">
        <v>178</v>
      </c>
      <c r="B154" s="133" t="s">
        <v>6</v>
      </c>
      <c r="C154" s="72"/>
      <c r="D154" s="133" t="s">
        <v>6</v>
      </c>
      <c r="E154" s="135" t="s">
        <v>540</v>
      </c>
      <c r="F154" s="12"/>
      <c r="G154" s="154" t="s">
        <v>59</v>
      </c>
      <c r="H154" s="154" t="s">
        <v>59</v>
      </c>
      <c r="I154" s="4" t="str">
        <f t="shared" si="17"/>
        <v>Defs</v>
      </c>
      <c r="J154" s="4" t="str">
        <f>IF(Table2[[#This Row],[!Type]]=J$1, J$1,"rg:None")</f>
        <v>rg:None</v>
      </c>
      <c r="K154" s="4" t="str">
        <f>IF(Table2[[#This Row],[!Type]]=K$1, K$1,"rg:None")</f>
        <v>rg:None</v>
      </c>
      <c r="L154" s="4" t="str">
        <f>IF(Table2[[#This Row],[!Type]]=L$1, L$1,"rg:None")</f>
        <v>rg:None</v>
      </c>
      <c r="M154" s="4" t="str">
        <f>IF(Table2[[#This Row],[!Type]]=M$1, M$1,"rg:None")</f>
        <v>id</v>
      </c>
      <c r="N154" s="4" t="str">
        <f>IF(Table2[[#This Row],[!Type]]=N$1, N$1,"rg:None")</f>
        <v>rg:None</v>
      </c>
      <c r="O154" s="4" t="str">
        <f>IF(Table2[[#This Row],[!Type]]=O$1, O$1,"rg:None")</f>
        <v>rg:None</v>
      </c>
      <c r="P154" s="4" t="str">
        <f>IF(Table2[[#This Row],[!Type]]=P$1, P$1,"rg:None")</f>
        <v>rg:None</v>
      </c>
      <c r="Q154" s="4" t="str">
        <f>IF(Table2[[#This Row],[!Type]]=Q$1, Q$1,"rg:None")</f>
        <v>rg:None</v>
      </c>
      <c r="R154" s="4" t="str">
        <f>IF(Table2[[#This Row],[!Type]]=R$1, R$1,"rg:None")</f>
        <v>rg:None</v>
      </c>
      <c r="S154" s="4" t="str">
        <f>IF(Table2[[#This Row],[!Type]]=S$1, S$1,"rg:None")</f>
        <v>rg:None</v>
      </c>
      <c r="T154" s="4" t="str">
        <f>IF(LEN(Table2[[#This Row],[!Length]]) &gt; 0, Table2[[#This Row],[!Length]], "rg:None")</f>
        <v>rg:None</v>
      </c>
      <c r="U154" s="4" t="str">
        <f>IF(LEN(Table2[[#This Row],[!Name]]) &gt; 0, Table2[[#This Row],[!Name]], "rg:None")</f>
        <v>id</v>
      </c>
      <c r="V154" s="4" t="str">
        <f>IF(LEN(Table2[[#This Row],[!Description]]) &gt; 0, Table2[[#This Row],[!Description]], "rg:None")</f>
        <v>A system-generated unique identifier for an EquipmentName</v>
      </c>
      <c r="W154" s="4" t="str">
        <f>IF(LEN(Table2[[#This Row],[!FK]])&gt;0,Table2[[#This Row],[!FK]],"rg:None")</f>
        <v>rg:None</v>
      </c>
      <c r="X154" s="14" t="str">
        <f>IF(LEN(concatif2(A:A,Table2[[#This Row],[!Table]],G:G,"Y",D:D,",")) &gt; 0,"rg:[ { 'req' : '"&amp;concatif2(A:A,Table2[[#This Row],[!Table]],G:G,"Y",D:D,"' }, { 'req': '")&amp;"'} ]","rg:[]")</f>
        <v>rg:[ { 'req' : 'id' }, { 'req': 'name' }, { 'req': 'isDumpTruck' }, { 'req': 'blueBookSection' }, { 'req': 'numberOfBlocks'} ]</v>
      </c>
      <c r="Y154" s="4" t="str">
        <f>IF(LEN(Table2[[#This Row],[!Unique]])&gt;0,IF(Table2[[#This Row],[!Type]] = "id", "rg:None","rg:True"),"rg:None")</f>
        <v>rg:None</v>
      </c>
    </row>
    <row r="155" spans="1:25" x14ac:dyDescent="0.35">
      <c r="A155" s="82" t="s">
        <v>178</v>
      </c>
      <c r="B155" s="133" t="s">
        <v>7</v>
      </c>
      <c r="C155" s="72">
        <v>50</v>
      </c>
      <c r="D155" s="133" t="s">
        <v>15</v>
      </c>
      <c r="E155" s="134" t="s">
        <v>541</v>
      </c>
      <c r="F155" s="12"/>
      <c r="G155" s="154" t="s">
        <v>59</v>
      </c>
      <c r="H155" s="154" t="s">
        <v>59</v>
      </c>
      <c r="I155" s="4" t="str">
        <f t="shared" si="17"/>
        <v>Defs</v>
      </c>
      <c r="J155" s="4" t="str">
        <f>IF(Table2[[#This Row],[!Type]]=J$1, J$1,"rg:None")</f>
        <v>rg:None</v>
      </c>
      <c r="K155" s="4" t="str">
        <f>IF(Table2[[#This Row],[!Type]]=K$1, K$1,"rg:None")</f>
        <v>rg:None</v>
      </c>
      <c r="L155" s="4" t="str">
        <f>IF(Table2[[#This Row],[!Type]]=L$1, L$1,"rg:None")</f>
        <v>rg:None</v>
      </c>
      <c r="M155" s="4" t="str">
        <f>IF(Table2[[#This Row],[!Type]]=M$1, M$1,"rg:None")</f>
        <v>rg:None</v>
      </c>
      <c r="N155" s="4" t="str">
        <f>IF(Table2[[#This Row],[!Type]]=N$1, N$1,"rg:None")</f>
        <v>rg:None</v>
      </c>
      <c r="O155" s="4" t="str">
        <f>IF(Table2[[#This Row],[!Type]]=O$1, O$1,"rg:None")</f>
        <v>rg:None</v>
      </c>
      <c r="P155" s="4" t="str">
        <f>IF(Table2[[#This Row],[!Type]]=P$1, P$1,"rg:None")</f>
        <v>rg:None</v>
      </c>
      <c r="Q155" s="4" t="str">
        <f>IF(Table2[[#This Row],[!Type]]=Q$1, Q$1,"rg:None")</f>
        <v>rg:None</v>
      </c>
      <c r="R155" s="4" t="str">
        <f>IF(Table2[[#This Row],[!Type]]=R$1, R$1,"rg:None")</f>
        <v>string</v>
      </c>
      <c r="S155" s="4" t="str">
        <f>IF(Table2[[#This Row],[!Type]]=S$1, S$1,"rg:None")</f>
        <v>rg:None</v>
      </c>
      <c r="T155" s="4">
        <f>IF(LEN(Table2[[#This Row],[!Length]]) &gt; 0, Table2[[#This Row],[!Length]], "rg:None")</f>
        <v>50</v>
      </c>
      <c r="U155" s="4" t="str">
        <f>IF(LEN(Table2[[#This Row],[!Name]]) &gt; 0, Table2[[#This Row],[!Name]], "rg:None")</f>
        <v>name</v>
      </c>
      <c r="V155" s="4" t="str">
        <f>IF(LEN(Table2[[#This Row],[!Description]]) &gt; 0, Table2[[#This Row],[!Description]], "rg:None")</f>
        <v>The generic name of an equipment type - e.g. Dump Truck, Excavator and so on.</v>
      </c>
      <c r="W155" s="4" t="str">
        <f>IF(LEN(Table2[[#This Row],[!FK]])&gt;0,Table2[[#This Row],[!FK]],"rg:None")</f>
        <v>rg:None</v>
      </c>
      <c r="X155" s="14" t="str">
        <f>IF(LEN(concatif2(A:A,Table2[[#This Row],[!Table]],G:G,"Y",D:D,",")) &gt; 0,"rg:[ { 'req' : '"&amp;concatif2(A:A,Table2[[#This Row],[!Table]],G:G,"Y",D:D,"' }, { 'req': '")&amp;"'} ]","rg:[]")</f>
        <v>rg:[ { 'req' : 'id' }, { 'req': 'name' }, { 'req': 'isDumpTruck' }, { 'req': 'blueBookSection' }, { 'req': 'numberOfBlocks'} ]</v>
      </c>
      <c r="Y155" s="4" t="str">
        <f>IF(LEN(Table2[[#This Row],[!Unique]])&gt;0,IF(Table2[[#This Row],[!Type]] = "id", "rg:None","rg:True"),"rg:None")</f>
        <v>rg:True</v>
      </c>
    </row>
    <row r="156" spans="1:25" ht="28.8" x14ac:dyDescent="0.35">
      <c r="A156" s="139" t="s">
        <v>178</v>
      </c>
      <c r="B156" s="139" t="s">
        <v>9</v>
      </c>
      <c r="C156" s="72"/>
      <c r="D156" s="139" t="s">
        <v>556</v>
      </c>
      <c r="E156" s="138" t="s">
        <v>557</v>
      </c>
      <c r="F156" s="12"/>
      <c r="G156" s="154" t="s">
        <v>59</v>
      </c>
      <c r="H156" s="18"/>
      <c r="I156" s="4" t="str">
        <f>IF(LEN(A156) &gt; 0,"Defs","-")</f>
        <v>Defs</v>
      </c>
      <c r="J156" s="4" t="str">
        <f>IF(Table2[[#This Row],[!Type]]=J$1, J$1,"rg:None")</f>
        <v>boolean</v>
      </c>
      <c r="K156" s="4" t="str">
        <f>IF(Table2[[#This Row],[!Type]]=K$1, K$1,"rg:None")</f>
        <v>rg:None</v>
      </c>
      <c r="L156" s="4" t="str">
        <f>IF(Table2[[#This Row],[!Type]]=L$1, L$1,"rg:None")</f>
        <v>rg:None</v>
      </c>
      <c r="M156" s="4" t="str">
        <f>IF(Table2[[#This Row],[!Type]]=M$1, M$1,"rg:None")</f>
        <v>rg:None</v>
      </c>
      <c r="N156" s="4" t="str">
        <f>IF(Table2[[#This Row],[!Type]]=N$1, N$1,"rg:None")</f>
        <v>rg:None</v>
      </c>
      <c r="O156" s="4" t="str">
        <f>IF(Table2[[#This Row],[!Type]]=O$1, O$1,"rg:None")</f>
        <v>rg:None</v>
      </c>
      <c r="P156" s="4" t="str">
        <f>IF(Table2[[#This Row],[!Type]]=P$1, P$1,"rg:None")</f>
        <v>rg:None</v>
      </c>
      <c r="Q156" s="4" t="str">
        <f>IF(Table2[[#This Row],[!Type]]=Q$1, Q$1,"rg:None")</f>
        <v>rg:None</v>
      </c>
      <c r="R156" s="4" t="str">
        <f>IF(Table2[[#This Row],[!Type]]=R$1, R$1,"rg:None")</f>
        <v>rg:None</v>
      </c>
      <c r="S156" s="4" t="str">
        <f>IF(Table2[[#This Row],[!Type]]=S$1, S$1,"rg:None")</f>
        <v>rg:None</v>
      </c>
      <c r="T156" s="4" t="str">
        <f>IF(LEN(Table2[[#This Row],[!Length]]) &gt; 0, Table2[[#This Row],[!Length]], "rg:None")</f>
        <v>rg:None</v>
      </c>
      <c r="U156" s="4" t="str">
        <f>IF(LEN(Table2[[#This Row],[!Name]]) &gt; 0, Table2[[#This Row],[!Name]], "rg:None")</f>
        <v>isDumpTruck</v>
      </c>
      <c r="V156" s="4" t="str">
        <f>IF(LEN(Table2[[#This Row],[!Description]]) &gt; 0, Table2[[#This Row],[!Description]], "rg:None")</f>
        <v>True if the Equipment Type is a Dump Truck. Equipment of this type will have a related Dump Truck record containing dump truck-related attributes.</v>
      </c>
      <c r="W156" s="4" t="str">
        <f>IF(LEN(Table2[[#This Row],[!FK]])&gt;0,Table2[[#This Row],[!FK]],"rg:None")</f>
        <v>rg:None</v>
      </c>
      <c r="X156" s="14" t="str">
        <f>IF(LEN(concatif2(A:A,Table2[[#This Row],[!Table]],G:G,"Y",D:D,",")) &gt; 0,"rg:[ { 'req' : '"&amp;concatif2(A:A,Table2[[#This Row],[!Table]],G:G,"Y",D:D,"' }, { 'req': '")&amp;"'} ]","rg:[]")</f>
        <v>rg:[ { 'req' : 'id' }, { 'req': 'name' }, { 'req': 'isDumpTruck' }, { 'req': 'blueBookSection' }, { 'req': 'numberOfBlocks'} ]</v>
      </c>
      <c r="Y156" s="4" t="str">
        <f>IF(LEN(Table2[[#This Row],[!Unique]])&gt;0,IF(Table2[[#This Row],[!Type]] = "id", "rg:None","rg:True"),"rg:None")</f>
        <v>rg:None</v>
      </c>
    </row>
    <row r="157" spans="1:25" x14ac:dyDescent="0.35">
      <c r="A157" s="82" t="s">
        <v>178</v>
      </c>
      <c r="B157" s="133" t="s">
        <v>105</v>
      </c>
      <c r="C157" s="72"/>
      <c r="D157" s="133" t="s">
        <v>542</v>
      </c>
      <c r="E157" s="134" t="s">
        <v>543</v>
      </c>
      <c r="F157" s="12"/>
      <c r="G157" s="154" t="s">
        <v>59</v>
      </c>
      <c r="H157" s="18"/>
      <c r="I157" s="4" t="str">
        <f t="shared" si="17"/>
        <v>Defs</v>
      </c>
      <c r="J157" s="4" t="str">
        <f>IF(Table2[[#This Row],[!Type]]=J$1, J$1,"rg:None")</f>
        <v>rg:None</v>
      </c>
      <c r="K157" s="4" t="str">
        <f>IF(Table2[[#This Row],[!Type]]=K$1, K$1,"rg:None")</f>
        <v>rg:None</v>
      </c>
      <c r="L157" s="4" t="str">
        <f>IF(Table2[[#This Row],[!Type]]=L$1, L$1,"rg:None")</f>
        <v>rg:None</v>
      </c>
      <c r="M157" s="4" t="str">
        <f>IF(Table2[[#This Row],[!Type]]=M$1, M$1,"rg:None")</f>
        <v>rg:None</v>
      </c>
      <c r="N157" s="4" t="str">
        <f>IF(Table2[[#This Row],[!Type]]=N$1, N$1,"rg:None")</f>
        <v>rg:None</v>
      </c>
      <c r="O157" s="4" t="str">
        <f>IF(Table2[[#This Row],[!Type]]=O$1, O$1,"rg:None")</f>
        <v>float</v>
      </c>
      <c r="P157" s="4" t="str">
        <f>IF(Table2[[#This Row],[!Type]]=P$1, P$1,"rg:None")</f>
        <v>rg:None</v>
      </c>
      <c r="Q157" s="4" t="str">
        <f>IF(Table2[[#This Row],[!Type]]=Q$1, Q$1,"rg:None")</f>
        <v>rg:None</v>
      </c>
      <c r="R157" s="4" t="str">
        <f>IF(Table2[[#This Row],[!Type]]=R$1, R$1,"rg:None")</f>
        <v>rg:None</v>
      </c>
      <c r="S157" s="4" t="str">
        <f>IF(Table2[[#This Row],[!Type]]=S$1, S$1,"rg:None")</f>
        <v>rg:None</v>
      </c>
      <c r="T157" s="4" t="str">
        <f>IF(LEN(Table2[[#This Row],[!Length]]) &gt; 0, Table2[[#This Row],[!Length]], "rg:None")</f>
        <v>rg:None</v>
      </c>
      <c r="U157" s="4" t="str">
        <f>IF(LEN(Table2[[#This Row],[!Name]]) &gt; 0, Table2[[#This Row],[!Name]], "rg:None")</f>
        <v>blueBookSection</v>
      </c>
      <c r="V157" s="4" t="str">
        <f>IF(LEN(Table2[[#This Row],[!Description]]) &gt; 0, Table2[[#This Row],[!Description]], "rg:None")</f>
        <v>The section of the Blue Book that is related to equipment types of this name.</v>
      </c>
      <c r="W157" s="4" t="str">
        <f>IF(LEN(Table2[[#This Row],[!FK]])&gt;0,Table2[[#This Row],[!FK]],"rg:None")</f>
        <v>rg:None</v>
      </c>
      <c r="X157" s="14" t="str">
        <f>IF(LEN(concatif2(A:A,Table2[[#This Row],[!Table]],G:G,"Y",D:D,",")) &gt; 0,"rg:[ { 'req' : '"&amp;concatif2(A:A,Table2[[#This Row],[!Table]],G:G,"Y",D:D,"' }, { 'req': '")&amp;"'} ]","rg:[]")</f>
        <v>rg:[ { 'req' : 'id' }, { 'req': 'name' }, { 'req': 'isDumpTruck' }, { 'req': 'blueBookSection' }, { 'req': 'numberOfBlocks'} ]</v>
      </c>
      <c r="Y157" s="4" t="str">
        <f>IF(LEN(Table2[[#This Row],[!Unique]])&gt;0,IF(Table2[[#This Row],[!Type]] = "id", "rg:None","rg:True"),"rg:None")</f>
        <v>rg:None</v>
      </c>
    </row>
    <row r="158" spans="1:25" x14ac:dyDescent="0.35">
      <c r="A158" s="82" t="s">
        <v>178</v>
      </c>
      <c r="B158" s="133" t="s">
        <v>105</v>
      </c>
      <c r="C158" s="72"/>
      <c r="D158" s="133" t="s">
        <v>549</v>
      </c>
      <c r="E158" s="134" t="s">
        <v>550</v>
      </c>
      <c r="F158" s="12"/>
      <c r="G158" s="18"/>
      <c r="H158" s="18"/>
      <c r="I158" s="4" t="str">
        <f>IF(LEN(A158) &gt; 0,"Defs","-")</f>
        <v>Defs</v>
      </c>
      <c r="J158" s="4" t="str">
        <f>IF(Table2[[#This Row],[!Type]]=J$1, J$1,"rg:None")</f>
        <v>rg:None</v>
      </c>
      <c r="K158" s="4" t="str">
        <f>IF(Table2[[#This Row],[!Type]]=K$1, K$1,"rg:None")</f>
        <v>rg:None</v>
      </c>
      <c r="L158" s="4" t="str">
        <f>IF(Table2[[#This Row],[!Type]]=L$1, L$1,"rg:None")</f>
        <v>rg:None</v>
      </c>
      <c r="M158" s="4" t="str">
        <f>IF(Table2[[#This Row],[!Type]]=M$1, M$1,"rg:None")</f>
        <v>rg:None</v>
      </c>
      <c r="N158" s="4" t="str">
        <f>IF(Table2[[#This Row],[!Type]]=N$1, N$1,"rg:None")</f>
        <v>rg:None</v>
      </c>
      <c r="O158" s="4" t="str">
        <f>IF(Table2[[#This Row],[!Type]]=O$1, O$1,"rg:None")</f>
        <v>float</v>
      </c>
      <c r="P158" s="4" t="str">
        <f>IF(Table2[[#This Row],[!Type]]=P$1, P$1,"rg:None")</f>
        <v>rg:None</v>
      </c>
      <c r="Q158" s="4" t="str">
        <f>IF(Table2[[#This Row],[!Type]]=Q$1, Q$1,"rg:None")</f>
        <v>rg:None</v>
      </c>
      <c r="R158" s="4" t="str">
        <f>IF(Table2[[#This Row],[!Type]]=R$1, R$1,"rg:None")</f>
        <v>rg:None</v>
      </c>
      <c r="S158" s="4" t="str">
        <f>IF(Table2[[#This Row],[!Type]]=S$1, S$1,"rg:None")</f>
        <v>rg:None</v>
      </c>
      <c r="T158" s="4" t="str">
        <f>IF(LEN(Table2[[#This Row],[!Length]]) &gt; 0, Table2[[#This Row],[!Length]], "rg:None")</f>
        <v>rg:None</v>
      </c>
      <c r="U158" s="4" t="str">
        <f>IF(LEN(Table2[[#This Row],[!Name]]) &gt; 0, Table2[[#This Row],[!Name]], "rg:None")</f>
        <v>blueBookRateNumber</v>
      </c>
      <c r="V158" s="4" t="str">
        <f>IF(LEN(Table2[[#This Row],[!Description]]) &gt; 0, Table2[[#This Row],[!Description]], "rg:None")</f>
        <v>The rate number in the Blue Book that is related to equipment types of this name.</v>
      </c>
      <c r="W158" s="4" t="str">
        <f>IF(LEN(Table2[[#This Row],[!FK]])&gt;0,Table2[[#This Row],[!FK]],"rg:None")</f>
        <v>rg:None</v>
      </c>
      <c r="X158" s="14" t="str">
        <f>IF(LEN(concatif2(A:A,Table2[[#This Row],[!Table]],G:G,"Y",D:D,",")) &gt; 0,"rg:[ { 'req' : '"&amp;concatif2(A:A,Table2[[#This Row],[!Table]],G:G,"Y",D:D,"' }, { 'req': '")&amp;"'} ]","rg:[]")</f>
        <v>rg:[ { 'req' : 'id' }, { 'req': 'name' }, { 'req': 'isDumpTruck' }, { 'req': 'blueBookSection' }, { 'req': 'numberOfBlocks'} ]</v>
      </c>
      <c r="Y158" s="4" t="str">
        <f>IF(LEN(Table2[[#This Row],[!Unique]])&gt;0,IF(Table2[[#This Row],[!Type]] = "id", "rg:None","rg:True"),"rg:None")</f>
        <v>rg:None</v>
      </c>
    </row>
    <row r="159" spans="1:25" ht="43.2" x14ac:dyDescent="0.35">
      <c r="A159" s="82" t="s">
        <v>178</v>
      </c>
      <c r="B159" s="133" t="s">
        <v>13</v>
      </c>
      <c r="C159" s="72"/>
      <c r="D159" s="133" t="s">
        <v>544</v>
      </c>
      <c r="E159" s="134" t="s">
        <v>551</v>
      </c>
      <c r="F159" s="12"/>
      <c r="G159" s="154" t="s">
        <v>59</v>
      </c>
      <c r="H159" s="18"/>
      <c r="I159" s="4" t="str">
        <f t="shared" si="17"/>
        <v>Defs</v>
      </c>
      <c r="J159" s="4" t="str">
        <f>IF(Table2[[#This Row],[!Type]]=J$1, J$1,"rg:None")</f>
        <v>rg:None</v>
      </c>
      <c r="K159" s="4" t="str">
        <f>IF(Table2[[#This Row],[!Type]]=K$1, K$1,"rg:None")</f>
        <v>rg:None</v>
      </c>
      <c r="L159" s="4" t="str">
        <f>IF(Table2[[#This Row],[!Type]]=L$1, L$1,"rg:None")</f>
        <v>rg:None</v>
      </c>
      <c r="M159" s="4" t="str">
        <f>IF(Table2[[#This Row],[!Type]]=M$1, M$1,"rg:None")</f>
        <v>rg:None</v>
      </c>
      <c r="N159" s="4" t="str">
        <f>IF(Table2[[#This Row],[!Type]]=N$1, N$1,"rg:None")</f>
        <v>integer</v>
      </c>
      <c r="O159" s="4" t="str">
        <f>IF(Table2[[#This Row],[!Type]]=O$1, O$1,"rg:None")</f>
        <v>rg:None</v>
      </c>
      <c r="P159" s="4" t="str">
        <f>IF(Table2[[#This Row],[!Type]]=P$1, P$1,"rg:None")</f>
        <v>rg:None</v>
      </c>
      <c r="Q159" s="4" t="str">
        <f>IF(Table2[[#This Row],[!Type]]=Q$1, Q$1,"rg:None")</f>
        <v>rg:None</v>
      </c>
      <c r="R159" s="4" t="str">
        <f>IF(Table2[[#This Row],[!Type]]=R$1, R$1,"rg:None")</f>
        <v>rg:None</v>
      </c>
      <c r="S159" s="4" t="str">
        <f>IF(Table2[[#This Row],[!Type]]=S$1, S$1,"rg:None")</f>
        <v>rg:None</v>
      </c>
      <c r="T159" s="4" t="str">
        <f>IF(LEN(Table2[[#This Row],[!Length]]) &gt; 0, Table2[[#This Row],[!Length]], "rg:None")</f>
        <v>rg:None</v>
      </c>
      <c r="U159" s="4" t="str">
        <f>IF(LEN(Table2[[#This Row],[!Name]]) &gt; 0, Table2[[#This Row],[!Name]], "rg:None")</f>
        <v>numberOfBlocks</v>
      </c>
      <c r="V159" s="4" t="str">
        <f>IF(LEN(Table2[[#This Row],[!Description]]) &gt; 0, Table2[[#This Row],[!Description]], "rg:None")</f>
        <v>The number of blocks defined for the equipment of this name and Blue Book section. In general Dump Truck-class equipment types have 3 blocks, while non-Dump Truck equipment types have 2 blocks.</v>
      </c>
      <c r="W159" s="4" t="str">
        <f>IF(LEN(Table2[[#This Row],[!FK]])&gt;0,Table2[[#This Row],[!FK]],"rg:None")</f>
        <v>rg:None</v>
      </c>
      <c r="X159" s="14" t="str">
        <f>IF(LEN(concatif2(A:A,Table2[[#This Row],[!Table]],G:G,"Y",D:D,",")) &gt; 0,"rg:[ { 'req' : '"&amp;concatif2(A:A,Table2[[#This Row],[!Table]],G:G,"Y",D:D,"' }, { 'req': '")&amp;"'} ]","rg:[]")</f>
        <v>rg:[ { 'req' : 'id' }, { 'req': 'name' }, { 'req': 'isDumpTruck' }, { 'req': 'blueBookSection' }, { 'req': 'numberOfBlocks'} ]</v>
      </c>
      <c r="Y159" s="4" t="str">
        <f>IF(LEN(Table2[[#This Row],[!Unique]])&gt;0,IF(Table2[[#This Row],[!Type]] = "id", "rg:None","rg:True"),"rg:None")</f>
        <v>rg:None</v>
      </c>
    </row>
    <row r="160" spans="1:25" ht="28.8" x14ac:dyDescent="0.35">
      <c r="A160" s="82" t="s">
        <v>178</v>
      </c>
      <c r="B160" s="133" t="s">
        <v>105</v>
      </c>
      <c r="C160" s="72"/>
      <c r="D160" s="136" t="s">
        <v>545</v>
      </c>
      <c r="E160" s="134" t="s">
        <v>546</v>
      </c>
      <c r="F160" s="12"/>
      <c r="G160" s="18"/>
      <c r="H160" s="18"/>
      <c r="I160" s="4" t="str">
        <f t="shared" si="17"/>
        <v>Defs</v>
      </c>
      <c r="J160" s="4" t="str">
        <f>IF(Table2[[#This Row],[!Type]]=J$1, J$1,"rg:None")</f>
        <v>rg:None</v>
      </c>
      <c r="K160" s="4" t="str">
        <f>IF(Table2[[#This Row],[!Type]]=K$1, K$1,"rg:None")</f>
        <v>rg:None</v>
      </c>
      <c r="L160" s="4" t="str">
        <f>IF(Table2[[#This Row],[!Type]]=L$1, L$1,"rg:None")</f>
        <v>rg:None</v>
      </c>
      <c r="M160" s="4" t="str">
        <f>IF(Table2[[#This Row],[!Type]]=M$1, M$1,"rg:None")</f>
        <v>rg:None</v>
      </c>
      <c r="N160" s="4" t="str">
        <f>IF(Table2[[#This Row],[!Type]]=N$1, N$1,"rg:None")</f>
        <v>rg:None</v>
      </c>
      <c r="O160" s="4" t="str">
        <f>IF(Table2[[#This Row],[!Type]]=O$1, O$1,"rg:None")</f>
        <v>float</v>
      </c>
      <c r="P160" s="4" t="str">
        <f>IF(Table2[[#This Row],[!Type]]=P$1, P$1,"rg:None")</f>
        <v>rg:None</v>
      </c>
      <c r="Q160" s="4" t="str">
        <f>IF(Table2[[#This Row],[!Type]]=Q$1, Q$1,"rg:None")</f>
        <v>rg:None</v>
      </c>
      <c r="R160" s="4" t="str">
        <f>IF(Table2[[#This Row],[!Type]]=R$1, R$1,"rg:None")</f>
        <v>rg:None</v>
      </c>
      <c r="S160" s="4" t="str">
        <f>IF(Table2[[#This Row],[!Type]]=S$1, S$1,"rg:None")</f>
        <v>rg:None</v>
      </c>
      <c r="T160" s="4" t="str">
        <f>IF(LEN(Table2[[#This Row],[!Length]]) &gt; 0, Table2[[#This Row],[!Length]], "rg:None")</f>
        <v>rg:None</v>
      </c>
      <c r="U160" s="4" t="str">
        <f>IF(LEN(Table2[[#This Row],[!Name]]) &gt; 0, Table2[[#This Row],[!Name]], "rg:None")</f>
        <v>maximumHours</v>
      </c>
      <c r="V160" s="4" t="str">
        <f>IF(LEN(Table2[[#This Row],[!Description]]) &gt; 0, Table2[[#This Row],[!Description]], "rg:None")</f>
        <v>The maximum number of hours per year that equipment types of this name/Blue Book section can work in a year</v>
      </c>
      <c r="W160" s="4" t="str">
        <f>IF(LEN(Table2[[#This Row],[!FK]])&gt;0,Table2[[#This Row],[!FK]],"rg:None")</f>
        <v>rg:None</v>
      </c>
      <c r="X160" s="14" t="str">
        <f>IF(LEN(concatif2(A:A,Table2[[#This Row],[!Table]],G:G,"Y",D:D,",")) &gt; 0,"rg:[ { 'req' : '"&amp;concatif2(A:A,Table2[[#This Row],[!Table]],G:G,"Y",D:D,"' }, { 'req': '")&amp;"'} ]","rg:[]")</f>
        <v>rg:[ { 'req' : 'id' }, { 'req': 'name' }, { 'req': 'isDumpTruck' }, { 'req': 'blueBookSection' }, { 'req': 'numberOfBlocks'} ]</v>
      </c>
      <c r="Y160" s="4" t="str">
        <f>IF(LEN(Table2[[#This Row],[!Unique]])&gt;0,IF(Table2[[#This Row],[!Type]] = "id", "rg:None","rg:True"),"rg:None")</f>
        <v>rg:None</v>
      </c>
    </row>
    <row r="161" spans="1:25" ht="28.8" x14ac:dyDescent="0.35">
      <c r="A161" s="82" t="s">
        <v>178</v>
      </c>
      <c r="B161" s="133" t="s">
        <v>105</v>
      </c>
      <c r="C161" s="72"/>
      <c r="D161" s="5" t="s">
        <v>138</v>
      </c>
      <c r="E161" s="134" t="s">
        <v>547</v>
      </c>
      <c r="F161" s="12"/>
      <c r="G161" s="18"/>
      <c r="H161" s="18"/>
      <c r="I161" s="4" t="str">
        <f t="shared" si="17"/>
        <v>Defs</v>
      </c>
      <c r="J161" s="4" t="str">
        <f>IF(Table2[[#This Row],[!Type]]=J$1, J$1,"rg:None")</f>
        <v>rg:None</v>
      </c>
      <c r="K161" s="4" t="str">
        <f>IF(Table2[[#This Row],[!Type]]=K$1, K$1,"rg:None")</f>
        <v>rg:None</v>
      </c>
      <c r="L161" s="4" t="str">
        <f>IF(Table2[[#This Row],[!Type]]=L$1, L$1,"rg:None")</f>
        <v>rg:None</v>
      </c>
      <c r="M161" s="4" t="str">
        <f>IF(Table2[[#This Row],[!Type]]=M$1, M$1,"rg:None")</f>
        <v>rg:None</v>
      </c>
      <c r="N161" s="4" t="str">
        <f>IF(Table2[[#This Row],[!Type]]=N$1, N$1,"rg:None")</f>
        <v>rg:None</v>
      </c>
      <c r="O161" s="4" t="str">
        <f>IF(Table2[[#This Row],[!Type]]=O$1, O$1,"rg:None")</f>
        <v>float</v>
      </c>
      <c r="P161" s="4" t="str">
        <f>IF(Table2[[#This Row],[!Type]]=P$1, P$1,"rg:None")</f>
        <v>rg:None</v>
      </c>
      <c r="Q161" s="4" t="str">
        <f>IF(Table2[[#This Row],[!Type]]=Q$1, Q$1,"rg:None")</f>
        <v>rg:None</v>
      </c>
      <c r="R161" s="4" t="str">
        <f>IF(Table2[[#This Row],[!Type]]=R$1, R$1,"rg:None")</f>
        <v>rg:None</v>
      </c>
      <c r="S161" s="4" t="str">
        <f>IF(Table2[[#This Row],[!Type]]=S$1, S$1,"rg:None")</f>
        <v>rg:None</v>
      </c>
      <c r="T161" s="4" t="str">
        <f>IF(LEN(Table2[[#This Row],[!Length]]) &gt; 0, Table2[[#This Row],[!Length]], "rg:None")</f>
        <v>rg:None</v>
      </c>
      <c r="U161" s="4" t="str">
        <f>IF(LEN(Table2[[#This Row],[!Name]]) &gt; 0, Table2[[#This Row],[!Name]], "rg:None")</f>
        <v>extendHours</v>
      </c>
      <c r="V161" s="4" t="str">
        <f>IF(LEN(Table2[[#This Row],[!Description]]) &gt; 0, Table2[[#This Row],[!Description]], "rg:None")</f>
        <v>The number of extended hours per year that equipment types of this name/Blue Book section can work.</v>
      </c>
      <c r="W161" s="4" t="str">
        <f>IF(LEN(Table2[[#This Row],[!FK]])&gt;0,Table2[[#This Row],[!FK]],"rg:None")</f>
        <v>rg:None</v>
      </c>
      <c r="X161" s="14" t="str">
        <f>IF(LEN(concatif2(A:A,Table2[[#This Row],[!Table]],G:G,"Y",D:D,",")) &gt; 0,"rg:[ { 'req' : '"&amp;concatif2(A:A,Table2[[#This Row],[!Table]],G:G,"Y",D:D,"' }, { 'req': '")&amp;"'} ]","rg:[]")</f>
        <v>rg:[ { 'req' : 'id' }, { 'req': 'name' }, { 'req': 'isDumpTruck' }, { 'req': 'blueBookSection' }, { 'req': 'numberOfBlocks'} ]</v>
      </c>
      <c r="Y161" s="4" t="str">
        <f>IF(LEN(Table2[[#This Row],[!Unique]])&gt;0,IF(Table2[[#This Row],[!Type]] = "id", "rg:None","rg:True"),"rg:None")</f>
        <v>rg:None</v>
      </c>
    </row>
    <row r="162" spans="1:25" ht="28.8" x14ac:dyDescent="0.35">
      <c r="A162" s="82" t="s">
        <v>178</v>
      </c>
      <c r="B162" s="133" t="s">
        <v>105</v>
      </c>
      <c r="C162" s="72"/>
      <c r="D162" s="5" t="s">
        <v>139</v>
      </c>
      <c r="E162" s="134" t="s">
        <v>548</v>
      </c>
      <c r="F162" s="12"/>
      <c r="G162" s="18"/>
      <c r="H162" s="18"/>
      <c r="I162" s="4" t="str">
        <f t="shared" ref="I162" si="18">IF(LEN(A162) &gt; 0,"Defs","-")</f>
        <v>Defs</v>
      </c>
      <c r="J162" s="4" t="str">
        <f>IF(Table2[[#This Row],[!Type]]=J$1, J$1,"rg:None")</f>
        <v>rg:None</v>
      </c>
      <c r="K162" s="4" t="str">
        <f>IF(Table2[[#This Row],[!Type]]=K$1, K$1,"rg:None")</f>
        <v>rg:None</v>
      </c>
      <c r="L162" s="4" t="str">
        <f>IF(Table2[[#This Row],[!Type]]=L$1, L$1,"rg:None")</f>
        <v>rg:None</v>
      </c>
      <c r="M162" s="4" t="str">
        <f>IF(Table2[[#This Row],[!Type]]=M$1, M$1,"rg:None")</f>
        <v>rg:None</v>
      </c>
      <c r="N162" s="4" t="str">
        <f>IF(Table2[[#This Row],[!Type]]=N$1, N$1,"rg:None")</f>
        <v>rg:None</v>
      </c>
      <c r="O162" s="4" t="str">
        <f>IF(Table2[[#This Row],[!Type]]=O$1, O$1,"rg:None")</f>
        <v>float</v>
      </c>
      <c r="P162" s="4" t="str">
        <f>IF(Table2[[#This Row],[!Type]]=P$1, P$1,"rg:None")</f>
        <v>rg:None</v>
      </c>
      <c r="Q162" s="4" t="str">
        <f>IF(Table2[[#This Row],[!Type]]=Q$1, Q$1,"rg:None")</f>
        <v>rg:None</v>
      </c>
      <c r="R162" s="4" t="str">
        <f>IF(Table2[[#This Row],[!Type]]=R$1, R$1,"rg:None")</f>
        <v>rg:None</v>
      </c>
      <c r="S162" s="4" t="str">
        <f>IF(Table2[[#This Row],[!Type]]=S$1, S$1,"rg:None")</f>
        <v>rg:None</v>
      </c>
      <c r="T162" s="4" t="str">
        <f>IF(LEN(Table2[[#This Row],[!Length]]) &gt; 0, Table2[[#This Row],[!Length]], "rg:None")</f>
        <v>rg:None</v>
      </c>
      <c r="U162" s="4" t="str">
        <f>IF(LEN(Table2[[#This Row],[!Name]]) &gt; 0, Table2[[#This Row],[!Name]], "rg:None")</f>
        <v>maxHoursSub</v>
      </c>
      <c r="V162" s="4" t="str">
        <f>IF(LEN(Table2[[#This Row],[!Description]]) &gt; 0, Table2[[#This Row],[!Description]], "rg:None")</f>
        <v>The number of substitute hours per year that equipment types of this name/Blue Book section can work.</v>
      </c>
      <c r="W162" s="4" t="str">
        <f>IF(LEN(Table2[[#This Row],[!FK]])&gt;0,Table2[[#This Row],[!FK]],"rg:None")</f>
        <v>rg:None</v>
      </c>
      <c r="X162" s="14" t="str">
        <f>IF(LEN(concatif2(A:A,Table2[[#This Row],[!Table]],G:G,"Y",D:D,",")) &gt; 0,"rg:[ { 'req' : '"&amp;concatif2(A:A,Table2[[#This Row],[!Table]],G:G,"Y",D:D,"' }, { 'req': '")&amp;"'} ]","rg:[]")</f>
        <v>rg:[ { 'req' : 'id' }, { 'req': 'name' }, { 'req': 'isDumpTruck' }, { 'req': 'blueBookSection' }, { 'req': 'numberOfBlocks'} ]</v>
      </c>
      <c r="Y162" s="4" t="str">
        <f>IF(LEN(Table2[[#This Row],[!Unique]])&gt;0,IF(Table2[[#This Row],[!Type]] = "id", "rg:None","rg:True"),"rg:None")</f>
        <v>rg:None</v>
      </c>
    </row>
    <row r="163" spans="1:25" ht="72" x14ac:dyDescent="0.35">
      <c r="A163" s="137" t="s">
        <v>554</v>
      </c>
      <c r="B163" s="5" t="s">
        <v>4</v>
      </c>
      <c r="D163" s="137" t="s">
        <v>554</v>
      </c>
      <c r="E163" s="141" t="s">
        <v>558</v>
      </c>
      <c r="F163" s="5" t="s">
        <v>5</v>
      </c>
      <c r="G163" s="4"/>
      <c r="H163" s="4"/>
      <c r="I163" s="4" t="str">
        <f t="shared" ref="I163:I167" si="19">IF(LEN(A163) &gt; 0,"Defs","-")</f>
        <v>Defs</v>
      </c>
      <c r="J163" s="4" t="str">
        <f>IF(Table2[[#This Row],[!Type]]=J$1, J$1,"rg:None")</f>
        <v>rg:None</v>
      </c>
      <c r="K163" s="4" t="str">
        <f>IF(Table2[[#This Row],[!Type]]=K$1, K$1,"rg:None")</f>
        <v>rg:None</v>
      </c>
      <c r="L163" s="4" t="str">
        <f>IF(Table2[[#This Row],[!Type]]=L$1, L$1,"rg:None")</f>
        <v>rg:None</v>
      </c>
      <c r="M163" s="4" t="str">
        <f>IF(Table2[[#This Row],[!Type]]=M$1, M$1,"rg:None")</f>
        <v>rg:None</v>
      </c>
      <c r="N163" s="4" t="str">
        <f>IF(Table2[[#This Row],[!Type]]=N$1, N$1,"rg:None")</f>
        <v>rg:None</v>
      </c>
      <c r="O163" s="4" t="str">
        <f>IF(Table2[[#This Row],[!Type]]=O$1, O$1,"rg:None")</f>
        <v>rg:None</v>
      </c>
      <c r="P163" s="4" t="str">
        <f>IF(Table2[[#This Row],[!Type]]=P$1, P$1,"rg:None")</f>
        <v>rg:None</v>
      </c>
      <c r="Q163" s="4" t="str">
        <f>IF(Table2[[#This Row],[!Type]]=Q$1, Q$1,"rg:None")</f>
        <v>rg:None</v>
      </c>
      <c r="R163" s="4" t="str">
        <f>IF(Table2[[#This Row],[!Type]]=R$1, R$1,"rg:None")</f>
        <v>rg:None</v>
      </c>
      <c r="S163" s="4" t="str">
        <f>IF(Table2[[#This Row],[!Type]]=S$1, S$1,"rg:None")</f>
        <v>table</v>
      </c>
      <c r="T163" s="4" t="str">
        <f>IF(LEN(Table2[[#This Row],[!Length]]) &gt; 0, Table2[[#This Row],[!Length]], "rg:None")</f>
        <v>rg:None</v>
      </c>
      <c r="U163" s="4" t="str">
        <f>IF(LEN(Table2[[#This Row],[!Name]]) &gt; 0, Table2[[#This Row],[!Name]], "rg:None")</f>
        <v>DistrictEquipmentType</v>
      </c>
      <c r="V163" s="4" t="str">
        <f>IF(LEN(Table2[[#This Row],[!Description]]) &gt; 0, Table2[[#This Row],[!Description]], "rg:None")</f>
        <v>An Equipment Type defined at the District level. Links to a provincial Equipment Type for the name of the equipment but supports the District HETS Clerk setting a local name for the Equipment Type. Within a given District, the same provincial Equipment Type might be reused multiple times in, for example, separate sizes (small, medium, large). This enables local areas with large number of the same Equipment Type to have multiple lists.</v>
      </c>
      <c r="W163" s="4" t="str">
        <f>IF(LEN(Table2[[#This Row],[!FK]])&gt;0,Table2[[#This Row],[!FK]],"rg:None")</f>
        <v>rg:None</v>
      </c>
      <c r="X163" s="14" t="str">
        <f>IF(LEN(concatif2(A:A,Table2[[#This Row],[!Table]],G:G,"Y",D:D,",")) &gt; 0,"rg:[ { 'req' : '"&amp;concatif2(A:A,Table2[[#This Row],[!Table]],G:G,"Y",D:D,"' }, { 'req': '")&amp;"'} ]","rg:[]")</f>
        <v>rg:[ { 'req' : 'id' }, { 'req': 'equipmentType' }, { 'req': 'district' }, { 'req': 'districtEquipmentName'} ]</v>
      </c>
      <c r="Y163" s="4" t="str">
        <f>IF(LEN(Table2[[#This Row],[!Unique]])&gt;0,IF(Table2[[#This Row],[!Type]] = "id", "rg:None","rg:True"),"rg:None")</f>
        <v>rg:None</v>
      </c>
    </row>
    <row r="164" spans="1:25" x14ac:dyDescent="0.35">
      <c r="A164" s="137" t="s">
        <v>554</v>
      </c>
      <c r="B164" s="5" t="s">
        <v>6</v>
      </c>
      <c r="D164" s="5" t="s">
        <v>6</v>
      </c>
      <c r="E164" s="101" t="s">
        <v>291</v>
      </c>
      <c r="F164" s="5" t="s">
        <v>5</v>
      </c>
      <c r="G164" s="4" t="s">
        <v>59</v>
      </c>
      <c r="H164" s="155" t="s">
        <v>59</v>
      </c>
      <c r="I164" s="4" t="str">
        <f t="shared" si="19"/>
        <v>Defs</v>
      </c>
      <c r="J164" s="4" t="str">
        <f>IF(Table2[[#This Row],[!Type]]=J$1, J$1,"rg:None")</f>
        <v>rg:None</v>
      </c>
      <c r="K164" s="4" t="str">
        <f>IF(Table2[[#This Row],[!Type]]=K$1, K$1,"rg:None")</f>
        <v>rg:None</v>
      </c>
      <c r="L164" s="4" t="str">
        <f>IF(Table2[[#This Row],[!Type]]=L$1, L$1,"rg:None")</f>
        <v>rg:None</v>
      </c>
      <c r="M164" s="4" t="str">
        <f>IF(Table2[[#This Row],[!Type]]=M$1, M$1,"rg:None")</f>
        <v>id</v>
      </c>
      <c r="N164" s="4" t="str">
        <f>IF(Table2[[#This Row],[!Type]]=N$1, N$1,"rg:None")</f>
        <v>rg:None</v>
      </c>
      <c r="O164" s="4" t="str">
        <f>IF(Table2[[#This Row],[!Type]]=O$1, O$1,"rg:None")</f>
        <v>rg:None</v>
      </c>
      <c r="P164" s="4" t="str">
        <f>IF(Table2[[#This Row],[!Type]]=P$1, P$1,"rg:None")</f>
        <v>rg:None</v>
      </c>
      <c r="Q164" s="4" t="str">
        <f>IF(Table2[[#This Row],[!Type]]=Q$1, Q$1,"rg:None")</f>
        <v>rg:None</v>
      </c>
      <c r="R164" s="4" t="str">
        <f>IF(Table2[[#This Row],[!Type]]=R$1, R$1,"rg:None")</f>
        <v>rg:None</v>
      </c>
      <c r="S164" s="4" t="str">
        <f>IF(Table2[[#This Row],[!Type]]=S$1, S$1,"rg:None")</f>
        <v>rg:None</v>
      </c>
      <c r="T164" s="4" t="str">
        <f>IF(LEN(Table2[[#This Row],[!Length]]) &gt; 0, Table2[[#This Row],[!Length]], "rg:None")</f>
        <v>rg:None</v>
      </c>
      <c r="U164" s="4" t="str">
        <f>IF(LEN(Table2[[#This Row],[!Name]]) &gt; 0, Table2[[#This Row],[!Name]], "rg:None")</f>
        <v>id</v>
      </c>
      <c r="V164" s="4" t="str">
        <f>IF(LEN(Table2[[#This Row],[!Description]]) &gt; 0, Table2[[#This Row],[!Description]], "rg:None")</f>
        <v>A system-generated unique identifier for an EquipmentType</v>
      </c>
      <c r="W164" s="4" t="str">
        <f>IF(LEN(Table2[[#This Row],[!FK]])&gt;0,Table2[[#This Row],[!FK]],"rg:None")</f>
        <v>rg:None</v>
      </c>
      <c r="X164" s="14" t="str">
        <f>IF(LEN(concatif2(A:A,Table2[[#This Row],[!Table]],G:G,"Y",D:D,",")) &gt; 0,"rg:[ { 'req' : '"&amp;concatif2(A:A,Table2[[#This Row],[!Table]],G:G,"Y",D:D,"' }, { 'req': '")&amp;"'} ]","rg:[]")</f>
        <v>rg:[ { 'req' : 'id' }, { 'req': 'equipmentType' }, { 'req': 'district' }, { 'req': 'districtEquipmentName'} ]</v>
      </c>
      <c r="Y164" s="4" t="str">
        <f>IF(LEN(Table2[[#This Row],[!Unique]])&gt;0,IF(Table2[[#This Row],[!Type]] = "id", "rg:None","rg:True"),"rg:None")</f>
        <v>rg:None</v>
      </c>
    </row>
    <row r="165" spans="1:25" x14ac:dyDescent="0.35">
      <c r="A165" s="137" t="s">
        <v>554</v>
      </c>
      <c r="B165" s="133" t="s">
        <v>8</v>
      </c>
      <c r="C165" s="72"/>
      <c r="D165" s="139" t="s">
        <v>177</v>
      </c>
      <c r="E165" s="47"/>
      <c r="F165" s="140" t="s">
        <v>178</v>
      </c>
      <c r="G165" s="154" t="s">
        <v>59</v>
      </c>
      <c r="H165" s="18"/>
      <c r="I165" s="4" t="str">
        <f>IF(LEN(A165) &gt; 0,"Defs","-")</f>
        <v>Defs</v>
      </c>
      <c r="J165" s="4" t="str">
        <f>IF(Table2[[#This Row],[!Type]]=J$1, J$1,"rg:None")</f>
        <v>rg:None</v>
      </c>
      <c r="K165" s="4" t="str">
        <f>IF(Table2[[#This Row],[!Type]]=K$1, K$1,"rg:None")</f>
        <v>rg:None</v>
      </c>
      <c r="L165" s="4" t="str">
        <f>IF(Table2[[#This Row],[!Type]]=L$1, L$1,"rg:None")</f>
        <v>rg:None</v>
      </c>
      <c r="M165" s="4" t="str">
        <f>IF(Table2[[#This Row],[!Type]]=M$1, M$1,"rg:None")</f>
        <v>rg:None</v>
      </c>
      <c r="N165" s="4" t="str">
        <f>IF(Table2[[#This Row],[!Type]]=N$1, N$1,"rg:None")</f>
        <v>rg:None</v>
      </c>
      <c r="O165" s="4" t="str">
        <f>IF(Table2[[#This Row],[!Type]]=O$1, O$1,"rg:None")</f>
        <v>rg:None</v>
      </c>
      <c r="P165" s="4" t="str">
        <f>IF(Table2[[#This Row],[!Type]]=P$1, P$1,"rg:None")</f>
        <v>rg:None</v>
      </c>
      <c r="Q165" s="4" t="str">
        <f>IF(Table2[[#This Row],[!Type]]=Q$1, Q$1,"rg:None")</f>
        <v>ref</v>
      </c>
      <c r="R165" s="4" t="str">
        <f>IF(Table2[[#This Row],[!Type]]=R$1, R$1,"rg:None")</f>
        <v>rg:None</v>
      </c>
      <c r="S165" s="4" t="str">
        <f>IF(Table2[[#This Row],[!Type]]=S$1, S$1,"rg:None")</f>
        <v>rg:None</v>
      </c>
      <c r="T165" s="4" t="str">
        <f>IF(LEN(Table2[[#This Row],[!Length]]) &gt; 0, Table2[[#This Row],[!Length]], "rg:None")</f>
        <v>rg:None</v>
      </c>
      <c r="U165" s="4" t="str">
        <f>IF(LEN(Table2[[#This Row],[!Name]]) &gt; 0, Table2[[#This Row],[!Name]], "rg:None")</f>
        <v>equipmentType</v>
      </c>
      <c r="V165" s="4" t="str">
        <f>IF(LEN(Table2[[#This Row],[!Description]]) &gt; 0, Table2[[#This Row],[!Description]], "rg:None")</f>
        <v>rg:None</v>
      </c>
      <c r="W165" s="4" t="str">
        <f>IF(LEN(Table2[[#This Row],[!FK]])&gt;0,Table2[[#This Row],[!FK]],"rg:None")</f>
        <v>EquipmentType</v>
      </c>
      <c r="X165" s="14" t="str">
        <f>IF(LEN(concatif2(A:A,Table2[[#This Row],[!Table]],G:G,"Y",D:D,",")) &gt; 0,"rg:[ { 'req' : '"&amp;concatif2(A:A,Table2[[#This Row],[!Table]],G:G,"Y",D:D,"' }, { 'req': '")&amp;"'} ]","rg:[]")</f>
        <v>rg:[ { 'req' : 'id' }, { 'req': 'equipmentType' }, { 'req': 'district' }, { 'req': 'districtEquipmentName'} ]</v>
      </c>
      <c r="Y165" s="4" t="str">
        <f>IF(LEN(Table2[[#This Row],[!Unique]])&gt;0,IF(Table2[[#This Row],[!Type]] = "id", "rg:None","rg:True"),"rg:None")</f>
        <v>rg:None</v>
      </c>
    </row>
    <row r="166" spans="1:25" x14ac:dyDescent="0.35">
      <c r="A166" s="137" t="s">
        <v>554</v>
      </c>
      <c r="B166" s="5" t="s">
        <v>8</v>
      </c>
      <c r="D166" s="136" t="s">
        <v>37</v>
      </c>
      <c r="F166" s="136" t="s">
        <v>32</v>
      </c>
      <c r="G166" s="155" t="s">
        <v>59</v>
      </c>
      <c r="H166" s="4"/>
      <c r="I166" s="4" t="str">
        <f t="shared" si="19"/>
        <v>Defs</v>
      </c>
      <c r="J166" s="4" t="str">
        <f>IF(Table2[[#This Row],[!Type]]=J$1, J$1,"rg:None")</f>
        <v>rg:None</v>
      </c>
      <c r="K166" s="4" t="str">
        <f>IF(Table2[[#This Row],[!Type]]=K$1, K$1,"rg:None")</f>
        <v>rg:None</v>
      </c>
      <c r="L166" s="4" t="str">
        <f>IF(Table2[[#This Row],[!Type]]=L$1, L$1,"rg:None")</f>
        <v>rg:None</v>
      </c>
      <c r="M166" s="4" t="str">
        <f>IF(Table2[[#This Row],[!Type]]=M$1, M$1,"rg:None")</f>
        <v>rg:None</v>
      </c>
      <c r="N166" s="4" t="str">
        <f>IF(Table2[[#This Row],[!Type]]=N$1, N$1,"rg:None")</f>
        <v>rg:None</v>
      </c>
      <c r="O166" s="4" t="str">
        <f>IF(Table2[[#This Row],[!Type]]=O$1, O$1,"rg:None")</f>
        <v>rg:None</v>
      </c>
      <c r="P166" s="4" t="str">
        <f>IF(Table2[[#This Row],[!Type]]=P$1, P$1,"rg:None")</f>
        <v>rg:None</v>
      </c>
      <c r="Q166" s="4" t="str">
        <f>IF(Table2[[#This Row],[!Type]]=Q$1, Q$1,"rg:None")</f>
        <v>ref</v>
      </c>
      <c r="R166" s="4" t="str">
        <f>IF(Table2[[#This Row],[!Type]]=R$1, R$1,"rg:None")</f>
        <v>rg:None</v>
      </c>
      <c r="S166" s="4" t="str">
        <f>IF(Table2[[#This Row],[!Type]]=S$1, S$1,"rg:None")</f>
        <v>rg:None</v>
      </c>
      <c r="T166" s="4" t="str">
        <f>IF(LEN(Table2[[#This Row],[!Length]]) &gt; 0, Table2[[#This Row],[!Length]], "rg:None")</f>
        <v>rg:None</v>
      </c>
      <c r="U166" s="4" t="str">
        <f>IF(LEN(Table2[[#This Row],[!Name]]) &gt; 0, Table2[[#This Row],[!Name]], "rg:None")</f>
        <v>district</v>
      </c>
      <c r="V166" s="4" t="str">
        <f>IF(LEN(Table2[[#This Row],[!Description]]) &gt; 0, Table2[[#This Row],[!Description]], "rg:None")</f>
        <v>rg:None</v>
      </c>
      <c r="W166" s="4" t="str">
        <f>IF(LEN(Table2[[#This Row],[!FK]])&gt;0,Table2[[#This Row],[!FK]],"rg:None")</f>
        <v>District</v>
      </c>
      <c r="X166" s="14" t="str">
        <f>IF(LEN(concatif2(A:A,Table2[[#This Row],[!Table]],G:G,"Y",D:D,",")) &gt; 0,"rg:[ { 'req' : '"&amp;concatif2(A:A,Table2[[#This Row],[!Table]],G:G,"Y",D:D,"' }, { 'req': '")&amp;"'} ]","rg:[]")</f>
        <v>rg:[ { 'req' : 'id' }, { 'req': 'equipmentType' }, { 'req': 'district' }, { 'req': 'districtEquipmentName'} ]</v>
      </c>
      <c r="Y166" s="4" t="str">
        <f>IF(LEN(Table2[[#This Row],[!Unique]])&gt;0,IF(Table2[[#This Row],[!Type]] = "id", "rg:None","rg:True"),"rg:None")</f>
        <v>rg:None</v>
      </c>
    </row>
    <row r="167" spans="1:25" ht="57.6" x14ac:dyDescent="0.35">
      <c r="A167" s="137" t="s">
        <v>554</v>
      </c>
      <c r="B167" s="5" t="s">
        <v>7</v>
      </c>
      <c r="C167" s="5">
        <v>50</v>
      </c>
      <c r="D167" s="136" t="s">
        <v>552</v>
      </c>
      <c r="E167" s="135" t="s">
        <v>553</v>
      </c>
      <c r="F167" s="5" t="s">
        <v>5</v>
      </c>
      <c r="G167" s="155" t="s">
        <v>59</v>
      </c>
      <c r="H167" s="4"/>
      <c r="I167" s="4" t="str">
        <f t="shared" si="19"/>
        <v>Defs</v>
      </c>
      <c r="J167" s="4" t="str">
        <f>IF(Table2[[#This Row],[!Type]]=J$1, J$1,"rg:None")</f>
        <v>rg:None</v>
      </c>
      <c r="K167" s="4" t="str">
        <f>IF(Table2[[#This Row],[!Type]]=K$1, K$1,"rg:None")</f>
        <v>rg:None</v>
      </c>
      <c r="L167" s="4" t="str">
        <f>IF(Table2[[#This Row],[!Type]]=L$1, L$1,"rg:None")</f>
        <v>rg:None</v>
      </c>
      <c r="M167" s="4" t="str">
        <f>IF(Table2[[#This Row],[!Type]]=M$1, M$1,"rg:None")</f>
        <v>rg:None</v>
      </c>
      <c r="N167" s="4" t="str">
        <f>IF(Table2[[#This Row],[!Type]]=N$1, N$1,"rg:None")</f>
        <v>rg:None</v>
      </c>
      <c r="O167" s="4" t="str">
        <f>IF(Table2[[#This Row],[!Type]]=O$1, O$1,"rg:None")</f>
        <v>rg:None</v>
      </c>
      <c r="P167" s="4" t="str">
        <f>IF(Table2[[#This Row],[!Type]]=P$1, P$1,"rg:None")</f>
        <v>rg:None</v>
      </c>
      <c r="Q167" s="4" t="str">
        <f>IF(Table2[[#This Row],[!Type]]=Q$1, Q$1,"rg:None")</f>
        <v>rg:None</v>
      </c>
      <c r="R167" s="4" t="str">
        <f>IF(Table2[[#This Row],[!Type]]=R$1, R$1,"rg:None")</f>
        <v>string</v>
      </c>
      <c r="S167" s="4" t="str">
        <f>IF(Table2[[#This Row],[!Type]]=S$1, S$1,"rg:None")</f>
        <v>rg:None</v>
      </c>
      <c r="T167" s="4">
        <f>IF(LEN(Table2[[#This Row],[!Length]]) &gt; 0, Table2[[#This Row],[!Length]], "rg:None")</f>
        <v>50</v>
      </c>
      <c r="U167" s="4" t="str">
        <f>IF(LEN(Table2[[#This Row],[!Name]]) &gt; 0, Table2[[#This Row],[!Name]], "rg:None")</f>
        <v>districtEquipmentName</v>
      </c>
      <c r="V167" s="4" t="str">
        <f>IF(LEN(Table2[[#This Row],[!Description]]) &gt; 0, Table2[[#This Row],[!Description]], "rg:None")</f>
        <v>The name of this equipment type used at the District Level. This could be just the equipmentName if this is the only EquipmentType defined in this District, or could be a name that separates out multiple EquipmentTypes used within a District to, for instance, separate out the same EquipmentName by size.</v>
      </c>
      <c r="W167" s="4" t="str">
        <f>IF(LEN(Table2[[#This Row],[!FK]])&gt;0,Table2[[#This Row],[!FK]],"rg:None")</f>
        <v>rg:None</v>
      </c>
      <c r="X167" s="14" t="str">
        <f>IF(LEN(concatif2(A:A,Table2[[#This Row],[!Table]],G:G,"Y",D:D,",")) &gt; 0,"rg:[ { 'req' : '"&amp;concatif2(A:A,Table2[[#This Row],[!Table]],G:G,"Y",D:D,"' }, { 'req': '")&amp;"'} ]","rg:[]")</f>
        <v>rg:[ { 'req' : 'id' }, { 'req': 'equipmentType' }, { 'req': 'district' }, { 'req': 'districtEquipmentName'} ]</v>
      </c>
      <c r="Y167" s="4" t="str">
        <f>IF(LEN(Table2[[#This Row],[!Unique]])&gt;0,IF(Table2[[#This Row],[!Type]] = "id", "rg:None","rg:True"),"rg:None")</f>
        <v>rg:None</v>
      </c>
    </row>
    <row r="168" spans="1:25" x14ac:dyDescent="0.35">
      <c r="A168" s="139" t="s">
        <v>559</v>
      </c>
      <c r="B168" s="124" t="s">
        <v>4</v>
      </c>
      <c r="C168" s="72"/>
      <c r="D168" s="139" t="s">
        <v>559</v>
      </c>
      <c r="E168" s="47"/>
      <c r="F168" s="12"/>
      <c r="G168" s="18"/>
      <c r="H168" s="18"/>
      <c r="I168" s="4" t="str">
        <f t="shared" ref="I168:I176" si="20">IF(LEN(A168) &gt; 0,"Defs","-")</f>
        <v>Defs</v>
      </c>
      <c r="J168" s="4" t="str">
        <f>IF(Table2[[#This Row],[!Type]]=J$1, J$1,"rg:None")</f>
        <v>rg:None</v>
      </c>
      <c r="K168" s="4" t="str">
        <f>IF(Table2[[#This Row],[!Type]]=K$1, K$1,"rg:None")</f>
        <v>rg:None</v>
      </c>
      <c r="L168" s="4" t="str">
        <f>IF(Table2[[#This Row],[!Type]]=L$1, L$1,"rg:None")</f>
        <v>rg:None</v>
      </c>
      <c r="M168" s="4" t="str">
        <f>IF(Table2[[#This Row],[!Type]]=M$1, M$1,"rg:None")</f>
        <v>rg:None</v>
      </c>
      <c r="N168" s="4" t="str">
        <f>IF(Table2[[#This Row],[!Type]]=N$1, N$1,"rg:None")</f>
        <v>rg:None</v>
      </c>
      <c r="O168" s="4" t="str">
        <f>IF(Table2[[#This Row],[!Type]]=O$1, O$1,"rg:None")</f>
        <v>rg:None</v>
      </c>
      <c r="P168" s="4" t="str">
        <f>IF(Table2[[#This Row],[!Type]]=P$1, P$1,"rg:None")</f>
        <v>rg:None</v>
      </c>
      <c r="Q168" s="4" t="str">
        <f>IF(Table2[[#This Row],[!Type]]=Q$1, Q$1,"rg:None")</f>
        <v>rg:None</v>
      </c>
      <c r="R168" s="4" t="str">
        <f>IF(Table2[[#This Row],[!Type]]=R$1, R$1,"rg:None")</f>
        <v>rg:None</v>
      </c>
      <c r="S168" s="4" t="str">
        <f>IF(Table2[[#This Row],[!Type]]=S$1, S$1,"rg:None")</f>
        <v>table</v>
      </c>
      <c r="T168" s="4" t="str">
        <f>IF(LEN(Table2[[#This Row],[!Length]]) &gt; 0, Table2[[#This Row],[!Length]], "rg:None")</f>
        <v>rg:None</v>
      </c>
      <c r="U168" s="4" t="str">
        <f>IF(LEN(Table2[[#This Row],[!Name]]) &gt; 0, Table2[[#This Row],[!Name]], "rg:None")</f>
        <v>LocalAreaRotationList</v>
      </c>
      <c r="V168" s="4" t="str">
        <f>IF(LEN(Table2[[#This Row],[!Description]]) &gt; 0, Table2[[#This Row],[!Description]], "rg:None")</f>
        <v>rg:None</v>
      </c>
      <c r="W168" s="4" t="str">
        <f>IF(LEN(Table2[[#This Row],[!FK]])&gt;0,Table2[[#This Row],[!FK]],"rg:None")</f>
        <v>rg:None</v>
      </c>
      <c r="X168" s="14" t="str">
        <f>IF(LEN(concatif2(A:A,Table2[[#This Row],[!Table]],G:G,"Y",D:D,",")) &gt; 0,"rg:[ { 'req' : '"&amp;concatif2(A:A,Table2[[#This Row],[!Table]],G:G,"Y",D:D,"' }, { 'req': '")&amp;"'} ]","rg:[]")</f>
        <v>rg:[ { 'req' : 'id' }, { 'req': 'districtEquipmentType' }, { 'req': 'localArea'} ]</v>
      </c>
      <c r="Y168" s="4" t="str">
        <f>IF(LEN(Table2[[#This Row],[!Unique]])&gt;0,IF(Table2[[#This Row],[!Type]] = "id", "rg:None","rg:True"),"rg:None")</f>
        <v>rg:None</v>
      </c>
    </row>
    <row r="169" spans="1:25" x14ac:dyDescent="0.35">
      <c r="A169" s="139" t="s">
        <v>559</v>
      </c>
      <c r="B169" s="124" t="s">
        <v>6</v>
      </c>
      <c r="C169" s="72"/>
      <c r="D169" s="124" t="s">
        <v>6</v>
      </c>
      <c r="E169" s="47"/>
      <c r="F169" s="12"/>
      <c r="G169" s="126" t="s">
        <v>59</v>
      </c>
      <c r="H169" s="154" t="s">
        <v>59</v>
      </c>
      <c r="I169" s="4" t="str">
        <f t="shared" si="20"/>
        <v>Defs</v>
      </c>
      <c r="J169" s="4" t="str">
        <f>IF(Table2[[#This Row],[!Type]]=J$1, J$1,"rg:None")</f>
        <v>rg:None</v>
      </c>
      <c r="K169" s="4" t="str">
        <f>IF(Table2[[#This Row],[!Type]]=K$1, K$1,"rg:None")</f>
        <v>rg:None</v>
      </c>
      <c r="L169" s="4" t="str">
        <f>IF(Table2[[#This Row],[!Type]]=L$1, L$1,"rg:None")</f>
        <v>rg:None</v>
      </c>
      <c r="M169" s="4" t="str">
        <f>IF(Table2[[#This Row],[!Type]]=M$1, M$1,"rg:None")</f>
        <v>id</v>
      </c>
      <c r="N169" s="4" t="str">
        <f>IF(Table2[[#This Row],[!Type]]=N$1, N$1,"rg:None")</f>
        <v>rg:None</v>
      </c>
      <c r="O169" s="4" t="str">
        <f>IF(Table2[[#This Row],[!Type]]=O$1, O$1,"rg:None")</f>
        <v>rg:None</v>
      </c>
      <c r="P169" s="4" t="str">
        <f>IF(Table2[[#This Row],[!Type]]=P$1, P$1,"rg:None")</f>
        <v>rg:None</v>
      </c>
      <c r="Q169" s="4" t="str">
        <f>IF(Table2[[#This Row],[!Type]]=Q$1, Q$1,"rg:None")</f>
        <v>rg:None</v>
      </c>
      <c r="R169" s="4" t="str">
        <f>IF(Table2[[#This Row],[!Type]]=R$1, R$1,"rg:None")</f>
        <v>rg:None</v>
      </c>
      <c r="S169" s="4" t="str">
        <f>IF(Table2[[#This Row],[!Type]]=S$1, S$1,"rg:None")</f>
        <v>rg:None</v>
      </c>
      <c r="T169" s="4" t="str">
        <f>IF(LEN(Table2[[#This Row],[!Length]]) &gt; 0, Table2[[#This Row],[!Length]], "rg:None")</f>
        <v>rg:None</v>
      </c>
      <c r="U169" s="4" t="str">
        <f>IF(LEN(Table2[[#This Row],[!Name]]) &gt; 0, Table2[[#This Row],[!Name]], "rg:None")</f>
        <v>id</v>
      </c>
      <c r="V169" s="4" t="str">
        <f>IF(LEN(Table2[[#This Row],[!Description]]) &gt; 0, Table2[[#This Row],[!Description]], "rg:None")</f>
        <v>rg:None</v>
      </c>
      <c r="W169" s="4" t="str">
        <f>IF(LEN(Table2[[#This Row],[!FK]])&gt;0,Table2[[#This Row],[!FK]],"rg:None")</f>
        <v>rg:None</v>
      </c>
      <c r="X169" s="14" t="str">
        <f>IF(LEN(concatif2(A:A,Table2[[#This Row],[!Table]],G:G,"Y",D:D,",")) &gt; 0,"rg:[ { 'req' : '"&amp;concatif2(A:A,Table2[[#This Row],[!Table]],G:G,"Y",D:D,"' }, { 'req': '")&amp;"'} ]","rg:[]")</f>
        <v>rg:[ { 'req' : 'id' }, { 'req': 'districtEquipmentType' }, { 'req': 'localArea'} ]</v>
      </c>
      <c r="Y169" s="4" t="str">
        <f>IF(LEN(Table2[[#This Row],[!Unique]])&gt;0,IF(Table2[[#This Row],[!Type]] = "id", "rg:None","rg:True"),"rg:None")</f>
        <v>rg:None</v>
      </c>
    </row>
    <row r="170" spans="1:25" x14ac:dyDescent="0.35">
      <c r="A170" s="139" t="s">
        <v>559</v>
      </c>
      <c r="B170" s="124" t="s">
        <v>8</v>
      </c>
      <c r="C170" s="72"/>
      <c r="D170" s="139" t="s">
        <v>560</v>
      </c>
      <c r="E170" s="129" t="s">
        <v>526</v>
      </c>
      <c r="F170" s="140" t="s">
        <v>554</v>
      </c>
      <c r="G170" s="154" t="s">
        <v>59</v>
      </c>
      <c r="H170" s="18"/>
      <c r="I170" s="4" t="str">
        <f t="shared" si="20"/>
        <v>Defs</v>
      </c>
      <c r="J170" s="4" t="str">
        <f>IF(Table2[[#This Row],[!Type]]=J$1, J$1,"rg:None")</f>
        <v>rg:None</v>
      </c>
      <c r="K170" s="4" t="str">
        <f>IF(Table2[[#This Row],[!Type]]=K$1, K$1,"rg:None")</f>
        <v>rg:None</v>
      </c>
      <c r="L170" s="4" t="str">
        <f>IF(Table2[[#This Row],[!Type]]=L$1, L$1,"rg:None")</f>
        <v>rg:None</v>
      </c>
      <c r="M170" s="4" t="str">
        <f>IF(Table2[[#This Row],[!Type]]=M$1, M$1,"rg:None")</f>
        <v>rg:None</v>
      </c>
      <c r="N170" s="4" t="str">
        <f>IF(Table2[[#This Row],[!Type]]=N$1, N$1,"rg:None")</f>
        <v>rg:None</v>
      </c>
      <c r="O170" s="4" t="str">
        <f>IF(Table2[[#This Row],[!Type]]=O$1, O$1,"rg:None")</f>
        <v>rg:None</v>
      </c>
      <c r="P170" s="4" t="str">
        <f>IF(Table2[[#This Row],[!Type]]=P$1, P$1,"rg:None")</f>
        <v>rg:None</v>
      </c>
      <c r="Q170" s="4" t="str">
        <f>IF(Table2[[#This Row],[!Type]]=Q$1, Q$1,"rg:None")</f>
        <v>ref</v>
      </c>
      <c r="R170" s="4" t="str">
        <f>IF(Table2[[#This Row],[!Type]]=R$1, R$1,"rg:None")</f>
        <v>rg:None</v>
      </c>
      <c r="S170" s="4" t="str">
        <f>IF(Table2[[#This Row],[!Type]]=S$1, S$1,"rg:None")</f>
        <v>rg:None</v>
      </c>
      <c r="T170" s="4" t="str">
        <f>IF(LEN(Table2[[#This Row],[!Length]]) &gt; 0, Table2[[#This Row],[!Length]], "rg:None")</f>
        <v>rg:None</v>
      </c>
      <c r="U170" s="4" t="str">
        <f>IF(LEN(Table2[[#This Row],[!Name]]) &gt; 0, Table2[[#This Row],[!Name]], "rg:None")</f>
        <v>districtEquipmentType</v>
      </c>
      <c r="V170" s="4" t="str">
        <f>IF(LEN(Table2[[#This Row],[!Description]]) &gt; 0, Table2[[#This Row],[!Description]], "rg:None")</f>
        <v>A foreign key reference to the system-generated unique identifier for an Equipment Type</v>
      </c>
      <c r="W170" s="4" t="str">
        <f>IF(LEN(Table2[[#This Row],[!FK]])&gt;0,Table2[[#This Row],[!FK]],"rg:None")</f>
        <v>DistrictEquipmentType</v>
      </c>
      <c r="X170" s="14" t="str">
        <f>IF(LEN(concatif2(A:A,Table2[[#This Row],[!Table]],G:G,"Y",D:D,",")) &gt; 0,"rg:[ { 'req' : '"&amp;concatif2(A:A,Table2[[#This Row],[!Table]],G:G,"Y",D:D,"' }, { 'req': '")&amp;"'} ]","rg:[]")</f>
        <v>rg:[ { 'req' : 'id' }, { 'req': 'districtEquipmentType' }, { 'req': 'localArea'} ]</v>
      </c>
      <c r="Y170" s="4" t="str">
        <f>IF(LEN(Table2[[#This Row],[!Unique]])&gt;0,IF(Table2[[#This Row],[!Type]] = "id", "rg:None","rg:True"),"rg:None")</f>
        <v>rg:None</v>
      </c>
    </row>
    <row r="171" spans="1:25" x14ac:dyDescent="0.35">
      <c r="A171" s="139" t="s">
        <v>559</v>
      </c>
      <c r="B171" s="139" t="s">
        <v>8</v>
      </c>
      <c r="C171" s="72"/>
      <c r="D171" s="139" t="s">
        <v>170</v>
      </c>
      <c r="E171" s="47"/>
      <c r="F171" s="140" t="s">
        <v>148</v>
      </c>
      <c r="G171" s="154" t="s">
        <v>59</v>
      </c>
      <c r="H171" s="18"/>
      <c r="I171" s="4" t="str">
        <f>IF(LEN(A171) &gt; 0,"Defs","-")</f>
        <v>Defs</v>
      </c>
      <c r="J171" s="4" t="str">
        <f>IF(Table2[[#This Row],[!Type]]=J$1, J$1,"rg:None")</f>
        <v>rg:None</v>
      </c>
      <c r="K171" s="4" t="str">
        <f>IF(Table2[[#This Row],[!Type]]=K$1, K$1,"rg:None")</f>
        <v>rg:None</v>
      </c>
      <c r="L171" s="4" t="str">
        <f>IF(Table2[[#This Row],[!Type]]=L$1, L$1,"rg:None")</f>
        <v>rg:None</v>
      </c>
      <c r="M171" s="4" t="str">
        <f>IF(Table2[[#This Row],[!Type]]=M$1, M$1,"rg:None")</f>
        <v>rg:None</v>
      </c>
      <c r="N171" s="4" t="str">
        <f>IF(Table2[[#This Row],[!Type]]=N$1, N$1,"rg:None")</f>
        <v>rg:None</v>
      </c>
      <c r="O171" s="4" t="str">
        <f>IF(Table2[[#This Row],[!Type]]=O$1, O$1,"rg:None")</f>
        <v>rg:None</v>
      </c>
      <c r="P171" s="4" t="str">
        <f>IF(Table2[[#This Row],[!Type]]=P$1, P$1,"rg:None")</f>
        <v>rg:None</v>
      </c>
      <c r="Q171" s="4" t="str">
        <f>IF(Table2[[#This Row],[!Type]]=Q$1, Q$1,"rg:None")</f>
        <v>ref</v>
      </c>
      <c r="R171" s="4" t="str">
        <f>IF(Table2[[#This Row],[!Type]]=R$1, R$1,"rg:None")</f>
        <v>rg:None</v>
      </c>
      <c r="S171" s="4" t="str">
        <f>IF(Table2[[#This Row],[!Type]]=S$1, S$1,"rg:None")</f>
        <v>rg:None</v>
      </c>
      <c r="T171" s="4" t="str">
        <f>IF(LEN(Table2[[#This Row],[!Length]]) &gt; 0, Table2[[#This Row],[!Length]], "rg:None")</f>
        <v>rg:None</v>
      </c>
      <c r="U171" s="4" t="str">
        <f>IF(LEN(Table2[[#This Row],[!Name]]) &gt; 0, Table2[[#This Row],[!Name]], "rg:None")</f>
        <v>localArea</v>
      </c>
      <c r="V171" s="4" t="str">
        <f>IF(LEN(Table2[[#This Row],[!Description]]) &gt; 0, Table2[[#This Row],[!Description]], "rg:None")</f>
        <v>rg:None</v>
      </c>
      <c r="W171" s="4" t="str">
        <f>IF(LEN(Table2[[#This Row],[!FK]])&gt;0,Table2[[#This Row],[!FK]],"rg:None")</f>
        <v>LocalArea</v>
      </c>
      <c r="X171" s="14" t="str">
        <f>IF(LEN(concatif2(A:A,Table2[[#This Row],[!Table]],G:G,"Y",D:D,",")) &gt; 0,"rg:[ { 'req' : '"&amp;concatif2(A:A,Table2[[#This Row],[!Table]],G:G,"Y",D:D,"' }, { 'req': '")&amp;"'} ]","rg:[]")</f>
        <v>rg:[ { 'req' : 'id' }, { 'req': 'districtEquipmentType' }, { 'req': 'localArea'} ]</v>
      </c>
      <c r="Y171" s="4" t="str">
        <f>IF(LEN(Table2[[#This Row],[!Unique]])&gt;0,IF(Table2[[#This Row],[!Type]] = "id", "rg:None","rg:True"),"rg:None")</f>
        <v>rg:None</v>
      </c>
    </row>
    <row r="172" spans="1:25" ht="28.8" x14ac:dyDescent="0.35">
      <c r="A172" s="139" t="s">
        <v>559</v>
      </c>
      <c r="B172" s="124" t="s">
        <v>8</v>
      </c>
      <c r="C172" s="72"/>
      <c r="D172" s="124" t="s">
        <v>444</v>
      </c>
      <c r="E172" s="123" t="s">
        <v>521</v>
      </c>
      <c r="F172" s="125" t="s">
        <v>176</v>
      </c>
      <c r="G172" s="18"/>
      <c r="H172" s="18"/>
      <c r="I172" s="4" t="str">
        <f t="shared" si="20"/>
        <v>Defs</v>
      </c>
      <c r="J172" s="4" t="str">
        <f>IF(Table2[[#This Row],[!Type]]=J$1, J$1,"rg:None")</f>
        <v>rg:None</v>
      </c>
      <c r="K172" s="4" t="str">
        <f>IF(Table2[[#This Row],[!Type]]=K$1, K$1,"rg:None")</f>
        <v>rg:None</v>
      </c>
      <c r="L172" s="4" t="str">
        <f>IF(Table2[[#This Row],[!Type]]=L$1, L$1,"rg:None")</f>
        <v>rg:None</v>
      </c>
      <c r="M172" s="4" t="str">
        <f>IF(Table2[[#This Row],[!Type]]=M$1, M$1,"rg:None")</f>
        <v>rg:None</v>
      </c>
      <c r="N172" s="4" t="str">
        <f>IF(Table2[[#This Row],[!Type]]=N$1, N$1,"rg:None")</f>
        <v>rg:None</v>
      </c>
      <c r="O172" s="4" t="str">
        <f>IF(Table2[[#This Row],[!Type]]=O$1, O$1,"rg:None")</f>
        <v>rg:None</v>
      </c>
      <c r="P172" s="4" t="str">
        <f>IF(Table2[[#This Row],[!Type]]=P$1, P$1,"rg:None")</f>
        <v>rg:None</v>
      </c>
      <c r="Q172" s="4" t="str">
        <f>IF(Table2[[#This Row],[!Type]]=Q$1, Q$1,"rg:None")</f>
        <v>ref</v>
      </c>
      <c r="R172" s="4" t="str">
        <f>IF(Table2[[#This Row],[!Type]]=R$1, R$1,"rg:None")</f>
        <v>rg:None</v>
      </c>
      <c r="S172" s="4" t="str">
        <f>IF(Table2[[#This Row],[!Type]]=S$1, S$1,"rg:None")</f>
        <v>rg:None</v>
      </c>
      <c r="T172" s="4" t="str">
        <f>IF(LEN(Table2[[#This Row],[!Length]]) &gt; 0, Table2[[#This Row],[!Length]], "rg:None")</f>
        <v>rg:None</v>
      </c>
      <c r="U172" s="4" t="str">
        <f>IF(LEN(Table2[[#This Row],[!Name]]) &gt; 0, Table2[[#This Row],[!Name]], "rg:None")</f>
        <v>askNextBlock1</v>
      </c>
      <c r="V172" s="4" t="str">
        <f>IF(LEN(Table2[[#This Row],[!Description]]) &gt; 0, Table2[[#This Row],[!Description]], "rg:None")</f>
        <v>The id of the next piece of Block 1 Equipment to be asked for a Rental Request. If null, start from the first piece of equipment in Block 1.</v>
      </c>
      <c r="W172" s="4" t="str">
        <f>IF(LEN(Table2[[#This Row],[!FK]])&gt;0,Table2[[#This Row],[!FK]],"rg:None")</f>
        <v>Equipment</v>
      </c>
      <c r="X172" s="14" t="str">
        <f>IF(LEN(concatif2(A:A,Table2[[#This Row],[!Table]],G:G,"Y",D:D,",")) &gt; 0,"rg:[ { 'req' : '"&amp;concatif2(A:A,Table2[[#This Row],[!Table]],G:G,"Y",D:D,"' }, { 'req': '")&amp;"'} ]","rg:[]")</f>
        <v>rg:[ { 'req' : 'id' }, { 'req': 'districtEquipmentType' }, { 'req': 'localArea'} ]</v>
      </c>
      <c r="Y172" s="4" t="str">
        <f>IF(LEN(Table2[[#This Row],[!Unique]])&gt;0,IF(Table2[[#This Row],[!Type]] = "id", "rg:None","rg:True"),"rg:None")</f>
        <v>rg:None</v>
      </c>
    </row>
    <row r="173" spans="1:25" x14ac:dyDescent="0.35">
      <c r="A173" s="139" t="s">
        <v>559</v>
      </c>
      <c r="B173" s="131" t="s">
        <v>105</v>
      </c>
      <c r="C173" s="72"/>
      <c r="D173" s="131" t="s">
        <v>538</v>
      </c>
      <c r="E173" s="132" t="s">
        <v>537</v>
      </c>
      <c r="F173" s="12"/>
      <c r="G173" s="18"/>
      <c r="H173" s="18"/>
      <c r="I173" s="4" t="str">
        <f>IF(LEN(A173) &gt; 0,"Defs","-")</f>
        <v>Defs</v>
      </c>
      <c r="J173" s="4" t="str">
        <f>IF(Table2[[#This Row],[!Type]]=J$1, J$1,"rg:None")</f>
        <v>rg:None</v>
      </c>
      <c r="K173" s="4" t="str">
        <f>IF(Table2[[#This Row],[!Type]]=K$1, K$1,"rg:None")</f>
        <v>rg:None</v>
      </c>
      <c r="L173" s="4" t="str">
        <f>IF(Table2[[#This Row],[!Type]]=L$1, L$1,"rg:None")</f>
        <v>rg:None</v>
      </c>
      <c r="M173" s="4" t="str">
        <f>IF(Table2[[#This Row],[!Type]]=M$1, M$1,"rg:None")</f>
        <v>rg:None</v>
      </c>
      <c r="N173" s="4" t="str">
        <f>IF(Table2[[#This Row],[!Type]]=N$1, N$1,"rg:None")</f>
        <v>rg:None</v>
      </c>
      <c r="O173" s="4" t="str">
        <f>IF(Table2[[#This Row],[!Type]]=O$1, O$1,"rg:None")</f>
        <v>float</v>
      </c>
      <c r="P173" s="4" t="str">
        <f>IF(Table2[[#This Row],[!Type]]=P$1, P$1,"rg:None")</f>
        <v>rg:None</v>
      </c>
      <c r="Q173" s="4" t="str">
        <f>IF(Table2[[#This Row],[!Type]]=Q$1, Q$1,"rg:None")</f>
        <v>rg:None</v>
      </c>
      <c r="R173" s="4" t="str">
        <f>IF(Table2[[#This Row],[!Type]]=R$1, R$1,"rg:None")</f>
        <v>rg:None</v>
      </c>
      <c r="S173" s="4" t="str">
        <f>IF(Table2[[#This Row],[!Type]]=S$1, S$1,"rg:None")</f>
        <v>rg:None</v>
      </c>
      <c r="T173" s="4" t="str">
        <f>IF(LEN(Table2[[#This Row],[!Length]]) &gt; 0, Table2[[#This Row],[!Length]], "rg:None")</f>
        <v>rg:None</v>
      </c>
      <c r="U173" s="4" t="str">
        <f>IF(LEN(Table2[[#This Row],[!Name]]) &gt; 0, Table2[[#This Row],[!Name]], "rg:None")</f>
        <v>askNextBlock1Seniority</v>
      </c>
      <c r="V173" s="4" t="str">
        <f>IF(LEN(Table2[[#This Row],[!Description]]) &gt; 0, Table2[[#This Row],[!Description]], "rg:None")</f>
        <v>The seniority score of the piece of equipment that is the next to be asked in Block 1.</v>
      </c>
      <c r="W173" s="4" t="str">
        <f>IF(LEN(Table2[[#This Row],[!FK]])&gt;0,Table2[[#This Row],[!FK]],"rg:None")</f>
        <v>rg:None</v>
      </c>
      <c r="X173" s="14" t="str">
        <f>IF(LEN(concatif2(A:A,Table2[[#This Row],[!Table]],G:G,"Y",D:D,",")) &gt; 0,"rg:[ { 'req' : '"&amp;concatif2(A:A,Table2[[#This Row],[!Table]],G:G,"Y",D:D,"' }, { 'req': '")&amp;"'} ]","rg:[]")</f>
        <v>rg:[ { 'req' : 'id' }, { 'req': 'districtEquipmentType' }, { 'req': 'localArea'} ]</v>
      </c>
      <c r="Y173" s="4" t="str">
        <f>IF(LEN(Table2[[#This Row],[!Unique]])&gt;0,IF(Table2[[#This Row],[!Type]] = "id", "rg:None","rg:True"),"rg:None")</f>
        <v>rg:None</v>
      </c>
    </row>
    <row r="174" spans="1:25" ht="28.8" x14ac:dyDescent="0.35">
      <c r="A174" s="139" t="s">
        <v>559</v>
      </c>
      <c r="B174" s="124" t="s">
        <v>8</v>
      </c>
      <c r="C174" s="72"/>
      <c r="D174" s="124" t="s">
        <v>519</v>
      </c>
      <c r="E174" s="123" t="s">
        <v>522</v>
      </c>
      <c r="F174" s="125" t="s">
        <v>176</v>
      </c>
      <c r="G174" s="18"/>
      <c r="H174" s="18"/>
      <c r="I174" s="4" t="str">
        <f t="shared" si="20"/>
        <v>Defs</v>
      </c>
      <c r="J174" s="4" t="str">
        <f>IF(Table2[[#This Row],[!Type]]=J$1, J$1,"rg:None")</f>
        <v>rg:None</v>
      </c>
      <c r="K174" s="4" t="str">
        <f>IF(Table2[[#This Row],[!Type]]=K$1, K$1,"rg:None")</f>
        <v>rg:None</v>
      </c>
      <c r="L174" s="4" t="str">
        <f>IF(Table2[[#This Row],[!Type]]=L$1, L$1,"rg:None")</f>
        <v>rg:None</v>
      </c>
      <c r="M174" s="4" t="str">
        <f>IF(Table2[[#This Row],[!Type]]=M$1, M$1,"rg:None")</f>
        <v>rg:None</v>
      </c>
      <c r="N174" s="4" t="str">
        <f>IF(Table2[[#This Row],[!Type]]=N$1, N$1,"rg:None")</f>
        <v>rg:None</v>
      </c>
      <c r="O174" s="4" t="str">
        <f>IF(Table2[[#This Row],[!Type]]=O$1, O$1,"rg:None")</f>
        <v>rg:None</v>
      </c>
      <c r="P174" s="4" t="str">
        <f>IF(Table2[[#This Row],[!Type]]=P$1, P$1,"rg:None")</f>
        <v>rg:None</v>
      </c>
      <c r="Q174" s="4" t="str">
        <f>IF(Table2[[#This Row],[!Type]]=Q$1, Q$1,"rg:None")</f>
        <v>ref</v>
      </c>
      <c r="R174" s="4" t="str">
        <f>IF(Table2[[#This Row],[!Type]]=R$1, R$1,"rg:None")</f>
        <v>rg:None</v>
      </c>
      <c r="S174" s="4" t="str">
        <f>IF(Table2[[#This Row],[!Type]]=S$1, S$1,"rg:None")</f>
        <v>rg:None</v>
      </c>
      <c r="T174" s="4" t="str">
        <f>IF(LEN(Table2[[#This Row],[!Length]]) &gt; 0, Table2[[#This Row],[!Length]], "rg:None")</f>
        <v>rg:None</v>
      </c>
      <c r="U174" s="4" t="str">
        <f>IF(LEN(Table2[[#This Row],[!Name]]) &gt; 0, Table2[[#This Row],[!Name]], "rg:None")</f>
        <v>askNextBlock2</v>
      </c>
      <c r="V174" s="4" t="str">
        <f>IF(LEN(Table2[[#This Row],[!Description]]) &gt; 0, Table2[[#This Row],[!Description]], "rg:None")</f>
        <v>The id of the next piece of Block 2 Equipment to be asked for a Rental Request. If null, start from the first piece of equipment in Block 2.</v>
      </c>
      <c r="W174" s="4" t="str">
        <f>IF(LEN(Table2[[#This Row],[!FK]])&gt;0,Table2[[#This Row],[!FK]],"rg:None")</f>
        <v>Equipment</v>
      </c>
      <c r="X174" s="14" t="str">
        <f>IF(LEN(concatif2(A:A,Table2[[#This Row],[!Table]],G:G,"Y",D:D,",")) &gt; 0,"rg:[ { 'req' : '"&amp;concatif2(A:A,Table2[[#This Row],[!Table]],G:G,"Y",D:D,"' }, { 'req': '")&amp;"'} ]","rg:[]")</f>
        <v>rg:[ { 'req' : 'id' }, { 'req': 'districtEquipmentType' }, { 'req': 'localArea'} ]</v>
      </c>
      <c r="Y174" s="4" t="str">
        <f>IF(LEN(Table2[[#This Row],[!Unique]])&gt;0,IF(Table2[[#This Row],[!Type]] = "id", "rg:None","rg:True"),"rg:None")</f>
        <v>rg:None</v>
      </c>
    </row>
    <row r="175" spans="1:25" x14ac:dyDescent="0.35">
      <c r="A175" s="139" t="s">
        <v>559</v>
      </c>
      <c r="B175" s="131" t="s">
        <v>105</v>
      </c>
      <c r="C175" s="72"/>
      <c r="D175" s="131" t="s">
        <v>539</v>
      </c>
      <c r="E175" s="172" t="s">
        <v>595</v>
      </c>
      <c r="F175" s="12"/>
      <c r="G175" s="18"/>
      <c r="H175" s="18"/>
      <c r="I175" s="4" t="str">
        <f>IF(LEN(A175) &gt; 0,"Defs","-")</f>
        <v>Defs</v>
      </c>
      <c r="J175" s="4" t="str">
        <f>IF(Table2[[#This Row],[!Type]]=J$1, J$1,"rg:None")</f>
        <v>rg:None</v>
      </c>
      <c r="K175" s="4" t="str">
        <f>IF(Table2[[#This Row],[!Type]]=K$1, K$1,"rg:None")</f>
        <v>rg:None</v>
      </c>
      <c r="L175" s="4" t="str">
        <f>IF(Table2[[#This Row],[!Type]]=L$1, L$1,"rg:None")</f>
        <v>rg:None</v>
      </c>
      <c r="M175" s="4" t="str">
        <f>IF(Table2[[#This Row],[!Type]]=M$1, M$1,"rg:None")</f>
        <v>rg:None</v>
      </c>
      <c r="N175" s="4" t="str">
        <f>IF(Table2[[#This Row],[!Type]]=N$1, N$1,"rg:None")</f>
        <v>rg:None</v>
      </c>
      <c r="O175" s="4" t="str">
        <f>IF(Table2[[#This Row],[!Type]]=O$1, O$1,"rg:None")</f>
        <v>float</v>
      </c>
      <c r="P175" s="4" t="str">
        <f>IF(Table2[[#This Row],[!Type]]=P$1, P$1,"rg:None")</f>
        <v>rg:None</v>
      </c>
      <c r="Q175" s="4" t="str">
        <f>IF(Table2[[#This Row],[!Type]]=Q$1, Q$1,"rg:None")</f>
        <v>rg:None</v>
      </c>
      <c r="R175" s="4" t="str">
        <f>IF(Table2[[#This Row],[!Type]]=R$1, R$1,"rg:None")</f>
        <v>rg:None</v>
      </c>
      <c r="S175" s="4" t="str">
        <f>IF(Table2[[#This Row],[!Type]]=S$1, S$1,"rg:None")</f>
        <v>rg:None</v>
      </c>
      <c r="T175" s="4" t="str">
        <f>IF(LEN(Table2[[#This Row],[!Length]]) &gt; 0, Table2[[#This Row],[!Length]], "rg:None")</f>
        <v>rg:None</v>
      </c>
      <c r="U175" s="4" t="str">
        <f>IF(LEN(Table2[[#This Row],[!Name]]) &gt; 0, Table2[[#This Row],[!Name]], "rg:None")</f>
        <v>askNextBlock2Seniority</v>
      </c>
      <c r="V175" s="4" t="str">
        <f>IF(LEN(Table2[[#This Row],[!Description]]) &gt; 0, Table2[[#This Row],[!Description]], "rg:None")</f>
        <v>The seniority score of the piece of equipment that is the next to be asked in Block 2.</v>
      </c>
      <c r="W175" s="4" t="str">
        <f>IF(LEN(Table2[[#This Row],[!FK]])&gt;0,Table2[[#This Row],[!FK]],"rg:None")</f>
        <v>rg:None</v>
      </c>
      <c r="X175" s="14" t="str">
        <f>IF(LEN(concatif2(A:A,Table2[[#This Row],[!Table]],G:G,"Y",D:D,",")) &gt; 0,"rg:[ { 'req' : '"&amp;concatif2(A:A,Table2[[#This Row],[!Table]],G:G,"Y",D:D,"' }, { 'req': '")&amp;"'} ]","rg:[]")</f>
        <v>rg:[ { 'req' : 'id' }, { 'req': 'districtEquipmentType' }, { 'req': 'localArea'} ]</v>
      </c>
      <c r="Y175" s="4" t="str">
        <f>IF(LEN(Table2[[#This Row],[!Unique]])&gt;0,IF(Table2[[#This Row],[!Type]] = "id", "rg:None","rg:True"),"rg:None")</f>
        <v>rg:None</v>
      </c>
    </row>
    <row r="176" spans="1:25" ht="28.8" x14ac:dyDescent="0.35">
      <c r="A176" s="139" t="s">
        <v>559</v>
      </c>
      <c r="B176" s="124" t="s">
        <v>8</v>
      </c>
      <c r="C176" s="72"/>
      <c r="D176" s="122" t="s">
        <v>520</v>
      </c>
      <c r="E176" s="123" t="s">
        <v>523</v>
      </c>
      <c r="F176" s="125" t="s">
        <v>176</v>
      </c>
      <c r="G176" s="18"/>
      <c r="H176" s="18"/>
      <c r="I176" s="4" t="str">
        <f t="shared" si="20"/>
        <v>Defs</v>
      </c>
      <c r="J176" s="4" t="str">
        <f>IF(Table2[[#This Row],[!Type]]=J$1, J$1,"rg:None")</f>
        <v>rg:None</v>
      </c>
      <c r="K176" s="4" t="str">
        <f>IF(Table2[[#This Row],[!Type]]=K$1, K$1,"rg:None")</f>
        <v>rg:None</v>
      </c>
      <c r="L176" s="4" t="str">
        <f>IF(Table2[[#This Row],[!Type]]=L$1, L$1,"rg:None")</f>
        <v>rg:None</v>
      </c>
      <c r="M176" s="4" t="str">
        <f>IF(Table2[[#This Row],[!Type]]=M$1, M$1,"rg:None")</f>
        <v>rg:None</v>
      </c>
      <c r="N176" s="4" t="str">
        <f>IF(Table2[[#This Row],[!Type]]=N$1, N$1,"rg:None")</f>
        <v>rg:None</v>
      </c>
      <c r="O176" s="4" t="str">
        <f>IF(Table2[[#This Row],[!Type]]=O$1, O$1,"rg:None")</f>
        <v>rg:None</v>
      </c>
      <c r="P176" s="4" t="str">
        <f>IF(Table2[[#This Row],[!Type]]=P$1, P$1,"rg:None")</f>
        <v>rg:None</v>
      </c>
      <c r="Q176" s="4" t="str">
        <f>IF(Table2[[#This Row],[!Type]]=Q$1, Q$1,"rg:None")</f>
        <v>ref</v>
      </c>
      <c r="R176" s="4" t="str">
        <f>IF(Table2[[#This Row],[!Type]]=R$1, R$1,"rg:None")</f>
        <v>rg:None</v>
      </c>
      <c r="S176" s="4" t="str">
        <f>IF(Table2[[#This Row],[!Type]]=S$1, S$1,"rg:None")</f>
        <v>rg:None</v>
      </c>
      <c r="T176" s="4" t="str">
        <f>IF(LEN(Table2[[#This Row],[!Length]]) &gt; 0, Table2[[#This Row],[!Length]], "rg:None")</f>
        <v>rg:None</v>
      </c>
      <c r="U176" s="4" t="str">
        <f>IF(LEN(Table2[[#This Row],[!Name]]) &gt; 0, Table2[[#This Row],[!Name]], "rg:None")</f>
        <v>askNextBlockOpen</v>
      </c>
      <c r="V176" s="4" t="str">
        <f>IF(LEN(Table2[[#This Row],[!Description]]) &gt; 0, Table2[[#This Row],[!Description]], "rg:None")</f>
        <v>The id of the next piece of Block Open Equipment to be asked for a Rental Request. If null, start from the first piece of equipment in Block Open.</v>
      </c>
      <c r="W176" s="4" t="str">
        <f>IF(LEN(Table2[[#This Row],[!FK]])&gt;0,Table2[[#This Row],[!FK]],"rg:None")</f>
        <v>Equipment</v>
      </c>
      <c r="X176" s="14" t="str">
        <f>IF(LEN(concatif2(A:A,Table2[[#This Row],[!Table]],G:G,"Y",D:D,",")) &gt; 0,"rg:[ { 'req' : '"&amp;concatif2(A:A,Table2[[#This Row],[!Table]],G:G,"Y",D:D,"' }, { 'req': '")&amp;"'} ]","rg:[]")</f>
        <v>rg:[ { 'req' : 'id' }, { 'req': 'districtEquipmentType' }, { 'req': 'localArea'} ]</v>
      </c>
      <c r="Y176" s="4" t="str">
        <f>IF(LEN(Table2[[#This Row],[!Unique]])&gt;0,IF(Table2[[#This Row],[!Type]] = "id", "rg:None","rg:True"),"rg:None")</f>
        <v>rg:None</v>
      </c>
    </row>
    <row r="177" spans="1:25" x14ac:dyDescent="0.35">
      <c r="A177" s="139" t="s">
        <v>559</v>
      </c>
      <c r="B177" s="131" t="s">
        <v>105</v>
      </c>
      <c r="C177" s="72"/>
      <c r="D177" s="164" t="s">
        <v>593</v>
      </c>
      <c r="E177" s="172" t="s">
        <v>594</v>
      </c>
      <c r="F177" s="12"/>
      <c r="G177" s="18"/>
      <c r="H177" s="18"/>
      <c r="I177" s="4" t="str">
        <f>IF(LEN(A177) &gt; 0,"Defs","-")</f>
        <v>Defs</v>
      </c>
      <c r="J177" s="4" t="str">
        <f>IF(Table2[[#This Row],[!Type]]=J$1, J$1,"rg:None")</f>
        <v>rg:None</v>
      </c>
      <c r="K177" s="4" t="str">
        <f>IF(Table2[[#This Row],[!Type]]=K$1, K$1,"rg:None")</f>
        <v>rg:None</v>
      </c>
      <c r="L177" s="4" t="str">
        <f>IF(Table2[[#This Row],[!Type]]=L$1, L$1,"rg:None")</f>
        <v>rg:None</v>
      </c>
      <c r="M177" s="4" t="str">
        <f>IF(Table2[[#This Row],[!Type]]=M$1, M$1,"rg:None")</f>
        <v>rg:None</v>
      </c>
      <c r="N177" s="4" t="str">
        <f>IF(Table2[[#This Row],[!Type]]=N$1, N$1,"rg:None")</f>
        <v>rg:None</v>
      </c>
      <c r="O177" s="4" t="str">
        <f>IF(Table2[[#This Row],[!Type]]=O$1, O$1,"rg:None")</f>
        <v>float</v>
      </c>
      <c r="P177" s="4" t="str">
        <f>IF(Table2[[#This Row],[!Type]]=P$1, P$1,"rg:None")</f>
        <v>rg:None</v>
      </c>
      <c r="Q177" s="4" t="str">
        <f>IF(Table2[[#This Row],[!Type]]=Q$1, Q$1,"rg:None")</f>
        <v>rg:None</v>
      </c>
      <c r="R177" s="4" t="str">
        <f>IF(Table2[[#This Row],[!Type]]=R$1, R$1,"rg:None")</f>
        <v>rg:None</v>
      </c>
      <c r="S177" s="4" t="str">
        <f>IF(Table2[[#This Row],[!Type]]=S$1, S$1,"rg:None")</f>
        <v>rg:None</v>
      </c>
      <c r="T177" s="4" t="str">
        <f>IF(LEN(Table2[[#This Row],[!Length]]) &gt; 0, Table2[[#This Row],[!Length]], "rg:None")</f>
        <v>rg:None</v>
      </c>
      <c r="U177" s="4" t="str">
        <f>IF(LEN(Table2[[#This Row],[!Name]]) &gt; 0, Table2[[#This Row],[!Name]], "rg:None")</f>
        <v>askNextBlockOpenSeniority</v>
      </c>
      <c r="V177" s="4" t="str">
        <f>IF(LEN(Table2[[#This Row],[!Description]]) &gt; 0, Table2[[#This Row],[!Description]], "rg:None")</f>
        <v>The seniority score of the piece of equipment that is the next to be asked in Block Open.</v>
      </c>
      <c r="W177" s="4" t="str">
        <f>IF(LEN(Table2[[#This Row],[!FK]])&gt;0,Table2[[#This Row],[!FK]],"rg:None")</f>
        <v>rg:None</v>
      </c>
      <c r="X177" s="14" t="str">
        <f>IF(LEN(concatif2(A:A,Table2[[#This Row],[!Table]],G:G,"Y",D:D,",")) &gt; 0,"rg:[ { 'req' : '"&amp;concatif2(A:A,Table2[[#This Row],[!Table]],G:G,"Y",D:D,"' }, { 'req': '")&amp;"'} ]","rg:[]")</f>
        <v>rg:[ { 'req' : 'id' }, { 'req': 'districtEquipmentType' }, { 'req': 'localArea'} ]</v>
      </c>
      <c r="Y177" s="4" t="str">
        <f>IF(LEN(Table2[[#This Row],[!Unique]])&gt;0,IF(Table2[[#This Row],[!Type]] = "id", "rg:None","rg:True"),"rg:None")</f>
        <v>rg:None</v>
      </c>
    </row>
    <row r="178" spans="1:25" x14ac:dyDescent="0.35">
      <c r="A178" s="82" t="s">
        <v>179</v>
      </c>
      <c r="B178" s="5" t="s">
        <v>4</v>
      </c>
      <c r="D178" s="82" t="s">
        <v>179</v>
      </c>
      <c r="E178" s="76" t="s">
        <v>357</v>
      </c>
      <c r="F178" s="5" t="s">
        <v>5</v>
      </c>
      <c r="G178" s="4"/>
      <c r="H178" s="4"/>
      <c r="I178" s="4" t="str">
        <f t="shared" ref="I178:I197" si="21">IF(LEN(A178) &gt; 0,"Defs","-")</f>
        <v>Defs</v>
      </c>
      <c r="J178" s="4" t="str">
        <f>IF(Table2[[#This Row],[!Type]]=J$1, J$1,"rg:None")</f>
        <v>rg:None</v>
      </c>
      <c r="K178" s="4" t="str">
        <f>IF(Table2[[#This Row],[!Type]]=K$1, K$1,"rg:None")</f>
        <v>rg:None</v>
      </c>
      <c r="L178" s="4" t="str">
        <f>IF(Table2[[#This Row],[!Type]]=L$1, L$1,"rg:None")</f>
        <v>rg:None</v>
      </c>
      <c r="M178" s="4" t="str">
        <f>IF(Table2[[#This Row],[!Type]]=M$1, M$1,"rg:None")</f>
        <v>rg:None</v>
      </c>
      <c r="N178" s="4" t="str">
        <f>IF(Table2[[#This Row],[!Type]]=N$1, N$1,"rg:None")</f>
        <v>rg:None</v>
      </c>
      <c r="O178" s="4" t="str">
        <f>IF(Table2[[#This Row],[!Type]]=O$1, O$1,"rg:None")</f>
        <v>rg:None</v>
      </c>
      <c r="P178" s="4" t="str">
        <f>IF(Table2[[#This Row],[!Type]]=P$1, P$1,"rg:None")</f>
        <v>rg:None</v>
      </c>
      <c r="Q178" s="4" t="str">
        <f>IF(Table2[[#This Row],[!Type]]=Q$1, Q$1,"rg:None")</f>
        <v>rg:None</v>
      </c>
      <c r="R178" s="4" t="str">
        <f>IF(Table2[[#This Row],[!Type]]=R$1, R$1,"rg:None")</f>
        <v>rg:None</v>
      </c>
      <c r="S178" s="4" t="str">
        <f>IF(Table2[[#This Row],[!Type]]=S$1, S$1,"rg:None")</f>
        <v>table</v>
      </c>
      <c r="T178" s="4" t="str">
        <f>IF(LEN(Table2[[#This Row],[!Length]]) &gt; 0, Table2[[#This Row],[!Length]], "rg:None")</f>
        <v>rg:None</v>
      </c>
      <c r="U178" s="4" t="str">
        <f>IF(LEN(Table2[[#This Row],[!Name]]) &gt; 0, Table2[[#This Row],[!Name]], "rg:None")</f>
        <v>EquipmentAttachment</v>
      </c>
      <c r="V178" s="4" t="str">
        <f>IF(LEN(Table2[[#This Row],[!Description]]) &gt; 0, Table2[[#This Row],[!Description]], "rg:None")</f>
        <v>An Equipment Attachment associated with a piece of Equipment.</v>
      </c>
      <c r="W178" s="4" t="str">
        <f>IF(LEN(Table2[[#This Row],[!FK]])&gt;0,Table2[[#This Row],[!FK]],"rg:None")</f>
        <v>rg:None</v>
      </c>
      <c r="X178" s="14" t="str">
        <f>IF(LEN(concatif2(A:A,Table2[[#This Row],[!Table]],G:G,"Y",D:D,",")) &gt; 0,"rg:[ { 'req' : '"&amp;concatif2(A:A,Table2[[#This Row],[!Table]],G:G,"Y",D:D,"' }, { 'req': '")&amp;"'} ]","rg:[]")</f>
        <v>rg:[ { 'req' : 'id' }, { 'req': 'equipment' }, { 'req': 'typeName'} ]</v>
      </c>
      <c r="Y178" s="4" t="str">
        <f>IF(LEN(Table2[[#This Row],[!Unique]])&gt;0,IF(Table2[[#This Row],[!Type]] = "id", "rg:None","rg:True"),"rg:None")</f>
        <v>rg:None</v>
      </c>
    </row>
    <row r="179" spans="1:25" x14ac:dyDescent="0.35">
      <c r="A179" s="82" t="s">
        <v>179</v>
      </c>
      <c r="B179" s="5" t="s">
        <v>6</v>
      </c>
      <c r="D179" s="5" t="s">
        <v>6</v>
      </c>
      <c r="E179" s="54" t="s">
        <v>290</v>
      </c>
      <c r="F179" s="5" t="s">
        <v>5</v>
      </c>
      <c r="G179" s="4" t="s">
        <v>59</v>
      </c>
      <c r="H179" s="155" t="s">
        <v>59</v>
      </c>
      <c r="I179" s="4" t="str">
        <f t="shared" si="21"/>
        <v>Defs</v>
      </c>
      <c r="J179" s="4" t="str">
        <f>IF(Table2[[#This Row],[!Type]]=J$1, J$1,"rg:None")</f>
        <v>rg:None</v>
      </c>
      <c r="K179" s="4" t="str">
        <f>IF(Table2[[#This Row],[!Type]]=K$1, K$1,"rg:None")</f>
        <v>rg:None</v>
      </c>
      <c r="L179" s="4" t="str">
        <f>IF(Table2[[#This Row],[!Type]]=L$1, L$1,"rg:None")</f>
        <v>rg:None</v>
      </c>
      <c r="M179" s="4" t="str">
        <f>IF(Table2[[#This Row],[!Type]]=M$1, M$1,"rg:None")</f>
        <v>id</v>
      </c>
      <c r="N179" s="4" t="str">
        <f>IF(Table2[[#This Row],[!Type]]=N$1, N$1,"rg:None")</f>
        <v>rg:None</v>
      </c>
      <c r="O179" s="4" t="str">
        <f>IF(Table2[[#This Row],[!Type]]=O$1, O$1,"rg:None")</f>
        <v>rg:None</v>
      </c>
      <c r="P179" s="4" t="str">
        <f>IF(Table2[[#This Row],[!Type]]=P$1, P$1,"rg:None")</f>
        <v>rg:None</v>
      </c>
      <c r="Q179" s="4" t="str">
        <f>IF(Table2[[#This Row],[!Type]]=Q$1, Q$1,"rg:None")</f>
        <v>rg:None</v>
      </c>
      <c r="R179" s="4" t="str">
        <f>IF(Table2[[#This Row],[!Type]]=R$1, R$1,"rg:None")</f>
        <v>rg:None</v>
      </c>
      <c r="S179" s="4" t="str">
        <f>IF(Table2[[#This Row],[!Type]]=S$1, S$1,"rg:None")</f>
        <v>rg:None</v>
      </c>
      <c r="T179" s="4" t="str">
        <f>IF(LEN(Table2[[#This Row],[!Length]]) &gt; 0, Table2[[#This Row],[!Length]], "rg:None")</f>
        <v>rg:None</v>
      </c>
      <c r="U179" s="4" t="str">
        <f>IF(LEN(Table2[[#This Row],[!Name]]) &gt; 0, Table2[[#This Row],[!Name]], "rg:None")</f>
        <v>id</v>
      </c>
      <c r="V179" s="4" t="str">
        <f>IF(LEN(Table2[[#This Row],[!Description]]) &gt; 0, Table2[[#This Row],[!Description]], "rg:None")</f>
        <v>A system-generated unique identifier for an EquipmentAttachment</v>
      </c>
      <c r="W179" s="4" t="str">
        <f>IF(LEN(Table2[[#This Row],[!FK]])&gt;0,Table2[[#This Row],[!FK]],"rg:None")</f>
        <v>rg:None</v>
      </c>
      <c r="X179" s="14" t="str">
        <f>IF(LEN(concatif2(A:A,Table2[[#This Row],[!Table]],G:G,"Y",D:D,",")) &gt; 0,"rg:[ { 'req' : '"&amp;concatif2(A:A,Table2[[#This Row],[!Table]],G:G,"Y",D:D,"' }, { 'req': '")&amp;"'} ]","rg:[]")</f>
        <v>rg:[ { 'req' : 'id' }, { 'req': 'equipment' }, { 'req': 'typeName'} ]</v>
      </c>
      <c r="Y179" s="4" t="str">
        <f>IF(LEN(Table2[[#This Row],[!Unique]])&gt;0,IF(Table2[[#This Row],[!Type]] = "id", "rg:None","rg:True"),"rg:None")</f>
        <v>rg:None</v>
      </c>
    </row>
    <row r="180" spans="1:25" x14ac:dyDescent="0.35">
      <c r="A180" s="82" t="s">
        <v>179</v>
      </c>
      <c r="B180" s="5" t="s">
        <v>8</v>
      </c>
      <c r="D180" s="82" t="s">
        <v>175</v>
      </c>
      <c r="F180" s="82" t="s">
        <v>176</v>
      </c>
      <c r="G180" s="155" t="s">
        <v>59</v>
      </c>
      <c r="H180" s="4"/>
      <c r="I180" s="4" t="str">
        <f t="shared" si="21"/>
        <v>Defs</v>
      </c>
      <c r="J180" s="4" t="str">
        <f>IF(Table2[[#This Row],[!Type]]=J$1, J$1,"rg:None")</f>
        <v>rg:None</v>
      </c>
      <c r="K180" s="4" t="str">
        <f>IF(Table2[[#This Row],[!Type]]=K$1, K$1,"rg:None")</f>
        <v>rg:None</v>
      </c>
      <c r="L180" s="4" t="str">
        <f>IF(Table2[[#This Row],[!Type]]=L$1, L$1,"rg:None")</f>
        <v>rg:None</v>
      </c>
      <c r="M180" s="4" t="str">
        <f>IF(Table2[[#This Row],[!Type]]=M$1, M$1,"rg:None")</f>
        <v>rg:None</v>
      </c>
      <c r="N180" s="4" t="str">
        <f>IF(Table2[[#This Row],[!Type]]=N$1, N$1,"rg:None")</f>
        <v>rg:None</v>
      </c>
      <c r="O180" s="4" t="str">
        <f>IF(Table2[[#This Row],[!Type]]=O$1, O$1,"rg:None")</f>
        <v>rg:None</v>
      </c>
      <c r="P180" s="4" t="str">
        <f>IF(Table2[[#This Row],[!Type]]=P$1, P$1,"rg:None")</f>
        <v>rg:None</v>
      </c>
      <c r="Q180" s="4" t="str">
        <f>IF(Table2[[#This Row],[!Type]]=Q$1, Q$1,"rg:None")</f>
        <v>ref</v>
      </c>
      <c r="R180" s="4" t="str">
        <f>IF(Table2[[#This Row],[!Type]]=R$1, R$1,"rg:None")</f>
        <v>rg:None</v>
      </c>
      <c r="S180" s="4" t="str">
        <f>IF(Table2[[#This Row],[!Type]]=S$1, S$1,"rg:None")</f>
        <v>rg:None</v>
      </c>
      <c r="T180" s="4" t="str">
        <f>IF(LEN(Table2[[#This Row],[!Length]]) &gt; 0, Table2[[#This Row],[!Length]], "rg:None")</f>
        <v>rg:None</v>
      </c>
      <c r="U180" s="4" t="str">
        <f>IF(LEN(Table2[[#This Row],[!Name]]) &gt; 0, Table2[[#This Row],[!Name]], "rg:None")</f>
        <v>equipment</v>
      </c>
      <c r="V180" s="4" t="str">
        <f>IF(LEN(Table2[[#This Row],[!Description]]) &gt; 0, Table2[[#This Row],[!Description]], "rg:None")</f>
        <v>rg:None</v>
      </c>
      <c r="W180" s="4" t="str">
        <f>IF(LEN(Table2[[#This Row],[!FK]])&gt;0,Table2[[#This Row],[!FK]],"rg:None")</f>
        <v>Equipment</v>
      </c>
      <c r="X180" s="14" t="str">
        <f>IF(LEN(concatif2(A:A,Table2[[#This Row],[!Table]],G:G,"Y",D:D,",")) &gt; 0,"rg:[ { 'req' : '"&amp;concatif2(A:A,Table2[[#This Row],[!Table]],G:G,"Y",D:D,"' }, { 'req': '")&amp;"'} ]","rg:[]")</f>
        <v>rg:[ { 'req' : 'id' }, { 'req': 'equipment' }, { 'req': 'typeName'} ]</v>
      </c>
      <c r="Y180" s="4" t="str">
        <f>IF(LEN(Table2[[#This Row],[!Unique]])&gt;0,IF(Table2[[#This Row],[!Type]] = "id", "rg:None","rg:True"),"rg:None")</f>
        <v>rg:None</v>
      </c>
    </row>
    <row r="181" spans="1:25" x14ac:dyDescent="0.35">
      <c r="A181" s="82" t="s">
        <v>179</v>
      </c>
      <c r="B181" s="120" t="s">
        <v>7</v>
      </c>
      <c r="C181" s="5">
        <v>100</v>
      </c>
      <c r="D181" s="137" t="s">
        <v>563</v>
      </c>
      <c r="E181" s="141" t="s">
        <v>562</v>
      </c>
      <c r="F181" s="82"/>
      <c r="G181" s="119" t="s">
        <v>59</v>
      </c>
      <c r="H181" s="4"/>
      <c r="I181" s="4" t="str">
        <f t="shared" si="21"/>
        <v>Defs</v>
      </c>
      <c r="J181" s="4" t="str">
        <f>IF(Table2[[#This Row],[!Type]]=J$1, J$1,"rg:None")</f>
        <v>rg:None</v>
      </c>
      <c r="K181" s="4" t="str">
        <f>IF(Table2[[#This Row],[!Type]]=K$1, K$1,"rg:None")</f>
        <v>rg:None</v>
      </c>
      <c r="L181" s="4" t="str">
        <f>IF(Table2[[#This Row],[!Type]]=L$1, L$1,"rg:None")</f>
        <v>rg:None</v>
      </c>
      <c r="M181" s="4" t="str">
        <f>IF(Table2[[#This Row],[!Type]]=M$1, M$1,"rg:None")</f>
        <v>rg:None</v>
      </c>
      <c r="N181" s="4" t="str">
        <f>IF(Table2[[#This Row],[!Type]]=N$1, N$1,"rg:None")</f>
        <v>rg:None</v>
      </c>
      <c r="O181" s="4" t="str">
        <f>IF(Table2[[#This Row],[!Type]]=O$1, O$1,"rg:None")</f>
        <v>rg:None</v>
      </c>
      <c r="P181" s="4" t="str">
        <f>IF(Table2[[#This Row],[!Type]]=P$1, P$1,"rg:None")</f>
        <v>rg:None</v>
      </c>
      <c r="Q181" s="4" t="str">
        <f>IF(Table2[[#This Row],[!Type]]=Q$1, Q$1,"rg:None")</f>
        <v>rg:None</v>
      </c>
      <c r="R181" s="4" t="str">
        <f>IF(Table2[[#This Row],[!Type]]=R$1, R$1,"rg:None")</f>
        <v>string</v>
      </c>
      <c r="S181" s="4" t="str">
        <f>IF(Table2[[#This Row],[!Type]]=S$1, S$1,"rg:None")</f>
        <v>rg:None</v>
      </c>
      <c r="T181" s="4">
        <f>IF(LEN(Table2[[#This Row],[!Length]]) &gt; 0, Table2[[#This Row],[!Length]], "rg:None")</f>
        <v>100</v>
      </c>
      <c r="U181" s="4" t="str">
        <f>IF(LEN(Table2[[#This Row],[!Name]]) &gt; 0, Table2[[#This Row],[!Name]], "rg:None")</f>
        <v>typeName</v>
      </c>
      <c r="V181" s="4" t="str">
        <f>IF(LEN(Table2[[#This Row],[!Description]]) &gt; 0, Table2[[#This Row],[!Description]], "rg:None")</f>
        <v>The name of the attachment type</v>
      </c>
      <c r="W181" s="4" t="str">
        <f>IF(LEN(Table2[[#This Row],[!FK]])&gt;0,Table2[[#This Row],[!FK]],"rg:None")</f>
        <v>rg:None</v>
      </c>
      <c r="X181" s="14" t="str">
        <f>IF(LEN(concatif2(A:A,Table2[[#This Row],[!Table]],G:G,"Y",D:D,",")) &gt; 0,"rg:[ { 'req' : '"&amp;concatif2(A:A,Table2[[#This Row],[!Table]],G:G,"Y",D:D,"' }, { 'req': '")&amp;"'} ]","rg:[]")</f>
        <v>rg:[ { 'req' : 'id' }, { 'req': 'equipment' }, { 'req': 'typeName'} ]</v>
      </c>
      <c r="Y181" s="4" t="str">
        <f>IF(LEN(Table2[[#This Row],[!Unique]])&gt;0,IF(Table2[[#This Row],[!Type]] = "id", "rg:None","rg:True"),"rg:None")</f>
        <v>rg:None</v>
      </c>
    </row>
    <row r="182" spans="1:25" ht="28.8" x14ac:dyDescent="0.35">
      <c r="A182" s="82" t="s">
        <v>179</v>
      </c>
      <c r="B182" s="5" t="s">
        <v>7</v>
      </c>
      <c r="C182" s="5">
        <v>2048</v>
      </c>
      <c r="D182" s="82" t="s">
        <v>14</v>
      </c>
      <c r="E182" s="141" t="s">
        <v>564</v>
      </c>
      <c r="F182" s="5" t="s">
        <v>5</v>
      </c>
      <c r="G182" s="4"/>
      <c r="H182" s="4"/>
      <c r="I182" s="4" t="str">
        <f t="shared" si="21"/>
        <v>Defs</v>
      </c>
      <c r="J182" s="4" t="str">
        <f>IF(Table2[[#This Row],[!Type]]=J$1, J$1,"rg:None")</f>
        <v>rg:None</v>
      </c>
      <c r="K182" s="4" t="str">
        <f>IF(Table2[[#This Row],[!Type]]=K$1, K$1,"rg:None")</f>
        <v>rg:None</v>
      </c>
      <c r="L182" s="4" t="str">
        <f>IF(Table2[[#This Row],[!Type]]=L$1, L$1,"rg:None")</f>
        <v>rg:None</v>
      </c>
      <c r="M182" s="4" t="str">
        <f>IF(Table2[[#This Row],[!Type]]=M$1, M$1,"rg:None")</f>
        <v>rg:None</v>
      </c>
      <c r="N182" s="4" t="str">
        <f>IF(Table2[[#This Row],[!Type]]=N$1, N$1,"rg:None")</f>
        <v>rg:None</v>
      </c>
      <c r="O182" s="4" t="str">
        <f>IF(Table2[[#This Row],[!Type]]=O$1, O$1,"rg:None")</f>
        <v>rg:None</v>
      </c>
      <c r="P182" s="4" t="str">
        <f>IF(Table2[[#This Row],[!Type]]=P$1, P$1,"rg:None")</f>
        <v>rg:None</v>
      </c>
      <c r="Q182" s="4" t="str">
        <f>IF(Table2[[#This Row],[!Type]]=Q$1, Q$1,"rg:None")</f>
        <v>rg:None</v>
      </c>
      <c r="R182" s="4" t="str">
        <f>IF(Table2[[#This Row],[!Type]]=R$1, R$1,"rg:None")</f>
        <v>string</v>
      </c>
      <c r="S182" s="4" t="str">
        <f>IF(Table2[[#This Row],[!Type]]=S$1, S$1,"rg:None")</f>
        <v>rg:None</v>
      </c>
      <c r="T182" s="4">
        <f>IF(LEN(Table2[[#This Row],[!Length]]) &gt; 0, Table2[[#This Row],[!Length]], "rg:None")</f>
        <v>2048</v>
      </c>
      <c r="U182" s="4" t="str">
        <f>IF(LEN(Table2[[#This Row],[!Name]]) &gt; 0, Table2[[#This Row],[!Name]], "rg:None")</f>
        <v>description</v>
      </c>
      <c r="V182" s="4" t="str">
        <f>IF(LEN(Table2[[#This Row],[!Description]]) &gt; 0, Table2[[#This Row],[!Description]], "rg:None")</f>
        <v>A description of the equipment attachment if the Equipment Attachment Type Name is insufficient.</v>
      </c>
      <c r="W182" s="4" t="str">
        <f>IF(LEN(Table2[[#This Row],[!FK]])&gt;0,Table2[[#This Row],[!FK]],"rg:None")</f>
        <v>rg:None</v>
      </c>
      <c r="X182" s="14" t="str">
        <f>IF(LEN(concatif2(A:A,Table2[[#This Row],[!Table]],G:G,"Y",D:D,",")) &gt; 0,"rg:[ { 'req' : '"&amp;concatif2(A:A,Table2[[#This Row],[!Table]],G:G,"Y",D:D,"' }, { 'req': '")&amp;"'} ]","rg:[]")</f>
        <v>rg:[ { 'req' : 'id' }, { 'req': 'equipment' }, { 'req': 'typeName'} ]</v>
      </c>
      <c r="Y182" s="4" t="str">
        <f>IF(LEN(Table2[[#This Row],[!Unique]])&gt;0,IF(Table2[[#This Row],[!Type]] = "id", "rg:None","rg:True"),"rg:None")</f>
        <v>rg:None</v>
      </c>
    </row>
    <row r="183" spans="1:25" ht="86.4" x14ac:dyDescent="0.35">
      <c r="A183" s="5" t="s">
        <v>144</v>
      </c>
      <c r="B183" s="5" t="s">
        <v>4</v>
      </c>
      <c r="D183" s="5" t="s">
        <v>144</v>
      </c>
      <c r="E183" s="101" t="s">
        <v>292</v>
      </c>
      <c r="F183" s="5" t="s">
        <v>5</v>
      </c>
      <c r="G183" s="4"/>
      <c r="H183" s="4"/>
      <c r="I183" s="4" t="str">
        <f t="shared" si="21"/>
        <v>Defs</v>
      </c>
      <c r="J183" s="4" t="str">
        <f>IF(Table2[[#This Row],[!Type]]=J$1, J$1,"rg:None")</f>
        <v>rg:None</v>
      </c>
      <c r="K183" s="4" t="str">
        <f>IF(Table2[[#This Row],[!Type]]=K$1, K$1,"rg:None")</f>
        <v>rg:None</v>
      </c>
      <c r="L183" s="4" t="str">
        <f>IF(Table2[[#This Row],[!Type]]=L$1, L$1,"rg:None")</f>
        <v>rg:None</v>
      </c>
      <c r="M183" s="4" t="str">
        <f>IF(Table2[[#This Row],[!Type]]=M$1, M$1,"rg:None")</f>
        <v>rg:None</v>
      </c>
      <c r="N183" s="4" t="str">
        <f>IF(Table2[[#This Row],[!Type]]=N$1, N$1,"rg:None")</f>
        <v>rg:None</v>
      </c>
      <c r="O183" s="4" t="str">
        <f>IF(Table2[[#This Row],[!Type]]=O$1, O$1,"rg:None")</f>
        <v>rg:None</v>
      </c>
      <c r="P183" s="4" t="str">
        <f>IF(Table2[[#This Row],[!Type]]=P$1, P$1,"rg:None")</f>
        <v>rg:None</v>
      </c>
      <c r="Q183" s="4" t="str">
        <f>IF(Table2[[#This Row],[!Type]]=Q$1, Q$1,"rg:None")</f>
        <v>rg:None</v>
      </c>
      <c r="R183" s="4" t="str">
        <f>IF(Table2[[#This Row],[!Type]]=R$1, R$1,"rg:None")</f>
        <v>rg:None</v>
      </c>
      <c r="S183" s="4" t="str">
        <f>IF(Table2[[#This Row],[!Type]]=S$1, S$1,"rg:None")</f>
        <v>table</v>
      </c>
      <c r="T183" s="4" t="str">
        <f>IF(LEN(Table2[[#This Row],[!Length]]) &gt; 0, Table2[[#This Row],[!Length]], "rg:None")</f>
        <v>rg:None</v>
      </c>
      <c r="U183" s="4" t="str">
        <f>IF(LEN(Table2[[#This Row],[!Name]]) &gt; 0, Table2[[#This Row],[!Name]], "rg:None")</f>
        <v>SeniorityAudit</v>
      </c>
      <c r="V183" s="4" t="str">
        <f>IF(LEN(Table2[[#This Row],[!Description]]) &gt; 0, Table2[[#This Row],[!Description]], "rg:None")</f>
        <v>The history of all changes to the seniority of a piece of equipment. The current seniority information (underlying data elements and the calculation result) is in the equipment record. Every time that information changes, the old values are copied to here, with a start date, end date range. In the normal case, an annual update triggers the old values being copied here and the new values put into the equipment record. If a user manually changes the values, the existing values are copied into a record added here.</v>
      </c>
      <c r="W183" s="4" t="str">
        <f>IF(LEN(Table2[[#This Row],[!FK]])&gt;0,Table2[[#This Row],[!FK]],"rg:None")</f>
        <v>rg:None</v>
      </c>
      <c r="X183" s="14" t="str">
        <f>IF(LEN(concatif2(A:A,Table2[[#This Row],[!Table]],G:G,"Y",D:D,",")) &gt; 0,"rg:[ { 'req' : '"&amp;concatif2(A:A,Table2[[#This Row],[!Table]],G:G,"Y",D:D,"' }, { 'req': '")&amp;"'} ]","rg:[]")</f>
        <v>rg:[ { 'req' : 'id' }, { 'req': 'startDate' }, { 'req': 'endDate' }, { 'req': 'localArea' }, { 'req': 'equipment'} ]</v>
      </c>
      <c r="Y183" s="4" t="str">
        <f>IF(LEN(Table2[[#This Row],[!Unique]])&gt;0,IF(Table2[[#This Row],[!Type]] = "id", "rg:None","rg:True"),"rg:None")</f>
        <v>rg:None</v>
      </c>
    </row>
    <row r="184" spans="1:25" x14ac:dyDescent="0.35">
      <c r="A184" s="5" t="s">
        <v>144</v>
      </c>
      <c r="B184" s="5" t="s">
        <v>6</v>
      </c>
      <c r="D184" s="5" t="s">
        <v>6</v>
      </c>
      <c r="E184" s="54" t="s">
        <v>348</v>
      </c>
      <c r="F184" s="5" t="s">
        <v>5</v>
      </c>
      <c r="G184" s="4" t="s">
        <v>59</v>
      </c>
      <c r="H184" s="155" t="s">
        <v>59</v>
      </c>
      <c r="I184" s="4" t="str">
        <f t="shared" si="21"/>
        <v>Defs</v>
      </c>
      <c r="J184" s="4" t="str">
        <f>IF(Table2[[#This Row],[!Type]]=J$1, J$1,"rg:None")</f>
        <v>rg:None</v>
      </c>
      <c r="K184" s="4" t="str">
        <f>IF(Table2[[#This Row],[!Type]]=K$1, K$1,"rg:None")</f>
        <v>rg:None</v>
      </c>
      <c r="L184" s="4" t="str">
        <f>IF(Table2[[#This Row],[!Type]]=L$1, L$1,"rg:None")</f>
        <v>rg:None</v>
      </c>
      <c r="M184" s="4" t="str">
        <f>IF(Table2[[#This Row],[!Type]]=M$1, M$1,"rg:None")</f>
        <v>id</v>
      </c>
      <c r="N184" s="4" t="str">
        <f>IF(Table2[[#This Row],[!Type]]=N$1, N$1,"rg:None")</f>
        <v>rg:None</v>
      </c>
      <c r="O184" s="4" t="str">
        <f>IF(Table2[[#This Row],[!Type]]=O$1, O$1,"rg:None")</f>
        <v>rg:None</v>
      </c>
      <c r="P184" s="4" t="str">
        <f>IF(Table2[[#This Row],[!Type]]=P$1, P$1,"rg:None")</f>
        <v>rg:None</v>
      </c>
      <c r="Q184" s="4" t="str">
        <f>IF(Table2[[#This Row],[!Type]]=Q$1, Q$1,"rg:None")</f>
        <v>rg:None</v>
      </c>
      <c r="R184" s="4" t="str">
        <f>IF(Table2[[#This Row],[!Type]]=R$1, R$1,"rg:None")</f>
        <v>rg:None</v>
      </c>
      <c r="S184" s="4" t="str">
        <f>IF(Table2[[#This Row],[!Type]]=S$1, S$1,"rg:None")</f>
        <v>rg:None</v>
      </c>
      <c r="T184" s="4" t="str">
        <f>IF(LEN(Table2[[#This Row],[!Length]]) &gt; 0, Table2[[#This Row],[!Length]], "rg:None")</f>
        <v>rg:None</v>
      </c>
      <c r="U184" s="4" t="str">
        <f>IF(LEN(Table2[[#This Row],[!Name]]) &gt; 0, Table2[[#This Row],[!Name]], "rg:None")</f>
        <v>id</v>
      </c>
      <c r="V184" s="4" t="str">
        <f>IF(LEN(Table2[[#This Row],[!Description]]) &gt; 0, Table2[[#This Row],[!Description]], "rg:None")</f>
        <v>A system-generated unique identifier for a SeniorityAudit</v>
      </c>
      <c r="W184" s="4" t="str">
        <f>IF(LEN(Table2[[#This Row],[!FK]])&gt;0,Table2[[#This Row],[!FK]],"rg:None")</f>
        <v>rg:None</v>
      </c>
      <c r="X184" s="14" t="str">
        <f>IF(LEN(concatif2(A:A,Table2[[#This Row],[!Table]],G:G,"Y",D:D,",")) &gt; 0,"rg:[ { 'req' : '"&amp;concatif2(A:A,Table2[[#This Row],[!Table]],G:G,"Y",D:D,"' }, { 'req': '")&amp;"'} ]","rg:[]")</f>
        <v>rg:[ { 'req' : 'id' }, { 'req': 'startDate' }, { 'req': 'endDate' }, { 'req': 'localArea' }, { 'req': 'equipment'} ]</v>
      </c>
      <c r="Y184" s="4" t="str">
        <f>IF(LEN(Table2[[#This Row],[!Unique]])&gt;0,IF(Table2[[#This Row],[!Type]] = "id", "rg:None","rg:True"),"rg:None")</f>
        <v>rg:None</v>
      </c>
    </row>
    <row r="185" spans="1:25" x14ac:dyDescent="0.35">
      <c r="A185" s="5" t="s">
        <v>144</v>
      </c>
      <c r="B185" s="5" t="s">
        <v>12</v>
      </c>
      <c r="D185" s="80" t="s">
        <v>30</v>
      </c>
      <c r="E185" s="76" t="s">
        <v>411</v>
      </c>
      <c r="F185" s="5" t="s">
        <v>5</v>
      </c>
      <c r="G185" s="155" t="s">
        <v>59</v>
      </c>
      <c r="H185" s="4"/>
      <c r="I185" s="4" t="str">
        <f t="shared" si="21"/>
        <v>Defs</v>
      </c>
      <c r="J185" s="4" t="str">
        <f>IF(Table2[[#This Row],[!Type]]=J$1, J$1,"rg:None")</f>
        <v>rg:None</v>
      </c>
      <c r="K185" s="4" t="str">
        <f>IF(Table2[[#This Row],[!Type]]=K$1, K$1,"rg:None")</f>
        <v>rg:None</v>
      </c>
      <c r="L185" s="4" t="str">
        <f>IF(Table2[[#This Row],[!Type]]=L$1, L$1,"rg:None")</f>
        <v>datetime</v>
      </c>
      <c r="M185" s="4" t="str">
        <f>IF(Table2[[#This Row],[!Type]]=M$1, M$1,"rg:None")</f>
        <v>rg:None</v>
      </c>
      <c r="N185" s="4" t="str">
        <f>IF(Table2[[#This Row],[!Type]]=N$1, N$1,"rg:None")</f>
        <v>rg:None</v>
      </c>
      <c r="O185" s="4" t="str">
        <f>IF(Table2[[#This Row],[!Type]]=O$1, O$1,"rg:None")</f>
        <v>rg:None</v>
      </c>
      <c r="P185" s="4" t="str">
        <f>IF(Table2[[#This Row],[!Type]]=P$1, P$1,"rg:None")</f>
        <v>rg:None</v>
      </c>
      <c r="Q185" s="4" t="str">
        <f>IF(Table2[[#This Row],[!Type]]=Q$1, Q$1,"rg:None")</f>
        <v>rg:None</v>
      </c>
      <c r="R185" s="4" t="str">
        <f>IF(Table2[[#This Row],[!Type]]=R$1, R$1,"rg:None")</f>
        <v>rg:None</v>
      </c>
      <c r="S185" s="4" t="str">
        <f>IF(Table2[[#This Row],[!Type]]=S$1, S$1,"rg:None")</f>
        <v>rg:None</v>
      </c>
      <c r="T185" s="4" t="str">
        <f>IF(LEN(Table2[[#This Row],[!Length]]) &gt; 0, Table2[[#This Row],[!Length]], "rg:None")</f>
        <v>rg:None</v>
      </c>
      <c r="U185" s="4" t="str">
        <f>IF(LEN(Table2[[#This Row],[!Name]]) &gt; 0, Table2[[#This Row],[!Name]], "rg:None")</f>
        <v>startDate</v>
      </c>
      <c r="V185" s="4" t="str">
        <f>IF(LEN(Table2[[#This Row],[!Description]]) &gt; 0, Table2[[#This Row],[!Description]], "rg:None")</f>
        <v>The effective date that the Seniority data in this record went into effect.</v>
      </c>
      <c r="W185" s="4" t="str">
        <f>IF(LEN(Table2[[#This Row],[!FK]])&gt;0,Table2[[#This Row],[!FK]],"rg:None")</f>
        <v>rg:None</v>
      </c>
      <c r="X185" s="14" t="str">
        <f>IF(LEN(concatif2(A:A,Table2[[#This Row],[!Table]],G:G,"Y",D:D,",")) &gt; 0,"rg:[ { 'req' : '"&amp;concatif2(A:A,Table2[[#This Row],[!Table]],G:G,"Y",D:D,"' }, { 'req': '")&amp;"'} ]","rg:[]")</f>
        <v>rg:[ { 'req' : 'id' }, { 'req': 'startDate' }, { 'req': 'endDate' }, { 'req': 'localArea' }, { 'req': 'equipment'} ]</v>
      </c>
      <c r="Y185" s="4" t="str">
        <f>IF(LEN(Table2[[#This Row],[!Unique]])&gt;0,IF(Table2[[#This Row],[!Type]] = "id", "rg:None","rg:True"),"rg:None")</f>
        <v>rg:None</v>
      </c>
    </row>
    <row r="186" spans="1:25" x14ac:dyDescent="0.35">
      <c r="A186" s="61" t="s">
        <v>144</v>
      </c>
      <c r="B186" s="61" t="s">
        <v>12</v>
      </c>
      <c r="C186" s="72"/>
      <c r="D186" s="61" t="s">
        <v>31</v>
      </c>
      <c r="E186" s="60" t="s">
        <v>412</v>
      </c>
      <c r="F186" s="12"/>
      <c r="G186" s="154" t="s">
        <v>59</v>
      </c>
      <c r="H186" s="18"/>
      <c r="I186" s="4" t="str">
        <f>IF(LEN(A186) &gt; 0,"Defs","-")</f>
        <v>Defs</v>
      </c>
      <c r="J186" s="4" t="str">
        <f>IF(Table2[[#This Row],[!Type]]=J$1, J$1,"rg:None")</f>
        <v>rg:None</v>
      </c>
      <c r="K186" s="4" t="str">
        <f>IF(Table2[[#This Row],[!Type]]=K$1, K$1,"rg:None")</f>
        <v>rg:None</v>
      </c>
      <c r="L186" s="4" t="str">
        <f>IF(Table2[[#This Row],[!Type]]=L$1, L$1,"rg:None")</f>
        <v>datetime</v>
      </c>
      <c r="M186" s="4" t="str">
        <f>IF(Table2[[#This Row],[!Type]]=M$1, M$1,"rg:None")</f>
        <v>rg:None</v>
      </c>
      <c r="N186" s="4" t="str">
        <f>IF(Table2[[#This Row],[!Type]]=N$1, N$1,"rg:None")</f>
        <v>rg:None</v>
      </c>
      <c r="O186" s="4" t="str">
        <f>IF(Table2[[#This Row],[!Type]]=O$1, O$1,"rg:None")</f>
        <v>rg:None</v>
      </c>
      <c r="P186" s="4" t="str">
        <f>IF(Table2[[#This Row],[!Type]]=P$1, P$1,"rg:None")</f>
        <v>rg:None</v>
      </c>
      <c r="Q186" s="4" t="str">
        <f>IF(Table2[[#This Row],[!Type]]=Q$1, Q$1,"rg:None")</f>
        <v>rg:None</v>
      </c>
      <c r="R186" s="4" t="str">
        <f>IF(Table2[[#This Row],[!Type]]=R$1, R$1,"rg:None")</f>
        <v>rg:None</v>
      </c>
      <c r="S186" s="4" t="str">
        <f>IF(Table2[[#This Row],[!Type]]=S$1, S$1,"rg:None")</f>
        <v>rg:None</v>
      </c>
      <c r="T186" s="4" t="str">
        <f>IF(LEN(Table2[[#This Row],[!Length]]) &gt; 0, Table2[[#This Row],[!Length]], "rg:None")</f>
        <v>rg:None</v>
      </c>
      <c r="U186" s="4" t="str">
        <f>IF(LEN(Table2[[#This Row],[!Name]]) &gt; 0, Table2[[#This Row],[!Name]], "rg:None")</f>
        <v>endDate</v>
      </c>
      <c r="V186" s="4" t="str">
        <f>IF(LEN(Table2[[#This Row],[!Description]]) &gt; 0, Table2[[#This Row],[!Description]], "rg:None")</f>
        <v>The effective date at which the Seniority data in this record ceased to be in effect.</v>
      </c>
      <c r="W186" s="4" t="str">
        <f>IF(LEN(Table2[[#This Row],[!FK]])&gt;0,Table2[[#This Row],[!FK]],"rg:None")</f>
        <v>rg:None</v>
      </c>
      <c r="X186" s="14" t="str">
        <f>IF(LEN(concatif2(A:A,Table2[[#This Row],[!Table]],G:G,"Y",D:D,",")) &gt; 0,"rg:[ { 'req' : '"&amp;concatif2(A:A,Table2[[#This Row],[!Table]],G:G,"Y",D:D,"' }, { 'req': '")&amp;"'} ]","rg:[]")</f>
        <v>rg:[ { 'req' : 'id' }, { 'req': 'startDate' }, { 'req': 'endDate' }, { 'req': 'localArea' }, { 'req': 'equipment'} ]</v>
      </c>
      <c r="Y186" s="4" t="str">
        <f>IF(LEN(Table2[[#This Row],[!Unique]])&gt;0,IF(Table2[[#This Row],[!Type]] = "id", "rg:None","rg:True"),"rg:None")</f>
        <v>rg:None</v>
      </c>
    </row>
    <row r="187" spans="1:25" x14ac:dyDescent="0.35">
      <c r="A187" s="5" t="s">
        <v>144</v>
      </c>
      <c r="B187" s="5" t="s">
        <v>8</v>
      </c>
      <c r="D187" s="82" t="s">
        <v>170</v>
      </c>
      <c r="E187" s="130" t="s">
        <v>525</v>
      </c>
      <c r="F187" s="82" t="s">
        <v>148</v>
      </c>
      <c r="G187" s="155" t="s">
        <v>59</v>
      </c>
      <c r="H187" s="4"/>
      <c r="I187" s="4" t="str">
        <f t="shared" si="21"/>
        <v>Defs</v>
      </c>
      <c r="J187" s="4" t="str">
        <f>IF(Table2[[#This Row],[!Type]]=J$1, J$1,"rg:None")</f>
        <v>rg:None</v>
      </c>
      <c r="K187" s="4" t="str">
        <f>IF(Table2[[#This Row],[!Type]]=K$1, K$1,"rg:None")</f>
        <v>rg:None</v>
      </c>
      <c r="L187" s="4" t="str">
        <f>IF(Table2[[#This Row],[!Type]]=L$1, L$1,"rg:None")</f>
        <v>rg:None</v>
      </c>
      <c r="M187" s="4" t="str">
        <f>IF(Table2[[#This Row],[!Type]]=M$1, M$1,"rg:None")</f>
        <v>rg:None</v>
      </c>
      <c r="N187" s="4" t="str">
        <f>IF(Table2[[#This Row],[!Type]]=N$1, N$1,"rg:None")</f>
        <v>rg:None</v>
      </c>
      <c r="O187" s="4" t="str">
        <f>IF(Table2[[#This Row],[!Type]]=O$1, O$1,"rg:None")</f>
        <v>rg:None</v>
      </c>
      <c r="P187" s="4" t="str">
        <f>IF(Table2[[#This Row],[!Type]]=P$1, P$1,"rg:None")</f>
        <v>rg:None</v>
      </c>
      <c r="Q187" s="4" t="str">
        <f>IF(Table2[[#This Row],[!Type]]=Q$1, Q$1,"rg:None")</f>
        <v>ref</v>
      </c>
      <c r="R187" s="4" t="str">
        <f>IF(Table2[[#This Row],[!Type]]=R$1, R$1,"rg:None")</f>
        <v>rg:None</v>
      </c>
      <c r="S187" s="4" t="str">
        <f>IF(Table2[[#This Row],[!Type]]=S$1, S$1,"rg:None")</f>
        <v>rg:None</v>
      </c>
      <c r="T187" s="4" t="str">
        <f>IF(LEN(Table2[[#This Row],[!Length]]) &gt; 0, Table2[[#This Row],[!Length]], "rg:None")</f>
        <v>rg:None</v>
      </c>
      <c r="U187" s="4" t="str">
        <f>IF(LEN(Table2[[#This Row],[!Name]]) &gt; 0, Table2[[#This Row],[!Name]], "rg:None")</f>
        <v>localArea</v>
      </c>
      <c r="V187" s="4" t="str">
        <f>IF(LEN(Table2[[#This Row],[!Description]]) &gt; 0, Table2[[#This Row],[!Description]], "rg:None")</f>
        <v>A foreign key reference to the system-generated unique identifier for a Local Area</v>
      </c>
      <c r="W187" s="4" t="str">
        <f>IF(LEN(Table2[[#This Row],[!FK]])&gt;0,Table2[[#This Row],[!FK]],"rg:None")</f>
        <v>LocalArea</v>
      </c>
      <c r="X187" s="14" t="str">
        <f>IF(LEN(concatif2(A:A,Table2[[#This Row],[!Table]],G:G,"Y",D:D,",")) &gt; 0,"rg:[ { 'req' : '"&amp;concatif2(A:A,Table2[[#This Row],[!Table]],G:G,"Y",D:D,"' }, { 'req': '")&amp;"'} ]","rg:[]")</f>
        <v>rg:[ { 'req' : 'id' }, { 'req': 'startDate' }, { 'req': 'endDate' }, { 'req': 'localArea' }, { 'req': 'equipment'} ]</v>
      </c>
      <c r="Y187" s="4" t="str">
        <f>IF(LEN(Table2[[#This Row],[!Unique]])&gt;0,IF(Table2[[#This Row],[!Type]] = "id", "rg:None","rg:True"),"rg:None")</f>
        <v>rg:None</v>
      </c>
    </row>
    <row r="188" spans="1:25" x14ac:dyDescent="0.35">
      <c r="A188" s="5" t="s">
        <v>144</v>
      </c>
      <c r="B188" s="5" t="s">
        <v>8</v>
      </c>
      <c r="D188" s="82" t="s">
        <v>175</v>
      </c>
      <c r="E188" s="130" t="s">
        <v>528</v>
      </c>
      <c r="F188" s="82" t="s">
        <v>176</v>
      </c>
      <c r="G188" s="155" t="s">
        <v>59</v>
      </c>
      <c r="H188" s="4"/>
      <c r="I188" s="4" t="str">
        <f t="shared" si="21"/>
        <v>Defs</v>
      </c>
      <c r="J188" s="4" t="str">
        <f>IF(Table2[[#This Row],[!Type]]=J$1, J$1,"rg:None")</f>
        <v>rg:None</v>
      </c>
      <c r="K188" s="4" t="str">
        <f>IF(Table2[[#This Row],[!Type]]=K$1, K$1,"rg:None")</f>
        <v>rg:None</v>
      </c>
      <c r="L188" s="4" t="str">
        <f>IF(Table2[[#This Row],[!Type]]=L$1, L$1,"rg:None")</f>
        <v>rg:None</v>
      </c>
      <c r="M188" s="4" t="str">
        <f>IF(Table2[[#This Row],[!Type]]=M$1, M$1,"rg:None")</f>
        <v>rg:None</v>
      </c>
      <c r="N188" s="4" t="str">
        <f>IF(Table2[[#This Row],[!Type]]=N$1, N$1,"rg:None")</f>
        <v>rg:None</v>
      </c>
      <c r="O188" s="4" t="str">
        <f>IF(Table2[[#This Row],[!Type]]=O$1, O$1,"rg:None")</f>
        <v>rg:None</v>
      </c>
      <c r="P188" s="4" t="str">
        <f>IF(Table2[[#This Row],[!Type]]=P$1, P$1,"rg:None")</f>
        <v>rg:None</v>
      </c>
      <c r="Q188" s="4" t="str">
        <f>IF(Table2[[#This Row],[!Type]]=Q$1, Q$1,"rg:None")</f>
        <v>ref</v>
      </c>
      <c r="R188" s="4" t="str">
        <f>IF(Table2[[#This Row],[!Type]]=R$1, R$1,"rg:None")</f>
        <v>rg:None</v>
      </c>
      <c r="S188" s="4" t="str">
        <f>IF(Table2[[#This Row],[!Type]]=S$1, S$1,"rg:None")</f>
        <v>rg:None</v>
      </c>
      <c r="T188" s="4" t="str">
        <f>IF(LEN(Table2[[#This Row],[!Length]]) &gt; 0, Table2[[#This Row],[!Length]], "rg:None")</f>
        <v>rg:None</v>
      </c>
      <c r="U188" s="4" t="str">
        <f>IF(LEN(Table2[[#This Row],[!Name]]) &gt; 0, Table2[[#This Row],[!Name]], "rg:None")</f>
        <v>equipment</v>
      </c>
      <c r="V188" s="4" t="str">
        <f>IF(LEN(Table2[[#This Row],[!Description]]) &gt; 0, Table2[[#This Row],[!Description]], "rg:None")</f>
        <v>A foreign key reference to the system-generated unique identifier for an Equipment</v>
      </c>
      <c r="W188" s="4" t="str">
        <f>IF(LEN(Table2[[#This Row],[!FK]])&gt;0,Table2[[#This Row],[!FK]],"rg:None")</f>
        <v>Equipment</v>
      </c>
      <c r="X188" s="14" t="str">
        <f>IF(LEN(concatif2(A:A,Table2[[#This Row],[!Table]],G:G,"Y",D:D,",")) &gt; 0,"rg:[ { 'req' : '"&amp;concatif2(A:A,Table2[[#This Row],[!Table]],G:G,"Y",D:D,"' }, { 'req': '")&amp;"'} ]","rg:[]")</f>
        <v>rg:[ { 'req' : 'id' }, { 'req': 'startDate' }, { 'req': 'endDate' }, { 'req': 'localArea' }, { 'req': 'equipment'} ]</v>
      </c>
      <c r="Y188" s="4" t="str">
        <f>IF(LEN(Table2[[#This Row],[!Unique]])&gt;0,IF(Table2[[#This Row],[!Type]] = "id", "rg:None","rg:True"),"rg:None")</f>
        <v>rg:None</v>
      </c>
    </row>
    <row r="189" spans="1:25" ht="28.8" x14ac:dyDescent="0.35">
      <c r="A189" s="5" t="s">
        <v>144</v>
      </c>
      <c r="B189" s="157" t="s">
        <v>13</v>
      </c>
      <c r="D189" s="82" t="s">
        <v>185</v>
      </c>
      <c r="E189" s="101" t="s">
        <v>294</v>
      </c>
      <c r="F189" s="5" t="s">
        <v>5</v>
      </c>
      <c r="G189" s="4"/>
      <c r="H189" s="4"/>
      <c r="I189" s="4" t="str">
        <f t="shared" si="21"/>
        <v>Defs</v>
      </c>
      <c r="J189" s="4" t="str">
        <f>IF(Table2[[#This Row],[!Type]]=J$1, J$1,"rg:None")</f>
        <v>rg:None</v>
      </c>
      <c r="K189" s="4" t="str">
        <f>IF(Table2[[#This Row],[!Type]]=K$1, K$1,"rg:None")</f>
        <v>rg:None</v>
      </c>
      <c r="L189" s="4" t="str">
        <f>IF(Table2[[#This Row],[!Type]]=L$1, L$1,"rg:None")</f>
        <v>rg:None</v>
      </c>
      <c r="M189" s="4" t="str">
        <f>IF(Table2[[#This Row],[!Type]]=M$1, M$1,"rg:None")</f>
        <v>rg:None</v>
      </c>
      <c r="N189" s="4" t="str">
        <f>IF(Table2[[#This Row],[!Type]]=N$1, N$1,"rg:None")</f>
        <v>integer</v>
      </c>
      <c r="O189" s="4" t="str">
        <f>IF(Table2[[#This Row],[!Type]]=O$1, O$1,"rg:None")</f>
        <v>rg:None</v>
      </c>
      <c r="P189" s="4" t="str">
        <f>IF(Table2[[#This Row],[!Type]]=P$1, P$1,"rg:None")</f>
        <v>rg:None</v>
      </c>
      <c r="Q189" s="4" t="str">
        <f>IF(Table2[[#This Row],[!Type]]=Q$1, Q$1,"rg:None")</f>
        <v>rg:None</v>
      </c>
      <c r="R189" s="4" t="str">
        <f>IF(Table2[[#This Row],[!Type]]=R$1, R$1,"rg:None")</f>
        <v>rg:None</v>
      </c>
      <c r="S189" s="4" t="str">
        <f>IF(Table2[[#This Row],[!Type]]=S$1, S$1,"rg:None")</f>
        <v>rg:None</v>
      </c>
      <c r="T189" s="4" t="str">
        <f>IF(LEN(Table2[[#This Row],[!Length]]) &gt; 0, Table2[[#This Row],[!Length]], "rg:None")</f>
        <v>rg:None</v>
      </c>
      <c r="U189" s="4" t="str">
        <f>IF(LEN(Table2[[#This Row],[!Name]]) &gt; 0, Table2[[#This Row],[!Name]], "rg:None")</f>
        <v>blockNumber</v>
      </c>
      <c r="V189" s="4" t="str">
        <f>IF(LEN(Table2[[#This Row],[!Description]]) &gt; 0, Table2[[#This Row],[!Description]], "rg:None")</f>
        <v>The block number for the piece of equipment as calculated by the Seniority Algorthm for this equipment type in the local area. As currently defined by the business - 1, 2 or Open</v>
      </c>
      <c r="W189" s="4" t="str">
        <f>IF(LEN(Table2[[#This Row],[!FK]])&gt;0,Table2[[#This Row],[!FK]],"rg:None")</f>
        <v>rg:None</v>
      </c>
      <c r="X189" s="14" t="str">
        <f>IF(LEN(concatif2(A:A,Table2[[#This Row],[!Table]],G:G,"Y",D:D,",")) &gt; 0,"rg:[ { 'req' : '"&amp;concatif2(A:A,Table2[[#This Row],[!Table]],G:G,"Y",D:D,"' }, { 'req': '")&amp;"'} ]","rg:[]")</f>
        <v>rg:[ { 'req' : 'id' }, { 'req': 'startDate' }, { 'req': 'endDate' }, { 'req': 'localArea' }, { 'req': 'equipment'} ]</v>
      </c>
      <c r="Y189" s="4" t="str">
        <f>IF(LEN(Table2[[#This Row],[!Unique]])&gt;0,IF(Table2[[#This Row],[!Type]] = "id", "rg:None","rg:True"),"rg:None")</f>
        <v>rg:None</v>
      </c>
    </row>
    <row r="190" spans="1:25" x14ac:dyDescent="0.35">
      <c r="A190" s="5" t="s">
        <v>144</v>
      </c>
      <c r="B190" s="5" t="s">
        <v>8</v>
      </c>
      <c r="D190" s="82" t="s">
        <v>145</v>
      </c>
      <c r="E190" s="130" t="s">
        <v>532</v>
      </c>
      <c r="F190" s="82" t="s">
        <v>142</v>
      </c>
      <c r="G190" s="4"/>
      <c r="H190" s="4"/>
      <c r="I190" s="4" t="str">
        <f t="shared" si="21"/>
        <v>Defs</v>
      </c>
      <c r="J190" s="4" t="str">
        <f>IF(Table2[[#This Row],[!Type]]=J$1, J$1,"rg:None")</f>
        <v>rg:None</v>
      </c>
      <c r="K190" s="4" t="str">
        <f>IF(Table2[[#This Row],[!Type]]=K$1, K$1,"rg:None")</f>
        <v>rg:None</v>
      </c>
      <c r="L190" s="4" t="str">
        <f>IF(Table2[[#This Row],[!Type]]=L$1, L$1,"rg:None")</f>
        <v>rg:None</v>
      </c>
      <c r="M190" s="4" t="str">
        <f>IF(Table2[[#This Row],[!Type]]=M$1, M$1,"rg:None")</f>
        <v>rg:None</v>
      </c>
      <c r="N190" s="4" t="str">
        <f>IF(Table2[[#This Row],[!Type]]=N$1, N$1,"rg:None")</f>
        <v>rg:None</v>
      </c>
      <c r="O190" s="4" t="str">
        <f>IF(Table2[[#This Row],[!Type]]=O$1, O$1,"rg:None")</f>
        <v>rg:None</v>
      </c>
      <c r="P190" s="4" t="str">
        <f>IF(Table2[[#This Row],[!Type]]=P$1, P$1,"rg:None")</f>
        <v>rg:None</v>
      </c>
      <c r="Q190" s="4" t="str">
        <f>IF(Table2[[#This Row],[!Type]]=Q$1, Q$1,"rg:None")</f>
        <v>ref</v>
      </c>
      <c r="R190" s="4" t="str">
        <f>IF(Table2[[#This Row],[!Type]]=R$1, R$1,"rg:None")</f>
        <v>rg:None</v>
      </c>
      <c r="S190" s="4" t="str">
        <f>IF(Table2[[#This Row],[!Type]]=S$1, S$1,"rg:None")</f>
        <v>rg:None</v>
      </c>
      <c r="T190" s="4" t="str">
        <f>IF(LEN(Table2[[#This Row],[!Length]]) &gt; 0, Table2[[#This Row],[!Length]], "rg:None")</f>
        <v>rg:None</v>
      </c>
      <c r="U190" s="4" t="str">
        <f>IF(LEN(Table2[[#This Row],[!Name]]) &gt; 0, Table2[[#This Row],[!Name]], "rg:None")</f>
        <v>owner</v>
      </c>
      <c r="V190" s="4" t="str">
        <f>IF(LEN(Table2[[#This Row],[!Description]]) &gt; 0, Table2[[#This Row],[!Description]], "rg:None")</f>
        <v>A foreign key reference to the system-generated unique identifier for an Owner</v>
      </c>
      <c r="W190" s="4" t="str">
        <f>IF(LEN(Table2[[#This Row],[!FK]])&gt;0,Table2[[#This Row],[!FK]],"rg:None")</f>
        <v>Owner</v>
      </c>
      <c r="X190" s="14" t="str">
        <f>IF(LEN(concatif2(A:A,Table2[[#This Row],[!Table]],G:G,"Y",D:D,",")) &gt; 0,"rg:[ { 'req' : '"&amp;concatif2(A:A,Table2[[#This Row],[!Table]],G:G,"Y",D:D,"' }, { 'req': '")&amp;"'} ]","rg:[]")</f>
        <v>rg:[ { 'req' : 'id' }, { 'req': 'startDate' }, { 'req': 'endDate' }, { 'req': 'localArea' }, { 'req': 'equipment'} ]</v>
      </c>
      <c r="Y190" s="4" t="str">
        <f>IF(LEN(Table2[[#This Row],[!Unique]])&gt;0,IF(Table2[[#This Row],[!Type]] = "id", "rg:None","rg:True"),"rg:None")</f>
        <v>rg:None</v>
      </c>
    </row>
    <row r="191" spans="1:25" ht="28.8" x14ac:dyDescent="0.35">
      <c r="A191" s="5" t="s">
        <v>144</v>
      </c>
      <c r="B191" s="5" t="s">
        <v>7</v>
      </c>
      <c r="C191" s="5">
        <v>150</v>
      </c>
      <c r="D191" s="80" t="s">
        <v>392</v>
      </c>
      <c r="E191" s="76" t="s">
        <v>393</v>
      </c>
      <c r="F191" s="5" t="s">
        <v>5</v>
      </c>
      <c r="G191" s="4"/>
      <c r="H191" s="4"/>
      <c r="I191" s="4" t="str">
        <f t="shared" si="21"/>
        <v>Defs</v>
      </c>
      <c r="J191" s="4" t="str">
        <f>IF(Table2[[#This Row],[!Type]]=J$1, J$1,"rg:None")</f>
        <v>rg:None</v>
      </c>
      <c r="K191" s="4" t="str">
        <f>IF(Table2[[#This Row],[!Type]]=K$1, K$1,"rg:None")</f>
        <v>rg:None</v>
      </c>
      <c r="L191" s="4" t="str">
        <f>IF(Table2[[#This Row],[!Type]]=L$1, L$1,"rg:None")</f>
        <v>rg:None</v>
      </c>
      <c r="M191" s="4" t="str">
        <f>IF(Table2[[#This Row],[!Type]]=M$1, M$1,"rg:None")</f>
        <v>rg:None</v>
      </c>
      <c r="N191" s="4" t="str">
        <f>IF(Table2[[#This Row],[!Type]]=N$1, N$1,"rg:None")</f>
        <v>rg:None</v>
      </c>
      <c r="O191" s="4" t="str">
        <f>IF(Table2[[#This Row],[!Type]]=O$1, O$1,"rg:None")</f>
        <v>rg:None</v>
      </c>
      <c r="P191" s="4" t="str">
        <f>IF(Table2[[#This Row],[!Type]]=P$1, P$1,"rg:None")</f>
        <v>rg:None</v>
      </c>
      <c r="Q191" s="4" t="str">
        <f>IF(Table2[[#This Row],[!Type]]=Q$1, Q$1,"rg:None")</f>
        <v>rg:None</v>
      </c>
      <c r="R191" s="4" t="str">
        <f>IF(Table2[[#This Row],[!Type]]=R$1, R$1,"rg:None")</f>
        <v>string</v>
      </c>
      <c r="S191" s="4" t="str">
        <f>IF(Table2[[#This Row],[!Type]]=S$1, S$1,"rg:None")</f>
        <v>rg:None</v>
      </c>
      <c r="T191" s="4">
        <f>IF(LEN(Table2[[#This Row],[!Length]]) &gt; 0, Table2[[#This Row],[!Length]], "rg:None")</f>
        <v>150</v>
      </c>
      <c r="U191" s="4" t="str">
        <f>IF(LEN(Table2[[#This Row],[!Name]]) &gt; 0, Table2[[#This Row],[!Name]], "rg:None")</f>
        <v>ownerOrganizationName</v>
      </c>
      <c r="V191" s="4" t="str">
        <f>IF(LEN(Table2[[#This Row],[!Description]]) &gt; 0, Table2[[#This Row],[!Description]], "rg:None")</f>
        <v>The name of the organization of the owner from the Owner Record, captured at the time this record was created.</v>
      </c>
      <c r="W191" s="4" t="str">
        <f>IF(LEN(Table2[[#This Row],[!FK]])&gt;0,Table2[[#This Row],[!FK]],"rg:None")</f>
        <v>rg:None</v>
      </c>
      <c r="X191" s="14" t="str">
        <f>IF(LEN(concatif2(A:A,Table2[[#This Row],[!Table]],G:G,"Y",D:D,",")) &gt; 0,"rg:[ { 'req' : '"&amp;concatif2(A:A,Table2[[#This Row],[!Table]],G:G,"Y",D:D,"' }, { 'req': '")&amp;"'} ]","rg:[]")</f>
        <v>rg:[ { 'req' : 'id' }, { 'req': 'startDate' }, { 'req': 'endDate' }, { 'req': 'localArea' }, { 'req': 'equipment'} ]</v>
      </c>
      <c r="Y191" s="4" t="str">
        <f>IF(LEN(Table2[[#This Row],[!Unique]])&gt;0,IF(Table2[[#This Row],[!Type]] = "id", "rg:None","rg:True"),"rg:None")</f>
        <v>rg:None</v>
      </c>
    </row>
    <row r="192" spans="1:25" ht="57.6" x14ac:dyDescent="0.35">
      <c r="A192" s="5" t="s">
        <v>144</v>
      </c>
      <c r="B192" s="5" t="s">
        <v>105</v>
      </c>
      <c r="D192" s="5" t="s">
        <v>135</v>
      </c>
      <c r="E192" s="101" t="s">
        <v>293</v>
      </c>
      <c r="F192" s="5" t="s">
        <v>5</v>
      </c>
      <c r="G192" s="4"/>
      <c r="H192" s="4"/>
      <c r="I192" s="4" t="str">
        <f t="shared" si="21"/>
        <v>Defs</v>
      </c>
      <c r="J192" s="4" t="str">
        <f>IF(Table2[[#This Row],[!Type]]=J$1, J$1,"rg:None")</f>
        <v>rg:None</v>
      </c>
      <c r="K192" s="4" t="str">
        <f>IF(Table2[[#This Row],[!Type]]=K$1, K$1,"rg:None")</f>
        <v>rg:None</v>
      </c>
      <c r="L192" s="4" t="str">
        <f>IF(Table2[[#This Row],[!Type]]=L$1, L$1,"rg:None")</f>
        <v>rg:None</v>
      </c>
      <c r="M192" s="4" t="str">
        <f>IF(Table2[[#This Row],[!Type]]=M$1, M$1,"rg:None")</f>
        <v>rg:None</v>
      </c>
      <c r="N192" s="4" t="str">
        <f>IF(Table2[[#This Row],[!Type]]=N$1, N$1,"rg:None")</f>
        <v>rg:None</v>
      </c>
      <c r="O192" s="4" t="str">
        <f>IF(Table2[[#This Row],[!Type]]=O$1, O$1,"rg:None")</f>
        <v>float</v>
      </c>
      <c r="P192" s="4" t="str">
        <f>IF(Table2[[#This Row],[!Type]]=P$1, P$1,"rg:None")</f>
        <v>rg:None</v>
      </c>
      <c r="Q192" s="4" t="str">
        <f>IF(Table2[[#This Row],[!Type]]=Q$1, Q$1,"rg:None")</f>
        <v>rg:None</v>
      </c>
      <c r="R192" s="4" t="str">
        <f>IF(Table2[[#This Row],[!Type]]=R$1, R$1,"rg:None")</f>
        <v>rg:None</v>
      </c>
      <c r="S192" s="4" t="str">
        <f>IF(Table2[[#This Row],[!Type]]=S$1, S$1,"rg:None")</f>
        <v>rg:None</v>
      </c>
      <c r="T192" s="4" t="str">
        <f>IF(LEN(Table2[[#This Row],[!Length]]) &gt; 0, Table2[[#This Row],[!Length]], "rg:None")</f>
        <v>rg:None</v>
      </c>
      <c r="U192" s="4" t="str">
        <f>IF(LEN(Table2[[#This Row],[!Name]]) &gt; 0, Table2[[#This Row],[!Name]], "rg:None")</f>
        <v>seniority</v>
      </c>
      <c r="V192" s="4" t="str">
        <f>IF(LEN(Table2[[#This Row],[!Description]]) &gt; 0, Table2[[#This Row],[!Description]], "rg:None")</f>
        <v>The seniority calculation result for this piece of equipment. The calculation is based on the "numYears" of service + average hours of service over the last three fiscal years - as stored in the related fields (serviceHoursLastYear, serviceHoursTwoYearsAgo serviceHoursThreeYearsAgo).</v>
      </c>
      <c r="W192" s="4" t="str">
        <f>IF(LEN(Table2[[#This Row],[!FK]])&gt;0,Table2[[#This Row],[!FK]],"rg:None")</f>
        <v>rg:None</v>
      </c>
      <c r="X192" s="14" t="str">
        <f>IF(LEN(concatif2(A:A,Table2[[#This Row],[!Table]],G:G,"Y",D:D,",")) &gt; 0,"rg:[ { 'req' : '"&amp;concatif2(A:A,Table2[[#This Row],[!Table]],G:G,"Y",D:D,"' }, { 'req': '")&amp;"'} ]","rg:[]")</f>
        <v>rg:[ { 'req' : 'id' }, { 'req': 'startDate' }, { 'req': 'endDate' }, { 'req': 'localArea' }, { 'req': 'equipment'} ]</v>
      </c>
      <c r="Y192" s="4" t="str">
        <f>IF(LEN(Table2[[#This Row],[!Unique]])&gt;0,IF(Table2[[#This Row],[!Type]] = "id", "rg:None","rg:True"),"rg:None")</f>
        <v>rg:None</v>
      </c>
    </row>
    <row r="193" spans="1:25" x14ac:dyDescent="0.35">
      <c r="A193" s="5" t="s">
        <v>144</v>
      </c>
      <c r="B193" s="5" t="s">
        <v>105</v>
      </c>
      <c r="D193" s="95" t="s">
        <v>240</v>
      </c>
      <c r="E193" s="96" t="s">
        <v>241</v>
      </c>
      <c r="F193" s="5" t="s">
        <v>5</v>
      </c>
      <c r="G193" s="4"/>
      <c r="H193" s="4"/>
      <c r="I193" s="4" t="str">
        <f t="shared" si="21"/>
        <v>Defs</v>
      </c>
      <c r="J193" s="4" t="str">
        <f>IF(Table2[[#This Row],[!Type]]=J$1, J$1,"rg:None")</f>
        <v>rg:None</v>
      </c>
      <c r="K193" s="4" t="str">
        <f>IF(Table2[[#This Row],[!Type]]=K$1, K$1,"rg:None")</f>
        <v>rg:None</v>
      </c>
      <c r="L193" s="4" t="str">
        <f>IF(Table2[[#This Row],[!Type]]=L$1, L$1,"rg:None")</f>
        <v>rg:None</v>
      </c>
      <c r="M193" s="4" t="str">
        <f>IF(Table2[[#This Row],[!Type]]=M$1, M$1,"rg:None")</f>
        <v>rg:None</v>
      </c>
      <c r="N193" s="4" t="str">
        <f>IF(Table2[[#This Row],[!Type]]=N$1, N$1,"rg:None")</f>
        <v>rg:None</v>
      </c>
      <c r="O193" s="4" t="str">
        <f>IF(Table2[[#This Row],[!Type]]=O$1, O$1,"rg:None")</f>
        <v>float</v>
      </c>
      <c r="P193" s="4" t="str">
        <f>IF(Table2[[#This Row],[!Type]]=P$1, P$1,"rg:None")</f>
        <v>rg:None</v>
      </c>
      <c r="Q193" s="4" t="str">
        <f>IF(Table2[[#This Row],[!Type]]=Q$1, Q$1,"rg:None")</f>
        <v>rg:None</v>
      </c>
      <c r="R193" s="4" t="str">
        <f>IF(Table2[[#This Row],[!Type]]=R$1, R$1,"rg:None")</f>
        <v>rg:None</v>
      </c>
      <c r="S193" s="4" t="str">
        <f>IF(Table2[[#This Row],[!Type]]=S$1, S$1,"rg:None")</f>
        <v>rg:None</v>
      </c>
      <c r="T193" s="4" t="str">
        <f>IF(LEN(Table2[[#This Row],[!Length]]) &gt; 0, Table2[[#This Row],[!Length]], "rg:None")</f>
        <v>rg:None</v>
      </c>
      <c r="U193" s="4" t="str">
        <f>IF(LEN(Table2[[#This Row],[!Name]]) &gt; 0, Table2[[#This Row],[!Name]], "rg:None")</f>
        <v>serviceHoursLastYear</v>
      </c>
      <c r="V193" s="4" t="str">
        <f>IF(LEN(Table2[[#This Row],[!Description]]) &gt; 0, Table2[[#This Row],[!Description]], "rg:None")</f>
        <v>Number of hours of service by this piece of equipment in the previous fiscal year</v>
      </c>
      <c r="W193" s="4" t="str">
        <f>IF(LEN(Table2[[#This Row],[!FK]])&gt;0,Table2[[#This Row],[!FK]],"rg:None")</f>
        <v>rg:None</v>
      </c>
      <c r="X193" s="14" t="str">
        <f>IF(LEN(concatif2(A:A,Table2[[#This Row],[!Table]],G:G,"Y",D:D,",")) &gt; 0,"rg:[ { 'req' : '"&amp;concatif2(A:A,Table2[[#This Row],[!Table]],G:G,"Y",D:D,"' }, { 'req': '")&amp;"'} ]","rg:[]")</f>
        <v>rg:[ { 'req' : 'id' }, { 'req': 'startDate' }, { 'req': 'endDate' }, { 'req': 'localArea' }, { 'req': 'equipment'} ]</v>
      </c>
      <c r="Y193" s="4" t="str">
        <f>IF(LEN(Table2[[#This Row],[!Unique]])&gt;0,IF(Table2[[#This Row],[!Type]] = "id", "rg:None","rg:True"),"rg:None")</f>
        <v>rg:None</v>
      </c>
    </row>
    <row r="194" spans="1:25" ht="28.8" x14ac:dyDescent="0.35">
      <c r="A194" s="5" t="s">
        <v>144</v>
      </c>
      <c r="B194" s="5" t="s">
        <v>105</v>
      </c>
      <c r="D194" s="95" t="s">
        <v>242</v>
      </c>
      <c r="E194" s="96" t="s">
        <v>243</v>
      </c>
      <c r="F194" s="5" t="s">
        <v>5</v>
      </c>
      <c r="G194" s="4"/>
      <c r="H194" s="4"/>
      <c r="I194" s="4" t="str">
        <f t="shared" si="21"/>
        <v>Defs</v>
      </c>
      <c r="J194" s="4" t="str">
        <f>IF(Table2[[#This Row],[!Type]]=J$1, J$1,"rg:None")</f>
        <v>rg:None</v>
      </c>
      <c r="K194" s="4" t="str">
        <f>IF(Table2[[#This Row],[!Type]]=K$1, K$1,"rg:None")</f>
        <v>rg:None</v>
      </c>
      <c r="L194" s="4" t="str">
        <f>IF(Table2[[#This Row],[!Type]]=L$1, L$1,"rg:None")</f>
        <v>rg:None</v>
      </c>
      <c r="M194" s="4" t="str">
        <f>IF(Table2[[#This Row],[!Type]]=M$1, M$1,"rg:None")</f>
        <v>rg:None</v>
      </c>
      <c r="N194" s="4" t="str">
        <f>IF(Table2[[#This Row],[!Type]]=N$1, N$1,"rg:None")</f>
        <v>rg:None</v>
      </c>
      <c r="O194" s="4" t="str">
        <f>IF(Table2[[#This Row],[!Type]]=O$1, O$1,"rg:None")</f>
        <v>float</v>
      </c>
      <c r="P194" s="4" t="str">
        <f>IF(Table2[[#This Row],[!Type]]=P$1, P$1,"rg:None")</f>
        <v>rg:None</v>
      </c>
      <c r="Q194" s="4" t="str">
        <f>IF(Table2[[#This Row],[!Type]]=Q$1, Q$1,"rg:None")</f>
        <v>rg:None</v>
      </c>
      <c r="R194" s="4" t="str">
        <f>IF(Table2[[#This Row],[!Type]]=R$1, R$1,"rg:None")</f>
        <v>rg:None</v>
      </c>
      <c r="S194" s="4" t="str">
        <f>IF(Table2[[#This Row],[!Type]]=S$1, S$1,"rg:None")</f>
        <v>rg:None</v>
      </c>
      <c r="T194" s="4" t="str">
        <f>IF(LEN(Table2[[#This Row],[!Length]]) &gt; 0, Table2[[#This Row],[!Length]], "rg:None")</f>
        <v>rg:None</v>
      </c>
      <c r="U194" s="4" t="str">
        <f>IF(LEN(Table2[[#This Row],[!Name]]) &gt; 0, Table2[[#This Row],[!Name]], "rg:None")</f>
        <v>serviceHoursTwoYearsAgo</v>
      </c>
      <c r="V194" s="4" t="str">
        <f>IF(LEN(Table2[[#This Row],[!Description]]) &gt; 0, Table2[[#This Row],[!Description]], "rg:None")</f>
        <v>Number of hours of service by this piece of equipment in the fiscal year before the last one - e.g. if current year is FY2018 then hours in FY2016</v>
      </c>
      <c r="W194" s="4" t="str">
        <f>IF(LEN(Table2[[#This Row],[!FK]])&gt;0,Table2[[#This Row],[!FK]],"rg:None")</f>
        <v>rg:None</v>
      </c>
      <c r="X194" s="14" t="str">
        <f>IF(LEN(concatif2(A:A,Table2[[#This Row],[!Table]],G:G,"Y",D:D,",")) &gt; 0,"rg:[ { 'req' : '"&amp;concatif2(A:A,Table2[[#This Row],[!Table]],G:G,"Y",D:D,"' }, { 'req': '")&amp;"'} ]","rg:[]")</f>
        <v>rg:[ { 'req' : 'id' }, { 'req': 'startDate' }, { 'req': 'endDate' }, { 'req': 'localArea' }, { 'req': 'equipment'} ]</v>
      </c>
      <c r="Y194" s="4" t="str">
        <f>IF(LEN(Table2[[#This Row],[!Unique]])&gt;0,IF(Table2[[#This Row],[!Type]] = "id", "rg:None","rg:True"),"rg:None")</f>
        <v>rg:None</v>
      </c>
    </row>
    <row r="195" spans="1:25" ht="28.8" x14ac:dyDescent="0.35">
      <c r="A195" s="5" t="s">
        <v>144</v>
      </c>
      <c r="B195" s="5" t="s">
        <v>105</v>
      </c>
      <c r="D195" s="95" t="s">
        <v>245</v>
      </c>
      <c r="E195" s="96" t="s">
        <v>244</v>
      </c>
      <c r="F195" s="5" t="s">
        <v>5</v>
      </c>
      <c r="G195" s="4"/>
      <c r="H195" s="4"/>
      <c r="I195" s="4" t="str">
        <f t="shared" ref="I195:I196" si="22">IF(LEN(A195) &gt; 0,"Defs","-")</f>
        <v>Defs</v>
      </c>
      <c r="J195" s="4" t="str">
        <f>IF(Table2[[#This Row],[!Type]]=J$1, J$1,"rg:None")</f>
        <v>rg:None</v>
      </c>
      <c r="K195" s="4" t="str">
        <f>IF(Table2[[#This Row],[!Type]]=K$1, K$1,"rg:None")</f>
        <v>rg:None</v>
      </c>
      <c r="L195" s="4" t="str">
        <f>IF(Table2[[#This Row],[!Type]]=L$1, L$1,"rg:None")</f>
        <v>rg:None</v>
      </c>
      <c r="M195" s="4" t="str">
        <f>IF(Table2[[#This Row],[!Type]]=M$1, M$1,"rg:None")</f>
        <v>rg:None</v>
      </c>
      <c r="N195" s="4" t="str">
        <f>IF(Table2[[#This Row],[!Type]]=N$1, N$1,"rg:None")</f>
        <v>rg:None</v>
      </c>
      <c r="O195" s="4" t="str">
        <f>IF(Table2[[#This Row],[!Type]]=O$1, O$1,"rg:None")</f>
        <v>float</v>
      </c>
      <c r="P195" s="4" t="str">
        <f>IF(Table2[[#This Row],[!Type]]=P$1, P$1,"rg:None")</f>
        <v>rg:None</v>
      </c>
      <c r="Q195" s="4" t="str">
        <f>IF(Table2[[#This Row],[!Type]]=Q$1, Q$1,"rg:None")</f>
        <v>rg:None</v>
      </c>
      <c r="R195" s="4" t="str">
        <f>IF(Table2[[#This Row],[!Type]]=R$1, R$1,"rg:None")</f>
        <v>rg:None</v>
      </c>
      <c r="S195" s="4" t="str">
        <f>IF(Table2[[#This Row],[!Type]]=S$1, S$1,"rg:None")</f>
        <v>rg:None</v>
      </c>
      <c r="T195" s="4" t="str">
        <f>IF(LEN(Table2[[#This Row],[!Length]]) &gt; 0, Table2[[#This Row],[!Length]], "rg:None")</f>
        <v>rg:None</v>
      </c>
      <c r="U195" s="4" t="str">
        <f>IF(LEN(Table2[[#This Row],[!Name]]) &gt; 0, Table2[[#This Row],[!Name]], "rg:None")</f>
        <v>serviceHoursThreeYearsAgo</v>
      </c>
      <c r="V195" s="4" t="str">
        <f>IF(LEN(Table2[[#This Row],[!Description]]) &gt; 0, Table2[[#This Row],[!Description]], "rg:None")</f>
        <v>Number of hours of service by this piece of equipment in the fiscal year three years ago - e.g. if current year is FY2018 then hours in FY2015</v>
      </c>
      <c r="W195" s="4" t="str">
        <f>IF(LEN(Table2[[#This Row],[!FK]])&gt;0,Table2[[#This Row],[!FK]],"rg:None")</f>
        <v>rg:None</v>
      </c>
      <c r="X195" s="14" t="str">
        <f>IF(LEN(concatif2(A:A,Table2[[#This Row],[!Table]],G:G,"Y",D:D,",")) &gt; 0,"rg:[ { 'req' : '"&amp;concatif2(A:A,Table2[[#This Row],[!Table]],G:G,"Y",D:D,"' }, { 'req': '")&amp;"'} ]","rg:[]")</f>
        <v>rg:[ { 'req' : 'id' }, { 'req': 'startDate' }, { 'req': 'endDate' }, { 'req': 'localArea' }, { 'req': 'equipment'} ]</v>
      </c>
      <c r="Y195" s="4" t="str">
        <f>IF(LEN(Table2[[#This Row],[!Unique]])&gt;0,IF(Table2[[#This Row],[!Type]] = "id", "rg:None","rg:True"),"rg:None")</f>
        <v>rg:None</v>
      </c>
    </row>
    <row r="196" spans="1:25" ht="43.2" x14ac:dyDescent="0.35">
      <c r="A196" s="5" t="s">
        <v>144</v>
      </c>
      <c r="B196" s="69" t="s">
        <v>9</v>
      </c>
      <c r="C196" s="72"/>
      <c r="D196" s="69" t="s">
        <v>429</v>
      </c>
      <c r="E196" s="70" t="s">
        <v>430</v>
      </c>
      <c r="F196" s="12"/>
      <c r="G196" s="18"/>
      <c r="H196" s="18"/>
      <c r="I196" s="4" t="str">
        <f t="shared" si="22"/>
        <v>Defs</v>
      </c>
      <c r="J196" s="4" t="str">
        <f>IF(Table2[[#This Row],[!Type]]=J$1, J$1,"rg:None")</f>
        <v>boolean</v>
      </c>
      <c r="K196" s="4" t="str">
        <f>IF(Table2[[#This Row],[!Type]]=K$1, K$1,"rg:None")</f>
        <v>rg:None</v>
      </c>
      <c r="L196" s="4" t="str">
        <f>IF(Table2[[#This Row],[!Type]]=L$1, L$1,"rg:None")</f>
        <v>rg:None</v>
      </c>
      <c r="M196" s="4" t="str">
        <f>IF(Table2[[#This Row],[!Type]]=M$1, M$1,"rg:None")</f>
        <v>rg:None</v>
      </c>
      <c r="N196" s="4" t="str">
        <f>IF(Table2[[#This Row],[!Type]]=N$1, N$1,"rg:None")</f>
        <v>rg:None</v>
      </c>
      <c r="O196" s="4" t="str">
        <f>IF(Table2[[#This Row],[!Type]]=O$1, O$1,"rg:None")</f>
        <v>rg:None</v>
      </c>
      <c r="P196" s="4" t="str">
        <f>IF(Table2[[#This Row],[!Type]]=P$1, P$1,"rg:None")</f>
        <v>rg:None</v>
      </c>
      <c r="Q196" s="4" t="str">
        <f>IF(Table2[[#This Row],[!Type]]=Q$1, Q$1,"rg:None")</f>
        <v>rg:None</v>
      </c>
      <c r="R196" s="4" t="str">
        <f>IF(Table2[[#This Row],[!Type]]=R$1, R$1,"rg:None")</f>
        <v>rg:None</v>
      </c>
      <c r="S196" s="4" t="str">
        <f>IF(Table2[[#This Row],[!Type]]=S$1, S$1,"rg:None")</f>
        <v>rg:None</v>
      </c>
      <c r="T196" s="4" t="str">
        <f>IF(LEN(Table2[[#This Row],[!Length]]) &gt; 0, Table2[[#This Row],[!Length]], "rg:None")</f>
        <v>rg:None</v>
      </c>
      <c r="U196" s="4" t="str">
        <f>IF(LEN(Table2[[#This Row],[!Name]]) &gt; 0, Table2[[#This Row],[!Name]], "rg:None")</f>
        <v>isSeniorityOverridden</v>
      </c>
      <c r="V196" s="4" t="str">
        <f>IF(LEN(Table2[[#This Row],[!Description]]) &gt; 0, Table2[[#This Row],[!Description]], "rg:None")</f>
        <v>True if the Seniority for the piece of equipment was manually overridden. Set if a user has gone in and explicitly updated the seniority base information. Indicates that underlying numbers were manually overridden.</v>
      </c>
      <c r="W196" s="4" t="str">
        <f>IF(LEN(Table2[[#This Row],[!FK]])&gt;0,Table2[[#This Row],[!FK]],"rg:None")</f>
        <v>rg:None</v>
      </c>
      <c r="X196" s="14" t="str">
        <f>IF(LEN(concatif2(A:A,Table2[[#This Row],[!Table]],G:G,"Y",D:D,",")) &gt; 0,"rg:[ { 'req' : '"&amp;concatif2(A:A,Table2[[#This Row],[!Table]],G:G,"Y",D:D,"' }, { 'req': '")&amp;"'} ]","rg:[]")</f>
        <v>rg:[ { 'req' : 'id' }, { 'req': 'startDate' }, { 'req': 'endDate' }, { 'req': 'localArea' }, { 'req': 'equipment'} ]</v>
      </c>
      <c r="Y196" s="4" t="str">
        <f>IF(LEN(Table2[[#This Row],[!Unique]])&gt;0,IF(Table2[[#This Row],[!Type]] = "id", "rg:None","rg:True"),"rg:None")</f>
        <v>rg:None</v>
      </c>
    </row>
    <row r="197" spans="1:25" ht="28.8" x14ac:dyDescent="0.35">
      <c r="A197" s="5" t="s">
        <v>144</v>
      </c>
      <c r="B197" s="69" t="s">
        <v>7</v>
      </c>
      <c r="C197" s="72">
        <v>2048</v>
      </c>
      <c r="D197" s="69" t="s">
        <v>428</v>
      </c>
      <c r="E197" s="70" t="s">
        <v>431</v>
      </c>
      <c r="F197" s="12"/>
      <c r="G197" s="18"/>
      <c r="H197" s="18"/>
      <c r="I197" s="4" t="str">
        <f t="shared" si="21"/>
        <v>Defs</v>
      </c>
      <c r="J197" s="4" t="str">
        <f>IF(Table2[[#This Row],[!Type]]=J$1, J$1,"rg:None")</f>
        <v>rg:None</v>
      </c>
      <c r="K197" s="4" t="str">
        <f>IF(Table2[[#This Row],[!Type]]=K$1, K$1,"rg:None")</f>
        <v>rg:None</v>
      </c>
      <c r="L197" s="4" t="str">
        <f>IF(Table2[[#This Row],[!Type]]=L$1, L$1,"rg:None")</f>
        <v>rg:None</v>
      </c>
      <c r="M197" s="4" t="str">
        <f>IF(Table2[[#This Row],[!Type]]=M$1, M$1,"rg:None")</f>
        <v>rg:None</v>
      </c>
      <c r="N197" s="4" t="str">
        <f>IF(Table2[[#This Row],[!Type]]=N$1, N$1,"rg:None")</f>
        <v>rg:None</v>
      </c>
      <c r="O197" s="4" t="str">
        <f>IF(Table2[[#This Row],[!Type]]=O$1, O$1,"rg:None")</f>
        <v>rg:None</v>
      </c>
      <c r="P197" s="4" t="str">
        <f>IF(Table2[[#This Row],[!Type]]=P$1, P$1,"rg:None")</f>
        <v>rg:None</v>
      </c>
      <c r="Q197" s="4" t="str">
        <f>IF(Table2[[#This Row],[!Type]]=Q$1, Q$1,"rg:None")</f>
        <v>rg:None</v>
      </c>
      <c r="R197" s="4" t="str">
        <f>IF(Table2[[#This Row],[!Type]]=R$1, R$1,"rg:None")</f>
        <v>string</v>
      </c>
      <c r="S197" s="4" t="str">
        <f>IF(Table2[[#This Row],[!Type]]=S$1, S$1,"rg:None")</f>
        <v>rg:None</v>
      </c>
      <c r="T197" s="4">
        <f>IF(LEN(Table2[[#This Row],[!Length]]) &gt; 0, Table2[[#This Row],[!Length]], "rg:None")</f>
        <v>2048</v>
      </c>
      <c r="U197" s="4" t="str">
        <f>IF(LEN(Table2[[#This Row],[!Name]]) &gt; 0, Table2[[#This Row],[!Name]], "rg:None")</f>
        <v>seniorityOverrideReason</v>
      </c>
      <c r="V197" s="4" t="str">
        <f>IF(LEN(Table2[[#This Row],[!Description]]) &gt; 0, Table2[[#This Row],[!Description]], "rg:None")</f>
        <v>A text reason for why the piece of equipments underlying data was overridden to change their seniority number.</v>
      </c>
      <c r="W197" s="4" t="str">
        <f>IF(LEN(Table2[[#This Row],[!FK]])&gt;0,Table2[[#This Row],[!FK]],"rg:None")</f>
        <v>rg:None</v>
      </c>
      <c r="X197" s="14" t="str">
        <f>IF(LEN(concatif2(A:A,Table2[[#This Row],[!Table]],G:G,"Y",D:D,",")) &gt; 0,"rg:[ { 'req' : '"&amp;concatif2(A:A,Table2[[#This Row],[!Table]],G:G,"Y",D:D,"' }, { 'req': '")&amp;"'} ]","rg:[]")</f>
        <v>rg:[ { 'req' : 'id' }, { 'req': 'startDate' }, { 'req': 'endDate' }, { 'req': 'localArea' }, { 'req': 'equipment'} ]</v>
      </c>
      <c r="Y197" s="4" t="str">
        <f>IF(LEN(Table2[[#This Row],[!Unique]])&gt;0,IF(Table2[[#This Row],[!Type]] = "id", "rg:None","rg:True"),"rg:None")</f>
        <v>rg:None</v>
      </c>
    </row>
    <row r="198" spans="1:25" x14ac:dyDescent="0.35">
      <c r="A198" s="5" t="s">
        <v>142</v>
      </c>
      <c r="B198" s="5" t="s">
        <v>4</v>
      </c>
      <c r="D198" s="5" t="s">
        <v>142</v>
      </c>
      <c r="E198" s="76" t="s">
        <v>358</v>
      </c>
      <c r="F198" s="5" t="s">
        <v>5</v>
      </c>
      <c r="G198" s="4"/>
      <c r="H198" s="4"/>
      <c r="I198" s="4" t="str">
        <f t="shared" ref="I198:I213" si="23">IF(LEN(A198) &gt; 0,"Defs","-")</f>
        <v>Defs</v>
      </c>
      <c r="J198" s="4" t="str">
        <f>IF(Table2[[#This Row],[!Type]]=J$1, J$1,"rg:None")</f>
        <v>rg:None</v>
      </c>
      <c r="K198" s="4" t="str">
        <f>IF(Table2[[#This Row],[!Type]]=K$1, K$1,"rg:None")</f>
        <v>rg:None</v>
      </c>
      <c r="L198" s="4" t="str">
        <f>IF(Table2[[#This Row],[!Type]]=L$1, L$1,"rg:None")</f>
        <v>rg:None</v>
      </c>
      <c r="M198" s="4" t="str">
        <f>IF(Table2[[#This Row],[!Type]]=M$1, M$1,"rg:None")</f>
        <v>rg:None</v>
      </c>
      <c r="N198" s="4" t="str">
        <f>IF(Table2[[#This Row],[!Type]]=N$1, N$1,"rg:None")</f>
        <v>rg:None</v>
      </c>
      <c r="O198" s="4" t="str">
        <f>IF(Table2[[#This Row],[!Type]]=O$1, O$1,"rg:None")</f>
        <v>rg:None</v>
      </c>
      <c r="P198" s="4" t="str">
        <f>IF(Table2[[#This Row],[!Type]]=P$1, P$1,"rg:None")</f>
        <v>rg:None</v>
      </c>
      <c r="Q198" s="4" t="str">
        <f>IF(Table2[[#This Row],[!Type]]=Q$1, Q$1,"rg:None")</f>
        <v>rg:None</v>
      </c>
      <c r="R198" s="4" t="str">
        <f>IF(Table2[[#This Row],[!Type]]=R$1, R$1,"rg:None")</f>
        <v>rg:None</v>
      </c>
      <c r="S198" s="4" t="str">
        <f>IF(Table2[[#This Row],[!Type]]=S$1, S$1,"rg:None")</f>
        <v>table</v>
      </c>
      <c r="T198" s="4" t="str">
        <f>IF(LEN(Table2[[#This Row],[!Length]]) &gt; 0, Table2[[#This Row],[!Length]], "rg:None")</f>
        <v>rg:None</v>
      </c>
      <c r="U198" s="4" t="str">
        <f>IF(LEN(Table2[[#This Row],[!Name]]) &gt; 0, Table2[[#This Row],[!Name]], "rg:None")</f>
        <v>Owner</v>
      </c>
      <c r="V198" s="4" t="str">
        <f>IF(LEN(Table2[[#This Row],[!Description]]) &gt; 0, Table2[[#This Row],[!Description]], "rg:None")</f>
        <v>The person or company to which a piece of construction equipment belongs.</v>
      </c>
      <c r="W198" s="4" t="str">
        <f>IF(LEN(Table2[[#This Row],[!FK]])&gt;0,Table2[[#This Row],[!FK]],"rg:None")</f>
        <v>rg:None</v>
      </c>
      <c r="X198" s="14" t="str">
        <f>IF(LEN(concatif2(A:A,Table2[[#This Row],[!Table]],G:G,"Y",D:D,",")) &gt; 0,"rg:[ { 'req' : '"&amp;concatif2(A:A,Table2[[#This Row],[!Table]],G:G,"Y",D:D,"' }, { 'req': '")&amp;"'} ]","rg:[]")</f>
        <v>rg:[ { 'req' : 'id' }, { 'req': 'ownerEquipmentCodePrefix' }, { 'req': 'organizationName' }, { 'req': 'meetsResidency' }, { 'req': 'localArea' }, { 'req': 'status'} ]</v>
      </c>
      <c r="Y198" s="4" t="str">
        <f>IF(LEN(Table2[[#This Row],[!Unique]])&gt;0,IF(Table2[[#This Row],[!Type]] = "id", "rg:None","rg:True"),"rg:None")</f>
        <v>rg:None</v>
      </c>
    </row>
    <row r="199" spans="1:25" x14ac:dyDescent="0.35">
      <c r="A199" s="5" t="s">
        <v>142</v>
      </c>
      <c r="B199" s="5" t="s">
        <v>6</v>
      </c>
      <c r="D199" s="5" t="s">
        <v>6</v>
      </c>
      <c r="E199" s="54" t="s">
        <v>349</v>
      </c>
      <c r="F199" s="5" t="s">
        <v>5</v>
      </c>
      <c r="G199" s="4" t="s">
        <v>59</v>
      </c>
      <c r="H199" s="63" t="s">
        <v>59</v>
      </c>
      <c r="I199" s="4" t="str">
        <f t="shared" si="23"/>
        <v>Defs</v>
      </c>
      <c r="J199" s="4" t="str">
        <f>IF(Table2[[#This Row],[!Type]]=J$1, J$1,"rg:None")</f>
        <v>rg:None</v>
      </c>
      <c r="K199" s="4" t="str">
        <f>IF(Table2[[#This Row],[!Type]]=K$1, K$1,"rg:None")</f>
        <v>rg:None</v>
      </c>
      <c r="L199" s="4" t="str">
        <f>IF(Table2[[#This Row],[!Type]]=L$1, L$1,"rg:None")</f>
        <v>rg:None</v>
      </c>
      <c r="M199" s="4" t="str">
        <f>IF(Table2[[#This Row],[!Type]]=M$1, M$1,"rg:None")</f>
        <v>id</v>
      </c>
      <c r="N199" s="4" t="str">
        <f>IF(Table2[[#This Row],[!Type]]=N$1, N$1,"rg:None")</f>
        <v>rg:None</v>
      </c>
      <c r="O199" s="4" t="str">
        <f>IF(Table2[[#This Row],[!Type]]=O$1, O$1,"rg:None")</f>
        <v>rg:None</v>
      </c>
      <c r="P199" s="4" t="str">
        <f>IF(Table2[[#This Row],[!Type]]=P$1, P$1,"rg:None")</f>
        <v>rg:None</v>
      </c>
      <c r="Q199" s="4" t="str">
        <f>IF(Table2[[#This Row],[!Type]]=Q$1, Q$1,"rg:None")</f>
        <v>rg:None</v>
      </c>
      <c r="R199" s="4" t="str">
        <f>IF(Table2[[#This Row],[!Type]]=R$1, R$1,"rg:None")</f>
        <v>rg:None</v>
      </c>
      <c r="S199" s="4" t="str">
        <f>IF(Table2[[#This Row],[!Type]]=S$1, S$1,"rg:None")</f>
        <v>rg:None</v>
      </c>
      <c r="T199" s="4" t="str">
        <f>IF(LEN(Table2[[#This Row],[!Length]]) &gt; 0, Table2[[#This Row],[!Length]], "rg:None")</f>
        <v>rg:None</v>
      </c>
      <c r="U199" s="4" t="str">
        <f>IF(LEN(Table2[[#This Row],[!Name]]) &gt; 0, Table2[[#This Row],[!Name]], "rg:None")</f>
        <v>id</v>
      </c>
      <c r="V199" s="4" t="str">
        <f>IF(LEN(Table2[[#This Row],[!Description]]) &gt; 0, Table2[[#This Row],[!Description]], "rg:None")</f>
        <v>A system-generated unique identifier for a Owner</v>
      </c>
      <c r="W199" s="4" t="str">
        <f>IF(LEN(Table2[[#This Row],[!FK]])&gt;0,Table2[[#This Row],[!FK]],"rg:None")</f>
        <v>rg:None</v>
      </c>
      <c r="X199" s="14" t="str">
        <f>IF(LEN(concatif2(A:A,Table2[[#This Row],[!Table]],G:G,"Y",D:D,",")) &gt; 0,"rg:[ { 'req' : '"&amp;concatif2(A:A,Table2[[#This Row],[!Table]],G:G,"Y",D:D,"' }, { 'req': '")&amp;"'} ]","rg:[]")</f>
        <v>rg:[ { 'req' : 'id' }, { 'req': 'ownerEquipmentCodePrefix' }, { 'req': 'organizationName' }, { 'req': 'meetsResidency' }, { 'req': 'localArea' }, { 'req': 'status'} ]</v>
      </c>
      <c r="Y199" s="4" t="str">
        <f>IF(LEN(Table2[[#This Row],[!Unique]])&gt;0,IF(Table2[[#This Row],[!Type]] = "id", "rg:None","rg:True"),"rg:None")</f>
        <v>rg:None</v>
      </c>
    </row>
    <row r="200" spans="1:25" ht="43.2" x14ac:dyDescent="0.35">
      <c r="A200" s="5" t="s">
        <v>142</v>
      </c>
      <c r="B200" s="5" t="s">
        <v>7</v>
      </c>
      <c r="C200" s="5">
        <v>20</v>
      </c>
      <c r="D200" s="92" t="s">
        <v>414</v>
      </c>
      <c r="E200" s="100" t="s">
        <v>295</v>
      </c>
      <c r="F200" s="5" t="s">
        <v>5</v>
      </c>
      <c r="G200" s="63" t="s">
        <v>59</v>
      </c>
      <c r="H200" s="63" t="s">
        <v>59</v>
      </c>
      <c r="I200" s="4" t="str">
        <f t="shared" si="23"/>
        <v>Defs</v>
      </c>
      <c r="J200" s="4" t="str">
        <f>IF(Table2[[#This Row],[!Type]]=J$1, J$1,"rg:None")</f>
        <v>rg:None</v>
      </c>
      <c r="K200" s="4" t="str">
        <f>IF(Table2[[#This Row],[!Type]]=K$1, K$1,"rg:None")</f>
        <v>rg:None</v>
      </c>
      <c r="L200" s="4" t="str">
        <f>IF(Table2[[#This Row],[!Type]]=L$1, L$1,"rg:None")</f>
        <v>rg:None</v>
      </c>
      <c r="M200" s="4" t="str">
        <f>IF(Table2[[#This Row],[!Type]]=M$1, M$1,"rg:None")</f>
        <v>rg:None</v>
      </c>
      <c r="N200" s="4" t="str">
        <f>IF(Table2[[#This Row],[!Type]]=N$1, N$1,"rg:None")</f>
        <v>rg:None</v>
      </c>
      <c r="O200" s="4" t="str">
        <f>IF(Table2[[#This Row],[!Type]]=O$1, O$1,"rg:None")</f>
        <v>rg:None</v>
      </c>
      <c r="P200" s="4" t="str">
        <f>IF(Table2[[#This Row],[!Type]]=P$1, P$1,"rg:None")</f>
        <v>rg:None</v>
      </c>
      <c r="Q200" s="4" t="str">
        <f>IF(Table2[[#This Row],[!Type]]=Q$1, Q$1,"rg:None")</f>
        <v>rg:None</v>
      </c>
      <c r="R200" s="4" t="str">
        <f>IF(Table2[[#This Row],[!Type]]=R$1, R$1,"rg:None")</f>
        <v>string</v>
      </c>
      <c r="S200" s="4" t="str">
        <f>IF(Table2[[#This Row],[!Type]]=S$1, S$1,"rg:None")</f>
        <v>rg:None</v>
      </c>
      <c r="T200" s="4">
        <f>IF(LEN(Table2[[#This Row],[!Length]]) &gt; 0, Table2[[#This Row],[!Length]], "rg:None")</f>
        <v>20</v>
      </c>
      <c r="U200" s="4" t="str">
        <f>IF(LEN(Table2[[#This Row],[!Name]]) &gt; 0, Table2[[#This Row],[!Name]], "rg:None")</f>
        <v>ownerEquipmentCodePrefix</v>
      </c>
      <c r="V200" s="4" t="str">
        <f>IF(LEN(Table2[[#This Row],[!Description]]) &gt; 0, Table2[[#This Row],[!Description]], "rg:None")</f>
        <v>A unique prefix in the system that is used to generate the human-friendly IDs of the equipment. E.g. An owner Edwards might have a prefix "EDW" and their equipment numbered sequentially with that prefix - e.g. EDW-0082.</v>
      </c>
      <c r="W200" s="4" t="str">
        <f>IF(LEN(Table2[[#This Row],[!FK]])&gt;0,Table2[[#This Row],[!FK]],"rg:None")</f>
        <v>rg:None</v>
      </c>
      <c r="X200" s="14" t="str">
        <f>IF(LEN(concatif2(A:A,Table2[[#This Row],[!Table]],G:G,"Y",D:D,",")) &gt; 0,"rg:[ { 'req' : '"&amp;concatif2(A:A,Table2[[#This Row],[!Table]],G:G,"Y",D:D,"' }, { 'req': '")&amp;"'} ]","rg:[]")</f>
        <v>rg:[ { 'req' : 'id' }, { 'req': 'ownerEquipmentCodePrefix' }, { 'req': 'organizationName' }, { 'req': 'meetsResidency' }, { 'req': 'localArea' }, { 'req': 'status'} ]</v>
      </c>
      <c r="Y200" s="4" t="str">
        <f>IF(LEN(Table2[[#This Row],[!Unique]])&gt;0,IF(Table2[[#This Row],[!Type]] = "id", "rg:None","rg:True"),"rg:None")</f>
        <v>rg:True</v>
      </c>
    </row>
    <row r="201" spans="1:25" ht="28.8" x14ac:dyDescent="0.35">
      <c r="A201" s="61" t="s">
        <v>142</v>
      </c>
      <c r="B201" s="61" t="s">
        <v>7</v>
      </c>
      <c r="C201" s="72">
        <v>150</v>
      </c>
      <c r="D201" s="61" t="s">
        <v>390</v>
      </c>
      <c r="E201" s="60" t="s">
        <v>391</v>
      </c>
      <c r="F201" s="12"/>
      <c r="G201" s="154" t="s">
        <v>59</v>
      </c>
      <c r="H201" s="18"/>
      <c r="I201" s="4" t="str">
        <f>IF(LEN(A201) &gt; 0,"Defs","-")</f>
        <v>Defs</v>
      </c>
      <c r="J201" s="4" t="str">
        <f>IF(Table2[[#This Row],[!Type]]=J$1, J$1,"rg:None")</f>
        <v>rg:None</v>
      </c>
      <c r="K201" s="4" t="str">
        <f>IF(Table2[[#This Row],[!Type]]=K$1, K$1,"rg:None")</f>
        <v>rg:None</v>
      </c>
      <c r="L201" s="4" t="str">
        <f>IF(Table2[[#This Row],[!Type]]=L$1, L$1,"rg:None")</f>
        <v>rg:None</v>
      </c>
      <c r="M201" s="4" t="str">
        <f>IF(Table2[[#This Row],[!Type]]=M$1, M$1,"rg:None")</f>
        <v>rg:None</v>
      </c>
      <c r="N201" s="4" t="str">
        <f>IF(Table2[[#This Row],[!Type]]=N$1, N$1,"rg:None")</f>
        <v>rg:None</v>
      </c>
      <c r="O201" s="4" t="str">
        <f>IF(Table2[[#This Row],[!Type]]=O$1, O$1,"rg:None")</f>
        <v>rg:None</v>
      </c>
      <c r="P201" s="4" t="str">
        <f>IF(Table2[[#This Row],[!Type]]=P$1, P$1,"rg:None")</f>
        <v>rg:None</v>
      </c>
      <c r="Q201" s="4" t="str">
        <f>IF(Table2[[#This Row],[!Type]]=Q$1, Q$1,"rg:None")</f>
        <v>rg:None</v>
      </c>
      <c r="R201" s="4" t="str">
        <f>IF(Table2[[#This Row],[!Type]]=R$1, R$1,"rg:None")</f>
        <v>string</v>
      </c>
      <c r="S201" s="4" t="str">
        <f>IF(Table2[[#This Row],[!Type]]=S$1, S$1,"rg:None")</f>
        <v>rg:None</v>
      </c>
      <c r="T201" s="4">
        <f>IF(LEN(Table2[[#This Row],[!Length]]) &gt; 0, Table2[[#This Row],[!Length]], "rg:None")</f>
        <v>150</v>
      </c>
      <c r="U201" s="4" t="str">
        <f>IF(LEN(Table2[[#This Row],[!Name]]) &gt; 0, Table2[[#This Row],[!Name]], "rg:None")</f>
        <v>organizationName</v>
      </c>
      <c r="V201" s="4" t="str">
        <f>IF(LEN(Table2[[#This Row],[!Description]]) &gt; 0, Table2[[#This Row],[!Description]], "rg:None")</f>
        <v>The name of the organization of the Owner. May simply be the First Name, Last Name of the Owner if the Owner is a sole proprietorship, or the name of a company.</v>
      </c>
      <c r="W201" s="4" t="str">
        <f>IF(LEN(Table2[[#This Row],[!FK]])&gt;0,Table2[[#This Row],[!FK]],"rg:None")</f>
        <v>rg:None</v>
      </c>
      <c r="X201" s="14" t="str">
        <f>IF(LEN(concatif2(A:A,Table2[[#This Row],[!Table]],G:G,"Y",D:D,",")) &gt; 0,"rg:[ { 'req' : '"&amp;concatif2(A:A,Table2[[#This Row],[!Table]],G:G,"Y",D:D,"' }, { 'req': '")&amp;"'} ]","rg:[]")</f>
        <v>rg:[ { 'req' : 'id' }, { 'req': 'ownerEquipmentCodePrefix' }, { 'req': 'organizationName' }, { 'req': 'meetsResidency' }, { 'req': 'localArea' }, { 'req': 'status'} ]</v>
      </c>
      <c r="Y201" s="4" t="str">
        <f>IF(LEN(Table2[[#This Row],[!Unique]])&gt;0,IF(Table2[[#This Row],[!Type]] = "id", "rg:None","rg:True"),"rg:None")</f>
        <v>rg:None</v>
      </c>
    </row>
    <row r="202" spans="1:25" ht="28.8" x14ac:dyDescent="0.35">
      <c r="A202" s="69" t="s">
        <v>142</v>
      </c>
      <c r="B202" s="69" t="s">
        <v>7</v>
      </c>
      <c r="C202" s="72">
        <v>150</v>
      </c>
      <c r="D202" s="71" t="s">
        <v>424</v>
      </c>
      <c r="E202" s="70" t="s">
        <v>425</v>
      </c>
      <c r="F202" s="12"/>
      <c r="G202" s="18"/>
      <c r="H202" s="18"/>
      <c r="I202" s="4" t="str">
        <f>IF(LEN(A202) &gt; 0,"Defs","-")</f>
        <v>Defs</v>
      </c>
      <c r="J202" s="4" t="str">
        <f>IF(Table2[[#This Row],[!Type]]=J$1, J$1,"rg:None")</f>
        <v>rg:None</v>
      </c>
      <c r="K202" s="4" t="str">
        <f>IF(Table2[[#This Row],[!Type]]=K$1, K$1,"rg:None")</f>
        <v>rg:None</v>
      </c>
      <c r="L202" s="4" t="str">
        <f>IF(Table2[[#This Row],[!Type]]=L$1, L$1,"rg:None")</f>
        <v>rg:None</v>
      </c>
      <c r="M202" s="4" t="str">
        <f>IF(Table2[[#This Row],[!Type]]=M$1, M$1,"rg:None")</f>
        <v>rg:None</v>
      </c>
      <c r="N202" s="4" t="str">
        <f>IF(Table2[[#This Row],[!Type]]=N$1, N$1,"rg:None")</f>
        <v>rg:None</v>
      </c>
      <c r="O202" s="4" t="str">
        <f>IF(Table2[[#This Row],[!Type]]=O$1, O$1,"rg:None")</f>
        <v>rg:None</v>
      </c>
      <c r="P202" s="4" t="str">
        <f>IF(Table2[[#This Row],[!Type]]=P$1, P$1,"rg:None")</f>
        <v>rg:None</v>
      </c>
      <c r="Q202" s="4" t="str">
        <f>IF(Table2[[#This Row],[!Type]]=Q$1, Q$1,"rg:None")</f>
        <v>rg:None</v>
      </c>
      <c r="R202" s="4" t="str">
        <f>IF(Table2[[#This Row],[!Type]]=R$1, R$1,"rg:None")</f>
        <v>string</v>
      </c>
      <c r="S202" s="4" t="str">
        <f>IF(Table2[[#This Row],[!Type]]=S$1, S$1,"rg:None")</f>
        <v>rg:None</v>
      </c>
      <c r="T202" s="4">
        <f>IF(LEN(Table2[[#This Row],[!Length]]) &gt; 0, Table2[[#This Row],[!Length]], "rg:None")</f>
        <v>150</v>
      </c>
      <c r="U202" s="4" t="str">
        <f>IF(LEN(Table2[[#This Row],[!Name]]) &gt; 0, Table2[[#This Row],[!Name]], "rg:None")</f>
        <v>doingBusinessAs</v>
      </c>
      <c r="V202" s="4" t="str">
        <f>IF(LEN(Table2[[#This Row],[!Description]]) &gt; 0, Table2[[#This Row],[!Description]], "rg:None")</f>
        <v xml:space="preserve">An official (per BC Registries) alternate name for an Owner organization under which it does business. The application does not verify the name against any registry/lookup. </v>
      </c>
      <c r="W202" s="4" t="str">
        <f>IF(LEN(Table2[[#This Row],[!FK]])&gt;0,Table2[[#This Row],[!FK]],"rg:None")</f>
        <v>rg:None</v>
      </c>
      <c r="X202" s="14" t="str">
        <f>IF(LEN(concatif2(A:A,Table2[[#This Row],[!Table]],G:G,"Y",D:D,",")) &gt; 0,"rg:[ { 'req' : '"&amp;concatif2(A:A,Table2[[#This Row],[!Table]],G:G,"Y",D:D,"' }, { 'req': '")&amp;"'} ]","rg:[]")</f>
        <v>rg:[ { 'req' : 'id' }, { 'req': 'ownerEquipmentCodePrefix' }, { 'req': 'organizationName' }, { 'req': 'meetsResidency' }, { 'req': 'localArea' }, { 'req': 'status'} ]</v>
      </c>
      <c r="Y202" s="4" t="str">
        <f>IF(LEN(Table2[[#This Row],[!Unique]])&gt;0,IF(Table2[[#This Row],[!Type]] = "id", "rg:None","rg:True"),"rg:None")</f>
        <v>rg:None</v>
      </c>
    </row>
    <row r="203" spans="1:25" ht="28.8" x14ac:dyDescent="0.35">
      <c r="A203" s="69" t="s">
        <v>142</v>
      </c>
      <c r="B203" s="69" t="s">
        <v>7</v>
      </c>
      <c r="C203" s="72">
        <v>150</v>
      </c>
      <c r="D203" s="71" t="s">
        <v>433</v>
      </c>
      <c r="E203" s="70" t="s">
        <v>426</v>
      </c>
      <c r="F203" s="12"/>
      <c r="G203" s="18"/>
      <c r="H203" s="18"/>
      <c r="I203" s="4" t="str">
        <f>IF(LEN(A203) &gt; 0,"Defs","-")</f>
        <v>Defs</v>
      </c>
      <c r="J203" s="4" t="str">
        <f>IF(Table2[[#This Row],[!Type]]=J$1, J$1,"rg:None")</f>
        <v>rg:None</v>
      </c>
      <c r="K203" s="4" t="str">
        <f>IF(Table2[[#This Row],[!Type]]=K$1, K$1,"rg:None")</f>
        <v>rg:None</v>
      </c>
      <c r="L203" s="4" t="str">
        <f>IF(Table2[[#This Row],[!Type]]=L$1, L$1,"rg:None")</f>
        <v>rg:None</v>
      </c>
      <c r="M203" s="4" t="str">
        <f>IF(Table2[[#This Row],[!Type]]=M$1, M$1,"rg:None")</f>
        <v>rg:None</v>
      </c>
      <c r="N203" s="4" t="str">
        <f>IF(Table2[[#This Row],[!Type]]=N$1, N$1,"rg:None")</f>
        <v>rg:None</v>
      </c>
      <c r="O203" s="4" t="str">
        <f>IF(Table2[[#This Row],[!Type]]=O$1, O$1,"rg:None")</f>
        <v>rg:None</v>
      </c>
      <c r="P203" s="4" t="str">
        <f>IF(Table2[[#This Row],[!Type]]=P$1, P$1,"rg:None")</f>
        <v>rg:None</v>
      </c>
      <c r="Q203" s="4" t="str">
        <f>IF(Table2[[#This Row],[!Type]]=Q$1, Q$1,"rg:None")</f>
        <v>rg:None</v>
      </c>
      <c r="R203" s="4" t="str">
        <f>IF(Table2[[#This Row],[!Type]]=R$1, R$1,"rg:None")</f>
        <v>string</v>
      </c>
      <c r="S203" s="4" t="str">
        <f>IF(Table2[[#This Row],[!Type]]=S$1, S$1,"rg:None")</f>
        <v>rg:None</v>
      </c>
      <c r="T203" s="4">
        <f>IF(LEN(Table2[[#This Row],[!Length]]) &gt; 0, Table2[[#This Row],[!Length]], "rg:None")</f>
        <v>150</v>
      </c>
      <c r="U203" s="4" t="str">
        <f>IF(LEN(Table2[[#This Row],[!Name]]) &gt; 0, Table2[[#This Row],[!Name]], "rg:None")</f>
        <v>registeredCompanyNumber</v>
      </c>
      <c r="V203" s="4" t="str">
        <f>IF(LEN(Table2[[#This Row],[!Description]]) &gt; 0, Table2[[#This Row],[!Description]], "rg:None")</f>
        <v>The BC Registries number under which the business is registered.  The application does not verify the number against any registry/lookup.</v>
      </c>
      <c r="W203" s="4" t="str">
        <f>IF(LEN(Table2[[#This Row],[!FK]])&gt;0,Table2[[#This Row],[!FK]],"rg:None")</f>
        <v>rg:None</v>
      </c>
      <c r="X203" s="14" t="str">
        <f>IF(LEN(concatif2(A:A,Table2[[#This Row],[!Table]],G:G,"Y",D:D,",")) &gt; 0,"rg:[ { 'req' : '"&amp;concatif2(A:A,Table2[[#This Row],[!Table]],G:G,"Y",D:D,"' }, { 'req': '")&amp;"'} ]","rg:[]")</f>
        <v>rg:[ { 'req' : 'id' }, { 'req': 'ownerEquipmentCodePrefix' }, { 'req': 'organizationName' }, { 'req': 'meetsResidency' }, { 'req': 'localArea' }, { 'req': 'status'} ]</v>
      </c>
      <c r="Y203" s="4" t="str">
        <f>IF(LEN(Table2[[#This Row],[!Unique]])&gt;0,IF(Table2[[#This Row],[!Type]] = "id", "rg:None","rg:True"),"rg:None")</f>
        <v>rg:None</v>
      </c>
    </row>
    <row r="204" spans="1:25" ht="43.2" x14ac:dyDescent="0.35">
      <c r="A204" s="69" t="s">
        <v>142</v>
      </c>
      <c r="B204" s="69" t="s">
        <v>9</v>
      </c>
      <c r="C204" s="72"/>
      <c r="D204" s="71" t="s">
        <v>432</v>
      </c>
      <c r="E204" s="70" t="s">
        <v>427</v>
      </c>
      <c r="F204" s="12"/>
      <c r="G204" s="154" t="s">
        <v>59</v>
      </c>
      <c r="H204" s="18"/>
      <c r="I204" s="4" t="str">
        <f>IF(LEN(A204) &gt; 0,"Defs","-")</f>
        <v>Defs</v>
      </c>
      <c r="J204" s="4" t="str">
        <f>IF(Table2[[#This Row],[!Type]]=J$1, J$1,"rg:None")</f>
        <v>boolean</v>
      </c>
      <c r="K204" s="4" t="str">
        <f>IF(Table2[[#This Row],[!Type]]=K$1, K$1,"rg:None")</f>
        <v>rg:None</v>
      </c>
      <c r="L204" s="4" t="str">
        <f>IF(Table2[[#This Row],[!Type]]=L$1, L$1,"rg:None")</f>
        <v>rg:None</v>
      </c>
      <c r="M204" s="4" t="str">
        <f>IF(Table2[[#This Row],[!Type]]=M$1, M$1,"rg:None")</f>
        <v>rg:None</v>
      </c>
      <c r="N204" s="4" t="str">
        <f>IF(Table2[[#This Row],[!Type]]=N$1, N$1,"rg:None")</f>
        <v>rg:None</v>
      </c>
      <c r="O204" s="4" t="str">
        <f>IF(Table2[[#This Row],[!Type]]=O$1, O$1,"rg:None")</f>
        <v>rg:None</v>
      </c>
      <c r="P204" s="4" t="str">
        <f>IF(Table2[[#This Row],[!Type]]=P$1, P$1,"rg:None")</f>
        <v>rg:None</v>
      </c>
      <c r="Q204" s="4" t="str">
        <f>IF(Table2[[#This Row],[!Type]]=Q$1, Q$1,"rg:None")</f>
        <v>rg:None</v>
      </c>
      <c r="R204" s="4" t="str">
        <f>IF(Table2[[#This Row],[!Type]]=R$1, R$1,"rg:None")</f>
        <v>rg:None</v>
      </c>
      <c r="S204" s="4" t="str">
        <f>IF(Table2[[#This Row],[!Type]]=S$1, S$1,"rg:None")</f>
        <v>rg:None</v>
      </c>
      <c r="T204" s="4" t="str">
        <f>IF(LEN(Table2[[#This Row],[!Length]]) &gt; 0, Table2[[#This Row],[!Length]], "rg:None")</f>
        <v>rg:None</v>
      </c>
      <c r="U204" s="4" t="str">
        <f>IF(LEN(Table2[[#This Row],[!Name]]) &gt; 0, Table2[[#This Row],[!Name]], "rg:None")</f>
        <v>meetsResidency</v>
      </c>
      <c r="V204" s="4" t="str">
        <f>IF(LEN(Table2[[#This Row],[!Description]]) &gt; 0, Table2[[#This Row],[!Description]], "rg:None")</f>
        <v>True to indicate that the owner of the business has confirmed to the HETS Clerk that they meet the residency requirements of the HETS programme. See the published information about the MOTI HETS programme for information on the owner residency requirements.</v>
      </c>
      <c r="W204" s="4" t="str">
        <f>IF(LEN(Table2[[#This Row],[!FK]])&gt;0,Table2[[#This Row],[!FK]],"rg:None")</f>
        <v>rg:None</v>
      </c>
      <c r="X204" s="14" t="str">
        <f>IF(LEN(concatif2(A:A,Table2[[#This Row],[!Table]],G:G,"Y",D:D,",")) &gt; 0,"rg:[ { 'req' : '"&amp;concatif2(A:A,Table2[[#This Row],[!Table]],G:G,"Y",D:D,"' }, { 'req': '")&amp;"'} ]","rg:[]")</f>
        <v>rg:[ { 'req' : 'id' }, { 'req': 'ownerEquipmentCodePrefix' }, { 'req': 'organizationName' }, { 'req': 'meetsResidency' }, { 'req': 'localArea' }, { 'req': 'status'} ]</v>
      </c>
      <c r="Y204" s="4" t="str">
        <f>IF(LEN(Table2[[#This Row],[!Unique]])&gt;0,IF(Table2[[#This Row],[!Type]] = "id", "rg:None","rg:True"),"rg:None")</f>
        <v>rg:None</v>
      </c>
    </row>
    <row r="205" spans="1:25" x14ac:dyDescent="0.35">
      <c r="A205" s="5" t="s">
        <v>142</v>
      </c>
      <c r="B205" s="23" t="s">
        <v>8</v>
      </c>
      <c r="C205" s="72"/>
      <c r="D205" s="23" t="s">
        <v>187</v>
      </c>
      <c r="E205" s="103" t="s">
        <v>188</v>
      </c>
      <c r="F205" s="77" t="s">
        <v>169</v>
      </c>
      <c r="G205" s="18"/>
      <c r="H205" s="18"/>
      <c r="I205" s="4" t="str">
        <f t="shared" si="23"/>
        <v>Defs</v>
      </c>
      <c r="J205" s="4" t="str">
        <f>IF(Table2[[#This Row],[!Type]]=J$1, J$1,"rg:None")</f>
        <v>rg:None</v>
      </c>
      <c r="K205" s="4" t="str">
        <f>IF(Table2[[#This Row],[!Type]]=K$1, K$1,"rg:None")</f>
        <v>rg:None</v>
      </c>
      <c r="L205" s="4" t="str">
        <f>IF(Table2[[#This Row],[!Type]]=L$1, L$1,"rg:None")</f>
        <v>rg:None</v>
      </c>
      <c r="M205" s="4" t="str">
        <f>IF(Table2[[#This Row],[!Type]]=M$1, M$1,"rg:None")</f>
        <v>rg:None</v>
      </c>
      <c r="N205" s="4" t="str">
        <f>IF(Table2[[#This Row],[!Type]]=N$1, N$1,"rg:None")</f>
        <v>rg:None</v>
      </c>
      <c r="O205" s="4" t="str">
        <f>IF(Table2[[#This Row],[!Type]]=O$1, O$1,"rg:None")</f>
        <v>rg:None</v>
      </c>
      <c r="P205" s="4" t="str">
        <f>IF(Table2[[#This Row],[!Type]]=P$1, P$1,"rg:None")</f>
        <v>rg:None</v>
      </c>
      <c r="Q205" s="4" t="str">
        <f>IF(Table2[[#This Row],[!Type]]=Q$1, Q$1,"rg:None")</f>
        <v>ref</v>
      </c>
      <c r="R205" s="4" t="str">
        <f>IF(Table2[[#This Row],[!Type]]=R$1, R$1,"rg:None")</f>
        <v>rg:None</v>
      </c>
      <c r="S205" s="4" t="str">
        <f>IF(Table2[[#This Row],[!Type]]=S$1, S$1,"rg:None")</f>
        <v>rg:None</v>
      </c>
      <c r="T205" s="4" t="str">
        <f>IF(LEN(Table2[[#This Row],[!Length]]) &gt; 0, Table2[[#This Row],[!Length]], "rg:None")</f>
        <v>rg:None</v>
      </c>
      <c r="U205" s="4" t="str">
        <f>IF(LEN(Table2[[#This Row],[!Name]]) &gt; 0, Table2[[#This Row],[!Name]], "rg:None")</f>
        <v>primaryContact</v>
      </c>
      <c r="V205" s="4" t="str">
        <f>IF(LEN(Table2[[#This Row],[!Description]]) &gt; 0, Table2[[#This Row],[!Description]], "rg:None")</f>
        <v>Link to the designated Primary Contact.</v>
      </c>
      <c r="W205" s="4" t="str">
        <f>IF(LEN(Table2[[#This Row],[!FK]])&gt;0,Table2[[#This Row],[!FK]],"rg:None")</f>
        <v>Contact</v>
      </c>
      <c r="X205" s="14" t="str">
        <f>IF(LEN(concatif2(A:A,Table2[[#This Row],[!Table]],G:G,"Y",D:D,",")) &gt; 0,"rg:[ { 'req' : '"&amp;concatif2(A:A,Table2[[#This Row],[!Table]],G:G,"Y",D:D,"' }, { 'req': '")&amp;"'} ]","rg:[]")</f>
        <v>rg:[ { 'req' : 'id' }, { 'req': 'ownerEquipmentCodePrefix' }, { 'req': 'organizationName' }, { 'req': 'meetsResidency' }, { 'req': 'localArea' }, { 'req': 'status'} ]</v>
      </c>
      <c r="Y205" s="4" t="str">
        <f>IF(LEN(Table2[[#This Row],[!Unique]])&gt;0,IF(Table2[[#This Row],[!Type]] = "id", "rg:None","rg:True"),"rg:None")</f>
        <v>rg:None</v>
      </c>
    </row>
    <row r="206" spans="1:25" x14ac:dyDescent="0.35">
      <c r="A206" s="5" t="s">
        <v>142</v>
      </c>
      <c r="B206" s="102" t="s">
        <v>8</v>
      </c>
      <c r="D206" s="102" t="s">
        <v>170</v>
      </c>
      <c r="F206" s="102" t="s">
        <v>148</v>
      </c>
      <c r="G206" s="155" t="s">
        <v>59</v>
      </c>
      <c r="H206" s="4"/>
      <c r="I206" s="4" t="str">
        <f t="shared" si="23"/>
        <v>Defs</v>
      </c>
      <c r="J206" s="4" t="str">
        <f>IF(Table2[[#This Row],[!Type]]=J$1, J$1,"rg:None")</f>
        <v>rg:None</v>
      </c>
      <c r="K206" s="4" t="str">
        <f>IF(Table2[[#This Row],[!Type]]=K$1, K$1,"rg:None")</f>
        <v>rg:None</v>
      </c>
      <c r="L206" s="4" t="str">
        <f>IF(Table2[[#This Row],[!Type]]=L$1, L$1,"rg:None")</f>
        <v>rg:None</v>
      </c>
      <c r="M206" s="4" t="str">
        <f>IF(Table2[[#This Row],[!Type]]=M$1, M$1,"rg:None")</f>
        <v>rg:None</v>
      </c>
      <c r="N206" s="4" t="str">
        <f>IF(Table2[[#This Row],[!Type]]=N$1, N$1,"rg:None")</f>
        <v>rg:None</v>
      </c>
      <c r="O206" s="4" t="str">
        <f>IF(Table2[[#This Row],[!Type]]=O$1, O$1,"rg:None")</f>
        <v>rg:None</v>
      </c>
      <c r="P206" s="4" t="str">
        <f>IF(Table2[[#This Row],[!Type]]=P$1, P$1,"rg:None")</f>
        <v>rg:None</v>
      </c>
      <c r="Q206" s="4" t="str">
        <f>IF(Table2[[#This Row],[!Type]]=Q$1, Q$1,"rg:None")</f>
        <v>ref</v>
      </c>
      <c r="R206" s="4" t="str">
        <f>IF(Table2[[#This Row],[!Type]]=R$1, R$1,"rg:None")</f>
        <v>rg:None</v>
      </c>
      <c r="S206" s="4" t="str">
        <f>IF(Table2[[#This Row],[!Type]]=S$1, S$1,"rg:None")</f>
        <v>rg:None</v>
      </c>
      <c r="T206" s="4" t="str">
        <f>IF(LEN(Table2[[#This Row],[!Length]]) &gt; 0, Table2[[#This Row],[!Length]], "rg:None")</f>
        <v>rg:None</v>
      </c>
      <c r="U206" s="4" t="str">
        <f>IF(LEN(Table2[[#This Row],[!Name]]) &gt; 0, Table2[[#This Row],[!Name]], "rg:None")</f>
        <v>localArea</v>
      </c>
      <c r="V206" s="4" t="str">
        <f>IF(LEN(Table2[[#This Row],[!Description]]) &gt; 0, Table2[[#This Row],[!Description]], "rg:None")</f>
        <v>rg:None</v>
      </c>
      <c r="W206" s="4" t="str">
        <f>IF(LEN(Table2[[#This Row],[!FK]])&gt;0,Table2[[#This Row],[!FK]],"rg:None")</f>
        <v>LocalArea</v>
      </c>
      <c r="X206" s="14" t="str">
        <f>IF(LEN(concatif2(A:A,Table2[[#This Row],[!Table]],G:G,"Y",D:D,",")) &gt; 0,"rg:[ { 'req' : '"&amp;concatif2(A:A,Table2[[#This Row],[!Table]],G:G,"Y",D:D,"' }, { 'req': '")&amp;"'} ]","rg:[]")</f>
        <v>rg:[ { 'req' : 'id' }, { 'req': 'ownerEquipmentCodePrefix' }, { 'req': 'organizationName' }, { 'req': 'meetsResidency' }, { 'req': 'localArea' }, { 'req': 'status'} ]</v>
      </c>
      <c r="Y206" s="4" t="str">
        <f>IF(LEN(Table2[[#This Row],[!Unique]])&gt;0,IF(Table2[[#This Row],[!Type]] = "id", "rg:None","rg:True"),"rg:None")</f>
        <v>rg:None</v>
      </c>
    </row>
    <row r="207" spans="1:25" ht="28.8" x14ac:dyDescent="0.35">
      <c r="A207" s="5" t="s">
        <v>142</v>
      </c>
      <c r="B207" s="102" t="s">
        <v>9</v>
      </c>
      <c r="D207" s="102" t="s">
        <v>296</v>
      </c>
      <c r="E207" s="101" t="s">
        <v>297</v>
      </c>
      <c r="F207" s="5" t="s">
        <v>5</v>
      </c>
      <c r="G207" s="4"/>
      <c r="H207" s="4"/>
      <c r="I207" s="4" t="str">
        <f t="shared" si="23"/>
        <v>Defs</v>
      </c>
      <c r="J207" s="4" t="str">
        <f>IF(Table2[[#This Row],[!Type]]=J$1, J$1,"rg:None")</f>
        <v>boolean</v>
      </c>
      <c r="K207" s="4" t="str">
        <f>IF(Table2[[#This Row],[!Type]]=K$1, K$1,"rg:None")</f>
        <v>rg:None</v>
      </c>
      <c r="L207" s="4" t="str">
        <f>IF(Table2[[#This Row],[!Type]]=L$1, L$1,"rg:None")</f>
        <v>rg:None</v>
      </c>
      <c r="M207" s="4" t="str">
        <f>IF(Table2[[#This Row],[!Type]]=M$1, M$1,"rg:None")</f>
        <v>rg:None</v>
      </c>
      <c r="N207" s="4" t="str">
        <f>IF(Table2[[#This Row],[!Type]]=N$1, N$1,"rg:None")</f>
        <v>rg:None</v>
      </c>
      <c r="O207" s="4" t="str">
        <f>IF(Table2[[#This Row],[!Type]]=O$1, O$1,"rg:None")</f>
        <v>rg:None</v>
      </c>
      <c r="P207" s="4" t="str">
        <f>IF(Table2[[#This Row],[!Type]]=P$1, P$1,"rg:None")</f>
        <v>rg:None</v>
      </c>
      <c r="Q207" s="4" t="str">
        <f>IF(Table2[[#This Row],[!Type]]=Q$1, Q$1,"rg:None")</f>
        <v>rg:None</v>
      </c>
      <c r="R207" s="4" t="str">
        <f>IF(Table2[[#This Row],[!Type]]=R$1, R$1,"rg:None")</f>
        <v>rg:None</v>
      </c>
      <c r="S207" s="4" t="str">
        <f>IF(Table2[[#This Row],[!Type]]=S$1, S$1,"rg:None")</f>
        <v>rg:None</v>
      </c>
      <c r="T207" s="4" t="str">
        <f>IF(LEN(Table2[[#This Row],[!Length]]) &gt; 0, Table2[[#This Row],[!Length]], "rg:None")</f>
        <v>rg:None</v>
      </c>
      <c r="U207" s="4" t="str">
        <f>IF(LEN(Table2[[#This Row],[!Name]]) &gt; 0, Table2[[#This Row],[!Name]], "rg:None")</f>
        <v>isMaintenanceContractor</v>
      </c>
      <c r="V207" s="4" t="str">
        <f>IF(LEN(Table2[[#This Row],[!Description]]) &gt; 0, Table2[[#This Row],[!Description]], "rg:None")</f>
        <v>True if the owner is contracted by MOTI to handle Maintenance activities in the area - e.g. provided services in address unscheduled issues on the roads in the area.</v>
      </c>
      <c r="W207" s="4" t="str">
        <f>IF(LEN(Table2[[#This Row],[!FK]])&gt;0,Table2[[#This Row],[!FK]],"rg:None")</f>
        <v>rg:None</v>
      </c>
      <c r="X207" s="14" t="str">
        <f>IF(LEN(concatif2(A:A,Table2[[#This Row],[!Table]],G:G,"Y",D:D,",")) &gt; 0,"rg:[ { 'req' : '"&amp;concatif2(A:A,Table2[[#This Row],[!Table]],G:G,"Y",D:D,"' }, { 'req': '")&amp;"'} ]","rg:[]")</f>
        <v>rg:[ { 'req' : 'id' }, { 'req': 'ownerEquipmentCodePrefix' }, { 'req': 'organizationName' }, { 'req': 'meetsResidency' }, { 'req': 'localArea' }, { 'req': 'status'} ]</v>
      </c>
      <c r="Y207" s="4" t="str">
        <f>IF(LEN(Table2[[#This Row],[!Unique]])&gt;0,IF(Table2[[#This Row],[!Type]] = "id", "rg:None","rg:True"),"rg:None")</f>
        <v>rg:None</v>
      </c>
    </row>
    <row r="208" spans="1:25" x14ac:dyDescent="0.35">
      <c r="A208" s="111" t="s">
        <v>142</v>
      </c>
      <c r="B208" s="111" t="s">
        <v>7</v>
      </c>
      <c r="C208" s="72">
        <v>50</v>
      </c>
      <c r="D208" s="111" t="s">
        <v>490</v>
      </c>
      <c r="E208" s="112" t="s">
        <v>488</v>
      </c>
      <c r="F208" s="12"/>
      <c r="G208" s="18"/>
      <c r="H208" s="18"/>
      <c r="I208" s="4" t="str">
        <f>IF(LEN(A208) &gt; 0,"Defs","-")</f>
        <v>Defs</v>
      </c>
      <c r="J208" s="4" t="str">
        <f>IF(Table2[[#This Row],[!Type]]=J$1, J$1,"rg:None")</f>
        <v>rg:None</v>
      </c>
      <c r="K208" s="4" t="str">
        <f>IF(Table2[[#This Row],[!Type]]=K$1, K$1,"rg:None")</f>
        <v>rg:None</v>
      </c>
      <c r="L208" s="4" t="str">
        <f>IF(Table2[[#This Row],[!Type]]=L$1, L$1,"rg:None")</f>
        <v>rg:None</v>
      </c>
      <c r="M208" s="4" t="str">
        <f>IF(Table2[[#This Row],[!Type]]=M$1, M$1,"rg:None")</f>
        <v>rg:None</v>
      </c>
      <c r="N208" s="4" t="str">
        <f>IF(Table2[[#This Row],[!Type]]=N$1, N$1,"rg:None")</f>
        <v>rg:None</v>
      </c>
      <c r="O208" s="4" t="str">
        <f>IF(Table2[[#This Row],[!Type]]=O$1, O$1,"rg:None")</f>
        <v>rg:None</v>
      </c>
      <c r="P208" s="4" t="str">
        <f>IF(Table2[[#This Row],[!Type]]=P$1, P$1,"rg:None")</f>
        <v>rg:None</v>
      </c>
      <c r="Q208" s="4" t="str">
        <f>IF(Table2[[#This Row],[!Type]]=Q$1, Q$1,"rg:None")</f>
        <v>rg:None</v>
      </c>
      <c r="R208" s="4" t="str">
        <f>IF(Table2[[#This Row],[!Type]]=R$1, R$1,"rg:None")</f>
        <v>string</v>
      </c>
      <c r="S208" s="4" t="str">
        <f>IF(Table2[[#This Row],[!Type]]=S$1, S$1,"rg:None")</f>
        <v>rg:None</v>
      </c>
      <c r="T208" s="4">
        <f>IF(LEN(Table2[[#This Row],[!Length]]) &gt; 0, Table2[[#This Row],[!Length]], "rg:None")</f>
        <v>50</v>
      </c>
      <c r="U208" s="4" t="str">
        <f>IF(LEN(Table2[[#This Row],[!Name]]) &gt; 0, Table2[[#This Row],[!Name]], "rg:None")</f>
        <v>workSafeBCPolicyNumber</v>
      </c>
      <c r="V208" s="4" t="str">
        <f>IF(LEN(Table2[[#This Row],[!Description]]) &gt; 0, Table2[[#This Row],[!Description]], "rg:None")</f>
        <v>The Owner's WorkSafeBC (aka WCB) Insurance Policy Number.</v>
      </c>
      <c r="W208" s="4" t="str">
        <f>IF(LEN(Table2[[#This Row],[!FK]])&gt;0,Table2[[#This Row],[!FK]],"rg:None")</f>
        <v>rg:None</v>
      </c>
      <c r="X208" s="14" t="str">
        <f>IF(LEN(concatif2(A:A,Table2[[#This Row],[!Table]],G:G,"Y",D:D,",")) &gt; 0,"rg:[ { 'req' : '"&amp;concatif2(A:A,Table2[[#This Row],[!Table]],G:G,"Y",D:D,"' }, { 'req': '")&amp;"'} ]","rg:[]")</f>
        <v>rg:[ { 'req' : 'id' }, { 'req': 'ownerEquipmentCodePrefix' }, { 'req': 'organizationName' }, { 'req': 'meetsResidency' }, { 'req': 'localArea' }, { 'req': 'status'} ]</v>
      </c>
      <c r="Y208" s="4" t="str">
        <f>IF(LEN(Table2[[#This Row],[!Unique]])&gt;0,IF(Table2[[#This Row],[!Type]] = "id", "rg:None","rg:True"),"rg:None")</f>
        <v>rg:None</v>
      </c>
    </row>
    <row r="209" spans="1:25" x14ac:dyDescent="0.35">
      <c r="A209" s="5" t="s">
        <v>142</v>
      </c>
      <c r="B209" s="82" t="s">
        <v>12</v>
      </c>
      <c r="D209" s="116" t="s">
        <v>491</v>
      </c>
      <c r="E209" s="113" t="s">
        <v>489</v>
      </c>
      <c r="F209" s="5" t="s">
        <v>5</v>
      </c>
      <c r="G209" s="4"/>
      <c r="H209" s="4"/>
      <c r="I209" s="4" t="str">
        <f t="shared" si="23"/>
        <v>Defs</v>
      </c>
      <c r="J209" s="4" t="str">
        <f>IF(Table2[[#This Row],[!Type]]=J$1, J$1,"rg:None")</f>
        <v>rg:None</v>
      </c>
      <c r="K209" s="4" t="str">
        <f>IF(Table2[[#This Row],[!Type]]=K$1, K$1,"rg:None")</f>
        <v>rg:None</v>
      </c>
      <c r="L209" s="4" t="str">
        <f>IF(Table2[[#This Row],[!Type]]=L$1, L$1,"rg:None")</f>
        <v>datetime</v>
      </c>
      <c r="M209" s="4" t="str">
        <f>IF(Table2[[#This Row],[!Type]]=M$1, M$1,"rg:None")</f>
        <v>rg:None</v>
      </c>
      <c r="N209" s="4" t="str">
        <f>IF(Table2[[#This Row],[!Type]]=N$1, N$1,"rg:None")</f>
        <v>rg:None</v>
      </c>
      <c r="O209" s="4" t="str">
        <f>IF(Table2[[#This Row],[!Type]]=O$1, O$1,"rg:None")</f>
        <v>rg:None</v>
      </c>
      <c r="P209" s="4" t="str">
        <f>IF(Table2[[#This Row],[!Type]]=P$1, P$1,"rg:None")</f>
        <v>rg:None</v>
      </c>
      <c r="Q209" s="4" t="str">
        <f>IF(Table2[[#This Row],[!Type]]=Q$1, Q$1,"rg:None")</f>
        <v>rg:None</v>
      </c>
      <c r="R209" s="4" t="str">
        <f>IF(Table2[[#This Row],[!Type]]=R$1, R$1,"rg:None")</f>
        <v>rg:None</v>
      </c>
      <c r="S209" s="4" t="str">
        <f>IF(Table2[[#This Row],[!Type]]=S$1, S$1,"rg:None")</f>
        <v>rg:None</v>
      </c>
      <c r="T209" s="4" t="str">
        <f>IF(LEN(Table2[[#This Row],[!Length]]) &gt; 0, Table2[[#This Row],[!Length]], "rg:None")</f>
        <v>rg:None</v>
      </c>
      <c r="U209" s="4" t="str">
        <f>IF(LEN(Table2[[#This Row],[!Name]]) &gt; 0, Table2[[#This Row],[!Name]], "rg:None")</f>
        <v>workSafeBCExpiryDate</v>
      </c>
      <c r="V209" s="4" t="str">
        <f>IF(LEN(Table2[[#This Row],[!Description]]) &gt; 0, Table2[[#This Row],[!Description]], "rg:None")</f>
        <v>The expiration of the owner's current WorkSafeBC (aka WCB) permit.</v>
      </c>
      <c r="W209" s="4" t="str">
        <f>IF(LEN(Table2[[#This Row],[!FK]])&gt;0,Table2[[#This Row],[!FK]],"rg:None")</f>
        <v>rg:None</v>
      </c>
      <c r="X209" s="14" t="str">
        <f>IF(LEN(concatif2(A:A,Table2[[#This Row],[!Table]],G:G,"Y",D:D,",")) &gt; 0,"rg:[ { 'req' : '"&amp;concatif2(A:A,Table2[[#This Row],[!Table]],G:G,"Y",D:D,"' }, { 'req': '")&amp;"'} ]","rg:[]")</f>
        <v>rg:[ { 'req' : 'id' }, { 'req': 'ownerEquipmentCodePrefix' }, { 'req': 'organizationName' }, { 'req': 'meetsResidency' }, { 'req': 'localArea' }, { 'req': 'status'} ]</v>
      </c>
      <c r="Y209" s="4" t="str">
        <f>IF(LEN(Table2[[#This Row],[!Unique]])&gt;0,IF(Table2[[#This Row],[!Type]] = "id", "rg:None","rg:True"),"rg:None")</f>
        <v>rg:None</v>
      </c>
    </row>
    <row r="210" spans="1:25" ht="57.6" x14ac:dyDescent="0.35">
      <c r="A210" s="5" t="s">
        <v>142</v>
      </c>
      <c r="B210" s="82" t="s">
        <v>12</v>
      </c>
      <c r="D210" s="82" t="s">
        <v>171</v>
      </c>
      <c r="E210" s="101" t="s">
        <v>298</v>
      </c>
      <c r="F210" s="5" t="s">
        <v>5</v>
      </c>
      <c r="G210" s="4"/>
      <c r="H210" s="4"/>
      <c r="I210" s="4" t="str">
        <f t="shared" si="23"/>
        <v>Defs</v>
      </c>
      <c r="J210" s="4" t="str">
        <f>IF(Table2[[#This Row],[!Type]]=J$1, J$1,"rg:None")</f>
        <v>rg:None</v>
      </c>
      <c r="K210" s="4" t="str">
        <f>IF(Table2[[#This Row],[!Type]]=K$1, K$1,"rg:None")</f>
        <v>rg:None</v>
      </c>
      <c r="L210" s="4" t="str">
        <f>IF(Table2[[#This Row],[!Type]]=L$1, L$1,"rg:None")</f>
        <v>datetime</v>
      </c>
      <c r="M210" s="4" t="str">
        <f>IF(Table2[[#This Row],[!Type]]=M$1, M$1,"rg:None")</f>
        <v>rg:None</v>
      </c>
      <c r="N210" s="4" t="str">
        <f>IF(Table2[[#This Row],[!Type]]=N$1, N$1,"rg:None")</f>
        <v>rg:None</v>
      </c>
      <c r="O210" s="4" t="str">
        <f>IF(Table2[[#This Row],[!Type]]=O$1, O$1,"rg:None")</f>
        <v>rg:None</v>
      </c>
      <c r="P210" s="4" t="str">
        <f>IF(Table2[[#This Row],[!Type]]=P$1, P$1,"rg:None")</f>
        <v>rg:None</v>
      </c>
      <c r="Q210" s="4" t="str">
        <f>IF(Table2[[#This Row],[!Type]]=Q$1, Q$1,"rg:None")</f>
        <v>rg:None</v>
      </c>
      <c r="R210" s="4" t="str">
        <f>IF(Table2[[#This Row],[!Type]]=R$1, R$1,"rg:None")</f>
        <v>rg:None</v>
      </c>
      <c r="S210" s="4" t="str">
        <f>IF(Table2[[#This Row],[!Type]]=S$1, S$1,"rg:None")</f>
        <v>rg:None</v>
      </c>
      <c r="T210" s="4" t="str">
        <f>IF(LEN(Table2[[#This Row],[!Length]]) &gt; 0, Table2[[#This Row],[!Length]], "rg:None")</f>
        <v>rg:None</v>
      </c>
      <c r="U210" s="4" t="str">
        <f>IF(LEN(Table2[[#This Row],[!Name]]) &gt; 0, Table2[[#This Row],[!Name]], "rg:None")</f>
        <v>CGLEndDate</v>
      </c>
      <c r="V210" s="4" t="str">
        <f>IF(LEN(Table2[[#This Row],[!Description]]) &gt; 0, Table2[[#This Row],[!Description]], "rg:None")</f>
        <v>The end date of the owner's Commercial General Liability insurance coverage. Coverage is only needed prior to an owner's piece of equipment starting a rental period (not when in the HETS program but not hired). The details of the coverage can be entered into a Note, or more often - attached as a scanned/faxed document.</v>
      </c>
      <c r="W210" s="4" t="str">
        <f>IF(LEN(Table2[[#This Row],[!FK]])&gt;0,Table2[[#This Row],[!FK]],"rg:None")</f>
        <v>rg:None</v>
      </c>
      <c r="X210" s="14" t="str">
        <f>IF(LEN(concatif2(A:A,Table2[[#This Row],[!Table]],G:G,"Y",D:D,",")) &gt; 0,"rg:[ { 'req' : '"&amp;concatif2(A:A,Table2[[#This Row],[!Table]],G:G,"Y",D:D,"' }, { 'req': '")&amp;"'} ]","rg:[]")</f>
        <v>rg:[ { 'req' : 'id' }, { 'req': 'ownerEquipmentCodePrefix' }, { 'req': 'organizationName' }, { 'req': 'meetsResidency' }, { 'req': 'localArea' }, { 'req': 'status'} ]</v>
      </c>
      <c r="Y210" s="4" t="str">
        <f>IF(LEN(Table2[[#This Row],[!Unique]])&gt;0,IF(Table2[[#This Row],[!Type]] = "id", "rg:None","rg:True"),"rg:None")</f>
        <v>rg:None</v>
      </c>
    </row>
    <row r="211" spans="1:25" ht="57.6" x14ac:dyDescent="0.35">
      <c r="A211" s="5" t="s">
        <v>142</v>
      </c>
      <c r="B211" s="5" t="s">
        <v>7</v>
      </c>
      <c r="C211" s="5">
        <v>50</v>
      </c>
      <c r="D211" s="102" t="s">
        <v>225</v>
      </c>
      <c r="E211" s="101" t="s">
        <v>299</v>
      </c>
      <c r="F211" s="5" t="s">
        <v>5</v>
      </c>
      <c r="G211" s="155" t="s">
        <v>59</v>
      </c>
      <c r="H211" s="4"/>
      <c r="I211" s="4" t="str">
        <f t="shared" si="23"/>
        <v>Defs</v>
      </c>
      <c r="J211" s="4" t="str">
        <f>IF(Table2[[#This Row],[!Type]]=J$1, J$1,"rg:None")</f>
        <v>rg:None</v>
      </c>
      <c r="K211" s="4" t="str">
        <f>IF(Table2[[#This Row],[!Type]]=K$1, K$1,"rg:None")</f>
        <v>rg:None</v>
      </c>
      <c r="L211" s="4" t="str">
        <f>IF(Table2[[#This Row],[!Type]]=L$1, L$1,"rg:None")</f>
        <v>rg:None</v>
      </c>
      <c r="M211" s="4" t="str">
        <f>IF(Table2[[#This Row],[!Type]]=M$1, M$1,"rg:None")</f>
        <v>rg:None</v>
      </c>
      <c r="N211" s="4" t="str">
        <f>IF(Table2[[#This Row],[!Type]]=N$1, N$1,"rg:None")</f>
        <v>rg:None</v>
      </c>
      <c r="O211" s="4" t="str">
        <f>IF(Table2[[#This Row],[!Type]]=O$1, O$1,"rg:None")</f>
        <v>rg:None</v>
      </c>
      <c r="P211" s="4" t="str">
        <f>IF(Table2[[#This Row],[!Type]]=P$1, P$1,"rg:None")</f>
        <v>rg:None</v>
      </c>
      <c r="Q211" s="4" t="str">
        <f>IF(Table2[[#This Row],[!Type]]=Q$1, Q$1,"rg:None")</f>
        <v>rg:None</v>
      </c>
      <c r="R211" s="4" t="str">
        <f>IF(Table2[[#This Row],[!Type]]=R$1, R$1,"rg:None")</f>
        <v>string</v>
      </c>
      <c r="S211" s="4" t="str">
        <f>IF(Table2[[#This Row],[!Type]]=S$1, S$1,"rg:None")</f>
        <v>rg:None</v>
      </c>
      <c r="T211" s="4">
        <f>IF(LEN(Table2[[#This Row],[!Length]]) &gt; 0, Table2[[#This Row],[!Length]], "rg:None")</f>
        <v>50</v>
      </c>
      <c r="U211" s="4" t="str">
        <f>IF(LEN(Table2[[#This Row],[!Name]]) &gt; 0, Table2[[#This Row],[!Name]], "rg:None")</f>
        <v>status</v>
      </c>
      <c r="V211" s="4" t="str">
        <f>IF(LEN(Table2[[#This Row],[!Description]]) &gt; 0, Table2[[#This Row],[!Description]], "rg:None")</f>
        <v>The status of the owner record in the system. Current set of values are "Pending", "Approved" and "Archived". Pending is used when an owner self-registers and a HETS Clerk has not reviewed and Approved the record. Archived is when the owner is no longer part of the HETS programme. "Approved" is used in all other cases.</v>
      </c>
      <c r="W211" s="4" t="str">
        <f>IF(LEN(Table2[[#This Row],[!FK]])&gt;0,Table2[[#This Row],[!FK]],"rg:None")</f>
        <v>rg:None</v>
      </c>
      <c r="X211" s="14" t="str">
        <f>IF(LEN(concatif2(A:A,Table2[[#This Row],[!Table]],G:G,"Y",D:D,",")) &gt; 0,"rg:[ { 'req' : '"&amp;concatif2(A:A,Table2[[#This Row],[!Table]],G:G,"Y",D:D,"' }, { 'req': '")&amp;"'} ]","rg:[]")</f>
        <v>rg:[ { 'req' : 'id' }, { 'req': 'ownerEquipmentCodePrefix' }, { 'req': 'organizationName' }, { 'req': 'meetsResidency' }, { 'req': 'localArea' }, { 'req': 'status'} ]</v>
      </c>
      <c r="Y211" s="4" t="str">
        <f>IF(LEN(Table2[[#This Row],[!Unique]])&gt;0,IF(Table2[[#This Row],[!Type]] = "id", "rg:None","rg:True"),"rg:None")</f>
        <v>rg:None</v>
      </c>
    </row>
    <row r="212" spans="1:25" ht="28.8" x14ac:dyDescent="0.35">
      <c r="A212" s="5" t="s">
        <v>142</v>
      </c>
      <c r="B212" s="5" t="s">
        <v>7</v>
      </c>
      <c r="C212" s="5">
        <v>50</v>
      </c>
      <c r="D212" s="102" t="s">
        <v>246</v>
      </c>
      <c r="E212" s="79" t="s">
        <v>419</v>
      </c>
      <c r="F212" s="5" t="s">
        <v>5</v>
      </c>
      <c r="G212" s="4"/>
      <c r="H212" s="4"/>
      <c r="I212" s="4" t="str">
        <f t="shared" si="23"/>
        <v>Defs</v>
      </c>
      <c r="J212" s="4" t="str">
        <f>IF(Table2[[#This Row],[!Type]]=J$1, J$1,"rg:None")</f>
        <v>rg:None</v>
      </c>
      <c r="K212" s="4" t="str">
        <f>IF(Table2[[#This Row],[!Type]]=K$1, K$1,"rg:None")</f>
        <v>rg:None</v>
      </c>
      <c r="L212" s="4" t="str">
        <f>IF(Table2[[#This Row],[!Type]]=L$1, L$1,"rg:None")</f>
        <v>rg:None</v>
      </c>
      <c r="M212" s="4" t="str">
        <f>IF(Table2[[#This Row],[!Type]]=M$1, M$1,"rg:None")</f>
        <v>rg:None</v>
      </c>
      <c r="N212" s="4" t="str">
        <f>IF(Table2[[#This Row],[!Type]]=N$1, N$1,"rg:None")</f>
        <v>rg:None</v>
      </c>
      <c r="O212" s="4" t="str">
        <f>IF(Table2[[#This Row],[!Type]]=O$1, O$1,"rg:None")</f>
        <v>rg:None</v>
      </c>
      <c r="P212" s="4" t="str">
        <f>IF(Table2[[#This Row],[!Type]]=P$1, P$1,"rg:None")</f>
        <v>rg:None</v>
      </c>
      <c r="Q212" s="4" t="str">
        <f>IF(Table2[[#This Row],[!Type]]=Q$1, Q$1,"rg:None")</f>
        <v>rg:None</v>
      </c>
      <c r="R212" s="4" t="str">
        <f>IF(Table2[[#This Row],[!Type]]=R$1, R$1,"rg:None")</f>
        <v>string</v>
      </c>
      <c r="S212" s="4" t="str">
        <f>IF(Table2[[#This Row],[!Type]]=S$1, S$1,"rg:None")</f>
        <v>rg:None</v>
      </c>
      <c r="T212" s="4">
        <f>IF(LEN(Table2[[#This Row],[!Length]]) &gt; 0, Table2[[#This Row],[!Length]], "rg:None")</f>
        <v>50</v>
      </c>
      <c r="U212" s="4" t="str">
        <f>IF(LEN(Table2[[#This Row],[!Name]]) &gt; 0, Table2[[#This Row],[!Name]], "rg:None")</f>
        <v>archiveCode</v>
      </c>
      <c r="V212" s="4" t="str">
        <f>IF(LEN(Table2[[#This Row],[!Description]]) &gt; 0, Table2[[#This Row],[!Description]], "rg:None")</f>
        <v>TO BE REVIEWED WITH THE BUSINESS - IS THIS NEEDED -A coded reason for why an owner record has been moved to Archived.</v>
      </c>
      <c r="W212" s="4" t="str">
        <f>IF(LEN(Table2[[#This Row],[!FK]])&gt;0,Table2[[#This Row],[!FK]],"rg:None")</f>
        <v>rg:None</v>
      </c>
      <c r="X212" s="14" t="str">
        <f>IF(LEN(concatif2(A:A,Table2[[#This Row],[!Table]],G:G,"Y",D:D,",")) &gt; 0,"rg:[ { 'req' : '"&amp;concatif2(A:A,Table2[[#This Row],[!Table]],G:G,"Y",D:D,"' }, { 'req': '")&amp;"'} ]","rg:[]")</f>
        <v>rg:[ { 'req' : 'id' }, { 'req': 'ownerEquipmentCodePrefix' }, { 'req': 'organizationName' }, { 'req': 'meetsResidency' }, { 'req': 'localArea' }, { 'req': 'status'} ]</v>
      </c>
      <c r="Y212" s="4" t="str">
        <f>IF(LEN(Table2[[#This Row],[!Unique]])&gt;0,IF(Table2[[#This Row],[!Type]] = "id", "rg:None","rg:True"),"rg:None")</f>
        <v>rg:None</v>
      </c>
    </row>
    <row r="213" spans="1:25" x14ac:dyDescent="0.35">
      <c r="A213" s="5" t="s">
        <v>142</v>
      </c>
      <c r="B213" s="5" t="s">
        <v>7</v>
      </c>
      <c r="C213" s="5">
        <v>2048</v>
      </c>
      <c r="D213" s="5" t="s">
        <v>137</v>
      </c>
      <c r="E213" s="101" t="s">
        <v>300</v>
      </c>
      <c r="F213" s="5" t="s">
        <v>5</v>
      </c>
      <c r="G213" s="4"/>
      <c r="H213" s="4"/>
      <c r="I213" s="4" t="str">
        <f t="shared" si="23"/>
        <v>Defs</v>
      </c>
      <c r="J213" s="4" t="str">
        <f>IF(Table2[[#This Row],[!Type]]=J$1, J$1,"rg:None")</f>
        <v>rg:None</v>
      </c>
      <c r="K213" s="4" t="str">
        <f>IF(Table2[[#This Row],[!Type]]=K$1, K$1,"rg:None")</f>
        <v>rg:None</v>
      </c>
      <c r="L213" s="4" t="str">
        <f>IF(Table2[[#This Row],[!Type]]=L$1, L$1,"rg:None")</f>
        <v>rg:None</v>
      </c>
      <c r="M213" s="4" t="str">
        <f>IF(Table2[[#This Row],[!Type]]=M$1, M$1,"rg:None")</f>
        <v>rg:None</v>
      </c>
      <c r="N213" s="4" t="str">
        <f>IF(Table2[[#This Row],[!Type]]=N$1, N$1,"rg:None")</f>
        <v>rg:None</v>
      </c>
      <c r="O213" s="4" t="str">
        <f>IF(Table2[[#This Row],[!Type]]=O$1, O$1,"rg:None")</f>
        <v>rg:None</v>
      </c>
      <c r="P213" s="4" t="str">
        <f>IF(Table2[[#This Row],[!Type]]=P$1, P$1,"rg:None")</f>
        <v>rg:None</v>
      </c>
      <c r="Q213" s="4" t="str">
        <f>IF(Table2[[#This Row],[!Type]]=Q$1, Q$1,"rg:None")</f>
        <v>rg:None</v>
      </c>
      <c r="R213" s="4" t="str">
        <f>IF(Table2[[#This Row],[!Type]]=R$1, R$1,"rg:None")</f>
        <v>string</v>
      </c>
      <c r="S213" s="4" t="str">
        <f>IF(Table2[[#This Row],[!Type]]=S$1, S$1,"rg:None")</f>
        <v>rg:None</v>
      </c>
      <c r="T213" s="4">
        <f>IF(LEN(Table2[[#This Row],[!Length]]) &gt; 0, Table2[[#This Row],[!Length]], "rg:None")</f>
        <v>2048</v>
      </c>
      <c r="U213" s="4" t="str">
        <f>IF(LEN(Table2[[#This Row],[!Name]]) &gt; 0, Table2[[#This Row],[!Name]], "rg:None")</f>
        <v>archiveReason</v>
      </c>
      <c r="V213" s="4" t="str">
        <f>IF(LEN(Table2[[#This Row],[!Description]]) &gt; 0, Table2[[#This Row],[!Description]], "rg:None")</f>
        <v>A text note about why the owner record has been changed to Archived.</v>
      </c>
      <c r="W213" s="4" t="str">
        <f>IF(LEN(Table2[[#This Row],[!FK]])&gt;0,Table2[[#This Row],[!FK]],"rg:None")</f>
        <v>rg:None</v>
      </c>
      <c r="X213" s="14" t="str">
        <f>IF(LEN(concatif2(A:A,Table2[[#This Row],[!Table]],G:G,"Y",D:D,",")) &gt; 0,"rg:[ { 'req' : '"&amp;concatif2(A:A,Table2[[#This Row],[!Table]],G:G,"Y",D:D,"' }, { 'req': '")&amp;"'} ]","rg:[]")</f>
        <v>rg:[ { 'req' : 'id' }, { 'req': 'ownerEquipmentCodePrefix' }, { 'req': 'organizationName' }, { 'req': 'meetsResidency' }, { 'req': 'localArea' }, { 'req': 'status'} ]</v>
      </c>
      <c r="Y213" s="4" t="str">
        <f>IF(LEN(Table2[[#This Row],[!Unique]])&gt;0,IF(Table2[[#This Row],[!Type]] = "id", "rg:None","rg:True"),"rg:None")</f>
        <v>rg:None</v>
      </c>
    </row>
    <row r="214" spans="1:25" ht="28.8" x14ac:dyDescent="0.35">
      <c r="A214" s="64" t="s">
        <v>142</v>
      </c>
      <c r="B214" s="64" t="s">
        <v>12</v>
      </c>
      <c r="C214" s="72"/>
      <c r="D214" s="64" t="s">
        <v>183</v>
      </c>
      <c r="E214" s="65" t="s">
        <v>415</v>
      </c>
      <c r="F214" s="12"/>
      <c r="G214" s="18"/>
      <c r="H214" s="18"/>
      <c r="I214" s="4" t="str">
        <f>IF(LEN(A214) &gt; 0,"Defs","-")</f>
        <v>Defs</v>
      </c>
      <c r="J214" s="4" t="str">
        <f>IF(Table2[[#This Row],[!Type]]=J$1, J$1,"rg:None")</f>
        <v>rg:None</v>
      </c>
      <c r="K214" s="4" t="str">
        <f>IF(Table2[[#This Row],[!Type]]=K$1, K$1,"rg:None")</f>
        <v>rg:None</v>
      </c>
      <c r="L214" s="4" t="str">
        <f>IF(Table2[[#This Row],[!Type]]=L$1, L$1,"rg:None")</f>
        <v>datetime</v>
      </c>
      <c r="M214" s="4" t="str">
        <f>IF(Table2[[#This Row],[!Type]]=M$1, M$1,"rg:None")</f>
        <v>rg:None</v>
      </c>
      <c r="N214" s="4" t="str">
        <f>IF(Table2[[#This Row],[!Type]]=N$1, N$1,"rg:None")</f>
        <v>rg:None</v>
      </c>
      <c r="O214" s="4" t="str">
        <f>IF(Table2[[#This Row],[!Type]]=O$1, O$1,"rg:None")</f>
        <v>rg:None</v>
      </c>
      <c r="P214" s="4" t="str">
        <f>IF(Table2[[#This Row],[!Type]]=P$1, P$1,"rg:None")</f>
        <v>rg:None</v>
      </c>
      <c r="Q214" s="4" t="str">
        <f>IF(Table2[[#This Row],[!Type]]=Q$1, Q$1,"rg:None")</f>
        <v>rg:None</v>
      </c>
      <c r="R214" s="4" t="str">
        <f>IF(Table2[[#This Row],[!Type]]=R$1, R$1,"rg:None")</f>
        <v>rg:None</v>
      </c>
      <c r="S214" s="4" t="str">
        <f>IF(Table2[[#This Row],[!Type]]=S$1, S$1,"rg:None")</f>
        <v>rg:None</v>
      </c>
      <c r="T214" s="4" t="str">
        <f>IF(LEN(Table2[[#This Row],[!Length]]) &gt; 0, Table2[[#This Row],[!Length]], "rg:None")</f>
        <v>rg:None</v>
      </c>
      <c r="U214" s="4" t="str">
        <f>IF(LEN(Table2[[#This Row],[!Name]]) &gt; 0, Table2[[#This Row],[!Name]], "rg:None")</f>
        <v>archiveDate</v>
      </c>
      <c r="V214" s="4" t="str">
        <f>IF(LEN(Table2[[#This Row],[!Description]]) &gt; 0, Table2[[#This Row],[!Description]], "rg:None")</f>
        <v>The date the Owner record was changed to Archived and removed from active use in the system.</v>
      </c>
      <c r="W214" s="4" t="str">
        <f>IF(LEN(Table2[[#This Row],[!FK]])&gt;0,Table2[[#This Row],[!FK]],"rg:None")</f>
        <v>rg:None</v>
      </c>
      <c r="X214" s="14" t="str">
        <f>IF(LEN(concatif2(A:A,Table2[[#This Row],[!Table]],G:G,"Y",D:D,",")) &gt; 0,"rg:[ { 'req' : '"&amp;concatif2(A:A,Table2[[#This Row],[!Table]],G:G,"Y",D:D,"' }, { 'req': '")&amp;"'} ]","rg:[]")</f>
        <v>rg:[ { 'req' : 'id' }, { 'req': 'ownerEquipmentCodePrefix' }, { 'req': 'organizationName' }, { 'req': 'meetsResidency' }, { 'req': 'localArea' }, { 'req': 'status'} ]</v>
      </c>
      <c r="Y214" s="4" t="str">
        <f>IF(LEN(Table2[[#This Row],[!Unique]])&gt;0,IF(Table2[[#This Row],[!Type]] = "id", "rg:None","rg:True"),"rg:None")</f>
        <v>rg:None</v>
      </c>
    </row>
    <row r="215" spans="1:25" x14ac:dyDescent="0.35">
      <c r="A215" s="21" t="s">
        <v>142</v>
      </c>
      <c r="B215" s="21" t="s">
        <v>19</v>
      </c>
      <c r="C215" s="72"/>
      <c r="D215" s="21" t="s">
        <v>173</v>
      </c>
      <c r="E215" s="47"/>
      <c r="F215" s="82" t="s">
        <v>169</v>
      </c>
      <c r="G215" s="18"/>
      <c r="H215" s="18"/>
      <c r="I215" s="4" t="str">
        <f t="shared" ref="I215:I218" si="24">IF(LEN(A215) &gt; 0,"Defs","-")</f>
        <v>Defs</v>
      </c>
      <c r="J215" s="4" t="str">
        <f>IF(Table2[[#This Row],[!Type]]=J$1, J$1,"rg:None")</f>
        <v>rg:None</v>
      </c>
      <c r="K215" s="4" t="str">
        <f>IF(Table2[[#This Row],[!Type]]=K$1, K$1,"rg:None")</f>
        <v>rg:None</v>
      </c>
      <c r="L215" s="4" t="str">
        <f>IF(Table2[[#This Row],[!Type]]=L$1, L$1,"rg:None")</f>
        <v>rg:None</v>
      </c>
      <c r="M215" s="4" t="str">
        <f>IF(Table2[[#This Row],[!Type]]=M$1, M$1,"rg:None")</f>
        <v>rg:None</v>
      </c>
      <c r="N215" s="4" t="str">
        <f>IF(Table2[[#This Row],[!Type]]=N$1, N$1,"rg:None")</f>
        <v>rg:None</v>
      </c>
      <c r="O215" s="4" t="str">
        <f>IF(Table2[[#This Row],[!Type]]=O$1, O$1,"rg:None")</f>
        <v>rg:None</v>
      </c>
      <c r="P215" s="4" t="str">
        <f>IF(Table2[[#This Row],[!Type]]=P$1, P$1,"rg:None")</f>
        <v>links</v>
      </c>
      <c r="Q215" s="4" t="str">
        <f>IF(Table2[[#This Row],[!Type]]=Q$1, Q$1,"rg:None")</f>
        <v>rg:None</v>
      </c>
      <c r="R215" s="4" t="str">
        <f>IF(Table2[[#This Row],[!Type]]=R$1, R$1,"rg:None")</f>
        <v>rg:None</v>
      </c>
      <c r="S215" s="4" t="str">
        <f>IF(Table2[[#This Row],[!Type]]=S$1, S$1,"rg:None")</f>
        <v>rg:None</v>
      </c>
      <c r="T215" s="4" t="str">
        <f>IF(LEN(Table2[[#This Row],[!Length]]) &gt; 0, Table2[[#This Row],[!Length]], "rg:None")</f>
        <v>rg:None</v>
      </c>
      <c r="U215" s="4" t="str">
        <f>IF(LEN(Table2[[#This Row],[!Name]]) &gt; 0, Table2[[#This Row],[!Name]], "rg:None")</f>
        <v>contacts</v>
      </c>
      <c r="V215" s="4" t="str">
        <f>IF(LEN(Table2[[#This Row],[!Description]]) &gt; 0, Table2[[#This Row],[!Description]], "rg:None")</f>
        <v>rg:None</v>
      </c>
      <c r="W215" s="4" t="str">
        <f>IF(LEN(Table2[[#This Row],[!FK]])&gt;0,Table2[[#This Row],[!FK]],"rg:None")</f>
        <v>Contact</v>
      </c>
      <c r="X215" s="14" t="str">
        <f>IF(LEN(concatif2(A:A,Table2[[#This Row],[!Table]],G:G,"Y",D:D,",")) &gt; 0,"rg:[ { 'req' : '"&amp;concatif2(A:A,Table2[[#This Row],[!Table]],G:G,"Y",D:D,"' }, { 'req': '")&amp;"'} ]","rg:[]")</f>
        <v>rg:[ { 'req' : 'id' }, { 'req': 'ownerEquipmentCodePrefix' }, { 'req': 'organizationName' }, { 'req': 'meetsResidency' }, { 'req': 'localArea' }, { 'req': 'status'} ]</v>
      </c>
      <c r="Y215" s="4" t="str">
        <f>IF(LEN(Table2[[#This Row],[!Unique]])&gt;0,IF(Table2[[#This Row],[!Type]] = "id", "rg:None","rg:True"),"rg:None")</f>
        <v>rg:None</v>
      </c>
    </row>
    <row r="216" spans="1:25" x14ac:dyDescent="0.35">
      <c r="A216" s="21" t="s">
        <v>142</v>
      </c>
      <c r="B216" s="21" t="s">
        <v>19</v>
      </c>
      <c r="C216" s="72"/>
      <c r="D216" s="21" t="s">
        <v>161</v>
      </c>
      <c r="E216" s="47"/>
      <c r="F216" s="22" t="s">
        <v>143</v>
      </c>
      <c r="G216" s="18"/>
      <c r="H216" s="18"/>
      <c r="I216" s="4" t="str">
        <f t="shared" si="24"/>
        <v>Defs</v>
      </c>
      <c r="J216" s="4" t="str">
        <f>IF(Table2[[#This Row],[!Type]]=J$1, J$1,"rg:None")</f>
        <v>rg:None</v>
      </c>
      <c r="K216" s="4" t="str">
        <f>IF(Table2[[#This Row],[!Type]]=K$1, K$1,"rg:None")</f>
        <v>rg:None</v>
      </c>
      <c r="L216" s="4" t="str">
        <f>IF(Table2[[#This Row],[!Type]]=L$1, L$1,"rg:None")</f>
        <v>rg:None</v>
      </c>
      <c r="M216" s="4" t="str">
        <f>IF(Table2[[#This Row],[!Type]]=M$1, M$1,"rg:None")</f>
        <v>rg:None</v>
      </c>
      <c r="N216" s="4" t="str">
        <f>IF(Table2[[#This Row],[!Type]]=N$1, N$1,"rg:None")</f>
        <v>rg:None</v>
      </c>
      <c r="O216" s="4" t="str">
        <f>IF(Table2[[#This Row],[!Type]]=O$1, O$1,"rg:None")</f>
        <v>rg:None</v>
      </c>
      <c r="P216" s="4" t="str">
        <f>IF(Table2[[#This Row],[!Type]]=P$1, P$1,"rg:None")</f>
        <v>links</v>
      </c>
      <c r="Q216" s="4" t="str">
        <f>IF(Table2[[#This Row],[!Type]]=Q$1, Q$1,"rg:None")</f>
        <v>rg:None</v>
      </c>
      <c r="R216" s="4" t="str">
        <f>IF(Table2[[#This Row],[!Type]]=R$1, R$1,"rg:None")</f>
        <v>rg:None</v>
      </c>
      <c r="S216" s="4" t="str">
        <f>IF(Table2[[#This Row],[!Type]]=S$1, S$1,"rg:None")</f>
        <v>rg:None</v>
      </c>
      <c r="T216" s="4" t="str">
        <f>IF(LEN(Table2[[#This Row],[!Length]]) &gt; 0, Table2[[#This Row],[!Length]], "rg:None")</f>
        <v>rg:None</v>
      </c>
      <c r="U216" s="4" t="str">
        <f>IF(LEN(Table2[[#This Row],[!Name]]) &gt; 0, Table2[[#This Row],[!Name]], "rg:None")</f>
        <v>notes</v>
      </c>
      <c r="V216" s="4" t="str">
        <f>IF(LEN(Table2[[#This Row],[!Description]]) &gt; 0, Table2[[#This Row],[!Description]], "rg:None")</f>
        <v>rg:None</v>
      </c>
      <c r="W216" s="4" t="str">
        <f>IF(LEN(Table2[[#This Row],[!FK]])&gt;0,Table2[[#This Row],[!FK]],"rg:None")</f>
        <v>Note</v>
      </c>
      <c r="X216" s="14" t="str">
        <f>IF(LEN(concatif2(A:A,Table2[[#This Row],[!Table]],G:G,"Y",D:D,",")) &gt; 0,"rg:[ { 'req' : '"&amp;concatif2(A:A,Table2[[#This Row],[!Table]],G:G,"Y",D:D,"' }, { 'req': '")&amp;"'} ]","rg:[]")</f>
        <v>rg:[ { 'req' : 'id' }, { 'req': 'ownerEquipmentCodePrefix' }, { 'req': 'organizationName' }, { 'req': 'meetsResidency' }, { 'req': 'localArea' }, { 'req': 'status'} ]</v>
      </c>
      <c r="Y216" s="4" t="str">
        <f>IF(LEN(Table2[[#This Row],[!Unique]])&gt;0,IF(Table2[[#This Row],[!Type]] = "id", "rg:None","rg:True"),"rg:None")</f>
        <v>rg:None</v>
      </c>
    </row>
    <row r="217" spans="1:25" x14ac:dyDescent="0.35">
      <c r="A217" s="21" t="s">
        <v>142</v>
      </c>
      <c r="B217" s="21" t="s">
        <v>19</v>
      </c>
      <c r="C217" s="72"/>
      <c r="D217" s="21" t="s">
        <v>172</v>
      </c>
      <c r="E217" s="47"/>
      <c r="F217" s="81" t="s">
        <v>155</v>
      </c>
      <c r="G217" s="18"/>
      <c r="H217" s="18"/>
      <c r="I217" s="4" t="str">
        <f t="shared" si="24"/>
        <v>Defs</v>
      </c>
      <c r="J217" s="4" t="str">
        <f>IF(Table2[[#This Row],[!Type]]=J$1, J$1,"rg:None")</f>
        <v>rg:None</v>
      </c>
      <c r="K217" s="4" t="str">
        <f>IF(Table2[[#This Row],[!Type]]=K$1, K$1,"rg:None")</f>
        <v>rg:None</v>
      </c>
      <c r="L217" s="4" t="str">
        <f>IF(Table2[[#This Row],[!Type]]=L$1, L$1,"rg:None")</f>
        <v>rg:None</v>
      </c>
      <c r="M217" s="4" t="str">
        <f>IF(Table2[[#This Row],[!Type]]=M$1, M$1,"rg:None")</f>
        <v>rg:None</v>
      </c>
      <c r="N217" s="4" t="str">
        <f>IF(Table2[[#This Row],[!Type]]=N$1, N$1,"rg:None")</f>
        <v>rg:None</v>
      </c>
      <c r="O217" s="4" t="str">
        <f>IF(Table2[[#This Row],[!Type]]=O$1, O$1,"rg:None")</f>
        <v>rg:None</v>
      </c>
      <c r="P217" s="4" t="str">
        <f>IF(Table2[[#This Row],[!Type]]=P$1, P$1,"rg:None")</f>
        <v>links</v>
      </c>
      <c r="Q217" s="4" t="str">
        <f>IF(Table2[[#This Row],[!Type]]=Q$1, Q$1,"rg:None")</f>
        <v>rg:None</v>
      </c>
      <c r="R217" s="4" t="str">
        <f>IF(Table2[[#This Row],[!Type]]=R$1, R$1,"rg:None")</f>
        <v>rg:None</v>
      </c>
      <c r="S217" s="4" t="str">
        <f>IF(Table2[[#This Row],[!Type]]=S$1, S$1,"rg:None")</f>
        <v>rg:None</v>
      </c>
      <c r="T217" s="4" t="str">
        <f>IF(LEN(Table2[[#This Row],[!Length]]) &gt; 0, Table2[[#This Row],[!Length]], "rg:None")</f>
        <v>rg:None</v>
      </c>
      <c r="U217" s="4" t="str">
        <f>IF(LEN(Table2[[#This Row],[!Name]]) &gt; 0, Table2[[#This Row],[!Name]], "rg:None")</f>
        <v>attachments</v>
      </c>
      <c r="V217" s="4" t="str">
        <f>IF(LEN(Table2[[#This Row],[!Description]]) &gt; 0, Table2[[#This Row],[!Description]], "rg:None")</f>
        <v>rg:None</v>
      </c>
      <c r="W217" s="4" t="str">
        <f>IF(LEN(Table2[[#This Row],[!FK]])&gt;0,Table2[[#This Row],[!FK]],"rg:None")</f>
        <v>Attachment</v>
      </c>
      <c r="X217" s="14" t="str">
        <f>IF(LEN(concatif2(A:A,Table2[[#This Row],[!Table]],G:G,"Y",D:D,",")) &gt; 0,"rg:[ { 'req' : '"&amp;concatif2(A:A,Table2[[#This Row],[!Table]],G:G,"Y",D:D,"' }, { 'req': '")&amp;"'} ]","rg:[]")</f>
        <v>rg:[ { 'req' : 'id' }, { 'req': 'ownerEquipmentCodePrefix' }, { 'req': 'organizationName' }, { 'req': 'meetsResidency' }, { 'req': 'localArea' }, { 'req': 'status'} ]</v>
      </c>
      <c r="Y217" s="4" t="str">
        <f>IF(LEN(Table2[[#This Row],[!Unique]])&gt;0,IF(Table2[[#This Row],[!Type]] = "id", "rg:None","rg:True"),"rg:None")</f>
        <v>rg:None</v>
      </c>
    </row>
    <row r="218" spans="1:25" x14ac:dyDescent="0.35">
      <c r="A218" s="21" t="s">
        <v>142</v>
      </c>
      <c r="B218" s="21" t="s">
        <v>19</v>
      </c>
      <c r="C218" s="72"/>
      <c r="D218" s="21" t="s">
        <v>174</v>
      </c>
      <c r="E218" s="47"/>
      <c r="F218" s="82" t="s">
        <v>157</v>
      </c>
      <c r="G218" s="18"/>
      <c r="H218" s="18"/>
      <c r="I218" s="4" t="str">
        <f t="shared" si="24"/>
        <v>Defs</v>
      </c>
      <c r="J218" s="4" t="str">
        <f>IF(Table2[[#This Row],[!Type]]=J$1, J$1,"rg:None")</f>
        <v>rg:None</v>
      </c>
      <c r="K218" s="4" t="str">
        <f>IF(Table2[[#This Row],[!Type]]=K$1, K$1,"rg:None")</f>
        <v>rg:None</v>
      </c>
      <c r="L218" s="4" t="str">
        <f>IF(Table2[[#This Row],[!Type]]=L$1, L$1,"rg:None")</f>
        <v>rg:None</v>
      </c>
      <c r="M218" s="4" t="str">
        <f>IF(Table2[[#This Row],[!Type]]=M$1, M$1,"rg:None")</f>
        <v>rg:None</v>
      </c>
      <c r="N218" s="4" t="str">
        <f>IF(Table2[[#This Row],[!Type]]=N$1, N$1,"rg:None")</f>
        <v>rg:None</v>
      </c>
      <c r="O218" s="4" t="str">
        <f>IF(Table2[[#This Row],[!Type]]=O$1, O$1,"rg:None")</f>
        <v>rg:None</v>
      </c>
      <c r="P218" s="4" t="str">
        <f>IF(Table2[[#This Row],[!Type]]=P$1, P$1,"rg:None")</f>
        <v>links</v>
      </c>
      <c r="Q218" s="4" t="str">
        <f>IF(Table2[[#This Row],[!Type]]=Q$1, Q$1,"rg:None")</f>
        <v>rg:None</v>
      </c>
      <c r="R218" s="4" t="str">
        <f>IF(Table2[[#This Row],[!Type]]=R$1, R$1,"rg:None")</f>
        <v>rg:None</v>
      </c>
      <c r="S218" s="4" t="str">
        <f>IF(Table2[[#This Row],[!Type]]=S$1, S$1,"rg:None")</f>
        <v>rg:None</v>
      </c>
      <c r="T218" s="4" t="str">
        <f>IF(LEN(Table2[[#This Row],[!Length]]) &gt; 0, Table2[[#This Row],[!Length]], "rg:None")</f>
        <v>rg:None</v>
      </c>
      <c r="U218" s="4" t="str">
        <f>IF(LEN(Table2[[#This Row],[!Name]]) &gt; 0, Table2[[#This Row],[!Name]], "rg:None")</f>
        <v>history</v>
      </c>
      <c r="V218" s="4" t="str">
        <f>IF(LEN(Table2[[#This Row],[!Description]]) &gt; 0, Table2[[#This Row],[!Description]], "rg:None")</f>
        <v>rg:None</v>
      </c>
      <c r="W218" s="4" t="str">
        <f>IF(LEN(Table2[[#This Row],[!FK]])&gt;0,Table2[[#This Row],[!FK]],"rg:None")</f>
        <v>History</v>
      </c>
      <c r="X218" s="14" t="str">
        <f>IF(LEN(concatif2(A:A,Table2[[#This Row],[!Table]],G:G,"Y",D:D,",")) &gt; 0,"rg:[ { 'req' : '"&amp;concatif2(A:A,Table2[[#This Row],[!Table]],G:G,"Y",D:D,"' }, { 'req': '")&amp;"'} ]","rg:[]")</f>
        <v>rg:[ { 'req' : 'id' }, { 'req': 'ownerEquipmentCodePrefix' }, { 'req': 'organizationName' }, { 'req': 'meetsResidency' }, { 'req': 'localArea' }, { 'req': 'status'} ]</v>
      </c>
      <c r="Y218" s="4" t="str">
        <f>IF(LEN(Table2[[#This Row],[!Unique]])&gt;0,IF(Table2[[#This Row],[!Type]] = "id", "rg:None","rg:True"),"rg:None")</f>
        <v>rg:None</v>
      </c>
    </row>
    <row r="219" spans="1:25" ht="43.2" x14ac:dyDescent="0.35">
      <c r="A219" s="150" t="s">
        <v>577</v>
      </c>
      <c r="B219" s="145" t="s">
        <v>4</v>
      </c>
      <c r="C219" s="72"/>
      <c r="D219" s="151" t="s">
        <v>577</v>
      </c>
      <c r="E219" s="146" t="s">
        <v>566</v>
      </c>
      <c r="F219" s="12"/>
      <c r="G219" s="18"/>
      <c r="H219" s="18"/>
      <c r="I219" s="4" t="str">
        <f t="shared" ref="I219:I225" si="25">IF(LEN(A219) &gt; 0,"Defs","-")</f>
        <v>Defs</v>
      </c>
      <c r="J219" s="4" t="str">
        <f>IF(Table2[[#This Row],[!Type]]=J$1, J$1,"rg:None")</f>
        <v>rg:None</v>
      </c>
      <c r="K219" s="4" t="str">
        <f>IF(Table2[[#This Row],[!Type]]=K$1, K$1,"rg:None")</f>
        <v>rg:None</v>
      </c>
      <c r="L219" s="4" t="str">
        <f>IF(Table2[[#This Row],[!Type]]=L$1, L$1,"rg:None")</f>
        <v>rg:None</v>
      </c>
      <c r="M219" s="4" t="str">
        <f>IF(Table2[[#This Row],[!Type]]=M$1, M$1,"rg:None")</f>
        <v>rg:None</v>
      </c>
      <c r="N219" s="4" t="str">
        <f>IF(Table2[[#This Row],[!Type]]=N$1, N$1,"rg:None")</f>
        <v>rg:None</v>
      </c>
      <c r="O219" s="4" t="str">
        <f>IF(Table2[[#This Row],[!Type]]=O$1, O$1,"rg:None")</f>
        <v>rg:None</v>
      </c>
      <c r="P219" s="4" t="str">
        <f>IF(Table2[[#This Row],[!Type]]=P$1, P$1,"rg:None")</f>
        <v>rg:None</v>
      </c>
      <c r="Q219" s="4" t="str">
        <f>IF(Table2[[#This Row],[!Type]]=Q$1, Q$1,"rg:None")</f>
        <v>rg:None</v>
      </c>
      <c r="R219" s="4" t="str">
        <f>IF(Table2[[#This Row],[!Type]]=R$1, R$1,"rg:None")</f>
        <v>rg:None</v>
      </c>
      <c r="S219" s="4" t="str">
        <f>IF(Table2[[#This Row],[!Type]]=S$1, S$1,"rg:None")</f>
        <v>table</v>
      </c>
      <c r="T219" s="4" t="str">
        <f>IF(LEN(Table2[[#This Row],[!Length]]) &gt; 0, Table2[[#This Row],[!Length]], "rg:None")</f>
        <v>rg:None</v>
      </c>
      <c r="U219" s="4" t="str">
        <f>IF(LEN(Table2[[#This Row],[!Name]]) &gt; 0, Table2[[#This Row],[!Name]], "rg:None")</f>
        <v>LookupList</v>
      </c>
      <c r="V219" s="4" t="str">
        <f>IF(LEN(Table2[[#This Row],[!Description]]) &gt; 0, Table2[[#This Row],[!Description]], "rg:None")</f>
        <v>Lookup values for various enumerated types in the systems - entity status values, rate types, conditions and others. Used to pull the values out of the code and into the database but without having to have a table for each lookup instance.</v>
      </c>
      <c r="W219" s="4" t="str">
        <f>IF(LEN(Table2[[#This Row],[!FK]])&gt;0,Table2[[#This Row],[!FK]],"rg:None")</f>
        <v>rg:None</v>
      </c>
      <c r="X219" s="14" t="str">
        <f>IF(LEN(concatif2(A:A,Table2[[#This Row],[!Table]],G:G,"Y",D:D,",")) &gt; 0,"rg:[ { 'req' : '"&amp;concatif2(A:A,Table2[[#This Row],[!Table]],G:G,"Y",D:D,"' }, { 'req': '")&amp;"'} ]","rg:[]")</f>
        <v>rg:[ { 'req' : 'id' }, { 'req': 'contextName' }, { 'req': 'isDefault' }, { 'req': 'codeName' }, { 'req': 'value'} ]</v>
      </c>
      <c r="Y219" s="4" t="str">
        <f>IF(LEN(Table2[[#This Row],[!Unique]])&gt;0,IF(Table2[[#This Row],[!Type]] = "id", "rg:None","rg:True"),"rg:None")</f>
        <v>rg:None</v>
      </c>
    </row>
    <row r="220" spans="1:25" x14ac:dyDescent="0.3">
      <c r="A220" s="150" t="s">
        <v>577</v>
      </c>
      <c r="B220" s="145" t="s">
        <v>6</v>
      </c>
      <c r="C220" s="72"/>
      <c r="D220" s="145" t="s">
        <v>6</v>
      </c>
      <c r="E220" s="147" t="s">
        <v>567</v>
      </c>
      <c r="F220" s="12"/>
      <c r="G220" s="148" t="s">
        <v>59</v>
      </c>
      <c r="H220" s="148" t="s">
        <v>59</v>
      </c>
      <c r="I220" s="4" t="str">
        <f t="shared" si="25"/>
        <v>Defs</v>
      </c>
      <c r="J220" s="4" t="str">
        <f>IF(Table2[[#This Row],[!Type]]=J$1, J$1,"rg:None")</f>
        <v>rg:None</v>
      </c>
      <c r="K220" s="4" t="str">
        <f>IF(Table2[[#This Row],[!Type]]=K$1, K$1,"rg:None")</f>
        <v>rg:None</v>
      </c>
      <c r="L220" s="4" t="str">
        <f>IF(Table2[[#This Row],[!Type]]=L$1, L$1,"rg:None")</f>
        <v>rg:None</v>
      </c>
      <c r="M220" s="4" t="str">
        <f>IF(Table2[[#This Row],[!Type]]=M$1, M$1,"rg:None")</f>
        <v>id</v>
      </c>
      <c r="N220" s="4" t="str">
        <f>IF(Table2[[#This Row],[!Type]]=N$1, N$1,"rg:None")</f>
        <v>rg:None</v>
      </c>
      <c r="O220" s="4" t="str">
        <f>IF(Table2[[#This Row],[!Type]]=O$1, O$1,"rg:None")</f>
        <v>rg:None</v>
      </c>
      <c r="P220" s="4" t="str">
        <f>IF(Table2[[#This Row],[!Type]]=P$1, P$1,"rg:None")</f>
        <v>rg:None</v>
      </c>
      <c r="Q220" s="4" t="str">
        <f>IF(Table2[[#This Row],[!Type]]=Q$1, Q$1,"rg:None")</f>
        <v>rg:None</v>
      </c>
      <c r="R220" s="4" t="str">
        <f>IF(Table2[[#This Row],[!Type]]=R$1, R$1,"rg:None")</f>
        <v>rg:None</v>
      </c>
      <c r="S220" s="4" t="str">
        <f>IF(Table2[[#This Row],[!Type]]=S$1, S$1,"rg:None")</f>
        <v>rg:None</v>
      </c>
      <c r="T220" s="4" t="str">
        <f>IF(LEN(Table2[[#This Row],[!Length]]) &gt; 0, Table2[[#This Row],[!Length]], "rg:None")</f>
        <v>rg:None</v>
      </c>
      <c r="U220" s="4" t="str">
        <f>IF(LEN(Table2[[#This Row],[!Name]]) &gt; 0, Table2[[#This Row],[!Name]], "rg:None")</f>
        <v>id</v>
      </c>
      <c r="V220" s="4" t="str">
        <f>IF(LEN(Table2[[#This Row],[!Description]]) &gt; 0, Table2[[#This Row],[!Description]], "rg:None")</f>
        <v>A system-generated unique identifier for a LookupList</v>
      </c>
      <c r="W220" s="4" t="str">
        <f>IF(LEN(Table2[[#This Row],[!FK]])&gt;0,Table2[[#This Row],[!FK]],"rg:None")</f>
        <v>rg:None</v>
      </c>
      <c r="X220" s="14" t="str">
        <f>IF(LEN(concatif2(A:A,Table2[[#This Row],[!Table]],G:G,"Y",D:D,",")) &gt; 0,"rg:[ { 'req' : '"&amp;concatif2(A:A,Table2[[#This Row],[!Table]],G:G,"Y",D:D,"' }, { 'req': '")&amp;"'} ]","rg:[]")</f>
        <v>rg:[ { 'req' : 'id' }, { 'req': 'contextName' }, { 'req': 'isDefault' }, { 'req': 'codeName' }, { 'req': 'value'} ]</v>
      </c>
      <c r="Y220" s="4" t="str">
        <f>IF(LEN(Table2[[#This Row],[!Unique]])&gt;0,IF(Table2[[#This Row],[!Type]] = "id", "rg:None","rg:True"),"rg:None")</f>
        <v>rg:None</v>
      </c>
    </row>
    <row r="221" spans="1:25" ht="28.8" x14ac:dyDescent="0.35">
      <c r="A221" s="150" t="s">
        <v>577</v>
      </c>
      <c r="B221" s="145" t="s">
        <v>7</v>
      </c>
      <c r="C221" s="72">
        <v>100</v>
      </c>
      <c r="D221" s="145" t="s">
        <v>568</v>
      </c>
      <c r="E221" s="146" t="s">
        <v>569</v>
      </c>
      <c r="F221" s="12"/>
      <c r="G221" s="154" t="s">
        <v>59</v>
      </c>
      <c r="H221" s="18"/>
      <c r="I221" s="4" t="str">
        <f t="shared" si="25"/>
        <v>Defs</v>
      </c>
      <c r="J221" s="4" t="str">
        <f>IF(Table2[[#This Row],[!Type]]=J$1, J$1,"rg:None")</f>
        <v>rg:None</v>
      </c>
      <c r="K221" s="4" t="str">
        <f>IF(Table2[[#This Row],[!Type]]=K$1, K$1,"rg:None")</f>
        <v>rg:None</v>
      </c>
      <c r="L221" s="4" t="str">
        <f>IF(Table2[[#This Row],[!Type]]=L$1, L$1,"rg:None")</f>
        <v>rg:None</v>
      </c>
      <c r="M221" s="4" t="str">
        <f>IF(Table2[[#This Row],[!Type]]=M$1, M$1,"rg:None")</f>
        <v>rg:None</v>
      </c>
      <c r="N221" s="4" t="str">
        <f>IF(Table2[[#This Row],[!Type]]=N$1, N$1,"rg:None")</f>
        <v>rg:None</v>
      </c>
      <c r="O221" s="4" t="str">
        <f>IF(Table2[[#This Row],[!Type]]=O$1, O$1,"rg:None")</f>
        <v>rg:None</v>
      </c>
      <c r="P221" s="4" t="str">
        <f>IF(Table2[[#This Row],[!Type]]=P$1, P$1,"rg:None")</f>
        <v>rg:None</v>
      </c>
      <c r="Q221" s="4" t="str">
        <f>IF(Table2[[#This Row],[!Type]]=Q$1, Q$1,"rg:None")</f>
        <v>rg:None</v>
      </c>
      <c r="R221" s="4" t="str">
        <f>IF(Table2[[#This Row],[!Type]]=R$1, R$1,"rg:None")</f>
        <v>string</v>
      </c>
      <c r="S221" s="4" t="str">
        <f>IF(Table2[[#This Row],[!Type]]=S$1, S$1,"rg:None")</f>
        <v>rg:None</v>
      </c>
      <c r="T221" s="4">
        <f>IF(LEN(Table2[[#This Row],[!Length]]) &gt; 0, Table2[[#This Row],[!Length]], "rg:None")</f>
        <v>100</v>
      </c>
      <c r="U221" s="4" t="str">
        <f>IF(LEN(Table2[[#This Row],[!Name]]) &gt; 0, Table2[[#This Row],[!Name]], "rg:None")</f>
        <v>contextName</v>
      </c>
      <c r="V221" s="4" t="str">
        <f>IF(LEN(Table2[[#This Row],[!Description]]) &gt; 0, Table2[[#This Row],[!Description]], "rg:None")</f>
        <v>The context within the app in which this lookup list if used. Defined and referenced in the code of the application.</v>
      </c>
      <c r="W221" s="4" t="str">
        <f>IF(LEN(Table2[[#This Row],[!FK]])&gt;0,Table2[[#This Row],[!FK]],"rg:None")</f>
        <v>rg:None</v>
      </c>
      <c r="X221" s="14" t="str">
        <f>IF(LEN(concatif2(A:A,Table2[[#This Row],[!Table]],G:G,"Y",D:D,",")) &gt; 0,"rg:[ { 'req' : '"&amp;concatif2(A:A,Table2[[#This Row],[!Table]],G:G,"Y",D:D,"' }, { 'req': '")&amp;"'} ]","rg:[]")</f>
        <v>rg:[ { 'req' : 'id' }, { 'req': 'contextName' }, { 'req': 'isDefault' }, { 'req': 'codeName' }, { 'req': 'value'} ]</v>
      </c>
      <c r="Y221" s="4" t="str">
        <f>IF(LEN(Table2[[#This Row],[!Unique]])&gt;0,IF(Table2[[#This Row],[!Type]] = "id", "rg:None","rg:True"),"rg:None")</f>
        <v>rg:None</v>
      </c>
    </row>
    <row r="222" spans="1:25" ht="28.8" x14ac:dyDescent="0.35">
      <c r="A222" s="150" t="s">
        <v>577</v>
      </c>
      <c r="B222" s="145" t="s">
        <v>9</v>
      </c>
      <c r="C222" s="72"/>
      <c r="D222" s="145" t="s">
        <v>26</v>
      </c>
      <c r="E222" s="146" t="s">
        <v>570</v>
      </c>
      <c r="F222" s="12"/>
      <c r="G222" s="154" t="s">
        <v>59</v>
      </c>
      <c r="H222" s="18"/>
      <c r="I222" s="4" t="str">
        <f t="shared" si="25"/>
        <v>Defs</v>
      </c>
      <c r="J222" s="4" t="str">
        <f>IF(Table2[[#This Row],[!Type]]=J$1, J$1,"rg:None")</f>
        <v>boolean</v>
      </c>
      <c r="K222" s="4" t="str">
        <f>IF(Table2[[#This Row],[!Type]]=K$1, K$1,"rg:None")</f>
        <v>rg:None</v>
      </c>
      <c r="L222" s="4" t="str">
        <f>IF(Table2[[#This Row],[!Type]]=L$1, L$1,"rg:None")</f>
        <v>rg:None</v>
      </c>
      <c r="M222" s="4" t="str">
        <f>IF(Table2[[#This Row],[!Type]]=M$1, M$1,"rg:None")</f>
        <v>rg:None</v>
      </c>
      <c r="N222" s="4" t="str">
        <f>IF(Table2[[#This Row],[!Type]]=N$1, N$1,"rg:None")</f>
        <v>rg:None</v>
      </c>
      <c r="O222" s="4" t="str">
        <f>IF(Table2[[#This Row],[!Type]]=O$1, O$1,"rg:None")</f>
        <v>rg:None</v>
      </c>
      <c r="P222" s="4" t="str">
        <f>IF(Table2[[#This Row],[!Type]]=P$1, P$1,"rg:None")</f>
        <v>rg:None</v>
      </c>
      <c r="Q222" s="4" t="str">
        <f>IF(Table2[[#This Row],[!Type]]=Q$1, Q$1,"rg:None")</f>
        <v>rg:None</v>
      </c>
      <c r="R222" s="4" t="str">
        <f>IF(Table2[[#This Row],[!Type]]=R$1, R$1,"rg:None")</f>
        <v>rg:None</v>
      </c>
      <c r="S222" s="4" t="str">
        <f>IF(Table2[[#This Row],[!Type]]=S$1, S$1,"rg:None")</f>
        <v>rg:None</v>
      </c>
      <c r="T222" s="4" t="str">
        <f>IF(LEN(Table2[[#This Row],[!Length]]) &gt; 0, Table2[[#This Row],[!Length]], "rg:None")</f>
        <v>rg:None</v>
      </c>
      <c r="U222" s="4" t="str">
        <f>IF(LEN(Table2[[#This Row],[!Name]]) &gt; 0, Table2[[#This Row],[!Name]], "rg:None")</f>
        <v>isDefault</v>
      </c>
      <c r="V222" s="4" t="str">
        <f>IF(LEN(Table2[[#This Row],[!Description]]) &gt; 0, Table2[[#This Row],[!Description]], "rg:None")</f>
        <v>True of the value within the lookup list context should be the default for the lookup instance.</v>
      </c>
      <c r="W222" s="4" t="str">
        <f>IF(LEN(Table2[[#This Row],[!FK]])&gt;0,Table2[[#This Row],[!FK]],"rg:None")</f>
        <v>rg:None</v>
      </c>
      <c r="X222" s="14" t="str">
        <f>IF(LEN(concatif2(A:A,Table2[[#This Row],[!Table]],G:G,"Y",D:D,",")) &gt; 0,"rg:[ { 'req' : '"&amp;concatif2(A:A,Table2[[#This Row],[!Table]],G:G,"Y",D:D,"' }, { 'req': '")&amp;"'} ]","rg:[]")</f>
        <v>rg:[ { 'req' : 'id' }, { 'req': 'contextName' }, { 'req': 'isDefault' }, { 'req': 'codeName' }, { 'req': 'value'} ]</v>
      </c>
      <c r="Y222" s="4" t="str">
        <f>IF(LEN(Table2[[#This Row],[!Unique]])&gt;0,IF(Table2[[#This Row],[!Type]] = "id", "rg:None","rg:True"),"rg:None")</f>
        <v>rg:None</v>
      </c>
    </row>
    <row r="223" spans="1:25" x14ac:dyDescent="0.35">
      <c r="A223" s="150" t="s">
        <v>577</v>
      </c>
      <c r="B223" s="145" t="s">
        <v>13</v>
      </c>
      <c r="C223" s="72"/>
      <c r="D223" s="145" t="s">
        <v>571</v>
      </c>
      <c r="E223" s="146" t="s">
        <v>572</v>
      </c>
      <c r="F223" s="12"/>
      <c r="G223" s="18"/>
      <c r="H223" s="18"/>
      <c r="I223" s="4" t="str">
        <f t="shared" si="25"/>
        <v>Defs</v>
      </c>
      <c r="J223" s="4" t="str">
        <f>IF(Table2[[#This Row],[!Type]]=J$1, J$1,"rg:None")</f>
        <v>rg:None</v>
      </c>
      <c r="K223" s="4" t="str">
        <f>IF(Table2[[#This Row],[!Type]]=K$1, K$1,"rg:None")</f>
        <v>rg:None</v>
      </c>
      <c r="L223" s="4" t="str">
        <f>IF(Table2[[#This Row],[!Type]]=L$1, L$1,"rg:None")</f>
        <v>rg:None</v>
      </c>
      <c r="M223" s="4" t="str">
        <f>IF(Table2[[#This Row],[!Type]]=M$1, M$1,"rg:None")</f>
        <v>rg:None</v>
      </c>
      <c r="N223" s="4" t="str">
        <f>IF(Table2[[#This Row],[!Type]]=N$1, N$1,"rg:None")</f>
        <v>integer</v>
      </c>
      <c r="O223" s="4" t="str">
        <f>IF(Table2[[#This Row],[!Type]]=O$1, O$1,"rg:None")</f>
        <v>rg:None</v>
      </c>
      <c r="P223" s="4" t="str">
        <f>IF(Table2[[#This Row],[!Type]]=P$1, P$1,"rg:None")</f>
        <v>rg:None</v>
      </c>
      <c r="Q223" s="4" t="str">
        <f>IF(Table2[[#This Row],[!Type]]=Q$1, Q$1,"rg:None")</f>
        <v>rg:None</v>
      </c>
      <c r="R223" s="4" t="str">
        <f>IF(Table2[[#This Row],[!Type]]=R$1, R$1,"rg:None")</f>
        <v>rg:None</v>
      </c>
      <c r="S223" s="4" t="str">
        <f>IF(Table2[[#This Row],[!Type]]=S$1, S$1,"rg:None")</f>
        <v>rg:None</v>
      </c>
      <c r="T223" s="4" t="str">
        <f>IF(LEN(Table2[[#This Row],[!Length]]) &gt; 0, Table2[[#This Row],[!Length]], "rg:None")</f>
        <v>rg:None</v>
      </c>
      <c r="U223" s="4" t="str">
        <f>IF(LEN(Table2[[#This Row],[!Name]]) &gt; 0, Table2[[#This Row],[!Name]], "rg:None")</f>
        <v>displaySortOrder</v>
      </c>
      <c r="V223" s="4" t="str">
        <f>IF(LEN(Table2[[#This Row],[!Description]]) &gt; 0, Table2[[#This Row],[!Description]], "rg:None")</f>
        <v>The sort order for list of values within a list context.</v>
      </c>
      <c r="W223" s="4" t="str">
        <f>IF(LEN(Table2[[#This Row],[!FK]])&gt;0,Table2[[#This Row],[!FK]],"rg:None")</f>
        <v>rg:None</v>
      </c>
      <c r="X223" s="14" t="str">
        <f>IF(LEN(concatif2(A:A,Table2[[#This Row],[!Table]],G:G,"Y",D:D,",")) &gt; 0,"rg:[ { 'req' : '"&amp;concatif2(A:A,Table2[[#This Row],[!Table]],G:G,"Y",D:D,"' }, { 'req': '")&amp;"'} ]","rg:[]")</f>
        <v>rg:[ { 'req' : 'id' }, { 'req': 'contextName' }, { 'req': 'isDefault' }, { 'req': 'codeName' }, { 'req': 'value'} ]</v>
      </c>
      <c r="Y223" s="4" t="str">
        <f>IF(LEN(Table2[[#This Row],[!Unique]])&gt;0,IF(Table2[[#This Row],[!Type]] = "id", "rg:None","rg:True"),"rg:None")</f>
        <v>rg:None</v>
      </c>
    </row>
    <row r="224" spans="1:25" ht="28.8" x14ac:dyDescent="0.35">
      <c r="A224" s="150" t="s">
        <v>577</v>
      </c>
      <c r="B224" s="145" t="s">
        <v>7</v>
      </c>
      <c r="C224" s="72">
        <v>30</v>
      </c>
      <c r="D224" s="145" t="s">
        <v>573</v>
      </c>
      <c r="E224" s="146" t="s">
        <v>575</v>
      </c>
      <c r="F224" s="12"/>
      <c r="G224" s="154" t="s">
        <v>59</v>
      </c>
      <c r="H224" s="18"/>
      <c r="I224" s="4" t="str">
        <f t="shared" si="25"/>
        <v>Defs</v>
      </c>
      <c r="J224" s="4" t="str">
        <f>IF(Table2[[#This Row],[!Type]]=J$1, J$1,"rg:None")</f>
        <v>rg:None</v>
      </c>
      <c r="K224" s="4" t="str">
        <f>IF(Table2[[#This Row],[!Type]]=K$1, K$1,"rg:None")</f>
        <v>rg:None</v>
      </c>
      <c r="L224" s="4" t="str">
        <f>IF(Table2[[#This Row],[!Type]]=L$1, L$1,"rg:None")</f>
        <v>rg:None</v>
      </c>
      <c r="M224" s="4" t="str">
        <f>IF(Table2[[#This Row],[!Type]]=M$1, M$1,"rg:None")</f>
        <v>rg:None</v>
      </c>
      <c r="N224" s="4" t="str">
        <f>IF(Table2[[#This Row],[!Type]]=N$1, N$1,"rg:None")</f>
        <v>rg:None</v>
      </c>
      <c r="O224" s="4" t="str">
        <f>IF(Table2[[#This Row],[!Type]]=O$1, O$1,"rg:None")</f>
        <v>rg:None</v>
      </c>
      <c r="P224" s="4" t="str">
        <f>IF(Table2[[#This Row],[!Type]]=P$1, P$1,"rg:None")</f>
        <v>rg:None</v>
      </c>
      <c r="Q224" s="4" t="str">
        <f>IF(Table2[[#This Row],[!Type]]=Q$1, Q$1,"rg:None")</f>
        <v>rg:None</v>
      </c>
      <c r="R224" s="4" t="str">
        <f>IF(Table2[[#This Row],[!Type]]=R$1, R$1,"rg:None")</f>
        <v>string</v>
      </c>
      <c r="S224" s="4" t="str">
        <f>IF(Table2[[#This Row],[!Type]]=S$1, S$1,"rg:None")</f>
        <v>rg:None</v>
      </c>
      <c r="T224" s="4">
        <f>IF(LEN(Table2[[#This Row],[!Length]]) &gt; 0, Table2[[#This Row],[!Length]], "rg:None")</f>
        <v>30</v>
      </c>
      <c r="U224" s="4" t="str">
        <f>IF(LEN(Table2[[#This Row],[!Name]]) &gt; 0, Table2[[#This Row],[!Name]], "rg:None")</f>
        <v>codeName</v>
      </c>
      <c r="V224" s="4" t="str">
        <f>IF(LEN(Table2[[#This Row],[!Description]]) &gt; 0, Table2[[#This Row],[!Description]], "rg:None")</f>
        <v>The a shorter lookup name to find the value. Can be used at the option of the application to present on the screen a short version of the lookup list value.</v>
      </c>
      <c r="W224" s="4" t="str">
        <f>IF(LEN(Table2[[#This Row],[!FK]])&gt;0,Table2[[#This Row],[!FK]],"rg:None")</f>
        <v>rg:None</v>
      </c>
      <c r="X224" s="14" t="str">
        <f>IF(LEN(concatif2(A:A,Table2[[#This Row],[!Table]],G:G,"Y",D:D,",")) &gt; 0,"rg:[ { 'req' : '"&amp;concatif2(A:A,Table2[[#This Row],[!Table]],G:G,"Y",D:D,"' }, { 'req': '")&amp;"'} ]","rg:[]")</f>
        <v>rg:[ { 'req' : 'id' }, { 'req': 'contextName' }, { 'req': 'isDefault' }, { 'req': 'codeName' }, { 'req': 'value'} ]</v>
      </c>
      <c r="Y224" s="4" t="str">
        <f>IF(LEN(Table2[[#This Row],[!Unique]])&gt;0,IF(Table2[[#This Row],[!Type]] = "id", "rg:None","rg:True"),"rg:None")</f>
        <v>rg:None</v>
      </c>
    </row>
    <row r="225" spans="1:25" x14ac:dyDescent="0.35">
      <c r="A225" s="150" t="s">
        <v>577</v>
      </c>
      <c r="B225" s="145" t="s">
        <v>7</v>
      </c>
      <c r="C225" s="72">
        <v>100</v>
      </c>
      <c r="D225" s="145" t="s">
        <v>24</v>
      </c>
      <c r="E225" s="146" t="s">
        <v>574</v>
      </c>
      <c r="F225" s="12"/>
      <c r="G225" s="154" t="s">
        <v>59</v>
      </c>
      <c r="H225" s="18"/>
      <c r="I225" s="4" t="str">
        <f t="shared" si="25"/>
        <v>Defs</v>
      </c>
      <c r="J225" s="4" t="str">
        <f>IF(Table2[[#This Row],[!Type]]=J$1, J$1,"rg:None")</f>
        <v>rg:None</v>
      </c>
      <c r="K225" s="4" t="str">
        <f>IF(Table2[[#This Row],[!Type]]=K$1, K$1,"rg:None")</f>
        <v>rg:None</v>
      </c>
      <c r="L225" s="4" t="str">
        <f>IF(Table2[[#This Row],[!Type]]=L$1, L$1,"rg:None")</f>
        <v>rg:None</v>
      </c>
      <c r="M225" s="4" t="str">
        <f>IF(Table2[[#This Row],[!Type]]=M$1, M$1,"rg:None")</f>
        <v>rg:None</v>
      </c>
      <c r="N225" s="4" t="str">
        <f>IF(Table2[[#This Row],[!Type]]=N$1, N$1,"rg:None")</f>
        <v>rg:None</v>
      </c>
      <c r="O225" s="4" t="str">
        <f>IF(Table2[[#This Row],[!Type]]=O$1, O$1,"rg:None")</f>
        <v>rg:None</v>
      </c>
      <c r="P225" s="4" t="str">
        <f>IF(Table2[[#This Row],[!Type]]=P$1, P$1,"rg:None")</f>
        <v>rg:None</v>
      </c>
      <c r="Q225" s="4" t="str">
        <f>IF(Table2[[#This Row],[!Type]]=Q$1, Q$1,"rg:None")</f>
        <v>rg:None</v>
      </c>
      <c r="R225" s="4" t="str">
        <f>IF(Table2[[#This Row],[!Type]]=R$1, R$1,"rg:None")</f>
        <v>string</v>
      </c>
      <c r="S225" s="4" t="str">
        <f>IF(Table2[[#This Row],[!Type]]=S$1, S$1,"rg:None")</f>
        <v>rg:None</v>
      </c>
      <c r="T225" s="4">
        <f>IF(LEN(Table2[[#This Row],[!Length]]) &gt; 0, Table2[[#This Row],[!Length]], "rg:None")</f>
        <v>100</v>
      </c>
      <c r="U225" s="4" t="str">
        <f>IF(LEN(Table2[[#This Row],[!Name]]) &gt; 0, Table2[[#This Row],[!Name]], "rg:None")</f>
        <v>value</v>
      </c>
      <c r="V225" s="4" t="str">
        <f>IF(LEN(Table2[[#This Row],[!Description]]) &gt; 0, Table2[[#This Row],[!Description]], "rg:None")</f>
        <v>The fully spelled out value of the lookup entry.</v>
      </c>
      <c r="W225" s="4" t="str">
        <f>IF(LEN(Table2[[#This Row],[!FK]])&gt;0,Table2[[#This Row],[!FK]],"rg:None")</f>
        <v>rg:None</v>
      </c>
      <c r="X225" s="14" t="str">
        <f>IF(LEN(concatif2(A:A,Table2[[#This Row],[!Table]],G:G,"Y",D:D,",")) &gt; 0,"rg:[ { 'req' : '"&amp;concatif2(A:A,Table2[[#This Row],[!Table]],G:G,"Y",D:D,"' }, { 'req': '")&amp;"'} ]","rg:[]")</f>
        <v>rg:[ { 'req' : 'id' }, { 'req': 'contextName' }, { 'req': 'isDefault' }, { 'req': 'codeName' }, { 'req': 'value'} ]</v>
      </c>
      <c r="Y225" s="4" t="str">
        <f>IF(LEN(Table2[[#This Row],[!Unique]])&gt;0,IF(Table2[[#This Row],[!Type]] = "id", "rg:None","rg:True"),"rg:None")</f>
        <v>rg:None</v>
      </c>
    </row>
    <row r="226" spans="1:25" ht="28.8" x14ac:dyDescent="0.35">
      <c r="A226" s="81" t="s">
        <v>169</v>
      </c>
      <c r="B226" s="5" t="s">
        <v>4</v>
      </c>
      <c r="D226" s="81" t="s">
        <v>169</v>
      </c>
      <c r="E226" s="76" t="s">
        <v>359</v>
      </c>
      <c r="F226" s="5" t="s">
        <v>5</v>
      </c>
      <c r="G226" s="4"/>
      <c r="H226" s="4"/>
      <c r="I226" s="5" t="str">
        <f t="shared" ref="I226:I241" si="26">IF(LEN(A226) &gt; 0,"Defs","-")</f>
        <v>Defs</v>
      </c>
      <c r="J226" s="4" t="str">
        <f>IF(Table2[[#This Row],[!Type]]=J$1, J$1,"rg:None")</f>
        <v>rg:None</v>
      </c>
      <c r="K226" s="4" t="str">
        <f>IF(Table2[[#This Row],[!Type]]=K$1, K$1,"rg:None")</f>
        <v>rg:None</v>
      </c>
      <c r="L226" s="4" t="str">
        <f>IF(Table2[[#This Row],[!Type]]=L$1, L$1,"rg:None")</f>
        <v>rg:None</v>
      </c>
      <c r="M226" s="4" t="str">
        <f>IF(Table2[[#This Row],[!Type]]=M$1, M$1,"rg:None")</f>
        <v>rg:None</v>
      </c>
      <c r="N226" s="4" t="str">
        <f>IF(Table2[[#This Row],[!Type]]=N$1, N$1,"rg:None")</f>
        <v>rg:None</v>
      </c>
      <c r="O226" s="4" t="str">
        <f>IF(Table2[[#This Row],[!Type]]=O$1, O$1,"rg:None")</f>
        <v>rg:None</v>
      </c>
      <c r="P226" s="4" t="str">
        <f>IF(Table2[[#This Row],[!Type]]=P$1, P$1,"rg:None")</f>
        <v>rg:None</v>
      </c>
      <c r="Q226" s="4" t="str">
        <f>IF(Table2[[#This Row],[!Type]]=Q$1, Q$1,"rg:None")</f>
        <v>rg:None</v>
      </c>
      <c r="R226" s="4" t="str">
        <f>IF(Table2[[#This Row],[!Type]]=R$1, R$1,"rg:None")</f>
        <v>rg:None</v>
      </c>
      <c r="S226" s="4" t="str">
        <f>IF(Table2[[#This Row],[!Type]]=S$1, S$1,"rg:None")</f>
        <v>table</v>
      </c>
      <c r="T226" s="4" t="str">
        <f>IF(LEN(Table2[[#This Row],[!Length]]) &gt; 0, Table2[[#This Row],[!Length]], "rg:None")</f>
        <v>rg:None</v>
      </c>
      <c r="U226" s="4" t="str">
        <f>IF(LEN(Table2[[#This Row],[!Name]]) &gt; 0, Table2[[#This Row],[!Name]], "rg:None")</f>
        <v>Contact</v>
      </c>
      <c r="V226" s="4" t="str">
        <f>IF(LEN(Table2[[#This Row],[!Description]]) &gt; 0, Table2[[#This Row],[!Description]], "rg:None")</f>
        <v>A person and their related contact information linked to one or more entities in the system. For examples, there are contacts for Owners, Projects.</v>
      </c>
      <c r="W226" s="4" t="str">
        <f>IF(LEN(Table2[[#This Row],[!FK]])&gt;0,Table2[[#This Row],[!FK]],"rg:None")</f>
        <v>rg:None</v>
      </c>
      <c r="X226" s="14" t="str">
        <f>IF(LEN(concatif2(A:A,Table2[[#This Row],[!Table]],G:G,"Y",D:D,",")) &gt; 0,"rg:[ { 'req' : '"&amp;concatif2(A:A,Table2[[#This Row],[!Table]],G:G,"Y",D:D,"' }, { 'req': '")&amp;"'} ]","rg:[]")</f>
        <v>rg:[ { 'req' : 'id'} ]</v>
      </c>
      <c r="Y226" s="4" t="str">
        <f>IF(LEN(Table2[[#This Row],[!Unique]])&gt;0,IF(Table2[[#This Row],[!Type]] = "id", "rg:None","rg:True"),"rg:None")</f>
        <v>rg:None</v>
      </c>
    </row>
    <row r="227" spans="1:25" x14ac:dyDescent="0.3">
      <c r="A227" s="117" t="s">
        <v>169</v>
      </c>
      <c r="B227" s="3" t="s">
        <v>6</v>
      </c>
      <c r="C227" s="3"/>
      <c r="D227" s="3" t="s">
        <v>6</v>
      </c>
      <c r="E227" s="118" t="s">
        <v>301</v>
      </c>
      <c r="F227" s="3" t="s">
        <v>5</v>
      </c>
      <c r="G227" s="4" t="s">
        <v>59</v>
      </c>
      <c r="H227" s="119" t="s">
        <v>59</v>
      </c>
      <c r="I227" s="5" t="str">
        <f t="shared" si="26"/>
        <v>Defs</v>
      </c>
      <c r="J227" s="4" t="str">
        <f>IF(Table2[[#This Row],[!Type]]=J$1, J$1,"rg:None")</f>
        <v>rg:None</v>
      </c>
      <c r="K227" s="4" t="str">
        <f>IF(Table2[[#This Row],[!Type]]=K$1, K$1,"rg:None")</f>
        <v>rg:None</v>
      </c>
      <c r="L227" s="4" t="str">
        <f>IF(Table2[[#This Row],[!Type]]=L$1, L$1,"rg:None")</f>
        <v>rg:None</v>
      </c>
      <c r="M227" s="4" t="str">
        <f>IF(Table2[[#This Row],[!Type]]=M$1, M$1,"rg:None")</f>
        <v>id</v>
      </c>
      <c r="N227" s="4" t="str">
        <f>IF(Table2[[#This Row],[!Type]]=N$1, N$1,"rg:None")</f>
        <v>rg:None</v>
      </c>
      <c r="O227" s="4" t="str">
        <f>IF(Table2[[#This Row],[!Type]]=O$1, O$1,"rg:None")</f>
        <v>rg:None</v>
      </c>
      <c r="P227" s="4" t="str">
        <f>IF(Table2[[#This Row],[!Type]]=P$1, P$1,"rg:None")</f>
        <v>rg:None</v>
      </c>
      <c r="Q227" s="4" t="str">
        <f>IF(Table2[[#This Row],[!Type]]=Q$1, Q$1,"rg:None")</f>
        <v>rg:None</v>
      </c>
      <c r="R227" s="4" t="str">
        <f>IF(Table2[[#This Row],[!Type]]=R$1, R$1,"rg:None")</f>
        <v>rg:None</v>
      </c>
      <c r="S227" s="4" t="str">
        <f>IF(Table2[[#This Row],[!Type]]=S$1, S$1,"rg:None")</f>
        <v>rg:None</v>
      </c>
      <c r="T227" s="4" t="str">
        <f>IF(LEN(Table2[[#This Row],[!Length]]) &gt; 0, Table2[[#This Row],[!Length]], "rg:None")</f>
        <v>rg:None</v>
      </c>
      <c r="U227" s="4" t="str">
        <f>IF(LEN(Table2[[#This Row],[!Name]]) &gt; 0, Table2[[#This Row],[!Name]], "rg:None")</f>
        <v>id</v>
      </c>
      <c r="V227" s="4" t="str">
        <f>IF(LEN(Table2[[#This Row],[!Description]]) &gt; 0, Table2[[#This Row],[!Description]], "rg:None")</f>
        <v>A system-generated unique identifier for a Contact</v>
      </c>
      <c r="W227" s="4" t="str">
        <f>IF(LEN(Table2[[#This Row],[!FK]])&gt;0,Table2[[#This Row],[!FK]],"rg:None")</f>
        <v>rg:None</v>
      </c>
      <c r="X227" s="14" t="str">
        <f>IF(LEN(concatif2(A:A,Table2[[#This Row],[!Table]],G:G,"Y",D:D,",")) &gt; 0,"rg:[ { 'req' : '"&amp;concatif2(A:A,Table2[[#This Row],[!Table]],G:G,"Y",D:D,"' }, { 'req': '")&amp;"'} ]","rg:[]")</f>
        <v>rg:[ { 'req' : 'id'} ]</v>
      </c>
      <c r="Y227" s="4" t="str">
        <f>IF(LEN(Table2[[#This Row],[!Unique]])&gt;0,IF(Table2[[#This Row],[!Type]] = "id", "rg:None","rg:True"),"rg:None")</f>
        <v>rg:None</v>
      </c>
    </row>
    <row r="228" spans="1:25" x14ac:dyDescent="0.3">
      <c r="A228" s="117" t="s">
        <v>169</v>
      </c>
      <c r="B228" s="3" t="s">
        <v>7</v>
      </c>
      <c r="C228" s="3">
        <v>50</v>
      </c>
      <c r="D228" s="3" t="s">
        <v>16</v>
      </c>
      <c r="E228" s="118" t="s">
        <v>159</v>
      </c>
      <c r="F228" s="3" t="s">
        <v>5</v>
      </c>
      <c r="G228" s="119"/>
      <c r="H228" s="4"/>
      <c r="I228" s="5" t="str">
        <f t="shared" si="26"/>
        <v>Defs</v>
      </c>
      <c r="J228" s="4" t="str">
        <f>IF(Table2[[#This Row],[!Type]]=J$1, J$1,"rg:None")</f>
        <v>rg:None</v>
      </c>
      <c r="K228" s="4" t="str">
        <f>IF(Table2[[#This Row],[!Type]]=K$1, K$1,"rg:None")</f>
        <v>rg:None</v>
      </c>
      <c r="L228" s="4" t="str">
        <f>IF(Table2[[#This Row],[!Type]]=L$1, L$1,"rg:None")</f>
        <v>rg:None</v>
      </c>
      <c r="M228" s="4" t="str">
        <f>IF(Table2[[#This Row],[!Type]]=M$1, M$1,"rg:None")</f>
        <v>rg:None</v>
      </c>
      <c r="N228" s="4" t="str">
        <f>IF(Table2[[#This Row],[!Type]]=N$1, N$1,"rg:None")</f>
        <v>rg:None</v>
      </c>
      <c r="O228" s="4" t="str">
        <f>IF(Table2[[#This Row],[!Type]]=O$1, O$1,"rg:None")</f>
        <v>rg:None</v>
      </c>
      <c r="P228" s="4" t="str">
        <f>IF(Table2[[#This Row],[!Type]]=P$1, P$1,"rg:None")</f>
        <v>rg:None</v>
      </c>
      <c r="Q228" s="4" t="str">
        <f>IF(Table2[[#This Row],[!Type]]=Q$1, Q$1,"rg:None")</f>
        <v>rg:None</v>
      </c>
      <c r="R228" s="4" t="str">
        <f>IF(Table2[[#This Row],[!Type]]=R$1, R$1,"rg:None")</f>
        <v>string</v>
      </c>
      <c r="S228" s="4" t="str">
        <f>IF(Table2[[#This Row],[!Type]]=S$1, S$1,"rg:None")</f>
        <v>rg:None</v>
      </c>
      <c r="T228" s="4">
        <f>IF(LEN(Table2[[#This Row],[!Length]]) &gt; 0, Table2[[#This Row],[!Length]], "rg:None")</f>
        <v>50</v>
      </c>
      <c r="U228" s="4" t="str">
        <f>IF(LEN(Table2[[#This Row],[!Name]]) &gt; 0, Table2[[#This Row],[!Name]], "rg:None")</f>
        <v>givenName</v>
      </c>
      <c r="V228" s="4" t="str">
        <f>IF(LEN(Table2[[#This Row],[!Description]]) &gt; 0, Table2[[#This Row],[!Description]], "rg:None")</f>
        <v>The given name of the contact.</v>
      </c>
      <c r="W228" s="4" t="str">
        <f>IF(LEN(Table2[[#This Row],[!FK]])&gt;0,Table2[[#This Row],[!FK]],"rg:None")</f>
        <v>rg:None</v>
      </c>
      <c r="X228" s="14" t="str">
        <f>IF(LEN(concatif2(A:A,Table2[[#This Row],[!Table]],G:G,"Y",D:D,",")) &gt; 0,"rg:[ { 'req' : '"&amp;concatif2(A:A,Table2[[#This Row],[!Table]],G:G,"Y",D:D,"' }, { 'req': '")&amp;"'} ]","rg:[]")</f>
        <v>rg:[ { 'req' : 'id'} ]</v>
      </c>
      <c r="Y228" s="4" t="str">
        <f>IF(LEN(Table2[[#This Row],[!Unique]])&gt;0,IF(Table2[[#This Row],[!Type]] = "id", "rg:None","rg:True"),"rg:None")</f>
        <v>rg:None</v>
      </c>
    </row>
    <row r="229" spans="1:25" x14ac:dyDescent="0.3">
      <c r="A229" s="117" t="s">
        <v>169</v>
      </c>
      <c r="B229" s="3" t="s">
        <v>7</v>
      </c>
      <c r="C229" s="3">
        <v>50</v>
      </c>
      <c r="D229" s="3" t="s">
        <v>17</v>
      </c>
      <c r="E229" s="118" t="s">
        <v>160</v>
      </c>
      <c r="F229" s="3" t="s">
        <v>5</v>
      </c>
      <c r="G229" s="119"/>
      <c r="H229" s="4"/>
      <c r="I229" s="5" t="str">
        <f t="shared" si="26"/>
        <v>Defs</v>
      </c>
      <c r="J229" s="4" t="str">
        <f>IF(Table2[[#This Row],[!Type]]=J$1, J$1,"rg:None")</f>
        <v>rg:None</v>
      </c>
      <c r="K229" s="4" t="str">
        <f>IF(Table2[[#This Row],[!Type]]=K$1, K$1,"rg:None")</f>
        <v>rg:None</v>
      </c>
      <c r="L229" s="4" t="str">
        <f>IF(Table2[[#This Row],[!Type]]=L$1, L$1,"rg:None")</f>
        <v>rg:None</v>
      </c>
      <c r="M229" s="4" t="str">
        <f>IF(Table2[[#This Row],[!Type]]=M$1, M$1,"rg:None")</f>
        <v>rg:None</v>
      </c>
      <c r="N229" s="4" t="str">
        <f>IF(Table2[[#This Row],[!Type]]=N$1, N$1,"rg:None")</f>
        <v>rg:None</v>
      </c>
      <c r="O229" s="4" t="str">
        <f>IF(Table2[[#This Row],[!Type]]=O$1, O$1,"rg:None")</f>
        <v>rg:None</v>
      </c>
      <c r="P229" s="4" t="str">
        <f>IF(Table2[[#This Row],[!Type]]=P$1, P$1,"rg:None")</f>
        <v>rg:None</v>
      </c>
      <c r="Q229" s="4" t="str">
        <f>IF(Table2[[#This Row],[!Type]]=Q$1, Q$1,"rg:None")</f>
        <v>rg:None</v>
      </c>
      <c r="R229" s="4" t="str">
        <f>IF(Table2[[#This Row],[!Type]]=R$1, R$1,"rg:None")</f>
        <v>string</v>
      </c>
      <c r="S229" s="4" t="str">
        <f>IF(Table2[[#This Row],[!Type]]=S$1, S$1,"rg:None")</f>
        <v>rg:None</v>
      </c>
      <c r="T229" s="4">
        <f>IF(LEN(Table2[[#This Row],[!Length]]) &gt; 0, Table2[[#This Row],[!Length]], "rg:None")</f>
        <v>50</v>
      </c>
      <c r="U229" s="4" t="str">
        <f>IF(LEN(Table2[[#This Row],[!Name]]) &gt; 0, Table2[[#This Row],[!Name]], "rg:None")</f>
        <v>surname</v>
      </c>
      <c r="V229" s="4" t="str">
        <f>IF(LEN(Table2[[#This Row],[!Description]]) &gt; 0, Table2[[#This Row],[!Description]], "rg:None")</f>
        <v>The surname of the contact.</v>
      </c>
      <c r="W229" s="4" t="str">
        <f>IF(LEN(Table2[[#This Row],[!FK]])&gt;0,Table2[[#This Row],[!FK]],"rg:None")</f>
        <v>rg:None</v>
      </c>
      <c r="X229" s="14" t="str">
        <f>IF(LEN(concatif2(A:A,Table2[[#This Row],[!Table]],G:G,"Y",D:D,",")) &gt; 0,"rg:[ { 'req' : '"&amp;concatif2(A:A,Table2[[#This Row],[!Table]],G:G,"Y",D:D,"' }, { 'req': '")&amp;"'} ]","rg:[]")</f>
        <v>rg:[ { 'req' : 'id'} ]</v>
      </c>
      <c r="Y229" s="4" t="str">
        <f>IF(LEN(Table2[[#This Row],[!Unique]])&gt;0,IF(Table2[[#This Row],[!Type]] = "id", "rg:None","rg:True"),"rg:None")</f>
        <v>rg:None</v>
      </c>
    </row>
    <row r="230" spans="1:25" x14ac:dyDescent="0.3">
      <c r="A230" s="120" t="s">
        <v>169</v>
      </c>
      <c r="B230" s="120" t="s">
        <v>7</v>
      </c>
      <c r="C230" s="3">
        <v>150</v>
      </c>
      <c r="D230" s="120" t="s">
        <v>390</v>
      </c>
      <c r="E230" s="120" t="s">
        <v>503</v>
      </c>
      <c r="F230" s="6"/>
      <c r="G230" s="18"/>
      <c r="H230" s="18"/>
      <c r="I230" s="5" t="str">
        <f t="shared" si="26"/>
        <v>Defs</v>
      </c>
      <c r="J230" s="4" t="str">
        <f>IF(Table2[[#This Row],[!Type]]=J$1, J$1,"rg:None")</f>
        <v>rg:None</v>
      </c>
      <c r="K230" s="4" t="str">
        <f>IF(Table2[[#This Row],[!Type]]=K$1, K$1,"rg:None")</f>
        <v>rg:None</v>
      </c>
      <c r="L230" s="4" t="str">
        <f>IF(Table2[[#This Row],[!Type]]=L$1, L$1,"rg:None")</f>
        <v>rg:None</v>
      </c>
      <c r="M230" s="4" t="str">
        <f>IF(Table2[[#This Row],[!Type]]=M$1, M$1,"rg:None")</f>
        <v>rg:None</v>
      </c>
      <c r="N230" s="4" t="str">
        <f>IF(Table2[[#This Row],[!Type]]=N$1, N$1,"rg:None")</f>
        <v>rg:None</v>
      </c>
      <c r="O230" s="4" t="str">
        <f>IF(Table2[[#This Row],[!Type]]=O$1, O$1,"rg:None")</f>
        <v>rg:None</v>
      </c>
      <c r="P230" s="4" t="str">
        <f>IF(Table2[[#This Row],[!Type]]=P$1, P$1,"rg:None")</f>
        <v>rg:None</v>
      </c>
      <c r="Q230" s="4" t="str">
        <f>IF(Table2[[#This Row],[!Type]]=Q$1, Q$1,"rg:None")</f>
        <v>rg:None</v>
      </c>
      <c r="R230" s="4" t="str">
        <f>IF(Table2[[#This Row],[!Type]]=R$1, R$1,"rg:None")</f>
        <v>string</v>
      </c>
      <c r="S230" s="4" t="str">
        <f>IF(Table2[[#This Row],[!Type]]=S$1, S$1,"rg:None")</f>
        <v>rg:None</v>
      </c>
      <c r="T230" s="4">
        <f>IF(LEN(Table2[[#This Row],[!Length]]) &gt; 0, Table2[[#This Row],[!Length]], "rg:None")</f>
        <v>150</v>
      </c>
      <c r="U230" s="4" t="str">
        <f>IF(LEN(Table2[[#This Row],[!Name]]) &gt; 0, Table2[[#This Row],[!Name]], "rg:None")</f>
        <v>organizationName</v>
      </c>
      <c r="V230" s="4" t="str">
        <f>IF(LEN(Table2[[#This Row],[!Description]]) &gt; 0, Table2[[#This Row],[!Description]], "rg:None")</f>
        <v>The organization name of the contact.</v>
      </c>
      <c r="W230" s="4" t="str">
        <f>IF(LEN(Table2[[#This Row],[!FK]])&gt;0,Table2[[#This Row],[!FK]],"rg:None")</f>
        <v>rg:None</v>
      </c>
      <c r="X230" s="14" t="str">
        <f>IF(LEN(concatif2(A:A,Table2[[#This Row],[!Table]],G:G,"Y",D:D,",")) &gt; 0,"rg:[ { 'req' : '"&amp;concatif2(A:A,Table2[[#This Row],[!Table]],G:G,"Y",D:D,"' }, { 'req': '")&amp;"'} ]","rg:[]")</f>
        <v>rg:[ { 'req' : 'id'} ]</v>
      </c>
      <c r="Y230" s="4" t="str">
        <f>IF(LEN(Table2[[#This Row],[!Unique]])&gt;0,IF(Table2[[#This Row],[!Type]] = "id", "rg:None","rg:True"),"rg:None")</f>
        <v>rg:None</v>
      </c>
    </row>
    <row r="231" spans="1:25" x14ac:dyDescent="0.3">
      <c r="A231" s="117" t="s">
        <v>169</v>
      </c>
      <c r="B231" s="3" t="s">
        <v>7</v>
      </c>
      <c r="C231" s="3">
        <v>100</v>
      </c>
      <c r="D231" s="3" t="s">
        <v>18</v>
      </c>
      <c r="E231" s="121" t="s">
        <v>302</v>
      </c>
      <c r="F231" s="3" t="s">
        <v>5</v>
      </c>
      <c r="G231" s="119"/>
      <c r="H231" s="4"/>
      <c r="I231" s="5" t="str">
        <f t="shared" si="26"/>
        <v>Defs</v>
      </c>
      <c r="J231" s="4" t="str">
        <f>IF(Table2[[#This Row],[!Type]]=J$1, J$1,"rg:None")</f>
        <v>rg:None</v>
      </c>
      <c r="K231" s="4" t="str">
        <f>IF(Table2[[#This Row],[!Type]]=K$1, K$1,"rg:None")</f>
        <v>rg:None</v>
      </c>
      <c r="L231" s="4" t="str">
        <f>IF(Table2[[#This Row],[!Type]]=L$1, L$1,"rg:None")</f>
        <v>rg:None</v>
      </c>
      <c r="M231" s="4" t="str">
        <f>IF(Table2[[#This Row],[!Type]]=M$1, M$1,"rg:None")</f>
        <v>rg:None</v>
      </c>
      <c r="N231" s="4" t="str">
        <f>IF(Table2[[#This Row],[!Type]]=N$1, N$1,"rg:None")</f>
        <v>rg:None</v>
      </c>
      <c r="O231" s="4" t="str">
        <f>IF(Table2[[#This Row],[!Type]]=O$1, O$1,"rg:None")</f>
        <v>rg:None</v>
      </c>
      <c r="P231" s="4" t="str">
        <f>IF(Table2[[#This Row],[!Type]]=P$1, P$1,"rg:None")</f>
        <v>rg:None</v>
      </c>
      <c r="Q231" s="4" t="str">
        <f>IF(Table2[[#This Row],[!Type]]=Q$1, Q$1,"rg:None")</f>
        <v>rg:None</v>
      </c>
      <c r="R231" s="4" t="str">
        <f>IF(Table2[[#This Row],[!Type]]=R$1, R$1,"rg:None")</f>
        <v>string</v>
      </c>
      <c r="S231" s="4" t="str">
        <f>IF(Table2[[#This Row],[!Type]]=S$1, S$1,"rg:None")</f>
        <v>rg:None</v>
      </c>
      <c r="T231" s="4">
        <f>IF(LEN(Table2[[#This Row],[!Length]]) &gt; 0, Table2[[#This Row],[!Length]], "rg:None")</f>
        <v>100</v>
      </c>
      <c r="U231" s="4" t="str">
        <f>IF(LEN(Table2[[#This Row],[!Name]]) &gt; 0, Table2[[#This Row],[!Name]], "rg:None")</f>
        <v>role</v>
      </c>
      <c r="V231" s="4" t="str">
        <f>IF(LEN(Table2[[#This Row],[!Description]]) &gt; 0, Table2[[#This Row],[!Description]], "rg:None")</f>
        <v>The role of the contact. UI controlled as to whether it is free form or selected from an enumerated list - for initial implementation, the field is freeform.</v>
      </c>
      <c r="W231" s="4" t="str">
        <f>IF(LEN(Table2[[#This Row],[!FK]])&gt;0,Table2[[#This Row],[!FK]],"rg:None")</f>
        <v>rg:None</v>
      </c>
      <c r="X231" s="14" t="str">
        <f>IF(LEN(concatif2(A:A,Table2[[#This Row],[!Table]],G:G,"Y",D:D,",")) &gt; 0,"rg:[ { 'req' : '"&amp;concatif2(A:A,Table2[[#This Row],[!Table]],G:G,"Y",D:D,"' }, { 'req': '")&amp;"'} ]","rg:[]")</f>
        <v>rg:[ { 'req' : 'id'} ]</v>
      </c>
      <c r="Y231" s="4" t="str">
        <f>IF(LEN(Table2[[#This Row],[!Unique]])&gt;0,IF(Table2[[#This Row],[!Type]] = "id", "rg:None","rg:True"),"rg:None")</f>
        <v>rg:None</v>
      </c>
    </row>
    <row r="232" spans="1:25" x14ac:dyDescent="0.3">
      <c r="A232" s="117" t="s">
        <v>169</v>
      </c>
      <c r="B232" s="3" t="s">
        <v>7</v>
      </c>
      <c r="C232" s="3">
        <v>150</v>
      </c>
      <c r="D232" s="3" t="s">
        <v>161</v>
      </c>
      <c r="E232" s="121" t="s">
        <v>303</v>
      </c>
      <c r="F232" s="3" t="s">
        <v>5</v>
      </c>
      <c r="G232" s="4"/>
      <c r="H232" s="4"/>
      <c r="I232" s="5" t="str">
        <f t="shared" si="26"/>
        <v>Defs</v>
      </c>
      <c r="J232" s="4" t="str">
        <f>IF(Table2[[#This Row],[!Type]]=J$1, J$1,"rg:None")</f>
        <v>rg:None</v>
      </c>
      <c r="K232" s="4" t="str">
        <f>IF(Table2[[#This Row],[!Type]]=K$1, K$1,"rg:None")</f>
        <v>rg:None</v>
      </c>
      <c r="L232" s="4" t="str">
        <f>IF(Table2[[#This Row],[!Type]]=L$1, L$1,"rg:None")</f>
        <v>rg:None</v>
      </c>
      <c r="M232" s="4" t="str">
        <f>IF(Table2[[#This Row],[!Type]]=M$1, M$1,"rg:None")</f>
        <v>rg:None</v>
      </c>
      <c r="N232" s="4" t="str">
        <f>IF(Table2[[#This Row],[!Type]]=N$1, N$1,"rg:None")</f>
        <v>rg:None</v>
      </c>
      <c r="O232" s="4" t="str">
        <f>IF(Table2[[#This Row],[!Type]]=O$1, O$1,"rg:None")</f>
        <v>rg:None</v>
      </c>
      <c r="P232" s="4" t="str">
        <f>IF(Table2[[#This Row],[!Type]]=P$1, P$1,"rg:None")</f>
        <v>rg:None</v>
      </c>
      <c r="Q232" s="4" t="str">
        <f>IF(Table2[[#This Row],[!Type]]=Q$1, Q$1,"rg:None")</f>
        <v>rg:None</v>
      </c>
      <c r="R232" s="4" t="str">
        <f>IF(Table2[[#This Row],[!Type]]=R$1, R$1,"rg:None")</f>
        <v>string</v>
      </c>
      <c r="S232" s="4" t="str">
        <f>IF(Table2[[#This Row],[!Type]]=S$1, S$1,"rg:None")</f>
        <v>rg:None</v>
      </c>
      <c r="T232" s="4">
        <f>IF(LEN(Table2[[#This Row],[!Length]]) &gt; 0, Table2[[#This Row],[!Length]], "rg:None")</f>
        <v>150</v>
      </c>
      <c r="U232" s="4" t="str">
        <f>IF(LEN(Table2[[#This Row],[!Name]]) &gt; 0, Table2[[#This Row],[!Name]], "rg:None")</f>
        <v>notes</v>
      </c>
      <c r="V232" s="4" t="str">
        <f>IF(LEN(Table2[[#This Row],[!Description]]) &gt; 0, Table2[[#This Row],[!Description]], "rg:None")</f>
        <v>A note about the contact maintained by the users.</v>
      </c>
      <c r="W232" s="4" t="str">
        <f>IF(LEN(Table2[[#This Row],[!FK]])&gt;0,Table2[[#This Row],[!FK]],"rg:None")</f>
        <v>rg:None</v>
      </c>
      <c r="X232" s="14" t="str">
        <f>IF(LEN(concatif2(A:A,Table2[[#This Row],[!Table]],G:G,"Y",D:D,",")) &gt; 0,"rg:[ { 'req' : '"&amp;concatif2(A:A,Table2[[#This Row],[!Table]],G:G,"Y",D:D,"' }, { 'req': '")&amp;"'} ]","rg:[]")</f>
        <v>rg:[ { 'req' : 'id'} ]</v>
      </c>
      <c r="Y232" s="4" t="str">
        <f>IF(LEN(Table2[[#This Row],[!Unique]])&gt;0,IF(Table2[[#This Row],[!Type]] = "id", "rg:None","rg:True"),"rg:None")</f>
        <v>rg:None</v>
      </c>
    </row>
    <row r="233" spans="1:25" x14ac:dyDescent="0.3">
      <c r="A233" s="120" t="s">
        <v>169</v>
      </c>
      <c r="B233" s="120" t="s">
        <v>7</v>
      </c>
      <c r="C233" s="3">
        <v>255</v>
      </c>
      <c r="D233" s="120" t="s">
        <v>504</v>
      </c>
      <c r="E233" s="120" t="s">
        <v>505</v>
      </c>
      <c r="F233" s="6"/>
      <c r="G233" s="18"/>
      <c r="H233" s="18"/>
      <c r="I233" s="5" t="str">
        <f t="shared" si="26"/>
        <v>Defs</v>
      </c>
      <c r="J233" s="4" t="str">
        <f>IF(Table2[[#This Row],[!Type]]=J$1, J$1,"rg:None")</f>
        <v>rg:None</v>
      </c>
      <c r="K233" s="4" t="str">
        <f>IF(Table2[[#This Row],[!Type]]=K$1, K$1,"rg:None")</f>
        <v>rg:None</v>
      </c>
      <c r="L233" s="4" t="str">
        <f>IF(Table2[[#This Row],[!Type]]=L$1, L$1,"rg:None")</f>
        <v>rg:None</v>
      </c>
      <c r="M233" s="4" t="str">
        <f>IF(Table2[[#This Row],[!Type]]=M$1, M$1,"rg:None")</f>
        <v>rg:None</v>
      </c>
      <c r="N233" s="4" t="str">
        <f>IF(Table2[[#This Row],[!Type]]=N$1, N$1,"rg:None")</f>
        <v>rg:None</v>
      </c>
      <c r="O233" s="4" t="str">
        <f>IF(Table2[[#This Row],[!Type]]=O$1, O$1,"rg:None")</f>
        <v>rg:None</v>
      </c>
      <c r="P233" s="4" t="str">
        <f>IF(Table2[[#This Row],[!Type]]=P$1, P$1,"rg:None")</f>
        <v>rg:None</v>
      </c>
      <c r="Q233" s="4" t="str">
        <f>IF(Table2[[#This Row],[!Type]]=Q$1, Q$1,"rg:None")</f>
        <v>rg:None</v>
      </c>
      <c r="R233" s="4" t="str">
        <f>IF(Table2[[#This Row],[!Type]]=R$1, R$1,"rg:None")</f>
        <v>string</v>
      </c>
      <c r="S233" s="4" t="str">
        <f>IF(Table2[[#This Row],[!Type]]=S$1, S$1,"rg:None")</f>
        <v>rg:None</v>
      </c>
      <c r="T233" s="4">
        <f>IF(LEN(Table2[[#This Row],[!Length]]) &gt; 0, Table2[[#This Row],[!Length]], "rg:None")</f>
        <v>255</v>
      </c>
      <c r="U233" s="4" t="str">
        <f>IF(LEN(Table2[[#This Row],[!Name]]) &gt; 0, Table2[[#This Row],[!Name]], "rg:None")</f>
        <v>emailAddress</v>
      </c>
      <c r="V233" s="4" t="str">
        <f>IF(LEN(Table2[[#This Row],[!Description]]) &gt; 0, Table2[[#This Row],[!Description]], "rg:None")</f>
        <v>The email address for the contact.</v>
      </c>
      <c r="W233" s="4" t="str">
        <f>IF(LEN(Table2[[#This Row],[!FK]])&gt;0,Table2[[#This Row],[!FK]],"rg:None")</f>
        <v>rg:None</v>
      </c>
      <c r="X233" s="14" t="str">
        <f>IF(LEN(concatif2(A:A,Table2[[#This Row],[!Table]],G:G,"Y",D:D,",")) &gt; 0,"rg:[ { 'req' : '"&amp;concatif2(A:A,Table2[[#This Row],[!Table]],G:G,"Y",D:D,"' }, { 'req': '")&amp;"'} ]","rg:[]")</f>
        <v>rg:[ { 'req' : 'id'} ]</v>
      </c>
      <c r="Y233" s="4" t="str">
        <f>IF(LEN(Table2[[#This Row],[!Unique]])&gt;0,IF(Table2[[#This Row],[!Type]] = "id", "rg:None","rg:True"),"rg:None")</f>
        <v>rg:None</v>
      </c>
    </row>
    <row r="234" spans="1:25" x14ac:dyDescent="0.3">
      <c r="A234" s="117" t="s">
        <v>169</v>
      </c>
      <c r="B234" s="3" t="s">
        <v>7</v>
      </c>
      <c r="C234" s="3">
        <v>20</v>
      </c>
      <c r="D234" s="117" t="s">
        <v>506</v>
      </c>
      <c r="E234" s="121" t="s">
        <v>507</v>
      </c>
      <c r="F234" s="3" t="s">
        <v>5</v>
      </c>
      <c r="G234" s="119"/>
      <c r="H234" s="4"/>
      <c r="I234" s="5" t="str">
        <f t="shared" si="26"/>
        <v>Defs</v>
      </c>
      <c r="J234" s="4" t="str">
        <f>IF(Table2[[#This Row],[!Type]]=J$1, J$1,"rg:None")</f>
        <v>rg:None</v>
      </c>
      <c r="K234" s="4" t="str">
        <f>IF(Table2[[#This Row],[!Type]]=K$1, K$1,"rg:None")</f>
        <v>rg:None</v>
      </c>
      <c r="L234" s="4" t="str">
        <f>IF(Table2[[#This Row],[!Type]]=L$1, L$1,"rg:None")</f>
        <v>rg:None</v>
      </c>
      <c r="M234" s="4" t="str">
        <f>IF(Table2[[#This Row],[!Type]]=M$1, M$1,"rg:None")</f>
        <v>rg:None</v>
      </c>
      <c r="N234" s="4" t="str">
        <f>IF(Table2[[#This Row],[!Type]]=N$1, N$1,"rg:None")</f>
        <v>rg:None</v>
      </c>
      <c r="O234" s="4" t="str">
        <f>IF(Table2[[#This Row],[!Type]]=O$1, O$1,"rg:None")</f>
        <v>rg:None</v>
      </c>
      <c r="P234" s="4" t="str">
        <f>IF(Table2[[#This Row],[!Type]]=P$1, P$1,"rg:None")</f>
        <v>rg:None</v>
      </c>
      <c r="Q234" s="4" t="str">
        <f>IF(Table2[[#This Row],[!Type]]=Q$1, Q$1,"rg:None")</f>
        <v>rg:None</v>
      </c>
      <c r="R234" s="4" t="str">
        <f>IF(Table2[[#This Row],[!Type]]=R$1, R$1,"rg:None")</f>
        <v>string</v>
      </c>
      <c r="S234" s="4" t="str">
        <f>IF(Table2[[#This Row],[!Type]]=S$1, S$1,"rg:None")</f>
        <v>rg:None</v>
      </c>
      <c r="T234" s="4">
        <f>IF(LEN(Table2[[#This Row],[!Length]]) &gt; 0, Table2[[#This Row],[!Length]], "rg:None")</f>
        <v>20</v>
      </c>
      <c r="U234" s="4" t="str">
        <f>IF(LEN(Table2[[#This Row],[!Name]]) &gt; 0, Table2[[#This Row],[!Name]], "rg:None")</f>
        <v>workPhoneNumber</v>
      </c>
      <c r="V234" s="4" t="str">
        <f>IF(LEN(Table2[[#This Row],[!Description]]) &gt; 0, Table2[[#This Row],[!Description]], "rg:None")</f>
        <v>The work phone number for the contact.</v>
      </c>
      <c r="W234" s="4" t="str">
        <f>IF(LEN(Table2[[#This Row],[!FK]])&gt;0,Table2[[#This Row],[!FK]],"rg:None")</f>
        <v>rg:None</v>
      </c>
      <c r="X234" s="14" t="str">
        <f>IF(LEN(concatif2(A:A,Table2[[#This Row],[!Table]],G:G,"Y",D:D,",")) &gt; 0,"rg:[ { 'req' : '"&amp;concatif2(A:A,Table2[[#This Row],[!Table]],G:G,"Y",D:D,"' }, { 'req': '")&amp;"'} ]","rg:[]")</f>
        <v>rg:[ { 'req' : 'id'} ]</v>
      </c>
      <c r="Y234" s="4" t="str">
        <f>IF(LEN(Table2[[#This Row],[!Unique]])&gt;0,IF(Table2[[#This Row],[!Type]] = "id", "rg:None","rg:True"),"rg:None")</f>
        <v>rg:None</v>
      </c>
    </row>
    <row r="235" spans="1:25" x14ac:dyDescent="0.3">
      <c r="A235" s="117" t="s">
        <v>169</v>
      </c>
      <c r="B235" s="3" t="s">
        <v>7</v>
      </c>
      <c r="C235" s="3">
        <v>20</v>
      </c>
      <c r="D235" s="117" t="s">
        <v>508</v>
      </c>
      <c r="E235" s="121" t="s">
        <v>509</v>
      </c>
      <c r="F235" s="3" t="s">
        <v>5</v>
      </c>
      <c r="G235" s="119"/>
      <c r="H235" s="4"/>
      <c r="I235" s="5" t="str">
        <f t="shared" si="26"/>
        <v>Defs</v>
      </c>
      <c r="J235" s="4" t="str">
        <f>IF(Table2[[#This Row],[!Type]]=J$1, J$1,"rg:None")</f>
        <v>rg:None</v>
      </c>
      <c r="K235" s="4" t="str">
        <f>IF(Table2[[#This Row],[!Type]]=K$1, K$1,"rg:None")</f>
        <v>rg:None</v>
      </c>
      <c r="L235" s="4" t="str">
        <f>IF(Table2[[#This Row],[!Type]]=L$1, L$1,"rg:None")</f>
        <v>rg:None</v>
      </c>
      <c r="M235" s="4" t="str">
        <f>IF(Table2[[#This Row],[!Type]]=M$1, M$1,"rg:None")</f>
        <v>rg:None</v>
      </c>
      <c r="N235" s="4" t="str">
        <f>IF(Table2[[#This Row],[!Type]]=N$1, N$1,"rg:None")</f>
        <v>rg:None</v>
      </c>
      <c r="O235" s="4" t="str">
        <f>IF(Table2[[#This Row],[!Type]]=O$1, O$1,"rg:None")</f>
        <v>rg:None</v>
      </c>
      <c r="P235" s="4" t="str">
        <f>IF(Table2[[#This Row],[!Type]]=P$1, P$1,"rg:None")</f>
        <v>rg:None</v>
      </c>
      <c r="Q235" s="4" t="str">
        <f>IF(Table2[[#This Row],[!Type]]=Q$1, Q$1,"rg:None")</f>
        <v>rg:None</v>
      </c>
      <c r="R235" s="4" t="str">
        <f>IF(Table2[[#This Row],[!Type]]=R$1, R$1,"rg:None")</f>
        <v>string</v>
      </c>
      <c r="S235" s="4" t="str">
        <f>IF(Table2[[#This Row],[!Type]]=S$1, S$1,"rg:None")</f>
        <v>rg:None</v>
      </c>
      <c r="T235" s="4">
        <f>IF(LEN(Table2[[#This Row],[!Length]]) &gt; 0, Table2[[#This Row],[!Length]], "rg:None")</f>
        <v>20</v>
      </c>
      <c r="U235" s="4" t="str">
        <f>IF(LEN(Table2[[#This Row],[!Name]]) &gt; 0, Table2[[#This Row],[!Name]], "rg:None")</f>
        <v>mobilePhoneNumber</v>
      </c>
      <c r="V235" s="4" t="str">
        <f>IF(LEN(Table2[[#This Row],[!Description]]) &gt; 0, Table2[[#This Row],[!Description]], "rg:None")</f>
        <v>The mobile phone number for the contact.</v>
      </c>
      <c r="W235" s="4" t="str">
        <f>IF(LEN(Table2[[#This Row],[!FK]])&gt;0,Table2[[#This Row],[!FK]],"rg:None")</f>
        <v>rg:None</v>
      </c>
      <c r="X235" s="14" t="str">
        <f>IF(LEN(concatif2(A:A,Table2[[#This Row],[!Table]],G:G,"Y",D:D,",")) &gt; 0,"rg:[ { 'req' : '"&amp;concatif2(A:A,Table2[[#This Row],[!Table]],G:G,"Y",D:D,"' }, { 'req': '")&amp;"'} ]","rg:[]")</f>
        <v>rg:[ { 'req' : 'id'} ]</v>
      </c>
      <c r="Y235" s="4" t="str">
        <f>IF(LEN(Table2[[#This Row],[!Unique]])&gt;0,IF(Table2[[#This Row],[!Type]] = "id", "rg:None","rg:True"),"rg:None")</f>
        <v>rg:None</v>
      </c>
    </row>
    <row r="236" spans="1:25" x14ac:dyDescent="0.3">
      <c r="A236" s="117" t="s">
        <v>169</v>
      </c>
      <c r="B236" s="117" t="s">
        <v>7</v>
      </c>
      <c r="C236" s="3">
        <v>20</v>
      </c>
      <c r="D236" s="117" t="s">
        <v>510</v>
      </c>
      <c r="E236" s="121" t="s">
        <v>511</v>
      </c>
      <c r="F236" s="3" t="s">
        <v>5</v>
      </c>
      <c r="G236" s="4"/>
      <c r="H236" s="4"/>
      <c r="I236" s="5" t="str">
        <f t="shared" si="26"/>
        <v>Defs</v>
      </c>
      <c r="J236" s="4" t="str">
        <f>IF(Table2[[#This Row],[!Type]]=J$1, J$1,"rg:None")</f>
        <v>rg:None</v>
      </c>
      <c r="K236" s="4" t="str">
        <f>IF(Table2[[#This Row],[!Type]]=K$1, K$1,"rg:None")</f>
        <v>rg:None</v>
      </c>
      <c r="L236" s="4" t="str">
        <f>IF(Table2[[#This Row],[!Type]]=L$1, L$1,"rg:None")</f>
        <v>rg:None</v>
      </c>
      <c r="M236" s="4" t="str">
        <f>IF(Table2[[#This Row],[!Type]]=M$1, M$1,"rg:None")</f>
        <v>rg:None</v>
      </c>
      <c r="N236" s="4" t="str">
        <f>IF(Table2[[#This Row],[!Type]]=N$1, N$1,"rg:None")</f>
        <v>rg:None</v>
      </c>
      <c r="O236" s="4" t="str">
        <f>IF(Table2[[#This Row],[!Type]]=O$1, O$1,"rg:None")</f>
        <v>rg:None</v>
      </c>
      <c r="P236" s="4" t="str">
        <f>IF(Table2[[#This Row],[!Type]]=P$1, P$1,"rg:None")</f>
        <v>rg:None</v>
      </c>
      <c r="Q236" s="4" t="str">
        <f>IF(Table2[[#This Row],[!Type]]=Q$1, Q$1,"rg:None")</f>
        <v>rg:None</v>
      </c>
      <c r="R236" s="4" t="str">
        <f>IF(Table2[[#This Row],[!Type]]=R$1, R$1,"rg:None")</f>
        <v>string</v>
      </c>
      <c r="S236" s="4" t="str">
        <f>IF(Table2[[#This Row],[!Type]]=S$1, S$1,"rg:None")</f>
        <v>rg:None</v>
      </c>
      <c r="T236" s="4">
        <f>IF(LEN(Table2[[#This Row],[!Length]]) &gt; 0, Table2[[#This Row],[!Length]], "rg:None")</f>
        <v>20</v>
      </c>
      <c r="U236" s="4" t="str">
        <f>IF(LEN(Table2[[#This Row],[!Name]]) &gt; 0, Table2[[#This Row],[!Name]], "rg:None")</f>
        <v>faxPhoneNumber</v>
      </c>
      <c r="V236" s="4" t="str">
        <f>IF(LEN(Table2[[#This Row],[!Description]]) &gt; 0, Table2[[#This Row],[!Description]], "rg:None")</f>
        <v>The fax phone number for the contact.</v>
      </c>
      <c r="W236" s="4" t="str">
        <f>IF(LEN(Table2[[#This Row],[!FK]])&gt;0,Table2[[#This Row],[!FK]],"rg:None")</f>
        <v>rg:None</v>
      </c>
      <c r="X236" s="14" t="str">
        <f>IF(LEN(concatif2(A:A,Table2[[#This Row],[!Table]],G:G,"Y",D:D,",")) &gt; 0,"rg:[ { 'req' : '"&amp;concatif2(A:A,Table2[[#This Row],[!Table]],G:G,"Y",D:D,"' }, { 'req': '")&amp;"'} ]","rg:[]")</f>
        <v>rg:[ { 'req' : 'id'} ]</v>
      </c>
      <c r="Y236" s="4" t="str">
        <f>IF(LEN(Table2[[#This Row],[!Unique]])&gt;0,IF(Table2[[#This Row],[!Type]] = "id", "rg:None","rg:True"),"rg:None")</f>
        <v>rg:None</v>
      </c>
    </row>
    <row r="237" spans="1:25" x14ac:dyDescent="0.3">
      <c r="A237" s="117" t="s">
        <v>169</v>
      </c>
      <c r="B237" s="3" t="s">
        <v>7</v>
      </c>
      <c r="C237" s="3">
        <v>80</v>
      </c>
      <c r="D237" s="117" t="s">
        <v>512</v>
      </c>
      <c r="E237" s="121" t="s">
        <v>162</v>
      </c>
      <c r="F237" s="3" t="s">
        <v>5</v>
      </c>
      <c r="G237" s="4"/>
      <c r="H237" s="4"/>
      <c r="I237" s="5" t="str">
        <f t="shared" si="26"/>
        <v>Defs</v>
      </c>
      <c r="J237" s="4" t="str">
        <f>IF(Table2[[#This Row],[!Type]]=J$1, J$1,"rg:None")</f>
        <v>rg:None</v>
      </c>
      <c r="K237" s="4" t="str">
        <f>IF(Table2[[#This Row],[!Type]]=K$1, K$1,"rg:None")</f>
        <v>rg:None</v>
      </c>
      <c r="L237" s="4" t="str">
        <f>IF(Table2[[#This Row],[!Type]]=L$1, L$1,"rg:None")</f>
        <v>rg:None</v>
      </c>
      <c r="M237" s="4" t="str">
        <f>IF(Table2[[#This Row],[!Type]]=M$1, M$1,"rg:None")</f>
        <v>rg:None</v>
      </c>
      <c r="N237" s="4" t="str">
        <f>IF(Table2[[#This Row],[!Type]]=N$1, N$1,"rg:None")</f>
        <v>rg:None</v>
      </c>
      <c r="O237" s="4" t="str">
        <f>IF(Table2[[#This Row],[!Type]]=O$1, O$1,"rg:None")</f>
        <v>rg:None</v>
      </c>
      <c r="P237" s="4" t="str">
        <f>IF(Table2[[#This Row],[!Type]]=P$1, P$1,"rg:None")</f>
        <v>rg:None</v>
      </c>
      <c r="Q237" s="4" t="str">
        <f>IF(Table2[[#This Row],[!Type]]=Q$1, Q$1,"rg:None")</f>
        <v>rg:None</v>
      </c>
      <c r="R237" s="4" t="str">
        <f>IF(Table2[[#This Row],[!Type]]=R$1, R$1,"rg:None")</f>
        <v>string</v>
      </c>
      <c r="S237" s="4" t="str">
        <f>IF(Table2[[#This Row],[!Type]]=S$1, S$1,"rg:None")</f>
        <v>rg:None</v>
      </c>
      <c r="T237" s="4">
        <f>IF(LEN(Table2[[#This Row],[!Length]]) &gt; 0, Table2[[#This Row],[!Length]], "rg:None")</f>
        <v>80</v>
      </c>
      <c r="U237" s="4" t="str">
        <f>IF(LEN(Table2[[#This Row],[!Name]]) &gt; 0, Table2[[#This Row],[!Name]], "rg:None")</f>
        <v>address1</v>
      </c>
      <c r="V237" s="4" t="str">
        <f>IF(LEN(Table2[[#This Row],[!Description]]) &gt; 0, Table2[[#This Row],[!Description]], "rg:None")</f>
        <v>Address 1 line of the address.</v>
      </c>
      <c r="W237" s="4" t="str">
        <f>IF(LEN(Table2[[#This Row],[!FK]])&gt;0,Table2[[#This Row],[!FK]],"rg:None")</f>
        <v>rg:None</v>
      </c>
      <c r="X237" s="14" t="str">
        <f>IF(LEN(concatif2(A:A,Table2[[#This Row],[!Table]],G:G,"Y",D:D,",")) &gt; 0,"rg:[ { 'req' : '"&amp;concatif2(A:A,Table2[[#This Row],[!Table]],G:G,"Y",D:D,"' }, { 'req': '")&amp;"'} ]","rg:[]")</f>
        <v>rg:[ { 'req' : 'id'} ]</v>
      </c>
      <c r="Y237" s="4" t="str">
        <f>IF(LEN(Table2[[#This Row],[!Unique]])&gt;0,IF(Table2[[#This Row],[!Type]] = "id", "rg:None","rg:True"),"rg:None")</f>
        <v>rg:None</v>
      </c>
    </row>
    <row r="238" spans="1:25" x14ac:dyDescent="0.3">
      <c r="A238" s="117" t="s">
        <v>169</v>
      </c>
      <c r="B238" s="3" t="s">
        <v>7</v>
      </c>
      <c r="C238" s="3">
        <v>80</v>
      </c>
      <c r="D238" s="117" t="s">
        <v>513</v>
      </c>
      <c r="E238" s="118" t="s">
        <v>163</v>
      </c>
      <c r="F238" s="3" t="s">
        <v>5</v>
      </c>
      <c r="G238" s="4"/>
      <c r="H238" s="4"/>
      <c r="I238" s="5" t="str">
        <f t="shared" si="26"/>
        <v>Defs</v>
      </c>
      <c r="J238" s="4" t="str">
        <f>IF(Table2[[#This Row],[!Type]]=J$1, J$1,"rg:None")</f>
        <v>rg:None</v>
      </c>
      <c r="K238" s="4" t="str">
        <f>IF(Table2[[#This Row],[!Type]]=K$1, K$1,"rg:None")</f>
        <v>rg:None</v>
      </c>
      <c r="L238" s="4" t="str">
        <f>IF(Table2[[#This Row],[!Type]]=L$1, L$1,"rg:None")</f>
        <v>rg:None</v>
      </c>
      <c r="M238" s="4" t="str">
        <f>IF(Table2[[#This Row],[!Type]]=M$1, M$1,"rg:None")</f>
        <v>rg:None</v>
      </c>
      <c r="N238" s="4" t="str">
        <f>IF(Table2[[#This Row],[!Type]]=N$1, N$1,"rg:None")</f>
        <v>rg:None</v>
      </c>
      <c r="O238" s="4" t="str">
        <f>IF(Table2[[#This Row],[!Type]]=O$1, O$1,"rg:None")</f>
        <v>rg:None</v>
      </c>
      <c r="P238" s="4" t="str">
        <f>IF(Table2[[#This Row],[!Type]]=P$1, P$1,"rg:None")</f>
        <v>rg:None</v>
      </c>
      <c r="Q238" s="4" t="str">
        <f>IF(Table2[[#This Row],[!Type]]=Q$1, Q$1,"rg:None")</f>
        <v>rg:None</v>
      </c>
      <c r="R238" s="4" t="str">
        <f>IF(Table2[[#This Row],[!Type]]=R$1, R$1,"rg:None")</f>
        <v>string</v>
      </c>
      <c r="S238" s="4" t="str">
        <f>IF(Table2[[#This Row],[!Type]]=S$1, S$1,"rg:None")</f>
        <v>rg:None</v>
      </c>
      <c r="T238" s="4">
        <f>IF(LEN(Table2[[#This Row],[!Length]]) &gt; 0, Table2[[#This Row],[!Length]], "rg:None")</f>
        <v>80</v>
      </c>
      <c r="U238" s="4" t="str">
        <f>IF(LEN(Table2[[#This Row],[!Name]]) &gt; 0, Table2[[#This Row],[!Name]], "rg:None")</f>
        <v>address2</v>
      </c>
      <c r="V238" s="4" t="str">
        <f>IF(LEN(Table2[[#This Row],[!Description]]) &gt; 0, Table2[[#This Row],[!Description]], "rg:None")</f>
        <v>Address 2 line of the address.</v>
      </c>
      <c r="W238" s="4" t="str">
        <f>IF(LEN(Table2[[#This Row],[!FK]])&gt;0,Table2[[#This Row],[!FK]],"rg:None")</f>
        <v>rg:None</v>
      </c>
      <c r="X238" s="14" t="str">
        <f>IF(LEN(concatif2(A:A,Table2[[#This Row],[!Table]],G:G,"Y",D:D,",")) &gt; 0,"rg:[ { 'req' : '"&amp;concatif2(A:A,Table2[[#This Row],[!Table]],G:G,"Y",D:D,"' }, { 'req': '")&amp;"'} ]","rg:[]")</f>
        <v>rg:[ { 'req' : 'id'} ]</v>
      </c>
      <c r="Y238" s="4" t="str">
        <f>IF(LEN(Table2[[#This Row],[!Unique]])&gt;0,IF(Table2[[#This Row],[!Type]] = "id", "rg:None","rg:True"),"rg:None")</f>
        <v>rg:None</v>
      </c>
    </row>
    <row r="239" spans="1:25" x14ac:dyDescent="0.3">
      <c r="A239" s="117" t="s">
        <v>169</v>
      </c>
      <c r="B239" s="3" t="s">
        <v>7</v>
      </c>
      <c r="C239" s="3">
        <v>100</v>
      </c>
      <c r="D239" s="117" t="s">
        <v>21</v>
      </c>
      <c r="E239" s="118" t="s">
        <v>164</v>
      </c>
      <c r="F239" s="3" t="s">
        <v>5</v>
      </c>
      <c r="G239" s="4"/>
      <c r="H239" s="4"/>
      <c r="I239" s="5" t="str">
        <f t="shared" si="26"/>
        <v>Defs</v>
      </c>
      <c r="J239" s="4" t="str">
        <f>IF(Table2[[#This Row],[!Type]]=J$1, J$1,"rg:None")</f>
        <v>rg:None</v>
      </c>
      <c r="K239" s="4" t="str">
        <f>IF(Table2[[#This Row],[!Type]]=K$1, K$1,"rg:None")</f>
        <v>rg:None</v>
      </c>
      <c r="L239" s="4" t="str">
        <f>IF(Table2[[#This Row],[!Type]]=L$1, L$1,"rg:None")</f>
        <v>rg:None</v>
      </c>
      <c r="M239" s="4" t="str">
        <f>IF(Table2[[#This Row],[!Type]]=M$1, M$1,"rg:None")</f>
        <v>rg:None</v>
      </c>
      <c r="N239" s="4" t="str">
        <f>IF(Table2[[#This Row],[!Type]]=N$1, N$1,"rg:None")</f>
        <v>rg:None</v>
      </c>
      <c r="O239" s="4" t="str">
        <f>IF(Table2[[#This Row],[!Type]]=O$1, O$1,"rg:None")</f>
        <v>rg:None</v>
      </c>
      <c r="P239" s="4" t="str">
        <f>IF(Table2[[#This Row],[!Type]]=P$1, P$1,"rg:None")</f>
        <v>rg:None</v>
      </c>
      <c r="Q239" s="4" t="str">
        <f>IF(Table2[[#This Row],[!Type]]=Q$1, Q$1,"rg:None")</f>
        <v>rg:None</v>
      </c>
      <c r="R239" s="4" t="str">
        <f>IF(Table2[[#This Row],[!Type]]=R$1, R$1,"rg:None")</f>
        <v>string</v>
      </c>
      <c r="S239" s="4" t="str">
        <f>IF(Table2[[#This Row],[!Type]]=S$1, S$1,"rg:None")</f>
        <v>rg:None</v>
      </c>
      <c r="T239" s="4">
        <f>IF(LEN(Table2[[#This Row],[!Length]]) &gt; 0, Table2[[#This Row],[!Length]], "rg:None")</f>
        <v>100</v>
      </c>
      <c r="U239" s="4" t="str">
        <f>IF(LEN(Table2[[#This Row],[!Name]]) &gt; 0, Table2[[#This Row],[!Name]], "rg:None")</f>
        <v>city</v>
      </c>
      <c r="V239" s="4" t="str">
        <f>IF(LEN(Table2[[#This Row],[!Description]]) &gt; 0, Table2[[#This Row],[!Description]], "rg:None")</f>
        <v>The City of the address.</v>
      </c>
      <c r="W239" s="4" t="str">
        <f>IF(LEN(Table2[[#This Row],[!FK]])&gt;0,Table2[[#This Row],[!FK]],"rg:None")</f>
        <v>rg:None</v>
      </c>
      <c r="X239" s="14" t="str">
        <f>IF(LEN(concatif2(A:A,Table2[[#This Row],[!Table]],G:G,"Y",D:D,",")) &gt; 0,"rg:[ { 'req' : '"&amp;concatif2(A:A,Table2[[#This Row],[!Table]],G:G,"Y",D:D,"' }, { 'req': '")&amp;"'} ]","rg:[]")</f>
        <v>rg:[ { 'req' : 'id'} ]</v>
      </c>
      <c r="Y239" s="4" t="str">
        <f>IF(LEN(Table2[[#This Row],[!Unique]])&gt;0,IF(Table2[[#This Row],[!Type]] = "id", "rg:None","rg:True"),"rg:None")</f>
        <v>rg:None</v>
      </c>
    </row>
    <row r="240" spans="1:25" x14ac:dyDescent="0.3">
      <c r="A240" s="117" t="s">
        <v>169</v>
      </c>
      <c r="B240" s="3" t="s">
        <v>7</v>
      </c>
      <c r="C240" s="3">
        <v>50</v>
      </c>
      <c r="D240" s="117" t="s">
        <v>165</v>
      </c>
      <c r="E240" s="118" t="s">
        <v>166</v>
      </c>
      <c r="F240" s="3" t="s">
        <v>5</v>
      </c>
      <c r="G240" s="4"/>
      <c r="H240" s="4"/>
      <c r="I240" s="5" t="str">
        <f t="shared" si="26"/>
        <v>Defs</v>
      </c>
      <c r="J240" s="4" t="str">
        <f>IF(Table2[[#This Row],[!Type]]=J$1, J$1,"rg:None")</f>
        <v>rg:None</v>
      </c>
      <c r="K240" s="4" t="str">
        <f>IF(Table2[[#This Row],[!Type]]=K$1, K$1,"rg:None")</f>
        <v>rg:None</v>
      </c>
      <c r="L240" s="4" t="str">
        <f>IF(Table2[[#This Row],[!Type]]=L$1, L$1,"rg:None")</f>
        <v>rg:None</v>
      </c>
      <c r="M240" s="4" t="str">
        <f>IF(Table2[[#This Row],[!Type]]=M$1, M$1,"rg:None")</f>
        <v>rg:None</v>
      </c>
      <c r="N240" s="4" t="str">
        <f>IF(Table2[[#This Row],[!Type]]=N$1, N$1,"rg:None")</f>
        <v>rg:None</v>
      </c>
      <c r="O240" s="4" t="str">
        <f>IF(Table2[[#This Row],[!Type]]=O$1, O$1,"rg:None")</f>
        <v>rg:None</v>
      </c>
      <c r="P240" s="4" t="str">
        <f>IF(Table2[[#This Row],[!Type]]=P$1, P$1,"rg:None")</f>
        <v>rg:None</v>
      </c>
      <c r="Q240" s="4" t="str">
        <f>IF(Table2[[#This Row],[!Type]]=Q$1, Q$1,"rg:None")</f>
        <v>rg:None</v>
      </c>
      <c r="R240" s="4" t="str">
        <f>IF(Table2[[#This Row],[!Type]]=R$1, R$1,"rg:None")</f>
        <v>string</v>
      </c>
      <c r="S240" s="4" t="str">
        <f>IF(Table2[[#This Row],[!Type]]=S$1, S$1,"rg:None")</f>
        <v>rg:None</v>
      </c>
      <c r="T240" s="4">
        <f>IF(LEN(Table2[[#This Row],[!Length]]) &gt; 0, Table2[[#This Row],[!Length]], "rg:None")</f>
        <v>50</v>
      </c>
      <c r="U240" s="4" t="str">
        <f>IF(LEN(Table2[[#This Row],[!Name]]) &gt; 0, Table2[[#This Row],[!Name]], "rg:None")</f>
        <v>province</v>
      </c>
      <c r="V240" s="4" t="str">
        <f>IF(LEN(Table2[[#This Row],[!Description]]) &gt; 0, Table2[[#This Row],[!Description]], "rg:None")</f>
        <v>The Province of the address.</v>
      </c>
      <c r="W240" s="4" t="str">
        <f>IF(LEN(Table2[[#This Row],[!FK]])&gt;0,Table2[[#This Row],[!FK]],"rg:None")</f>
        <v>rg:None</v>
      </c>
      <c r="X240" s="14" t="str">
        <f>IF(LEN(concatif2(A:A,Table2[[#This Row],[!Table]],G:G,"Y",D:D,",")) &gt; 0,"rg:[ { 'req' : '"&amp;concatif2(A:A,Table2[[#This Row],[!Table]],G:G,"Y",D:D,"' }, { 'req': '")&amp;"'} ]","rg:[]")</f>
        <v>rg:[ { 'req' : 'id'} ]</v>
      </c>
      <c r="Y240" s="4" t="str">
        <f>IF(LEN(Table2[[#This Row],[!Unique]])&gt;0,IF(Table2[[#This Row],[!Type]] = "id", "rg:None","rg:True"),"rg:None")</f>
        <v>rg:None</v>
      </c>
    </row>
    <row r="241" spans="1:25" x14ac:dyDescent="0.3">
      <c r="A241" s="117" t="s">
        <v>169</v>
      </c>
      <c r="B241" s="3" t="s">
        <v>7</v>
      </c>
      <c r="C241" s="3">
        <v>15</v>
      </c>
      <c r="D241" s="117" t="s">
        <v>167</v>
      </c>
      <c r="E241" s="118" t="s">
        <v>168</v>
      </c>
      <c r="F241" s="3" t="s">
        <v>5</v>
      </c>
      <c r="G241" s="4"/>
      <c r="H241" s="4"/>
      <c r="I241" s="5" t="str">
        <f t="shared" si="26"/>
        <v>Defs</v>
      </c>
      <c r="J241" s="4" t="str">
        <f>IF(Table2[[#This Row],[!Type]]=J$1, J$1,"rg:None")</f>
        <v>rg:None</v>
      </c>
      <c r="K241" s="4" t="str">
        <f>IF(Table2[[#This Row],[!Type]]=K$1, K$1,"rg:None")</f>
        <v>rg:None</v>
      </c>
      <c r="L241" s="4" t="str">
        <f>IF(Table2[[#This Row],[!Type]]=L$1, L$1,"rg:None")</f>
        <v>rg:None</v>
      </c>
      <c r="M241" s="4" t="str">
        <f>IF(Table2[[#This Row],[!Type]]=M$1, M$1,"rg:None")</f>
        <v>rg:None</v>
      </c>
      <c r="N241" s="4" t="str">
        <f>IF(Table2[[#This Row],[!Type]]=N$1, N$1,"rg:None")</f>
        <v>rg:None</v>
      </c>
      <c r="O241" s="4" t="str">
        <f>IF(Table2[[#This Row],[!Type]]=O$1, O$1,"rg:None")</f>
        <v>rg:None</v>
      </c>
      <c r="P241" s="4" t="str">
        <f>IF(Table2[[#This Row],[!Type]]=P$1, P$1,"rg:None")</f>
        <v>rg:None</v>
      </c>
      <c r="Q241" s="4" t="str">
        <f>IF(Table2[[#This Row],[!Type]]=Q$1, Q$1,"rg:None")</f>
        <v>rg:None</v>
      </c>
      <c r="R241" s="4" t="str">
        <f>IF(Table2[[#This Row],[!Type]]=R$1, R$1,"rg:None")</f>
        <v>string</v>
      </c>
      <c r="S241" s="4" t="str">
        <f>IF(Table2[[#This Row],[!Type]]=S$1, S$1,"rg:None")</f>
        <v>rg:None</v>
      </c>
      <c r="T241" s="4">
        <f>IF(LEN(Table2[[#This Row],[!Length]]) &gt; 0, Table2[[#This Row],[!Length]], "rg:None")</f>
        <v>15</v>
      </c>
      <c r="U241" s="4" t="str">
        <f>IF(LEN(Table2[[#This Row],[!Name]]) &gt; 0, Table2[[#This Row],[!Name]], "rg:None")</f>
        <v>postalCode</v>
      </c>
      <c r="V241" s="4" t="str">
        <f>IF(LEN(Table2[[#This Row],[!Description]]) &gt; 0, Table2[[#This Row],[!Description]], "rg:None")</f>
        <v>The postal code of the address.</v>
      </c>
      <c r="W241" s="4" t="str">
        <f>IF(LEN(Table2[[#This Row],[!FK]])&gt;0,Table2[[#This Row],[!FK]],"rg:None")</f>
        <v>rg:None</v>
      </c>
      <c r="X241" s="14" t="str">
        <f>IF(LEN(concatif2(A:A,Table2[[#This Row],[!Table]],G:G,"Y",D:D,",")) &gt; 0,"rg:[ { 'req' : '"&amp;concatif2(A:A,Table2[[#This Row],[!Table]],G:G,"Y",D:D,"' }, { 'req': '")&amp;"'} ]","rg:[]")</f>
        <v>rg:[ { 'req' : 'id'} ]</v>
      </c>
      <c r="Y241" s="4" t="str">
        <f>IF(LEN(Table2[[#This Row],[!Unique]])&gt;0,IF(Table2[[#This Row],[!Type]] = "id", "rg:None","rg:True"),"rg:None")</f>
        <v>rg:None</v>
      </c>
    </row>
    <row r="242" spans="1:25" ht="28.8" x14ac:dyDescent="0.35">
      <c r="A242" s="81" t="s">
        <v>143</v>
      </c>
      <c r="B242" s="5" t="s">
        <v>4</v>
      </c>
      <c r="D242" s="5" t="s">
        <v>143</v>
      </c>
      <c r="E242" s="76" t="s">
        <v>360</v>
      </c>
      <c r="F242" s="5" t="s">
        <v>5</v>
      </c>
      <c r="G242" s="4"/>
      <c r="H242" s="4"/>
      <c r="I242" s="5" t="str">
        <f t="shared" ref="I242:I254" si="27">IF(LEN(A242) &gt; 0,"Defs","-")</f>
        <v>Defs</v>
      </c>
      <c r="J242" s="4" t="str">
        <f>IF(Table2[[#This Row],[!Type]]=J$1, J$1,"rg:None")</f>
        <v>rg:None</v>
      </c>
      <c r="K242" s="4" t="str">
        <f>IF(Table2[[#This Row],[!Type]]=K$1, K$1,"rg:None")</f>
        <v>rg:None</v>
      </c>
      <c r="L242" s="4" t="str">
        <f>IF(Table2[[#This Row],[!Type]]=L$1, L$1,"rg:None")</f>
        <v>rg:None</v>
      </c>
      <c r="M242" s="4" t="str">
        <f>IF(Table2[[#This Row],[!Type]]=M$1, M$1,"rg:None")</f>
        <v>rg:None</v>
      </c>
      <c r="N242" s="4" t="str">
        <f>IF(Table2[[#This Row],[!Type]]=N$1, N$1,"rg:None")</f>
        <v>rg:None</v>
      </c>
      <c r="O242" s="4" t="str">
        <f>IF(Table2[[#This Row],[!Type]]=O$1, O$1,"rg:None")</f>
        <v>rg:None</v>
      </c>
      <c r="P242" s="4" t="str">
        <f>IF(Table2[[#This Row],[!Type]]=P$1, P$1,"rg:None")</f>
        <v>rg:None</v>
      </c>
      <c r="Q242" s="4" t="str">
        <f>IF(Table2[[#This Row],[!Type]]=Q$1, Q$1,"rg:None")</f>
        <v>rg:None</v>
      </c>
      <c r="R242" s="4" t="str">
        <f>IF(Table2[[#This Row],[!Type]]=R$1, R$1,"rg:None")</f>
        <v>rg:None</v>
      </c>
      <c r="S242" s="4" t="str">
        <f>IF(Table2[[#This Row],[!Type]]=S$1, S$1,"rg:None")</f>
        <v>table</v>
      </c>
      <c r="T242" s="4" t="str">
        <f>IF(LEN(Table2[[#This Row],[!Length]]) &gt; 0, Table2[[#This Row],[!Length]], "rg:None")</f>
        <v>rg:None</v>
      </c>
      <c r="U242" s="4" t="str">
        <f>IF(LEN(Table2[[#This Row],[!Name]]) &gt; 0, Table2[[#This Row],[!Name]], "rg:None")</f>
        <v>Note</v>
      </c>
      <c r="V242" s="4" t="str">
        <f>IF(LEN(Table2[[#This Row],[!Description]]) &gt; 0, Table2[[#This Row],[!Description]], "rg:None")</f>
        <v>Text entered about an entity in the application - e.g. piece of Equipment, an Owner, a Project and so on.</v>
      </c>
      <c r="W242" s="4" t="str">
        <f>IF(LEN(Table2[[#This Row],[!FK]])&gt;0,Table2[[#This Row],[!FK]],"rg:None")</f>
        <v>rg:None</v>
      </c>
      <c r="X242" s="14" t="str">
        <f>IF(LEN(concatif2(A:A,Table2[[#This Row],[!Table]],G:G,"Y",D:D,",")) &gt; 0,"rg:[ { 'req' : '"&amp;concatif2(A:A,Table2[[#This Row],[!Table]],G:G,"Y",D:D,"' }, { 'req': '")&amp;"'} ]","rg:[]")</f>
        <v>rg:[ { 'req' : 'id' }, { 'req': 'text'} ]</v>
      </c>
      <c r="Y242" s="4" t="str">
        <f>IF(LEN(Table2[[#This Row],[!Unique]])&gt;0,IF(Table2[[#This Row],[!Type]] = "id", "rg:None","rg:True"),"rg:None")</f>
        <v>rg:None</v>
      </c>
    </row>
    <row r="243" spans="1:25" x14ac:dyDescent="0.35">
      <c r="A243" s="81" t="s">
        <v>143</v>
      </c>
      <c r="B243" s="5" t="s">
        <v>6</v>
      </c>
      <c r="D243" s="5" t="s">
        <v>6</v>
      </c>
      <c r="E243" s="54" t="s">
        <v>305</v>
      </c>
      <c r="F243" s="5" t="s">
        <v>5</v>
      </c>
      <c r="G243" s="4" t="s">
        <v>59</v>
      </c>
      <c r="H243" s="155" t="s">
        <v>59</v>
      </c>
      <c r="I243" s="5" t="str">
        <f t="shared" si="27"/>
        <v>Defs</v>
      </c>
      <c r="J243" s="4" t="str">
        <f>IF(Table2[[#This Row],[!Type]]=J$1, J$1,"rg:None")</f>
        <v>rg:None</v>
      </c>
      <c r="K243" s="4" t="str">
        <f>IF(Table2[[#This Row],[!Type]]=K$1, K$1,"rg:None")</f>
        <v>rg:None</v>
      </c>
      <c r="L243" s="4" t="str">
        <f>IF(Table2[[#This Row],[!Type]]=L$1, L$1,"rg:None")</f>
        <v>rg:None</v>
      </c>
      <c r="M243" s="4" t="str">
        <f>IF(Table2[[#This Row],[!Type]]=M$1, M$1,"rg:None")</f>
        <v>id</v>
      </c>
      <c r="N243" s="4" t="str">
        <f>IF(Table2[[#This Row],[!Type]]=N$1, N$1,"rg:None")</f>
        <v>rg:None</v>
      </c>
      <c r="O243" s="4" t="str">
        <f>IF(Table2[[#This Row],[!Type]]=O$1, O$1,"rg:None")</f>
        <v>rg:None</v>
      </c>
      <c r="P243" s="4" t="str">
        <f>IF(Table2[[#This Row],[!Type]]=P$1, P$1,"rg:None")</f>
        <v>rg:None</v>
      </c>
      <c r="Q243" s="4" t="str">
        <f>IF(Table2[[#This Row],[!Type]]=Q$1, Q$1,"rg:None")</f>
        <v>rg:None</v>
      </c>
      <c r="R243" s="4" t="str">
        <f>IF(Table2[[#This Row],[!Type]]=R$1, R$1,"rg:None")</f>
        <v>rg:None</v>
      </c>
      <c r="S243" s="4" t="str">
        <f>IF(Table2[[#This Row],[!Type]]=S$1, S$1,"rg:None")</f>
        <v>rg:None</v>
      </c>
      <c r="T243" s="4" t="str">
        <f>IF(LEN(Table2[[#This Row],[!Length]]) &gt; 0, Table2[[#This Row],[!Length]], "rg:None")</f>
        <v>rg:None</v>
      </c>
      <c r="U243" s="4" t="str">
        <f>IF(LEN(Table2[[#This Row],[!Name]]) &gt; 0, Table2[[#This Row],[!Name]], "rg:None")</f>
        <v>id</v>
      </c>
      <c r="V243" s="4" t="str">
        <f>IF(LEN(Table2[[#This Row],[!Description]]) &gt; 0, Table2[[#This Row],[!Description]], "rg:None")</f>
        <v>A system-generated unique identifier for a Note</v>
      </c>
      <c r="W243" s="4" t="str">
        <f>IF(LEN(Table2[[#This Row],[!FK]])&gt;0,Table2[[#This Row],[!FK]],"rg:None")</f>
        <v>rg:None</v>
      </c>
      <c r="X243" s="14" t="str">
        <f>IF(LEN(concatif2(A:A,Table2[[#This Row],[!Table]],G:G,"Y",D:D,",")) &gt; 0,"rg:[ { 'req' : '"&amp;concatif2(A:A,Table2[[#This Row],[!Table]],G:G,"Y",D:D,"' }, { 'req': '")&amp;"'} ]","rg:[]")</f>
        <v>rg:[ { 'req' : 'id' }, { 'req': 'text'} ]</v>
      </c>
      <c r="Y243" s="4" t="str">
        <f>IF(LEN(Table2[[#This Row],[!Unique]])&gt;0,IF(Table2[[#This Row],[!Type]] = "id", "rg:None","rg:True"),"rg:None")</f>
        <v>rg:None</v>
      </c>
    </row>
    <row r="244" spans="1:25" ht="28.8" x14ac:dyDescent="0.35">
      <c r="A244" s="81" t="s">
        <v>143</v>
      </c>
      <c r="B244" s="5" t="s">
        <v>7</v>
      </c>
      <c r="C244" s="5">
        <v>2048</v>
      </c>
      <c r="D244" s="102" t="s">
        <v>340</v>
      </c>
      <c r="E244" s="101" t="s">
        <v>304</v>
      </c>
      <c r="F244" s="5" t="s">
        <v>5</v>
      </c>
      <c r="G244" s="41" t="s">
        <v>59</v>
      </c>
      <c r="H244" s="4"/>
      <c r="I244" s="5" t="str">
        <f t="shared" si="27"/>
        <v>Defs</v>
      </c>
      <c r="J244" s="4" t="str">
        <f>IF(Table2[[#This Row],[!Type]]=J$1, J$1,"rg:None")</f>
        <v>rg:None</v>
      </c>
      <c r="K244" s="4" t="str">
        <f>IF(Table2[[#This Row],[!Type]]=K$1, K$1,"rg:None")</f>
        <v>rg:None</v>
      </c>
      <c r="L244" s="4" t="str">
        <f>IF(Table2[[#This Row],[!Type]]=L$1, L$1,"rg:None")</f>
        <v>rg:None</v>
      </c>
      <c r="M244" s="4" t="str">
        <f>IF(Table2[[#This Row],[!Type]]=M$1, M$1,"rg:None")</f>
        <v>rg:None</v>
      </c>
      <c r="N244" s="4" t="str">
        <f>IF(Table2[[#This Row],[!Type]]=N$1, N$1,"rg:None")</f>
        <v>rg:None</v>
      </c>
      <c r="O244" s="4" t="str">
        <f>IF(Table2[[#This Row],[!Type]]=O$1, O$1,"rg:None")</f>
        <v>rg:None</v>
      </c>
      <c r="P244" s="4" t="str">
        <f>IF(Table2[[#This Row],[!Type]]=P$1, P$1,"rg:None")</f>
        <v>rg:None</v>
      </c>
      <c r="Q244" s="4" t="str">
        <f>IF(Table2[[#This Row],[!Type]]=Q$1, Q$1,"rg:None")</f>
        <v>rg:None</v>
      </c>
      <c r="R244" s="4" t="str">
        <f>IF(Table2[[#This Row],[!Type]]=R$1, R$1,"rg:None")</f>
        <v>string</v>
      </c>
      <c r="S244" s="4" t="str">
        <f>IF(Table2[[#This Row],[!Type]]=S$1, S$1,"rg:None")</f>
        <v>rg:None</v>
      </c>
      <c r="T244" s="4">
        <f>IF(LEN(Table2[[#This Row],[!Length]]) &gt; 0, Table2[[#This Row],[!Length]], "rg:None")</f>
        <v>2048</v>
      </c>
      <c r="U244" s="4" t="str">
        <f>IF(LEN(Table2[[#This Row],[!Name]]) &gt; 0, Table2[[#This Row],[!Name]], "rg:None")</f>
        <v>text</v>
      </c>
      <c r="V244" s="4" t="str">
        <f>IF(LEN(Table2[[#This Row],[!Description]]) &gt; 0, Table2[[#This Row],[!Description]], "rg:None")</f>
        <v>Notes entered by users about instance of entities - e.g. School Buses and School Bus Owners</v>
      </c>
      <c r="W244" s="4" t="str">
        <f>IF(LEN(Table2[[#This Row],[!FK]])&gt;0,Table2[[#This Row],[!FK]],"rg:None")</f>
        <v>rg:None</v>
      </c>
      <c r="X244" s="14" t="str">
        <f>IF(LEN(concatif2(A:A,Table2[[#This Row],[!Table]],G:G,"Y",D:D,",")) &gt; 0,"rg:[ { 'req' : '"&amp;concatif2(A:A,Table2[[#This Row],[!Table]],G:G,"Y",D:D,"' }, { 'req': '")&amp;"'} ]","rg:[]")</f>
        <v>rg:[ { 'req' : 'id' }, { 'req': 'text'} ]</v>
      </c>
      <c r="Y244" s="4" t="str">
        <f>IF(LEN(Table2[[#This Row],[!Unique]])&gt;0,IF(Table2[[#This Row],[!Type]] = "id", "rg:None","rg:True"),"rg:None")</f>
        <v>rg:None</v>
      </c>
    </row>
    <row r="245" spans="1:25" ht="28.8" x14ac:dyDescent="0.35">
      <c r="A245" s="81" t="s">
        <v>143</v>
      </c>
      <c r="B245" s="5" t="s">
        <v>9</v>
      </c>
      <c r="D245" s="5" t="s">
        <v>153</v>
      </c>
      <c r="E245" s="104" t="s">
        <v>306</v>
      </c>
      <c r="F245" s="5" t="s">
        <v>5</v>
      </c>
      <c r="G245" s="4"/>
      <c r="H245" s="4"/>
      <c r="I245" s="5" t="str">
        <f t="shared" si="27"/>
        <v>Defs</v>
      </c>
      <c r="J245" s="4" t="str">
        <f>IF(Table2[[#This Row],[!Type]]=J$1, J$1,"rg:None")</f>
        <v>boolean</v>
      </c>
      <c r="K245" s="4" t="str">
        <f>IF(Table2[[#This Row],[!Type]]=K$1, K$1,"rg:None")</f>
        <v>rg:None</v>
      </c>
      <c r="L245" s="4" t="str">
        <f>IF(Table2[[#This Row],[!Type]]=L$1, L$1,"rg:None")</f>
        <v>rg:None</v>
      </c>
      <c r="M245" s="4" t="str">
        <f>IF(Table2[[#This Row],[!Type]]=M$1, M$1,"rg:None")</f>
        <v>rg:None</v>
      </c>
      <c r="N245" s="4" t="str">
        <f>IF(Table2[[#This Row],[!Type]]=N$1, N$1,"rg:None")</f>
        <v>rg:None</v>
      </c>
      <c r="O245" s="4" t="str">
        <f>IF(Table2[[#This Row],[!Type]]=O$1, O$1,"rg:None")</f>
        <v>rg:None</v>
      </c>
      <c r="P245" s="4" t="str">
        <f>IF(Table2[[#This Row],[!Type]]=P$1, P$1,"rg:None")</f>
        <v>rg:None</v>
      </c>
      <c r="Q245" s="4" t="str">
        <f>IF(Table2[[#This Row],[!Type]]=Q$1, Q$1,"rg:None")</f>
        <v>rg:None</v>
      </c>
      <c r="R245" s="4" t="str">
        <f>IF(Table2[[#This Row],[!Type]]=R$1, R$1,"rg:None")</f>
        <v>rg:None</v>
      </c>
      <c r="S245" s="4" t="str">
        <f>IF(Table2[[#This Row],[!Type]]=S$1, S$1,"rg:None")</f>
        <v>rg:None</v>
      </c>
      <c r="T245" s="4" t="str">
        <f>IF(LEN(Table2[[#This Row],[!Length]]) &gt; 0, Table2[[#This Row],[!Length]], "rg:None")</f>
        <v>rg:None</v>
      </c>
      <c r="U245" s="4" t="str">
        <f>IF(LEN(Table2[[#This Row],[!Name]]) &gt; 0, Table2[[#This Row],[!Name]], "rg:None")</f>
        <v>isNoLongerRelevant</v>
      </c>
      <c r="V245" s="4" t="str">
        <f>IF(LEN(Table2[[#This Row],[!Description]]) &gt; 0, Table2[[#This Row],[!Description]], "rg:None")</f>
        <v>A user set flag that the note is no longer relevant. Allows the note to be retained for historical reasons,  but identified to other users as no longer applicable.</v>
      </c>
      <c r="W245" s="4" t="str">
        <f>IF(LEN(Table2[[#This Row],[!FK]])&gt;0,Table2[[#This Row],[!FK]],"rg:None")</f>
        <v>rg:None</v>
      </c>
      <c r="X245" s="14" t="str">
        <f>IF(LEN(concatif2(A:A,Table2[[#This Row],[!Table]],G:G,"Y",D:D,",")) &gt; 0,"rg:[ { 'req' : '"&amp;concatif2(A:A,Table2[[#This Row],[!Table]],G:G,"Y",D:D,"' }, { 'req': '")&amp;"'} ]","rg:[]")</f>
        <v>rg:[ { 'req' : 'id' }, { 'req': 'text'} ]</v>
      </c>
      <c r="Y245" s="4" t="str">
        <f>IF(LEN(Table2[[#This Row],[!Unique]])&gt;0,IF(Table2[[#This Row],[!Type]] = "id", "rg:None","rg:True"),"rg:None")</f>
        <v>rg:None</v>
      </c>
    </row>
    <row r="246" spans="1:25" ht="28.8" x14ac:dyDescent="0.35">
      <c r="A246" s="81" t="s">
        <v>155</v>
      </c>
      <c r="B246" s="5" t="s">
        <v>4</v>
      </c>
      <c r="D246" s="81" t="s">
        <v>155</v>
      </c>
      <c r="E246" s="76" t="s">
        <v>361</v>
      </c>
      <c r="F246" s="5" t="s">
        <v>5</v>
      </c>
      <c r="G246" s="4"/>
      <c r="H246" s="4"/>
      <c r="I246" s="5" t="str">
        <f t="shared" si="27"/>
        <v>Defs</v>
      </c>
      <c r="J246" s="4" t="str">
        <f>IF(Table2[[#This Row],[!Type]]=J$1, J$1,"rg:None")</f>
        <v>rg:None</v>
      </c>
      <c r="K246" s="4" t="str">
        <f>IF(Table2[[#This Row],[!Type]]=K$1, K$1,"rg:None")</f>
        <v>rg:None</v>
      </c>
      <c r="L246" s="4" t="str">
        <f>IF(Table2[[#This Row],[!Type]]=L$1, L$1,"rg:None")</f>
        <v>rg:None</v>
      </c>
      <c r="M246" s="4" t="str">
        <f>IF(Table2[[#This Row],[!Type]]=M$1, M$1,"rg:None")</f>
        <v>rg:None</v>
      </c>
      <c r="N246" s="4" t="str">
        <f>IF(Table2[[#This Row],[!Type]]=N$1, N$1,"rg:None")</f>
        <v>rg:None</v>
      </c>
      <c r="O246" s="4" t="str">
        <f>IF(Table2[[#This Row],[!Type]]=O$1, O$1,"rg:None")</f>
        <v>rg:None</v>
      </c>
      <c r="P246" s="4" t="str">
        <f>IF(Table2[[#This Row],[!Type]]=P$1, P$1,"rg:None")</f>
        <v>rg:None</v>
      </c>
      <c r="Q246" s="4" t="str">
        <f>IF(Table2[[#This Row],[!Type]]=Q$1, Q$1,"rg:None")</f>
        <v>rg:None</v>
      </c>
      <c r="R246" s="4" t="str">
        <f>IF(Table2[[#This Row],[!Type]]=R$1, R$1,"rg:None")</f>
        <v>rg:None</v>
      </c>
      <c r="S246" s="4" t="str">
        <f>IF(Table2[[#This Row],[!Type]]=S$1, S$1,"rg:None")</f>
        <v>table</v>
      </c>
      <c r="T246" s="4" t="str">
        <f>IF(LEN(Table2[[#This Row],[!Length]]) &gt; 0, Table2[[#This Row],[!Length]], "rg:None")</f>
        <v>rg:None</v>
      </c>
      <c r="U246" s="4" t="str">
        <f>IF(LEN(Table2[[#This Row],[!Name]]) &gt; 0, Table2[[#This Row],[!Name]], "rg:None")</f>
        <v>Attachment</v>
      </c>
      <c r="V246" s="4" t="str">
        <f>IF(LEN(Table2[[#This Row],[!Description]]) &gt; 0, Table2[[#This Row],[!Description]], "rg:None")</f>
        <v>Uploaded documents related to entity in the application - e.g. piece of Equipment, an Owner, a Project and so on.</v>
      </c>
      <c r="W246" s="4" t="str">
        <f>IF(LEN(Table2[[#This Row],[!FK]])&gt;0,Table2[[#This Row],[!FK]],"rg:None")</f>
        <v>rg:None</v>
      </c>
      <c r="X246" s="14" t="str">
        <f>IF(LEN(concatif2(A:A,Table2[[#This Row],[!Table]],G:G,"Y",D:D,",")) &gt; 0,"rg:[ { 'req' : '"&amp;concatif2(A:A,Table2[[#This Row],[!Table]],G:G,"Y",D:D,"' }, { 'req': '")&amp;"'} ]","rg:[]")</f>
        <v>rg:[ { 'req' : 'id' }, { 'req': 'fileName' }, { 'req': 'fileContents'} ]</v>
      </c>
      <c r="Y246" s="4" t="str">
        <f>IF(LEN(Table2[[#This Row],[!Unique]])&gt;0,IF(Table2[[#This Row],[!Type]] = "id", "rg:None","rg:True"),"rg:None")</f>
        <v>rg:None</v>
      </c>
    </row>
    <row r="247" spans="1:25" x14ac:dyDescent="0.35">
      <c r="A247" s="81" t="s">
        <v>155</v>
      </c>
      <c r="B247" s="5" t="s">
        <v>6</v>
      </c>
      <c r="D247" s="5" t="s">
        <v>6</v>
      </c>
      <c r="E247" s="54" t="s">
        <v>307</v>
      </c>
      <c r="F247" s="5" t="s">
        <v>5</v>
      </c>
      <c r="G247" s="4" t="s">
        <v>59</v>
      </c>
      <c r="H247" s="41" t="s">
        <v>59</v>
      </c>
      <c r="I247" s="5" t="str">
        <f t="shared" si="27"/>
        <v>Defs</v>
      </c>
      <c r="J247" s="4" t="str">
        <f>IF(Table2[[#This Row],[!Type]]=J$1, J$1,"rg:None")</f>
        <v>rg:None</v>
      </c>
      <c r="K247" s="4" t="str">
        <f>IF(Table2[[#This Row],[!Type]]=K$1, K$1,"rg:None")</f>
        <v>rg:None</v>
      </c>
      <c r="L247" s="4" t="str">
        <f>IF(Table2[[#This Row],[!Type]]=L$1, L$1,"rg:None")</f>
        <v>rg:None</v>
      </c>
      <c r="M247" s="4" t="str">
        <f>IF(Table2[[#This Row],[!Type]]=M$1, M$1,"rg:None")</f>
        <v>id</v>
      </c>
      <c r="N247" s="4" t="str">
        <f>IF(Table2[[#This Row],[!Type]]=N$1, N$1,"rg:None")</f>
        <v>rg:None</v>
      </c>
      <c r="O247" s="4" t="str">
        <f>IF(Table2[[#This Row],[!Type]]=O$1, O$1,"rg:None")</f>
        <v>rg:None</v>
      </c>
      <c r="P247" s="4" t="str">
        <f>IF(Table2[[#This Row],[!Type]]=P$1, P$1,"rg:None")</f>
        <v>rg:None</v>
      </c>
      <c r="Q247" s="4" t="str">
        <f>IF(Table2[[#This Row],[!Type]]=Q$1, Q$1,"rg:None")</f>
        <v>rg:None</v>
      </c>
      <c r="R247" s="4" t="str">
        <f>IF(Table2[[#This Row],[!Type]]=R$1, R$1,"rg:None")</f>
        <v>rg:None</v>
      </c>
      <c r="S247" s="4" t="str">
        <f>IF(Table2[[#This Row],[!Type]]=S$1, S$1,"rg:None")</f>
        <v>rg:None</v>
      </c>
      <c r="T247" s="4" t="str">
        <f>IF(LEN(Table2[[#This Row],[!Length]]) &gt; 0, Table2[[#This Row],[!Length]], "rg:None")</f>
        <v>rg:None</v>
      </c>
      <c r="U247" s="4" t="str">
        <f>IF(LEN(Table2[[#This Row],[!Name]]) &gt; 0, Table2[[#This Row],[!Name]], "rg:None")</f>
        <v>id</v>
      </c>
      <c r="V247" s="4" t="str">
        <f>IF(LEN(Table2[[#This Row],[!Description]]) &gt; 0, Table2[[#This Row],[!Description]], "rg:None")</f>
        <v>A system-generated unique identifier for an Attachment</v>
      </c>
      <c r="W247" s="4" t="str">
        <f>IF(LEN(Table2[[#This Row],[!FK]])&gt;0,Table2[[#This Row],[!FK]],"rg:None")</f>
        <v>rg:None</v>
      </c>
      <c r="X247" s="14" t="str">
        <f>IF(LEN(concatif2(A:A,Table2[[#This Row],[!Table]],G:G,"Y",D:D,",")) &gt; 0,"rg:[ { 'req' : '"&amp;concatif2(A:A,Table2[[#This Row],[!Table]],G:G,"Y",D:D,"' }, { 'req': '")&amp;"'} ]","rg:[]")</f>
        <v>rg:[ { 'req' : 'id' }, { 'req': 'fileName' }, { 'req': 'fileContents'} ]</v>
      </c>
      <c r="Y247" s="4" t="str">
        <f>IF(LEN(Table2[[#This Row],[!Unique]])&gt;0,IF(Table2[[#This Row],[!Type]] = "id", "rg:None","rg:True"),"rg:None")</f>
        <v>rg:None</v>
      </c>
    </row>
    <row r="248" spans="1:25" x14ac:dyDescent="0.35">
      <c r="A248" s="81" t="s">
        <v>155</v>
      </c>
      <c r="B248" s="5" t="s">
        <v>7</v>
      </c>
      <c r="C248" s="5">
        <v>2048</v>
      </c>
      <c r="D248" s="5" t="s">
        <v>514</v>
      </c>
      <c r="E248" s="54" t="s">
        <v>515</v>
      </c>
      <c r="F248" s="5" t="s">
        <v>5</v>
      </c>
      <c r="G248" s="155" t="s">
        <v>59</v>
      </c>
      <c r="H248" s="41"/>
      <c r="I248" s="5" t="str">
        <f t="shared" si="27"/>
        <v>Defs</v>
      </c>
      <c r="J248" s="4" t="str">
        <f>IF(Table2[[#This Row],[!Type]]=J$1, J$1,"rg:None")</f>
        <v>rg:None</v>
      </c>
      <c r="K248" s="4" t="str">
        <f>IF(Table2[[#This Row],[!Type]]=K$1, K$1,"rg:None")</f>
        <v>rg:None</v>
      </c>
      <c r="L248" s="4" t="str">
        <f>IF(Table2[[#This Row],[!Type]]=L$1, L$1,"rg:None")</f>
        <v>rg:None</v>
      </c>
      <c r="M248" s="4" t="str">
        <f>IF(Table2[[#This Row],[!Type]]=M$1, M$1,"rg:None")</f>
        <v>rg:None</v>
      </c>
      <c r="N248" s="4" t="str">
        <f>IF(Table2[[#This Row],[!Type]]=N$1, N$1,"rg:None")</f>
        <v>rg:None</v>
      </c>
      <c r="O248" s="4" t="str">
        <f>IF(Table2[[#This Row],[!Type]]=O$1, O$1,"rg:None")</f>
        <v>rg:None</v>
      </c>
      <c r="P248" s="4" t="str">
        <f>IF(Table2[[#This Row],[!Type]]=P$1, P$1,"rg:None")</f>
        <v>rg:None</v>
      </c>
      <c r="Q248" s="4" t="str">
        <f>IF(Table2[[#This Row],[!Type]]=Q$1, Q$1,"rg:None")</f>
        <v>rg:None</v>
      </c>
      <c r="R248" s="4" t="str">
        <f>IF(Table2[[#This Row],[!Type]]=R$1, R$1,"rg:None")</f>
        <v>string</v>
      </c>
      <c r="S248" s="4" t="str">
        <f>IF(Table2[[#This Row],[!Type]]=S$1, S$1,"rg:None")</f>
        <v>rg:None</v>
      </c>
      <c r="T248" s="4">
        <f>IF(LEN(Table2[[#This Row],[!Length]]) &gt; 0, Table2[[#This Row],[!Length]], "rg:None")</f>
        <v>2048</v>
      </c>
      <c r="U248" s="4" t="str">
        <f>IF(LEN(Table2[[#This Row],[!Name]]) &gt; 0, Table2[[#This Row],[!Name]], "rg:None")</f>
        <v>fileName</v>
      </c>
      <c r="V248" s="4" t="str">
        <f>IF(LEN(Table2[[#This Row],[!Description]]) &gt; 0, Table2[[#This Row],[!Description]], "rg:None")</f>
        <v>Filename as passed by the user uploading the file</v>
      </c>
      <c r="W248" s="4" t="str">
        <f>IF(LEN(Table2[[#This Row],[!FK]])&gt;0,Table2[[#This Row],[!FK]],"rg:None")</f>
        <v>rg:None</v>
      </c>
      <c r="X248" s="14" t="str">
        <f>IF(LEN(concatif2(A:A,Table2[[#This Row],[!Table]],G:G,"Y",D:D,",")) &gt; 0,"rg:[ { 'req' : '"&amp;concatif2(A:A,Table2[[#This Row],[!Table]],G:G,"Y",D:D,"' }, { 'req': '")&amp;"'} ]","rg:[]")</f>
        <v>rg:[ { 'req' : 'id' }, { 'req': 'fileName' }, { 'req': 'fileContents'} ]</v>
      </c>
      <c r="Y248" s="4" t="str">
        <f>IF(LEN(Table2[[#This Row],[!Unique]])&gt;0,IF(Table2[[#This Row],[!Type]] = "id", "rg:None","rg:True"),"rg:None")</f>
        <v>rg:None</v>
      </c>
    </row>
    <row r="249" spans="1:25" x14ac:dyDescent="0.35">
      <c r="A249" s="81" t="s">
        <v>155</v>
      </c>
      <c r="B249" s="5" t="s">
        <v>156</v>
      </c>
      <c r="D249" s="5" t="s">
        <v>516</v>
      </c>
      <c r="E249" s="105" t="s">
        <v>517</v>
      </c>
      <c r="F249" s="5" t="s">
        <v>5</v>
      </c>
      <c r="G249" s="155" t="s">
        <v>59</v>
      </c>
      <c r="H249" s="41"/>
      <c r="I249" s="5" t="str">
        <f t="shared" si="27"/>
        <v>Defs</v>
      </c>
      <c r="J249" s="4" t="str">
        <f>IF(Table2[[#This Row],[!Type]]=J$1, J$1,"rg:None")</f>
        <v>rg:None</v>
      </c>
      <c r="K249" s="4" t="str">
        <f>IF(Table2[[#This Row],[!Type]]=K$1, K$1,"rg:None")</f>
        <v>binary</v>
      </c>
      <c r="L249" s="4" t="str">
        <f>IF(Table2[[#This Row],[!Type]]=L$1, L$1,"rg:None")</f>
        <v>rg:None</v>
      </c>
      <c r="M249" s="4" t="str">
        <f>IF(Table2[[#This Row],[!Type]]=M$1, M$1,"rg:None")</f>
        <v>rg:None</v>
      </c>
      <c r="N249" s="4" t="str">
        <f>IF(Table2[[#This Row],[!Type]]=N$1, N$1,"rg:None")</f>
        <v>rg:None</v>
      </c>
      <c r="O249" s="4" t="str">
        <f>IF(Table2[[#This Row],[!Type]]=O$1, O$1,"rg:None")</f>
        <v>rg:None</v>
      </c>
      <c r="P249" s="4" t="str">
        <f>IF(Table2[[#This Row],[!Type]]=P$1, P$1,"rg:None")</f>
        <v>rg:None</v>
      </c>
      <c r="Q249" s="4" t="str">
        <f>IF(Table2[[#This Row],[!Type]]=Q$1, Q$1,"rg:None")</f>
        <v>rg:None</v>
      </c>
      <c r="R249" s="4" t="str">
        <f>IF(Table2[[#This Row],[!Type]]=R$1, R$1,"rg:None")</f>
        <v>rg:None</v>
      </c>
      <c r="S249" s="4" t="str">
        <f>IF(Table2[[#This Row],[!Type]]=S$1, S$1,"rg:None")</f>
        <v>rg:None</v>
      </c>
      <c r="T249" s="4" t="str">
        <f>IF(LEN(Table2[[#This Row],[!Length]]) &gt; 0, Table2[[#This Row],[!Length]], "rg:None")</f>
        <v>rg:None</v>
      </c>
      <c r="U249" s="4" t="str">
        <f>IF(LEN(Table2[[#This Row],[!Name]]) &gt; 0, Table2[[#This Row],[!Name]], "rg:None")</f>
        <v>fileContents</v>
      </c>
      <c r="V249" s="4" t="str">
        <f>IF(LEN(Table2[[#This Row],[!Description]]) &gt; 0, Table2[[#This Row],[!Description]], "rg:None")</f>
        <v>Binary contents of the file</v>
      </c>
      <c r="W249" s="4" t="str">
        <f>IF(LEN(Table2[[#This Row],[!FK]])&gt;0,Table2[[#This Row],[!FK]],"rg:None")</f>
        <v>rg:None</v>
      </c>
      <c r="X249" s="14" t="str">
        <f>IF(LEN(concatif2(A:A,Table2[[#This Row],[!Table]],G:G,"Y",D:D,",")) &gt; 0,"rg:[ { 'req' : '"&amp;concatif2(A:A,Table2[[#This Row],[!Table]],G:G,"Y",D:D,"' }, { 'req': '")&amp;"'} ]","rg:[]")</f>
        <v>rg:[ { 'req' : 'id' }, { 'req': 'fileName' }, { 'req': 'fileContents'} ]</v>
      </c>
      <c r="Y249" s="4" t="str">
        <f>IF(LEN(Table2[[#This Row],[!Unique]])&gt;0,IF(Table2[[#This Row],[!Type]] = "id", "rg:None","rg:True"),"rg:None")</f>
        <v>rg:None</v>
      </c>
    </row>
    <row r="250" spans="1:25" x14ac:dyDescent="0.35">
      <c r="A250" s="81" t="s">
        <v>155</v>
      </c>
      <c r="B250" s="5" t="s">
        <v>7</v>
      </c>
      <c r="C250" s="5">
        <v>2048</v>
      </c>
      <c r="D250" s="5" t="s">
        <v>14</v>
      </c>
      <c r="E250" s="105" t="s">
        <v>154</v>
      </c>
      <c r="F250" s="5" t="s">
        <v>5</v>
      </c>
      <c r="G250" s="4"/>
      <c r="H250" s="4"/>
      <c r="I250" s="5" t="str">
        <f t="shared" si="27"/>
        <v>Defs</v>
      </c>
      <c r="J250" s="4" t="str">
        <f>IF(Table2[[#This Row],[!Type]]=J$1, J$1,"rg:None")</f>
        <v>rg:None</v>
      </c>
      <c r="K250" s="4" t="str">
        <f>IF(Table2[[#This Row],[!Type]]=K$1, K$1,"rg:None")</f>
        <v>rg:None</v>
      </c>
      <c r="L250" s="4" t="str">
        <f>IF(Table2[[#This Row],[!Type]]=L$1, L$1,"rg:None")</f>
        <v>rg:None</v>
      </c>
      <c r="M250" s="4" t="str">
        <f>IF(Table2[[#This Row],[!Type]]=M$1, M$1,"rg:None")</f>
        <v>rg:None</v>
      </c>
      <c r="N250" s="4" t="str">
        <f>IF(Table2[[#This Row],[!Type]]=N$1, N$1,"rg:None")</f>
        <v>rg:None</v>
      </c>
      <c r="O250" s="4" t="str">
        <f>IF(Table2[[#This Row],[!Type]]=O$1, O$1,"rg:None")</f>
        <v>rg:None</v>
      </c>
      <c r="P250" s="4" t="str">
        <f>IF(Table2[[#This Row],[!Type]]=P$1, P$1,"rg:None")</f>
        <v>rg:None</v>
      </c>
      <c r="Q250" s="4" t="str">
        <f>IF(Table2[[#This Row],[!Type]]=Q$1, Q$1,"rg:None")</f>
        <v>rg:None</v>
      </c>
      <c r="R250" s="4" t="str">
        <f>IF(Table2[[#This Row],[!Type]]=R$1, R$1,"rg:None")</f>
        <v>string</v>
      </c>
      <c r="S250" s="4" t="str">
        <f>IF(Table2[[#This Row],[!Type]]=S$1, S$1,"rg:None")</f>
        <v>rg:None</v>
      </c>
      <c r="T250" s="4">
        <f>IF(LEN(Table2[[#This Row],[!Length]]) &gt; 0, Table2[[#This Row],[!Length]], "rg:None")</f>
        <v>2048</v>
      </c>
      <c r="U250" s="4" t="str">
        <f>IF(LEN(Table2[[#This Row],[!Name]]) &gt; 0, Table2[[#This Row],[!Name]], "rg:None")</f>
        <v>description</v>
      </c>
      <c r="V250" s="4" t="str">
        <f>IF(LEN(Table2[[#This Row],[!Description]]) &gt; 0, Table2[[#This Row],[!Description]], "rg:None")</f>
        <v>A note about the attachment,  optionally maintained by the user.</v>
      </c>
      <c r="W250" s="4" t="str">
        <f>IF(LEN(Table2[[#This Row],[!FK]])&gt;0,Table2[[#This Row],[!FK]],"rg:None")</f>
        <v>rg:None</v>
      </c>
      <c r="X250" s="14" t="str">
        <f>IF(LEN(concatif2(A:A,Table2[[#This Row],[!Table]],G:G,"Y",D:D,",")) &gt; 0,"rg:[ { 'req' : '"&amp;concatif2(A:A,Table2[[#This Row],[!Table]],G:G,"Y",D:D,"' }, { 'req': '")&amp;"'} ]","rg:[]")</f>
        <v>rg:[ { 'req' : 'id' }, { 'req': 'fileName' }, { 'req': 'fileContents'} ]</v>
      </c>
      <c r="Y250" s="4" t="str">
        <f>IF(LEN(Table2[[#This Row],[!Unique]])&gt;0,IF(Table2[[#This Row],[!Type]] = "id", "rg:None","rg:True"),"rg:None")</f>
        <v>rg:None</v>
      </c>
    </row>
    <row r="251" spans="1:25" x14ac:dyDescent="0.35">
      <c r="A251" s="72" t="s">
        <v>155</v>
      </c>
      <c r="B251" s="72" t="s">
        <v>7</v>
      </c>
      <c r="C251" s="72">
        <v>255</v>
      </c>
      <c r="D251" s="72" t="s">
        <v>20</v>
      </c>
      <c r="E251" s="47" t="s">
        <v>518</v>
      </c>
      <c r="F251" s="12"/>
      <c r="G251" s="18"/>
      <c r="H251" s="18"/>
      <c r="I251" s="4" t="str">
        <f>IF(LEN(A251) &gt; 0,"Defs","-")</f>
        <v>Defs</v>
      </c>
      <c r="J251" s="4" t="str">
        <f>IF(Table2[[#This Row],[!Type]]=J$1, J$1,"rg:None")</f>
        <v>rg:None</v>
      </c>
      <c r="K251" s="4" t="str">
        <f>IF(Table2[[#This Row],[!Type]]=K$1, K$1,"rg:None")</f>
        <v>rg:None</v>
      </c>
      <c r="L251" s="4" t="str">
        <f>IF(Table2[[#This Row],[!Type]]=L$1, L$1,"rg:None")</f>
        <v>rg:None</v>
      </c>
      <c r="M251" s="4" t="str">
        <f>IF(Table2[[#This Row],[!Type]]=M$1, M$1,"rg:None")</f>
        <v>rg:None</v>
      </c>
      <c r="N251" s="4" t="str">
        <f>IF(Table2[[#This Row],[!Type]]=N$1, N$1,"rg:None")</f>
        <v>rg:None</v>
      </c>
      <c r="O251" s="4" t="str">
        <f>IF(Table2[[#This Row],[!Type]]=O$1, O$1,"rg:None")</f>
        <v>rg:None</v>
      </c>
      <c r="P251" s="4" t="str">
        <f>IF(Table2[[#This Row],[!Type]]=P$1, P$1,"rg:None")</f>
        <v>rg:None</v>
      </c>
      <c r="Q251" s="4" t="str">
        <f>IF(Table2[[#This Row],[!Type]]=Q$1, Q$1,"rg:None")</f>
        <v>rg:None</v>
      </c>
      <c r="R251" s="4" t="str">
        <f>IF(Table2[[#This Row],[!Type]]=R$1, R$1,"rg:None")</f>
        <v>string</v>
      </c>
      <c r="S251" s="4" t="str">
        <f>IF(Table2[[#This Row],[!Type]]=S$1, S$1,"rg:None")</f>
        <v>rg:None</v>
      </c>
      <c r="T251" s="4">
        <f>IF(LEN(Table2[[#This Row],[!Length]]) &gt; 0, Table2[[#This Row],[!Length]], "rg:None")</f>
        <v>255</v>
      </c>
      <c r="U251" s="4" t="str">
        <f>IF(LEN(Table2[[#This Row],[!Name]]) &gt; 0, Table2[[#This Row],[!Name]], "rg:None")</f>
        <v>type</v>
      </c>
      <c r="V251" s="4" t="str">
        <f>IF(LEN(Table2[[#This Row],[!Description]]) &gt; 0, Table2[[#This Row],[!Description]], "rg:None")</f>
        <v>Type of attachment</v>
      </c>
      <c r="W251" s="4" t="str">
        <f>IF(LEN(Table2[[#This Row],[!FK]])&gt;0,Table2[[#This Row],[!FK]],"rg:None")</f>
        <v>rg:None</v>
      </c>
      <c r="X251" s="14" t="str">
        <f>IF(LEN(concatif2(A:A,Table2[[#This Row],[!Table]],G:G,"Y",D:D,",")) &gt; 0,"rg:[ { 'req' : '"&amp;concatif2(A:A,Table2[[#This Row],[!Table]],G:G,"Y",D:D,"' }, { 'req': '")&amp;"'} ]","rg:[]")</f>
        <v>rg:[ { 'req' : 'id' }, { 'req': 'fileName' }, { 'req': 'fileContents'} ]</v>
      </c>
      <c r="Y251" s="4" t="str">
        <f>IF(LEN(Table2[[#This Row],[!Unique]])&gt;0,IF(Table2[[#This Row],[!Type]] = "id", "rg:None","rg:True"),"rg:None")</f>
        <v>rg:None</v>
      </c>
    </row>
    <row r="252" spans="1:25" ht="28.8" x14ac:dyDescent="0.35">
      <c r="A252" s="81" t="s">
        <v>157</v>
      </c>
      <c r="B252" s="5" t="s">
        <v>4</v>
      </c>
      <c r="D252" s="81" t="s">
        <v>157</v>
      </c>
      <c r="E252" s="76" t="s">
        <v>362</v>
      </c>
      <c r="F252" s="5" t="s">
        <v>5</v>
      </c>
      <c r="G252" s="4"/>
      <c r="H252" s="4"/>
      <c r="I252" s="5" t="str">
        <f t="shared" si="27"/>
        <v>Defs</v>
      </c>
      <c r="J252" s="4" t="str">
        <f>IF(Table2[[#This Row],[!Type]]=J$1, J$1,"rg:None")</f>
        <v>rg:None</v>
      </c>
      <c r="K252" s="4" t="str">
        <f>IF(Table2[[#This Row],[!Type]]=K$1, K$1,"rg:None")</f>
        <v>rg:None</v>
      </c>
      <c r="L252" s="4" t="str">
        <f>IF(Table2[[#This Row],[!Type]]=L$1, L$1,"rg:None")</f>
        <v>rg:None</v>
      </c>
      <c r="M252" s="4" t="str">
        <f>IF(Table2[[#This Row],[!Type]]=M$1, M$1,"rg:None")</f>
        <v>rg:None</v>
      </c>
      <c r="N252" s="4" t="str">
        <f>IF(Table2[[#This Row],[!Type]]=N$1, N$1,"rg:None")</f>
        <v>rg:None</v>
      </c>
      <c r="O252" s="4" t="str">
        <f>IF(Table2[[#This Row],[!Type]]=O$1, O$1,"rg:None")</f>
        <v>rg:None</v>
      </c>
      <c r="P252" s="4" t="str">
        <f>IF(Table2[[#This Row],[!Type]]=P$1, P$1,"rg:None")</f>
        <v>rg:None</v>
      </c>
      <c r="Q252" s="4" t="str">
        <f>IF(Table2[[#This Row],[!Type]]=Q$1, Q$1,"rg:None")</f>
        <v>rg:None</v>
      </c>
      <c r="R252" s="4" t="str">
        <f>IF(Table2[[#This Row],[!Type]]=R$1, R$1,"rg:None")</f>
        <v>rg:None</v>
      </c>
      <c r="S252" s="4" t="str">
        <f>IF(Table2[[#This Row],[!Type]]=S$1, S$1,"rg:None")</f>
        <v>table</v>
      </c>
      <c r="T252" s="4" t="str">
        <f>IF(LEN(Table2[[#This Row],[!Length]]) &gt; 0, Table2[[#This Row],[!Length]], "rg:None")</f>
        <v>rg:None</v>
      </c>
      <c r="U252" s="4" t="str">
        <f>IF(LEN(Table2[[#This Row],[!Name]]) &gt; 0, Table2[[#This Row],[!Name]], "rg:None")</f>
        <v>History</v>
      </c>
      <c r="V252" s="4" t="str">
        <f>IF(LEN(Table2[[#This Row],[!Description]]) &gt; 0, Table2[[#This Row],[!Description]], "rg:None")</f>
        <v>A log entry created by the system based on a triggering event and related to an entity in the application - e.g. piece of Equipment, an Owner, a Project and so on.</v>
      </c>
      <c r="W252" s="4" t="str">
        <f>IF(LEN(Table2[[#This Row],[!FK]])&gt;0,Table2[[#This Row],[!FK]],"rg:None")</f>
        <v>rg:None</v>
      </c>
      <c r="X252" s="14" t="str">
        <f>IF(LEN(concatif2(A:A,Table2[[#This Row],[!Table]],G:G,"Y",D:D,",")) &gt; 0,"rg:[ { 'req' : '"&amp;concatif2(A:A,Table2[[#This Row],[!Table]],G:G,"Y",D:D,"' }, { 'req': '")&amp;"'} ]","rg:[]")</f>
        <v>rg:[ { 'req' : 'id' }, { 'req': 'historyText'} ]</v>
      </c>
      <c r="Y252" s="4" t="str">
        <f>IF(LEN(Table2[[#This Row],[!Unique]])&gt;0,IF(Table2[[#This Row],[!Type]] = "id", "rg:None","rg:True"),"rg:None")</f>
        <v>rg:None</v>
      </c>
    </row>
    <row r="253" spans="1:25" x14ac:dyDescent="0.35">
      <c r="A253" s="81" t="s">
        <v>157</v>
      </c>
      <c r="B253" s="5" t="s">
        <v>6</v>
      </c>
      <c r="D253" s="5" t="s">
        <v>6</v>
      </c>
      <c r="E253" s="54" t="s">
        <v>308</v>
      </c>
      <c r="F253" s="5" t="s">
        <v>5</v>
      </c>
      <c r="G253" s="4" t="s">
        <v>59</v>
      </c>
      <c r="H253" s="155" t="s">
        <v>59</v>
      </c>
      <c r="I253" s="5" t="str">
        <f t="shared" si="27"/>
        <v>Defs</v>
      </c>
      <c r="J253" s="4" t="str">
        <f>IF(Table2[[#This Row],[!Type]]=J$1, J$1,"rg:None")</f>
        <v>rg:None</v>
      </c>
      <c r="K253" s="4" t="str">
        <f>IF(Table2[[#This Row],[!Type]]=K$1, K$1,"rg:None")</f>
        <v>rg:None</v>
      </c>
      <c r="L253" s="4" t="str">
        <f>IF(Table2[[#This Row],[!Type]]=L$1, L$1,"rg:None")</f>
        <v>rg:None</v>
      </c>
      <c r="M253" s="4" t="str">
        <f>IF(Table2[[#This Row],[!Type]]=M$1, M$1,"rg:None")</f>
        <v>id</v>
      </c>
      <c r="N253" s="4" t="str">
        <f>IF(Table2[[#This Row],[!Type]]=N$1, N$1,"rg:None")</f>
        <v>rg:None</v>
      </c>
      <c r="O253" s="4" t="str">
        <f>IF(Table2[[#This Row],[!Type]]=O$1, O$1,"rg:None")</f>
        <v>rg:None</v>
      </c>
      <c r="P253" s="4" t="str">
        <f>IF(Table2[[#This Row],[!Type]]=P$1, P$1,"rg:None")</f>
        <v>rg:None</v>
      </c>
      <c r="Q253" s="4" t="str">
        <f>IF(Table2[[#This Row],[!Type]]=Q$1, Q$1,"rg:None")</f>
        <v>rg:None</v>
      </c>
      <c r="R253" s="4" t="str">
        <f>IF(Table2[[#This Row],[!Type]]=R$1, R$1,"rg:None")</f>
        <v>rg:None</v>
      </c>
      <c r="S253" s="4" t="str">
        <f>IF(Table2[[#This Row],[!Type]]=S$1, S$1,"rg:None")</f>
        <v>rg:None</v>
      </c>
      <c r="T253" s="4" t="str">
        <f>IF(LEN(Table2[[#This Row],[!Length]]) &gt; 0, Table2[[#This Row],[!Length]], "rg:None")</f>
        <v>rg:None</v>
      </c>
      <c r="U253" s="4" t="str">
        <f>IF(LEN(Table2[[#This Row],[!Name]]) &gt; 0, Table2[[#This Row],[!Name]], "rg:None")</f>
        <v>id</v>
      </c>
      <c r="V253" s="4" t="str">
        <f>IF(LEN(Table2[[#This Row],[!Description]]) &gt; 0, Table2[[#This Row],[!Description]], "rg:None")</f>
        <v>A system-generated unique identifier for a History</v>
      </c>
      <c r="W253" s="4" t="str">
        <f>IF(LEN(Table2[[#This Row],[!FK]])&gt;0,Table2[[#This Row],[!FK]],"rg:None")</f>
        <v>rg:None</v>
      </c>
      <c r="X253" s="14" t="str">
        <f>IF(LEN(concatif2(A:A,Table2[[#This Row],[!Table]],G:G,"Y",D:D,",")) &gt; 0,"rg:[ { 'req' : '"&amp;concatif2(A:A,Table2[[#This Row],[!Table]],G:G,"Y",D:D,"' }, { 'req': '")&amp;"'} ]","rg:[]")</f>
        <v>rg:[ { 'req' : 'id' }, { 'req': 'historyText'} ]</v>
      </c>
      <c r="Y253" s="4" t="str">
        <f>IF(LEN(Table2[[#This Row],[!Unique]])&gt;0,IF(Table2[[#This Row],[!Type]] = "id", "rg:None","rg:True"),"rg:None")</f>
        <v>rg:None</v>
      </c>
    </row>
    <row r="254" spans="1:25" x14ac:dyDescent="0.35">
      <c r="A254" s="81" t="s">
        <v>157</v>
      </c>
      <c r="B254" s="81" t="s">
        <v>7</v>
      </c>
      <c r="C254" s="5">
        <v>2048</v>
      </c>
      <c r="D254" s="106" t="s">
        <v>204</v>
      </c>
      <c r="E254" s="107" t="s">
        <v>205</v>
      </c>
      <c r="G254" s="41" t="s">
        <v>59</v>
      </c>
      <c r="H254" s="41"/>
      <c r="I254" s="5" t="str">
        <f t="shared" si="27"/>
        <v>Defs</v>
      </c>
      <c r="J254" s="4" t="str">
        <f>IF(Table2[[#This Row],[!Type]]=J$1, J$1,"rg:None")</f>
        <v>rg:None</v>
      </c>
      <c r="K254" s="4" t="str">
        <f>IF(Table2[[#This Row],[!Type]]=K$1, K$1,"rg:None")</f>
        <v>rg:None</v>
      </c>
      <c r="L254" s="4" t="str">
        <f>IF(Table2[[#This Row],[!Type]]=L$1, L$1,"rg:None")</f>
        <v>rg:None</v>
      </c>
      <c r="M254" s="4" t="str">
        <f>IF(Table2[[#This Row],[!Type]]=M$1, M$1,"rg:None")</f>
        <v>rg:None</v>
      </c>
      <c r="N254" s="4" t="str">
        <f>IF(Table2[[#This Row],[!Type]]=N$1, N$1,"rg:None")</f>
        <v>rg:None</v>
      </c>
      <c r="O254" s="4" t="str">
        <f>IF(Table2[[#This Row],[!Type]]=O$1, O$1,"rg:None")</f>
        <v>rg:None</v>
      </c>
      <c r="P254" s="4" t="str">
        <f>IF(Table2[[#This Row],[!Type]]=P$1, P$1,"rg:None")</f>
        <v>rg:None</v>
      </c>
      <c r="Q254" s="4" t="str">
        <f>IF(Table2[[#This Row],[!Type]]=Q$1, Q$1,"rg:None")</f>
        <v>rg:None</v>
      </c>
      <c r="R254" s="4" t="str">
        <f>IF(Table2[[#This Row],[!Type]]=R$1, R$1,"rg:None")</f>
        <v>string</v>
      </c>
      <c r="S254" s="4" t="str">
        <f>IF(Table2[[#This Row],[!Type]]=S$1, S$1,"rg:None")</f>
        <v>rg:None</v>
      </c>
      <c r="T254" s="4">
        <f>IF(LEN(Table2[[#This Row],[!Length]]) &gt; 0, Table2[[#This Row],[!Length]], "rg:None")</f>
        <v>2048</v>
      </c>
      <c r="U254" s="4" t="str">
        <f>IF(LEN(Table2[[#This Row],[!Name]]) &gt; 0, Table2[[#This Row],[!Name]], "rg:None")</f>
        <v>historyText</v>
      </c>
      <c r="V254" s="4" t="str">
        <f>IF(LEN(Table2[[#This Row],[!Description]]) &gt; 0, Table2[[#This Row],[!Description]], "rg:None")</f>
        <v>The text of the history entry tracked against the related entity.</v>
      </c>
      <c r="W254" s="4" t="str">
        <f>IF(LEN(Table2[[#This Row],[!FK]])&gt;0,Table2[[#This Row],[!FK]],"rg:None")</f>
        <v>rg:None</v>
      </c>
      <c r="X254" s="14" t="str">
        <f>IF(LEN(concatif2(A:A,Table2[[#This Row],[!Table]],G:G,"Y",D:D,",")) &gt; 0,"rg:[ { 'req' : '"&amp;concatif2(A:A,Table2[[#This Row],[!Table]],G:G,"Y",D:D,"' }, { 'req': '")&amp;"'} ]","rg:[]")</f>
        <v>rg:[ { 'req' : 'id' }, { 'req': 'historyText'} ]</v>
      </c>
      <c r="Y254" s="4" t="str">
        <f>IF(LEN(Table2[[#This Row],[!Unique]])&gt;0,IF(Table2[[#This Row],[!Type]] = "id", "rg:None","rg:True"),"rg:None")</f>
        <v>rg:None</v>
      </c>
    </row>
    <row r="255" spans="1:25" x14ac:dyDescent="0.35">
      <c r="A255" s="81" t="s">
        <v>157</v>
      </c>
      <c r="B255" s="19" t="s">
        <v>12</v>
      </c>
      <c r="C255" s="72"/>
      <c r="D255" s="31" t="s">
        <v>203</v>
      </c>
      <c r="E255" s="51" t="s">
        <v>158</v>
      </c>
      <c r="F255" s="12"/>
      <c r="G255" s="18"/>
      <c r="H255" s="18"/>
      <c r="I255" s="4" t="str">
        <f>IF(LEN(A255) &gt; 0,"Defs","-")</f>
        <v>Defs</v>
      </c>
      <c r="J255" s="14" t="str">
        <f>IF(Table2[[#This Row],[!Type]]=J$1, J$1,"rg:None")</f>
        <v>rg:None</v>
      </c>
      <c r="K255" s="14" t="str">
        <f>IF(Table2[[#This Row],[!Type]]=K$1, K$1,"rg:None")</f>
        <v>rg:None</v>
      </c>
      <c r="L255" s="14" t="str">
        <f>IF(Table2[[#This Row],[!Type]]=L$1, L$1,"rg:None")</f>
        <v>datetime</v>
      </c>
      <c r="M255" s="14" t="str">
        <f>IF(Table2[[#This Row],[!Type]]=M$1, M$1,"rg:None")</f>
        <v>rg:None</v>
      </c>
      <c r="N255" s="14" t="str">
        <f>IF(Table2[[#This Row],[!Type]]=N$1, N$1,"rg:None")</f>
        <v>rg:None</v>
      </c>
      <c r="O255" s="14" t="str">
        <f>IF(Table2[[#This Row],[!Type]]=O$1, O$1,"rg:None")</f>
        <v>rg:None</v>
      </c>
      <c r="P255" s="4" t="str">
        <f>IF(Table2[[#This Row],[!Type]]=P$1, P$1,"rg:None")</f>
        <v>rg:None</v>
      </c>
      <c r="Q255" s="4" t="str">
        <f>IF(Table2[[#This Row],[!Type]]=Q$1, Q$1,"rg:None")</f>
        <v>rg:None</v>
      </c>
      <c r="R255" s="4" t="str">
        <f>IF(Table2[[#This Row],[!Type]]=R$1, R$1,"rg:None")</f>
        <v>rg:None</v>
      </c>
      <c r="S255" s="4" t="str">
        <f>IF(Table2[[#This Row],[!Type]]=S$1, S$1,"rg:None")</f>
        <v>rg:None</v>
      </c>
      <c r="T255" s="14" t="str">
        <f>IF(LEN(Table2[[#This Row],[!Length]]) &gt; 0, Table2[[#This Row],[!Length]], "rg:None")</f>
        <v>rg:None</v>
      </c>
      <c r="U255" s="14" t="str">
        <f>IF(LEN(Table2[[#This Row],[!Name]]) &gt; 0, Table2[[#This Row],[!Name]], "rg:None")</f>
        <v>createdDate</v>
      </c>
      <c r="V255" s="14" t="str">
        <f>IF(LEN(Table2[[#This Row],[!Description]]) &gt; 0, Table2[[#This Row],[!Description]], "rg:None")</f>
        <v>Date the record is created.</v>
      </c>
      <c r="W255" s="14" t="str">
        <f>IF(LEN(Table2[[#This Row],[!FK]])&gt;0,Table2[[#This Row],[!FK]],"rg:None")</f>
        <v>rg:None</v>
      </c>
      <c r="X255" s="14" t="str">
        <f>IF(LEN(concatif2(A:A,Table2[[#This Row],[!Table]],G:G,"Y",D:D,",")) &gt; 0,"rg:[ { 'req' : '"&amp;concatif2(A:A,Table2[[#This Row],[!Table]],G:G,"Y",D:D,"' }, { 'req': '")&amp;"'} ]","rg:[]")</f>
        <v>rg:[ { 'req' : 'id' }, { 'req': 'historyText'} ]</v>
      </c>
      <c r="Y255" s="14" t="str">
        <f>IF(LEN(Table2[[#This Row],[!Unique]])&gt;0,IF(Table2[[#This Row],[!Type]] = "id", "rg:None","rg:True"),"rg:None")</f>
        <v>rg:None</v>
      </c>
    </row>
    <row r="256" spans="1:25" ht="28.8" x14ac:dyDescent="0.35">
      <c r="A256" s="5" t="s">
        <v>22</v>
      </c>
      <c r="B256" s="5" t="s">
        <v>4</v>
      </c>
      <c r="D256" s="5" t="s">
        <v>22</v>
      </c>
      <c r="E256" s="54" t="s">
        <v>60</v>
      </c>
      <c r="F256" s="5" t="s">
        <v>5</v>
      </c>
      <c r="G256" s="4"/>
      <c r="H256" s="4"/>
      <c r="I256" s="5" t="str">
        <f t="shared" ref="I256:I298" si="28">IF(LEN(A256) &gt; 0,"Defs","-")</f>
        <v>Defs</v>
      </c>
      <c r="J256" s="8" t="str">
        <f>IF(Table2[[#This Row],[!Type]]=J$1, J$1,"rg:None")</f>
        <v>rg:None</v>
      </c>
      <c r="K256" s="8" t="str">
        <f>IF(Table2[[#This Row],[!Type]]=K$1, K$1,"rg:None")</f>
        <v>rg:None</v>
      </c>
      <c r="L256" s="8" t="str">
        <f>IF(Table2[[#This Row],[!Type]]=L$1, L$1,"rg:None")</f>
        <v>rg:None</v>
      </c>
      <c r="M256" s="8" t="str">
        <f>IF(Table2[[#This Row],[!Type]]=M$1, M$1,"rg:None")</f>
        <v>rg:None</v>
      </c>
      <c r="N256" s="8" t="str">
        <f>IF(Table2[[#This Row],[!Type]]=N$1, N$1,"rg:None")</f>
        <v>rg:None</v>
      </c>
      <c r="O256" s="8" t="str">
        <f>IF(Table2[[#This Row],[!Type]]=O$1, O$1,"rg:None")</f>
        <v>rg:None</v>
      </c>
      <c r="P256" s="5" t="str">
        <f>IF(Table2[[#This Row],[!Type]]=P$1, P$1,"rg:None")</f>
        <v>rg:None</v>
      </c>
      <c r="Q256" s="5" t="str">
        <f>IF(Table2[[#This Row],[!Type]]=Q$1, Q$1,"rg:None")</f>
        <v>rg:None</v>
      </c>
      <c r="R256" s="5" t="str">
        <f>IF(Table2[[#This Row],[!Type]]=R$1, R$1,"rg:None")</f>
        <v>rg:None</v>
      </c>
      <c r="S256" s="5" t="str">
        <f>IF(Table2[[#This Row],[!Type]]=S$1, S$1,"rg:None")</f>
        <v>table</v>
      </c>
      <c r="T256" s="8" t="str">
        <f>IF(LEN(Table2[[#This Row],[!Length]]) &gt; 0, Table2[[#This Row],[!Length]], "rg:None")</f>
        <v>rg:None</v>
      </c>
      <c r="U256" s="8" t="str">
        <f>IF(LEN(Table2[[#This Row],[!Name]]) &gt; 0, Table2[[#This Row],[!Name]], "rg:None")</f>
        <v>UserFavourite</v>
      </c>
      <c r="V256" s="8" t="str">
        <f>IF(LEN(Table2[[#This Row],[!Description]]) &gt; 0, Table2[[#This Row],[!Description]], "rg:None")</f>
        <v>User specific settings for a specific location in the UI. The location and saved settings are internally defined by the UI.</v>
      </c>
      <c r="W256" s="8" t="str">
        <f>IF(LEN(Table2[[#This Row],[!FK]])&gt;0,Table2[[#This Row],[!FK]],"rg:None")</f>
        <v>rg:None</v>
      </c>
      <c r="X256" s="8" t="str">
        <f>IF(LEN(concatif2(A:A,Table2[[#This Row],[!Table]],G:G,"Y",D:D,",")) &gt; 0,"rg:[ { 'req' : '"&amp;concatif2(A:A,Table2[[#This Row],[!Table]],G:G,"Y",D:D,"' }, { 'req': '")&amp;"'} ]","rg:[]")</f>
        <v>rg:[ { 'req' : 'id' }, { 'req': 'name' }, { 'req': 'value' }, { 'req': 'type' }, { 'req': 'User'} ]</v>
      </c>
      <c r="Y256" s="8" t="str">
        <f>IF(LEN(Table2[[#This Row],[!Unique]])&gt;0,IF(Table2[[#This Row],[!Type]] = "id", "rg:None","rg:True"),"rg:None")</f>
        <v>rg:None</v>
      </c>
    </row>
    <row r="257" spans="1:25" x14ac:dyDescent="0.35">
      <c r="A257" s="5" t="s">
        <v>22</v>
      </c>
      <c r="B257" s="5" t="s">
        <v>6</v>
      </c>
      <c r="D257" s="5" t="s">
        <v>6</v>
      </c>
      <c r="E257" s="54" t="s">
        <v>309</v>
      </c>
      <c r="F257" s="5" t="s">
        <v>5</v>
      </c>
      <c r="G257" s="4" t="s">
        <v>59</v>
      </c>
      <c r="H257" s="155" t="s">
        <v>59</v>
      </c>
      <c r="I257" s="5" t="str">
        <f t="shared" si="28"/>
        <v>Defs</v>
      </c>
      <c r="J257" s="8" t="str">
        <f>IF(Table2[[#This Row],[!Type]]=J$1, J$1,"rg:None")</f>
        <v>rg:None</v>
      </c>
      <c r="K257" s="8" t="str">
        <f>IF(Table2[[#This Row],[!Type]]=K$1, K$1,"rg:None")</f>
        <v>rg:None</v>
      </c>
      <c r="L257" s="8" t="str">
        <f>IF(Table2[[#This Row],[!Type]]=L$1, L$1,"rg:None")</f>
        <v>rg:None</v>
      </c>
      <c r="M257" s="8" t="str">
        <f>IF(Table2[[#This Row],[!Type]]=M$1, M$1,"rg:None")</f>
        <v>id</v>
      </c>
      <c r="N257" s="8" t="str">
        <f>IF(Table2[[#This Row],[!Type]]=N$1, N$1,"rg:None")</f>
        <v>rg:None</v>
      </c>
      <c r="O257" s="8" t="str">
        <f>IF(Table2[[#This Row],[!Type]]=O$1, O$1,"rg:None")</f>
        <v>rg:None</v>
      </c>
      <c r="P257" s="5" t="str">
        <f>IF(Table2[[#This Row],[!Type]]=P$1, P$1,"rg:None")</f>
        <v>rg:None</v>
      </c>
      <c r="Q257" s="5" t="str">
        <f>IF(Table2[[#This Row],[!Type]]=Q$1, Q$1,"rg:None")</f>
        <v>rg:None</v>
      </c>
      <c r="R257" s="5" t="str">
        <f>IF(Table2[[#This Row],[!Type]]=R$1, R$1,"rg:None")</f>
        <v>rg:None</v>
      </c>
      <c r="S257" s="5" t="str">
        <f>IF(Table2[[#This Row],[!Type]]=S$1, S$1,"rg:None")</f>
        <v>rg:None</v>
      </c>
      <c r="T257" s="8" t="str">
        <f>IF(LEN(Table2[[#This Row],[!Length]]) &gt; 0, Table2[[#This Row],[!Length]], "rg:None")</f>
        <v>rg:None</v>
      </c>
      <c r="U257" s="8" t="str">
        <f>IF(LEN(Table2[[#This Row],[!Name]]) &gt; 0, Table2[[#This Row],[!Name]], "rg:None")</f>
        <v>id</v>
      </c>
      <c r="V257" s="8" t="str">
        <f>IF(LEN(Table2[[#This Row],[!Description]]) &gt; 0, Table2[[#This Row],[!Description]], "rg:None")</f>
        <v>A system-generated unique identifier for a UserFavourite</v>
      </c>
      <c r="W257" s="8" t="str">
        <f>IF(LEN(Table2[[#This Row],[!FK]])&gt;0,Table2[[#This Row],[!FK]],"rg:None")</f>
        <v>rg:None</v>
      </c>
      <c r="X257" s="8" t="str">
        <f>IF(LEN(concatif2(A:A,Table2[[#This Row],[!Table]],G:G,"Y",D:D,",")) &gt; 0,"rg:[ { 'req' : '"&amp;concatif2(A:A,Table2[[#This Row],[!Table]],G:G,"Y",D:D,"' }, { 'req': '")&amp;"'} ]","rg:[]")</f>
        <v>rg:[ { 'req' : 'id' }, { 'req': 'name' }, { 'req': 'value' }, { 'req': 'type' }, { 'req': 'User'} ]</v>
      </c>
      <c r="Y257" s="8" t="str">
        <f>IF(LEN(Table2[[#This Row],[!Unique]])&gt;0,IF(Table2[[#This Row],[!Type]] = "id", "rg:None","rg:True"),"rg:None")</f>
        <v>rg:None</v>
      </c>
    </row>
    <row r="258" spans="1:25" ht="28.8" x14ac:dyDescent="0.35">
      <c r="A258" s="5" t="s">
        <v>22</v>
      </c>
      <c r="B258" s="5" t="s">
        <v>7</v>
      </c>
      <c r="C258" s="5">
        <v>150</v>
      </c>
      <c r="D258" s="5" t="s">
        <v>15</v>
      </c>
      <c r="E258" s="54" t="s">
        <v>23</v>
      </c>
      <c r="F258" s="5" t="s">
        <v>5</v>
      </c>
      <c r="G258" s="155" t="s">
        <v>59</v>
      </c>
      <c r="H258" s="4"/>
      <c r="I258" s="5" t="str">
        <f t="shared" si="28"/>
        <v>Defs</v>
      </c>
      <c r="J258" s="8" t="str">
        <f>IF(Table2[[#This Row],[!Type]]=J$1, J$1,"rg:None")</f>
        <v>rg:None</v>
      </c>
      <c r="K258" s="8" t="str">
        <f>IF(Table2[[#This Row],[!Type]]=K$1, K$1,"rg:None")</f>
        <v>rg:None</v>
      </c>
      <c r="L258" s="8" t="str">
        <f>IF(Table2[[#This Row],[!Type]]=L$1, L$1,"rg:None")</f>
        <v>rg:None</v>
      </c>
      <c r="M258" s="8" t="str">
        <f>IF(Table2[[#This Row],[!Type]]=M$1, M$1,"rg:None")</f>
        <v>rg:None</v>
      </c>
      <c r="N258" s="8" t="str">
        <f>IF(Table2[[#This Row],[!Type]]=N$1, N$1,"rg:None")</f>
        <v>rg:None</v>
      </c>
      <c r="O258" s="8" t="str">
        <f>IF(Table2[[#This Row],[!Type]]=O$1, O$1,"rg:None")</f>
        <v>rg:None</v>
      </c>
      <c r="P258" s="5" t="str">
        <f>IF(Table2[[#This Row],[!Type]]=P$1, P$1,"rg:None")</f>
        <v>rg:None</v>
      </c>
      <c r="Q258" s="5" t="str">
        <f>IF(Table2[[#This Row],[!Type]]=Q$1, Q$1,"rg:None")</f>
        <v>rg:None</v>
      </c>
      <c r="R258" s="5" t="str">
        <f>IF(Table2[[#This Row],[!Type]]=R$1, R$1,"rg:None")</f>
        <v>string</v>
      </c>
      <c r="S258" s="5" t="str">
        <f>IF(Table2[[#This Row],[!Type]]=S$1, S$1,"rg:None")</f>
        <v>rg:None</v>
      </c>
      <c r="T258" s="8">
        <f>IF(LEN(Table2[[#This Row],[!Length]]) &gt; 0, Table2[[#This Row],[!Length]], "rg:None")</f>
        <v>150</v>
      </c>
      <c r="U258" s="8" t="str">
        <f>IF(LEN(Table2[[#This Row],[!Name]]) &gt; 0, Table2[[#This Row],[!Name]], "rg:None")</f>
        <v>name</v>
      </c>
      <c r="V258" s="8" t="str">
        <f>IF(LEN(Table2[[#This Row],[!Description]]) &gt; 0, Table2[[#This Row],[!Description]], "rg:None")</f>
        <v>The user-defined name for the recorded settings. Allows the user to save different groups of settings and access each one easily when needed.</v>
      </c>
      <c r="W258" s="8" t="str">
        <f>IF(LEN(Table2[[#This Row],[!FK]])&gt;0,Table2[[#This Row],[!FK]],"rg:None")</f>
        <v>rg:None</v>
      </c>
      <c r="X258" s="8" t="str">
        <f>IF(LEN(concatif2(A:A,Table2[[#This Row],[!Table]],G:G,"Y",D:D,",")) &gt; 0,"rg:[ { 'req' : '"&amp;concatif2(A:A,Table2[[#This Row],[!Table]],G:G,"Y",D:D,"' }, { 'req': '")&amp;"'} ]","rg:[]")</f>
        <v>rg:[ { 'req' : 'id' }, { 'req': 'name' }, { 'req': 'value' }, { 'req': 'type' }, { 'req': 'User'} ]</v>
      </c>
      <c r="Y258" s="8" t="str">
        <f>IF(LEN(Table2[[#This Row],[!Unique]])&gt;0,IF(Table2[[#This Row],[!Type]] = "id", "rg:None","rg:True"),"rg:None")</f>
        <v>rg:None</v>
      </c>
    </row>
    <row r="259" spans="1:25" ht="28.8" x14ac:dyDescent="0.35">
      <c r="A259" s="5" t="s">
        <v>22</v>
      </c>
      <c r="B259" s="5" t="s">
        <v>7</v>
      </c>
      <c r="C259" s="5">
        <v>2048</v>
      </c>
      <c r="D259" s="5" t="s">
        <v>24</v>
      </c>
      <c r="E259" s="54" t="s">
        <v>25</v>
      </c>
      <c r="F259" s="5" t="s">
        <v>5</v>
      </c>
      <c r="G259" s="155" t="s">
        <v>59</v>
      </c>
      <c r="H259" s="4"/>
      <c r="I259" s="5" t="str">
        <f t="shared" si="28"/>
        <v>Defs</v>
      </c>
      <c r="J259" s="8" t="str">
        <f>IF(Table2[[#This Row],[!Type]]=J$1, J$1,"rg:None")</f>
        <v>rg:None</v>
      </c>
      <c r="K259" s="8" t="str">
        <f>IF(Table2[[#This Row],[!Type]]=K$1, K$1,"rg:None")</f>
        <v>rg:None</v>
      </c>
      <c r="L259" s="8" t="str">
        <f>IF(Table2[[#This Row],[!Type]]=L$1, L$1,"rg:None")</f>
        <v>rg:None</v>
      </c>
      <c r="M259" s="8" t="str">
        <f>IF(Table2[[#This Row],[!Type]]=M$1, M$1,"rg:None")</f>
        <v>rg:None</v>
      </c>
      <c r="N259" s="8" t="str">
        <f>IF(Table2[[#This Row],[!Type]]=N$1, N$1,"rg:None")</f>
        <v>rg:None</v>
      </c>
      <c r="O259" s="8" t="str">
        <f>IF(Table2[[#This Row],[!Type]]=O$1, O$1,"rg:None")</f>
        <v>rg:None</v>
      </c>
      <c r="P259" s="5" t="str">
        <f>IF(Table2[[#This Row],[!Type]]=P$1, P$1,"rg:None")</f>
        <v>rg:None</v>
      </c>
      <c r="Q259" s="5" t="str">
        <f>IF(Table2[[#This Row],[!Type]]=Q$1, Q$1,"rg:None")</f>
        <v>rg:None</v>
      </c>
      <c r="R259" s="5" t="str">
        <f>IF(Table2[[#This Row],[!Type]]=R$1, R$1,"rg:None")</f>
        <v>string</v>
      </c>
      <c r="S259" s="5" t="str">
        <f>IF(Table2[[#This Row],[!Type]]=S$1, S$1,"rg:None")</f>
        <v>rg:None</v>
      </c>
      <c r="T259" s="8">
        <f>IF(LEN(Table2[[#This Row],[!Length]]) &gt; 0, Table2[[#This Row],[!Length]], "rg:None")</f>
        <v>2048</v>
      </c>
      <c r="U259" s="8" t="str">
        <f>IF(LEN(Table2[[#This Row],[!Name]]) &gt; 0, Table2[[#This Row],[!Name]], "rg:None")</f>
        <v>value</v>
      </c>
      <c r="V259" s="8" t="str">
        <f>IF(LEN(Table2[[#This Row],[!Description]]) &gt; 0, Table2[[#This Row],[!Description]], "rg:None")</f>
        <v>The settings saved by the user. In general,  a UI defined chunk of json that stores the settings in place when the user created the favourite.</v>
      </c>
      <c r="W259" s="8" t="str">
        <f>IF(LEN(Table2[[#This Row],[!FK]])&gt;0,Table2[[#This Row],[!FK]],"rg:None")</f>
        <v>rg:None</v>
      </c>
      <c r="X259" s="8" t="str">
        <f>IF(LEN(concatif2(A:A,Table2[[#This Row],[!Table]],G:G,"Y",D:D,",")) &gt; 0,"rg:[ { 'req' : '"&amp;concatif2(A:A,Table2[[#This Row],[!Table]],G:G,"Y",D:D,"' }, { 'req': '")&amp;"'} ]","rg:[]")</f>
        <v>rg:[ { 'req' : 'id' }, { 'req': 'name' }, { 'req': 'value' }, { 'req': 'type' }, { 'req': 'User'} ]</v>
      </c>
      <c r="Y259" s="8" t="str">
        <f>IF(LEN(Table2[[#This Row],[!Unique]])&gt;0,IF(Table2[[#This Row],[!Type]] = "id", "rg:None","rg:True"),"rg:None")</f>
        <v>rg:None</v>
      </c>
    </row>
    <row r="260" spans="1:25" ht="57.6" x14ac:dyDescent="0.35">
      <c r="A260" s="5" t="s">
        <v>22</v>
      </c>
      <c r="B260" s="5" t="s">
        <v>9</v>
      </c>
      <c r="D260" s="5" t="s">
        <v>26</v>
      </c>
      <c r="E260" s="54" t="s">
        <v>27</v>
      </c>
      <c r="F260" s="5" t="s">
        <v>5</v>
      </c>
      <c r="G260" s="4"/>
      <c r="H260" s="4"/>
      <c r="I260" s="5" t="str">
        <f t="shared" si="28"/>
        <v>Defs</v>
      </c>
      <c r="J260" s="8" t="str">
        <f>IF(Table2[[#This Row],[!Type]]=J$1, J$1,"rg:None")</f>
        <v>boolean</v>
      </c>
      <c r="K260" s="8" t="str">
        <f>IF(Table2[[#This Row],[!Type]]=K$1, K$1,"rg:None")</f>
        <v>rg:None</v>
      </c>
      <c r="L260" s="8" t="str">
        <f>IF(Table2[[#This Row],[!Type]]=L$1, L$1,"rg:None")</f>
        <v>rg:None</v>
      </c>
      <c r="M260" s="8" t="str">
        <f>IF(Table2[[#This Row],[!Type]]=M$1, M$1,"rg:None")</f>
        <v>rg:None</v>
      </c>
      <c r="N260" s="8" t="str">
        <f>IF(Table2[[#This Row],[!Type]]=N$1, N$1,"rg:None")</f>
        <v>rg:None</v>
      </c>
      <c r="O260" s="8" t="str">
        <f>IF(Table2[[#This Row],[!Type]]=O$1, O$1,"rg:None")</f>
        <v>rg:None</v>
      </c>
      <c r="P260" s="5" t="str">
        <f>IF(Table2[[#This Row],[!Type]]=P$1, P$1,"rg:None")</f>
        <v>rg:None</v>
      </c>
      <c r="Q260" s="5" t="str">
        <f>IF(Table2[[#This Row],[!Type]]=Q$1, Q$1,"rg:None")</f>
        <v>rg:None</v>
      </c>
      <c r="R260" s="5" t="str">
        <f>IF(Table2[[#This Row],[!Type]]=R$1, R$1,"rg:None")</f>
        <v>rg:None</v>
      </c>
      <c r="S260" s="5" t="str">
        <f>IF(Table2[[#This Row],[!Type]]=S$1, S$1,"rg:None")</f>
        <v>rg:None</v>
      </c>
      <c r="T260" s="8" t="str">
        <f>IF(LEN(Table2[[#This Row],[!Length]]) &gt; 0, Table2[[#This Row],[!Length]], "rg:None")</f>
        <v>rg:None</v>
      </c>
      <c r="U260" s="8" t="str">
        <f>IF(LEN(Table2[[#This Row],[!Name]]) &gt; 0, Table2[[#This Row],[!Name]], "rg:None")</f>
        <v>isDefault</v>
      </c>
      <c r="V260" s="8" t="str">
        <f>IF(LEN(Table2[[#This Row],[!Description]]) &gt; 0, Table2[[#This Row],[!Description]], "rg:None")</f>
        <v>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v>
      </c>
      <c r="W260" s="8" t="str">
        <f>IF(LEN(Table2[[#This Row],[!FK]])&gt;0,Table2[[#This Row],[!FK]],"rg:None")</f>
        <v>rg:None</v>
      </c>
      <c r="X260" s="8" t="str">
        <f>IF(LEN(concatif2(A:A,Table2[[#This Row],[!Table]],G:G,"Y",D:D,",")) &gt; 0,"rg:[ { 'req' : '"&amp;concatif2(A:A,Table2[[#This Row],[!Table]],G:G,"Y",D:D,"' }, { 'req': '")&amp;"'} ]","rg:[]")</f>
        <v>rg:[ { 'req' : 'id' }, { 'req': 'name' }, { 'req': 'value' }, { 'req': 'type' }, { 'req': 'User'} ]</v>
      </c>
      <c r="Y260" s="8" t="str">
        <f>IF(LEN(Table2[[#This Row],[!Unique]])&gt;0,IF(Table2[[#This Row],[!Type]] = "id", "rg:None","rg:True"),"rg:None")</f>
        <v>rg:None</v>
      </c>
    </row>
    <row r="261" spans="1:25" x14ac:dyDescent="0.35">
      <c r="A261" s="5" t="s">
        <v>22</v>
      </c>
      <c r="B261" s="108" t="s">
        <v>7</v>
      </c>
      <c r="C261" s="5">
        <v>150</v>
      </c>
      <c r="D261" s="108" t="s">
        <v>20</v>
      </c>
      <c r="E261" s="52" t="s">
        <v>209</v>
      </c>
      <c r="G261" s="155" t="s">
        <v>59</v>
      </c>
      <c r="H261" s="4"/>
      <c r="I261" s="5" t="str">
        <f t="shared" si="28"/>
        <v>Defs</v>
      </c>
      <c r="J261" s="8" t="str">
        <f>IF(Table2[[#This Row],[!Type]]=J$1, J$1,"rg:None")</f>
        <v>rg:None</v>
      </c>
      <c r="K261" s="8" t="str">
        <f>IF(Table2[[#This Row],[!Type]]=K$1, K$1,"rg:None")</f>
        <v>rg:None</v>
      </c>
      <c r="L261" s="8" t="str">
        <f>IF(Table2[[#This Row],[!Type]]=L$1, L$1,"rg:None")</f>
        <v>rg:None</v>
      </c>
      <c r="M261" s="8" t="str">
        <f>IF(Table2[[#This Row],[!Type]]=M$1, M$1,"rg:None")</f>
        <v>rg:None</v>
      </c>
      <c r="N261" s="8" t="str">
        <f>IF(Table2[[#This Row],[!Type]]=N$1, N$1,"rg:None")</f>
        <v>rg:None</v>
      </c>
      <c r="O261" s="8" t="str">
        <f>IF(Table2[[#This Row],[!Type]]=O$1, O$1,"rg:None")</f>
        <v>rg:None</v>
      </c>
      <c r="P261" s="5" t="str">
        <f>IF(Table2[[#This Row],[!Type]]=P$1, P$1,"rg:None")</f>
        <v>rg:None</v>
      </c>
      <c r="Q261" s="5" t="str">
        <f>IF(Table2[[#This Row],[!Type]]=Q$1, Q$1,"rg:None")</f>
        <v>rg:None</v>
      </c>
      <c r="R261" s="5" t="str">
        <f>IF(Table2[[#This Row],[!Type]]=R$1, R$1,"rg:None")</f>
        <v>string</v>
      </c>
      <c r="S261" s="5" t="str">
        <f>IF(Table2[[#This Row],[!Type]]=S$1, S$1,"rg:None")</f>
        <v>rg:None</v>
      </c>
      <c r="T261" s="8">
        <f>IF(LEN(Table2[[#This Row],[!Length]]) &gt; 0, Table2[[#This Row],[!Length]], "rg:None")</f>
        <v>150</v>
      </c>
      <c r="U261" s="8" t="str">
        <f>IF(LEN(Table2[[#This Row],[!Name]]) &gt; 0, Table2[[#This Row],[!Name]], "rg:None")</f>
        <v>type</v>
      </c>
      <c r="V261" s="8" t="str">
        <f>IF(LEN(Table2[[#This Row],[!Description]]) &gt; 0, Table2[[#This Row],[!Description]], "rg:None")</f>
        <v>The type of Favourite</v>
      </c>
      <c r="W261" s="8" t="str">
        <f>IF(LEN(Table2[[#This Row],[!FK]])&gt;0,Table2[[#This Row],[!FK]],"rg:None")</f>
        <v>rg:None</v>
      </c>
      <c r="X261" s="8" t="str">
        <f>IF(LEN(concatif2(A:A,Table2[[#This Row],[!Table]],G:G,"Y",D:D,",")) &gt; 0,"rg:[ { 'req' : '"&amp;concatif2(A:A,Table2[[#This Row],[!Table]],G:G,"Y",D:D,"' }, { 'req': '")&amp;"'} ]","rg:[]")</f>
        <v>rg:[ { 'req' : 'id' }, { 'req': 'name' }, { 'req': 'value' }, { 'req': 'type' }, { 'req': 'User'} ]</v>
      </c>
      <c r="Y261" s="8" t="str">
        <f>IF(LEN(Table2[[#This Row],[!Unique]])&gt;0,IF(Table2[[#This Row],[!Type]] = "id", "rg:None","rg:True"),"rg:None")</f>
        <v>rg:None</v>
      </c>
    </row>
    <row r="262" spans="1:25" x14ac:dyDescent="0.35">
      <c r="A262" s="38" t="s">
        <v>22</v>
      </c>
      <c r="B262" s="38" t="s">
        <v>8</v>
      </c>
      <c r="C262" s="72"/>
      <c r="D262" s="38" t="s">
        <v>0</v>
      </c>
      <c r="E262" s="53" t="s">
        <v>210</v>
      </c>
      <c r="F262" s="39" t="s">
        <v>0</v>
      </c>
      <c r="G262" s="154" t="s">
        <v>59</v>
      </c>
      <c r="H262" s="18"/>
      <c r="I262" s="4" t="str">
        <f>IF(LEN(A262) &gt; 0,"Defs","-")</f>
        <v>Defs</v>
      </c>
      <c r="J262" s="14" t="str">
        <f>IF(Table2[[#This Row],[!Type]]=J$1, J$1,"rg:None")</f>
        <v>rg:None</v>
      </c>
      <c r="K262" s="14" t="str">
        <f>IF(Table2[[#This Row],[!Type]]=K$1, K$1,"rg:None")</f>
        <v>rg:None</v>
      </c>
      <c r="L262" s="14" t="str">
        <f>IF(Table2[[#This Row],[!Type]]=L$1, L$1,"rg:None")</f>
        <v>rg:None</v>
      </c>
      <c r="M262" s="14" t="str">
        <f>IF(Table2[[#This Row],[!Type]]=M$1, M$1,"rg:None")</f>
        <v>rg:None</v>
      </c>
      <c r="N262" s="14" t="str">
        <f>IF(Table2[[#This Row],[!Type]]=N$1, N$1,"rg:None")</f>
        <v>rg:None</v>
      </c>
      <c r="O262" s="14" t="str">
        <f>IF(Table2[[#This Row],[!Type]]=O$1, O$1,"rg:None")</f>
        <v>rg:None</v>
      </c>
      <c r="P262" s="4" t="str">
        <f>IF(Table2[[#This Row],[!Type]]=P$1, P$1,"rg:None")</f>
        <v>rg:None</v>
      </c>
      <c r="Q262" s="4" t="str">
        <f>IF(Table2[[#This Row],[!Type]]=Q$1, Q$1,"rg:None")</f>
        <v>ref</v>
      </c>
      <c r="R262" s="4" t="str">
        <f>IF(Table2[[#This Row],[!Type]]=R$1, R$1,"rg:None")</f>
        <v>rg:None</v>
      </c>
      <c r="S262" s="4" t="str">
        <f>IF(Table2[[#This Row],[!Type]]=S$1, S$1,"rg:None")</f>
        <v>rg:None</v>
      </c>
      <c r="T262" s="14" t="str">
        <f>IF(LEN(Table2[[#This Row],[!Length]]) &gt; 0, Table2[[#This Row],[!Length]], "rg:None")</f>
        <v>rg:None</v>
      </c>
      <c r="U262" s="14" t="str">
        <f>IF(LEN(Table2[[#This Row],[!Name]]) &gt; 0, Table2[[#This Row],[!Name]], "rg:None")</f>
        <v>User</v>
      </c>
      <c r="V262" s="14" t="str">
        <f>IF(LEN(Table2[[#This Row],[!Description]]) &gt; 0, Table2[[#This Row],[!Description]], "rg:None")</f>
        <v>The User who has this Favourite</v>
      </c>
      <c r="W262" s="14" t="str">
        <f>IF(LEN(Table2[[#This Row],[!FK]])&gt;0,Table2[[#This Row],[!FK]],"rg:None")</f>
        <v>User</v>
      </c>
      <c r="X262" s="14" t="str">
        <f>IF(LEN(concatif2(A:A,Table2[[#This Row],[!Table]],G:G,"Y",D:D,",")) &gt; 0,"rg:[ { 'req' : '"&amp;concatif2(A:A,Table2[[#This Row],[!Table]],G:G,"Y",D:D,"' }, { 'req': '")&amp;"'} ]","rg:[]")</f>
        <v>rg:[ { 'req' : 'id' }, { 'req': 'name' }, { 'req': 'value' }, { 'req': 'type' }, { 'req': 'User'} ]</v>
      </c>
      <c r="Y262" s="14" t="str">
        <f>IF(LEN(Table2[[#This Row],[!Unique]])&gt;0,IF(Table2[[#This Row],[!Type]] = "id", "rg:None","rg:True"),"rg:None")</f>
        <v>rg:None</v>
      </c>
    </row>
    <row r="263" spans="1:25" x14ac:dyDescent="0.35">
      <c r="A263" s="5" t="s">
        <v>28</v>
      </c>
      <c r="B263" s="5" t="s">
        <v>4</v>
      </c>
      <c r="D263" s="5" t="s">
        <v>28</v>
      </c>
      <c r="E263" s="76" t="s">
        <v>394</v>
      </c>
      <c r="F263" s="5" t="s">
        <v>5</v>
      </c>
      <c r="G263" s="4"/>
      <c r="H263" s="4"/>
      <c r="I263" s="5" t="str">
        <f t="shared" si="28"/>
        <v>Defs</v>
      </c>
      <c r="J263" s="8" t="str">
        <f>IF(Table2[[#This Row],[!Type]]=J$1, J$1,"rg:None")</f>
        <v>rg:None</v>
      </c>
      <c r="K263" s="8" t="str">
        <f>IF(Table2[[#This Row],[!Type]]=K$1, K$1,"rg:None")</f>
        <v>rg:None</v>
      </c>
      <c r="L263" s="8" t="str">
        <f>IF(Table2[[#This Row],[!Type]]=L$1, L$1,"rg:None")</f>
        <v>rg:None</v>
      </c>
      <c r="M263" s="8" t="str">
        <f>IF(Table2[[#This Row],[!Type]]=M$1, M$1,"rg:None")</f>
        <v>rg:None</v>
      </c>
      <c r="N263" s="8" t="str">
        <f>IF(Table2[[#This Row],[!Type]]=N$1, N$1,"rg:None")</f>
        <v>rg:None</v>
      </c>
      <c r="O263" s="8" t="str">
        <f>IF(Table2[[#This Row],[!Type]]=O$1, O$1,"rg:None")</f>
        <v>rg:None</v>
      </c>
      <c r="P263" s="5" t="str">
        <f>IF(Table2[[#This Row],[!Type]]=P$1, P$1,"rg:None")</f>
        <v>rg:None</v>
      </c>
      <c r="Q263" s="5" t="str">
        <f>IF(Table2[[#This Row],[!Type]]=Q$1, Q$1,"rg:None")</f>
        <v>rg:None</v>
      </c>
      <c r="R263" s="5" t="str">
        <f>IF(Table2[[#This Row],[!Type]]=R$1, R$1,"rg:None")</f>
        <v>rg:None</v>
      </c>
      <c r="S263" s="5" t="str">
        <f>IF(Table2[[#This Row],[!Type]]=S$1, S$1,"rg:None")</f>
        <v>table</v>
      </c>
      <c r="T263" s="8" t="str">
        <f>IF(LEN(Table2[[#This Row],[!Length]]) &gt; 0, Table2[[#This Row],[!Length]], "rg:None")</f>
        <v>rg:None</v>
      </c>
      <c r="U263" s="8" t="str">
        <f>IF(LEN(Table2[[#This Row],[!Name]]) &gt; 0, Table2[[#This Row],[!Name]], "rg:None")</f>
        <v>Region</v>
      </c>
      <c r="V263" s="8" t="str">
        <f>IF(LEN(Table2[[#This Row],[!Description]]) &gt; 0, Table2[[#This Row],[!Description]], "rg:None")</f>
        <v>The Ministry of Transportion and Infrastructure REGION.</v>
      </c>
      <c r="W263" s="8" t="str">
        <f>IF(LEN(Table2[[#This Row],[!FK]])&gt;0,Table2[[#This Row],[!FK]],"rg:None")</f>
        <v>rg:None</v>
      </c>
      <c r="X263" s="8" t="str">
        <f>IF(LEN(concatif2(A:A,Table2[[#This Row],[!Table]],G:G,"Y",D:D,",")) &gt; 0,"rg:[ { 'req' : '"&amp;concatif2(A:A,Table2[[#This Row],[!Table]],G:G,"Y",D:D,"' }, { 'req': '")&amp;"'} ]","rg:[]")</f>
        <v>rg:[ { 'req' : 'id' }, { 'req': 'ministryRegionID' }, { 'req': 'name' }, { 'req': 'startDate'} ]</v>
      </c>
      <c r="Y263" s="8" t="str">
        <f>IF(LEN(Table2[[#This Row],[!Unique]])&gt;0,IF(Table2[[#This Row],[!Type]] = "id", "rg:None","rg:True"),"rg:None")</f>
        <v>rg:None</v>
      </c>
    </row>
    <row r="264" spans="1:25" x14ac:dyDescent="0.35">
      <c r="A264" s="5" t="s">
        <v>28</v>
      </c>
      <c r="B264" s="5" t="s">
        <v>6</v>
      </c>
      <c r="D264" s="5" t="s">
        <v>6</v>
      </c>
      <c r="E264" s="54" t="s">
        <v>310</v>
      </c>
      <c r="F264" s="5" t="s">
        <v>5</v>
      </c>
      <c r="G264" s="4" t="s">
        <v>59</v>
      </c>
      <c r="H264" s="155" t="s">
        <v>59</v>
      </c>
      <c r="I264" s="5" t="str">
        <f t="shared" si="28"/>
        <v>Defs</v>
      </c>
      <c r="J264" s="8" t="str">
        <f>IF(Table2[[#This Row],[!Type]]=J$1, J$1,"rg:None")</f>
        <v>rg:None</v>
      </c>
      <c r="K264" s="8" t="str">
        <f>IF(Table2[[#This Row],[!Type]]=K$1, K$1,"rg:None")</f>
        <v>rg:None</v>
      </c>
      <c r="L264" s="8" t="str">
        <f>IF(Table2[[#This Row],[!Type]]=L$1, L$1,"rg:None")</f>
        <v>rg:None</v>
      </c>
      <c r="M264" s="8" t="str">
        <f>IF(Table2[[#This Row],[!Type]]=M$1, M$1,"rg:None")</f>
        <v>id</v>
      </c>
      <c r="N264" s="8" t="str">
        <f>IF(Table2[[#This Row],[!Type]]=N$1, N$1,"rg:None")</f>
        <v>rg:None</v>
      </c>
      <c r="O264" s="8" t="str">
        <f>IF(Table2[[#This Row],[!Type]]=O$1, O$1,"rg:None")</f>
        <v>rg:None</v>
      </c>
      <c r="P264" s="5" t="str">
        <f>IF(Table2[[#This Row],[!Type]]=P$1, P$1,"rg:None")</f>
        <v>rg:None</v>
      </c>
      <c r="Q264" s="5" t="str">
        <f>IF(Table2[[#This Row],[!Type]]=Q$1, Q$1,"rg:None")</f>
        <v>rg:None</v>
      </c>
      <c r="R264" s="5" t="str">
        <f>IF(Table2[[#This Row],[!Type]]=R$1, R$1,"rg:None")</f>
        <v>rg:None</v>
      </c>
      <c r="S264" s="5" t="str">
        <f>IF(Table2[[#This Row],[!Type]]=S$1, S$1,"rg:None")</f>
        <v>rg:None</v>
      </c>
      <c r="T264" s="8" t="str">
        <f>IF(LEN(Table2[[#This Row],[!Length]]) &gt; 0, Table2[[#This Row],[!Length]], "rg:None")</f>
        <v>rg:None</v>
      </c>
      <c r="U264" s="8" t="str">
        <f>IF(LEN(Table2[[#This Row],[!Name]]) &gt; 0, Table2[[#This Row],[!Name]], "rg:None")</f>
        <v>id</v>
      </c>
      <c r="V264" s="8" t="str">
        <f>IF(LEN(Table2[[#This Row],[!Description]]) &gt; 0, Table2[[#This Row],[!Description]], "rg:None")</f>
        <v>A system-generated unique identifier for a Region</v>
      </c>
      <c r="W264" s="8" t="str">
        <f>IF(LEN(Table2[[#This Row],[!FK]])&gt;0,Table2[[#This Row],[!FK]],"rg:None")</f>
        <v>rg:None</v>
      </c>
      <c r="X264" s="8" t="str">
        <f>IF(LEN(concatif2(A:A,Table2[[#This Row],[!Table]],G:G,"Y",D:D,",")) &gt; 0,"rg:[ { 'req' : '"&amp;concatif2(A:A,Table2[[#This Row],[!Table]],G:G,"Y",D:D,"' }, { 'req': '")&amp;"'} ]","rg:[]")</f>
        <v>rg:[ { 'req' : 'id' }, { 'req': 'ministryRegionID' }, { 'req': 'name' }, { 'req': 'startDate'} ]</v>
      </c>
      <c r="Y264" s="8" t="str">
        <f>IF(LEN(Table2[[#This Row],[!Unique]])&gt;0,IF(Table2[[#This Row],[!Type]] = "id", "rg:None","rg:True"),"rg:None")</f>
        <v>rg:None</v>
      </c>
    </row>
    <row r="265" spans="1:25" x14ac:dyDescent="0.35">
      <c r="A265" s="5" t="s">
        <v>28</v>
      </c>
      <c r="B265" s="5" t="s">
        <v>13</v>
      </c>
      <c r="D265" s="5" t="s">
        <v>29</v>
      </c>
      <c r="E265" s="76" t="s">
        <v>399</v>
      </c>
      <c r="F265" s="5" t="s">
        <v>5</v>
      </c>
      <c r="G265" s="41" t="s">
        <v>59</v>
      </c>
      <c r="H265" s="41" t="s">
        <v>59</v>
      </c>
      <c r="I265" s="5" t="str">
        <f t="shared" si="28"/>
        <v>Defs</v>
      </c>
      <c r="J265" s="8" t="str">
        <f>IF(Table2[[#This Row],[!Type]]=J$1, J$1,"rg:None")</f>
        <v>rg:None</v>
      </c>
      <c r="K265" s="8" t="str">
        <f>IF(Table2[[#This Row],[!Type]]=K$1, K$1,"rg:None")</f>
        <v>rg:None</v>
      </c>
      <c r="L265" s="8" t="str">
        <f>IF(Table2[[#This Row],[!Type]]=L$1, L$1,"rg:None")</f>
        <v>rg:None</v>
      </c>
      <c r="M265" s="8" t="str">
        <f>IF(Table2[[#This Row],[!Type]]=M$1, M$1,"rg:None")</f>
        <v>rg:None</v>
      </c>
      <c r="N265" s="8" t="str">
        <f>IF(Table2[[#This Row],[!Type]]=N$1, N$1,"rg:None")</f>
        <v>integer</v>
      </c>
      <c r="O265" s="8" t="str">
        <f>IF(Table2[[#This Row],[!Type]]=O$1, O$1,"rg:None")</f>
        <v>rg:None</v>
      </c>
      <c r="P265" s="5" t="str">
        <f>IF(Table2[[#This Row],[!Type]]=P$1, P$1,"rg:None")</f>
        <v>rg:None</v>
      </c>
      <c r="Q265" s="5" t="str">
        <f>IF(Table2[[#This Row],[!Type]]=Q$1, Q$1,"rg:None")</f>
        <v>rg:None</v>
      </c>
      <c r="R265" s="5" t="str">
        <f>IF(Table2[[#This Row],[!Type]]=R$1, R$1,"rg:None")</f>
        <v>rg:None</v>
      </c>
      <c r="S265" s="5" t="str">
        <f>IF(Table2[[#This Row],[!Type]]=S$1, S$1,"rg:None")</f>
        <v>rg:None</v>
      </c>
      <c r="T265" s="8" t="str">
        <f>IF(LEN(Table2[[#This Row],[!Length]]) &gt; 0, Table2[[#This Row],[!Length]], "rg:None")</f>
        <v>rg:None</v>
      </c>
      <c r="U265" s="8" t="str">
        <f>IF(LEN(Table2[[#This Row],[!Name]]) &gt; 0, Table2[[#This Row],[!Name]], "rg:None")</f>
        <v>ministryRegionID</v>
      </c>
      <c r="V265" s="8" t="str">
        <f>IF(LEN(Table2[[#This Row],[!Description]]) &gt; 0, Table2[[#This Row],[!Description]], "rg:None")</f>
        <v>A system generated unique identifier. NOT GENERATED IN THIS SYSTEM.</v>
      </c>
      <c r="W265" s="8" t="str">
        <f>IF(LEN(Table2[[#This Row],[!FK]])&gt;0,Table2[[#This Row],[!FK]],"rg:None")</f>
        <v>rg:None</v>
      </c>
      <c r="X265" s="8" t="str">
        <f>IF(LEN(concatif2(A:A,Table2[[#This Row],[!Table]],G:G,"Y",D:D,",")) &gt; 0,"rg:[ { 'req' : '"&amp;concatif2(A:A,Table2[[#This Row],[!Table]],G:G,"Y",D:D,"' }, { 'req': '")&amp;"'} ]","rg:[]")</f>
        <v>rg:[ { 'req' : 'id' }, { 'req': 'ministryRegionID' }, { 'req': 'name' }, { 'req': 'startDate'} ]</v>
      </c>
      <c r="Y265" s="8" t="str">
        <f>IF(LEN(Table2[[#This Row],[!Unique]])&gt;0,IF(Table2[[#This Row],[!Type]] = "id", "rg:None","rg:True"),"rg:None")</f>
        <v>rg:True</v>
      </c>
    </row>
    <row r="266" spans="1:25" x14ac:dyDescent="0.35">
      <c r="A266" s="61" t="s">
        <v>28</v>
      </c>
      <c r="B266" s="61" t="s">
        <v>13</v>
      </c>
      <c r="C266" s="72"/>
      <c r="D266" s="61" t="s">
        <v>395</v>
      </c>
      <c r="E266" s="60" t="s">
        <v>396</v>
      </c>
      <c r="F266" s="12"/>
      <c r="G266" s="18"/>
      <c r="H266" s="18"/>
      <c r="I266" s="4" t="str">
        <f>IF(LEN(A266) &gt; 0,"Defs","-")</f>
        <v>Defs</v>
      </c>
      <c r="J266" s="14" t="str">
        <f>IF(Table2[[#This Row],[!Type]]=J$1, J$1,"rg:None")</f>
        <v>rg:None</v>
      </c>
      <c r="K266" s="14" t="str">
        <f>IF(Table2[[#This Row],[!Type]]=K$1, K$1,"rg:None")</f>
        <v>rg:None</v>
      </c>
      <c r="L266" s="14" t="str">
        <f>IF(Table2[[#This Row],[!Type]]=L$1, L$1,"rg:None")</f>
        <v>rg:None</v>
      </c>
      <c r="M266" s="14" t="str">
        <f>IF(Table2[[#This Row],[!Type]]=M$1, M$1,"rg:None")</f>
        <v>rg:None</v>
      </c>
      <c r="N266" s="14" t="str">
        <f>IF(Table2[[#This Row],[!Type]]=N$1, N$1,"rg:None")</f>
        <v>integer</v>
      </c>
      <c r="O266" s="14" t="str">
        <f>IF(Table2[[#This Row],[!Type]]=O$1, O$1,"rg:None")</f>
        <v>rg:None</v>
      </c>
      <c r="P266" s="4" t="str">
        <f>IF(Table2[[#This Row],[!Type]]=P$1, P$1,"rg:None")</f>
        <v>rg:None</v>
      </c>
      <c r="Q266" s="4" t="str">
        <f>IF(Table2[[#This Row],[!Type]]=Q$1, Q$1,"rg:None")</f>
        <v>rg:None</v>
      </c>
      <c r="R266" s="4" t="str">
        <f>IF(Table2[[#This Row],[!Type]]=R$1, R$1,"rg:None")</f>
        <v>rg:None</v>
      </c>
      <c r="S266" s="4" t="str">
        <f>IF(Table2[[#This Row],[!Type]]=S$1, S$1,"rg:None")</f>
        <v>rg:None</v>
      </c>
      <c r="T266" s="14" t="str">
        <f>IF(LEN(Table2[[#This Row],[!Length]]) &gt; 0, Table2[[#This Row],[!Length]], "rg:None")</f>
        <v>rg:None</v>
      </c>
      <c r="U266" s="14" t="str">
        <f>IF(LEN(Table2[[#This Row],[!Name]]) &gt; 0, Table2[[#This Row],[!Name]], "rg:None")</f>
        <v>regionNumber</v>
      </c>
      <c r="V266" s="14" t="str">
        <f>IF(LEN(Table2[[#This Row],[!Description]]) &gt; 0, Table2[[#This Row],[!Description]], "rg:None")</f>
        <v>A code that uniquely defines a Region.</v>
      </c>
      <c r="W266" s="14" t="str">
        <f>IF(LEN(Table2[[#This Row],[!FK]])&gt;0,Table2[[#This Row],[!FK]],"rg:None")</f>
        <v>rg:None</v>
      </c>
      <c r="X266" s="14" t="str">
        <f>IF(LEN(concatif2(A:A,Table2[[#This Row],[!Table]],G:G,"Y",D:D,",")) &gt; 0,"rg:[ { 'req' : '"&amp;concatif2(A:A,Table2[[#This Row],[!Table]],G:G,"Y",D:D,"' }, { 'req': '")&amp;"'} ]","rg:[]")</f>
        <v>rg:[ { 'req' : 'id' }, { 'req': 'ministryRegionID' }, { 'req': 'name' }, { 'req': 'startDate'} ]</v>
      </c>
      <c r="Y266" s="14" t="str">
        <f>IF(LEN(Table2[[#This Row],[!Unique]])&gt;0,IF(Table2[[#This Row],[!Type]] = "id", "rg:None","rg:True"),"rg:None")</f>
        <v>rg:None</v>
      </c>
    </row>
    <row r="267" spans="1:25" x14ac:dyDescent="0.35">
      <c r="A267" s="5" t="s">
        <v>28</v>
      </c>
      <c r="B267" s="5" t="s">
        <v>7</v>
      </c>
      <c r="C267" s="5">
        <v>150</v>
      </c>
      <c r="D267" s="5" t="s">
        <v>15</v>
      </c>
      <c r="E267" s="76" t="s">
        <v>397</v>
      </c>
      <c r="F267" s="5" t="s">
        <v>5</v>
      </c>
      <c r="G267" s="41" t="s">
        <v>59</v>
      </c>
      <c r="H267" s="41"/>
      <c r="I267" s="5" t="str">
        <f t="shared" si="28"/>
        <v>Defs</v>
      </c>
      <c r="J267" s="8" t="str">
        <f>IF(Table2[[#This Row],[!Type]]=J$1, J$1,"rg:None")</f>
        <v>rg:None</v>
      </c>
      <c r="K267" s="8" t="str">
        <f>IF(Table2[[#This Row],[!Type]]=K$1, K$1,"rg:None")</f>
        <v>rg:None</v>
      </c>
      <c r="L267" s="8" t="str">
        <f>IF(Table2[[#This Row],[!Type]]=L$1, L$1,"rg:None")</f>
        <v>rg:None</v>
      </c>
      <c r="M267" s="8" t="str">
        <f>IF(Table2[[#This Row],[!Type]]=M$1, M$1,"rg:None")</f>
        <v>rg:None</v>
      </c>
      <c r="N267" s="8" t="str">
        <f>IF(Table2[[#This Row],[!Type]]=N$1, N$1,"rg:None")</f>
        <v>rg:None</v>
      </c>
      <c r="O267" s="8" t="str">
        <f>IF(Table2[[#This Row],[!Type]]=O$1, O$1,"rg:None")</f>
        <v>rg:None</v>
      </c>
      <c r="P267" s="5" t="str">
        <f>IF(Table2[[#This Row],[!Type]]=P$1, P$1,"rg:None")</f>
        <v>rg:None</v>
      </c>
      <c r="Q267" s="5" t="str">
        <f>IF(Table2[[#This Row],[!Type]]=Q$1, Q$1,"rg:None")</f>
        <v>rg:None</v>
      </c>
      <c r="R267" s="5" t="str">
        <f>IF(Table2[[#This Row],[!Type]]=R$1, R$1,"rg:None")</f>
        <v>string</v>
      </c>
      <c r="S267" s="5" t="str">
        <f>IF(Table2[[#This Row],[!Type]]=S$1, S$1,"rg:None")</f>
        <v>rg:None</v>
      </c>
      <c r="T267" s="8">
        <f>IF(LEN(Table2[[#This Row],[!Length]]) &gt; 0, Table2[[#This Row],[!Length]], "rg:None")</f>
        <v>150</v>
      </c>
      <c r="U267" s="8" t="str">
        <f>IF(LEN(Table2[[#This Row],[!Name]]) &gt; 0, Table2[[#This Row],[!Name]], "rg:None")</f>
        <v>name</v>
      </c>
      <c r="V267" s="8" t="str">
        <f>IF(LEN(Table2[[#This Row],[!Description]]) &gt; 0, Table2[[#This Row],[!Description]], "rg:None")</f>
        <v>The name of a Minsitry Region.</v>
      </c>
      <c r="W267" s="8" t="str">
        <f>IF(LEN(Table2[[#This Row],[!FK]])&gt;0,Table2[[#This Row],[!FK]],"rg:None")</f>
        <v>rg:None</v>
      </c>
      <c r="X267" s="8" t="str">
        <f>IF(LEN(concatif2(A:A,Table2[[#This Row],[!Table]],G:G,"Y",D:D,",")) &gt; 0,"rg:[ { 'req' : '"&amp;concatif2(A:A,Table2[[#This Row],[!Table]],G:G,"Y",D:D,"' }, { 'req': '")&amp;"'} ]","rg:[]")</f>
        <v>rg:[ { 'req' : 'id' }, { 'req': 'ministryRegionID' }, { 'req': 'name' }, { 'req': 'startDate'} ]</v>
      </c>
      <c r="Y267" s="8" t="str">
        <f>IF(LEN(Table2[[#This Row],[!Unique]])&gt;0,IF(Table2[[#This Row],[!Type]] = "id", "rg:None","rg:True"),"rg:None")</f>
        <v>rg:None</v>
      </c>
    </row>
    <row r="268" spans="1:25" ht="28.8" x14ac:dyDescent="0.35">
      <c r="A268" s="5" t="s">
        <v>28</v>
      </c>
      <c r="B268" s="5" t="s">
        <v>12</v>
      </c>
      <c r="D268" s="5" t="s">
        <v>30</v>
      </c>
      <c r="E268" s="76" t="s">
        <v>403</v>
      </c>
      <c r="F268" s="5" t="s">
        <v>5</v>
      </c>
      <c r="G268" s="63" t="s">
        <v>59</v>
      </c>
      <c r="H268" s="4"/>
      <c r="I268" s="5" t="str">
        <f t="shared" si="28"/>
        <v>Defs</v>
      </c>
      <c r="J268" s="8" t="str">
        <f>IF(Table2[[#This Row],[!Type]]=J$1, J$1,"rg:None")</f>
        <v>rg:None</v>
      </c>
      <c r="K268" s="8" t="str">
        <f>IF(Table2[[#This Row],[!Type]]=K$1, K$1,"rg:None")</f>
        <v>rg:None</v>
      </c>
      <c r="L268" s="8" t="str">
        <f>IF(Table2[[#This Row],[!Type]]=L$1, L$1,"rg:None")</f>
        <v>datetime</v>
      </c>
      <c r="M268" s="8" t="str">
        <f>IF(Table2[[#This Row],[!Type]]=M$1, M$1,"rg:None")</f>
        <v>rg:None</v>
      </c>
      <c r="N268" s="8" t="str">
        <f>IF(Table2[[#This Row],[!Type]]=N$1, N$1,"rg:None")</f>
        <v>rg:None</v>
      </c>
      <c r="O268" s="8" t="str">
        <f>IF(Table2[[#This Row],[!Type]]=O$1, O$1,"rg:None")</f>
        <v>rg:None</v>
      </c>
      <c r="P268" s="5" t="str">
        <f>IF(Table2[[#This Row],[!Type]]=P$1, P$1,"rg:None")</f>
        <v>rg:None</v>
      </c>
      <c r="Q268" s="5" t="str">
        <f>IF(Table2[[#This Row],[!Type]]=Q$1, Q$1,"rg:None")</f>
        <v>rg:None</v>
      </c>
      <c r="R268" s="5" t="str">
        <f>IF(Table2[[#This Row],[!Type]]=R$1, R$1,"rg:None")</f>
        <v>rg:None</v>
      </c>
      <c r="S268" s="5" t="str">
        <f>IF(Table2[[#This Row],[!Type]]=S$1, S$1,"rg:None")</f>
        <v>rg:None</v>
      </c>
      <c r="T268" s="8" t="str">
        <f>IF(LEN(Table2[[#This Row],[!Length]]) &gt; 0, Table2[[#This Row],[!Length]], "rg:None")</f>
        <v>rg:None</v>
      </c>
      <c r="U268" s="8" t="str">
        <f>IF(LEN(Table2[[#This Row],[!Name]]) &gt; 0, Table2[[#This Row],[!Name]], "rg:None")</f>
        <v>startDate</v>
      </c>
      <c r="V268" s="8" t="str">
        <f>IF(LEN(Table2[[#This Row],[!Description]]) &gt; 0, Table2[[#This Row],[!Description]], "rg:None")</f>
        <v>The DATE the business information came into effect. - NOT CURRENTLY ENFORCED IN THIS SYSTEM</v>
      </c>
      <c r="W268" s="8" t="str">
        <f>IF(LEN(Table2[[#This Row],[!FK]])&gt;0,Table2[[#This Row],[!FK]],"rg:None")</f>
        <v>rg:None</v>
      </c>
      <c r="X268" s="8" t="str">
        <f>IF(LEN(concatif2(A:A,Table2[[#This Row],[!Table]],G:G,"Y",D:D,",")) &gt; 0,"rg:[ { 'req' : '"&amp;concatif2(A:A,Table2[[#This Row],[!Table]],G:G,"Y",D:D,"' }, { 'req': '")&amp;"'} ]","rg:[]")</f>
        <v>rg:[ { 'req' : 'id' }, { 'req': 'ministryRegionID' }, { 'req': 'name' }, { 'req': 'startDate'} ]</v>
      </c>
      <c r="Y268" s="8" t="str">
        <f>IF(LEN(Table2[[#This Row],[!Unique]])&gt;0,IF(Table2[[#This Row],[!Type]] = "id", "rg:None","rg:True"),"rg:None")</f>
        <v>rg:None</v>
      </c>
    </row>
    <row r="269" spans="1:25" ht="28.8" x14ac:dyDescent="0.35">
      <c r="A269" s="5" t="s">
        <v>28</v>
      </c>
      <c r="B269" s="5" t="s">
        <v>12</v>
      </c>
      <c r="D269" s="5" t="s">
        <v>31</v>
      </c>
      <c r="E269" s="76" t="s">
        <v>404</v>
      </c>
      <c r="F269" s="5" t="s">
        <v>5</v>
      </c>
      <c r="G269" s="4"/>
      <c r="H269" s="4"/>
      <c r="I269" s="5" t="str">
        <f t="shared" si="28"/>
        <v>Defs</v>
      </c>
      <c r="J269" s="8" t="str">
        <f>IF(Table2[[#This Row],[!Type]]=J$1, J$1,"rg:None")</f>
        <v>rg:None</v>
      </c>
      <c r="K269" s="8" t="str">
        <f>IF(Table2[[#This Row],[!Type]]=K$1, K$1,"rg:None")</f>
        <v>rg:None</v>
      </c>
      <c r="L269" s="8" t="str">
        <f>IF(Table2[[#This Row],[!Type]]=L$1, L$1,"rg:None")</f>
        <v>datetime</v>
      </c>
      <c r="M269" s="8" t="str">
        <f>IF(Table2[[#This Row],[!Type]]=M$1, M$1,"rg:None")</f>
        <v>rg:None</v>
      </c>
      <c r="N269" s="8" t="str">
        <f>IF(Table2[[#This Row],[!Type]]=N$1, N$1,"rg:None")</f>
        <v>rg:None</v>
      </c>
      <c r="O269" s="8" t="str">
        <f>IF(Table2[[#This Row],[!Type]]=O$1, O$1,"rg:None")</f>
        <v>rg:None</v>
      </c>
      <c r="P269" s="5" t="str">
        <f>IF(Table2[[#This Row],[!Type]]=P$1, P$1,"rg:None")</f>
        <v>rg:None</v>
      </c>
      <c r="Q269" s="5" t="str">
        <f>IF(Table2[[#This Row],[!Type]]=Q$1, Q$1,"rg:None")</f>
        <v>rg:None</v>
      </c>
      <c r="R269" s="5" t="str">
        <f>IF(Table2[[#This Row],[!Type]]=R$1, R$1,"rg:None")</f>
        <v>rg:None</v>
      </c>
      <c r="S269" s="5" t="str">
        <f>IF(Table2[[#This Row],[!Type]]=S$1, S$1,"rg:None")</f>
        <v>rg:None</v>
      </c>
      <c r="T269" s="8" t="str">
        <f>IF(LEN(Table2[[#This Row],[!Length]]) &gt; 0, Table2[[#This Row],[!Length]], "rg:None")</f>
        <v>rg:None</v>
      </c>
      <c r="U269" s="8" t="str">
        <f>IF(LEN(Table2[[#This Row],[!Name]]) &gt; 0, Table2[[#This Row],[!Name]], "rg:None")</f>
        <v>endDate</v>
      </c>
      <c r="V269" s="8" t="str">
        <f>IF(LEN(Table2[[#This Row],[!Description]]) &gt; 0, Table2[[#This Row],[!Description]], "rg:None")</f>
        <v>The DATE the business information ceased to be in effect. - NOT CURRENTLY ENFORCED IN THIS SYSTEM</v>
      </c>
      <c r="W269" s="8" t="str">
        <f>IF(LEN(Table2[[#This Row],[!FK]])&gt;0,Table2[[#This Row],[!FK]],"rg:None")</f>
        <v>rg:None</v>
      </c>
      <c r="X269" s="8" t="str">
        <f>IF(LEN(concatif2(A:A,Table2[[#This Row],[!Table]],G:G,"Y",D:D,",")) &gt; 0,"rg:[ { 'req' : '"&amp;concatif2(A:A,Table2[[#This Row],[!Table]],G:G,"Y",D:D,"' }, { 'req': '")&amp;"'} ]","rg:[]")</f>
        <v>rg:[ { 'req' : 'id' }, { 'req': 'ministryRegionID' }, { 'req': 'name' }, { 'req': 'startDate'} ]</v>
      </c>
      <c r="Y269" s="8" t="str">
        <f>IF(LEN(Table2[[#This Row],[!Unique]])&gt;0,IF(Table2[[#This Row],[!Type]] = "id", "rg:None","rg:True"),"rg:None")</f>
        <v>rg:None</v>
      </c>
    </row>
    <row r="270" spans="1:25" x14ac:dyDescent="0.35">
      <c r="A270" s="5" t="s">
        <v>32</v>
      </c>
      <c r="B270" s="5" t="s">
        <v>4</v>
      </c>
      <c r="D270" s="5" t="s">
        <v>32</v>
      </c>
      <c r="E270" s="76" t="s">
        <v>398</v>
      </c>
      <c r="F270" s="5" t="s">
        <v>5</v>
      </c>
      <c r="G270" s="4"/>
      <c r="H270" s="4"/>
      <c r="I270" s="5" t="str">
        <f t="shared" si="28"/>
        <v>Defs</v>
      </c>
      <c r="J270" s="8" t="str">
        <f>IF(Table2[[#This Row],[!Type]]=J$1, J$1,"rg:None")</f>
        <v>rg:None</v>
      </c>
      <c r="K270" s="8" t="str">
        <f>IF(Table2[[#This Row],[!Type]]=K$1, K$1,"rg:None")</f>
        <v>rg:None</v>
      </c>
      <c r="L270" s="8" t="str">
        <f>IF(Table2[[#This Row],[!Type]]=L$1, L$1,"rg:None")</f>
        <v>rg:None</v>
      </c>
      <c r="M270" s="8" t="str">
        <f>IF(Table2[[#This Row],[!Type]]=M$1, M$1,"rg:None")</f>
        <v>rg:None</v>
      </c>
      <c r="N270" s="8" t="str">
        <f>IF(Table2[[#This Row],[!Type]]=N$1, N$1,"rg:None")</f>
        <v>rg:None</v>
      </c>
      <c r="O270" s="8" t="str">
        <f>IF(Table2[[#This Row],[!Type]]=O$1, O$1,"rg:None")</f>
        <v>rg:None</v>
      </c>
      <c r="P270" s="5" t="str">
        <f>IF(Table2[[#This Row],[!Type]]=P$1, P$1,"rg:None")</f>
        <v>rg:None</v>
      </c>
      <c r="Q270" s="5" t="str">
        <f>IF(Table2[[#This Row],[!Type]]=Q$1, Q$1,"rg:None")</f>
        <v>rg:None</v>
      </c>
      <c r="R270" s="5" t="str">
        <f>IF(Table2[[#This Row],[!Type]]=R$1, R$1,"rg:None")</f>
        <v>rg:None</v>
      </c>
      <c r="S270" s="5" t="str">
        <f>IF(Table2[[#This Row],[!Type]]=S$1, S$1,"rg:None")</f>
        <v>table</v>
      </c>
      <c r="T270" s="8" t="str">
        <f>IF(LEN(Table2[[#This Row],[!Length]]) &gt; 0, Table2[[#This Row],[!Length]], "rg:None")</f>
        <v>rg:None</v>
      </c>
      <c r="U270" s="8" t="str">
        <f>IF(LEN(Table2[[#This Row],[!Name]]) &gt; 0, Table2[[#This Row],[!Name]], "rg:None")</f>
        <v>District</v>
      </c>
      <c r="V270" s="8" t="str">
        <f>IF(LEN(Table2[[#This Row],[!Description]]) &gt; 0, Table2[[#This Row],[!Description]], "rg:None")</f>
        <v>The Ministry of Transportion and Infrastructure DISTRICT</v>
      </c>
      <c r="W270" s="8" t="str">
        <f>IF(LEN(Table2[[#This Row],[!FK]])&gt;0,Table2[[#This Row],[!FK]],"rg:None")</f>
        <v>rg:None</v>
      </c>
      <c r="X270" s="8" t="str">
        <f>IF(LEN(concatif2(A:A,Table2[[#This Row],[!Table]],G:G,"Y",D:D,",")) &gt; 0,"rg:[ { 'req' : '"&amp;concatif2(A:A,Table2[[#This Row],[!Table]],G:G,"Y",D:D,"' }, { 'req': '")&amp;"'} ]","rg:[]")</f>
        <v>rg:[ { 'req' : 'id' }, { 'req': 'ministryDistrictID' }, { 'req': 'name' }, { 'req': 'region' }, { 'req': 'startDate'} ]</v>
      </c>
      <c r="Y270" s="8" t="str">
        <f>IF(LEN(Table2[[#This Row],[!Unique]])&gt;0,IF(Table2[[#This Row],[!Type]] = "id", "rg:None","rg:True"),"rg:None")</f>
        <v>rg:None</v>
      </c>
    </row>
    <row r="271" spans="1:25" x14ac:dyDescent="0.35">
      <c r="A271" s="5" t="s">
        <v>32</v>
      </c>
      <c r="B271" s="5" t="s">
        <v>6</v>
      </c>
      <c r="D271" s="5" t="s">
        <v>6</v>
      </c>
      <c r="E271" s="54" t="s">
        <v>311</v>
      </c>
      <c r="F271" s="5" t="s">
        <v>5</v>
      </c>
      <c r="G271" s="4" t="s">
        <v>59</v>
      </c>
      <c r="H271" s="155" t="s">
        <v>59</v>
      </c>
      <c r="I271" s="5" t="str">
        <f t="shared" si="28"/>
        <v>Defs</v>
      </c>
      <c r="J271" s="8" t="str">
        <f>IF(Table2[[#This Row],[!Type]]=J$1, J$1,"rg:None")</f>
        <v>rg:None</v>
      </c>
      <c r="K271" s="8" t="str">
        <f>IF(Table2[[#This Row],[!Type]]=K$1, K$1,"rg:None")</f>
        <v>rg:None</v>
      </c>
      <c r="L271" s="8" t="str">
        <f>IF(Table2[[#This Row],[!Type]]=L$1, L$1,"rg:None")</f>
        <v>rg:None</v>
      </c>
      <c r="M271" s="8" t="str">
        <f>IF(Table2[[#This Row],[!Type]]=M$1, M$1,"rg:None")</f>
        <v>id</v>
      </c>
      <c r="N271" s="8" t="str">
        <f>IF(Table2[[#This Row],[!Type]]=N$1, N$1,"rg:None")</f>
        <v>rg:None</v>
      </c>
      <c r="O271" s="8" t="str">
        <f>IF(Table2[[#This Row],[!Type]]=O$1, O$1,"rg:None")</f>
        <v>rg:None</v>
      </c>
      <c r="P271" s="5" t="str">
        <f>IF(Table2[[#This Row],[!Type]]=P$1, P$1,"rg:None")</f>
        <v>rg:None</v>
      </c>
      <c r="Q271" s="5" t="str">
        <f>IF(Table2[[#This Row],[!Type]]=Q$1, Q$1,"rg:None")</f>
        <v>rg:None</v>
      </c>
      <c r="R271" s="5" t="str">
        <f>IF(Table2[[#This Row],[!Type]]=R$1, R$1,"rg:None")</f>
        <v>rg:None</v>
      </c>
      <c r="S271" s="5" t="str">
        <f>IF(Table2[[#This Row],[!Type]]=S$1, S$1,"rg:None")</f>
        <v>rg:None</v>
      </c>
      <c r="T271" s="8" t="str">
        <f>IF(LEN(Table2[[#This Row],[!Length]]) &gt; 0, Table2[[#This Row],[!Length]], "rg:None")</f>
        <v>rg:None</v>
      </c>
      <c r="U271" s="8" t="str">
        <f>IF(LEN(Table2[[#This Row],[!Name]]) &gt; 0, Table2[[#This Row],[!Name]], "rg:None")</f>
        <v>id</v>
      </c>
      <c r="V271" s="8" t="str">
        <f>IF(LEN(Table2[[#This Row],[!Description]]) &gt; 0, Table2[[#This Row],[!Description]], "rg:None")</f>
        <v>A system-generated unique identifier for a District</v>
      </c>
      <c r="W271" s="8" t="str">
        <f>IF(LEN(Table2[[#This Row],[!FK]])&gt;0,Table2[[#This Row],[!FK]],"rg:None")</f>
        <v>rg:None</v>
      </c>
      <c r="X271" s="8" t="str">
        <f>IF(LEN(concatif2(A:A,Table2[[#This Row],[!Table]],G:G,"Y",D:D,",")) &gt; 0,"rg:[ { 'req' : '"&amp;concatif2(A:A,Table2[[#This Row],[!Table]],G:G,"Y",D:D,"' }, { 'req': '")&amp;"'} ]","rg:[]")</f>
        <v>rg:[ { 'req' : 'id' }, { 'req': 'ministryDistrictID' }, { 'req': 'name' }, { 'req': 'region' }, { 'req': 'startDate'} ]</v>
      </c>
      <c r="Y271" s="8" t="str">
        <f>IF(LEN(Table2[[#This Row],[!Unique]])&gt;0,IF(Table2[[#This Row],[!Type]] = "id", "rg:None","rg:True"),"rg:None")</f>
        <v>rg:None</v>
      </c>
    </row>
    <row r="272" spans="1:25" x14ac:dyDescent="0.35">
      <c r="A272" s="5" t="s">
        <v>32</v>
      </c>
      <c r="B272" s="5" t="s">
        <v>13</v>
      </c>
      <c r="D272" s="5" t="s">
        <v>33</v>
      </c>
      <c r="E272" s="76" t="s">
        <v>399</v>
      </c>
      <c r="F272" s="5" t="s">
        <v>5</v>
      </c>
      <c r="G272" s="41" t="s">
        <v>59</v>
      </c>
      <c r="H272" s="41"/>
      <c r="I272" s="5" t="str">
        <f t="shared" si="28"/>
        <v>Defs</v>
      </c>
      <c r="J272" s="8" t="str">
        <f>IF(Table2[[#This Row],[!Type]]=J$1, J$1,"rg:None")</f>
        <v>rg:None</v>
      </c>
      <c r="K272" s="8" t="str">
        <f>IF(Table2[[#This Row],[!Type]]=K$1, K$1,"rg:None")</f>
        <v>rg:None</v>
      </c>
      <c r="L272" s="8" t="str">
        <f>IF(Table2[[#This Row],[!Type]]=L$1, L$1,"rg:None")</f>
        <v>rg:None</v>
      </c>
      <c r="M272" s="8" t="str">
        <f>IF(Table2[[#This Row],[!Type]]=M$1, M$1,"rg:None")</f>
        <v>rg:None</v>
      </c>
      <c r="N272" s="8" t="str">
        <f>IF(Table2[[#This Row],[!Type]]=N$1, N$1,"rg:None")</f>
        <v>integer</v>
      </c>
      <c r="O272" s="8" t="str">
        <f>IF(Table2[[#This Row],[!Type]]=O$1, O$1,"rg:None")</f>
        <v>rg:None</v>
      </c>
      <c r="P272" s="5" t="str">
        <f>IF(Table2[[#This Row],[!Type]]=P$1, P$1,"rg:None")</f>
        <v>rg:None</v>
      </c>
      <c r="Q272" s="5" t="str">
        <f>IF(Table2[[#This Row],[!Type]]=Q$1, Q$1,"rg:None")</f>
        <v>rg:None</v>
      </c>
      <c r="R272" s="5" t="str">
        <f>IF(Table2[[#This Row],[!Type]]=R$1, R$1,"rg:None")</f>
        <v>rg:None</v>
      </c>
      <c r="S272" s="5" t="str">
        <f>IF(Table2[[#This Row],[!Type]]=S$1, S$1,"rg:None")</f>
        <v>rg:None</v>
      </c>
      <c r="T272" s="8" t="str">
        <f>IF(LEN(Table2[[#This Row],[!Length]]) &gt; 0, Table2[[#This Row],[!Length]], "rg:None")</f>
        <v>rg:None</v>
      </c>
      <c r="U272" s="8" t="str">
        <f>IF(LEN(Table2[[#This Row],[!Name]]) &gt; 0, Table2[[#This Row],[!Name]], "rg:None")</f>
        <v>ministryDistrictID</v>
      </c>
      <c r="V272" s="8" t="str">
        <f>IF(LEN(Table2[[#This Row],[!Description]]) &gt; 0, Table2[[#This Row],[!Description]], "rg:None")</f>
        <v>A system generated unique identifier. NOT GENERATED IN THIS SYSTEM.</v>
      </c>
      <c r="W272" s="8" t="str">
        <f>IF(LEN(Table2[[#This Row],[!FK]])&gt;0,Table2[[#This Row],[!FK]],"rg:None")</f>
        <v>rg:None</v>
      </c>
      <c r="X272" s="8" t="str">
        <f>IF(LEN(concatif2(A:A,Table2[[#This Row],[!Table]],G:G,"Y",D:D,",")) &gt; 0,"rg:[ { 'req' : '"&amp;concatif2(A:A,Table2[[#This Row],[!Table]],G:G,"Y",D:D,"' }, { 'req': '")&amp;"'} ]","rg:[]")</f>
        <v>rg:[ { 'req' : 'id' }, { 'req': 'ministryDistrictID' }, { 'req': 'name' }, { 'req': 'region' }, { 'req': 'startDate'} ]</v>
      </c>
      <c r="Y272" s="8" t="str">
        <f>IF(LEN(Table2[[#This Row],[!Unique]])&gt;0,IF(Table2[[#This Row],[!Type]] = "id", "rg:None","rg:True"),"rg:None")</f>
        <v>rg:None</v>
      </c>
    </row>
    <row r="273" spans="1:25" x14ac:dyDescent="0.35">
      <c r="A273" s="5" t="s">
        <v>32</v>
      </c>
      <c r="B273" s="5" t="s">
        <v>7</v>
      </c>
      <c r="C273" s="5">
        <v>150</v>
      </c>
      <c r="D273" s="5" t="s">
        <v>15</v>
      </c>
      <c r="E273" s="76" t="s">
        <v>400</v>
      </c>
      <c r="F273" s="5" t="s">
        <v>5</v>
      </c>
      <c r="G273" s="41" t="s">
        <v>59</v>
      </c>
      <c r="H273" s="41"/>
      <c r="I273" s="5" t="str">
        <f t="shared" si="28"/>
        <v>Defs</v>
      </c>
      <c r="J273" s="8" t="str">
        <f>IF(Table2[[#This Row],[!Type]]=J$1, J$1,"rg:None")</f>
        <v>rg:None</v>
      </c>
      <c r="K273" s="8" t="str">
        <f>IF(Table2[[#This Row],[!Type]]=K$1, K$1,"rg:None")</f>
        <v>rg:None</v>
      </c>
      <c r="L273" s="8" t="str">
        <f>IF(Table2[[#This Row],[!Type]]=L$1, L$1,"rg:None")</f>
        <v>rg:None</v>
      </c>
      <c r="M273" s="8" t="str">
        <f>IF(Table2[[#This Row],[!Type]]=M$1, M$1,"rg:None")</f>
        <v>rg:None</v>
      </c>
      <c r="N273" s="8" t="str">
        <f>IF(Table2[[#This Row],[!Type]]=N$1, N$1,"rg:None")</f>
        <v>rg:None</v>
      </c>
      <c r="O273" s="8" t="str">
        <f>IF(Table2[[#This Row],[!Type]]=O$1, O$1,"rg:None")</f>
        <v>rg:None</v>
      </c>
      <c r="P273" s="5" t="str">
        <f>IF(Table2[[#This Row],[!Type]]=P$1, P$1,"rg:None")</f>
        <v>rg:None</v>
      </c>
      <c r="Q273" s="5" t="str">
        <f>IF(Table2[[#This Row],[!Type]]=Q$1, Q$1,"rg:None")</f>
        <v>rg:None</v>
      </c>
      <c r="R273" s="5" t="str">
        <f>IF(Table2[[#This Row],[!Type]]=R$1, R$1,"rg:None")</f>
        <v>string</v>
      </c>
      <c r="S273" s="5" t="str">
        <f>IF(Table2[[#This Row],[!Type]]=S$1, S$1,"rg:None")</f>
        <v>rg:None</v>
      </c>
      <c r="T273" s="8">
        <f>IF(LEN(Table2[[#This Row],[!Length]]) &gt; 0, Table2[[#This Row],[!Length]], "rg:None")</f>
        <v>150</v>
      </c>
      <c r="U273" s="8" t="str">
        <f>IF(LEN(Table2[[#This Row],[!Name]]) &gt; 0, Table2[[#This Row],[!Name]], "rg:None")</f>
        <v>name</v>
      </c>
      <c r="V273" s="8" t="str">
        <f>IF(LEN(Table2[[#This Row],[!Description]]) &gt; 0, Table2[[#This Row],[!Description]], "rg:None")</f>
        <v>The Name of a Ministry District.</v>
      </c>
      <c r="W273" s="8" t="str">
        <f>IF(LEN(Table2[[#This Row],[!FK]])&gt;0,Table2[[#This Row],[!FK]],"rg:None")</f>
        <v>rg:None</v>
      </c>
      <c r="X273" s="8" t="str">
        <f>IF(LEN(concatif2(A:A,Table2[[#This Row],[!Table]],G:G,"Y",D:D,",")) &gt; 0,"rg:[ { 'req' : '"&amp;concatif2(A:A,Table2[[#This Row],[!Table]],G:G,"Y",D:D,"' }, { 'req': '")&amp;"'} ]","rg:[]")</f>
        <v>rg:[ { 'req' : 'id' }, { 'req': 'ministryDistrictID' }, { 'req': 'name' }, { 'req': 'region' }, { 'req': 'startDate'} ]</v>
      </c>
      <c r="Y273" s="8" t="str">
        <f>IF(LEN(Table2[[#This Row],[!Unique]])&gt;0,IF(Table2[[#This Row],[!Type]] = "id", "rg:None","rg:True"),"rg:None")</f>
        <v>rg:None</v>
      </c>
    </row>
    <row r="274" spans="1:25" x14ac:dyDescent="0.35">
      <c r="A274" s="61" t="s">
        <v>32</v>
      </c>
      <c r="B274" s="61" t="s">
        <v>13</v>
      </c>
      <c r="C274" s="72"/>
      <c r="D274" s="61" t="s">
        <v>401</v>
      </c>
      <c r="E274" s="47" t="s">
        <v>402</v>
      </c>
      <c r="F274" s="12"/>
      <c r="G274" s="18"/>
      <c r="H274" s="18"/>
      <c r="I274" s="4" t="str">
        <f>IF(LEN(A274) &gt; 0,"Defs","-")</f>
        <v>Defs</v>
      </c>
      <c r="J274" s="14" t="str">
        <f>IF(Table2[[#This Row],[!Type]]=J$1, J$1,"rg:None")</f>
        <v>rg:None</v>
      </c>
      <c r="K274" s="14" t="str">
        <f>IF(Table2[[#This Row],[!Type]]=K$1, K$1,"rg:None")</f>
        <v>rg:None</v>
      </c>
      <c r="L274" s="14" t="str">
        <f>IF(Table2[[#This Row],[!Type]]=L$1, L$1,"rg:None")</f>
        <v>rg:None</v>
      </c>
      <c r="M274" s="14" t="str">
        <f>IF(Table2[[#This Row],[!Type]]=M$1, M$1,"rg:None")</f>
        <v>rg:None</v>
      </c>
      <c r="N274" s="14" t="str">
        <f>IF(Table2[[#This Row],[!Type]]=N$1, N$1,"rg:None")</f>
        <v>integer</v>
      </c>
      <c r="O274" s="14" t="str">
        <f>IF(Table2[[#This Row],[!Type]]=O$1, O$1,"rg:None")</f>
        <v>rg:None</v>
      </c>
      <c r="P274" s="4" t="str">
        <f>IF(Table2[[#This Row],[!Type]]=P$1, P$1,"rg:None")</f>
        <v>rg:None</v>
      </c>
      <c r="Q274" s="4" t="str">
        <f>IF(Table2[[#This Row],[!Type]]=Q$1, Q$1,"rg:None")</f>
        <v>rg:None</v>
      </c>
      <c r="R274" s="4" t="str">
        <f>IF(Table2[[#This Row],[!Type]]=R$1, R$1,"rg:None")</f>
        <v>rg:None</v>
      </c>
      <c r="S274" s="4" t="str">
        <f>IF(Table2[[#This Row],[!Type]]=S$1, S$1,"rg:None")</f>
        <v>rg:None</v>
      </c>
      <c r="T274" s="14" t="str">
        <f>IF(LEN(Table2[[#This Row],[!Length]]) &gt; 0, Table2[[#This Row],[!Length]], "rg:None")</f>
        <v>rg:None</v>
      </c>
      <c r="U274" s="14" t="str">
        <f>IF(LEN(Table2[[#This Row],[!Name]]) &gt; 0, Table2[[#This Row],[!Name]], "rg:None")</f>
        <v>districtNumber</v>
      </c>
      <c r="V274" s="14" t="str">
        <f>IF(LEN(Table2[[#This Row],[!Description]]) &gt; 0, Table2[[#This Row],[!Description]], "rg:None")</f>
        <v>A number that uniquely defines a Ministry District.</v>
      </c>
      <c r="W274" s="14" t="str">
        <f>IF(LEN(Table2[[#This Row],[!FK]])&gt;0,Table2[[#This Row],[!FK]],"rg:None")</f>
        <v>rg:None</v>
      </c>
      <c r="X274" s="14" t="str">
        <f>IF(LEN(concatif2(A:A,Table2[[#This Row],[!Table]],G:G,"Y",D:D,",")) &gt; 0,"rg:[ { 'req' : '"&amp;concatif2(A:A,Table2[[#This Row],[!Table]],G:G,"Y",D:D,"' }, { 'req': '")&amp;"'} ]","rg:[]")</f>
        <v>rg:[ { 'req' : 'id' }, { 'req': 'ministryDistrictID' }, { 'req': 'name' }, { 'req': 'region' }, { 'req': 'startDate'} ]</v>
      </c>
      <c r="Y274" s="14" t="str">
        <f>IF(LEN(Table2[[#This Row],[!Unique]])&gt;0,IF(Table2[[#This Row],[!Type]] = "id", "rg:None","rg:True"),"rg:None")</f>
        <v>rg:None</v>
      </c>
    </row>
    <row r="275" spans="1:25" x14ac:dyDescent="0.35">
      <c r="A275" s="5" t="s">
        <v>32</v>
      </c>
      <c r="B275" s="5" t="s">
        <v>8</v>
      </c>
      <c r="D275" s="5" t="s">
        <v>34</v>
      </c>
      <c r="E275" s="54" t="s">
        <v>35</v>
      </c>
      <c r="F275" s="5" t="s">
        <v>28</v>
      </c>
      <c r="G275" s="63" t="s">
        <v>59</v>
      </c>
      <c r="H275" s="4"/>
      <c r="I275" s="5" t="str">
        <f t="shared" si="28"/>
        <v>Defs</v>
      </c>
      <c r="J275" s="8" t="str">
        <f>IF(Table2[[#This Row],[!Type]]=J$1, J$1,"rg:None")</f>
        <v>rg:None</v>
      </c>
      <c r="K275" s="8" t="str">
        <f>IF(Table2[[#This Row],[!Type]]=K$1, K$1,"rg:None")</f>
        <v>rg:None</v>
      </c>
      <c r="L275" s="8" t="str">
        <f>IF(Table2[[#This Row],[!Type]]=L$1, L$1,"rg:None")</f>
        <v>rg:None</v>
      </c>
      <c r="M275" s="8" t="str">
        <f>IF(Table2[[#This Row],[!Type]]=M$1, M$1,"rg:None")</f>
        <v>rg:None</v>
      </c>
      <c r="N275" s="8" t="str">
        <f>IF(Table2[[#This Row],[!Type]]=N$1, N$1,"rg:None")</f>
        <v>rg:None</v>
      </c>
      <c r="O275" s="8" t="str">
        <f>IF(Table2[[#This Row],[!Type]]=O$1, O$1,"rg:None")</f>
        <v>rg:None</v>
      </c>
      <c r="P275" s="5" t="str">
        <f>IF(Table2[[#This Row],[!Type]]=P$1, P$1,"rg:None")</f>
        <v>rg:None</v>
      </c>
      <c r="Q275" s="5" t="str">
        <f>IF(Table2[[#This Row],[!Type]]=Q$1, Q$1,"rg:None")</f>
        <v>ref</v>
      </c>
      <c r="R275" s="5" t="str">
        <f>IF(Table2[[#This Row],[!Type]]=R$1, R$1,"rg:None")</f>
        <v>rg:None</v>
      </c>
      <c r="S275" s="5" t="str">
        <f>IF(Table2[[#This Row],[!Type]]=S$1, S$1,"rg:None")</f>
        <v>rg:None</v>
      </c>
      <c r="T275" s="8" t="str">
        <f>IF(LEN(Table2[[#This Row],[!Length]]) &gt; 0, Table2[[#This Row],[!Length]], "rg:None")</f>
        <v>rg:None</v>
      </c>
      <c r="U275" s="8" t="str">
        <f>IF(LEN(Table2[[#This Row],[!Name]]) &gt; 0, Table2[[#This Row],[!Name]], "rg:None")</f>
        <v>region</v>
      </c>
      <c r="V275" s="8" t="str">
        <f>IF(LEN(Table2[[#This Row],[!Description]]) &gt; 0, Table2[[#This Row],[!Description]], "rg:None")</f>
        <v>The region in which the District is found.</v>
      </c>
      <c r="W275" s="8" t="str">
        <f>IF(LEN(Table2[[#This Row],[!FK]])&gt;0,Table2[[#This Row],[!FK]],"rg:None")</f>
        <v>Region</v>
      </c>
      <c r="X275" s="8" t="str">
        <f>IF(LEN(concatif2(A:A,Table2[[#This Row],[!Table]],G:G,"Y",D:D,",")) &gt; 0,"rg:[ { 'req' : '"&amp;concatif2(A:A,Table2[[#This Row],[!Table]],G:G,"Y",D:D,"' }, { 'req': '")&amp;"'} ]","rg:[]")</f>
        <v>rg:[ { 'req' : 'id' }, { 'req': 'ministryDistrictID' }, { 'req': 'name' }, { 'req': 'region' }, { 'req': 'startDate'} ]</v>
      </c>
      <c r="Y275" s="8" t="str">
        <f>IF(LEN(Table2[[#This Row],[!Unique]])&gt;0,IF(Table2[[#This Row],[!Type]] = "id", "rg:None","rg:True"),"rg:None")</f>
        <v>rg:None</v>
      </c>
    </row>
    <row r="276" spans="1:25" ht="28.8" x14ac:dyDescent="0.35">
      <c r="A276" s="5" t="s">
        <v>32</v>
      </c>
      <c r="B276" s="5" t="s">
        <v>12</v>
      </c>
      <c r="D276" s="5" t="s">
        <v>30</v>
      </c>
      <c r="E276" s="76" t="s">
        <v>403</v>
      </c>
      <c r="F276" s="5" t="s">
        <v>5</v>
      </c>
      <c r="G276" s="63" t="s">
        <v>59</v>
      </c>
      <c r="H276" s="4"/>
      <c r="I276" s="5" t="str">
        <f t="shared" si="28"/>
        <v>Defs</v>
      </c>
      <c r="J276" s="8" t="str">
        <f>IF(Table2[[#This Row],[!Type]]=J$1, J$1,"rg:None")</f>
        <v>rg:None</v>
      </c>
      <c r="K276" s="8" t="str">
        <f>IF(Table2[[#This Row],[!Type]]=K$1, K$1,"rg:None")</f>
        <v>rg:None</v>
      </c>
      <c r="L276" s="8" t="str">
        <f>IF(Table2[[#This Row],[!Type]]=L$1, L$1,"rg:None")</f>
        <v>datetime</v>
      </c>
      <c r="M276" s="8" t="str">
        <f>IF(Table2[[#This Row],[!Type]]=M$1, M$1,"rg:None")</f>
        <v>rg:None</v>
      </c>
      <c r="N276" s="8" t="str">
        <f>IF(Table2[[#This Row],[!Type]]=N$1, N$1,"rg:None")</f>
        <v>rg:None</v>
      </c>
      <c r="O276" s="8" t="str">
        <f>IF(Table2[[#This Row],[!Type]]=O$1, O$1,"rg:None")</f>
        <v>rg:None</v>
      </c>
      <c r="P276" s="5" t="str">
        <f>IF(Table2[[#This Row],[!Type]]=P$1, P$1,"rg:None")</f>
        <v>rg:None</v>
      </c>
      <c r="Q276" s="5" t="str">
        <f>IF(Table2[[#This Row],[!Type]]=Q$1, Q$1,"rg:None")</f>
        <v>rg:None</v>
      </c>
      <c r="R276" s="5" t="str">
        <f>IF(Table2[[#This Row],[!Type]]=R$1, R$1,"rg:None")</f>
        <v>rg:None</v>
      </c>
      <c r="S276" s="5" t="str">
        <f>IF(Table2[[#This Row],[!Type]]=S$1, S$1,"rg:None")</f>
        <v>rg:None</v>
      </c>
      <c r="T276" s="8" t="str">
        <f>IF(LEN(Table2[[#This Row],[!Length]]) &gt; 0, Table2[[#This Row],[!Length]], "rg:None")</f>
        <v>rg:None</v>
      </c>
      <c r="U276" s="8" t="str">
        <f>IF(LEN(Table2[[#This Row],[!Name]]) &gt; 0, Table2[[#This Row],[!Name]], "rg:None")</f>
        <v>startDate</v>
      </c>
      <c r="V276" s="8" t="str">
        <f>IF(LEN(Table2[[#This Row],[!Description]]) &gt; 0, Table2[[#This Row],[!Description]], "rg:None")</f>
        <v>The DATE the business information came into effect. - NOT CURRENTLY ENFORCED IN THIS SYSTEM</v>
      </c>
      <c r="W276" s="8" t="str">
        <f>IF(LEN(Table2[[#This Row],[!FK]])&gt;0,Table2[[#This Row],[!FK]],"rg:None")</f>
        <v>rg:None</v>
      </c>
      <c r="X276" s="8" t="str">
        <f>IF(LEN(concatif2(A:A,Table2[[#This Row],[!Table]],G:G,"Y",D:D,",")) &gt; 0,"rg:[ { 'req' : '"&amp;concatif2(A:A,Table2[[#This Row],[!Table]],G:G,"Y",D:D,"' }, { 'req': '")&amp;"'} ]","rg:[]")</f>
        <v>rg:[ { 'req' : 'id' }, { 'req': 'ministryDistrictID' }, { 'req': 'name' }, { 'req': 'region' }, { 'req': 'startDate'} ]</v>
      </c>
      <c r="Y276" s="8" t="str">
        <f>IF(LEN(Table2[[#This Row],[!Unique]])&gt;0,IF(Table2[[#This Row],[!Type]] = "id", "rg:None","rg:True"),"rg:None")</f>
        <v>rg:None</v>
      </c>
    </row>
    <row r="277" spans="1:25" ht="28.8" x14ac:dyDescent="0.35">
      <c r="A277" s="5" t="s">
        <v>32</v>
      </c>
      <c r="B277" s="5" t="s">
        <v>12</v>
      </c>
      <c r="D277" s="5" t="s">
        <v>31</v>
      </c>
      <c r="E277" s="76" t="s">
        <v>404</v>
      </c>
      <c r="F277" s="5" t="s">
        <v>5</v>
      </c>
      <c r="G277" s="4"/>
      <c r="H277" s="4"/>
      <c r="I277" s="5" t="str">
        <f t="shared" si="28"/>
        <v>Defs</v>
      </c>
      <c r="J277" s="8" t="str">
        <f>IF(Table2[[#This Row],[!Type]]=J$1, J$1,"rg:None")</f>
        <v>rg:None</v>
      </c>
      <c r="K277" s="8" t="str">
        <f>IF(Table2[[#This Row],[!Type]]=K$1, K$1,"rg:None")</f>
        <v>rg:None</v>
      </c>
      <c r="L277" s="8" t="str">
        <f>IF(Table2[[#This Row],[!Type]]=L$1, L$1,"rg:None")</f>
        <v>datetime</v>
      </c>
      <c r="M277" s="8" t="str">
        <f>IF(Table2[[#This Row],[!Type]]=M$1, M$1,"rg:None")</f>
        <v>rg:None</v>
      </c>
      <c r="N277" s="8" t="str">
        <f>IF(Table2[[#This Row],[!Type]]=N$1, N$1,"rg:None")</f>
        <v>rg:None</v>
      </c>
      <c r="O277" s="8" t="str">
        <f>IF(Table2[[#This Row],[!Type]]=O$1, O$1,"rg:None")</f>
        <v>rg:None</v>
      </c>
      <c r="P277" s="5" t="str">
        <f>IF(Table2[[#This Row],[!Type]]=P$1, P$1,"rg:None")</f>
        <v>rg:None</v>
      </c>
      <c r="Q277" s="5" t="str">
        <f>IF(Table2[[#This Row],[!Type]]=Q$1, Q$1,"rg:None")</f>
        <v>rg:None</v>
      </c>
      <c r="R277" s="5" t="str">
        <f>IF(Table2[[#This Row],[!Type]]=R$1, R$1,"rg:None")</f>
        <v>rg:None</v>
      </c>
      <c r="S277" s="5" t="str">
        <f>IF(Table2[[#This Row],[!Type]]=S$1, S$1,"rg:None")</f>
        <v>rg:None</v>
      </c>
      <c r="T277" s="8" t="str">
        <f>IF(LEN(Table2[[#This Row],[!Length]]) &gt; 0, Table2[[#This Row],[!Length]], "rg:None")</f>
        <v>rg:None</v>
      </c>
      <c r="U277" s="8" t="str">
        <f>IF(LEN(Table2[[#This Row],[!Name]]) &gt; 0, Table2[[#This Row],[!Name]], "rg:None")</f>
        <v>endDate</v>
      </c>
      <c r="V277" s="8" t="str">
        <f>IF(LEN(Table2[[#This Row],[!Description]]) &gt; 0, Table2[[#This Row],[!Description]], "rg:None")</f>
        <v>The DATE the business information ceased to be in effect. - NOT CURRENTLY ENFORCED IN THIS SYSTEM</v>
      </c>
      <c r="W277" s="8" t="str">
        <f>IF(LEN(Table2[[#This Row],[!FK]])&gt;0,Table2[[#This Row],[!FK]],"rg:None")</f>
        <v>rg:None</v>
      </c>
      <c r="X277" s="8" t="str">
        <f>IF(LEN(concatif2(A:A,Table2[[#This Row],[!Table]],G:G,"Y",D:D,",")) &gt; 0,"rg:[ { 'req' : '"&amp;concatif2(A:A,Table2[[#This Row],[!Table]],G:G,"Y",D:D,"' }, { 'req': '")&amp;"'} ]","rg:[]")</f>
        <v>rg:[ { 'req' : 'id' }, { 'req': 'ministryDistrictID' }, { 'req': 'name' }, { 'req': 'region' }, { 'req': 'startDate'} ]</v>
      </c>
      <c r="Y277" s="8" t="str">
        <f>IF(LEN(Table2[[#This Row],[!Unique]])&gt;0,IF(Table2[[#This Row],[!Type]] = "id", "rg:None","rg:True"),"rg:None")</f>
        <v>rg:None</v>
      </c>
    </row>
    <row r="278" spans="1:25" x14ac:dyDescent="0.35">
      <c r="A278" s="5" t="s">
        <v>10</v>
      </c>
      <c r="B278" s="5" t="s">
        <v>4</v>
      </c>
      <c r="D278" s="5" t="s">
        <v>10</v>
      </c>
      <c r="E278" s="54" t="s">
        <v>408</v>
      </c>
      <c r="F278" s="5" t="s">
        <v>5</v>
      </c>
      <c r="G278" s="4"/>
      <c r="H278" s="4"/>
      <c r="I278" s="5" t="str">
        <f t="shared" si="28"/>
        <v>Defs</v>
      </c>
      <c r="J278" s="8" t="str">
        <f>IF(Table2[[#This Row],[!Type]]=J$1, J$1,"rg:None")</f>
        <v>rg:None</v>
      </c>
      <c r="K278" s="8" t="str">
        <f>IF(Table2[[#This Row],[!Type]]=K$1, K$1,"rg:None")</f>
        <v>rg:None</v>
      </c>
      <c r="L278" s="8" t="str">
        <f>IF(Table2[[#This Row],[!Type]]=L$1, L$1,"rg:None")</f>
        <v>rg:None</v>
      </c>
      <c r="M278" s="8" t="str">
        <f>IF(Table2[[#This Row],[!Type]]=M$1, M$1,"rg:None")</f>
        <v>rg:None</v>
      </c>
      <c r="N278" s="8" t="str">
        <f>IF(Table2[[#This Row],[!Type]]=N$1, N$1,"rg:None")</f>
        <v>rg:None</v>
      </c>
      <c r="O278" s="8" t="str">
        <f>IF(Table2[[#This Row],[!Type]]=O$1, O$1,"rg:None")</f>
        <v>rg:None</v>
      </c>
      <c r="P278" s="5" t="str">
        <f>IF(Table2[[#This Row],[!Type]]=P$1, P$1,"rg:None")</f>
        <v>rg:None</v>
      </c>
      <c r="Q278" s="5" t="str">
        <f>IF(Table2[[#This Row],[!Type]]=Q$1, Q$1,"rg:None")</f>
        <v>rg:None</v>
      </c>
      <c r="R278" s="5" t="str">
        <f>IF(Table2[[#This Row],[!Type]]=R$1, R$1,"rg:None")</f>
        <v>rg:None</v>
      </c>
      <c r="S278" s="5" t="str">
        <f>IF(Table2[[#This Row],[!Type]]=S$1, S$1,"rg:None")</f>
        <v>table</v>
      </c>
      <c r="T278" s="8" t="str">
        <f>IF(LEN(Table2[[#This Row],[!Length]]) &gt; 0, Table2[[#This Row],[!Length]], "rg:None")</f>
        <v>rg:None</v>
      </c>
      <c r="U278" s="8" t="str">
        <f>IF(LEN(Table2[[#This Row],[!Name]]) &gt; 0, Table2[[#This Row],[!Name]], "rg:None")</f>
        <v>ServiceArea</v>
      </c>
      <c r="V278" s="8" t="str">
        <f>IF(LEN(Table2[[#This Row],[!Description]]) &gt; 0, Table2[[#This Row],[!Description]], "rg:None")</f>
        <v>The Ministry of Transportation and Infrastructure SERVICE AREA.</v>
      </c>
      <c r="W278" s="8" t="str">
        <f>IF(LEN(Table2[[#This Row],[!FK]])&gt;0,Table2[[#This Row],[!FK]],"rg:None")</f>
        <v>rg:None</v>
      </c>
      <c r="X278" s="8" t="str">
        <f>IF(LEN(concatif2(A:A,Table2[[#This Row],[!Table]],G:G,"Y",D:D,",")) &gt; 0,"rg:[ { 'req' : '"&amp;concatif2(A:A,Table2[[#This Row],[!Table]],G:G,"Y",D:D,"' }, { 'req': '")&amp;"'} ]","rg:[]")</f>
        <v>rg:[ { 'req' : 'id' }, { 'req': 'ministryServiceAreaID' }, { 'req': 'name' }, { 'req': 'district' }, { 'req': 'startDate'} ]</v>
      </c>
      <c r="Y278" s="8" t="str">
        <f>IF(LEN(Table2[[#This Row],[!Unique]])&gt;0,IF(Table2[[#This Row],[!Type]] = "id", "rg:None","rg:True"),"rg:None")</f>
        <v>rg:None</v>
      </c>
    </row>
    <row r="279" spans="1:25" x14ac:dyDescent="0.35">
      <c r="A279" s="5" t="s">
        <v>10</v>
      </c>
      <c r="B279" s="5" t="s">
        <v>6</v>
      </c>
      <c r="D279" s="5" t="s">
        <v>6</v>
      </c>
      <c r="E279" s="54" t="s">
        <v>312</v>
      </c>
      <c r="F279" s="5" t="s">
        <v>5</v>
      </c>
      <c r="G279" s="4" t="s">
        <v>59</v>
      </c>
      <c r="H279" s="41" t="s">
        <v>59</v>
      </c>
      <c r="I279" s="5" t="str">
        <f t="shared" si="28"/>
        <v>Defs</v>
      </c>
      <c r="J279" s="8" t="str">
        <f>IF(Table2[[#This Row],[!Type]]=J$1, J$1,"rg:None")</f>
        <v>rg:None</v>
      </c>
      <c r="K279" s="8" t="str">
        <f>IF(Table2[[#This Row],[!Type]]=K$1, K$1,"rg:None")</f>
        <v>rg:None</v>
      </c>
      <c r="L279" s="8" t="str">
        <f>IF(Table2[[#This Row],[!Type]]=L$1, L$1,"rg:None")</f>
        <v>rg:None</v>
      </c>
      <c r="M279" s="8" t="str">
        <f>IF(Table2[[#This Row],[!Type]]=M$1, M$1,"rg:None")</f>
        <v>id</v>
      </c>
      <c r="N279" s="8" t="str">
        <f>IF(Table2[[#This Row],[!Type]]=N$1, N$1,"rg:None")</f>
        <v>rg:None</v>
      </c>
      <c r="O279" s="8" t="str">
        <f>IF(Table2[[#This Row],[!Type]]=O$1, O$1,"rg:None")</f>
        <v>rg:None</v>
      </c>
      <c r="P279" s="5" t="str">
        <f>IF(Table2[[#This Row],[!Type]]=P$1, P$1,"rg:None")</f>
        <v>rg:None</v>
      </c>
      <c r="Q279" s="5" t="str">
        <f>IF(Table2[[#This Row],[!Type]]=Q$1, Q$1,"rg:None")</f>
        <v>rg:None</v>
      </c>
      <c r="R279" s="5" t="str">
        <f>IF(Table2[[#This Row],[!Type]]=R$1, R$1,"rg:None")</f>
        <v>rg:None</v>
      </c>
      <c r="S279" s="5" t="str">
        <f>IF(Table2[[#This Row],[!Type]]=S$1, S$1,"rg:None")</f>
        <v>rg:None</v>
      </c>
      <c r="T279" s="8" t="str">
        <f>IF(LEN(Table2[[#This Row],[!Length]]) &gt; 0, Table2[[#This Row],[!Length]], "rg:None")</f>
        <v>rg:None</v>
      </c>
      <c r="U279" s="8" t="str">
        <f>IF(LEN(Table2[[#This Row],[!Name]]) &gt; 0, Table2[[#This Row],[!Name]], "rg:None")</f>
        <v>id</v>
      </c>
      <c r="V279" s="8" t="str">
        <f>IF(LEN(Table2[[#This Row],[!Description]]) &gt; 0, Table2[[#This Row],[!Description]], "rg:None")</f>
        <v>A system-generated unique identifier for a ServiceArea</v>
      </c>
      <c r="W279" s="8" t="str">
        <f>IF(LEN(Table2[[#This Row],[!FK]])&gt;0,Table2[[#This Row],[!FK]],"rg:None")</f>
        <v>rg:None</v>
      </c>
      <c r="X279" s="8" t="str">
        <f>IF(LEN(concatif2(A:A,Table2[[#This Row],[!Table]],G:G,"Y",D:D,",")) &gt; 0,"rg:[ { 'req' : '"&amp;concatif2(A:A,Table2[[#This Row],[!Table]],G:G,"Y",D:D,"' }, { 'req': '")&amp;"'} ]","rg:[]")</f>
        <v>rg:[ { 'req' : 'id' }, { 'req': 'ministryServiceAreaID' }, { 'req': 'name' }, { 'req': 'district' }, { 'req': 'startDate'} ]</v>
      </c>
      <c r="Y279" s="8" t="str">
        <f>IF(LEN(Table2[[#This Row],[!Unique]])&gt;0,IF(Table2[[#This Row],[!Type]] = "id", "rg:None","rg:True"),"rg:None")</f>
        <v>rg:None</v>
      </c>
    </row>
    <row r="280" spans="1:25" x14ac:dyDescent="0.35">
      <c r="A280" s="5" t="s">
        <v>10</v>
      </c>
      <c r="B280" s="5" t="s">
        <v>13</v>
      </c>
      <c r="D280" s="5" t="s">
        <v>36</v>
      </c>
      <c r="E280" s="76" t="s">
        <v>399</v>
      </c>
      <c r="F280" s="5" t="s">
        <v>5</v>
      </c>
      <c r="G280" s="41" t="s">
        <v>59</v>
      </c>
      <c r="H280" s="41"/>
      <c r="I280" s="5" t="str">
        <f t="shared" si="28"/>
        <v>Defs</v>
      </c>
      <c r="J280" s="8" t="str">
        <f>IF(Table2[[#This Row],[!Type]]=J$1, J$1,"rg:None")</f>
        <v>rg:None</v>
      </c>
      <c r="K280" s="8" t="str">
        <f>IF(Table2[[#This Row],[!Type]]=K$1, K$1,"rg:None")</f>
        <v>rg:None</v>
      </c>
      <c r="L280" s="8" t="str">
        <f>IF(Table2[[#This Row],[!Type]]=L$1, L$1,"rg:None")</f>
        <v>rg:None</v>
      </c>
      <c r="M280" s="8" t="str">
        <f>IF(Table2[[#This Row],[!Type]]=M$1, M$1,"rg:None")</f>
        <v>rg:None</v>
      </c>
      <c r="N280" s="8" t="str">
        <f>IF(Table2[[#This Row],[!Type]]=N$1, N$1,"rg:None")</f>
        <v>integer</v>
      </c>
      <c r="O280" s="8" t="str">
        <f>IF(Table2[[#This Row],[!Type]]=O$1, O$1,"rg:None")</f>
        <v>rg:None</v>
      </c>
      <c r="P280" s="5" t="str">
        <f>IF(Table2[[#This Row],[!Type]]=P$1, P$1,"rg:None")</f>
        <v>rg:None</v>
      </c>
      <c r="Q280" s="5" t="str">
        <f>IF(Table2[[#This Row],[!Type]]=Q$1, Q$1,"rg:None")</f>
        <v>rg:None</v>
      </c>
      <c r="R280" s="5" t="str">
        <f>IF(Table2[[#This Row],[!Type]]=R$1, R$1,"rg:None")</f>
        <v>rg:None</v>
      </c>
      <c r="S280" s="5" t="str">
        <f>IF(Table2[[#This Row],[!Type]]=S$1, S$1,"rg:None")</f>
        <v>rg:None</v>
      </c>
      <c r="T280" s="8" t="str">
        <f>IF(LEN(Table2[[#This Row],[!Length]]) &gt; 0, Table2[[#This Row],[!Length]], "rg:None")</f>
        <v>rg:None</v>
      </c>
      <c r="U280" s="8" t="str">
        <f>IF(LEN(Table2[[#This Row],[!Name]]) &gt; 0, Table2[[#This Row],[!Name]], "rg:None")</f>
        <v>ministryServiceAreaID</v>
      </c>
      <c r="V280" s="8" t="str">
        <f>IF(LEN(Table2[[#This Row],[!Description]]) &gt; 0, Table2[[#This Row],[!Description]], "rg:None")</f>
        <v>A system generated unique identifier. NOT GENERATED IN THIS SYSTEM.</v>
      </c>
      <c r="W280" s="8" t="str">
        <f>IF(LEN(Table2[[#This Row],[!FK]])&gt;0,Table2[[#This Row],[!FK]],"rg:None")</f>
        <v>rg:None</v>
      </c>
      <c r="X280" s="8" t="str">
        <f>IF(LEN(concatif2(A:A,Table2[[#This Row],[!Table]],G:G,"Y",D:D,",")) &gt; 0,"rg:[ { 'req' : '"&amp;concatif2(A:A,Table2[[#This Row],[!Table]],G:G,"Y",D:D,"' }, { 'req': '")&amp;"'} ]","rg:[]")</f>
        <v>rg:[ { 'req' : 'id' }, { 'req': 'ministryServiceAreaID' }, { 'req': 'name' }, { 'req': 'district' }, { 'req': 'startDate'} ]</v>
      </c>
      <c r="Y280" s="8" t="str">
        <f>IF(LEN(Table2[[#This Row],[!Unique]])&gt;0,IF(Table2[[#This Row],[!Type]] = "id", "rg:None","rg:True"),"rg:None")</f>
        <v>rg:None</v>
      </c>
    </row>
    <row r="281" spans="1:25" x14ac:dyDescent="0.35">
      <c r="A281" s="61" t="s">
        <v>10</v>
      </c>
      <c r="B281" s="61" t="s">
        <v>13</v>
      </c>
      <c r="C281" s="72"/>
      <c r="D281" s="61" t="s">
        <v>406</v>
      </c>
      <c r="E281" s="47" t="s">
        <v>407</v>
      </c>
      <c r="F281" s="12"/>
      <c r="G281" s="18"/>
      <c r="H281" s="18"/>
      <c r="I281" s="4" t="str">
        <f>IF(LEN(A281) &gt; 0,"Defs","-")</f>
        <v>Defs</v>
      </c>
      <c r="J281" s="14" t="str">
        <f>IF(Table2[[#This Row],[!Type]]=J$1, J$1,"rg:None")</f>
        <v>rg:None</v>
      </c>
      <c r="K281" s="14" t="str">
        <f>IF(Table2[[#This Row],[!Type]]=K$1, K$1,"rg:None")</f>
        <v>rg:None</v>
      </c>
      <c r="L281" s="14" t="str">
        <f>IF(Table2[[#This Row],[!Type]]=L$1, L$1,"rg:None")</f>
        <v>rg:None</v>
      </c>
      <c r="M281" s="14" t="str">
        <f>IF(Table2[[#This Row],[!Type]]=M$1, M$1,"rg:None")</f>
        <v>rg:None</v>
      </c>
      <c r="N281" s="14" t="str">
        <f>IF(Table2[[#This Row],[!Type]]=N$1, N$1,"rg:None")</f>
        <v>integer</v>
      </c>
      <c r="O281" s="14" t="str">
        <f>IF(Table2[[#This Row],[!Type]]=O$1, O$1,"rg:None")</f>
        <v>rg:None</v>
      </c>
      <c r="P281" s="4" t="str">
        <f>IF(Table2[[#This Row],[!Type]]=P$1, P$1,"rg:None")</f>
        <v>rg:None</v>
      </c>
      <c r="Q281" s="4" t="str">
        <f>IF(Table2[[#This Row],[!Type]]=Q$1, Q$1,"rg:None")</f>
        <v>rg:None</v>
      </c>
      <c r="R281" s="4" t="str">
        <f>IF(Table2[[#This Row],[!Type]]=R$1, R$1,"rg:None")</f>
        <v>rg:None</v>
      </c>
      <c r="S281" s="4" t="str">
        <f>IF(Table2[[#This Row],[!Type]]=S$1, S$1,"rg:None")</f>
        <v>rg:None</v>
      </c>
      <c r="T281" s="14" t="str">
        <f>IF(LEN(Table2[[#This Row],[!Length]]) &gt; 0, Table2[[#This Row],[!Length]], "rg:None")</f>
        <v>rg:None</v>
      </c>
      <c r="U281" s="14" t="str">
        <f>IF(LEN(Table2[[#This Row],[!Name]]) &gt; 0, Table2[[#This Row],[!Name]], "rg:None")</f>
        <v>areaNumber</v>
      </c>
      <c r="V281" s="14" t="str">
        <f>IF(LEN(Table2[[#This Row],[!Description]]) &gt; 0, Table2[[#This Row],[!Description]], "rg:None")</f>
        <v>A number that uniquely defines a Ministry Service Area.</v>
      </c>
      <c r="W281" s="14" t="str">
        <f>IF(LEN(Table2[[#This Row],[!FK]])&gt;0,Table2[[#This Row],[!FK]],"rg:None")</f>
        <v>rg:None</v>
      </c>
      <c r="X281" s="14" t="str">
        <f>IF(LEN(concatif2(A:A,Table2[[#This Row],[!Table]],G:G,"Y",D:D,",")) &gt; 0,"rg:[ { 'req' : '"&amp;concatif2(A:A,Table2[[#This Row],[!Table]],G:G,"Y",D:D,"' }, { 'req': '")&amp;"'} ]","rg:[]")</f>
        <v>rg:[ { 'req' : 'id' }, { 'req': 'ministryServiceAreaID' }, { 'req': 'name' }, { 'req': 'district' }, { 'req': 'startDate'} ]</v>
      </c>
      <c r="Y281" s="14" t="str">
        <f>IF(LEN(Table2[[#This Row],[!Unique]])&gt;0,IF(Table2[[#This Row],[!Type]] = "id", "rg:None","rg:True"),"rg:None")</f>
        <v>rg:None</v>
      </c>
    </row>
    <row r="282" spans="1:25" x14ac:dyDescent="0.35">
      <c r="A282" s="5" t="s">
        <v>10</v>
      </c>
      <c r="B282" s="5" t="s">
        <v>7</v>
      </c>
      <c r="C282" s="5">
        <v>150</v>
      </c>
      <c r="D282" s="5" t="s">
        <v>15</v>
      </c>
      <c r="E282" s="76" t="s">
        <v>405</v>
      </c>
      <c r="F282" s="5" t="s">
        <v>5</v>
      </c>
      <c r="G282" s="41" t="s">
        <v>59</v>
      </c>
      <c r="H282" s="41"/>
      <c r="I282" s="5" t="str">
        <f t="shared" si="28"/>
        <v>Defs</v>
      </c>
      <c r="J282" s="8" t="str">
        <f>IF(Table2[[#This Row],[!Type]]=J$1, J$1,"rg:None")</f>
        <v>rg:None</v>
      </c>
      <c r="K282" s="8" t="str">
        <f>IF(Table2[[#This Row],[!Type]]=K$1, K$1,"rg:None")</f>
        <v>rg:None</v>
      </c>
      <c r="L282" s="8" t="str">
        <f>IF(Table2[[#This Row],[!Type]]=L$1, L$1,"rg:None")</f>
        <v>rg:None</v>
      </c>
      <c r="M282" s="8" t="str">
        <f>IF(Table2[[#This Row],[!Type]]=M$1, M$1,"rg:None")</f>
        <v>rg:None</v>
      </c>
      <c r="N282" s="8" t="str">
        <f>IF(Table2[[#This Row],[!Type]]=N$1, N$1,"rg:None")</f>
        <v>rg:None</v>
      </c>
      <c r="O282" s="8" t="str">
        <f>IF(Table2[[#This Row],[!Type]]=O$1, O$1,"rg:None")</f>
        <v>rg:None</v>
      </c>
      <c r="P282" s="5" t="str">
        <f>IF(Table2[[#This Row],[!Type]]=P$1, P$1,"rg:None")</f>
        <v>rg:None</v>
      </c>
      <c r="Q282" s="5" t="str">
        <f>IF(Table2[[#This Row],[!Type]]=Q$1, Q$1,"rg:None")</f>
        <v>rg:None</v>
      </c>
      <c r="R282" s="5" t="str">
        <f>IF(Table2[[#This Row],[!Type]]=R$1, R$1,"rg:None")</f>
        <v>string</v>
      </c>
      <c r="S282" s="5" t="str">
        <f>IF(Table2[[#This Row],[!Type]]=S$1, S$1,"rg:None")</f>
        <v>rg:None</v>
      </c>
      <c r="T282" s="8">
        <f>IF(LEN(Table2[[#This Row],[!Length]]) &gt; 0, Table2[[#This Row],[!Length]], "rg:None")</f>
        <v>150</v>
      </c>
      <c r="U282" s="8" t="str">
        <f>IF(LEN(Table2[[#This Row],[!Name]]) &gt; 0, Table2[[#This Row],[!Name]], "rg:None")</f>
        <v>name</v>
      </c>
      <c r="V282" s="8" t="str">
        <f>IF(LEN(Table2[[#This Row],[!Description]]) &gt; 0, Table2[[#This Row],[!Description]], "rg:None")</f>
        <v>The Name of a Ministry Service Area.</v>
      </c>
      <c r="W282" s="8" t="str">
        <f>IF(LEN(Table2[[#This Row],[!FK]])&gt;0,Table2[[#This Row],[!FK]],"rg:None")</f>
        <v>rg:None</v>
      </c>
      <c r="X282" s="8" t="str">
        <f>IF(LEN(concatif2(A:A,Table2[[#This Row],[!Table]],G:G,"Y",D:D,",")) &gt; 0,"rg:[ { 'req' : '"&amp;concatif2(A:A,Table2[[#This Row],[!Table]],G:G,"Y",D:D,"' }, { 'req': '")&amp;"'} ]","rg:[]")</f>
        <v>rg:[ { 'req' : 'id' }, { 'req': 'ministryServiceAreaID' }, { 'req': 'name' }, { 'req': 'district' }, { 'req': 'startDate'} ]</v>
      </c>
      <c r="Y282" s="8" t="str">
        <f>IF(LEN(Table2[[#This Row],[!Unique]])&gt;0,IF(Table2[[#This Row],[!Type]] = "id", "rg:None","rg:True"),"rg:None")</f>
        <v>rg:None</v>
      </c>
    </row>
    <row r="283" spans="1:25" x14ac:dyDescent="0.35">
      <c r="A283" s="5" t="s">
        <v>10</v>
      </c>
      <c r="B283" s="5" t="s">
        <v>8</v>
      </c>
      <c r="D283" s="5" t="s">
        <v>37</v>
      </c>
      <c r="E283" s="54" t="s">
        <v>38</v>
      </c>
      <c r="F283" s="5" t="s">
        <v>32</v>
      </c>
      <c r="G283" s="63" t="s">
        <v>59</v>
      </c>
      <c r="H283" s="4"/>
      <c r="I283" s="5" t="str">
        <f t="shared" si="28"/>
        <v>Defs</v>
      </c>
      <c r="J283" s="8" t="str">
        <f>IF(Table2[[#This Row],[!Type]]=J$1, J$1,"rg:None")</f>
        <v>rg:None</v>
      </c>
      <c r="K283" s="8" t="str">
        <f>IF(Table2[[#This Row],[!Type]]=K$1, K$1,"rg:None")</f>
        <v>rg:None</v>
      </c>
      <c r="L283" s="8" t="str">
        <f>IF(Table2[[#This Row],[!Type]]=L$1, L$1,"rg:None")</f>
        <v>rg:None</v>
      </c>
      <c r="M283" s="8" t="str">
        <f>IF(Table2[[#This Row],[!Type]]=M$1, M$1,"rg:None")</f>
        <v>rg:None</v>
      </c>
      <c r="N283" s="8" t="str">
        <f>IF(Table2[[#This Row],[!Type]]=N$1, N$1,"rg:None")</f>
        <v>rg:None</v>
      </c>
      <c r="O283" s="8" t="str">
        <f>IF(Table2[[#This Row],[!Type]]=O$1, O$1,"rg:None")</f>
        <v>rg:None</v>
      </c>
      <c r="P283" s="5" t="str">
        <f>IF(Table2[[#This Row],[!Type]]=P$1, P$1,"rg:None")</f>
        <v>rg:None</v>
      </c>
      <c r="Q283" s="5" t="str">
        <f>IF(Table2[[#This Row],[!Type]]=Q$1, Q$1,"rg:None")</f>
        <v>ref</v>
      </c>
      <c r="R283" s="5" t="str">
        <f>IF(Table2[[#This Row],[!Type]]=R$1, R$1,"rg:None")</f>
        <v>rg:None</v>
      </c>
      <c r="S283" s="5" t="str">
        <f>IF(Table2[[#This Row],[!Type]]=S$1, S$1,"rg:None")</f>
        <v>rg:None</v>
      </c>
      <c r="T283" s="8" t="str">
        <f>IF(LEN(Table2[[#This Row],[!Length]]) &gt; 0, Table2[[#This Row],[!Length]], "rg:None")</f>
        <v>rg:None</v>
      </c>
      <c r="U283" s="8" t="str">
        <f>IF(LEN(Table2[[#This Row],[!Name]]) &gt; 0, Table2[[#This Row],[!Name]], "rg:None")</f>
        <v>district</v>
      </c>
      <c r="V283" s="8" t="str">
        <f>IF(LEN(Table2[[#This Row],[!Description]]) &gt; 0, Table2[[#This Row],[!Description]], "rg:None")</f>
        <v>The district in which the Service Area is found.</v>
      </c>
      <c r="W283" s="8" t="str">
        <f>IF(LEN(Table2[[#This Row],[!FK]])&gt;0,Table2[[#This Row],[!FK]],"rg:None")</f>
        <v>District</v>
      </c>
      <c r="X283" s="8" t="str">
        <f>IF(LEN(concatif2(A:A,Table2[[#This Row],[!Table]],G:G,"Y",D:D,",")) &gt; 0,"rg:[ { 'req' : '"&amp;concatif2(A:A,Table2[[#This Row],[!Table]],G:G,"Y",D:D,"' }, { 'req': '")&amp;"'} ]","rg:[]")</f>
        <v>rg:[ { 'req' : 'id' }, { 'req': 'ministryServiceAreaID' }, { 'req': 'name' }, { 'req': 'district' }, { 'req': 'startDate'} ]</v>
      </c>
      <c r="Y283" s="8" t="str">
        <f>IF(LEN(Table2[[#This Row],[!Unique]])&gt;0,IF(Table2[[#This Row],[!Type]] = "id", "rg:None","rg:True"),"rg:None")</f>
        <v>rg:None</v>
      </c>
    </row>
    <row r="284" spans="1:25" ht="28.8" x14ac:dyDescent="0.35">
      <c r="A284" s="5" t="s">
        <v>10</v>
      </c>
      <c r="B284" s="5" t="s">
        <v>12</v>
      </c>
      <c r="D284" s="5" t="s">
        <v>30</v>
      </c>
      <c r="E284" s="76" t="s">
        <v>403</v>
      </c>
      <c r="F284" s="5" t="s">
        <v>5</v>
      </c>
      <c r="G284" s="63" t="s">
        <v>59</v>
      </c>
      <c r="H284" s="4"/>
      <c r="I284" s="5" t="str">
        <f t="shared" si="28"/>
        <v>Defs</v>
      </c>
      <c r="J284" s="8" t="str">
        <f>IF(Table2[[#This Row],[!Type]]=J$1, J$1,"rg:None")</f>
        <v>rg:None</v>
      </c>
      <c r="K284" s="8" t="str">
        <f>IF(Table2[[#This Row],[!Type]]=K$1, K$1,"rg:None")</f>
        <v>rg:None</v>
      </c>
      <c r="L284" s="8" t="str">
        <f>IF(Table2[[#This Row],[!Type]]=L$1, L$1,"rg:None")</f>
        <v>datetime</v>
      </c>
      <c r="M284" s="8" t="str">
        <f>IF(Table2[[#This Row],[!Type]]=M$1, M$1,"rg:None")</f>
        <v>rg:None</v>
      </c>
      <c r="N284" s="8" t="str">
        <f>IF(Table2[[#This Row],[!Type]]=N$1, N$1,"rg:None")</f>
        <v>rg:None</v>
      </c>
      <c r="O284" s="8" t="str">
        <f>IF(Table2[[#This Row],[!Type]]=O$1, O$1,"rg:None")</f>
        <v>rg:None</v>
      </c>
      <c r="P284" s="5" t="str">
        <f>IF(Table2[[#This Row],[!Type]]=P$1, P$1,"rg:None")</f>
        <v>rg:None</v>
      </c>
      <c r="Q284" s="5" t="str">
        <f>IF(Table2[[#This Row],[!Type]]=Q$1, Q$1,"rg:None")</f>
        <v>rg:None</v>
      </c>
      <c r="R284" s="5" t="str">
        <f>IF(Table2[[#This Row],[!Type]]=R$1, R$1,"rg:None")</f>
        <v>rg:None</v>
      </c>
      <c r="S284" s="5" t="str">
        <f>IF(Table2[[#This Row],[!Type]]=S$1, S$1,"rg:None")</f>
        <v>rg:None</v>
      </c>
      <c r="T284" s="8" t="str">
        <f>IF(LEN(Table2[[#This Row],[!Length]]) &gt; 0, Table2[[#This Row],[!Length]], "rg:None")</f>
        <v>rg:None</v>
      </c>
      <c r="U284" s="8" t="str">
        <f>IF(LEN(Table2[[#This Row],[!Name]]) &gt; 0, Table2[[#This Row],[!Name]], "rg:None")</f>
        <v>startDate</v>
      </c>
      <c r="V284" s="8" t="str">
        <f>IF(LEN(Table2[[#This Row],[!Description]]) &gt; 0, Table2[[#This Row],[!Description]], "rg:None")</f>
        <v>The DATE the business information came into effect. - NOT CURRENTLY ENFORCED IN THIS SYSTEM</v>
      </c>
      <c r="W284" s="8" t="str">
        <f>IF(LEN(Table2[[#This Row],[!FK]])&gt;0,Table2[[#This Row],[!FK]],"rg:None")</f>
        <v>rg:None</v>
      </c>
      <c r="X284" s="8" t="str">
        <f>IF(LEN(concatif2(A:A,Table2[[#This Row],[!Table]],G:G,"Y",D:D,",")) &gt; 0,"rg:[ { 'req' : '"&amp;concatif2(A:A,Table2[[#This Row],[!Table]],G:G,"Y",D:D,"' }, { 'req': '")&amp;"'} ]","rg:[]")</f>
        <v>rg:[ { 'req' : 'id' }, { 'req': 'ministryServiceAreaID' }, { 'req': 'name' }, { 'req': 'district' }, { 'req': 'startDate'} ]</v>
      </c>
      <c r="Y284" s="8" t="str">
        <f>IF(LEN(Table2[[#This Row],[!Unique]])&gt;0,IF(Table2[[#This Row],[!Type]] = "id", "rg:None","rg:True"),"rg:None")</f>
        <v>rg:None</v>
      </c>
    </row>
    <row r="285" spans="1:25" ht="28.8" x14ac:dyDescent="0.35">
      <c r="A285" s="5" t="s">
        <v>10</v>
      </c>
      <c r="B285" s="5" t="s">
        <v>12</v>
      </c>
      <c r="D285" s="5" t="s">
        <v>31</v>
      </c>
      <c r="E285" s="76" t="s">
        <v>404</v>
      </c>
      <c r="F285" s="5" t="s">
        <v>5</v>
      </c>
      <c r="G285" s="4"/>
      <c r="H285" s="4"/>
      <c r="I285" s="5" t="str">
        <f t="shared" si="28"/>
        <v>Defs</v>
      </c>
      <c r="J285" s="8" t="str">
        <f>IF(Table2[[#This Row],[!Type]]=J$1, J$1,"rg:None")</f>
        <v>rg:None</v>
      </c>
      <c r="K285" s="8" t="str">
        <f>IF(Table2[[#This Row],[!Type]]=K$1, K$1,"rg:None")</f>
        <v>rg:None</v>
      </c>
      <c r="L285" s="8" t="str">
        <f>IF(Table2[[#This Row],[!Type]]=L$1, L$1,"rg:None")</f>
        <v>datetime</v>
      </c>
      <c r="M285" s="8" t="str">
        <f>IF(Table2[[#This Row],[!Type]]=M$1, M$1,"rg:None")</f>
        <v>rg:None</v>
      </c>
      <c r="N285" s="8" t="str">
        <f>IF(Table2[[#This Row],[!Type]]=N$1, N$1,"rg:None")</f>
        <v>rg:None</v>
      </c>
      <c r="O285" s="8" t="str">
        <f>IF(Table2[[#This Row],[!Type]]=O$1, O$1,"rg:None")</f>
        <v>rg:None</v>
      </c>
      <c r="P285" s="5" t="str">
        <f>IF(Table2[[#This Row],[!Type]]=P$1, P$1,"rg:None")</f>
        <v>rg:None</v>
      </c>
      <c r="Q285" s="5" t="str">
        <f>IF(Table2[[#This Row],[!Type]]=Q$1, Q$1,"rg:None")</f>
        <v>rg:None</v>
      </c>
      <c r="R285" s="5" t="str">
        <f>IF(Table2[[#This Row],[!Type]]=R$1, R$1,"rg:None")</f>
        <v>rg:None</v>
      </c>
      <c r="S285" s="5" t="str">
        <f>IF(Table2[[#This Row],[!Type]]=S$1, S$1,"rg:None")</f>
        <v>rg:None</v>
      </c>
      <c r="T285" s="8" t="str">
        <f>IF(LEN(Table2[[#This Row],[!Length]]) &gt; 0, Table2[[#This Row],[!Length]], "rg:None")</f>
        <v>rg:None</v>
      </c>
      <c r="U285" s="8" t="str">
        <f>IF(LEN(Table2[[#This Row],[!Name]]) &gt; 0, Table2[[#This Row],[!Name]], "rg:None")</f>
        <v>endDate</v>
      </c>
      <c r="V285" s="8" t="str">
        <f>IF(LEN(Table2[[#This Row],[!Description]]) &gt; 0, Table2[[#This Row],[!Description]], "rg:None")</f>
        <v>The DATE the business information ceased to be in effect. - NOT CURRENTLY ENFORCED IN THIS SYSTEM</v>
      </c>
      <c r="W285" s="8" t="str">
        <f>IF(LEN(Table2[[#This Row],[!FK]])&gt;0,Table2[[#This Row],[!FK]],"rg:None")</f>
        <v>rg:None</v>
      </c>
      <c r="X285" s="8" t="str">
        <f>IF(LEN(concatif2(A:A,Table2[[#This Row],[!Table]],G:G,"Y",D:D,",")) &gt; 0,"rg:[ { 'req' : '"&amp;concatif2(A:A,Table2[[#This Row],[!Table]],G:G,"Y",D:D,"' }, { 'req': '")&amp;"'} ]","rg:[]")</f>
        <v>rg:[ { 'req' : 'id' }, { 'req': 'ministryServiceAreaID' }, { 'req': 'name' }, { 'req': 'district' }, { 'req': 'startDate'} ]</v>
      </c>
      <c r="Y285" s="8" t="str">
        <f>IF(LEN(Table2[[#This Row],[!Unique]])&gt;0,IF(Table2[[#This Row],[!Type]] = "id", "rg:None","rg:True"),"rg:None")</f>
        <v>rg:None</v>
      </c>
    </row>
    <row r="286" spans="1:25" x14ac:dyDescent="0.35">
      <c r="A286" s="109" t="s">
        <v>148</v>
      </c>
      <c r="B286" s="5" t="s">
        <v>4</v>
      </c>
      <c r="D286" s="109" t="s">
        <v>148</v>
      </c>
      <c r="E286" s="76" t="s">
        <v>363</v>
      </c>
      <c r="F286" s="5" t="s">
        <v>5</v>
      </c>
      <c r="G286" s="4"/>
      <c r="H286" s="4"/>
      <c r="I286" s="5" t="str">
        <f>IF(LEN(A286) &gt; 0,"Defs","-")</f>
        <v>Defs</v>
      </c>
      <c r="J286" s="8" t="str">
        <f>IF(Table2[[#This Row],[!Type]]=J$1, J$1,"rg:None")</f>
        <v>rg:None</v>
      </c>
      <c r="K286" s="8" t="str">
        <f>IF(Table2[[#This Row],[!Type]]=K$1, K$1,"rg:None")</f>
        <v>rg:None</v>
      </c>
      <c r="L286" s="8" t="str">
        <f>IF(Table2[[#This Row],[!Type]]=L$1, L$1,"rg:None")</f>
        <v>rg:None</v>
      </c>
      <c r="M286" s="8" t="str">
        <f>IF(Table2[[#This Row],[!Type]]=M$1, M$1,"rg:None")</f>
        <v>rg:None</v>
      </c>
      <c r="N286" s="8" t="str">
        <f>IF(Table2[[#This Row],[!Type]]=N$1, N$1,"rg:None")</f>
        <v>rg:None</v>
      </c>
      <c r="O286" s="8" t="str">
        <f>IF(Table2[[#This Row],[!Type]]=O$1, O$1,"rg:None")</f>
        <v>rg:None</v>
      </c>
      <c r="P286" s="5" t="str">
        <f>IF(Table2[[#This Row],[!Type]]=P$1, P$1,"rg:None")</f>
        <v>rg:None</v>
      </c>
      <c r="Q286" s="5" t="str">
        <f>IF(Table2[[#This Row],[!Type]]=Q$1, Q$1,"rg:None")</f>
        <v>rg:None</v>
      </c>
      <c r="R286" s="5" t="str">
        <f>IF(Table2[[#This Row],[!Type]]=R$1, R$1,"rg:None")</f>
        <v>rg:None</v>
      </c>
      <c r="S286" s="5" t="str">
        <f>IF(Table2[[#This Row],[!Type]]=S$1, S$1,"rg:None")</f>
        <v>table</v>
      </c>
      <c r="T286" s="8" t="str">
        <f>IF(LEN(Table2[[#This Row],[!Length]]) &gt; 0, Table2[[#This Row],[!Length]], "rg:None")</f>
        <v>rg:None</v>
      </c>
      <c r="U286" s="8" t="str">
        <f>IF(LEN(Table2[[#This Row],[!Name]]) &gt; 0, Table2[[#This Row],[!Name]], "rg:None")</f>
        <v>LocalArea</v>
      </c>
      <c r="V286" s="8" t="str">
        <f>IF(LEN(Table2[[#This Row],[!Description]]) &gt; 0, Table2[[#This Row],[!Description]], "rg:None")</f>
        <v>A HETS-application defined area that is within a Service Area.</v>
      </c>
      <c r="W286" s="8" t="str">
        <f>IF(LEN(Table2[[#This Row],[!FK]])&gt;0,Table2[[#This Row],[!FK]],"rg:None")</f>
        <v>rg:None</v>
      </c>
      <c r="X286" s="8" t="str">
        <f>IF(LEN(concatif2(A:A,Table2[[#This Row],[!Table]],G:G,"Y",D:D,",")) &gt; 0,"rg:[ { 'req' : '"&amp;concatif2(A:A,Table2[[#This Row],[!Table]],G:G,"Y",D:D,"' }, { 'req': '")&amp;"'} ]","rg:[]")</f>
        <v>rg:[ { 'req' : 'id' }, { 'req': 'localAreaNumber' }, { 'req': 'name' }, { 'req': 'serviceArea' }, { 'req': 'startDate'} ]</v>
      </c>
      <c r="Y286" s="8" t="str">
        <f>IF(LEN(Table2[[#This Row],[!Unique]])&gt;0,IF(Table2[[#This Row],[!Type]] = "id", "rg:None","rg:True"),"rg:None")</f>
        <v>rg:None</v>
      </c>
    </row>
    <row r="287" spans="1:25" x14ac:dyDescent="0.35">
      <c r="A287" s="109" t="s">
        <v>148</v>
      </c>
      <c r="B287" s="5" t="s">
        <v>6</v>
      </c>
      <c r="D287" s="5" t="s">
        <v>6</v>
      </c>
      <c r="E287" s="54" t="s">
        <v>341</v>
      </c>
      <c r="F287" s="5" t="s">
        <v>5</v>
      </c>
      <c r="G287" s="4" t="s">
        <v>59</v>
      </c>
      <c r="H287" s="155" t="s">
        <v>59</v>
      </c>
      <c r="I287" s="5" t="str">
        <f>IF(LEN(A287) &gt; 0,"Defs","-")</f>
        <v>Defs</v>
      </c>
      <c r="J287" s="8" t="str">
        <f>IF(Table2[[#This Row],[!Type]]=J$1, J$1,"rg:None")</f>
        <v>rg:None</v>
      </c>
      <c r="K287" s="8" t="str">
        <f>IF(Table2[[#This Row],[!Type]]=K$1, K$1,"rg:None")</f>
        <v>rg:None</v>
      </c>
      <c r="L287" s="8" t="str">
        <f>IF(Table2[[#This Row],[!Type]]=L$1, L$1,"rg:None")</f>
        <v>rg:None</v>
      </c>
      <c r="M287" s="8" t="str">
        <f>IF(Table2[[#This Row],[!Type]]=M$1, M$1,"rg:None")</f>
        <v>id</v>
      </c>
      <c r="N287" s="8" t="str">
        <f>IF(Table2[[#This Row],[!Type]]=N$1, N$1,"rg:None")</f>
        <v>rg:None</v>
      </c>
      <c r="O287" s="8" t="str">
        <f>IF(Table2[[#This Row],[!Type]]=O$1, O$1,"rg:None")</f>
        <v>rg:None</v>
      </c>
      <c r="P287" s="5" t="str">
        <f>IF(Table2[[#This Row],[!Type]]=P$1, P$1,"rg:None")</f>
        <v>rg:None</v>
      </c>
      <c r="Q287" s="5" t="str">
        <f>IF(Table2[[#This Row],[!Type]]=Q$1, Q$1,"rg:None")</f>
        <v>rg:None</v>
      </c>
      <c r="R287" s="5" t="str">
        <f>IF(Table2[[#This Row],[!Type]]=R$1, R$1,"rg:None")</f>
        <v>rg:None</v>
      </c>
      <c r="S287" s="5" t="str">
        <f>IF(Table2[[#This Row],[!Type]]=S$1, S$1,"rg:None")</f>
        <v>rg:None</v>
      </c>
      <c r="T287" s="8" t="str">
        <f>IF(LEN(Table2[[#This Row],[!Length]]) &gt; 0, Table2[[#This Row],[!Length]], "rg:None")</f>
        <v>rg:None</v>
      </c>
      <c r="U287" s="8" t="str">
        <f>IF(LEN(Table2[[#This Row],[!Name]]) &gt; 0, Table2[[#This Row],[!Name]], "rg:None")</f>
        <v>id</v>
      </c>
      <c r="V287" s="8" t="str">
        <f>IF(LEN(Table2[[#This Row],[!Description]]) &gt; 0, Table2[[#This Row],[!Description]], "rg:None")</f>
        <v>A system-generated unique identifier for a LocalArea</v>
      </c>
      <c r="W287" s="8" t="str">
        <f>IF(LEN(Table2[[#This Row],[!FK]])&gt;0,Table2[[#This Row],[!FK]],"rg:None")</f>
        <v>rg:None</v>
      </c>
      <c r="X287" s="8" t="str">
        <f>IF(LEN(concatif2(A:A,Table2[[#This Row],[!Table]],G:G,"Y",D:D,",")) &gt; 0,"rg:[ { 'req' : '"&amp;concatif2(A:A,Table2[[#This Row],[!Table]],G:G,"Y",D:D,"' }, { 'req': '")&amp;"'} ]","rg:[]")</f>
        <v>rg:[ { 'req' : 'id' }, { 'req': 'localAreaNumber' }, { 'req': 'name' }, { 'req': 'serviceArea' }, { 'req': 'startDate'} ]</v>
      </c>
      <c r="Y287" s="8" t="str">
        <f>IF(LEN(Table2[[#This Row],[!Unique]])&gt;0,IF(Table2[[#This Row],[!Type]] = "id", "rg:None","rg:True"),"rg:None")</f>
        <v>rg:None</v>
      </c>
    </row>
    <row r="288" spans="1:25" x14ac:dyDescent="0.35">
      <c r="A288" s="61" t="s">
        <v>148</v>
      </c>
      <c r="B288" s="61" t="s">
        <v>13</v>
      </c>
      <c r="C288" s="72"/>
      <c r="D288" s="61" t="s">
        <v>410</v>
      </c>
      <c r="E288" s="60" t="s">
        <v>409</v>
      </c>
      <c r="F288" s="12"/>
      <c r="G288" s="154" t="s">
        <v>59</v>
      </c>
      <c r="H288" s="18"/>
      <c r="I288" s="4" t="str">
        <f>IF(LEN(A288) &gt; 0,"Defs","-")</f>
        <v>Defs</v>
      </c>
      <c r="J288" s="14" t="str">
        <f>IF(Table2[[#This Row],[!Type]]=J$1, J$1,"rg:None")</f>
        <v>rg:None</v>
      </c>
      <c r="K288" s="14" t="str">
        <f>IF(Table2[[#This Row],[!Type]]=K$1, K$1,"rg:None")</f>
        <v>rg:None</v>
      </c>
      <c r="L288" s="14" t="str">
        <f>IF(Table2[[#This Row],[!Type]]=L$1, L$1,"rg:None")</f>
        <v>rg:None</v>
      </c>
      <c r="M288" s="14" t="str">
        <f>IF(Table2[[#This Row],[!Type]]=M$1, M$1,"rg:None")</f>
        <v>rg:None</v>
      </c>
      <c r="N288" s="14" t="str">
        <f>IF(Table2[[#This Row],[!Type]]=N$1, N$1,"rg:None")</f>
        <v>integer</v>
      </c>
      <c r="O288" s="14" t="str">
        <f>IF(Table2[[#This Row],[!Type]]=O$1, O$1,"rg:None")</f>
        <v>rg:None</v>
      </c>
      <c r="P288" s="4" t="str">
        <f>IF(Table2[[#This Row],[!Type]]=P$1, P$1,"rg:None")</f>
        <v>rg:None</v>
      </c>
      <c r="Q288" s="4" t="str">
        <f>IF(Table2[[#This Row],[!Type]]=Q$1, Q$1,"rg:None")</f>
        <v>rg:None</v>
      </c>
      <c r="R288" s="4" t="str">
        <f>IF(Table2[[#This Row],[!Type]]=R$1, R$1,"rg:None")</f>
        <v>rg:None</v>
      </c>
      <c r="S288" s="4" t="str">
        <f>IF(Table2[[#This Row],[!Type]]=S$1, S$1,"rg:None")</f>
        <v>rg:None</v>
      </c>
      <c r="T288" s="14" t="str">
        <f>IF(LEN(Table2[[#This Row],[!Length]]) &gt; 0, Table2[[#This Row],[!Length]], "rg:None")</f>
        <v>rg:None</v>
      </c>
      <c r="U288" s="14" t="str">
        <f>IF(LEN(Table2[[#This Row],[!Name]]) &gt; 0, Table2[[#This Row],[!Name]], "rg:None")</f>
        <v>localAreaNumber</v>
      </c>
      <c r="V288" s="14" t="str">
        <f>IF(LEN(Table2[[#This Row],[!Description]]) &gt; 0, Table2[[#This Row],[!Description]], "rg:None")</f>
        <v>A system-generated, visible to the user number for the Local Area</v>
      </c>
      <c r="W288" s="14" t="str">
        <f>IF(LEN(Table2[[#This Row],[!FK]])&gt;0,Table2[[#This Row],[!FK]],"rg:None")</f>
        <v>rg:None</v>
      </c>
      <c r="X288" s="14" t="str">
        <f>IF(LEN(concatif2(A:A,Table2[[#This Row],[!Table]],G:G,"Y",D:D,",")) &gt; 0,"rg:[ { 'req' : '"&amp;concatif2(A:A,Table2[[#This Row],[!Table]],G:G,"Y",D:D,"' }, { 'req': '")&amp;"'} ]","rg:[]")</f>
        <v>rg:[ { 'req' : 'id' }, { 'req': 'localAreaNumber' }, { 'req': 'name' }, { 'req': 'serviceArea' }, { 'req': 'startDate'} ]</v>
      </c>
      <c r="Y288" s="14" t="str">
        <f>IF(LEN(Table2[[#This Row],[!Unique]])&gt;0,IF(Table2[[#This Row],[!Type]] = "id", "rg:None","rg:True"),"rg:None")</f>
        <v>rg:None</v>
      </c>
    </row>
    <row r="289" spans="1:25" x14ac:dyDescent="0.35">
      <c r="A289" s="109" t="s">
        <v>148</v>
      </c>
      <c r="B289" s="5" t="s">
        <v>7</v>
      </c>
      <c r="C289" s="5">
        <v>150</v>
      </c>
      <c r="D289" s="5" t="s">
        <v>15</v>
      </c>
      <c r="E289" s="110" t="s">
        <v>149</v>
      </c>
      <c r="F289" s="5" t="s">
        <v>5</v>
      </c>
      <c r="G289" s="155" t="s">
        <v>59</v>
      </c>
      <c r="H289" s="155" t="s">
        <v>59</v>
      </c>
      <c r="I289" s="5" t="str">
        <f>IF(LEN(A289) &gt; 0,"Defs","-")</f>
        <v>Defs</v>
      </c>
      <c r="J289" s="8" t="str">
        <f>IF(Table2[[#This Row],[!Type]]=J$1, J$1,"rg:None")</f>
        <v>rg:None</v>
      </c>
      <c r="K289" s="8" t="str">
        <f>IF(Table2[[#This Row],[!Type]]=K$1, K$1,"rg:None")</f>
        <v>rg:None</v>
      </c>
      <c r="L289" s="8" t="str">
        <f>IF(Table2[[#This Row],[!Type]]=L$1, L$1,"rg:None")</f>
        <v>rg:None</v>
      </c>
      <c r="M289" s="8" t="str">
        <f>IF(Table2[[#This Row],[!Type]]=M$1, M$1,"rg:None")</f>
        <v>rg:None</v>
      </c>
      <c r="N289" s="8" t="str">
        <f>IF(Table2[[#This Row],[!Type]]=N$1, N$1,"rg:None")</f>
        <v>rg:None</v>
      </c>
      <c r="O289" s="8" t="str">
        <f>IF(Table2[[#This Row],[!Type]]=O$1, O$1,"rg:None")</f>
        <v>rg:None</v>
      </c>
      <c r="P289" s="5" t="str">
        <f>IF(Table2[[#This Row],[!Type]]=P$1, P$1,"rg:None")</f>
        <v>rg:None</v>
      </c>
      <c r="Q289" s="5" t="str">
        <f>IF(Table2[[#This Row],[!Type]]=Q$1, Q$1,"rg:None")</f>
        <v>rg:None</v>
      </c>
      <c r="R289" s="5" t="str">
        <f>IF(Table2[[#This Row],[!Type]]=R$1, R$1,"rg:None")</f>
        <v>string</v>
      </c>
      <c r="S289" s="5" t="str">
        <f>IF(Table2[[#This Row],[!Type]]=S$1, S$1,"rg:None")</f>
        <v>rg:None</v>
      </c>
      <c r="T289" s="8">
        <f>IF(LEN(Table2[[#This Row],[!Length]]) &gt; 0, Table2[[#This Row],[!Length]], "rg:None")</f>
        <v>150</v>
      </c>
      <c r="U289" s="8" t="str">
        <f>IF(LEN(Table2[[#This Row],[!Name]]) &gt; 0, Table2[[#This Row],[!Name]], "rg:None")</f>
        <v>name</v>
      </c>
      <c r="V289" s="8" t="str">
        <f>IF(LEN(Table2[[#This Row],[!Description]]) &gt; 0, Table2[[#This Row],[!Description]], "rg:None")</f>
        <v>The full name of the Local Area</v>
      </c>
      <c r="W289" s="8" t="str">
        <f>IF(LEN(Table2[[#This Row],[!FK]])&gt;0,Table2[[#This Row],[!FK]],"rg:None")</f>
        <v>rg:None</v>
      </c>
      <c r="X289" s="8" t="str">
        <f>IF(LEN(concatif2(A:A,Table2[[#This Row],[!Table]],G:G,"Y",D:D,",")) &gt; 0,"rg:[ { 'req' : '"&amp;concatif2(A:A,Table2[[#This Row],[!Table]],G:G,"Y",D:D,"' }, { 'req': '")&amp;"'} ]","rg:[]")</f>
        <v>rg:[ { 'req' : 'id' }, { 'req': 'localAreaNumber' }, { 'req': 'name' }, { 'req': 'serviceArea' }, { 'req': 'startDate'} ]</v>
      </c>
      <c r="Y289" s="8" t="str">
        <f>IF(LEN(Table2[[#This Row],[!Unique]])&gt;0,IF(Table2[[#This Row],[!Type]] = "id", "rg:None","rg:True"),"rg:None")</f>
        <v>rg:True</v>
      </c>
    </row>
    <row r="290" spans="1:25" x14ac:dyDescent="0.35">
      <c r="A290" s="109" t="s">
        <v>148</v>
      </c>
      <c r="B290" s="5" t="s">
        <v>8</v>
      </c>
      <c r="D290" s="109" t="s">
        <v>150</v>
      </c>
      <c r="E290" s="110" t="s">
        <v>151</v>
      </c>
      <c r="F290" s="109" t="s">
        <v>10</v>
      </c>
      <c r="G290" s="155" t="s">
        <v>59</v>
      </c>
      <c r="H290" s="4"/>
      <c r="I290" s="5" t="str">
        <f>IF(LEN(A290) &gt; 0,"Defs","-")</f>
        <v>Defs</v>
      </c>
      <c r="J290" s="8" t="str">
        <f>IF(Table2[[#This Row],[!Type]]=J$1, J$1,"rg:None")</f>
        <v>rg:None</v>
      </c>
      <c r="K290" s="8" t="str">
        <f>IF(Table2[[#This Row],[!Type]]=K$1, K$1,"rg:None")</f>
        <v>rg:None</v>
      </c>
      <c r="L290" s="8" t="str">
        <f>IF(Table2[[#This Row],[!Type]]=L$1, L$1,"rg:None")</f>
        <v>rg:None</v>
      </c>
      <c r="M290" s="8" t="str">
        <f>IF(Table2[[#This Row],[!Type]]=M$1, M$1,"rg:None")</f>
        <v>rg:None</v>
      </c>
      <c r="N290" s="8" t="str">
        <f>IF(Table2[[#This Row],[!Type]]=N$1, N$1,"rg:None")</f>
        <v>rg:None</v>
      </c>
      <c r="O290" s="8" t="str">
        <f>IF(Table2[[#This Row],[!Type]]=O$1, O$1,"rg:None")</f>
        <v>rg:None</v>
      </c>
      <c r="P290" s="5" t="str">
        <f>IF(Table2[[#This Row],[!Type]]=P$1, P$1,"rg:None")</f>
        <v>rg:None</v>
      </c>
      <c r="Q290" s="5" t="str">
        <f>IF(Table2[[#This Row],[!Type]]=Q$1, Q$1,"rg:None")</f>
        <v>ref</v>
      </c>
      <c r="R290" s="5" t="str">
        <f>IF(Table2[[#This Row],[!Type]]=R$1, R$1,"rg:None")</f>
        <v>rg:None</v>
      </c>
      <c r="S290" s="5" t="str">
        <f>IF(Table2[[#This Row],[!Type]]=S$1, S$1,"rg:None")</f>
        <v>rg:None</v>
      </c>
      <c r="T290" s="8" t="str">
        <f>IF(LEN(Table2[[#This Row],[!Length]]) &gt; 0, Table2[[#This Row],[!Length]], "rg:None")</f>
        <v>rg:None</v>
      </c>
      <c r="U290" s="8" t="str">
        <f>IF(LEN(Table2[[#This Row],[!Name]]) &gt; 0, Table2[[#This Row],[!Name]], "rg:None")</f>
        <v>serviceArea</v>
      </c>
      <c r="V290" s="8" t="str">
        <f>IF(LEN(Table2[[#This Row],[!Description]]) &gt; 0, Table2[[#This Row],[!Description]], "rg:None")</f>
        <v>The Service Area in which the Local Area is found.</v>
      </c>
      <c r="W290" s="8" t="str">
        <f>IF(LEN(Table2[[#This Row],[!FK]])&gt;0,Table2[[#This Row],[!FK]],"rg:None")</f>
        <v>ServiceArea</v>
      </c>
      <c r="X290" s="8" t="str">
        <f>IF(LEN(concatif2(A:A,Table2[[#This Row],[!Table]],G:G,"Y",D:D,",")) &gt; 0,"rg:[ { 'req' : '"&amp;concatif2(A:A,Table2[[#This Row],[!Table]],G:G,"Y",D:D,"' }, { 'req': '")&amp;"'} ]","rg:[]")</f>
        <v>rg:[ { 'req' : 'id' }, { 'req': 'localAreaNumber' }, { 'req': 'name' }, { 'req': 'serviceArea' }, { 'req': 'startDate'} ]</v>
      </c>
      <c r="Y290" s="8" t="str">
        <f>IF(LEN(Table2[[#This Row],[!Unique]])&gt;0,IF(Table2[[#This Row],[!Type]] = "id", "rg:None","rg:True"),"rg:None")</f>
        <v>rg:None</v>
      </c>
    </row>
    <row r="291" spans="1:25" ht="28.8" x14ac:dyDescent="0.35">
      <c r="A291" s="61" t="s">
        <v>148</v>
      </c>
      <c r="B291" s="5" t="s">
        <v>12</v>
      </c>
      <c r="D291" s="5" t="s">
        <v>30</v>
      </c>
      <c r="E291" s="76" t="s">
        <v>403</v>
      </c>
      <c r="F291" s="5" t="s">
        <v>5</v>
      </c>
      <c r="G291" s="63" t="s">
        <v>59</v>
      </c>
      <c r="H291" s="4"/>
      <c r="I291" s="5" t="str">
        <f t="shared" ref="I291:I292" si="29">IF(LEN(A291) &gt; 0,"Defs","-")</f>
        <v>Defs</v>
      </c>
      <c r="J291" s="8" t="str">
        <f>IF(Table2[[#This Row],[!Type]]=J$1, J$1,"rg:None")</f>
        <v>rg:None</v>
      </c>
      <c r="K291" s="8" t="str">
        <f>IF(Table2[[#This Row],[!Type]]=K$1, K$1,"rg:None")</f>
        <v>rg:None</v>
      </c>
      <c r="L291" s="8" t="str">
        <f>IF(Table2[[#This Row],[!Type]]=L$1, L$1,"rg:None")</f>
        <v>datetime</v>
      </c>
      <c r="M291" s="8" t="str">
        <f>IF(Table2[[#This Row],[!Type]]=M$1, M$1,"rg:None")</f>
        <v>rg:None</v>
      </c>
      <c r="N291" s="8" t="str">
        <f>IF(Table2[[#This Row],[!Type]]=N$1, N$1,"rg:None")</f>
        <v>rg:None</v>
      </c>
      <c r="O291" s="8" t="str">
        <f>IF(Table2[[#This Row],[!Type]]=O$1, O$1,"rg:None")</f>
        <v>rg:None</v>
      </c>
      <c r="P291" s="5" t="str">
        <f>IF(Table2[[#This Row],[!Type]]=P$1, P$1,"rg:None")</f>
        <v>rg:None</v>
      </c>
      <c r="Q291" s="5" t="str">
        <f>IF(Table2[[#This Row],[!Type]]=Q$1, Q$1,"rg:None")</f>
        <v>rg:None</v>
      </c>
      <c r="R291" s="5" t="str">
        <f>IF(Table2[[#This Row],[!Type]]=R$1, R$1,"rg:None")</f>
        <v>rg:None</v>
      </c>
      <c r="S291" s="5" t="str">
        <f>IF(Table2[[#This Row],[!Type]]=S$1, S$1,"rg:None")</f>
        <v>rg:None</v>
      </c>
      <c r="T291" s="8" t="str">
        <f>IF(LEN(Table2[[#This Row],[!Length]]) &gt; 0, Table2[[#This Row],[!Length]], "rg:None")</f>
        <v>rg:None</v>
      </c>
      <c r="U291" s="8" t="str">
        <f>IF(LEN(Table2[[#This Row],[!Name]]) &gt; 0, Table2[[#This Row],[!Name]], "rg:None")</f>
        <v>startDate</v>
      </c>
      <c r="V291" s="8" t="str">
        <f>IF(LEN(Table2[[#This Row],[!Description]]) &gt; 0, Table2[[#This Row],[!Description]], "rg:None")</f>
        <v>The DATE the business information came into effect. - NOT CURRENTLY ENFORCED IN THIS SYSTEM</v>
      </c>
      <c r="W291" s="8" t="str">
        <f>IF(LEN(Table2[[#This Row],[!FK]])&gt;0,Table2[[#This Row],[!FK]],"rg:None")</f>
        <v>rg:None</v>
      </c>
      <c r="X291" s="8" t="str">
        <f>IF(LEN(concatif2(A:A,Table2[[#This Row],[!Table]],G:G,"Y",D:D,",")) &gt; 0,"rg:[ { 'req' : '"&amp;concatif2(A:A,Table2[[#This Row],[!Table]],G:G,"Y",D:D,"' }, { 'req': '")&amp;"'} ]","rg:[]")</f>
        <v>rg:[ { 'req' : 'id' }, { 'req': 'localAreaNumber' }, { 'req': 'name' }, { 'req': 'serviceArea' }, { 'req': 'startDate'} ]</v>
      </c>
      <c r="Y291" s="8" t="str">
        <f>IF(LEN(Table2[[#This Row],[!Unique]])&gt;0,IF(Table2[[#This Row],[!Type]] = "id", "rg:None","rg:True"),"rg:None")</f>
        <v>rg:None</v>
      </c>
    </row>
    <row r="292" spans="1:25" ht="28.8" x14ac:dyDescent="0.35">
      <c r="A292" s="61" t="s">
        <v>148</v>
      </c>
      <c r="B292" s="5" t="s">
        <v>12</v>
      </c>
      <c r="D292" s="5" t="s">
        <v>31</v>
      </c>
      <c r="E292" s="76" t="s">
        <v>404</v>
      </c>
      <c r="F292" s="5" t="s">
        <v>5</v>
      </c>
      <c r="G292" s="4"/>
      <c r="H292" s="4"/>
      <c r="I292" s="5" t="str">
        <f t="shared" si="29"/>
        <v>Defs</v>
      </c>
      <c r="J292" s="8" t="str">
        <f>IF(Table2[[#This Row],[!Type]]=J$1, J$1,"rg:None")</f>
        <v>rg:None</v>
      </c>
      <c r="K292" s="8" t="str">
        <f>IF(Table2[[#This Row],[!Type]]=K$1, K$1,"rg:None")</f>
        <v>rg:None</v>
      </c>
      <c r="L292" s="8" t="str">
        <f>IF(Table2[[#This Row],[!Type]]=L$1, L$1,"rg:None")</f>
        <v>datetime</v>
      </c>
      <c r="M292" s="8" t="str">
        <f>IF(Table2[[#This Row],[!Type]]=M$1, M$1,"rg:None")</f>
        <v>rg:None</v>
      </c>
      <c r="N292" s="8" t="str">
        <f>IF(Table2[[#This Row],[!Type]]=N$1, N$1,"rg:None")</f>
        <v>rg:None</v>
      </c>
      <c r="O292" s="8" t="str">
        <f>IF(Table2[[#This Row],[!Type]]=O$1, O$1,"rg:None")</f>
        <v>rg:None</v>
      </c>
      <c r="P292" s="5" t="str">
        <f>IF(Table2[[#This Row],[!Type]]=P$1, P$1,"rg:None")</f>
        <v>rg:None</v>
      </c>
      <c r="Q292" s="5" t="str">
        <f>IF(Table2[[#This Row],[!Type]]=Q$1, Q$1,"rg:None")</f>
        <v>rg:None</v>
      </c>
      <c r="R292" s="5" t="str">
        <f>IF(Table2[[#This Row],[!Type]]=R$1, R$1,"rg:None")</f>
        <v>rg:None</v>
      </c>
      <c r="S292" s="5" t="str">
        <f>IF(Table2[[#This Row],[!Type]]=S$1, S$1,"rg:None")</f>
        <v>rg:None</v>
      </c>
      <c r="T292" s="8" t="str">
        <f>IF(LEN(Table2[[#This Row],[!Length]]) &gt; 0, Table2[[#This Row],[!Length]], "rg:None")</f>
        <v>rg:None</v>
      </c>
      <c r="U292" s="8" t="str">
        <f>IF(LEN(Table2[[#This Row],[!Name]]) &gt; 0, Table2[[#This Row],[!Name]], "rg:None")</f>
        <v>endDate</v>
      </c>
      <c r="V292" s="8" t="str">
        <f>IF(LEN(Table2[[#This Row],[!Description]]) &gt; 0, Table2[[#This Row],[!Description]], "rg:None")</f>
        <v>The DATE the business information ceased to be in effect. - NOT CURRENTLY ENFORCED IN THIS SYSTEM</v>
      </c>
      <c r="W292" s="8" t="str">
        <f>IF(LEN(Table2[[#This Row],[!FK]])&gt;0,Table2[[#This Row],[!FK]],"rg:None")</f>
        <v>rg:None</v>
      </c>
      <c r="X292" s="8" t="str">
        <f>IF(LEN(concatif2(A:A,Table2[[#This Row],[!Table]],G:G,"Y",D:D,",")) &gt; 0,"rg:[ { 'req' : '"&amp;concatif2(A:A,Table2[[#This Row],[!Table]],G:G,"Y",D:D,"' }, { 'req': '")&amp;"'} ]","rg:[]")</f>
        <v>rg:[ { 'req' : 'id' }, { 'req': 'localAreaNumber' }, { 'req': 'name' }, { 'req': 'serviceArea' }, { 'req': 'startDate'} ]</v>
      </c>
      <c r="Y292" s="8" t="str">
        <f>IF(LEN(Table2[[#This Row],[!Unique]])&gt;0,IF(Table2[[#This Row],[!Type]] = "id", "rg:None","rg:True"),"rg:None")</f>
        <v>rg:None</v>
      </c>
    </row>
    <row r="293" spans="1:25" x14ac:dyDescent="0.35">
      <c r="A293" s="5" t="s">
        <v>11</v>
      </c>
      <c r="B293" s="5" t="s">
        <v>4</v>
      </c>
      <c r="D293" s="5" t="s">
        <v>11</v>
      </c>
      <c r="E293" s="54" t="s">
        <v>61</v>
      </c>
      <c r="F293" s="5" t="s">
        <v>5</v>
      </c>
      <c r="G293" s="4"/>
      <c r="H293" s="4"/>
      <c r="I293" s="5" t="str">
        <f t="shared" si="28"/>
        <v>Defs</v>
      </c>
      <c r="J293" s="8" t="str">
        <f>IF(Table2[[#This Row],[!Type]]=J$1, J$1,"rg:None")</f>
        <v>rg:None</v>
      </c>
      <c r="K293" s="8" t="str">
        <f>IF(Table2[[#This Row],[!Type]]=K$1, K$1,"rg:None")</f>
        <v>rg:None</v>
      </c>
      <c r="L293" s="8" t="str">
        <f>IF(Table2[[#This Row],[!Type]]=L$1, L$1,"rg:None")</f>
        <v>rg:None</v>
      </c>
      <c r="M293" s="8" t="str">
        <f>IF(Table2[[#This Row],[!Type]]=M$1, M$1,"rg:None")</f>
        <v>rg:None</v>
      </c>
      <c r="N293" s="8" t="str">
        <f>IF(Table2[[#This Row],[!Type]]=N$1, N$1,"rg:None")</f>
        <v>rg:None</v>
      </c>
      <c r="O293" s="8" t="str">
        <f>IF(Table2[[#This Row],[!Type]]=O$1, O$1,"rg:None")</f>
        <v>rg:None</v>
      </c>
      <c r="P293" s="5" t="str">
        <f>IF(Table2[[#This Row],[!Type]]=P$1, P$1,"rg:None")</f>
        <v>rg:None</v>
      </c>
      <c r="Q293" s="5" t="str">
        <f>IF(Table2[[#This Row],[!Type]]=Q$1, Q$1,"rg:None")</f>
        <v>rg:None</v>
      </c>
      <c r="R293" s="5" t="str">
        <f>IF(Table2[[#This Row],[!Type]]=R$1, R$1,"rg:None")</f>
        <v>rg:None</v>
      </c>
      <c r="S293" s="5" t="str">
        <f>IF(Table2[[#This Row],[!Type]]=S$1, S$1,"rg:None")</f>
        <v>table</v>
      </c>
      <c r="T293" s="8" t="str">
        <f>IF(LEN(Table2[[#This Row],[!Length]]) &gt; 0, Table2[[#This Row],[!Length]], "rg:None")</f>
        <v>rg:None</v>
      </c>
      <c r="U293" s="8" t="str">
        <f>IF(LEN(Table2[[#This Row],[!Name]]) &gt; 0, Table2[[#This Row],[!Name]], "rg:None")</f>
        <v>City</v>
      </c>
      <c r="V293" s="8" t="str">
        <f>IF(LEN(Table2[[#This Row],[!Description]]) &gt; 0, Table2[[#This Row],[!Description]], "rg:None")</f>
        <v>A list of cities in BC. Authoritative source to be determined.</v>
      </c>
      <c r="W293" s="8" t="str">
        <f>IF(LEN(Table2[[#This Row],[!FK]])&gt;0,Table2[[#This Row],[!FK]],"rg:None")</f>
        <v>rg:None</v>
      </c>
      <c r="X293" s="8" t="str">
        <f>IF(LEN(concatif2(A:A,Table2[[#This Row],[!Table]],G:G,"Y",D:D,",")) &gt; 0,"rg:[ { 'req' : '"&amp;concatif2(A:A,Table2[[#This Row],[!Table]],G:G,"Y",D:D,"' }, { 'req': '")&amp;"'} ]","rg:[]")</f>
        <v>rg:[ { 'req' : 'id' }, { 'req': 'name'} ]</v>
      </c>
      <c r="Y293" s="8" t="str">
        <f>IF(LEN(Table2[[#This Row],[!Unique]])&gt;0,IF(Table2[[#This Row],[!Type]] = "id", "rg:None","rg:True"),"rg:None")</f>
        <v>rg:None</v>
      </c>
    </row>
    <row r="294" spans="1:25" x14ac:dyDescent="0.35">
      <c r="A294" s="5" t="s">
        <v>11</v>
      </c>
      <c r="B294" s="5" t="s">
        <v>6</v>
      </c>
      <c r="D294" s="5" t="s">
        <v>6</v>
      </c>
      <c r="E294" s="54" t="s">
        <v>313</v>
      </c>
      <c r="F294" s="5" t="s">
        <v>5</v>
      </c>
      <c r="G294" s="4" t="s">
        <v>59</v>
      </c>
      <c r="H294" s="155" t="s">
        <v>59</v>
      </c>
      <c r="I294" s="5" t="str">
        <f t="shared" si="28"/>
        <v>Defs</v>
      </c>
      <c r="J294" s="8" t="str">
        <f>IF(Table2[[#This Row],[!Type]]=J$1, J$1,"rg:None")</f>
        <v>rg:None</v>
      </c>
      <c r="K294" s="8" t="str">
        <f>IF(Table2[[#This Row],[!Type]]=K$1, K$1,"rg:None")</f>
        <v>rg:None</v>
      </c>
      <c r="L294" s="8" t="str">
        <f>IF(Table2[[#This Row],[!Type]]=L$1, L$1,"rg:None")</f>
        <v>rg:None</v>
      </c>
      <c r="M294" s="8" t="str">
        <f>IF(Table2[[#This Row],[!Type]]=M$1, M$1,"rg:None")</f>
        <v>id</v>
      </c>
      <c r="N294" s="8" t="str">
        <f>IF(Table2[[#This Row],[!Type]]=N$1, N$1,"rg:None")</f>
        <v>rg:None</v>
      </c>
      <c r="O294" s="8" t="str">
        <f>IF(Table2[[#This Row],[!Type]]=O$1, O$1,"rg:None")</f>
        <v>rg:None</v>
      </c>
      <c r="P294" s="5" t="str">
        <f>IF(Table2[[#This Row],[!Type]]=P$1, P$1,"rg:None")</f>
        <v>rg:None</v>
      </c>
      <c r="Q294" s="5" t="str">
        <f>IF(Table2[[#This Row],[!Type]]=Q$1, Q$1,"rg:None")</f>
        <v>rg:None</v>
      </c>
      <c r="R294" s="5" t="str">
        <f>IF(Table2[[#This Row],[!Type]]=R$1, R$1,"rg:None")</f>
        <v>rg:None</v>
      </c>
      <c r="S294" s="5" t="str">
        <f>IF(Table2[[#This Row],[!Type]]=S$1, S$1,"rg:None")</f>
        <v>rg:None</v>
      </c>
      <c r="T294" s="8" t="str">
        <f>IF(LEN(Table2[[#This Row],[!Length]]) &gt; 0, Table2[[#This Row],[!Length]], "rg:None")</f>
        <v>rg:None</v>
      </c>
      <c r="U294" s="8" t="str">
        <f>IF(LEN(Table2[[#This Row],[!Name]]) &gt; 0, Table2[[#This Row],[!Name]], "rg:None")</f>
        <v>id</v>
      </c>
      <c r="V294" s="8" t="str">
        <f>IF(LEN(Table2[[#This Row],[!Description]]) &gt; 0, Table2[[#This Row],[!Description]], "rg:None")</f>
        <v>A system-generated unique identifier for a City</v>
      </c>
      <c r="W294" s="8" t="str">
        <f>IF(LEN(Table2[[#This Row],[!FK]])&gt;0,Table2[[#This Row],[!FK]],"rg:None")</f>
        <v>rg:None</v>
      </c>
      <c r="X294" s="8" t="str">
        <f>IF(LEN(concatif2(A:A,Table2[[#This Row],[!Table]],G:G,"Y",D:D,",")) &gt; 0,"rg:[ { 'req' : '"&amp;concatif2(A:A,Table2[[#This Row],[!Table]],G:G,"Y",D:D,"' }, { 'req': '")&amp;"'} ]","rg:[]")</f>
        <v>rg:[ { 'req' : 'id' }, { 'req': 'name'} ]</v>
      </c>
      <c r="Y294" s="8" t="str">
        <f>IF(LEN(Table2[[#This Row],[!Unique]])&gt;0,IF(Table2[[#This Row],[!Type]] = "id", "rg:None","rg:True"),"rg:None")</f>
        <v>rg:None</v>
      </c>
    </row>
    <row r="295" spans="1:25" x14ac:dyDescent="0.35">
      <c r="A295" s="5" t="s">
        <v>11</v>
      </c>
      <c r="B295" s="5" t="s">
        <v>7</v>
      </c>
      <c r="C295" s="5">
        <v>150</v>
      </c>
      <c r="D295" s="5" t="s">
        <v>15</v>
      </c>
      <c r="E295" s="54" t="s">
        <v>39</v>
      </c>
      <c r="F295" s="5" t="s">
        <v>5</v>
      </c>
      <c r="G295" s="155" t="s">
        <v>59</v>
      </c>
      <c r="H295" s="4"/>
      <c r="I295" s="5" t="str">
        <f t="shared" si="28"/>
        <v>Defs</v>
      </c>
      <c r="J295" s="8" t="str">
        <f>IF(Table2[[#This Row],[!Type]]=J$1, J$1,"rg:None")</f>
        <v>rg:None</v>
      </c>
      <c r="K295" s="8" t="str">
        <f>IF(Table2[[#This Row],[!Type]]=K$1, K$1,"rg:None")</f>
        <v>rg:None</v>
      </c>
      <c r="L295" s="8" t="str">
        <f>IF(Table2[[#This Row],[!Type]]=L$1, L$1,"rg:None")</f>
        <v>rg:None</v>
      </c>
      <c r="M295" s="8" t="str">
        <f>IF(Table2[[#This Row],[!Type]]=M$1, M$1,"rg:None")</f>
        <v>rg:None</v>
      </c>
      <c r="N295" s="8" t="str">
        <f>IF(Table2[[#This Row],[!Type]]=N$1, N$1,"rg:None")</f>
        <v>rg:None</v>
      </c>
      <c r="O295" s="8" t="str">
        <f>IF(Table2[[#This Row],[!Type]]=O$1, O$1,"rg:None")</f>
        <v>rg:None</v>
      </c>
      <c r="P295" s="5" t="str">
        <f>IF(Table2[[#This Row],[!Type]]=P$1, P$1,"rg:None")</f>
        <v>rg:None</v>
      </c>
      <c r="Q295" s="5" t="str">
        <f>IF(Table2[[#This Row],[!Type]]=Q$1, Q$1,"rg:None")</f>
        <v>rg:None</v>
      </c>
      <c r="R295" s="5" t="str">
        <f>IF(Table2[[#This Row],[!Type]]=R$1, R$1,"rg:None")</f>
        <v>string</v>
      </c>
      <c r="S295" s="5" t="str">
        <f>IF(Table2[[#This Row],[!Type]]=S$1, S$1,"rg:None")</f>
        <v>rg:None</v>
      </c>
      <c r="T295" s="8">
        <f>IF(LEN(Table2[[#This Row],[!Length]]) &gt; 0, Table2[[#This Row],[!Length]], "rg:None")</f>
        <v>150</v>
      </c>
      <c r="U295" s="8" t="str">
        <f>IF(LEN(Table2[[#This Row],[!Name]]) &gt; 0, Table2[[#This Row],[!Name]], "rg:None")</f>
        <v>name</v>
      </c>
      <c r="V295" s="8" t="str">
        <f>IF(LEN(Table2[[#This Row],[!Description]]) &gt; 0, Table2[[#This Row],[!Description]], "rg:None")</f>
        <v>The name of the City</v>
      </c>
      <c r="W295" s="8" t="str">
        <f>IF(LEN(Table2[[#This Row],[!FK]])&gt;0,Table2[[#This Row],[!FK]],"rg:None")</f>
        <v>rg:None</v>
      </c>
      <c r="X295" s="8" t="str">
        <f>IF(LEN(concatif2(A:A,Table2[[#This Row],[!Table]],G:G,"Y",D:D,",")) &gt; 0,"rg:[ { 'req' : '"&amp;concatif2(A:A,Table2[[#This Row],[!Table]],G:G,"Y",D:D,"' }, { 'req': '")&amp;"'} ]","rg:[]")</f>
        <v>rg:[ { 'req' : 'id' }, { 'req': 'name'} ]</v>
      </c>
      <c r="Y295" s="8" t="str">
        <f>IF(LEN(Table2[[#This Row],[!Unique]])&gt;0,IF(Table2[[#This Row],[!Type]] = "id", "rg:None","rg:True"),"rg:None")</f>
        <v>rg:None</v>
      </c>
    </row>
    <row r="296" spans="1:25" x14ac:dyDescent="0.35">
      <c r="A296" s="5" t="s">
        <v>0</v>
      </c>
      <c r="B296" s="5" t="s">
        <v>4</v>
      </c>
      <c r="D296" s="5" t="s">
        <v>0</v>
      </c>
      <c r="E296" s="76" t="s">
        <v>364</v>
      </c>
      <c r="F296" s="5" t="s">
        <v>5</v>
      </c>
      <c r="G296" s="4"/>
      <c r="H296" s="4"/>
      <c r="I296" s="5" t="str">
        <f t="shared" si="28"/>
        <v>Defs</v>
      </c>
      <c r="J296" s="8" t="str">
        <f>IF(Table2[[#This Row],[!Type]]=J$1, J$1,"rg:None")</f>
        <v>rg:None</v>
      </c>
      <c r="K296" s="8" t="str">
        <f>IF(Table2[[#This Row],[!Type]]=K$1, K$1,"rg:None")</f>
        <v>rg:None</v>
      </c>
      <c r="L296" s="8" t="str">
        <f>IF(Table2[[#This Row],[!Type]]=L$1, L$1,"rg:None")</f>
        <v>rg:None</v>
      </c>
      <c r="M296" s="8" t="str">
        <f>IF(Table2[[#This Row],[!Type]]=M$1, M$1,"rg:None")</f>
        <v>rg:None</v>
      </c>
      <c r="N296" s="8" t="str">
        <f>IF(Table2[[#This Row],[!Type]]=N$1, N$1,"rg:None")</f>
        <v>rg:None</v>
      </c>
      <c r="O296" s="8" t="str">
        <f>IF(Table2[[#This Row],[!Type]]=O$1, O$1,"rg:None")</f>
        <v>rg:None</v>
      </c>
      <c r="P296" s="5" t="str">
        <f>IF(Table2[[#This Row],[!Type]]=P$1, P$1,"rg:None")</f>
        <v>rg:None</v>
      </c>
      <c r="Q296" s="5" t="str">
        <f>IF(Table2[[#This Row],[!Type]]=Q$1, Q$1,"rg:None")</f>
        <v>rg:None</v>
      </c>
      <c r="R296" s="5" t="str">
        <f>IF(Table2[[#This Row],[!Type]]=R$1, R$1,"rg:None")</f>
        <v>rg:None</v>
      </c>
      <c r="S296" s="5" t="str">
        <f>IF(Table2[[#This Row],[!Type]]=S$1, S$1,"rg:None")</f>
        <v>table</v>
      </c>
      <c r="T296" s="8" t="str">
        <f>IF(LEN(Table2[[#This Row],[!Length]]) &gt; 0, Table2[[#This Row],[!Length]], "rg:None")</f>
        <v>rg:None</v>
      </c>
      <c r="U296" s="8" t="str">
        <f>IF(LEN(Table2[[#This Row],[!Name]]) &gt; 0, Table2[[#This Row],[!Name]], "rg:None")</f>
        <v>User</v>
      </c>
      <c r="V296" s="8" t="str">
        <f>IF(LEN(Table2[[#This Row],[!Description]]) &gt; 0, Table2[[#This Row],[!Description]], "rg:None")</f>
        <v>An identified user in the HETS Application that has a defined authorization level.</v>
      </c>
      <c r="W296" s="8" t="str">
        <f>IF(LEN(Table2[[#This Row],[!FK]])&gt;0,Table2[[#This Row],[!FK]],"rg:None")</f>
        <v>rg:None</v>
      </c>
      <c r="X296" s="8" t="str">
        <f>IF(LEN(concatif2(A:A,Table2[[#This Row],[!Table]],G:G,"Y",D:D,",")) &gt; 0,"rg:[ { 'req' : '"&amp;concatif2(A:A,Table2[[#This Row],[!Table]],G:G,"Y",D:D,"' }, { 'req': '")&amp;"'} ]","rg:[]")</f>
        <v>rg:[ { 'req' : 'id' }, { 'req': 'givenName' }, { 'req': 'surname' }, { 'req': 'active'} ]</v>
      </c>
      <c r="Y296" s="8" t="str">
        <f>IF(LEN(Table2[[#This Row],[!Unique]])&gt;0,IF(Table2[[#This Row],[!Type]] = "id", "rg:None","rg:True"),"rg:None")</f>
        <v>rg:None</v>
      </c>
    </row>
    <row r="297" spans="1:25" x14ac:dyDescent="0.35">
      <c r="A297" s="5" t="s">
        <v>0</v>
      </c>
      <c r="B297" s="5" t="s">
        <v>6</v>
      </c>
      <c r="D297" s="5" t="s">
        <v>6</v>
      </c>
      <c r="E297" s="54" t="s">
        <v>314</v>
      </c>
      <c r="F297" s="5" t="s">
        <v>5</v>
      </c>
      <c r="G297" s="4" t="s">
        <v>59</v>
      </c>
      <c r="H297" s="155" t="s">
        <v>59</v>
      </c>
      <c r="I297" s="5" t="str">
        <f t="shared" si="28"/>
        <v>Defs</v>
      </c>
      <c r="J297" s="8" t="str">
        <f>IF(Table2[[#This Row],[!Type]]=J$1, J$1,"rg:None")</f>
        <v>rg:None</v>
      </c>
      <c r="K297" s="8" t="str">
        <f>IF(Table2[[#This Row],[!Type]]=K$1, K$1,"rg:None")</f>
        <v>rg:None</v>
      </c>
      <c r="L297" s="8" t="str">
        <f>IF(Table2[[#This Row],[!Type]]=L$1, L$1,"rg:None")</f>
        <v>rg:None</v>
      </c>
      <c r="M297" s="8" t="str">
        <f>IF(Table2[[#This Row],[!Type]]=M$1, M$1,"rg:None")</f>
        <v>id</v>
      </c>
      <c r="N297" s="8" t="str">
        <f>IF(Table2[[#This Row],[!Type]]=N$1, N$1,"rg:None")</f>
        <v>rg:None</v>
      </c>
      <c r="O297" s="8" t="str">
        <f>IF(Table2[[#This Row],[!Type]]=O$1, O$1,"rg:None")</f>
        <v>rg:None</v>
      </c>
      <c r="P297" s="5" t="str">
        <f>IF(Table2[[#This Row],[!Type]]=P$1, P$1,"rg:None")</f>
        <v>rg:None</v>
      </c>
      <c r="Q297" s="5" t="str">
        <f>IF(Table2[[#This Row],[!Type]]=Q$1, Q$1,"rg:None")</f>
        <v>rg:None</v>
      </c>
      <c r="R297" s="5" t="str">
        <f>IF(Table2[[#This Row],[!Type]]=R$1, R$1,"rg:None")</f>
        <v>rg:None</v>
      </c>
      <c r="S297" s="5" t="str">
        <f>IF(Table2[[#This Row],[!Type]]=S$1, S$1,"rg:None")</f>
        <v>rg:None</v>
      </c>
      <c r="T297" s="8" t="str">
        <f>IF(LEN(Table2[[#This Row],[!Length]]) &gt; 0, Table2[[#This Row],[!Length]], "rg:None")</f>
        <v>rg:None</v>
      </c>
      <c r="U297" s="8" t="str">
        <f>IF(LEN(Table2[[#This Row],[!Name]]) &gt; 0, Table2[[#This Row],[!Name]], "rg:None")</f>
        <v>id</v>
      </c>
      <c r="V297" s="8" t="str">
        <f>IF(LEN(Table2[[#This Row],[!Description]]) &gt; 0, Table2[[#This Row],[!Description]], "rg:None")</f>
        <v>A system-generated unique identifier for a User</v>
      </c>
      <c r="W297" s="8" t="str">
        <f>IF(LEN(Table2[[#This Row],[!FK]])&gt;0,Table2[[#This Row],[!FK]],"rg:None")</f>
        <v>rg:None</v>
      </c>
      <c r="X297" s="8" t="str">
        <f>IF(LEN(concatif2(A:A,Table2[[#This Row],[!Table]],G:G,"Y",D:D,",")) &gt; 0,"rg:[ { 'req' : '"&amp;concatif2(A:A,Table2[[#This Row],[!Table]],G:G,"Y",D:D,"' }, { 'req': '")&amp;"'} ]","rg:[]")</f>
        <v>rg:[ { 'req' : 'id' }, { 'req': 'givenName' }, { 'req': 'surname' }, { 'req': 'active'} ]</v>
      </c>
      <c r="Y297" s="8" t="str">
        <f>IF(LEN(Table2[[#This Row],[!Unique]])&gt;0,IF(Table2[[#This Row],[!Type]] = "id", "rg:None","rg:True"),"rg:None")</f>
        <v>rg:None</v>
      </c>
    </row>
    <row r="298" spans="1:25" x14ac:dyDescent="0.35">
      <c r="A298" s="5" t="s">
        <v>0</v>
      </c>
      <c r="B298" s="5" t="s">
        <v>7</v>
      </c>
      <c r="C298" s="5">
        <v>50</v>
      </c>
      <c r="D298" s="5" t="s">
        <v>16</v>
      </c>
      <c r="E298" s="54" t="s">
        <v>315</v>
      </c>
      <c r="F298" s="5" t="s">
        <v>5</v>
      </c>
      <c r="G298" s="41" t="s">
        <v>59</v>
      </c>
      <c r="H298" s="41"/>
      <c r="I298" s="5" t="str">
        <f t="shared" si="28"/>
        <v>Defs</v>
      </c>
      <c r="J298" s="8" t="str">
        <f>IF(Table2[[#This Row],[!Type]]=J$1, J$1,"rg:None")</f>
        <v>rg:None</v>
      </c>
      <c r="K298" s="8" t="str">
        <f>IF(Table2[[#This Row],[!Type]]=K$1, K$1,"rg:None")</f>
        <v>rg:None</v>
      </c>
      <c r="L298" s="8" t="str">
        <f>IF(Table2[[#This Row],[!Type]]=L$1, L$1,"rg:None")</f>
        <v>rg:None</v>
      </c>
      <c r="M298" s="8" t="str">
        <f>IF(Table2[[#This Row],[!Type]]=M$1, M$1,"rg:None")</f>
        <v>rg:None</v>
      </c>
      <c r="N298" s="8" t="str">
        <f>IF(Table2[[#This Row],[!Type]]=N$1, N$1,"rg:None")</f>
        <v>rg:None</v>
      </c>
      <c r="O298" s="8" t="str">
        <f>IF(Table2[[#This Row],[!Type]]=O$1, O$1,"rg:None")</f>
        <v>rg:None</v>
      </c>
      <c r="P298" s="5" t="str">
        <f>IF(Table2[[#This Row],[!Type]]=P$1, P$1,"rg:None")</f>
        <v>rg:None</v>
      </c>
      <c r="Q298" s="5" t="str">
        <f>IF(Table2[[#This Row],[!Type]]=Q$1, Q$1,"rg:None")</f>
        <v>rg:None</v>
      </c>
      <c r="R298" s="5" t="str">
        <f>IF(Table2[[#This Row],[!Type]]=R$1, R$1,"rg:None")</f>
        <v>string</v>
      </c>
      <c r="S298" s="5" t="str">
        <f>IF(Table2[[#This Row],[!Type]]=S$1, S$1,"rg:None")</f>
        <v>rg:None</v>
      </c>
      <c r="T298" s="8">
        <f>IF(LEN(Table2[[#This Row],[!Length]]) &gt; 0, Table2[[#This Row],[!Length]], "rg:None")</f>
        <v>50</v>
      </c>
      <c r="U298" s="8" t="str">
        <f>IF(LEN(Table2[[#This Row],[!Name]]) &gt; 0, Table2[[#This Row],[!Name]], "rg:None")</f>
        <v>givenName</v>
      </c>
      <c r="V298" s="8" t="str">
        <f>IF(LEN(Table2[[#This Row],[!Description]]) &gt; 0, Table2[[#This Row],[!Description]], "rg:None")</f>
        <v>Given name of the user.</v>
      </c>
      <c r="W298" s="8" t="str">
        <f>IF(LEN(Table2[[#This Row],[!FK]])&gt;0,Table2[[#This Row],[!FK]],"rg:None")</f>
        <v>rg:None</v>
      </c>
      <c r="X298" s="8" t="str">
        <f>IF(LEN(concatif2(A:A,Table2[[#This Row],[!Table]],G:G,"Y",D:D,",")) &gt; 0,"rg:[ { 'req' : '"&amp;concatif2(A:A,Table2[[#This Row],[!Table]],G:G,"Y",D:D,"' }, { 'req': '")&amp;"'} ]","rg:[]")</f>
        <v>rg:[ { 'req' : 'id' }, { 'req': 'givenName' }, { 'req': 'surname' }, { 'req': 'active'} ]</v>
      </c>
      <c r="Y298" s="8" t="str">
        <f>IF(LEN(Table2[[#This Row],[!Unique]])&gt;0,IF(Table2[[#This Row],[!Type]] = "id", "rg:None","rg:True"),"rg:None")</f>
        <v>rg:None</v>
      </c>
    </row>
    <row r="299" spans="1:25" x14ac:dyDescent="0.35">
      <c r="A299" s="5" t="s">
        <v>0</v>
      </c>
      <c r="B299" s="5" t="s">
        <v>7</v>
      </c>
      <c r="C299" s="5">
        <v>50</v>
      </c>
      <c r="D299" s="5" t="s">
        <v>17</v>
      </c>
      <c r="E299" s="54" t="s">
        <v>316</v>
      </c>
      <c r="F299" s="5" t="s">
        <v>5</v>
      </c>
      <c r="G299" s="41" t="s">
        <v>59</v>
      </c>
      <c r="H299" s="41"/>
      <c r="I299" s="5" t="str">
        <f t="shared" ref="I299:I334" si="30">IF(LEN(A299) &gt; 0,"Defs","-")</f>
        <v>Defs</v>
      </c>
      <c r="J299" s="8" t="str">
        <f>IF(Table2[[#This Row],[!Type]]=J$1, J$1,"rg:None")</f>
        <v>rg:None</v>
      </c>
      <c r="K299" s="8" t="str">
        <f>IF(Table2[[#This Row],[!Type]]=K$1, K$1,"rg:None")</f>
        <v>rg:None</v>
      </c>
      <c r="L299" s="8" t="str">
        <f>IF(Table2[[#This Row],[!Type]]=L$1, L$1,"rg:None")</f>
        <v>rg:None</v>
      </c>
      <c r="M299" s="8" t="str">
        <f>IF(Table2[[#This Row],[!Type]]=M$1, M$1,"rg:None")</f>
        <v>rg:None</v>
      </c>
      <c r="N299" s="8" t="str">
        <f>IF(Table2[[#This Row],[!Type]]=N$1, N$1,"rg:None")</f>
        <v>rg:None</v>
      </c>
      <c r="O299" s="8" t="str">
        <f>IF(Table2[[#This Row],[!Type]]=O$1, O$1,"rg:None")</f>
        <v>rg:None</v>
      </c>
      <c r="P299" s="5" t="str">
        <f>IF(Table2[[#This Row],[!Type]]=P$1, P$1,"rg:None")</f>
        <v>rg:None</v>
      </c>
      <c r="Q299" s="5" t="str">
        <f>IF(Table2[[#This Row],[!Type]]=Q$1, Q$1,"rg:None")</f>
        <v>rg:None</v>
      </c>
      <c r="R299" s="5" t="str">
        <f>IF(Table2[[#This Row],[!Type]]=R$1, R$1,"rg:None")</f>
        <v>string</v>
      </c>
      <c r="S299" s="5" t="str">
        <f>IF(Table2[[#This Row],[!Type]]=S$1, S$1,"rg:None")</f>
        <v>rg:None</v>
      </c>
      <c r="T299" s="8">
        <f>IF(LEN(Table2[[#This Row],[!Length]]) &gt; 0, Table2[[#This Row],[!Length]], "rg:None")</f>
        <v>50</v>
      </c>
      <c r="U299" s="8" t="str">
        <f>IF(LEN(Table2[[#This Row],[!Name]]) &gt; 0, Table2[[#This Row],[!Name]], "rg:None")</f>
        <v>surname</v>
      </c>
      <c r="V299" s="8" t="str">
        <f>IF(LEN(Table2[[#This Row],[!Description]]) &gt; 0, Table2[[#This Row],[!Description]], "rg:None")</f>
        <v>Surname of the user.</v>
      </c>
      <c r="W299" s="8" t="str">
        <f>IF(LEN(Table2[[#This Row],[!FK]])&gt;0,Table2[[#This Row],[!FK]],"rg:None")</f>
        <v>rg:None</v>
      </c>
      <c r="X299" s="8" t="str">
        <f>IF(LEN(concatif2(A:A,Table2[[#This Row],[!Table]],G:G,"Y",D:D,",")) &gt; 0,"rg:[ { 'req' : '"&amp;concatif2(A:A,Table2[[#This Row],[!Table]],G:G,"Y",D:D,"' }, { 'req': '")&amp;"'} ]","rg:[]")</f>
        <v>rg:[ { 'req' : 'id' }, { 'req': 'givenName' }, { 'req': 'surname' }, { 'req': 'active'} ]</v>
      </c>
      <c r="Y299" s="8" t="str">
        <f>IF(LEN(Table2[[#This Row],[!Unique]])&gt;0,IF(Table2[[#This Row],[!Type]] = "id", "rg:None","rg:True"),"rg:None")</f>
        <v>rg:None</v>
      </c>
    </row>
    <row r="300" spans="1:25" x14ac:dyDescent="0.35">
      <c r="A300" s="5" t="s">
        <v>0</v>
      </c>
      <c r="B300" s="5" t="s">
        <v>7</v>
      </c>
      <c r="C300" s="5">
        <v>10</v>
      </c>
      <c r="D300" s="5" t="s">
        <v>42</v>
      </c>
      <c r="E300" s="54" t="s">
        <v>317</v>
      </c>
      <c r="F300" s="5" t="s">
        <v>5</v>
      </c>
      <c r="G300" s="4"/>
      <c r="H300" s="4"/>
      <c r="I300" s="5" t="str">
        <f t="shared" si="30"/>
        <v>Defs</v>
      </c>
      <c r="J300" s="8" t="str">
        <f>IF(Table2[[#This Row],[!Type]]=J$1, J$1,"rg:None")</f>
        <v>rg:None</v>
      </c>
      <c r="K300" s="8" t="str">
        <f>IF(Table2[[#This Row],[!Type]]=K$1, K$1,"rg:None")</f>
        <v>rg:None</v>
      </c>
      <c r="L300" s="8" t="str">
        <f>IF(Table2[[#This Row],[!Type]]=L$1, L$1,"rg:None")</f>
        <v>rg:None</v>
      </c>
      <c r="M300" s="8" t="str">
        <f>IF(Table2[[#This Row],[!Type]]=M$1, M$1,"rg:None")</f>
        <v>rg:None</v>
      </c>
      <c r="N300" s="8" t="str">
        <f>IF(Table2[[#This Row],[!Type]]=N$1, N$1,"rg:None")</f>
        <v>rg:None</v>
      </c>
      <c r="O300" s="8" t="str">
        <f>IF(Table2[[#This Row],[!Type]]=O$1, O$1,"rg:None")</f>
        <v>rg:None</v>
      </c>
      <c r="P300" s="5" t="str">
        <f>IF(Table2[[#This Row],[!Type]]=P$1, P$1,"rg:None")</f>
        <v>rg:None</v>
      </c>
      <c r="Q300" s="5" t="str">
        <f>IF(Table2[[#This Row],[!Type]]=Q$1, Q$1,"rg:None")</f>
        <v>rg:None</v>
      </c>
      <c r="R300" s="5" t="str">
        <f>IF(Table2[[#This Row],[!Type]]=R$1, R$1,"rg:None")</f>
        <v>string</v>
      </c>
      <c r="S300" s="5" t="str">
        <f>IF(Table2[[#This Row],[!Type]]=S$1, S$1,"rg:None")</f>
        <v>rg:None</v>
      </c>
      <c r="T300" s="8">
        <f>IF(LEN(Table2[[#This Row],[!Length]]) &gt; 0, Table2[[#This Row],[!Length]], "rg:None")</f>
        <v>10</v>
      </c>
      <c r="U300" s="8" t="str">
        <f>IF(LEN(Table2[[#This Row],[!Name]]) &gt; 0, Table2[[#This Row],[!Name]], "rg:None")</f>
        <v>initials</v>
      </c>
      <c r="V300" s="8" t="str">
        <f>IF(LEN(Table2[[#This Row],[!Description]]) &gt; 0, Table2[[#This Row],[!Description]], "rg:None")</f>
        <v>Initials of the user, to be presented where screen space is at a premium.</v>
      </c>
      <c r="W300" s="8" t="str">
        <f>IF(LEN(Table2[[#This Row],[!FK]])&gt;0,Table2[[#This Row],[!FK]],"rg:None")</f>
        <v>rg:None</v>
      </c>
      <c r="X300" s="8" t="str">
        <f>IF(LEN(concatif2(A:A,Table2[[#This Row],[!Table]],G:G,"Y",D:D,",")) &gt; 0,"rg:[ { 'req' : '"&amp;concatif2(A:A,Table2[[#This Row],[!Table]],G:G,"Y",D:D,"' }, { 'req': '")&amp;"'} ]","rg:[]")</f>
        <v>rg:[ { 'req' : 'id' }, { 'req': 'givenName' }, { 'req': 'surname' }, { 'req': 'active'} ]</v>
      </c>
      <c r="Y300" s="8" t="str">
        <f>IF(LEN(Table2[[#This Row],[!Unique]])&gt;0,IF(Table2[[#This Row],[!Type]] = "id", "rg:None","rg:True"),"rg:None")</f>
        <v>rg:None</v>
      </c>
    </row>
    <row r="301" spans="1:25" x14ac:dyDescent="0.35">
      <c r="A301" s="5" t="s">
        <v>0</v>
      </c>
      <c r="B301" s="5" t="s">
        <v>7</v>
      </c>
      <c r="C301" s="5">
        <v>255</v>
      </c>
      <c r="D301" s="5" t="s">
        <v>43</v>
      </c>
      <c r="E301" s="54" t="s">
        <v>318</v>
      </c>
      <c r="F301" s="5" t="s">
        <v>5</v>
      </c>
      <c r="G301" s="4"/>
      <c r="H301" s="4"/>
      <c r="I301" s="5" t="str">
        <f t="shared" si="30"/>
        <v>Defs</v>
      </c>
      <c r="J301" s="8" t="str">
        <f>IF(Table2[[#This Row],[!Type]]=J$1, J$1,"rg:None")</f>
        <v>rg:None</v>
      </c>
      <c r="K301" s="8" t="str">
        <f>IF(Table2[[#This Row],[!Type]]=K$1, K$1,"rg:None")</f>
        <v>rg:None</v>
      </c>
      <c r="L301" s="8" t="str">
        <f>IF(Table2[[#This Row],[!Type]]=L$1, L$1,"rg:None")</f>
        <v>rg:None</v>
      </c>
      <c r="M301" s="8" t="str">
        <f>IF(Table2[[#This Row],[!Type]]=M$1, M$1,"rg:None")</f>
        <v>rg:None</v>
      </c>
      <c r="N301" s="8" t="str">
        <f>IF(Table2[[#This Row],[!Type]]=N$1, N$1,"rg:None")</f>
        <v>rg:None</v>
      </c>
      <c r="O301" s="8" t="str">
        <f>IF(Table2[[#This Row],[!Type]]=O$1, O$1,"rg:None")</f>
        <v>rg:None</v>
      </c>
      <c r="P301" s="5" t="str">
        <f>IF(Table2[[#This Row],[!Type]]=P$1, P$1,"rg:None")</f>
        <v>rg:None</v>
      </c>
      <c r="Q301" s="5" t="str">
        <f>IF(Table2[[#This Row],[!Type]]=Q$1, Q$1,"rg:None")</f>
        <v>rg:None</v>
      </c>
      <c r="R301" s="5" t="str">
        <f>IF(Table2[[#This Row],[!Type]]=R$1, R$1,"rg:None")</f>
        <v>string</v>
      </c>
      <c r="S301" s="5" t="str">
        <f>IF(Table2[[#This Row],[!Type]]=S$1, S$1,"rg:None")</f>
        <v>rg:None</v>
      </c>
      <c r="T301" s="8">
        <f>IF(LEN(Table2[[#This Row],[!Length]]) &gt; 0, Table2[[#This Row],[!Length]], "rg:None")</f>
        <v>255</v>
      </c>
      <c r="U301" s="8" t="str">
        <f>IF(LEN(Table2[[#This Row],[!Name]]) &gt; 0, Table2[[#This Row],[!Name]], "rg:None")</f>
        <v>email</v>
      </c>
      <c r="V301" s="8" t="str">
        <f>IF(LEN(Table2[[#This Row],[!Description]]) &gt; 0, Table2[[#This Row],[!Description]], "rg:None")</f>
        <v>The email address of the user in the system.</v>
      </c>
      <c r="W301" s="8" t="str">
        <f>IF(LEN(Table2[[#This Row],[!FK]])&gt;0,Table2[[#This Row],[!FK]],"rg:None")</f>
        <v>rg:None</v>
      </c>
      <c r="X301" s="8" t="str">
        <f>IF(LEN(concatif2(A:A,Table2[[#This Row],[!Table]],G:G,"Y",D:D,",")) &gt; 0,"rg:[ { 'req' : '"&amp;concatif2(A:A,Table2[[#This Row],[!Table]],G:G,"Y",D:D,"' }, { 'req': '")&amp;"'} ]","rg:[]")</f>
        <v>rg:[ { 'req' : 'id' }, { 'req': 'givenName' }, { 'req': 'surname' }, { 'req': 'active'} ]</v>
      </c>
      <c r="Y301" s="8" t="str">
        <f>IF(LEN(Table2[[#This Row],[!Unique]])&gt;0,IF(Table2[[#This Row],[!Type]] = "id", "rg:None","rg:True"),"rg:None")</f>
        <v>rg:None</v>
      </c>
    </row>
    <row r="302" spans="1:25" ht="28.8" x14ac:dyDescent="0.35">
      <c r="A302" s="5" t="s">
        <v>0</v>
      </c>
      <c r="B302" s="5" t="s">
        <v>9</v>
      </c>
      <c r="D302" s="5" t="s">
        <v>41</v>
      </c>
      <c r="E302" s="54" t="s">
        <v>319</v>
      </c>
      <c r="F302" s="5" t="s">
        <v>5</v>
      </c>
      <c r="G302" s="4" t="s">
        <v>59</v>
      </c>
      <c r="H302" s="4"/>
      <c r="I302" s="5" t="str">
        <f t="shared" si="30"/>
        <v>Defs</v>
      </c>
      <c r="J302" s="8" t="str">
        <f>IF(Table2[[#This Row],[!Type]]=J$1, J$1,"rg:None")</f>
        <v>boolean</v>
      </c>
      <c r="K302" s="8" t="str">
        <f>IF(Table2[[#This Row],[!Type]]=K$1, K$1,"rg:None")</f>
        <v>rg:None</v>
      </c>
      <c r="L302" s="8" t="str">
        <f>IF(Table2[[#This Row],[!Type]]=L$1, L$1,"rg:None")</f>
        <v>rg:None</v>
      </c>
      <c r="M302" s="8" t="str">
        <f>IF(Table2[[#This Row],[!Type]]=M$1, M$1,"rg:None")</f>
        <v>rg:None</v>
      </c>
      <c r="N302" s="8" t="str">
        <f>IF(Table2[[#This Row],[!Type]]=N$1, N$1,"rg:None")</f>
        <v>rg:None</v>
      </c>
      <c r="O302" s="8" t="str">
        <f>IF(Table2[[#This Row],[!Type]]=O$1, O$1,"rg:None")</f>
        <v>rg:None</v>
      </c>
      <c r="P302" s="5" t="str">
        <f>IF(Table2[[#This Row],[!Type]]=P$1, P$1,"rg:None")</f>
        <v>rg:None</v>
      </c>
      <c r="Q302" s="5" t="str">
        <f>IF(Table2[[#This Row],[!Type]]=Q$1, Q$1,"rg:None")</f>
        <v>rg:None</v>
      </c>
      <c r="R302" s="5" t="str">
        <f>IF(Table2[[#This Row],[!Type]]=R$1, R$1,"rg:None")</f>
        <v>rg:None</v>
      </c>
      <c r="S302" s="5" t="str">
        <f>IF(Table2[[#This Row],[!Type]]=S$1, S$1,"rg:None")</f>
        <v>rg:None</v>
      </c>
      <c r="T302" s="8" t="str">
        <f>IF(LEN(Table2[[#This Row],[!Length]]) &gt; 0, Table2[[#This Row],[!Length]], "rg:None")</f>
        <v>rg:None</v>
      </c>
      <c r="U302" s="8" t="str">
        <f>IF(LEN(Table2[[#This Row],[!Name]]) &gt; 0, Table2[[#This Row],[!Name]], "rg:None")</f>
        <v>active</v>
      </c>
      <c r="V302" s="8" t="str">
        <f>IF(LEN(Table2[[#This Row],[!Description]]) &gt; 0, Table2[[#This Row],[!Description]], "rg:None")</f>
        <v>A flag indicating the User is active in the system. Set false to remove access to the system for the user.</v>
      </c>
      <c r="W302" s="8" t="str">
        <f>IF(LEN(Table2[[#This Row],[!FK]])&gt;0,Table2[[#This Row],[!FK]],"rg:None")</f>
        <v>rg:None</v>
      </c>
      <c r="X302" s="8" t="str">
        <f>IF(LEN(concatif2(A:A,Table2[[#This Row],[!Table]],G:G,"Y",D:D,",")) &gt; 0,"rg:[ { 'req' : '"&amp;concatif2(A:A,Table2[[#This Row],[!Table]],G:G,"Y",D:D,"' }, { 'req': '")&amp;"'} ]","rg:[]")</f>
        <v>rg:[ { 'req' : 'id' }, { 'req': 'givenName' }, { 'req': 'surname' }, { 'req': 'active'} ]</v>
      </c>
      <c r="Y302" s="8" t="str">
        <f>IF(LEN(Table2[[#This Row],[!Unique]])&gt;0,IF(Table2[[#This Row],[!Type]] = "id", "rg:None","rg:True"),"rg:None")</f>
        <v>rg:None</v>
      </c>
    </row>
    <row r="303" spans="1:25" x14ac:dyDescent="0.35">
      <c r="A303" s="5" t="s">
        <v>0</v>
      </c>
      <c r="B303" s="5" t="s">
        <v>7</v>
      </c>
      <c r="C303" s="5">
        <v>255</v>
      </c>
      <c r="D303" s="5" t="s">
        <v>44</v>
      </c>
      <c r="E303" s="54" t="s">
        <v>45</v>
      </c>
      <c r="F303" s="5" t="s">
        <v>5</v>
      </c>
      <c r="G303" s="4"/>
      <c r="H303" s="4"/>
      <c r="I303" s="5" t="str">
        <f t="shared" si="30"/>
        <v>Defs</v>
      </c>
      <c r="J303" s="8" t="str">
        <f>IF(Table2[[#This Row],[!Type]]=J$1, J$1,"rg:None")</f>
        <v>rg:None</v>
      </c>
      <c r="K303" s="8" t="str">
        <f>IF(Table2[[#This Row],[!Type]]=K$1, K$1,"rg:None")</f>
        <v>rg:None</v>
      </c>
      <c r="L303" s="8" t="str">
        <f>IF(Table2[[#This Row],[!Type]]=L$1, L$1,"rg:None")</f>
        <v>rg:None</v>
      </c>
      <c r="M303" s="8" t="str">
        <f>IF(Table2[[#This Row],[!Type]]=M$1, M$1,"rg:None")</f>
        <v>rg:None</v>
      </c>
      <c r="N303" s="8" t="str">
        <f>IF(Table2[[#This Row],[!Type]]=N$1, N$1,"rg:None")</f>
        <v>rg:None</v>
      </c>
      <c r="O303" s="8" t="str">
        <f>IF(Table2[[#This Row],[!Type]]=O$1, O$1,"rg:None")</f>
        <v>rg:None</v>
      </c>
      <c r="P303" s="5" t="str">
        <f>IF(Table2[[#This Row],[!Type]]=P$1, P$1,"rg:None")</f>
        <v>rg:None</v>
      </c>
      <c r="Q303" s="5" t="str">
        <f>IF(Table2[[#This Row],[!Type]]=Q$1, Q$1,"rg:None")</f>
        <v>rg:None</v>
      </c>
      <c r="R303" s="5" t="str">
        <f>IF(Table2[[#This Row],[!Type]]=R$1, R$1,"rg:None")</f>
        <v>string</v>
      </c>
      <c r="S303" s="5" t="str">
        <f>IF(Table2[[#This Row],[!Type]]=S$1, S$1,"rg:None")</f>
        <v>rg:None</v>
      </c>
      <c r="T303" s="8">
        <f>IF(LEN(Table2[[#This Row],[!Length]]) &gt; 0, Table2[[#This Row],[!Length]], "rg:None")</f>
        <v>255</v>
      </c>
      <c r="U303" s="8" t="str">
        <f>IF(LEN(Table2[[#This Row],[!Name]]) &gt; 0, Table2[[#This Row],[!Name]], "rg:None")</f>
        <v>smUserId</v>
      </c>
      <c r="V303" s="8" t="str">
        <f>IF(LEN(Table2[[#This Row],[!Description]]) &gt; 0, Table2[[#This Row],[!Description]], "rg:None")</f>
        <v>Security Manager User ID</v>
      </c>
      <c r="W303" s="8" t="str">
        <f>IF(LEN(Table2[[#This Row],[!FK]])&gt;0,Table2[[#This Row],[!FK]],"rg:None")</f>
        <v>rg:None</v>
      </c>
      <c r="X303" s="8" t="str">
        <f>IF(LEN(concatif2(A:A,Table2[[#This Row],[!Table]],G:G,"Y",D:D,",")) &gt; 0,"rg:[ { 'req' : '"&amp;concatif2(A:A,Table2[[#This Row],[!Table]],G:G,"Y",D:D,"' }, { 'req': '")&amp;"'} ]","rg:[]")</f>
        <v>rg:[ { 'req' : 'id' }, { 'req': 'givenName' }, { 'req': 'surname' }, { 'req': 'active'} ]</v>
      </c>
      <c r="Y303" s="8" t="str">
        <f>IF(LEN(Table2[[#This Row],[!Unique]])&gt;0,IF(Table2[[#This Row],[!Type]] = "id", "rg:None","rg:True"),"rg:None")</f>
        <v>rg:None</v>
      </c>
    </row>
    <row r="304" spans="1:25" ht="72" x14ac:dyDescent="0.35">
      <c r="A304" s="5" t="s">
        <v>0</v>
      </c>
      <c r="B304" s="5" t="s">
        <v>7</v>
      </c>
      <c r="C304" s="5">
        <v>255</v>
      </c>
      <c r="D304" s="5" t="s">
        <v>46</v>
      </c>
      <c r="E304" s="54" t="s">
        <v>320</v>
      </c>
      <c r="F304" s="5" t="s">
        <v>5</v>
      </c>
      <c r="G304" s="4"/>
      <c r="H304" s="4"/>
      <c r="I304" s="5" t="str">
        <f t="shared" si="30"/>
        <v>Defs</v>
      </c>
      <c r="J304" s="8" t="str">
        <f>IF(Table2[[#This Row],[!Type]]=J$1, J$1,"rg:None")</f>
        <v>rg:None</v>
      </c>
      <c r="K304" s="8" t="str">
        <f>IF(Table2[[#This Row],[!Type]]=K$1, K$1,"rg:None")</f>
        <v>rg:None</v>
      </c>
      <c r="L304" s="8" t="str">
        <f>IF(Table2[[#This Row],[!Type]]=L$1, L$1,"rg:None")</f>
        <v>rg:None</v>
      </c>
      <c r="M304" s="8" t="str">
        <f>IF(Table2[[#This Row],[!Type]]=M$1, M$1,"rg:None")</f>
        <v>rg:None</v>
      </c>
      <c r="N304" s="8" t="str">
        <f>IF(Table2[[#This Row],[!Type]]=N$1, N$1,"rg:None")</f>
        <v>rg:None</v>
      </c>
      <c r="O304" s="8" t="str">
        <f>IF(Table2[[#This Row],[!Type]]=O$1, O$1,"rg:None")</f>
        <v>rg:None</v>
      </c>
      <c r="P304" s="5" t="str">
        <f>IF(Table2[[#This Row],[!Type]]=P$1, P$1,"rg:None")</f>
        <v>rg:None</v>
      </c>
      <c r="Q304" s="5" t="str">
        <f>IF(Table2[[#This Row],[!Type]]=Q$1, Q$1,"rg:None")</f>
        <v>rg:None</v>
      </c>
      <c r="R304" s="5" t="str">
        <f>IF(Table2[[#This Row],[!Type]]=R$1, R$1,"rg:None")</f>
        <v>string</v>
      </c>
      <c r="S304" s="5" t="str">
        <f>IF(Table2[[#This Row],[!Type]]=S$1, S$1,"rg:None")</f>
        <v>rg:None</v>
      </c>
      <c r="T304" s="8">
        <f>IF(LEN(Table2[[#This Row],[!Length]]) &gt; 0, Table2[[#This Row],[!Length]], "rg:None")</f>
        <v>255</v>
      </c>
      <c r="U304" s="8" t="str">
        <f>IF(LEN(Table2[[#This Row],[!Name]]) &gt; 0, Table2[[#This Row],[!Name]], "rg:None")</f>
        <v>guid</v>
      </c>
      <c r="V304" s="8" t="str">
        <f>IF(LEN(Table2[[#This Row],[!Description]]) &gt; 0, Table2[[#This Row],[!Description]], "rg:None")</f>
        <v>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v>
      </c>
      <c r="W304" s="8" t="str">
        <f>IF(LEN(Table2[[#This Row],[!FK]])&gt;0,Table2[[#This Row],[!FK]],"rg:None")</f>
        <v>rg:None</v>
      </c>
      <c r="X304" s="8" t="str">
        <f>IF(LEN(concatif2(A:A,Table2[[#This Row],[!Table]],G:G,"Y",D:D,",")) &gt; 0,"rg:[ { 'req' : '"&amp;concatif2(A:A,Table2[[#This Row],[!Table]],G:G,"Y",D:D,"' }, { 'req': '")&amp;"'} ]","rg:[]")</f>
        <v>rg:[ { 'req' : 'id' }, { 'req': 'givenName' }, { 'req': 'surname' }, { 'req': 'active'} ]</v>
      </c>
      <c r="Y304" s="8" t="str">
        <f>IF(LEN(Table2[[#This Row],[!Unique]])&gt;0,IF(Table2[[#This Row],[!Type]] = "id", "rg:None","rg:True"),"rg:None")</f>
        <v>rg:None</v>
      </c>
    </row>
    <row r="305" spans="1:25" ht="28.8" x14ac:dyDescent="0.35">
      <c r="A305" s="5" t="s">
        <v>0</v>
      </c>
      <c r="B305" s="5" t="s">
        <v>7</v>
      </c>
      <c r="C305" s="5">
        <v>255</v>
      </c>
      <c r="D305" s="5" t="s">
        <v>47</v>
      </c>
      <c r="E305" s="54" t="s">
        <v>321</v>
      </c>
      <c r="F305" s="5" t="s">
        <v>5</v>
      </c>
      <c r="G305" s="4"/>
      <c r="H305" s="4"/>
      <c r="I305" s="5" t="str">
        <f t="shared" si="30"/>
        <v>Defs</v>
      </c>
      <c r="J305" s="8" t="str">
        <f>IF(Table2[[#This Row],[!Type]]=J$1, J$1,"rg:None")</f>
        <v>rg:None</v>
      </c>
      <c r="K305" s="8" t="str">
        <f>IF(Table2[[#This Row],[!Type]]=K$1, K$1,"rg:None")</f>
        <v>rg:None</v>
      </c>
      <c r="L305" s="8" t="str">
        <f>IF(Table2[[#This Row],[!Type]]=L$1, L$1,"rg:None")</f>
        <v>rg:None</v>
      </c>
      <c r="M305" s="8" t="str">
        <f>IF(Table2[[#This Row],[!Type]]=M$1, M$1,"rg:None")</f>
        <v>rg:None</v>
      </c>
      <c r="N305" s="8" t="str">
        <f>IF(Table2[[#This Row],[!Type]]=N$1, N$1,"rg:None")</f>
        <v>rg:None</v>
      </c>
      <c r="O305" s="8" t="str">
        <f>IF(Table2[[#This Row],[!Type]]=O$1, O$1,"rg:None")</f>
        <v>rg:None</v>
      </c>
      <c r="P305" s="5" t="str">
        <f>IF(Table2[[#This Row],[!Type]]=P$1, P$1,"rg:None")</f>
        <v>rg:None</v>
      </c>
      <c r="Q305" s="5" t="str">
        <f>IF(Table2[[#This Row],[!Type]]=Q$1, Q$1,"rg:None")</f>
        <v>rg:None</v>
      </c>
      <c r="R305" s="5" t="str">
        <f>IF(Table2[[#This Row],[!Type]]=R$1, R$1,"rg:None")</f>
        <v>string</v>
      </c>
      <c r="S305" s="5" t="str">
        <f>IF(Table2[[#This Row],[!Type]]=S$1, S$1,"rg:None")</f>
        <v>rg:None</v>
      </c>
      <c r="T305" s="8">
        <f>IF(LEN(Table2[[#This Row],[!Length]]) &gt; 0, Table2[[#This Row],[!Length]], "rg:None")</f>
        <v>255</v>
      </c>
      <c r="U305" s="8" t="str">
        <f>IF(LEN(Table2[[#This Row],[!Name]]) &gt; 0, Table2[[#This Row],[!Name]], "rg:None")</f>
        <v>smAuthorizationDirectory</v>
      </c>
      <c r="V305" s="8" t="str">
        <f>IF(LEN(Table2[[#This Row],[!Description]]) &gt; 0, Table2[[#This Row],[!Description]], "rg:None")</f>
        <v>The user directory service used by Siteminder to authenticate the user - usually IDIR or BCeID.</v>
      </c>
      <c r="W305" s="8" t="str">
        <f>IF(LEN(Table2[[#This Row],[!FK]])&gt;0,Table2[[#This Row],[!FK]],"rg:None")</f>
        <v>rg:None</v>
      </c>
      <c r="X305" s="8" t="str">
        <f>IF(LEN(concatif2(A:A,Table2[[#This Row],[!Table]],G:G,"Y",D:D,",")) &gt; 0,"rg:[ { 'req' : '"&amp;concatif2(A:A,Table2[[#This Row],[!Table]],G:G,"Y",D:D,"' }, { 'req': '")&amp;"'} ]","rg:[]")</f>
        <v>rg:[ { 'req' : 'id' }, { 'req': 'givenName' }, { 'req': 'surname' }, { 'req': 'active'} ]</v>
      </c>
      <c r="Y305" s="8" t="str">
        <f>IF(LEN(Table2[[#This Row],[!Unique]])&gt;0,IF(Table2[[#This Row],[!Type]] = "id", "rg:None","rg:True"),"rg:None")</f>
        <v>rg:None</v>
      </c>
    </row>
    <row r="306" spans="1:25" x14ac:dyDescent="0.35">
      <c r="A306" s="67" t="s">
        <v>0</v>
      </c>
      <c r="B306" s="67" t="s">
        <v>8</v>
      </c>
      <c r="C306" s="72"/>
      <c r="D306" s="67" t="s">
        <v>32</v>
      </c>
      <c r="E306" s="47" t="s">
        <v>423</v>
      </c>
      <c r="F306" s="68" t="s">
        <v>32</v>
      </c>
      <c r="G306" s="18"/>
      <c r="H306" s="18"/>
      <c r="I306" s="4" t="str">
        <f>IF(LEN(A306) &gt; 0,"Defs","-")</f>
        <v>Defs</v>
      </c>
      <c r="J306" s="14" t="str">
        <f>IF(Table2[[#This Row],[!Type]]=J$1, J$1,"rg:None")</f>
        <v>rg:None</v>
      </c>
      <c r="K306" s="14" t="str">
        <f>IF(Table2[[#This Row],[!Type]]=K$1, K$1,"rg:None")</f>
        <v>rg:None</v>
      </c>
      <c r="L306" s="14" t="str">
        <f>IF(Table2[[#This Row],[!Type]]=L$1, L$1,"rg:None")</f>
        <v>rg:None</v>
      </c>
      <c r="M306" s="14" t="str">
        <f>IF(Table2[[#This Row],[!Type]]=M$1, M$1,"rg:None")</f>
        <v>rg:None</v>
      </c>
      <c r="N306" s="14" t="str">
        <f>IF(Table2[[#This Row],[!Type]]=N$1, N$1,"rg:None")</f>
        <v>rg:None</v>
      </c>
      <c r="O306" s="14" t="str">
        <f>IF(Table2[[#This Row],[!Type]]=O$1, O$1,"rg:None")</f>
        <v>rg:None</v>
      </c>
      <c r="P306" s="4" t="str">
        <f>IF(Table2[[#This Row],[!Type]]=P$1, P$1,"rg:None")</f>
        <v>rg:None</v>
      </c>
      <c r="Q306" s="4" t="str">
        <f>IF(Table2[[#This Row],[!Type]]=Q$1, Q$1,"rg:None")</f>
        <v>ref</v>
      </c>
      <c r="R306" s="4" t="str">
        <f>IF(Table2[[#This Row],[!Type]]=R$1, R$1,"rg:None")</f>
        <v>rg:None</v>
      </c>
      <c r="S306" s="4" t="str">
        <f>IF(Table2[[#This Row],[!Type]]=S$1, S$1,"rg:None")</f>
        <v>rg:None</v>
      </c>
      <c r="T306" s="14" t="str">
        <f>IF(LEN(Table2[[#This Row],[!Length]]) &gt; 0, Table2[[#This Row],[!Length]], "rg:None")</f>
        <v>rg:None</v>
      </c>
      <c r="U306" s="14" t="str">
        <f>IF(LEN(Table2[[#This Row],[!Name]]) &gt; 0, Table2[[#This Row],[!Name]], "rg:None")</f>
        <v>District</v>
      </c>
      <c r="V306" s="14" t="str">
        <f>IF(LEN(Table2[[#This Row],[!Description]]) &gt; 0, Table2[[#This Row],[!Description]], "rg:None")</f>
        <v>The District that the User belongs to</v>
      </c>
      <c r="W306" s="14" t="str">
        <f>IF(LEN(Table2[[#This Row],[!FK]])&gt;0,Table2[[#This Row],[!FK]],"rg:None")</f>
        <v>District</v>
      </c>
      <c r="X306" s="14" t="str">
        <f>IF(LEN(concatif2(A:A,Table2[[#This Row],[!Table]],G:G,"Y",D:D,",")) &gt; 0,"rg:[ { 'req' : '"&amp;concatif2(A:A,Table2[[#This Row],[!Table]],G:G,"Y",D:D,"' }, { 'req': '")&amp;"'} ]","rg:[]")</f>
        <v>rg:[ { 'req' : 'id' }, { 'req': 'givenName' }, { 'req': 'surname' }, { 'req': 'active'} ]</v>
      </c>
      <c r="Y306" s="14" t="str">
        <f>IF(LEN(Table2[[#This Row],[!Unique]])&gt;0,IF(Table2[[#This Row],[!Type]] = "id", "rg:None","rg:True"),"rg:None")</f>
        <v>rg:None</v>
      </c>
    </row>
    <row r="307" spans="1:25" ht="28.8" x14ac:dyDescent="0.35">
      <c r="A307" s="5" t="s">
        <v>48</v>
      </c>
      <c r="B307" s="5" t="s">
        <v>4</v>
      </c>
      <c r="D307" s="5" t="s">
        <v>48</v>
      </c>
      <c r="E307" s="54" t="s">
        <v>322</v>
      </c>
      <c r="F307" s="5" t="s">
        <v>5</v>
      </c>
      <c r="G307" s="4"/>
      <c r="H307" s="4"/>
      <c r="I307" s="5" t="str">
        <f t="shared" si="30"/>
        <v>Defs</v>
      </c>
      <c r="J307" s="8" t="str">
        <f>IF(Table2[[#This Row],[!Type]]=J$1, J$1,"rg:None")</f>
        <v>rg:None</v>
      </c>
      <c r="K307" s="8" t="str">
        <f>IF(Table2[[#This Row],[!Type]]=K$1, K$1,"rg:None")</f>
        <v>rg:None</v>
      </c>
      <c r="L307" s="8" t="str">
        <f>IF(Table2[[#This Row],[!Type]]=L$1, L$1,"rg:None")</f>
        <v>rg:None</v>
      </c>
      <c r="M307" s="8" t="str">
        <f>IF(Table2[[#This Row],[!Type]]=M$1, M$1,"rg:None")</f>
        <v>rg:None</v>
      </c>
      <c r="N307" s="8" t="str">
        <f>IF(Table2[[#This Row],[!Type]]=N$1, N$1,"rg:None")</f>
        <v>rg:None</v>
      </c>
      <c r="O307" s="8" t="str">
        <f>IF(Table2[[#This Row],[!Type]]=O$1, O$1,"rg:None")</f>
        <v>rg:None</v>
      </c>
      <c r="P307" s="5" t="str">
        <f>IF(Table2[[#This Row],[!Type]]=P$1, P$1,"rg:None")</f>
        <v>rg:None</v>
      </c>
      <c r="Q307" s="5" t="str">
        <f>IF(Table2[[#This Row],[!Type]]=Q$1, Q$1,"rg:None")</f>
        <v>rg:None</v>
      </c>
      <c r="R307" s="5" t="str">
        <f>IF(Table2[[#This Row],[!Type]]=R$1, R$1,"rg:None")</f>
        <v>rg:None</v>
      </c>
      <c r="S307" s="5" t="str">
        <f>IF(Table2[[#This Row],[!Type]]=S$1, S$1,"rg:None")</f>
        <v>table</v>
      </c>
      <c r="T307" s="8" t="str">
        <f>IF(LEN(Table2[[#This Row],[!Length]]) &gt; 0, Table2[[#This Row],[!Length]], "rg:None")</f>
        <v>rg:None</v>
      </c>
      <c r="U307" s="8" t="str">
        <f>IF(LEN(Table2[[#This Row],[!Name]]) &gt; 0, Table2[[#This Row],[!Name]], "rg:None")</f>
        <v>UserRole</v>
      </c>
      <c r="V307" s="8" t="str">
        <f>IF(LEN(Table2[[#This Row],[!Description]]) &gt; 0, Table2[[#This Row],[!Description]], "rg:None")</f>
        <v xml:space="preserve">A join table that provides allows each user to have any number of Roles in the system.  At login time the user is given the sum of the permissions of the roles assigned to that user. </v>
      </c>
      <c r="W307" s="8" t="str">
        <f>IF(LEN(Table2[[#This Row],[!FK]])&gt;0,Table2[[#This Row],[!FK]],"rg:None")</f>
        <v>rg:None</v>
      </c>
      <c r="X307" s="8" t="str">
        <f>IF(LEN(concatif2(A:A,Table2[[#This Row],[!Table]],G:G,"Y",D:D,",")) &gt; 0,"rg:[ { 'req' : '"&amp;concatif2(A:A,Table2[[#This Row],[!Table]],G:G,"Y",D:D,"' }, { 'req': '")&amp;"'} ]","rg:[]")</f>
        <v>rg:[ { 'req' : 'id' }, { 'req': 'effectiveDate' }, { 'req': 'user' }, { 'req': 'role'} ]</v>
      </c>
      <c r="Y307" s="8" t="str">
        <f>IF(LEN(Table2[[#This Row],[!Unique]])&gt;0,IF(Table2[[#This Row],[!Type]] = "id", "rg:None","rg:True"),"rg:None")</f>
        <v>rg:None</v>
      </c>
    </row>
    <row r="308" spans="1:25" x14ac:dyDescent="0.35">
      <c r="A308" s="5" t="s">
        <v>48</v>
      </c>
      <c r="B308" s="5" t="s">
        <v>6</v>
      </c>
      <c r="D308" s="5" t="s">
        <v>6</v>
      </c>
      <c r="E308" s="54" t="s">
        <v>323</v>
      </c>
      <c r="F308" s="5" t="s">
        <v>5</v>
      </c>
      <c r="G308" s="4" t="s">
        <v>59</v>
      </c>
      <c r="H308" s="4"/>
      <c r="I308" s="5" t="str">
        <f t="shared" si="30"/>
        <v>Defs</v>
      </c>
      <c r="J308" s="8" t="str">
        <f>IF(Table2[[#This Row],[!Type]]=J$1, J$1,"rg:None")</f>
        <v>rg:None</v>
      </c>
      <c r="K308" s="8" t="str">
        <f>IF(Table2[[#This Row],[!Type]]=K$1, K$1,"rg:None")</f>
        <v>rg:None</v>
      </c>
      <c r="L308" s="8" t="str">
        <f>IF(Table2[[#This Row],[!Type]]=L$1, L$1,"rg:None")</f>
        <v>rg:None</v>
      </c>
      <c r="M308" s="8" t="str">
        <f>IF(Table2[[#This Row],[!Type]]=M$1, M$1,"rg:None")</f>
        <v>id</v>
      </c>
      <c r="N308" s="8" t="str">
        <f>IF(Table2[[#This Row],[!Type]]=N$1, N$1,"rg:None")</f>
        <v>rg:None</v>
      </c>
      <c r="O308" s="8" t="str">
        <f>IF(Table2[[#This Row],[!Type]]=O$1, O$1,"rg:None")</f>
        <v>rg:None</v>
      </c>
      <c r="P308" s="5" t="str">
        <f>IF(Table2[[#This Row],[!Type]]=P$1, P$1,"rg:None")</f>
        <v>rg:None</v>
      </c>
      <c r="Q308" s="5" t="str">
        <f>IF(Table2[[#This Row],[!Type]]=Q$1, Q$1,"rg:None")</f>
        <v>rg:None</v>
      </c>
      <c r="R308" s="5" t="str">
        <f>IF(Table2[[#This Row],[!Type]]=R$1, R$1,"rg:None")</f>
        <v>rg:None</v>
      </c>
      <c r="S308" s="5" t="str">
        <f>IF(Table2[[#This Row],[!Type]]=S$1, S$1,"rg:None")</f>
        <v>rg:None</v>
      </c>
      <c r="T308" s="8" t="str">
        <f>IF(LEN(Table2[[#This Row],[!Length]]) &gt; 0, Table2[[#This Row],[!Length]], "rg:None")</f>
        <v>rg:None</v>
      </c>
      <c r="U308" s="8" t="str">
        <f>IF(LEN(Table2[[#This Row],[!Name]]) &gt; 0, Table2[[#This Row],[!Name]], "rg:None")</f>
        <v>id</v>
      </c>
      <c r="V308" s="8" t="str">
        <f>IF(LEN(Table2[[#This Row],[!Description]]) &gt; 0, Table2[[#This Row],[!Description]], "rg:None")</f>
        <v>A system-generated unique identifier for a UserRole</v>
      </c>
      <c r="W308" s="8" t="str">
        <f>IF(LEN(Table2[[#This Row],[!FK]])&gt;0,Table2[[#This Row],[!FK]],"rg:None")</f>
        <v>rg:None</v>
      </c>
      <c r="X308" s="8" t="str">
        <f>IF(LEN(concatif2(A:A,Table2[[#This Row],[!Table]],G:G,"Y",D:D,",")) &gt; 0,"rg:[ { 'req' : '"&amp;concatif2(A:A,Table2[[#This Row],[!Table]],G:G,"Y",D:D,"' }, { 'req': '")&amp;"'} ]","rg:[]")</f>
        <v>rg:[ { 'req' : 'id' }, { 'req': 'effectiveDate' }, { 'req': 'user' }, { 'req': 'role'} ]</v>
      </c>
      <c r="Y308" s="8" t="str">
        <f>IF(LEN(Table2[[#This Row],[!Unique]])&gt;0,IF(Table2[[#This Row],[!Type]] = "id", "rg:None","rg:True"),"rg:None")</f>
        <v>rg:None</v>
      </c>
    </row>
    <row r="309" spans="1:25" x14ac:dyDescent="0.35">
      <c r="A309" s="5" t="s">
        <v>48</v>
      </c>
      <c r="B309" s="5" t="s">
        <v>12</v>
      </c>
      <c r="D309" s="5" t="s">
        <v>49</v>
      </c>
      <c r="E309" s="54" t="s">
        <v>324</v>
      </c>
      <c r="F309" s="5" t="s">
        <v>5</v>
      </c>
      <c r="G309" s="4" t="s">
        <v>59</v>
      </c>
      <c r="H309" s="4"/>
      <c r="I309" s="5" t="str">
        <f t="shared" si="30"/>
        <v>Defs</v>
      </c>
      <c r="J309" s="8" t="str">
        <f>IF(Table2[[#This Row],[!Type]]=J$1, J$1,"rg:None")</f>
        <v>rg:None</v>
      </c>
      <c r="K309" s="8" t="str">
        <f>IF(Table2[[#This Row],[!Type]]=K$1, K$1,"rg:None")</f>
        <v>rg:None</v>
      </c>
      <c r="L309" s="8" t="str">
        <f>IF(Table2[[#This Row],[!Type]]=L$1, L$1,"rg:None")</f>
        <v>datetime</v>
      </c>
      <c r="M309" s="8" t="str">
        <f>IF(Table2[[#This Row],[!Type]]=M$1, M$1,"rg:None")</f>
        <v>rg:None</v>
      </c>
      <c r="N309" s="8" t="str">
        <f>IF(Table2[[#This Row],[!Type]]=N$1, N$1,"rg:None")</f>
        <v>rg:None</v>
      </c>
      <c r="O309" s="8" t="str">
        <f>IF(Table2[[#This Row],[!Type]]=O$1, O$1,"rg:None")</f>
        <v>rg:None</v>
      </c>
      <c r="P309" s="5" t="str">
        <f>IF(Table2[[#This Row],[!Type]]=P$1, P$1,"rg:None")</f>
        <v>rg:None</v>
      </c>
      <c r="Q309" s="5" t="str">
        <f>IF(Table2[[#This Row],[!Type]]=Q$1, Q$1,"rg:None")</f>
        <v>rg:None</v>
      </c>
      <c r="R309" s="5" t="str">
        <f>IF(Table2[[#This Row],[!Type]]=R$1, R$1,"rg:None")</f>
        <v>rg:None</v>
      </c>
      <c r="S309" s="5" t="str">
        <f>IF(Table2[[#This Row],[!Type]]=S$1, S$1,"rg:None")</f>
        <v>rg:None</v>
      </c>
      <c r="T309" s="8" t="str">
        <f>IF(LEN(Table2[[#This Row],[!Length]]) &gt; 0, Table2[[#This Row],[!Length]], "rg:None")</f>
        <v>rg:None</v>
      </c>
      <c r="U309" s="8" t="str">
        <f>IF(LEN(Table2[[#This Row],[!Name]]) &gt; 0, Table2[[#This Row],[!Name]], "rg:None")</f>
        <v>effectiveDate</v>
      </c>
      <c r="V309" s="8" t="str">
        <f>IF(LEN(Table2[[#This Row],[!Description]]) &gt; 0, Table2[[#This Row],[!Description]], "rg:None")</f>
        <v>The date on which the user was given the related role.</v>
      </c>
      <c r="W309" s="8" t="str">
        <f>IF(LEN(Table2[[#This Row],[!FK]])&gt;0,Table2[[#This Row],[!FK]],"rg:None")</f>
        <v>rg:None</v>
      </c>
      <c r="X309" s="8" t="str">
        <f>IF(LEN(concatif2(A:A,Table2[[#This Row],[!Table]],G:G,"Y",D:D,",")) &gt; 0,"rg:[ { 'req' : '"&amp;concatif2(A:A,Table2[[#This Row],[!Table]],G:G,"Y",D:D,"' }, { 'req': '")&amp;"'} ]","rg:[]")</f>
        <v>rg:[ { 'req' : 'id' }, { 'req': 'effectiveDate' }, { 'req': 'user' }, { 'req': 'role'} ]</v>
      </c>
      <c r="Y309" s="8" t="str">
        <f>IF(LEN(Table2[[#This Row],[!Unique]])&gt;0,IF(Table2[[#This Row],[!Type]] = "id", "rg:None","rg:True"),"rg:None")</f>
        <v>rg:None</v>
      </c>
    </row>
    <row r="310" spans="1:25" x14ac:dyDescent="0.35">
      <c r="A310" s="5" t="s">
        <v>48</v>
      </c>
      <c r="B310" s="5" t="s">
        <v>12</v>
      </c>
      <c r="D310" s="5" t="s">
        <v>50</v>
      </c>
      <c r="E310" s="54" t="s">
        <v>325</v>
      </c>
      <c r="F310" s="5" t="s">
        <v>5</v>
      </c>
      <c r="G310" s="4"/>
      <c r="H310" s="4"/>
      <c r="I310" s="5" t="str">
        <f t="shared" si="30"/>
        <v>Defs</v>
      </c>
      <c r="J310" s="8" t="str">
        <f>IF(Table2[[#This Row],[!Type]]=J$1, J$1,"rg:None")</f>
        <v>rg:None</v>
      </c>
      <c r="K310" s="8" t="str">
        <f>IF(Table2[[#This Row],[!Type]]=K$1, K$1,"rg:None")</f>
        <v>rg:None</v>
      </c>
      <c r="L310" s="8" t="str">
        <f>IF(Table2[[#This Row],[!Type]]=L$1, L$1,"rg:None")</f>
        <v>datetime</v>
      </c>
      <c r="M310" s="8" t="str">
        <f>IF(Table2[[#This Row],[!Type]]=M$1, M$1,"rg:None")</f>
        <v>rg:None</v>
      </c>
      <c r="N310" s="8" t="str">
        <f>IF(Table2[[#This Row],[!Type]]=N$1, N$1,"rg:None")</f>
        <v>rg:None</v>
      </c>
      <c r="O310" s="8" t="str">
        <f>IF(Table2[[#This Row],[!Type]]=O$1, O$1,"rg:None")</f>
        <v>rg:None</v>
      </c>
      <c r="P310" s="5" t="str">
        <f>IF(Table2[[#This Row],[!Type]]=P$1, P$1,"rg:None")</f>
        <v>rg:None</v>
      </c>
      <c r="Q310" s="5" t="str">
        <f>IF(Table2[[#This Row],[!Type]]=Q$1, Q$1,"rg:None")</f>
        <v>rg:None</v>
      </c>
      <c r="R310" s="5" t="str">
        <f>IF(Table2[[#This Row],[!Type]]=R$1, R$1,"rg:None")</f>
        <v>rg:None</v>
      </c>
      <c r="S310" s="5" t="str">
        <f>IF(Table2[[#This Row],[!Type]]=S$1, S$1,"rg:None")</f>
        <v>rg:None</v>
      </c>
      <c r="T310" s="8" t="str">
        <f>IF(LEN(Table2[[#This Row],[!Length]]) &gt; 0, Table2[[#This Row],[!Length]], "rg:None")</f>
        <v>rg:None</v>
      </c>
      <c r="U310" s="8" t="str">
        <f>IF(LEN(Table2[[#This Row],[!Name]]) &gt; 0, Table2[[#This Row],[!Name]], "rg:None")</f>
        <v>expiryDate</v>
      </c>
      <c r="V310" s="8" t="str">
        <f>IF(LEN(Table2[[#This Row],[!Description]]) &gt; 0, Table2[[#This Row],[!Description]], "rg:None")</f>
        <v>The date on which a role previously assigned to a user was removed from that user.</v>
      </c>
      <c r="W310" s="8" t="str">
        <f>IF(LEN(Table2[[#This Row],[!FK]])&gt;0,Table2[[#This Row],[!FK]],"rg:None")</f>
        <v>rg:None</v>
      </c>
      <c r="X310" s="8" t="str">
        <f>IF(LEN(concatif2(A:A,Table2[[#This Row],[!Table]],G:G,"Y",D:D,",")) &gt; 0,"rg:[ { 'req' : '"&amp;concatif2(A:A,Table2[[#This Row],[!Table]],G:G,"Y",D:D,"' }, { 'req': '")&amp;"'} ]","rg:[]")</f>
        <v>rg:[ { 'req' : 'id' }, { 'req': 'effectiveDate' }, { 'req': 'user' }, { 'req': 'role'} ]</v>
      </c>
      <c r="Y310" s="8" t="str">
        <f>IF(LEN(Table2[[#This Row],[!Unique]])&gt;0,IF(Table2[[#This Row],[!Type]] = "id", "rg:None","rg:True"),"rg:None")</f>
        <v>rg:None</v>
      </c>
    </row>
    <row r="311" spans="1:25" x14ac:dyDescent="0.35">
      <c r="A311" s="164" t="s">
        <v>48</v>
      </c>
      <c r="B311" s="164" t="s">
        <v>8</v>
      </c>
      <c r="C311" s="72"/>
      <c r="D311" s="164" t="s">
        <v>40</v>
      </c>
      <c r="E311" s="170" t="s">
        <v>536</v>
      </c>
      <c r="F311" s="165" t="s">
        <v>0</v>
      </c>
      <c r="G311" s="166" t="s">
        <v>59</v>
      </c>
      <c r="H311" s="18"/>
      <c r="I311" s="4" t="str">
        <f>IF(LEN(A311) &gt; 0,"Defs","-")</f>
        <v>Defs</v>
      </c>
      <c r="J311" s="14" t="str">
        <f>IF(Table2[[#This Row],[!Type]]=J$1, J$1,"rg:None")</f>
        <v>rg:None</v>
      </c>
      <c r="K311" s="14" t="str">
        <f>IF(Table2[[#This Row],[!Type]]=K$1, K$1,"rg:None")</f>
        <v>rg:None</v>
      </c>
      <c r="L311" s="14" t="str">
        <f>IF(Table2[[#This Row],[!Type]]=L$1, L$1,"rg:None")</f>
        <v>rg:None</v>
      </c>
      <c r="M311" s="14" t="str">
        <f>IF(Table2[[#This Row],[!Type]]=M$1, M$1,"rg:None")</f>
        <v>rg:None</v>
      </c>
      <c r="N311" s="14" t="str">
        <f>IF(Table2[[#This Row],[!Type]]=N$1, N$1,"rg:None")</f>
        <v>rg:None</v>
      </c>
      <c r="O311" s="14" t="str">
        <f>IF(Table2[[#This Row],[!Type]]=O$1, O$1,"rg:None")</f>
        <v>rg:None</v>
      </c>
      <c r="P311" s="4" t="str">
        <f>IF(Table2[[#This Row],[!Type]]=P$1, P$1,"rg:None")</f>
        <v>rg:None</v>
      </c>
      <c r="Q311" s="4" t="str">
        <f>IF(Table2[[#This Row],[!Type]]=Q$1, Q$1,"rg:None")</f>
        <v>ref</v>
      </c>
      <c r="R311" s="4" t="str">
        <f>IF(Table2[[#This Row],[!Type]]=R$1, R$1,"rg:None")</f>
        <v>rg:None</v>
      </c>
      <c r="S311" s="4" t="str">
        <f>IF(Table2[[#This Row],[!Type]]=S$1, S$1,"rg:None")</f>
        <v>rg:None</v>
      </c>
      <c r="T311" s="14" t="str">
        <f>IF(LEN(Table2[[#This Row],[!Length]]) &gt; 0, Table2[[#This Row],[!Length]], "rg:None")</f>
        <v>rg:None</v>
      </c>
      <c r="U311" s="14" t="str">
        <f>IF(LEN(Table2[[#This Row],[!Name]]) &gt; 0, Table2[[#This Row],[!Name]], "rg:None")</f>
        <v>user</v>
      </c>
      <c r="V311" s="14" t="str">
        <f>IF(LEN(Table2[[#This Row],[!Description]]) &gt; 0, Table2[[#This Row],[!Description]], "rg:None")</f>
        <v>A foreign key reference to the system-generated unique identifier for a User</v>
      </c>
      <c r="W311" s="14" t="str">
        <f>IF(LEN(Table2[[#This Row],[!FK]])&gt;0,Table2[[#This Row],[!FK]],"rg:None")</f>
        <v>User</v>
      </c>
      <c r="X311" s="14" t="str">
        <f>IF(LEN(concatif2(A:A,Table2[[#This Row],[!Table]],G:G,"Y",D:D,",")) &gt; 0,"rg:[ { 'req' : '"&amp;concatif2(A:A,Table2[[#This Row],[!Table]],G:G,"Y",D:D,"' }, { 'req': '")&amp;"'} ]","rg:[]")</f>
        <v>rg:[ { 'req' : 'id' }, { 'req': 'effectiveDate' }, { 'req': 'user' }, { 'req': 'role'} ]</v>
      </c>
      <c r="Y311" s="14" t="str">
        <f>IF(LEN(Table2[[#This Row],[!Unique]])&gt;0,IF(Table2[[#This Row],[!Type]] = "id", "rg:None","rg:True"),"rg:None")</f>
        <v>rg:None</v>
      </c>
    </row>
    <row r="312" spans="1:25" x14ac:dyDescent="0.35">
      <c r="A312" s="167" t="s">
        <v>48</v>
      </c>
      <c r="B312" s="5" t="s">
        <v>8</v>
      </c>
      <c r="D312" s="5" t="s">
        <v>18</v>
      </c>
      <c r="E312" s="130" t="s">
        <v>533</v>
      </c>
      <c r="F312" s="5" t="s">
        <v>51</v>
      </c>
      <c r="G312" s="171" t="s">
        <v>59</v>
      </c>
      <c r="H312" s="4"/>
      <c r="I312" s="5" t="str">
        <f t="shared" si="30"/>
        <v>Defs</v>
      </c>
      <c r="J312" s="8" t="str">
        <f>IF(Table2[[#This Row],[!Type]]=J$1, J$1,"rg:None")</f>
        <v>rg:None</v>
      </c>
      <c r="K312" s="8" t="str">
        <f>IF(Table2[[#This Row],[!Type]]=K$1, K$1,"rg:None")</f>
        <v>rg:None</v>
      </c>
      <c r="L312" s="8" t="str">
        <f>IF(Table2[[#This Row],[!Type]]=L$1, L$1,"rg:None")</f>
        <v>rg:None</v>
      </c>
      <c r="M312" s="8" t="str">
        <f>IF(Table2[[#This Row],[!Type]]=M$1, M$1,"rg:None")</f>
        <v>rg:None</v>
      </c>
      <c r="N312" s="8" t="str">
        <f>IF(Table2[[#This Row],[!Type]]=N$1, N$1,"rg:None")</f>
        <v>rg:None</v>
      </c>
      <c r="O312" s="8" t="str">
        <f>IF(Table2[[#This Row],[!Type]]=O$1, O$1,"rg:None")</f>
        <v>rg:None</v>
      </c>
      <c r="P312" s="5" t="str">
        <f>IF(Table2[[#This Row],[!Type]]=P$1, P$1,"rg:None")</f>
        <v>rg:None</v>
      </c>
      <c r="Q312" s="5" t="str">
        <f>IF(Table2[[#This Row],[!Type]]=Q$1, Q$1,"rg:None")</f>
        <v>ref</v>
      </c>
      <c r="R312" s="5" t="str">
        <f>IF(Table2[[#This Row],[!Type]]=R$1, R$1,"rg:None")</f>
        <v>rg:None</v>
      </c>
      <c r="S312" s="5" t="str">
        <f>IF(Table2[[#This Row],[!Type]]=S$1, S$1,"rg:None")</f>
        <v>rg:None</v>
      </c>
      <c r="T312" s="8" t="str">
        <f>IF(LEN(Table2[[#This Row],[!Length]]) &gt; 0, Table2[[#This Row],[!Length]], "rg:None")</f>
        <v>rg:None</v>
      </c>
      <c r="U312" s="8" t="str">
        <f>IF(LEN(Table2[[#This Row],[!Name]]) &gt; 0, Table2[[#This Row],[!Name]], "rg:None")</f>
        <v>role</v>
      </c>
      <c r="V312" s="8" t="str">
        <f>IF(LEN(Table2[[#This Row],[!Description]]) &gt; 0, Table2[[#This Row],[!Description]], "rg:None")</f>
        <v>A foreign key reference to the system-generated unique identifier for a Role</v>
      </c>
      <c r="W312" s="8" t="str">
        <f>IF(LEN(Table2[[#This Row],[!FK]])&gt;0,Table2[[#This Row],[!FK]],"rg:None")</f>
        <v>Role</v>
      </c>
      <c r="X312" s="8" t="str">
        <f>IF(LEN(concatif2(A:A,Table2[[#This Row],[!Table]],G:G,"Y",D:D,",")) &gt; 0,"rg:[ { 'req' : '"&amp;concatif2(A:A,Table2[[#This Row],[!Table]],G:G,"Y",D:D,"' }, { 'req': '")&amp;"'} ]","rg:[]")</f>
        <v>rg:[ { 'req' : 'id' }, { 'req': 'effectiveDate' }, { 'req': 'user' }, { 'req': 'role'} ]</v>
      </c>
      <c r="Y312" s="8" t="str">
        <f>IF(LEN(Table2[[#This Row],[!Unique]])&gt;0,IF(Table2[[#This Row],[!Type]] = "id", "rg:None","rg:True"),"rg:None")</f>
        <v>rg:None</v>
      </c>
    </row>
    <row r="313" spans="1:25" ht="43.2" x14ac:dyDescent="0.35">
      <c r="A313" s="5" t="s">
        <v>51</v>
      </c>
      <c r="B313" s="5" t="s">
        <v>4</v>
      </c>
      <c r="D313" s="5" t="s">
        <v>51</v>
      </c>
      <c r="E313" s="76" t="s">
        <v>365</v>
      </c>
      <c r="F313" s="5" t="s">
        <v>5</v>
      </c>
      <c r="G313" s="4"/>
      <c r="H313" s="4"/>
      <c r="I313" s="5" t="str">
        <f t="shared" si="30"/>
        <v>Defs</v>
      </c>
      <c r="J313" s="8" t="str">
        <f>IF(Table2[[#This Row],[!Type]]=J$1, J$1,"rg:None")</f>
        <v>rg:None</v>
      </c>
      <c r="K313" s="8" t="str">
        <f>IF(Table2[[#This Row],[!Type]]=K$1, K$1,"rg:None")</f>
        <v>rg:None</v>
      </c>
      <c r="L313" s="8" t="str">
        <f>IF(Table2[[#This Row],[!Type]]=L$1, L$1,"rg:None")</f>
        <v>rg:None</v>
      </c>
      <c r="M313" s="8" t="str">
        <f>IF(Table2[[#This Row],[!Type]]=M$1, M$1,"rg:None")</f>
        <v>rg:None</v>
      </c>
      <c r="N313" s="8" t="str">
        <f>IF(Table2[[#This Row],[!Type]]=N$1, N$1,"rg:None")</f>
        <v>rg:None</v>
      </c>
      <c r="O313" s="8" t="str">
        <f>IF(Table2[[#This Row],[!Type]]=O$1, O$1,"rg:None")</f>
        <v>rg:None</v>
      </c>
      <c r="P313" s="5" t="str">
        <f>IF(Table2[[#This Row],[!Type]]=P$1, P$1,"rg:None")</f>
        <v>rg:None</v>
      </c>
      <c r="Q313" s="5" t="str">
        <f>IF(Table2[[#This Row],[!Type]]=Q$1, Q$1,"rg:None")</f>
        <v>rg:None</v>
      </c>
      <c r="R313" s="5" t="str">
        <f>IF(Table2[[#This Row],[!Type]]=R$1, R$1,"rg:None")</f>
        <v>rg:None</v>
      </c>
      <c r="S313" s="5" t="str">
        <f>IF(Table2[[#This Row],[!Type]]=S$1, S$1,"rg:None")</f>
        <v>table</v>
      </c>
      <c r="T313" s="8" t="str">
        <f>IF(LEN(Table2[[#This Row],[!Length]]) &gt; 0, Table2[[#This Row],[!Length]], "rg:None")</f>
        <v>rg:None</v>
      </c>
      <c r="U313" s="8" t="str">
        <f>IF(LEN(Table2[[#This Row],[!Name]]) &gt; 0, Table2[[#This Row],[!Name]], "rg:None")</f>
        <v>Role</v>
      </c>
      <c r="V313" s="8" t="str">
        <f>IF(LEN(Table2[[#This Row],[!Description]]) &gt; 0, Table2[[#This Row],[!Description]], "rg:None")</f>
        <v>A HETS application-managed Role that has a selected list of permissions and can be assigned to Users. A role coresponds to the authorization level provided a user based on the work for which they are responsible.</v>
      </c>
      <c r="W313" s="8" t="str">
        <f>IF(LEN(Table2[[#This Row],[!FK]])&gt;0,Table2[[#This Row],[!FK]],"rg:None")</f>
        <v>rg:None</v>
      </c>
      <c r="X313" s="8" t="str">
        <f>IF(LEN(concatif2(A:A,Table2[[#This Row],[!Table]],G:G,"Y",D:D,",")) &gt; 0,"rg:[ { 'req' : '"&amp;concatif2(A:A,Table2[[#This Row],[!Table]],G:G,"Y",D:D,"' }, { 'req': '")&amp;"'} ]","rg:[]")</f>
        <v>rg:[ { 'req' : 'id' }, { 'req': 'name' }, { 'req': 'description'} ]</v>
      </c>
      <c r="Y313" s="8" t="str">
        <f>IF(LEN(Table2[[#This Row],[!Unique]])&gt;0,IF(Table2[[#This Row],[!Type]] = "id", "rg:None","rg:True"),"rg:None")</f>
        <v>rg:None</v>
      </c>
    </row>
    <row r="314" spans="1:25" x14ac:dyDescent="0.35">
      <c r="A314" s="5" t="s">
        <v>51</v>
      </c>
      <c r="B314" s="5" t="s">
        <v>6</v>
      </c>
      <c r="D314" s="5" t="s">
        <v>6</v>
      </c>
      <c r="E314" s="54" t="s">
        <v>326</v>
      </c>
      <c r="F314" s="5" t="s">
        <v>5</v>
      </c>
      <c r="G314" s="4" t="s">
        <v>59</v>
      </c>
      <c r="H314" s="155" t="s">
        <v>59</v>
      </c>
      <c r="I314" s="5" t="str">
        <f t="shared" si="30"/>
        <v>Defs</v>
      </c>
      <c r="J314" s="8" t="str">
        <f>IF(Table2[[#This Row],[!Type]]=J$1, J$1,"rg:None")</f>
        <v>rg:None</v>
      </c>
      <c r="K314" s="8" t="str">
        <f>IF(Table2[[#This Row],[!Type]]=K$1, K$1,"rg:None")</f>
        <v>rg:None</v>
      </c>
      <c r="L314" s="8" t="str">
        <f>IF(Table2[[#This Row],[!Type]]=L$1, L$1,"rg:None")</f>
        <v>rg:None</v>
      </c>
      <c r="M314" s="8" t="str">
        <f>IF(Table2[[#This Row],[!Type]]=M$1, M$1,"rg:None")</f>
        <v>id</v>
      </c>
      <c r="N314" s="8" t="str">
        <f>IF(Table2[[#This Row],[!Type]]=N$1, N$1,"rg:None")</f>
        <v>rg:None</v>
      </c>
      <c r="O314" s="8" t="str">
        <f>IF(Table2[[#This Row],[!Type]]=O$1, O$1,"rg:None")</f>
        <v>rg:None</v>
      </c>
      <c r="P314" s="5" t="str">
        <f>IF(Table2[[#This Row],[!Type]]=P$1, P$1,"rg:None")</f>
        <v>rg:None</v>
      </c>
      <c r="Q314" s="5" t="str">
        <f>IF(Table2[[#This Row],[!Type]]=Q$1, Q$1,"rg:None")</f>
        <v>rg:None</v>
      </c>
      <c r="R314" s="5" t="str">
        <f>IF(Table2[[#This Row],[!Type]]=R$1, R$1,"rg:None")</f>
        <v>rg:None</v>
      </c>
      <c r="S314" s="5" t="str">
        <f>IF(Table2[[#This Row],[!Type]]=S$1, S$1,"rg:None")</f>
        <v>rg:None</v>
      </c>
      <c r="T314" s="8" t="str">
        <f>IF(LEN(Table2[[#This Row],[!Length]]) &gt; 0, Table2[[#This Row],[!Length]], "rg:None")</f>
        <v>rg:None</v>
      </c>
      <c r="U314" s="8" t="str">
        <f>IF(LEN(Table2[[#This Row],[!Name]]) &gt; 0, Table2[[#This Row],[!Name]], "rg:None")</f>
        <v>id</v>
      </c>
      <c r="V314" s="8" t="str">
        <f>IF(LEN(Table2[[#This Row],[!Description]]) &gt; 0, Table2[[#This Row],[!Description]], "rg:None")</f>
        <v>A system-generated unique identifier for a Role</v>
      </c>
      <c r="W314" s="8" t="str">
        <f>IF(LEN(Table2[[#This Row],[!FK]])&gt;0,Table2[[#This Row],[!FK]],"rg:None")</f>
        <v>rg:None</v>
      </c>
      <c r="X314" s="8" t="str">
        <f>IF(LEN(concatif2(A:A,Table2[[#This Row],[!Table]],G:G,"Y",D:D,",")) &gt; 0,"rg:[ { 'req' : '"&amp;concatif2(A:A,Table2[[#This Row],[!Table]],G:G,"Y",D:D,"' }, { 'req': '")&amp;"'} ]","rg:[]")</f>
        <v>rg:[ { 'req' : 'id' }, { 'req': 'name' }, { 'req': 'description'} ]</v>
      </c>
      <c r="Y314" s="8" t="str">
        <f>IF(LEN(Table2[[#This Row],[!Unique]])&gt;0,IF(Table2[[#This Row],[!Type]] = "id", "rg:None","rg:True"),"rg:None")</f>
        <v>rg:None</v>
      </c>
    </row>
    <row r="315" spans="1:25" x14ac:dyDescent="0.35">
      <c r="A315" s="5" t="s">
        <v>51</v>
      </c>
      <c r="B315" s="5" t="s">
        <v>7</v>
      </c>
      <c r="C315" s="5">
        <v>255</v>
      </c>
      <c r="D315" s="5" t="s">
        <v>15</v>
      </c>
      <c r="E315" s="54" t="s">
        <v>327</v>
      </c>
      <c r="F315" s="5" t="s">
        <v>5</v>
      </c>
      <c r="G315" s="4" t="s">
        <v>59</v>
      </c>
      <c r="H315" s="4"/>
      <c r="I315" s="5" t="str">
        <f t="shared" si="30"/>
        <v>Defs</v>
      </c>
      <c r="J315" s="8" t="str">
        <f>IF(Table2[[#This Row],[!Type]]=J$1, J$1,"rg:None")</f>
        <v>rg:None</v>
      </c>
      <c r="K315" s="8" t="str">
        <f>IF(Table2[[#This Row],[!Type]]=K$1, K$1,"rg:None")</f>
        <v>rg:None</v>
      </c>
      <c r="L315" s="8" t="str">
        <f>IF(Table2[[#This Row],[!Type]]=L$1, L$1,"rg:None")</f>
        <v>rg:None</v>
      </c>
      <c r="M315" s="8" t="str">
        <f>IF(Table2[[#This Row],[!Type]]=M$1, M$1,"rg:None")</f>
        <v>rg:None</v>
      </c>
      <c r="N315" s="8" t="str">
        <f>IF(Table2[[#This Row],[!Type]]=N$1, N$1,"rg:None")</f>
        <v>rg:None</v>
      </c>
      <c r="O315" s="8" t="str">
        <f>IF(Table2[[#This Row],[!Type]]=O$1, O$1,"rg:None")</f>
        <v>rg:None</v>
      </c>
      <c r="P315" s="5" t="str">
        <f>IF(Table2[[#This Row],[!Type]]=P$1, P$1,"rg:None")</f>
        <v>rg:None</v>
      </c>
      <c r="Q315" s="5" t="str">
        <f>IF(Table2[[#This Row],[!Type]]=Q$1, Q$1,"rg:None")</f>
        <v>rg:None</v>
      </c>
      <c r="R315" s="5" t="str">
        <f>IF(Table2[[#This Row],[!Type]]=R$1, R$1,"rg:None")</f>
        <v>string</v>
      </c>
      <c r="S315" s="5" t="str">
        <f>IF(Table2[[#This Row],[!Type]]=S$1, S$1,"rg:None")</f>
        <v>rg:None</v>
      </c>
      <c r="T315" s="8">
        <f>IF(LEN(Table2[[#This Row],[!Length]]) &gt; 0, Table2[[#This Row],[!Length]], "rg:None")</f>
        <v>255</v>
      </c>
      <c r="U315" s="8" t="str">
        <f>IF(LEN(Table2[[#This Row],[!Name]]) &gt; 0, Table2[[#This Row],[!Name]], "rg:None")</f>
        <v>name</v>
      </c>
      <c r="V315" s="8" t="str">
        <f>IF(LEN(Table2[[#This Row],[!Description]]) &gt; 0, Table2[[#This Row],[!Description]], "rg:None")</f>
        <v>The name of the Role, as established by the user creating the role.</v>
      </c>
      <c r="W315" s="8" t="str">
        <f>IF(LEN(Table2[[#This Row],[!FK]])&gt;0,Table2[[#This Row],[!FK]],"rg:None")</f>
        <v>rg:None</v>
      </c>
      <c r="X315" s="8" t="str">
        <f>IF(LEN(concatif2(A:A,Table2[[#This Row],[!Table]],G:G,"Y",D:D,",")) &gt; 0,"rg:[ { 'req' : '"&amp;concatif2(A:A,Table2[[#This Row],[!Table]],G:G,"Y",D:D,"' }, { 'req': '")&amp;"'} ]","rg:[]")</f>
        <v>rg:[ { 'req' : 'id' }, { 'req': 'name' }, { 'req': 'description'} ]</v>
      </c>
      <c r="Y315" s="8" t="str">
        <f>IF(LEN(Table2[[#This Row],[!Unique]])&gt;0,IF(Table2[[#This Row],[!Type]] = "id", "rg:None","rg:True"),"rg:None")</f>
        <v>rg:None</v>
      </c>
    </row>
    <row r="316" spans="1:25" x14ac:dyDescent="0.35">
      <c r="A316" s="5" t="s">
        <v>51</v>
      </c>
      <c r="B316" s="5" t="s">
        <v>7</v>
      </c>
      <c r="C316" s="5">
        <v>2048</v>
      </c>
      <c r="D316" s="5" t="s">
        <v>14</v>
      </c>
      <c r="E316" s="54" t="s">
        <v>328</v>
      </c>
      <c r="F316" s="5" t="s">
        <v>5</v>
      </c>
      <c r="G316" s="4" t="s">
        <v>59</v>
      </c>
      <c r="H316" s="4"/>
      <c r="I316" s="5" t="str">
        <f t="shared" si="30"/>
        <v>Defs</v>
      </c>
      <c r="J316" s="8" t="str">
        <f>IF(Table2[[#This Row],[!Type]]=J$1, J$1,"rg:None")</f>
        <v>rg:None</v>
      </c>
      <c r="K316" s="8" t="str">
        <f>IF(Table2[[#This Row],[!Type]]=K$1, K$1,"rg:None")</f>
        <v>rg:None</v>
      </c>
      <c r="L316" s="8" t="str">
        <f>IF(Table2[[#This Row],[!Type]]=L$1, L$1,"rg:None")</f>
        <v>rg:None</v>
      </c>
      <c r="M316" s="8" t="str">
        <f>IF(Table2[[#This Row],[!Type]]=M$1, M$1,"rg:None")</f>
        <v>rg:None</v>
      </c>
      <c r="N316" s="8" t="str">
        <f>IF(Table2[[#This Row],[!Type]]=N$1, N$1,"rg:None")</f>
        <v>rg:None</v>
      </c>
      <c r="O316" s="8" t="str">
        <f>IF(Table2[[#This Row],[!Type]]=O$1, O$1,"rg:None")</f>
        <v>rg:None</v>
      </c>
      <c r="P316" s="5" t="str">
        <f>IF(Table2[[#This Row],[!Type]]=P$1, P$1,"rg:None")</f>
        <v>rg:None</v>
      </c>
      <c r="Q316" s="5" t="str">
        <f>IF(Table2[[#This Row],[!Type]]=Q$1, Q$1,"rg:None")</f>
        <v>rg:None</v>
      </c>
      <c r="R316" s="5" t="str">
        <f>IF(Table2[[#This Row],[!Type]]=R$1, R$1,"rg:None")</f>
        <v>string</v>
      </c>
      <c r="S316" s="5" t="str">
        <f>IF(Table2[[#This Row],[!Type]]=S$1, S$1,"rg:None")</f>
        <v>rg:None</v>
      </c>
      <c r="T316" s="8">
        <f>IF(LEN(Table2[[#This Row],[!Length]]) &gt; 0, Table2[[#This Row],[!Length]], "rg:None")</f>
        <v>2048</v>
      </c>
      <c r="U316" s="8" t="str">
        <f>IF(LEN(Table2[[#This Row],[!Name]]) &gt; 0, Table2[[#This Row],[!Name]], "rg:None")</f>
        <v>description</v>
      </c>
      <c r="V316" s="8" t="str">
        <f>IF(LEN(Table2[[#This Row],[!Description]]) &gt; 0, Table2[[#This Row],[!Description]], "rg:None")</f>
        <v>A description of the role as set by the user creating/updating the role.</v>
      </c>
      <c r="W316" s="8" t="str">
        <f>IF(LEN(Table2[[#This Row],[!FK]])&gt;0,Table2[[#This Row],[!FK]],"rg:None")</f>
        <v>rg:None</v>
      </c>
      <c r="X316" s="8" t="str">
        <f>IF(LEN(concatif2(A:A,Table2[[#This Row],[!Table]],G:G,"Y",D:D,",")) &gt; 0,"rg:[ { 'req' : '"&amp;concatif2(A:A,Table2[[#This Row],[!Table]],G:G,"Y",D:D,"' }, { 'req': '")&amp;"'} ]","rg:[]")</f>
        <v>rg:[ { 'req' : 'id' }, { 'req': 'name' }, { 'req': 'description'} ]</v>
      </c>
      <c r="Y316" s="8" t="str">
        <f>IF(LEN(Table2[[#This Row],[!Unique]])&gt;0,IF(Table2[[#This Row],[!Type]] = "id", "rg:None","rg:True"),"rg:None")</f>
        <v>rg:None</v>
      </c>
    </row>
    <row r="317" spans="1:25" ht="28.8" x14ac:dyDescent="0.35">
      <c r="A317" s="5" t="s">
        <v>52</v>
      </c>
      <c r="B317" s="5" t="s">
        <v>4</v>
      </c>
      <c r="D317" s="5" t="s">
        <v>52</v>
      </c>
      <c r="E317" s="76" t="s">
        <v>366</v>
      </c>
      <c r="F317" s="5" t="s">
        <v>5</v>
      </c>
      <c r="G317" s="4"/>
      <c r="H317" s="4"/>
      <c r="I317" s="5" t="str">
        <f t="shared" si="30"/>
        <v>Defs</v>
      </c>
      <c r="J317" s="8" t="str">
        <f>IF(Table2[[#This Row],[!Type]]=J$1, J$1,"rg:None")</f>
        <v>rg:None</v>
      </c>
      <c r="K317" s="8" t="str">
        <f>IF(Table2[[#This Row],[!Type]]=K$1, K$1,"rg:None")</f>
        <v>rg:None</v>
      </c>
      <c r="L317" s="8" t="str">
        <f>IF(Table2[[#This Row],[!Type]]=L$1, L$1,"rg:None")</f>
        <v>rg:None</v>
      </c>
      <c r="M317" s="8" t="str">
        <f>IF(Table2[[#This Row],[!Type]]=M$1, M$1,"rg:None")</f>
        <v>rg:None</v>
      </c>
      <c r="N317" s="8" t="str">
        <f>IF(Table2[[#This Row],[!Type]]=N$1, N$1,"rg:None")</f>
        <v>rg:None</v>
      </c>
      <c r="O317" s="8" t="str">
        <f>IF(Table2[[#This Row],[!Type]]=O$1, O$1,"rg:None")</f>
        <v>rg:None</v>
      </c>
      <c r="P317" s="5" t="str">
        <f>IF(Table2[[#This Row],[!Type]]=P$1, P$1,"rg:None")</f>
        <v>rg:None</v>
      </c>
      <c r="Q317" s="5" t="str">
        <f>IF(Table2[[#This Row],[!Type]]=Q$1, Q$1,"rg:None")</f>
        <v>rg:None</v>
      </c>
      <c r="R317" s="5" t="str">
        <f>IF(Table2[[#This Row],[!Type]]=R$1, R$1,"rg:None")</f>
        <v>rg:None</v>
      </c>
      <c r="S317" s="5" t="str">
        <f>IF(Table2[[#This Row],[!Type]]=S$1, S$1,"rg:None")</f>
        <v>table</v>
      </c>
      <c r="T317" s="8" t="str">
        <f>IF(LEN(Table2[[#This Row],[!Length]]) &gt; 0, Table2[[#This Row],[!Length]], "rg:None")</f>
        <v>rg:None</v>
      </c>
      <c r="U317" s="8" t="str">
        <f>IF(LEN(Table2[[#This Row],[!Name]]) &gt; 0, Table2[[#This Row],[!Name]], "rg:None")</f>
        <v>RolePermission</v>
      </c>
      <c r="V317" s="8" t="str">
        <f>IF(LEN(Table2[[#This Row],[!Description]]) &gt; 0, Table2[[#This Row],[!Description]], "rg:None")</f>
        <v>A permission that is part of a Role - a component of the authorization provided by the Role to the user to which the Role is assigned.</v>
      </c>
      <c r="W317" s="8" t="str">
        <f>IF(LEN(Table2[[#This Row],[!FK]])&gt;0,Table2[[#This Row],[!FK]],"rg:None")</f>
        <v>rg:None</v>
      </c>
      <c r="X317" s="8" t="str">
        <f>IF(LEN(concatif2(A:A,Table2[[#This Row],[!Table]],G:G,"Y",D:D,",")) &gt; 0,"rg:[ { 'req' : '"&amp;concatif2(A:A,Table2[[#This Row],[!Table]],G:G,"Y",D:D,"' }, { 'req': '")&amp;"'} ]","rg:[]")</f>
        <v>rg:[ { 'req' : 'id' }, { 'req': 'role' }, { 'req': 'permission'} ]</v>
      </c>
      <c r="Y317" s="8" t="str">
        <f>IF(LEN(Table2[[#This Row],[!Unique]])&gt;0,IF(Table2[[#This Row],[!Type]] = "id", "rg:None","rg:True"),"rg:None")</f>
        <v>rg:None</v>
      </c>
    </row>
    <row r="318" spans="1:25" x14ac:dyDescent="0.35">
      <c r="A318" s="5" t="s">
        <v>52</v>
      </c>
      <c r="B318" s="5" t="s">
        <v>6</v>
      </c>
      <c r="D318" s="5" t="s">
        <v>6</v>
      </c>
      <c r="E318" s="54" t="s">
        <v>329</v>
      </c>
      <c r="F318" s="5" t="s">
        <v>5</v>
      </c>
      <c r="G318" s="4" t="s">
        <v>59</v>
      </c>
      <c r="H318" s="4"/>
      <c r="I318" s="5" t="str">
        <f t="shared" si="30"/>
        <v>Defs</v>
      </c>
      <c r="J318" s="8" t="str">
        <f>IF(Table2[[#This Row],[!Type]]=J$1, J$1,"rg:None")</f>
        <v>rg:None</v>
      </c>
      <c r="K318" s="8" t="str">
        <f>IF(Table2[[#This Row],[!Type]]=K$1, K$1,"rg:None")</f>
        <v>rg:None</v>
      </c>
      <c r="L318" s="8" t="str">
        <f>IF(Table2[[#This Row],[!Type]]=L$1, L$1,"rg:None")</f>
        <v>rg:None</v>
      </c>
      <c r="M318" s="8" t="str">
        <f>IF(Table2[[#This Row],[!Type]]=M$1, M$1,"rg:None")</f>
        <v>id</v>
      </c>
      <c r="N318" s="8" t="str">
        <f>IF(Table2[[#This Row],[!Type]]=N$1, N$1,"rg:None")</f>
        <v>rg:None</v>
      </c>
      <c r="O318" s="8" t="str">
        <f>IF(Table2[[#This Row],[!Type]]=O$1, O$1,"rg:None")</f>
        <v>rg:None</v>
      </c>
      <c r="P318" s="5" t="str">
        <f>IF(Table2[[#This Row],[!Type]]=P$1, P$1,"rg:None")</f>
        <v>rg:None</v>
      </c>
      <c r="Q318" s="5" t="str">
        <f>IF(Table2[[#This Row],[!Type]]=Q$1, Q$1,"rg:None")</f>
        <v>rg:None</v>
      </c>
      <c r="R318" s="5" t="str">
        <f>IF(Table2[[#This Row],[!Type]]=R$1, R$1,"rg:None")</f>
        <v>rg:None</v>
      </c>
      <c r="S318" s="5" t="str">
        <f>IF(Table2[[#This Row],[!Type]]=S$1, S$1,"rg:None")</f>
        <v>rg:None</v>
      </c>
      <c r="T318" s="8" t="str">
        <f>IF(LEN(Table2[[#This Row],[!Length]]) &gt; 0, Table2[[#This Row],[!Length]], "rg:None")</f>
        <v>rg:None</v>
      </c>
      <c r="U318" s="8" t="str">
        <f>IF(LEN(Table2[[#This Row],[!Name]]) &gt; 0, Table2[[#This Row],[!Name]], "rg:None")</f>
        <v>id</v>
      </c>
      <c r="V318" s="8" t="str">
        <f>IF(LEN(Table2[[#This Row],[!Description]]) &gt; 0, Table2[[#This Row],[!Description]], "rg:None")</f>
        <v>A system-generated unique identifier for a RolePermission</v>
      </c>
      <c r="W318" s="8" t="str">
        <f>IF(LEN(Table2[[#This Row],[!FK]])&gt;0,Table2[[#This Row],[!FK]],"rg:None")</f>
        <v>rg:None</v>
      </c>
      <c r="X318" s="8" t="str">
        <f>IF(LEN(concatif2(A:A,Table2[[#This Row],[!Table]],G:G,"Y",D:D,",")) &gt; 0,"rg:[ { 'req' : '"&amp;concatif2(A:A,Table2[[#This Row],[!Table]],G:G,"Y",D:D,"' }, { 'req': '")&amp;"'} ]","rg:[]")</f>
        <v>rg:[ { 'req' : 'id' }, { 'req': 'role' }, { 'req': 'permission'} ]</v>
      </c>
      <c r="Y318" s="8" t="str">
        <f>IF(LEN(Table2[[#This Row],[!Unique]])&gt;0,IF(Table2[[#This Row],[!Type]] = "id", "rg:None","rg:True"),"rg:None")</f>
        <v>rg:None</v>
      </c>
    </row>
    <row r="319" spans="1:25" x14ac:dyDescent="0.35">
      <c r="A319" s="5" t="s">
        <v>52</v>
      </c>
      <c r="B319" s="5" t="s">
        <v>8</v>
      </c>
      <c r="D319" s="5" t="s">
        <v>18</v>
      </c>
      <c r="F319" s="5" t="s">
        <v>51</v>
      </c>
      <c r="G319" s="155" t="s">
        <v>59</v>
      </c>
      <c r="H319" s="4"/>
      <c r="I319" s="5" t="str">
        <f t="shared" si="30"/>
        <v>Defs</v>
      </c>
      <c r="J319" s="8" t="str">
        <f>IF(Table2[[#This Row],[!Type]]=J$1, J$1,"rg:None")</f>
        <v>rg:None</v>
      </c>
      <c r="K319" s="8" t="str">
        <f>IF(Table2[[#This Row],[!Type]]=K$1, K$1,"rg:None")</f>
        <v>rg:None</v>
      </c>
      <c r="L319" s="8" t="str">
        <f>IF(Table2[[#This Row],[!Type]]=L$1, L$1,"rg:None")</f>
        <v>rg:None</v>
      </c>
      <c r="M319" s="8" t="str">
        <f>IF(Table2[[#This Row],[!Type]]=M$1, M$1,"rg:None")</f>
        <v>rg:None</v>
      </c>
      <c r="N319" s="8" t="str">
        <f>IF(Table2[[#This Row],[!Type]]=N$1, N$1,"rg:None")</f>
        <v>rg:None</v>
      </c>
      <c r="O319" s="8" t="str">
        <f>IF(Table2[[#This Row],[!Type]]=O$1, O$1,"rg:None")</f>
        <v>rg:None</v>
      </c>
      <c r="P319" s="5" t="str">
        <f>IF(Table2[[#This Row],[!Type]]=P$1, P$1,"rg:None")</f>
        <v>rg:None</v>
      </c>
      <c r="Q319" s="5" t="str">
        <f>IF(Table2[[#This Row],[!Type]]=Q$1, Q$1,"rg:None")</f>
        <v>ref</v>
      </c>
      <c r="R319" s="5" t="str">
        <f>IF(Table2[[#This Row],[!Type]]=R$1, R$1,"rg:None")</f>
        <v>rg:None</v>
      </c>
      <c r="S319" s="5" t="str">
        <f>IF(Table2[[#This Row],[!Type]]=S$1, S$1,"rg:None")</f>
        <v>rg:None</v>
      </c>
      <c r="T319" s="8" t="str">
        <f>IF(LEN(Table2[[#This Row],[!Length]]) &gt; 0, Table2[[#This Row],[!Length]], "rg:None")</f>
        <v>rg:None</v>
      </c>
      <c r="U319" s="8" t="str">
        <f>IF(LEN(Table2[[#This Row],[!Name]]) &gt; 0, Table2[[#This Row],[!Name]], "rg:None")</f>
        <v>role</v>
      </c>
      <c r="V319" s="8" t="str">
        <f>IF(LEN(Table2[[#This Row],[!Description]]) &gt; 0, Table2[[#This Row],[!Description]], "rg:None")</f>
        <v>rg:None</v>
      </c>
      <c r="W319" s="8" t="str">
        <f>IF(LEN(Table2[[#This Row],[!FK]])&gt;0,Table2[[#This Row],[!FK]],"rg:None")</f>
        <v>Role</v>
      </c>
      <c r="X319" s="8" t="str">
        <f>IF(LEN(concatif2(A:A,Table2[[#This Row],[!Table]],G:G,"Y",D:D,",")) &gt; 0,"rg:[ { 'req' : '"&amp;concatif2(A:A,Table2[[#This Row],[!Table]],G:G,"Y",D:D,"' }, { 'req': '")&amp;"'} ]","rg:[]")</f>
        <v>rg:[ { 'req' : 'id' }, { 'req': 'role' }, { 'req': 'permission'} ]</v>
      </c>
      <c r="Y319" s="8" t="str">
        <f>IF(LEN(Table2[[#This Row],[!Unique]])&gt;0,IF(Table2[[#This Row],[!Type]] = "id", "rg:None","rg:True"),"rg:None")</f>
        <v>rg:None</v>
      </c>
    </row>
    <row r="320" spans="1:25" x14ac:dyDescent="0.35">
      <c r="A320" s="5" t="s">
        <v>52</v>
      </c>
      <c r="B320" s="5" t="s">
        <v>8</v>
      </c>
      <c r="D320" s="5" t="s">
        <v>53</v>
      </c>
      <c r="E320" s="130" t="s">
        <v>534</v>
      </c>
      <c r="F320" s="5" t="s">
        <v>54</v>
      </c>
      <c r="G320" s="155" t="s">
        <v>59</v>
      </c>
      <c r="H320" s="4"/>
      <c r="I320" s="5" t="str">
        <f t="shared" si="30"/>
        <v>Defs</v>
      </c>
      <c r="J320" s="8" t="str">
        <f>IF(Table2[[#This Row],[!Type]]=J$1, J$1,"rg:None")</f>
        <v>rg:None</v>
      </c>
      <c r="K320" s="8" t="str">
        <f>IF(Table2[[#This Row],[!Type]]=K$1, K$1,"rg:None")</f>
        <v>rg:None</v>
      </c>
      <c r="L320" s="8" t="str">
        <f>IF(Table2[[#This Row],[!Type]]=L$1, L$1,"rg:None")</f>
        <v>rg:None</v>
      </c>
      <c r="M320" s="8" t="str">
        <f>IF(Table2[[#This Row],[!Type]]=M$1, M$1,"rg:None")</f>
        <v>rg:None</v>
      </c>
      <c r="N320" s="8" t="str">
        <f>IF(Table2[[#This Row],[!Type]]=N$1, N$1,"rg:None")</f>
        <v>rg:None</v>
      </c>
      <c r="O320" s="8" t="str">
        <f>IF(Table2[[#This Row],[!Type]]=O$1, O$1,"rg:None")</f>
        <v>rg:None</v>
      </c>
      <c r="P320" s="5" t="str">
        <f>IF(Table2[[#This Row],[!Type]]=P$1, P$1,"rg:None")</f>
        <v>rg:None</v>
      </c>
      <c r="Q320" s="5" t="str">
        <f>IF(Table2[[#This Row],[!Type]]=Q$1, Q$1,"rg:None")</f>
        <v>ref</v>
      </c>
      <c r="R320" s="5" t="str">
        <f>IF(Table2[[#This Row],[!Type]]=R$1, R$1,"rg:None")</f>
        <v>rg:None</v>
      </c>
      <c r="S320" s="5" t="str">
        <f>IF(Table2[[#This Row],[!Type]]=S$1, S$1,"rg:None")</f>
        <v>rg:None</v>
      </c>
      <c r="T320" s="8" t="str">
        <f>IF(LEN(Table2[[#This Row],[!Length]]) &gt; 0, Table2[[#This Row],[!Length]], "rg:None")</f>
        <v>rg:None</v>
      </c>
      <c r="U320" s="8" t="str">
        <f>IF(LEN(Table2[[#This Row],[!Name]]) &gt; 0, Table2[[#This Row],[!Name]], "rg:None")</f>
        <v>permission</v>
      </c>
      <c r="V320" s="8" t="str">
        <f>IF(LEN(Table2[[#This Row],[!Description]]) &gt; 0, Table2[[#This Row],[!Description]], "rg:None")</f>
        <v>A foreign key reference to the system-generated unique identifier for a Permission</v>
      </c>
      <c r="W320" s="8" t="str">
        <f>IF(LEN(Table2[[#This Row],[!FK]])&gt;0,Table2[[#This Row],[!FK]],"rg:None")</f>
        <v>Permission</v>
      </c>
      <c r="X320" s="8" t="str">
        <f>IF(LEN(concatif2(A:A,Table2[[#This Row],[!Table]],G:G,"Y",D:D,",")) &gt; 0,"rg:[ { 'req' : '"&amp;concatif2(A:A,Table2[[#This Row],[!Table]],G:G,"Y",D:D,"' }, { 'req': '")&amp;"'} ]","rg:[]")</f>
        <v>rg:[ { 'req' : 'id' }, { 'req': 'role' }, { 'req': 'permission'} ]</v>
      </c>
      <c r="Y320" s="8" t="str">
        <f>IF(LEN(Table2[[#This Row],[!Unique]])&gt;0,IF(Table2[[#This Row],[!Type]] = "id", "rg:None","rg:True"),"rg:None")</f>
        <v>rg:None</v>
      </c>
    </row>
    <row r="321" spans="1:25" ht="72" x14ac:dyDescent="0.35">
      <c r="A321" s="5" t="s">
        <v>54</v>
      </c>
      <c r="B321" s="5" t="s">
        <v>4</v>
      </c>
      <c r="D321" s="5" t="s">
        <v>54</v>
      </c>
      <c r="E321" s="76" t="s">
        <v>367</v>
      </c>
      <c r="F321" s="5" t="s">
        <v>5</v>
      </c>
      <c r="G321" s="4"/>
      <c r="H321" s="4"/>
      <c r="I321" s="5" t="str">
        <f t="shared" si="30"/>
        <v>Defs</v>
      </c>
      <c r="J321" s="8" t="str">
        <f>IF(Table2[[#This Row],[!Type]]=J$1, J$1,"rg:None")</f>
        <v>rg:None</v>
      </c>
      <c r="K321" s="8" t="str">
        <f>IF(Table2[[#This Row],[!Type]]=K$1, K$1,"rg:None")</f>
        <v>rg:None</v>
      </c>
      <c r="L321" s="8" t="str">
        <f>IF(Table2[[#This Row],[!Type]]=L$1, L$1,"rg:None")</f>
        <v>rg:None</v>
      </c>
      <c r="M321" s="8" t="str">
        <f>IF(Table2[[#This Row],[!Type]]=M$1, M$1,"rg:None")</f>
        <v>rg:None</v>
      </c>
      <c r="N321" s="8" t="str">
        <f>IF(Table2[[#This Row],[!Type]]=N$1, N$1,"rg:None")</f>
        <v>rg:None</v>
      </c>
      <c r="O321" s="8" t="str">
        <f>IF(Table2[[#This Row],[!Type]]=O$1, O$1,"rg:None")</f>
        <v>rg:None</v>
      </c>
      <c r="P321" s="5" t="str">
        <f>IF(Table2[[#This Row],[!Type]]=P$1, P$1,"rg:None")</f>
        <v>rg:None</v>
      </c>
      <c r="Q321" s="5" t="str">
        <f>IF(Table2[[#This Row],[!Type]]=Q$1, Q$1,"rg:None")</f>
        <v>rg:None</v>
      </c>
      <c r="R321" s="5" t="str">
        <f>IF(Table2[[#This Row],[!Type]]=R$1, R$1,"rg:None")</f>
        <v>rg:None</v>
      </c>
      <c r="S321" s="5" t="str">
        <f>IF(Table2[[#This Row],[!Type]]=S$1, S$1,"rg:None")</f>
        <v>table</v>
      </c>
      <c r="T321" s="8" t="str">
        <f>IF(LEN(Table2[[#This Row],[!Length]]) &gt; 0, Table2[[#This Row],[!Length]], "rg:None")</f>
        <v>rg:None</v>
      </c>
      <c r="U321" s="8" t="str">
        <f>IF(LEN(Table2[[#This Row],[!Name]]) &gt; 0, Table2[[#This Row],[!Name]], "rg:None")</f>
        <v>Permission</v>
      </c>
      <c r="V321" s="8" t="str">
        <f>IF(LEN(Table2[[#This Row],[!Description]]) &gt; 0, Table2[[#This Row],[!Description]], "rg:None")</f>
        <v>A named element of authorization defined in the code that triggers some behavior in the application. For example, a permission might allow users to see data or to have access to functionality not accessible to users without that permission. Permissions are created as needed to the application code and are added to the permissions table by data migrations executed at the time the software that uses the permission is deployed.</v>
      </c>
      <c r="W321" s="8" t="str">
        <f>IF(LEN(Table2[[#This Row],[!FK]])&gt;0,Table2[[#This Row],[!FK]],"rg:None")</f>
        <v>rg:None</v>
      </c>
      <c r="X321" s="8" t="str">
        <f>IF(LEN(concatif2(A:A,Table2[[#This Row],[!Table]],G:G,"Y",D:D,",")) &gt; 0,"rg:[ { 'req' : '"&amp;concatif2(A:A,Table2[[#This Row],[!Table]],G:G,"Y",D:D,"' }, { 'req': '")&amp;"'} ]","rg:[]")</f>
        <v>rg:[ { 'req' : 'id' }, { 'req': 'code' }, { 'req': 'name'} ]</v>
      </c>
      <c r="Y321" s="8" t="str">
        <f>IF(LEN(Table2[[#This Row],[!Unique]])&gt;0,IF(Table2[[#This Row],[!Type]] = "id", "rg:None","rg:True"),"rg:None")</f>
        <v>rg:None</v>
      </c>
    </row>
    <row r="322" spans="1:25" x14ac:dyDescent="0.35">
      <c r="A322" s="5" t="s">
        <v>54</v>
      </c>
      <c r="B322" s="5" t="s">
        <v>6</v>
      </c>
      <c r="D322" s="5" t="s">
        <v>6</v>
      </c>
      <c r="E322" s="54" t="s">
        <v>330</v>
      </c>
      <c r="F322" s="5" t="s">
        <v>5</v>
      </c>
      <c r="G322" s="4" t="s">
        <v>59</v>
      </c>
      <c r="H322" s="155" t="s">
        <v>59</v>
      </c>
      <c r="I322" s="5" t="str">
        <f t="shared" si="30"/>
        <v>Defs</v>
      </c>
      <c r="J322" s="8" t="str">
        <f>IF(Table2[[#This Row],[!Type]]=J$1, J$1,"rg:None")</f>
        <v>rg:None</v>
      </c>
      <c r="K322" s="8" t="str">
        <f>IF(Table2[[#This Row],[!Type]]=K$1, K$1,"rg:None")</f>
        <v>rg:None</v>
      </c>
      <c r="L322" s="8" t="str">
        <f>IF(Table2[[#This Row],[!Type]]=L$1, L$1,"rg:None")</f>
        <v>rg:None</v>
      </c>
      <c r="M322" s="8" t="str">
        <f>IF(Table2[[#This Row],[!Type]]=M$1, M$1,"rg:None")</f>
        <v>id</v>
      </c>
      <c r="N322" s="8" t="str">
        <f>IF(Table2[[#This Row],[!Type]]=N$1, N$1,"rg:None")</f>
        <v>rg:None</v>
      </c>
      <c r="O322" s="8" t="str">
        <f>IF(Table2[[#This Row],[!Type]]=O$1, O$1,"rg:None")</f>
        <v>rg:None</v>
      </c>
      <c r="P322" s="5" t="str">
        <f>IF(Table2[[#This Row],[!Type]]=P$1, P$1,"rg:None")</f>
        <v>rg:None</v>
      </c>
      <c r="Q322" s="5" t="str">
        <f>IF(Table2[[#This Row],[!Type]]=Q$1, Q$1,"rg:None")</f>
        <v>rg:None</v>
      </c>
      <c r="R322" s="5" t="str">
        <f>IF(Table2[[#This Row],[!Type]]=R$1, R$1,"rg:None")</f>
        <v>rg:None</v>
      </c>
      <c r="S322" s="5" t="str">
        <f>IF(Table2[[#This Row],[!Type]]=S$1, S$1,"rg:None")</f>
        <v>rg:None</v>
      </c>
      <c r="T322" s="8" t="str">
        <f>IF(LEN(Table2[[#This Row],[!Length]]) &gt; 0, Table2[[#This Row],[!Length]], "rg:None")</f>
        <v>rg:None</v>
      </c>
      <c r="U322" s="8" t="str">
        <f>IF(LEN(Table2[[#This Row],[!Name]]) &gt; 0, Table2[[#This Row],[!Name]], "rg:None")</f>
        <v>id</v>
      </c>
      <c r="V322" s="8" t="str">
        <f>IF(LEN(Table2[[#This Row],[!Description]]) &gt; 0, Table2[[#This Row],[!Description]], "rg:None")</f>
        <v>A system-generated unique identifier for a Permission</v>
      </c>
      <c r="W322" s="8" t="str">
        <f>IF(LEN(Table2[[#This Row],[!FK]])&gt;0,Table2[[#This Row],[!FK]],"rg:None")</f>
        <v>rg:None</v>
      </c>
      <c r="X322" s="8" t="str">
        <f>IF(LEN(concatif2(A:A,Table2[[#This Row],[!Table]],G:G,"Y",D:D,",")) &gt; 0,"rg:[ { 'req' : '"&amp;concatif2(A:A,Table2[[#This Row],[!Table]],G:G,"Y",D:D,"' }, { 'req': '")&amp;"'} ]","rg:[]")</f>
        <v>rg:[ { 'req' : 'id' }, { 'req': 'code' }, { 'req': 'name'} ]</v>
      </c>
      <c r="Y322" s="8" t="str">
        <f>IF(LEN(Table2[[#This Row],[!Unique]])&gt;0,IF(Table2[[#This Row],[!Type]] = "id", "rg:None","rg:True"),"rg:None")</f>
        <v>rg:None</v>
      </c>
    </row>
    <row r="323" spans="1:25" x14ac:dyDescent="0.35">
      <c r="A323" s="5" t="s">
        <v>54</v>
      </c>
      <c r="B323" s="5" t="s">
        <v>7</v>
      </c>
      <c r="C323" s="5">
        <v>50</v>
      </c>
      <c r="D323" s="5" t="s">
        <v>55</v>
      </c>
      <c r="E323" s="54" t="s">
        <v>331</v>
      </c>
      <c r="F323" s="5" t="s">
        <v>5</v>
      </c>
      <c r="G323" s="4" t="s">
        <v>59</v>
      </c>
      <c r="H323" s="155" t="s">
        <v>59</v>
      </c>
      <c r="I323" s="5" t="str">
        <f t="shared" si="30"/>
        <v>Defs</v>
      </c>
      <c r="J323" s="8" t="str">
        <f>IF(Table2[[#This Row],[!Type]]=J$1, J$1,"rg:None")</f>
        <v>rg:None</v>
      </c>
      <c r="K323" s="8" t="str">
        <f>IF(Table2[[#This Row],[!Type]]=K$1, K$1,"rg:None")</f>
        <v>rg:None</v>
      </c>
      <c r="L323" s="8" t="str">
        <f>IF(Table2[[#This Row],[!Type]]=L$1, L$1,"rg:None")</f>
        <v>rg:None</v>
      </c>
      <c r="M323" s="8" t="str">
        <f>IF(Table2[[#This Row],[!Type]]=M$1, M$1,"rg:None")</f>
        <v>rg:None</v>
      </c>
      <c r="N323" s="8" t="str">
        <f>IF(Table2[[#This Row],[!Type]]=N$1, N$1,"rg:None")</f>
        <v>rg:None</v>
      </c>
      <c r="O323" s="8" t="str">
        <f>IF(Table2[[#This Row],[!Type]]=O$1, O$1,"rg:None")</f>
        <v>rg:None</v>
      </c>
      <c r="P323" s="5" t="str">
        <f>IF(Table2[[#This Row],[!Type]]=P$1, P$1,"rg:None")</f>
        <v>rg:None</v>
      </c>
      <c r="Q323" s="5" t="str">
        <f>IF(Table2[[#This Row],[!Type]]=Q$1, Q$1,"rg:None")</f>
        <v>rg:None</v>
      </c>
      <c r="R323" s="5" t="str">
        <f>IF(Table2[[#This Row],[!Type]]=R$1, R$1,"rg:None")</f>
        <v>string</v>
      </c>
      <c r="S323" s="5" t="str">
        <f>IF(Table2[[#This Row],[!Type]]=S$1, S$1,"rg:None")</f>
        <v>rg:None</v>
      </c>
      <c r="T323" s="8">
        <f>IF(LEN(Table2[[#This Row],[!Length]]) &gt; 0, Table2[[#This Row],[!Length]], "rg:None")</f>
        <v>50</v>
      </c>
      <c r="U323" s="8" t="str">
        <f>IF(LEN(Table2[[#This Row],[!Name]]) &gt; 0, Table2[[#This Row],[!Name]], "rg:None")</f>
        <v>code</v>
      </c>
      <c r="V323" s="8" t="str">
        <f>IF(LEN(Table2[[#This Row],[!Description]]) &gt; 0, Table2[[#This Row],[!Description]], "rg:None")</f>
        <v>The name of the permission referenced in the software of the application.</v>
      </c>
      <c r="W323" s="8" t="str">
        <f>IF(LEN(Table2[[#This Row],[!FK]])&gt;0,Table2[[#This Row],[!FK]],"rg:None")</f>
        <v>rg:None</v>
      </c>
      <c r="X323" s="8" t="str">
        <f>IF(LEN(concatif2(A:A,Table2[[#This Row],[!Table]],G:G,"Y",D:D,",")) &gt; 0,"rg:[ { 'req' : '"&amp;concatif2(A:A,Table2[[#This Row],[!Table]],G:G,"Y",D:D,"' }, { 'req': '")&amp;"'} ]","rg:[]")</f>
        <v>rg:[ { 'req' : 'id' }, { 'req': 'code' }, { 'req': 'name'} ]</v>
      </c>
      <c r="Y323" s="8" t="str">
        <f>IF(LEN(Table2[[#This Row],[!Unique]])&gt;0,IF(Table2[[#This Row],[!Type]] = "id", "rg:None","rg:True"),"rg:None")</f>
        <v>rg:True</v>
      </c>
    </row>
    <row r="324" spans="1:25" ht="28.8" x14ac:dyDescent="0.35">
      <c r="A324" s="5" t="s">
        <v>54</v>
      </c>
      <c r="B324" s="5" t="s">
        <v>7</v>
      </c>
      <c r="C324" s="5">
        <v>150</v>
      </c>
      <c r="D324" s="5" t="s">
        <v>15</v>
      </c>
      <c r="E324" s="54" t="s">
        <v>332</v>
      </c>
      <c r="F324" s="5" t="s">
        <v>5</v>
      </c>
      <c r="G324" s="4" t="s">
        <v>59</v>
      </c>
      <c r="H324" s="155" t="s">
        <v>59</v>
      </c>
      <c r="I324" s="5" t="str">
        <f t="shared" si="30"/>
        <v>Defs</v>
      </c>
      <c r="J324" s="8" t="str">
        <f>IF(Table2[[#This Row],[!Type]]=J$1, J$1,"rg:None")</f>
        <v>rg:None</v>
      </c>
      <c r="K324" s="8" t="str">
        <f>IF(Table2[[#This Row],[!Type]]=K$1, K$1,"rg:None")</f>
        <v>rg:None</v>
      </c>
      <c r="L324" s="8" t="str">
        <f>IF(Table2[[#This Row],[!Type]]=L$1, L$1,"rg:None")</f>
        <v>rg:None</v>
      </c>
      <c r="M324" s="8" t="str">
        <f>IF(Table2[[#This Row],[!Type]]=M$1, M$1,"rg:None")</f>
        <v>rg:None</v>
      </c>
      <c r="N324" s="8" t="str">
        <f>IF(Table2[[#This Row],[!Type]]=N$1, N$1,"rg:None")</f>
        <v>rg:None</v>
      </c>
      <c r="O324" s="8" t="str">
        <f>IF(Table2[[#This Row],[!Type]]=O$1, O$1,"rg:None")</f>
        <v>rg:None</v>
      </c>
      <c r="P324" s="5" t="str">
        <f>IF(Table2[[#This Row],[!Type]]=P$1, P$1,"rg:None")</f>
        <v>rg:None</v>
      </c>
      <c r="Q324" s="5" t="str">
        <f>IF(Table2[[#This Row],[!Type]]=Q$1, Q$1,"rg:None")</f>
        <v>rg:None</v>
      </c>
      <c r="R324" s="5" t="str">
        <f>IF(Table2[[#This Row],[!Type]]=R$1, R$1,"rg:None")</f>
        <v>string</v>
      </c>
      <c r="S324" s="5" t="str">
        <f>IF(Table2[[#This Row],[!Type]]=S$1, S$1,"rg:None")</f>
        <v>rg:None</v>
      </c>
      <c r="T324" s="8">
        <f>IF(LEN(Table2[[#This Row],[!Length]]) &gt; 0, Table2[[#This Row],[!Length]], "rg:None")</f>
        <v>150</v>
      </c>
      <c r="U324" s="8" t="str">
        <f>IF(LEN(Table2[[#This Row],[!Name]]) &gt; 0, Table2[[#This Row],[!Name]], "rg:None")</f>
        <v>name</v>
      </c>
      <c r="V324" s="8" t="str">
        <f>IF(LEN(Table2[[#This Row],[!Description]]) &gt; 0, Table2[[#This Row],[!Description]], "rg:None")</f>
        <v>The 'user friendly' name of the permission exposed to the user selecting the permissions to be included in a Role.</v>
      </c>
      <c r="W324" s="8" t="str">
        <f>IF(LEN(Table2[[#This Row],[!FK]])&gt;0,Table2[[#This Row],[!FK]],"rg:None")</f>
        <v>rg:None</v>
      </c>
      <c r="X324" s="8" t="str">
        <f>IF(LEN(concatif2(A:A,Table2[[#This Row],[!Table]],G:G,"Y",D:D,",")) &gt; 0,"rg:[ { 'req' : '"&amp;concatif2(A:A,Table2[[#This Row],[!Table]],G:G,"Y",D:D,"' }, { 'req': '")&amp;"'} ]","rg:[]")</f>
        <v>rg:[ { 'req' : 'id' }, { 'req': 'code' }, { 'req': 'name'} ]</v>
      </c>
      <c r="Y324" s="8" t="str">
        <f>IF(LEN(Table2[[#This Row],[!Unique]])&gt;0,IF(Table2[[#This Row],[!Type]] = "id", "rg:None","rg:True"),"rg:None")</f>
        <v>rg:True</v>
      </c>
    </row>
    <row r="325" spans="1:25" ht="28.8" x14ac:dyDescent="0.35">
      <c r="A325" s="5" t="s">
        <v>54</v>
      </c>
      <c r="B325" s="5" t="s">
        <v>7</v>
      </c>
      <c r="C325" s="5">
        <v>2048</v>
      </c>
      <c r="D325" s="5" t="s">
        <v>14</v>
      </c>
      <c r="E325" s="54" t="s">
        <v>333</v>
      </c>
      <c r="F325" s="5" t="s">
        <v>5</v>
      </c>
      <c r="G325" s="4"/>
      <c r="H325" s="4"/>
      <c r="I325" s="5" t="str">
        <f t="shared" si="30"/>
        <v>Defs</v>
      </c>
      <c r="J325" s="8" t="str">
        <f>IF(Table2[[#This Row],[!Type]]=J$1, J$1,"rg:None")</f>
        <v>rg:None</v>
      </c>
      <c r="K325" s="8" t="str">
        <f>IF(Table2[[#This Row],[!Type]]=K$1, K$1,"rg:None")</f>
        <v>rg:None</v>
      </c>
      <c r="L325" s="8" t="str">
        <f>IF(Table2[[#This Row],[!Type]]=L$1, L$1,"rg:None")</f>
        <v>rg:None</v>
      </c>
      <c r="M325" s="8" t="str">
        <f>IF(Table2[[#This Row],[!Type]]=M$1, M$1,"rg:None")</f>
        <v>rg:None</v>
      </c>
      <c r="N325" s="8" t="str">
        <f>IF(Table2[[#This Row],[!Type]]=N$1, N$1,"rg:None")</f>
        <v>rg:None</v>
      </c>
      <c r="O325" s="8" t="str">
        <f>IF(Table2[[#This Row],[!Type]]=O$1, O$1,"rg:None")</f>
        <v>rg:None</v>
      </c>
      <c r="P325" s="5" t="str">
        <f>IF(Table2[[#This Row],[!Type]]=P$1, P$1,"rg:None")</f>
        <v>rg:None</v>
      </c>
      <c r="Q325" s="5" t="str">
        <f>IF(Table2[[#This Row],[!Type]]=Q$1, Q$1,"rg:None")</f>
        <v>rg:None</v>
      </c>
      <c r="R325" s="5" t="str">
        <f>IF(Table2[[#This Row],[!Type]]=R$1, R$1,"rg:None")</f>
        <v>string</v>
      </c>
      <c r="S325" s="5" t="str">
        <f>IF(Table2[[#This Row],[!Type]]=S$1, S$1,"rg:None")</f>
        <v>rg:None</v>
      </c>
      <c r="T325" s="8">
        <f>IF(LEN(Table2[[#This Row],[!Length]]) &gt; 0, Table2[[#This Row],[!Length]], "rg:None")</f>
        <v>2048</v>
      </c>
      <c r="U325" s="8" t="str">
        <f>IF(LEN(Table2[[#This Row],[!Name]]) &gt; 0, Table2[[#This Row],[!Name]], "rg:None")</f>
        <v>description</v>
      </c>
      <c r="V325" s="8" t="str">
        <f>IF(LEN(Table2[[#This Row],[!Description]]) &gt; 0, Table2[[#This Row],[!Description]], "rg:None")</f>
        <v>A description of the purpose of the permission and exposed to the user selecting the permissions to be included in a Role.</v>
      </c>
      <c r="W325" s="8" t="str">
        <f>IF(LEN(Table2[[#This Row],[!FK]])&gt;0,Table2[[#This Row],[!FK]],"rg:None")</f>
        <v>rg:None</v>
      </c>
      <c r="X325" s="8" t="str">
        <f>IF(LEN(concatif2(A:A,Table2[[#This Row],[!Table]],G:G,"Y",D:D,",")) &gt; 0,"rg:[ { 'req' : '"&amp;concatif2(A:A,Table2[[#This Row],[!Table]],G:G,"Y",D:D,"' }, { 'req': '")&amp;"'} ]","rg:[]")</f>
        <v>rg:[ { 'req' : 'id' }, { 'req': 'code' }, { 'req': 'name'} ]</v>
      </c>
      <c r="Y325" s="8" t="str">
        <f>IF(LEN(Table2[[#This Row],[!Unique]])&gt;0,IF(Table2[[#This Row],[!Type]] = "id", "rg:None","rg:True"),"rg:None")</f>
        <v>rg:None</v>
      </c>
    </row>
    <row r="326" spans="1:25" x14ac:dyDescent="0.35">
      <c r="A326" s="5" t="s">
        <v>56</v>
      </c>
      <c r="B326" s="5" t="s">
        <v>4</v>
      </c>
      <c r="D326" s="5" t="s">
        <v>56</v>
      </c>
      <c r="E326" s="54" t="s">
        <v>334</v>
      </c>
      <c r="F326" s="5" t="s">
        <v>5</v>
      </c>
      <c r="G326" s="4"/>
      <c r="H326" s="4"/>
      <c r="I326" s="5" t="str">
        <f t="shared" si="30"/>
        <v>Defs</v>
      </c>
      <c r="J326" s="8" t="str">
        <f>IF(Table2[[#This Row],[!Type]]=J$1, J$1,"rg:None")</f>
        <v>rg:None</v>
      </c>
      <c r="K326" s="8" t="str">
        <f>IF(Table2[[#This Row],[!Type]]=K$1, K$1,"rg:None")</f>
        <v>rg:None</v>
      </c>
      <c r="L326" s="8" t="str">
        <f>IF(Table2[[#This Row],[!Type]]=L$1, L$1,"rg:None")</f>
        <v>rg:None</v>
      </c>
      <c r="M326" s="8" t="str">
        <f>IF(Table2[[#This Row],[!Type]]=M$1, M$1,"rg:None")</f>
        <v>rg:None</v>
      </c>
      <c r="N326" s="8" t="str">
        <f>IF(Table2[[#This Row],[!Type]]=N$1, N$1,"rg:None")</f>
        <v>rg:None</v>
      </c>
      <c r="O326" s="8" t="str">
        <f>IF(Table2[[#This Row],[!Type]]=O$1, O$1,"rg:None")</f>
        <v>rg:None</v>
      </c>
      <c r="P326" s="5" t="str">
        <f>IF(Table2[[#This Row],[!Type]]=P$1, P$1,"rg:None")</f>
        <v>rg:None</v>
      </c>
      <c r="Q326" s="5" t="str">
        <f>IF(Table2[[#This Row],[!Type]]=Q$1, Q$1,"rg:None")</f>
        <v>rg:None</v>
      </c>
      <c r="R326" s="5" t="str">
        <f>IF(Table2[[#This Row],[!Type]]=R$1, R$1,"rg:None")</f>
        <v>rg:None</v>
      </c>
      <c r="S326" s="5" t="str">
        <f>IF(Table2[[#This Row],[!Type]]=S$1, S$1,"rg:None")</f>
        <v>table</v>
      </c>
      <c r="T326" s="8" t="str">
        <f>IF(LEN(Table2[[#This Row],[!Length]]) &gt; 0, Table2[[#This Row],[!Length]], "rg:None")</f>
        <v>rg:None</v>
      </c>
      <c r="U326" s="8" t="str">
        <f>IF(LEN(Table2[[#This Row],[!Name]]) &gt; 0, Table2[[#This Row],[!Name]], "rg:None")</f>
        <v>GroupMembership</v>
      </c>
      <c r="V326" s="8" t="str">
        <f>IF(LEN(Table2[[#This Row],[!Description]]) &gt; 0, Table2[[#This Row],[!Description]], "rg:None")</f>
        <v>The users associated with a given group that has been defined in the application.</v>
      </c>
      <c r="W326" s="8" t="str">
        <f>IF(LEN(Table2[[#This Row],[!FK]])&gt;0,Table2[[#This Row],[!FK]],"rg:None")</f>
        <v>rg:None</v>
      </c>
      <c r="X326" s="8" t="str">
        <f>IF(LEN(concatif2(A:A,Table2[[#This Row],[!Table]],G:G,"Y",D:D,",")) &gt; 0,"rg:[ { 'req' : '"&amp;concatif2(A:A,Table2[[#This Row],[!Table]],G:G,"Y",D:D,"' }, { 'req': '")&amp;"'} ]","rg:[]")</f>
        <v>rg:[ { 'req' : 'id' }, { 'req': 'active' }, { 'req': 'group' }, { 'req': 'user'} ]</v>
      </c>
      <c r="Y326" s="8" t="str">
        <f>IF(LEN(Table2[[#This Row],[!Unique]])&gt;0,IF(Table2[[#This Row],[!Type]] = "id", "rg:None","rg:True"),"rg:None")</f>
        <v>rg:None</v>
      </c>
    </row>
    <row r="327" spans="1:25" x14ac:dyDescent="0.35">
      <c r="A327" s="5" t="s">
        <v>56</v>
      </c>
      <c r="B327" s="5" t="s">
        <v>6</v>
      </c>
      <c r="D327" s="5" t="s">
        <v>6</v>
      </c>
      <c r="E327" s="54" t="s">
        <v>335</v>
      </c>
      <c r="F327" s="5" t="s">
        <v>5</v>
      </c>
      <c r="G327" s="4" t="s">
        <v>59</v>
      </c>
      <c r="H327" s="155" t="s">
        <v>59</v>
      </c>
      <c r="I327" s="5" t="str">
        <f t="shared" si="30"/>
        <v>Defs</v>
      </c>
      <c r="J327" s="8" t="str">
        <f>IF(Table2[[#This Row],[!Type]]=J$1, J$1,"rg:None")</f>
        <v>rg:None</v>
      </c>
      <c r="K327" s="8" t="str">
        <f>IF(Table2[[#This Row],[!Type]]=K$1, K$1,"rg:None")</f>
        <v>rg:None</v>
      </c>
      <c r="L327" s="8" t="str">
        <f>IF(Table2[[#This Row],[!Type]]=L$1, L$1,"rg:None")</f>
        <v>rg:None</v>
      </c>
      <c r="M327" s="8" t="str">
        <f>IF(Table2[[#This Row],[!Type]]=M$1, M$1,"rg:None")</f>
        <v>id</v>
      </c>
      <c r="N327" s="8" t="str">
        <f>IF(Table2[[#This Row],[!Type]]=N$1, N$1,"rg:None")</f>
        <v>rg:None</v>
      </c>
      <c r="O327" s="8" t="str">
        <f>IF(Table2[[#This Row],[!Type]]=O$1, O$1,"rg:None")</f>
        <v>rg:None</v>
      </c>
      <c r="P327" s="5" t="str">
        <f>IF(Table2[[#This Row],[!Type]]=P$1, P$1,"rg:None")</f>
        <v>rg:None</v>
      </c>
      <c r="Q327" s="5" t="str">
        <f>IF(Table2[[#This Row],[!Type]]=Q$1, Q$1,"rg:None")</f>
        <v>rg:None</v>
      </c>
      <c r="R327" s="5" t="str">
        <f>IF(Table2[[#This Row],[!Type]]=R$1, R$1,"rg:None")</f>
        <v>rg:None</v>
      </c>
      <c r="S327" s="5" t="str">
        <f>IF(Table2[[#This Row],[!Type]]=S$1, S$1,"rg:None")</f>
        <v>rg:None</v>
      </c>
      <c r="T327" s="8" t="str">
        <f>IF(LEN(Table2[[#This Row],[!Length]]) &gt; 0, Table2[[#This Row],[!Length]], "rg:None")</f>
        <v>rg:None</v>
      </c>
      <c r="U327" s="8" t="str">
        <f>IF(LEN(Table2[[#This Row],[!Name]]) &gt; 0, Table2[[#This Row],[!Name]], "rg:None")</f>
        <v>id</v>
      </c>
      <c r="V327" s="8" t="str">
        <f>IF(LEN(Table2[[#This Row],[!Description]]) &gt; 0, Table2[[#This Row],[!Description]], "rg:None")</f>
        <v>A system-generated unique identifier for a GroupMembership</v>
      </c>
      <c r="W327" s="8" t="str">
        <f>IF(LEN(Table2[[#This Row],[!FK]])&gt;0,Table2[[#This Row],[!FK]],"rg:None")</f>
        <v>rg:None</v>
      </c>
      <c r="X327" s="8" t="str">
        <f>IF(LEN(concatif2(A:A,Table2[[#This Row],[!Table]],G:G,"Y",D:D,",")) &gt; 0,"rg:[ { 'req' : '"&amp;concatif2(A:A,Table2[[#This Row],[!Table]],G:G,"Y",D:D,"' }, { 'req': '")&amp;"'} ]","rg:[]")</f>
        <v>rg:[ { 'req' : 'id' }, { 'req': 'active' }, { 'req': 'group' }, { 'req': 'user'} ]</v>
      </c>
      <c r="Y327" s="8" t="str">
        <f>IF(LEN(Table2[[#This Row],[!Unique]])&gt;0,IF(Table2[[#This Row],[!Type]] = "id", "rg:None","rg:True"),"rg:None")</f>
        <v>rg:None</v>
      </c>
    </row>
    <row r="328" spans="1:25" ht="28.8" x14ac:dyDescent="0.35">
      <c r="A328" s="5" t="s">
        <v>56</v>
      </c>
      <c r="B328" s="5" t="s">
        <v>9</v>
      </c>
      <c r="D328" s="5" t="s">
        <v>41</v>
      </c>
      <c r="E328" s="54" t="s">
        <v>336</v>
      </c>
      <c r="F328" s="5" t="s">
        <v>5</v>
      </c>
      <c r="G328" s="4" t="s">
        <v>59</v>
      </c>
      <c r="H328" s="4"/>
      <c r="I328" s="5" t="str">
        <f t="shared" si="30"/>
        <v>Defs</v>
      </c>
      <c r="J328" s="8" t="str">
        <f>IF(Table2[[#This Row],[!Type]]=J$1, J$1,"rg:None")</f>
        <v>boolean</v>
      </c>
      <c r="K328" s="8" t="str">
        <f>IF(Table2[[#This Row],[!Type]]=K$1, K$1,"rg:None")</f>
        <v>rg:None</v>
      </c>
      <c r="L328" s="8" t="str">
        <f>IF(Table2[[#This Row],[!Type]]=L$1, L$1,"rg:None")</f>
        <v>rg:None</v>
      </c>
      <c r="M328" s="8" t="str">
        <f>IF(Table2[[#This Row],[!Type]]=M$1, M$1,"rg:None")</f>
        <v>rg:None</v>
      </c>
      <c r="N328" s="8" t="str">
        <f>IF(Table2[[#This Row],[!Type]]=N$1, N$1,"rg:None")</f>
        <v>rg:None</v>
      </c>
      <c r="O328" s="8" t="str">
        <f>IF(Table2[[#This Row],[!Type]]=O$1, O$1,"rg:None")</f>
        <v>rg:None</v>
      </c>
      <c r="P328" s="5" t="str">
        <f>IF(Table2[[#This Row],[!Type]]=P$1, P$1,"rg:None")</f>
        <v>rg:None</v>
      </c>
      <c r="Q328" s="5" t="str">
        <f>IF(Table2[[#This Row],[!Type]]=Q$1, Q$1,"rg:None")</f>
        <v>rg:None</v>
      </c>
      <c r="R328" s="5" t="str">
        <f>IF(Table2[[#This Row],[!Type]]=R$1, R$1,"rg:None")</f>
        <v>rg:None</v>
      </c>
      <c r="S328" s="5" t="str">
        <f>IF(Table2[[#This Row],[!Type]]=S$1, S$1,"rg:None")</f>
        <v>rg:None</v>
      </c>
      <c r="T328" s="8" t="str">
        <f>IF(LEN(Table2[[#This Row],[!Length]]) &gt; 0, Table2[[#This Row],[!Length]], "rg:None")</f>
        <v>rg:None</v>
      </c>
      <c r="U328" s="8" t="str">
        <f>IF(LEN(Table2[[#This Row],[!Name]]) &gt; 0, Table2[[#This Row],[!Name]], "rg:None")</f>
        <v>active</v>
      </c>
      <c r="V328" s="8" t="str">
        <f>IF(LEN(Table2[[#This Row],[!Description]]) &gt; 0, Table2[[#This Row],[!Description]], "rg:None")</f>
        <v>A flag indicating the User is active in the group. Set false to remove the user from the designated group.</v>
      </c>
      <c r="W328" s="8" t="str">
        <f>IF(LEN(Table2[[#This Row],[!FK]])&gt;0,Table2[[#This Row],[!FK]],"rg:None")</f>
        <v>rg:None</v>
      </c>
      <c r="X328" s="8" t="str">
        <f>IF(LEN(concatif2(A:A,Table2[[#This Row],[!Table]],G:G,"Y",D:D,",")) &gt; 0,"rg:[ { 'req' : '"&amp;concatif2(A:A,Table2[[#This Row],[!Table]],G:G,"Y",D:D,"' }, { 'req': '")&amp;"'} ]","rg:[]")</f>
        <v>rg:[ { 'req' : 'id' }, { 'req': 'active' }, { 'req': 'group' }, { 'req': 'user'} ]</v>
      </c>
      <c r="Y328" s="8" t="str">
        <f>IF(LEN(Table2[[#This Row],[!Unique]])&gt;0,IF(Table2[[#This Row],[!Type]] = "id", "rg:None","rg:True"),"rg:None")</f>
        <v>rg:None</v>
      </c>
    </row>
    <row r="329" spans="1:25" x14ac:dyDescent="0.35">
      <c r="A329" s="5" t="s">
        <v>56</v>
      </c>
      <c r="B329" s="5" t="s">
        <v>8</v>
      </c>
      <c r="D329" s="5" t="s">
        <v>57</v>
      </c>
      <c r="E329" s="130" t="s">
        <v>535</v>
      </c>
      <c r="F329" s="5" t="s">
        <v>58</v>
      </c>
      <c r="G329" s="155" t="s">
        <v>59</v>
      </c>
      <c r="H329" s="4"/>
      <c r="I329" s="5" t="str">
        <f t="shared" si="30"/>
        <v>Defs</v>
      </c>
      <c r="J329" s="8" t="str">
        <f>IF(Table2[[#This Row],[!Type]]=J$1, J$1,"rg:None")</f>
        <v>rg:None</v>
      </c>
      <c r="K329" s="8" t="str">
        <f>IF(Table2[[#This Row],[!Type]]=K$1, K$1,"rg:None")</f>
        <v>rg:None</v>
      </c>
      <c r="L329" s="8" t="str">
        <f>IF(Table2[[#This Row],[!Type]]=L$1, L$1,"rg:None")</f>
        <v>rg:None</v>
      </c>
      <c r="M329" s="8" t="str">
        <f>IF(Table2[[#This Row],[!Type]]=M$1, M$1,"rg:None")</f>
        <v>rg:None</v>
      </c>
      <c r="N329" s="8" t="str">
        <f>IF(Table2[[#This Row],[!Type]]=N$1, N$1,"rg:None")</f>
        <v>rg:None</v>
      </c>
      <c r="O329" s="8" t="str">
        <f>IF(Table2[[#This Row],[!Type]]=O$1, O$1,"rg:None")</f>
        <v>rg:None</v>
      </c>
      <c r="P329" s="5" t="str">
        <f>IF(Table2[[#This Row],[!Type]]=P$1, P$1,"rg:None")</f>
        <v>rg:None</v>
      </c>
      <c r="Q329" s="5" t="str">
        <f>IF(Table2[[#This Row],[!Type]]=Q$1, Q$1,"rg:None")</f>
        <v>ref</v>
      </c>
      <c r="R329" s="5" t="str">
        <f>IF(Table2[[#This Row],[!Type]]=R$1, R$1,"rg:None")</f>
        <v>rg:None</v>
      </c>
      <c r="S329" s="5" t="str">
        <f>IF(Table2[[#This Row],[!Type]]=S$1, S$1,"rg:None")</f>
        <v>rg:None</v>
      </c>
      <c r="T329" s="8" t="str">
        <f>IF(LEN(Table2[[#This Row],[!Length]]) &gt; 0, Table2[[#This Row],[!Length]], "rg:None")</f>
        <v>rg:None</v>
      </c>
      <c r="U329" s="8" t="str">
        <f>IF(LEN(Table2[[#This Row],[!Name]]) &gt; 0, Table2[[#This Row],[!Name]], "rg:None")</f>
        <v>group</v>
      </c>
      <c r="V329" s="8" t="str">
        <f>IF(LEN(Table2[[#This Row],[!Description]]) &gt; 0, Table2[[#This Row],[!Description]], "rg:None")</f>
        <v>A foreign key reference to the system-generated unique identifier for a Group</v>
      </c>
      <c r="W329" s="8" t="str">
        <f>IF(LEN(Table2[[#This Row],[!FK]])&gt;0,Table2[[#This Row],[!FK]],"rg:None")</f>
        <v>Group</v>
      </c>
      <c r="X329" s="8" t="str">
        <f>IF(LEN(concatif2(A:A,Table2[[#This Row],[!Table]],G:G,"Y",D:D,",")) &gt; 0,"rg:[ { 'req' : '"&amp;concatif2(A:A,Table2[[#This Row],[!Table]],G:G,"Y",D:D,"' }, { 'req': '")&amp;"'} ]","rg:[]")</f>
        <v>rg:[ { 'req' : 'id' }, { 'req': 'active' }, { 'req': 'group' }, { 'req': 'user'} ]</v>
      </c>
      <c r="Y329" s="8" t="str">
        <f>IF(LEN(Table2[[#This Row],[!Unique]])&gt;0,IF(Table2[[#This Row],[!Type]] = "id", "rg:None","rg:True"),"rg:None")</f>
        <v>rg:None</v>
      </c>
    </row>
    <row r="330" spans="1:25" x14ac:dyDescent="0.35">
      <c r="A330" s="5" t="s">
        <v>56</v>
      </c>
      <c r="B330" s="5" t="s">
        <v>8</v>
      </c>
      <c r="D330" s="5" t="s">
        <v>40</v>
      </c>
      <c r="E330" s="130" t="s">
        <v>536</v>
      </c>
      <c r="F330" s="5" t="s">
        <v>0</v>
      </c>
      <c r="G330" s="155" t="s">
        <v>59</v>
      </c>
      <c r="H330" s="4"/>
      <c r="I330" s="5" t="str">
        <f t="shared" si="30"/>
        <v>Defs</v>
      </c>
      <c r="J330" s="8" t="str">
        <f>IF(Table2[[#This Row],[!Type]]=J$1, J$1,"rg:None")</f>
        <v>rg:None</v>
      </c>
      <c r="K330" s="8" t="str">
        <f>IF(Table2[[#This Row],[!Type]]=K$1, K$1,"rg:None")</f>
        <v>rg:None</v>
      </c>
      <c r="L330" s="8" t="str">
        <f>IF(Table2[[#This Row],[!Type]]=L$1, L$1,"rg:None")</f>
        <v>rg:None</v>
      </c>
      <c r="M330" s="8" t="str">
        <f>IF(Table2[[#This Row],[!Type]]=M$1, M$1,"rg:None")</f>
        <v>rg:None</v>
      </c>
      <c r="N330" s="8" t="str">
        <f>IF(Table2[[#This Row],[!Type]]=N$1, N$1,"rg:None")</f>
        <v>rg:None</v>
      </c>
      <c r="O330" s="8" t="str">
        <f>IF(Table2[[#This Row],[!Type]]=O$1, O$1,"rg:None")</f>
        <v>rg:None</v>
      </c>
      <c r="P330" s="5" t="str">
        <f>IF(Table2[[#This Row],[!Type]]=P$1, P$1,"rg:None")</f>
        <v>rg:None</v>
      </c>
      <c r="Q330" s="5" t="str">
        <f>IF(Table2[[#This Row],[!Type]]=Q$1, Q$1,"rg:None")</f>
        <v>ref</v>
      </c>
      <c r="R330" s="5" t="str">
        <f>IF(Table2[[#This Row],[!Type]]=R$1, R$1,"rg:None")</f>
        <v>rg:None</v>
      </c>
      <c r="S330" s="5" t="str">
        <f>IF(Table2[[#This Row],[!Type]]=S$1, S$1,"rg:None")</f>
        <v>rg:None</v>
      </c>
      <c r="T330" s="8" t="str">
        <f>IF(LEN(Table2[[#This Row],[!Length]]) &gt; 0, Table2[[#This Row],[!Length]], "rg:None")</f>
        <v>rg:None</v>
      </c>
      <c r="U330" s="8" t="str">
        <f>IF(LEN(Table2[[#This Row],[!Name]]) &gt; 0, Table2[[#This Row],[!Name]], "rg:None")</f>
        <v>user</v>
      </c>
      <c r="V330" s="8" t="str">
        <f>IF(LEN(Table2[[#This Row],[!Description]]) &gt; 0, Table2[[#This Row],[!Description]], "rg:None")</f>
        <v>A foreign key reference to the system-generated unique identifier for a User</v>
      </c>
      <c r="W330" s="8" t="str">
        <f>IF(LEN(Table2[[#This Row],[!FK]])&gt;0,Table2[[#This Row],[!FK]],"rg:None")</f>
        <v>User</v>
      </c>
      <c r="X330" s="8" t="str">
        <f>IF(LEN(concatif2(A:A,Table2[[#This Row],[!Table]],G:G,"Y",D:D,",")) &gt; 0,"rg:[ { 'req' : '"&amp;concatif2(A:A,Table2[[#This Row],[!Table]],G:G,"Y",D:D,"' }, { 'req': '")&amp;"'} ]","rg:[]")</f>
        <v>rg:[ { 'req' : 'id' }, { 'req': 'active' }, { 'req': 'group' }, { 'req': 'user'} ]</v>
      </c>
      <c r="Y330" s="8" t="str">
        <f>IF(LEN(Table2[[#This Row],[!Unique]])&gt;0,IF(Table2[[#This Row],[!Type]] = "id", "rg:None","rg:True"),"rg:None")</f>
        <v>rg:None</v>
      </c>
    </row>
    <row r="331" spans="1:25" ht="43.2" x14ac:dyDescent="0.35">
      <c r="A331" s="5" t="s">
        <v>58</v>
      </c>
      <c r="B331" s="5" t="s">
        <v>4</v>
      </c>
      <c r="D331" s="5" t="s">
        <v>58</v>
      </c>
      <c r="E331" s="76" t="s">
        <v>368</v>
      </c>
      <c r="F331" s="5" t="s">
        <v>5</v>
      </c>
      <c r="G331" s="4"/>
      <c r="H331" s="4"/>
      <c r="I331" s="5" t="str">
        <f t="shared" si="30"/>
        <v>Defs</v>
      </c>
      <c r="J331" s="8" t="str">
        <f>IF(Table2[[#This Row],[!Type]]=J$1, J$1,"rg:None")</f>
        <v>rg:None</v>
      </c>
      <c r="K331" s="8" t="str">
        <f>IF(Table2[[#This Row],[!Type]]=K$1, K$1,"rg:None")</f>
        <v>rg:None</v>
      </c>
      <c r="L331" s="8" t="str">
        <f>IF(Table2[[#This Row],[!Type]]=L$1, L$1,"rg:None")</f>
        <v>rg:None</v>
      </c>
      <c r="M331" s="8" t="str">
        <f>IF(Table2[[#This Row],[!Type]]=M$1, M$1,"rg:None")</f>
        <v>rg:None</v>
      </c>
      <c r="N331" s="8" t="str">
        <f>IF(Table2[[#This Row],[!Type]]=N$1, N$1,"rg:None")</f>
        <v>rg:None</v>
      </c>
      <c r="O331" s="8" t="str">
        <f>IF(Table2[[#This Row],[!Type]]=O$1, O$1,"rg:None")</f>
        <v>rg:None</v>
      </c>
      <c r="P331" s="5" t="str">
        <f>IF(Table2[[#This Row],[!Type]]=P$1, P$1,"rg:None")</f>
        <v>rg:None</v>
      </c>
      <c r="Q331" s="5" t="str">
        <f>IF(Table2[[#This Row],[!Type]]=Q$1, Q$1,"rg:None")</f>
        <v>rg:None</v>
      </c>
      <c r="R331" s="5" t="str">
        <f>IF(Table2[[#This Row],[!Type]]=R$1, R$1,"rg:None")</f>
        <v>rg:None</v>
      </c>
      <c r="S331" s="5" t="str">
        <f>IF(Table2[[#This Row],[!Type]]=S$1, S$1,"rg:None")</f>
        <v>table</v>
      </c>
      <c r="T331" s="8" t="str">
        <f>IF(LEN(Table2[[#This Row],[!Length]]) &gt; 0, Table2[[#This Row],[!Length]], "rg:None")</f>
        <v>rg:None</v>
      </c>
      <c r="U331" s="8" t="str">
        <f>IF(LEN(Table2[[#This Row],[!Name]]) &gt; 0, Table2[[#This Row],[!Name]], "rg:None")</f>
        <v>Group</v>
      </c>
      <c r="V331" s="8" t="str">
        <f>IF(LEN(Table2[[#This Row],[!Description]]) &gt; 0, Table2[[#This Row],[!Description]], "rg:None")</f>
        <v>A named entity that is used to create a arbitrary collection of users into a group. For example, the HETS Clerks are in the group Clerks. Groups, like permissions are defined by and referenced in code.</v>
      </c>
      <c r="W331" s="8" t="str">
        <f>IF(LEN(Table2[[#This Row],[!FK]])&gt;0,Table2[[#This Row],[!FK]],"rg:None")</f>
        <v>rg:None</v>
      </c>
      <c r="X331" s="8" t="str">
        <f>IF(LEN(concatif2(A:A,Table2[[#This Row],[!Table]],G:G,"Y",D:D,",")) &gt; 0,"rg:[ { 'req' : '"&amp;concatif2(A:A,Table2[[#This Row],[!Table]],G:G,"Y",D:D,"' }, { 'req': '")&amp;"'} ]","rg:[]")</f>
        <v>rg:[ { 'req' : 'id' }, { 'req': 'name' }, { 'req': 'description'} ]</v>
      </c>
      <c r="Y331" s="8" t="str">
        <f>IF(LEN(Table2[[#This Row],[!Unique]])&gt;0,IF(Table2[[#This Row],[!Type]] = "id", "rg:None","rg:True"),"rg:None")</f>
        <v>rg:None</v>
      </c>
    </row>
    <row r="332" spans="1:25" x14ac:dyDescent="0.35">
      <c r="A332" s="5" t="s">
        <v>58</v>
      </c>
      <c r="B332" s="5" t="s">
        <v>6</v>
      </c>
      <c r="D332" s="5" t="s">
        <v>6</v>
      </c>
      <c r="E332" s="54" t="s">
        <v>337</v>
      </c>
      <c r="F332" s="5" t="s">
        <v>5</v>
      </c>
      <c r="G332" s="4" t="s">
        <v>59</v>
      </c>
      <c r="H332" s="155" t="s">
        <v>59</v>
      </c>
      <c r="I332" s="5" t="str">
        <f t="shared" si="30"/>
        <v>Defs</v>
      </c>
      <c r="J332" s="8" t="str">
        <f>IF(Table2[[#This Row],[!Type]]=J$1, J$1,"rg:None")</f>
        <v>rg:None</v>
      </c>
      <c r="K332" s="8" t="str">
        <f>IF(Table2[[#This Row],[!Type]]=K$1, K$1,"rg:None")</f>
        <v>rg:None</v>
      </c>
      <c r="L332" s="8" t="str">
        <f>IF(Table2[[#This Row],[!Type]]=L$1, L$1,"rg:None")</f>
        <v>rg:None</v>
      </c>
      <c r="M332" s="8" t="str">
        <f>IF(Table2[[#This Row],[!Type]]=M$1, M$1,"rg:None")</f>
        <v>id</v>
      </c>
      <c r="N332" s="8" t="str">
        <f>IF(Table2[[#This Row],[!Type]]=N$1, N$1,"rg:None")</f>
        <v>rg:None</v>
      </c>
      <c r="O332" s="8" t="str">
        <f>IF(Table2[[#This Row],[!Type]]=O$1, O$1,"rg:None")</f>
        <v>rg:None</v>
      </c>
      <c r="P332" s="5" t="str">
        <f>IF(Table2[[#This Row],[!Type]]=P$1, P$1,"rg:None")</f>
        <v>rg:None</v>
      </c>
      <c r="Q332" s="5" t="str">
        <f>IF(Table2[[#This Row],[!Type]]=Q$1, Q$1,"rg:None")</f>
        <v>rg:None</v>
      </c>
      <c r="R332" s="5" t="str">
        <f>IF(Table2[[#This Row],[!Type]]=R$1, R$1,"rg:None")</f>
        <v>rg:None</v>
      </c>
      <c r="S332" s="5" t="str">
        <f>IF(Table2[[#This Row],[!Type]]=S$1, S$1,"rg:None")</f>
        <v>rg:None</v>
      </c>
      <c r="T332" s="8" t="str">
        <f>IF(LEN(Table2[[#This Row],[!Length]]) &gt; 0, Table2[[#This Row],[!Length]], "rg:None")</f>
        <v>rg:None</v>
      </c>
      <c r="U332" s="8" t="str">
        <f>IF(LEN(Table2[[#This Row],[!Name]]) &gt; 0, Table2[[#This Row],[!Name]], "rg:None")</f>
        <v>id</v>
      </c>
      <c r="V332" s="8" t="str">
        <f>IF(LEN(Table2[[#This Row],[!Description]]) &gt; 0, Table2[[#This Row],[!Description]], "rg:None")</f>
        <v>A system-generated unique identifier for a Group</v>
      </c>
      <c r="W332" s="8" t="str">
        <f>IF(LEN(Table2[[#This Row],[!FK]])&gt;0,Table2[[#This Row],[!FK]],"rg:None")</f>
        <v>rg:None</v>
      </c>
      <c r="X332" s="8" t="str">
        <f>IF(LEN(concatif2(A:A,Table2[[#This Row],[!Table]],G:G,"Y",D:D,",")) &gt; 0,"rg:[ { 'req' : '"&amp;concatif2(A:A,Table2[[#This Row],[!Table]],G:G,"Y",D:D,"' }, { 'req': '")&amp;"'} ]","rg:[]")</f>
        <v>rg:[ { 'req' : 'id' }, { 'req': 'name' }, { 'req': 'description'} ]</v>
      </c>
      <c r="Y332" s="8" t="str">
        <f>IF(LEN(Table2[[#This Row],[!Unique]])&gt;0,IF(Table2[[#This Row],[!Type]] = "id", "rg:None","rg:True"),"rg:None")</f>
        <v>rg:None</v>
      </c>
    </row>
    <row r="333" spans="1:25" x14ac:dyDescent="0.35">
      <c r="A333" s="5" t="s">
        <v>58</v>
      </c>
      <c r="B333" s="5" t="s">
        <v>7</v>
      </c>
      <c r="C333" s="5">
        <v>150</v>
      </c>
      <c r="D333" s="5" t="s">
        <v>15</v>
      </c>
      <c r="E333" s="54" t="s">
        <v>338</v>
      </c>
      <c r="F333" s="5" t="s">
        <v>5</v>
      </c>
      <c r="G333" s="4" t="s">
        <v>59</v>
      </c>
      <c r="H333" s="155" t="s">
        <v>59</v>
      </c>
      <c r="I333" s="5" t="str">
        <f t="shared" si="30"/>
        <v>Defs</v>
      </c>
      <c r="J333" s="8" t="str">
        <f>IF(Table2[[#This Row],[!Type]]=J$1, J$1,"rg:None")</f>
        <v>rg:None</v>
      </c>
      <c r="K333" s="8" t="str">
        <f>IF(Table2[[#This Row],[!Type]]=K$1, K$1,"rg:None")</f>
        <v>rg:None</v>
      </c>
      <c r="L333" s="8" t="str">
        <f>IF(Table2[[#This Row],[!Type]]=L$1, L$1,"rg:None")</f>
        <v>rg:None</v>
      </c>
      <c r="M333" s="8" t="str">
        <f>IF(Table2[[#This Row],[!Type]]=M$1, M$1,"rg:None")</f>
        <v>rg:None</v>
      </c>
      <c r="N333" s="8" t="str">
        <f>IF(Table2[[#This Row],[!Type]]=N$1, N$1,"rg:None")</f>
        <v>rg:None</v>
      </c>
      <c r="O333" s="8" t="str">
        <f>IF(Table2[[#This Row],[!Type]]=O$1, O$1,"rg:None")</f>
        <v>rg:None</v>
      </c>
      <c r="P333" s="5" t="str">
        <f>IF(Table2[[#This Row],[!Type]]=P$1, P$1,"rg:None")</f>
        <v>rg:None</v>
      </c>
      <c r="Q333" s="5" t="str">
        <f>IF(Table2[[#This Row],[!Type]]=Q$1, Q$1,"rg:None")</f>
        <v>rg:None</v>
      </c>
      <c r="R333" s="5" t="str">
        <f>IF(Table2[[#This Row],[!Type]]=R$1, R$1,"rg:None")</f>
        <v>string</v>
      </c>
      <c r="S333" s="5" t="str">
        <f>IF(Table2[[#This Row],[!Type]]=S$1, S$1,"rg:None")</f>
        <v>rg:None</v>
      </c>
      <c r="T333" s="8">
        <f>IF(LEN(Table2[[#This Row],[!Length]]) &gt; 0, Table2[[#This Row],[!Length]], "rg:None")</f>
        <v>150</v>
      </c>
      <c r="U333" s="8" t="str">
        <f>IF(LEN(Table2[[#This Row],[!Name]]) &gt; 0, Table2[[#This Row],[!Name]], "rg:None")</f>
        <v>name</v>
      </c>
      <c r="V333" s="8" t="str">
        <f>IF(LEN(Table2[[#This Row],[!Description]]) &gt; 0, Table2[[#This Row],[!Description]], "rg:None")</f>
        <v>The name of the group, as refenced in the code.</v>
      </c>
      <c r="W333" s="8" t="str">
        <f>IF(LEN(Table2[[#This Row],[!FK]])&gt;0,Table2[[#This Row],[!FK]],"rg:None")</f>
        <v>rg:None</v>
      </c>
      <c r="X333" s="8" t="str">
        <f>IF(LEN(concatif2(A:A,Table2[[#This Row],[!Table]],G:G,"Y",D:D,",")) &gt; 0,"rg:[ { 'req' : '"&amp;concatif2(A:A,Table2[[#This Row],[!Table]],G:G,"Y",D:D,"' }, { 'req': '")&amp;"'} ]","rg:[]")</f>
        <v>rg:[ { 'req' : 'id' }, { 'req': 'name' }, { 'req': 'description'} ]</v>
      </c>
      <c r="Y333" s="8" t="str">
        <f>IF(LEN(Table2[[#This Row],[!Unique]])&gt;0,IF(Table2[[#This Row],[!Type]] = "id", "rg:None","rg:True"),"rg:None")</f>
        <v>rg:True</v>
      </c>
    </row>
    <row r="334" spans="1:25" ht="28.8" x14ac:dyDescent="0.35">
      <c r="A334" s="5" t="s">
        <v>58</v>
      </c>
      <c r="B334" s="5" t="s">
        <v>7</v>
      </c>
      <c r="C334" s="5">
        <v>2048</v>
      </c>
      <c r="D334" s="5" t="s">
        <v>14</v>
      </c>
      <c r="E334" s="54" t="s">
        <v>339</v>
      </c>
      <c r="F334" s="5" t="s">
        <v>5</v>
      </c>
      <c r="G334" s="4" t="s">
        <v>59</v>
      </c>
      <c r="H334" s="4"/>
      <c r="I334" s="5" t="str">
        <f t="shared" si="30"/>
        <v>Defs</v>
      </c>
      <c r="J334" s="8" t="str">
        <f>IF(Table2[[#This Row],[!Type]]=J$1, J$1,"rg:None")</f>
        <v>rg:None</v>
      </c>
      <c r="K334" s="8" t="str">
        <f>IF(Table2[[#This Row],[!Type]]=K$1, K$1,"rg:None")</f>
        <v>rg:None</v>
      </c>
      <c r="L334" s="8" t="str">
        <f>IF(Table2[[#This Row],[!Type]]=L$1, L$1,"rg:None")</f>
        <v>rg:None</v>
      </c>
      <c r="M334" s="8" t="str">
        <f>IF(Table2[[#This Row],[!Type]]=M$1, M$1,"rg:None")</f>
        <v>rg:None</v>
      </c>
      <c r="N334" s="8" t="str">
        <f>IF(Table2[[#This Row],[!Type]]=N$1, N$1,"rg:None")</f>
        <v>rg:None</v>
      </c>
      <c r="O334" s="8" t="str">
        <f>IF(Table2[[#This Row],[!Type]]=O$1, O$1,"rg:None")</f>
        <v>rg:None</v>
      </c>
      <c r="P334" s="5" t="str">
        <f>IF(Table2[[#This Row],[!Type]]=P$1, P$1,"rg:None")</f>
        <v>rg:None</v>
      </c>
      <c r="Q334" s="5" t="str">
        <f>IF(Table2[[#This Row],[!Type]]=Q$1, Q$1,"rg:None")</f>
        <v>rg:None</v>
      </c>
      <c r="R334" s="5" t="str">
        <f>IF(Table2[[#This Row],[!Type]]=R$1, R$1,"rg:None")</f>
        <v>string</v>
      </c>
      <c r="S334" s="5" t="str">
        <f>IF(Table2[[#This Row],[!Type]]=S$1, S$1,"rg:None")</f>
        <v>rg:None</v>
      </c>
      <c r="T334" s="8">
        <f>IF(LEN(Table2[[#This Row],[!Length]]) &gt; 0, Table2[[#This Row],[!Length]], "rg:None")</f>
        <v>2048</v>
      </c>
      <c r="U334" s="8" t="str">
        <f>IF(LEN(Table2[[#This Row],[!Name]]) &gt; 0, Table2[[#This Row],[!Name]], "rg:None")</f>
        <v>description</v>
      </c>
      <c r="V334" s="8" t="str">
        <f>IF(LEN(Table2[[#This Row],[!Description]]) &gt; 0, Table2[[#This Row],[!Description]], "rg:None")</f>
        <v>A description of the group that is presented to the user when they are setting a user into a group.</v>
      </c>
      <c r="W334" s="8" t="str">
        <f>IF(LEN(Table2[[#This Row],[!FK]])&gt;0,Table2[[#This Row],[!FK]],"rg:None")</f>
        <v>rg:None</v>
      </c>
      <c r="X334" s="8" t="str">
        <f>IF(LEN(concatif2(A:A,Table2[[#This Row],[!Table]],G:G,"Y",D:D,",")) &gt; 0,"rg:[ { 'req' : '"&amp;concatif2(A:A,Table2[[#This Row],[!Table]],G:G,"Y",D:D,"' }, { 'req': '")&amp;"'} ]","rg:[]")</f>
        <v>rg:[ { 'req' : 'id' }, { 'req': 'name' }, { 'req': 'description'} ]</v>
      </c>
      <c r="Y334" s="8" t="str">
        <f>IF(LEN(Table2[[#This Row],[!Unique]])&gt;0,IF(Table2[[#This Row],[!Type]] = "id", "rg:None","rg:True"),"rg:None")</f>
        <v>rg:None</v>
      </c>
    </row>
    <row r="335" spans="1:25" x14ac:dyDescent="0.35">
      <c r="A335" s="161" t="s">
        <v>583</v>
      </c>
      <c r="B335" s="161" t="s">
        <v>4</v>
      </c>
      <c r="C335" s="72"/>
      <c r="D335" s="161" t="s">
        <v>583</v>
      </c>
      <c r="E335" s="47"/>
      <c r="F335" s="12"/>
      <c r="G335" s="18"/>
      <c r="H335" s="18"/>
      <c r="I335" s="4" t="str">
        <f t="shared" ref="I335:I340" si="31">IF(LEN(A335) &gt; 0,"Defs","-")</f>
        <v>Defs</v>
      </c>
      <c r="J335" s="14" t="str">
        <f>IF(Table2[[#This Row],[!Type]]=J$1, J$1,"rg:None")</f>
        <v>rg:None</v>
      </c>
      <c r="K335" s="14" t="str">
        <f>IF(Table2[[#This Row],[!Type]]=K$1, K$1,"rg:None")</f>
        <v>rg:None</v>
      </c>
      <c r="L335" s="14" t="str">
        <f>IF(Table2[[#This Row],[!Type]]=L$1, L$1,"rg:None")</f>
        <v>rg:None</v>
      </c>
      <c r="M335" s="14" t="str">
        <f>IF(Table2[[#This Row],[!Type]]=M$1, M$1,"rg:None")</f>
        <v>rg:None</v>
      </c>
      <c r="N335" s="14" t="str">
        <f>IF(Table2[[#This Row],[!Type]]=N$1, N$1,"rg:None")</f>
        <v>rg:None</v>
      </c>
      <c r="O335" s="14" t="str">
        <f>IF(Table2[[#This Row],[!Type]]=O$1, O$1,"rg:None")</f>
        <v>rg:None</v>
      </c>
      <c r="P335" s="4" t="str">
        <f>IF(Table2[[#This Row],[!Type]]=P$1, P$1,"rg:None")</f>
        <v>rg:None</v>
      </c>
      <c r="Q335" s="4" t="str">
        <f>IF(Table2[[#This Row],[!Type]]=Q$1, Q$1,"rg:None")</f>
        <v>rg:None</v>
      </c>
      <c r="R335" s="4" t="str">
        <f>IF(Table2[[#This Row],[!Type]]=R$1, R$1,"rg:None")</f>
        <v>rg:None</v>
      </c>
      <c r="S335" s="4" t="str">
        <f>IF(Table2[[#This Row],[!Type]]=S$1, S$1,"rg:None")</f>
        <v>table</v>
      </c>
      <c r="T335" s="14" t="str">
        <f>IF(LEN(Table2[[#This Row],[!Length]]) &gt; 0, Table2[[#This Row],[!Length]], "rg:None")</f>
        <v>rg:None</v>
      </c>
      <c r="U335" s="14" t="str">
        <f>IF(LEN(Table2[[#This Row],[!Name]]) &gt; 0, Table2[[#This Row],[!Name]], "rg:None")</f>
        <v>ImportMap</v>
      </c>
      <c r="V335" s="14" t="str">
        <f>IF(LEN(Table2[[#This Row],[!Description]]) &gt; 0, Table2[[#This Row],[!Description]], "rg:None")</f>
        <v>rg:None</v>
      </c>
      <c r="W335" s="14" t="str">
        <f>IF(LEN(Table2[[#This Row],[!FK]])&gt;0,Table2[[#This Row],[!FK]],"rg:None")</f>
        <v>rg:None</v>
      </c>
      <c r="X335" s="14" t="str">
        <f>IF(LEN(concatif2(A:A,Table2[[#This Row],[!Table]],G:G,"Y",D:D,",")) &gt; 0,"rg:[ { 'req' : '"&amp;concatif2(A:A,Table2[[#This Row],[!Table]],G:G,"Y",D:D,"' }, { 'req': '")&amp;"'} ]","rg:[]")</f>
        <v>rg:[ { 'req' : 'id' }, { 'req': 'oldTable' }, { 'req': 'newTable' }, { 'req': 'oldKey' }, { 'req': 'newKey'} ]</v>
      </c>
      <c r="Y335" s="14" t="str">
        <f>IF(LEN(Table2[[#This Row],[!Unique]])&gt;0,IF(Table2[[#This Row],[!Type]] = "id", "rg:None","rg:True"),"rg:None")</f>
        <v>rg:None</v>
      </c>
    </row>
    <row r="336" spans="1:25" x14ac:dyDescent="0.35">
      <c r="A336" s="161" t="s">
        <v>583</v>
      </c>
      <c r="B336" s="161" t="s">
        <v>6</v>
      </c>
      <c r="C336" s="72"/>
      <c r="D336" s="161" t="s">
        <v>6</v>
      </c>
      <c r="E336" s="162" t="s">
        <v>585</v>
      </c>
      <c r="F336" s="12"/>
      <c r="G336" s="163" t="s">
        <v>59</v>
      </c>
      <c r="H336" s="163" t="s">
        <v>59</v>
      </c>
      <c r="I336" s="4" t="str">
        <f t="shared" si="31"/>
        <v>Defs</v>
      </c>
      <c r="J336" s="14" t="str">
        <f>IF(Table2[[#This Row],[!Type]]=J$1, J$1,"rg:None")</f>
        <v>rg:None</v>
      </c>
      <c r="K336" s="14" t="str">
        <f>IF(Table2[[#This Row],[!Type]]=K$1, K$1,"rg:None")</f>
        <v>rg:None</v>
      </c>
      <c r="L336" s="14" t="str">
        <f>IF(Table2[[#This Row],[!Type]]=L$1, L$1,"rg:None")</f>
        <v>rg:None</v>
      </c>
      <c r="M336" s="14" t="str">
        <f>IF(Table2[[#This Row],[!Type]]=M$1, M$1,"rg:None")</f>
        <v>id</v>
      </c>
      <c r="N336" s="14" t="str">
        <f>IF(Table2[[#This Row],[!Type]]=N$1, N$1,"rg:None")</f>
        <v>rg:None</v>
      </c>
      <c r="O336" s="14" t="str">
        <f>IF(Table2[[#This Row],[!Type]]=O$1, O$1,"rg:None")</f>
        <v>rg:None</v>
      </c>
      <c r="P336" s="4" t="str">
        <f>IF(Table2[[#This Row],[!Type]]=P$1, P$1,"rg:None")</f>
        <v>rg:None</v>
      </c>
      <c r="Q336" s="4" t="str">
        <f>IF(Table2[[#This Row],[!Type]]=Q$1, Q$1,"rg:None")</f>
        <v>rg:None</v>
      </c>
      <c r="R336" s="4" t="str">
        <f>IF(Table2[[#This Row],[!Type]]=R$1, R$1,"rg:None")</f>
        <v>rg:None</v>
      </c>
      <c r="S336" s="4" t="str">
        <f>IF(Table2[[#This Row],[!Type]]=S$1, S$1,"rg:None")</f>
        <v>rg:None</v>
      </c>
      <c r="T336" s="14" t="str">
        <f>IF(LEN(Table2[[#This Row],[!Length]]) &gt; 0, Table2[[#This Row],[!Length]], "rg:None")</f>
        <v>rg:None</v>
      </c>
      <c r="U336" s="14" t="str">
        <f>IF(LEN(Table2[[#This Row],[!Name]]) &gt; 0, Table2[[#This Row],[!Name]], "rg:None")</f>
        <v>id</v>
      </c>
      <c r="V336" s="14" t="str">
        <f>IF(LEN(Table2[[#This Row],[!Description]]) &gt; 0, Table2[[#This Row],[!Description]], "rg:None")</f>
        <v>A system generated unique identifier for the ImportMap</v>
      </c>
      <c r="W336" s="14" t="str">
        <f>IF(LEN(Table2[[#This Row],[!FK]])&gt;0,Table2[[#This Row],[!FK]],"rg:None")</f>
        <v>rg:None</v>
      </c>
      <c r="X336" s="14" t="str">
        <f>IF(LEN(concatif2(A:A,Table2[[#This Row],[!Table]],G:G,"Y",D:D,",")) &gt; 0,"rg:[ { 'req' : '"&amp;concatif2(A:A,Table2[[#This Row],[!Table]],G:G,"Y",D:D,"' }, { 'req': '")&amp;"'} ]","rg:[]")</f>
        <v>rg:[ { 'req' : 'id' }, { 'req': 'oldTable' }, { 'req': 'newTable' }, { 'req': 'oldKey' }, { 'req': 'newKey'} ]</v>
      </c>
      <c r="Y336" s="14" t="str">
        <f>IF(LEN(Table2[[#This Row],[!Unique]])&gt;0,IF(Table2[[#This Row],[!Type]] = "id", "rg:None","rg:True"),"rg:None")</f>
        <v>rg:None</v>
      </c>
    </row>
    <row r="337" spans="1:25" x14ac:dyDescent="0.35">
      <c r="A337" s="161" t="s">
        <v>583</v>
      </c>
      <c r="B337" s="161" t="s">
        <v>7</v>
      </c>
      <c r="C337" s="72"/>
      <c r="D337" s="161" t="s">
        <v>584</v>
      </c>
      <c r="E337" s="162" t="s">
        <v>586</v>
      </c>
      <c r="F337" s="12"/>
      <c r="G337" s="163" t="s">
        <v>59</v>
      </c>
      <c r="H337" s="18"/>
      <c r="I337" s="4" t="str">
        <f t="shared" si="31"/>
        <v>Defs</v>
      </c>
      <c r="J337" s="14" t="str">
        <f>IF(Table2[[#This Row],[!Type]]=J$1, J$1,"rg:None")</f>
        <v>rg:None</v>
      </c>
      <c r="K337" s="14" t="str">
        <f>IF(Table2[[#This Row],[!Type]]=K$1, K$1,"rg:None")</f>
        <v>rg:None</v>
      </c>
      <c r="L337" s="14" t="str">
        <f>IF(Table2[[#This Row],[!Type]]=L$1, L$1,"rg:None")</f>
        <v>rg:None</v>
      </c>
      <c r="M337" s="14" t="str">
        <f>IF(Table2[[#This Row],[!Type]]=M$1, M$1,"rg:None")</f>
        <v>rg:None</v>
      </c>
      <c r="N337" s="14" t="str">
        <f>IF(Table2[[#This Row],[!Type]]=N$1, N$1,"rg:None")</f>
        <v>rg:None</v>
      </c>
      <c r="O337" s="14" t="str">
        <f>IF(Table2[[#This Row],[!Type]]=O$1, O$1,"rg:None")</f>
        <v>rg:None</v>
      </c>
      <c r="P337" s="4" t="str">
        <f>IF(Table2[[#This Row],[!Type]]=P$1, P$1,"rg:None")</f>
        <v>rg:None</v>
      </c>
      <c r="Q337" s="4" t="str">
        <f>IF(Table2[[#This Row],[!Type]]=Q$1, Q$1,"rg:None")</f>
        <v>rg:None</v>
      </c>
      <c r="R337" s="4" t="str">
        <f>IF(Table2[[#This Row],[!Type]]=R$1, R$1,"rg:None")</f>
        <v>string</v>
      </c>
      <c r="S337" s="4" t="str">
        <f>IF(Table2[[#This Row],[!Type]]=S$1, S$1,"rg:None")</f>
        <v>rg:None</v>
      </c>
      <c r="T337" s="14" t="str">
        <f>IF(LEN(Table2[[#This Row],[!Length]]) &gt; 0, Table2[[#This Row],[!Length]], "rg:None")</f>
        <v>rg:None</v>
      </c>
      <c r="U337" s="14" t="str">
        <f>IF(LEN(Table2[[#This Row],[!Name]]) &gt; 0, Table2[[#This Row],[!Name]], "rg:None")</f>
        <v>oldTable</v>
      </c>
      <c r="V337" s="14" t="str">
        <f>IF(LEN(Table2[[#This Row],[!Description]]) &gt; 0, Table2[[#This Row],[!Description]], "rg:None")</f>
        <v>Table name in old system</v>
      </c>
      <c r="W337" s="14" t="str">
        <f>IF(LEN(Table2[[#This Row],[!FK]])&gt;0,Table2[[#This Row],[!FK]],"rg:None")</f>
        <v>rg:None</v>
      </c>
      <c r="X337" s="14" t="str">
        <f>IF(LEN(concatif2(A:A,Table2[[#This Row],[!Table]],G:G,"Y",D:D,",")) &gt; 0,"rg:[ { 'req' : '"&amp;concatif2(A:A,Table2[[#This Row],[!Table]],G:G,"Y",D:D,"' }, { 'req': '")&amp;"'} ]","rg:[]")</f>
        <v>rg:[ { 'req' : 'id' }, { 'req': 'oldTable' }, { 'req': 'newTable' }, { 'req': 'oldKey' }, { 'req': 'newKey'} ]</v>
      </c>
      <c r="Y337" s="14" t="str">
        <f>IF(LEN(Table2[[#This Row],[!Unique]])&gt;0,IF(Table2[[#This Row],[!Type]] = "id", "rg:None","rg:True"),"rg:None")</f>
        <v>rg:None</v>
      </c>
    </row>
    <row r="338" spans="1:25" x14ac:dyDescent="0.35">
      <c r="A338" s="161" t="s">
        <v>583</v>
      </c>
      <c r="B338" s="161" t="s">
        <v>7</v>
      </c>
      <c r="C338" s="72"/>
      <c r="D338" s="161" t="s">
        <v>587</v>
      </c>
      <c r="E338" s="162" t="s">
        <v>588</v>
      </c>
      <c r="F338" s="12"/>
      <c r="G338" s="163" t="s">
        <v>59</v>
      </c>
      <c r="H338" s="18"/>
      <c r="I338" s="4" t="str">
        <f t="shared" si="31"/>
        <v>Defs</v>
      </c>
      <c r="J338" s="14" t="str">
        <f>IF(Table2[[#This Row],[!Type]]=J$1, J$1,"rg:None")</f>
        <v>rg:None</v>
      </c>
      <c r="K338" s="14" t="str">
        <f>IF(Table2[[#This Row],[!Type]]=K$1, K$1,"rg:None")</f>
        <v>rg:None</v>
      </c>
      <c r="L338" s="14" t="str">
        <f>IF(Table2[[#This Row],[!Type]]=L$1, L$1,"rg:None")</f>
        <v>rg:None</v>
      </c>
      <c r="M338" s="14" t="str">
        <f>IF(Table2[[#This Row],[!Type]]=M$1, M$1,"rg:None")</f>
        <v>rg:None</v>
      </c>
      <c r="N338" s="14" t="str">
        <f>IF(Table2[[#This Row],[!Type]]=N$1, N$1,"rg:None")</f>
        <v>rg:None</v>
      </c>
      <c r="O338" s="14" t="str">
        <f>IF(Table2[[#This Row],[!Type]]=O$1, O$1,"rg:None")</f>
        <v>rg:None</v>
      </c>
      <c r="P338" s="4" t="str">
        <f>IF(Table2[[#This Row],[!Type]]=P$1, P$1,"rg:None")</f>
        <v>rg:None</v>
      </c>
      <c r="Q338" s="4" t="str">
        <f>IF(Table2[[#This Row],[!Type]]=Q$1, Q$1,"rg:None")</f>
        <v>rg:None</v>
      </c>
      <c r="R338" s="4" t="str">
        <f>IF(Table2[[#This Row],[!Type]]=R$1, R$1,"rg:None")</f>
        <v>string</v>
      </c>
      <c r="S338" s="4" t="str">
        <f>IF(Table2[[#This Row],[!Type]]=S$1, S$1,"rg:None")</f>
        <v>rg:None</v>
      </c>
      <c r="T338" s="14" t="str">
        <f>IF(LEN(Table2[[#This Row],[!Length]]) &gt; 0, Table2[[#This Row],[!Length]], "rg:None")</f>
        <v>rg:None</v>
      </c>
      <c r="U338" s="14" t="str">
        <f>IF(LEN(Table2[[#This Row],[!Name]]) &gt; 0, Table2[[#This Row],[!Name]], "rg:None")</f>
        <v>newTable</v>
      </c>
      <c r="V338" s="14" t="str">
        <f>IF(LEN(Table2[[#This Row],[!Description]]) &gt; 0, Table2[[#This Row],[!Description]], "rg:None")</f>
        <v>Table name in new system.</v>
      </c>
      <c r="W338" s="14" t="str">
        <f>IF(LEN(Table2[[#This Row],[!FK]])&gt;0,Table2[[#This Row],[!FK]],"rg:None")</f>
        <v>rg:None</v>
      </c>
      <c r="X338" s="14" t="str">
        <f>IF(LEN(concatif2(A:A,Table2[[#This Row],[!Table]],G:G,"Y",D:D,",")) &gt; 0,"rg:[ { 'req' : '"&amp;concatif2(A:A,Table2[[#This Row],[!Table]],G:G,"Y",D:D,"' }, { 'req': '")&amp;"'} ]","rg:[]")</f>
        <v>rg:[ { 'req' : 'id' }, { 'req': 'oldTable' }, { 'req': 'newTable' }, { 'req': 'oldKey' }, { 'req': 'newKey'} ]</v>
      </c>
      <c r="Y338" s="14" t="str">
        <f>IF(LEN(Table2[[#This Row],[!Unique]])&gt;0,IF(Table2[[#This Row],[!Type]] = "id", "rg:None","rg:True"),"rg:None")</f>
        <v>rg:None</v>
      </c>
    </row>
    <row r="339" spans="1:25" x14ac:dyDescent="0.35">
      <c r="A339" s="161" t="s">
        <v>583</v>
      </c>
      <c r="B339" s="161" t="s">
        <v>13</v>
      </c>
      <c r="C339" s="72"/>
      <c r="D339" s="161" t="s">
        <v>589</v>
      </c>
      <c r="E339" s="162" t="s">
        <v>590</v>
      </c>
      <c r="F339" s="12"/>
      <c r="G339" s="163" t="s">
        <v>59</v>
      </c>
      <c r="H339" s="18"/>
      <c r="I339" s="4" t="str">
        <f t="shared" si="31"/>
        <v>Defs</v>
      </c>
      <c r="J339" s="14" t="str">
        <f>IF(Table2[[#This Row],[!Type]]=J$1, J$1,"rg:None")</f>
        <v>rg:None</v>
      </c>
      <c r="K339" s="14" t="str">
        <f>IF(Table2[[#This Row],[!Type]]=K$1, K$1,"rg:None")</f>
        <v>rg:None</v>
      </c>
      <c r="L339" s="14" t="str">
        <f>IF(Table2[[#This Row],[!Type]]=L$1, L$1,"rg:None")</f>
        <v>rg:None</v>
      </c>
      <c r="M339" s="14" t="str">
        <f>IF(Table2[[#This Row],[!Type]]=M$1, M$1,"rg:None")</f>
        <v>rg:None</v>
      </c>
      <c r="N339" s="14" t="str">
        <f>IF(Table2[[#This Row],[!Type]]=N$1, N$1,"rg:None")</f>
        <v>integer</v>
      </c>
      <c r="O339" s="14" t="str">
        <f>IF(Table2[[#This Row],[!Type]]=O$1, O$1,"rg:None")</f>
        <v>rg:None</v>
      </c>
      <c r="P339" s="4" t="str">
        <f>IF(Table2[[#This Row],[!Type]]=P$1, P$1,"rg:None")</f>
        <v>rg:None</v>
      </c>
      <c r="Q339" s="4" t="str">
        <f>IF(Table2[[#This Row],[!Type]]=Q$1, Q$1,"rg:None")</f>
        <v>rg:None</v>
      </c>
      <c r="R339" s="4" t="str">
        <f>IF(Table2[[#This Row],[!Type]]=R$1, R$1,"rg:None")</f>
        <v>rg:None</v>
      </c>
      <c r="S339" s="4" t="str">
        <f>IF(Table2[[#This Row],[!Type]]=S$1, S$1,"rg:None")</f>
        <v>rg:None</v>
      </c>
      <c r="T339" s="14" t="str">
        <f>IF(LEN(Table2[[#This Row],[!Length]]) &gt; 0, Table2[[#This Row],[!Length]], "rg:None")</f>
        <v>rg:None</v>
      </c>
      <c r="U339" s="14" t="str">
        <f>IF(LEN(Table2[[#This Row],[!Name]]) &gt; 0, Table2[[#This Row],[!Name]], "rg:None")</f>
        <v>oldKey</v>
      </c>
      <c r="V339" s="14" t="str">
        <f>IF(LEN(Table2[[#This Row],[!Description]]) &gt; 0, Table2[[#This Row],[!Description]], "rg:None")</f>
        <v>Old primary key for record</v>
      </c>
      <c r="W339" s="14" t="str">
        <f>IF(LEN(Table2[[#This Row],[!FK]])&gt;0,Table2[[#This Row],[!FK]],"rg:None")</f>
        <v>rg:None</v>
      </c>
      <c r="X339" s="14" t="str">
        <f>IF(LEN(concatif2(A:A,Table2[[#This Row],[!Table]],G:G,"Y",D:D,",")) &gt; 0,"rg:[ { 'req' : '"&amp;concatif2(A:A,Table2[[#This Row],[!Table]],G:G,"Y",D:D,"' }, { 'req': '")&amp;"'} ]","rg:[]")</f>
        <v>rg:[ { 'req' : 'id' }, { 'req': 'oldTable' }, { 'req': 'newTable' }, { 'req': 'oldKey' }, { 'req': 'newKey'} ]</v>
      </c>
      <c r="Y339" s="14" t="str">
        <f>IF(LEN(Table2[[#This Row],[!Unique]])&gt;0,IF(Table2[[#This Row],[!Type]] = "id", "rg:None","rg:True"),"rg:None")</f>
        <v>rg:None</v>
      </c>
    </row>
    <row r="340" spans="1:25" x14ac:dyDescent="0.35">
      <c r="A340" s="161" t="s">
        <v>583</v>
      </c>
      <c r="B340" s="161" t="s">
        <v>13</v>
      </c>
      <c r="C340" s="72"/>
      <c r="D340" s="161" t="s">
        <v>591</v>
      </c>
      <c r="E340" s="162" t="s">
        <v>592</v>
      </c>
      <c r="F340" s="12"/>
      <c r="G340" s="163" t="s">
        <v>59</v>
      </c>
      <c r="H340" s="18"/>
      <c r="I340" s="4" t="str">
        <f t="shared" si="31"/>
        <v>Defs</v>
      </c>
      <c r="J340" s="14" t="str">
        <f>IF(Table2[[#This Row],[!Type]]=J$1, J$1,"rg:None")</f>
        <v>rg:None</v>
      </c>
      <c r="K340" s="14" t="str">
        <f>IF(Table2[[#This Row],[!Type]]=K$1, K$1,"rg:None")</f>
        <v>rg:None</v>
      </c>
      <c r="L340" s="14" t="str">
        <f>IF(Table2[[#This Row],[!Type]]=L$1, L$1,"rg:None")</f>
        <v>rg:None</v>
      </c>
      <c r="M340" s="14" t="str">
        <f>IF(Table2[[#This Row],[!Type]]=M$1, M$1,"rg:None")</f>
        <v>rg:None</v>
      </c>
      <c r="N340" s="14" t="str">
        <f>IF(Table2[[#This Row],[!Type]]=N$1, N$1,"rg:None")</f>
        <v>integer</v>
      </c>
      <c r="O340" s="14" t="str">
        <f>IF(Table2[[#This Row],[!Type]]=O$1, O$1,"rg:None")</f>
        <v>rg:None</v>
      </c>
      <c r="P340" s="4" t="str">
        <f>IF(Table2[[#This Row],[!Type]]=P$1, P$1,"rg:None")</f>
        <v>rg:None</v>
      </c>
      <c r="Q340" s="4" t="str">
        <f>IF(Table2[[#This Row],[!Type]]=Q$1, Q$1,"rg:None")</f>
        <v>rg:None</v>
      </c>
      <c r="R340" s="4" t="str">
        <f>IF(Table2[[#This Row],[!Type]]=R$1, R$1,"rg:None")</f>
        <v>rg:None</v>
      </c>
      <c r="S340" s="4" t="str">
        <f>IF(Table2[[#This Row],[!Type]]=S$1, S$1,"rg:None")</f>
        <v>rg:None</v>
      </c>
      <c r="T340" s="14" t="str">
        <f>IF(LEN(Table2[[#This Row],[!Length]]) &gt; 0, Table2[[#This Row],[!Length]], "rg:None")</f>
        <v>rg:None</v>
      </c>
      <c r="U340" s="14" t="str">
        <f>IF(LEN(Table2[[#This Row],[!Name]]) &gt; 0, Table2[[#This Row],[!Name]], "rg:None")</f>
        <v>newKey</v>
      </c>
      <c r="V340" s="14" t="str">
        <f>IF(LEN(Table2[[#This Row],[!Description]]) &gt; 0, Table2[[#This Row],[!Description]], "rg:None")</f>
        <v>New primary key for record</v>
      </c>
      <c r="W340" s="14" t="str">
        <f>IF(LEN(Table2[[#This Row],[!FK]])&gt;0,Table2[[#This Row],[!FK]],"rg:None")</f>
        <v>rg:None</v>
      </c>
      <c r="X340" s="14" t="str">
        <f>IF(LEN(concatif2(A:A,Table2[[#This Row],[!Table]],G:G,"Y",D:D,",")) &gt; 0,"rg:[ { 'req' : '"&amp;concatif2(A:A,Table2[[#This Row],[!Table]],G:G,"Y",D:D,"' }, { 'req': '")&amp;"'} ]","rg:[]")</f>
        <v>rg:[ { 'req' : 'id' }, { 'req': 'oldTable' }, { 'req': 'newTable' }, { 'req': 'oldKey' }, { 'req': 'newKey'} ]</v>
      </c>
      <c r="Y340" s="14" t="str">
        <f>IF(LEN(Table2[[#This Row],[!Unique]])&gt;0,IF(Table2[[#This Row],[!Type]] = "id", "rg:None","rg:True"),"rg:None")</f>
        <v>rg:None</v>
      </c>
    </row>
    <row r="341" spans="1:25" x14ac:dyDescent="0.35">
      <c r="A341" s="168" t="s">
        <v>450</v>
      </c>
      <c r="B341" s="168"/>
      <c r="C341" s="168"/>
      <c r="D341" s="168"/>
      <c r="E341" s="169"/>
      <c r="F341" s="169"/>
      <c r="G341" s="168"/>
      <c r="H341" s="168"/>
      <c r="I341" s="8"/>
      <c r="J341" s="8"/>
      <c r="K341" s="8"/>
      <c r="L341" s="8"/>
      <c r="M341" s="8"/>
      <c r="N341" s="8"/>
      <c r="O341" s="8"/>
      <c r="P341" s="8"/>
      <c r="Q341" s="8"/>
      <c r="R341" s="8"/>
      <c r="S341" s="8"/>
      <c r="T341" s="8"/>
      <c r="U341" s="8"/>
      <c r="V341" s="8"/>
      <c r="W341" s="8"/>
      <c r="Y341" s="8">
        <f>SUBTOTAL(103,Table2[Unique])</f>
        <v>339</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V70"/>
  <sheetViews>
    <sheetView zoomScale="130" zoomScaleNormal="130" workbookViewId="0">
      <pane ySplit="1" topLeftCell="A34" activePane="bottomLeft" state="frozen"/>
      <selection pane="bottomLeft" activeCell="C48" sqref="C48"/>
    </sheetView>
  </sheetViews>
  <sheetFormatPr defaultColWidth="8.7265625" defaultRowHeight="16.100000000000001" x14ac:dyDescent="0.35"/>
  <cols>
    <col min="1" max="1" width="25.1796875" style="5" customWidth="1"/>
    <col min="2" max="2" width="26.6328125" style="5" customWidth="1"/>
    <col min="3" max="3" width="25.7265625" style="5" bestFit="1" customWidth="1"/>
    <col min="4" max="5" width="33.453125" style="6" customWidth="1"/>
    <col min="6" max="6" width="19.36328125" style="6" customWidth="1"/>
    <col min="7" max="7" width="33.453125" style="6" customWidth="1"/>
    <col min="8" max="8" width="8.7265625" customWidth="1"/>
    <col min="9" max="21" width="8.7265625" style="5" customWidth="1"/>
    <col min="22" max="16384" width="8.7265625" style="5"/>
  </cols>
  <sheetData>
    <row r="1" spans="1:22" s="1" customFormat="1" ht="14.4" x14ac:dyDescent="0.35">
      <c r="A1" s="1" t="s">
        <v>80</v>
      </c>
      <c r="B1" s="1" t="s">
        <v>81</v>
      </c>
      <c r="C1" s="1" t="s">
        <v>82</v>
      </c>
      <c r="D1" s="1" t="s">
        <v>83</v>
      </c>
      <c r="E1" s="1" t="s">
        <v>579</v>
      </c>
      <c r="F1" s="2" t="s">
        <v>84</v>
      </c>
      <c r="G1" s="1" t="s">
        <v>85</v>
      </c>
      <c r="H1" s="9" t="s">
        <v>62</v>
      </c>
      <c r="I1" s="9" t="s">
        <v>72</v>
      </c>
      <c r="J1" s="9" t="s">
        <v>73</v>
      </c>
      <c r="K1" s="9" t="s">
        <v>74</v>
      </c>
      <c r="L1" s="9" t="s">
        <v>75</v>
      </c>
      <c r="M1" s="9" t="s">
        <v>76</v>
      </c>
      <c r="N1" s="9" t="s">
        <v>77</v>
      </c>
      <c r="O1" s="9" t="s">
        <v>78</v>
      </c>
      <c r="P1" s="9" t="s">
        <v>79</v>
      </c>
      <c r="Q1" s="9" t="s">
        <v>68</v>
      </c>
      <c r="R1" s="9" t="s">
        <v>69</v>
      </c>
      <c r="S1" s="9" t="s">
        <v>70</v>
      </c>
      <c r="T1" s="9" t="s">
        <v>71</v>
      </c>
      <c r="U1" s="9" t="s">
        <v>1</v>
      </c>
      <c r="V1" s="1" t="s">
        <v>581</v>
      </c>
    </row>
    <row r="2" spans="1:22" x14ac:dyDescent="0.3">
      <c r="A2" s="7" t="s">
        <v>72</v>
      </c>
      <c r="B2" s="29" t="s">
        <v>175</v>
      </c>
      <c r="C2" s="20" t="s">
        <v>176</v>
      </c>
      <c r="D2" s="44"/>
      <c r="E2" s="44"/>
      <c r="F2" s="12"/>
      <c r="G2" s="13"/>
      <c r="H2" s="14" t="str">
        <f t="shared" ref="H2:H15" si="0">IF(LEN(A2) &gt;0,"Path","-")</f>
        <v>Path</v>
      </c>
      <c r="I2" s="4" t="str">
        <f>IF(LEN(Table23[[#This Row],[!type]])&gt;0,IF(Table23[[#This Row],[!type]]=I$1,"1","rg:None"),"-")</f>
        <v>1</v>
      </c>
      <c r="J2" s="4" t="str">
        <f>IF(LEN(Table23[[#This Row],[!type]])&gt;0,IF(Table23[[#This Row],[!type]]=J$1,"1","rg:None"),"-")</f>
        <v>rg:None</v>
      </c>
      <c r="K2" s="4" t="str">
        <f>IF(LEN(Table23[[#This Row],[!type]])&gt;0,IF(Table23[[#This Row],[!type]]=K$1,"1","rg:None"),"-")</f>
        <v>rg:None</v>
      </c>
      <c r="L2" s="4" t="str">
        <f>IF(LEN(Table23[[#This Row],[!type]])&gt;0,IF(Table23[[#This Row],[!type]]=L$1,"1","rg:None"),"-")</f>
        <v>rg:None</v>
      </c>
      <c r="M2" s="4" t="str">
        <f>IF(LEN(Table23[[#This Row],[!type]])&gt;0,IF(Table23[[#This Row],[!type]]=M$1,"1","rg:None"),"-")</f>
        <v>rg:None</v>
      </c>
      <c r="N2" s="4" t="str">
        <f>IF(LEN(Table23[[#This Row],[!type]])&gt;0,IF(Table23[[#This Row],[!type]]=N$1,"1","rg:None"),"-")</f>
        <v>rg:None</v>
      </c>
      <c r="O2" s="4" t="str">
        <f>IF(LEN(Table23[[#This Row],[!type]])&gt;0,IF(Table23[[#This Row],[!type]]=O$1,"1","rg:None"),"-")</f>
        <v>rg:None</v>
      </c>
      <c r="P2" s="4" t="str">
        <f>IF(LEN(Table23[[#This Row],[!type]])&gt;0,IF(Table23[[#This Row],[!type]]=P$1,"1","rg:None"),"-")</f>
        <v>rg:None</v>
      </c>
      <c r="Q2" s="4" t="str">
        <f>IF(LEN(Table23[[#This Row],[!path]]) &gt;0,Table23[[#This Row],[!path]],"rg:None")</f>
        <v>equipment</v>
      </c>
      <c r="R2" s="4" t="str">
        <f>IF(LEN(Table23[[#This Row],[!tag]]) &gt;0,Table23[[#This Row],[!tag]],"rg:None")</f>
        <v>Equipment</v>
      </c>
      <c r="S2" s="4" t="str">
        <f>IF(LEN(Table23[[#This Row],[!paramDef]]) &gt;0,Table23[[#This Row],[!paramDef]],"rg:None")</f>
        <v>rg:None</v>
      </c>
      <c r="T2" s="4" t="str">
        <f>IF(LEN(Table23[[#This Row],[!respDef]]) &gt;0,Table23[[#This Row],[!respDef]],"rg:None")</f>
        <v>rg:None</v>
      </c>
      <c r="U2" s="4" t="str">
        <f>IF(LEN(Table23[[#This Row],[!Description]]) &gt;0,Table23[[#This Row],[!Description]],"rg:None")</f>
        <v>rg:None</v>
      </c>
      <c r="V2" s="4" t="str">
        <f>IF(LEN(Table23[!permission]) &gt;0,Table23[!permission],"rg:None")</f>
        <v>rg:None</v>
      </c>
    </row>
    <row r="3" spans="1:22" x14ac:dyDescent="0.3">
      <c r="A3" s="42" t="s">
        <v>74</v>
      </c>
      <c r="B3" s="42" t="s">
        <v>175</v>
      </c>
      <c r="C3" s="43" t="s">
        <v>176</v>
      </c>
      <c r="D3" s="44" t="s">
        <v>176</v>
      </c>
      <c r="E3" s="44" t="s">
        <v>580</v>
      </c>
      <c r="F3" s="12"/>
      <c r="G3" s="13"/>
      <c r="H3" s="14" t="str">
        <f t="shared" si="0"/>
        <v>Path</v>
      </c>
      <c r="I3" s="4" t="str">
        <f>IF(LEN(Table23[[#This Row],[!type]])&gt;0,IF(Table23[[#This Row],[!type]]=I$1,"1","rg:None"),"-")</f>
        <v>rg:None</v>
      </c>
      <c r="J3" s="4" t="str">
        <f>IF(LEN(Table23[[#This Row],[!type]])&gt;0,IF(Table23[[#This Row],[!type]]=J$1,"1","rg:None"),"-")</f>
        <v>rg:None</v>
      </c>
      <c r="K3" s="4" t="str">
        <f>IF(LEN(Table23[[#This Row],[!type]])&gt;0,IF(Table23[[#This Row],[!type]]=K$1,"1","rg:None"),"-")</f>
        <v>1</v>
      </c>
      <c r="L3" s="4" t="str">
        <f>IF(LEN(Table23[[#This Row],[!type]])&gt;0,IF(Table23[[#This Row],[!type]]=L$1,"1","rg:None"),"-")</f>
        <v>rg:None</v>
      </c>
      <c r="M3" s="4" t="str">
        <f>IF(LEN(Table23[[#This Row],[!type]])&gt;0,IF(Table23[[#This Row],[!type]]=M$1,"1","rg:None"),"-")</f>
        <v>rg:None</v>
      </c>
      <c r="N3" s="4" t="str">
        <f>IF(LEN(Table23[[#This Row],[!type]])&gt;0,IF(Table23[[#This Row],[!type]]=N$1,"1","rg:None"),"-")</f>
        <v>rg:None</v>
      </c>
      <c r="O3" s="4" t="str">
        <f>IF(LEN(Table23[[#This Row],[!type]])&gt;0,IF(Table23[[#This Row],[!type]]=O$1,"1","rg:None"),"-")</f>
        <v>rg:None</v>
      </c>
      <c r="P3" s="4" t="str">
        <f>IF(LEN(Table23[[#This Row],[!type]])&gt;0,IF(Table23[[#This Row],[!type]]=P$1,"1","rg:None"),"-")</f>
        <v>rg:None</v>
      </c>
      <c r="Q3" s="4" t="str">
        <f>IF(LEN(Table23[[#This Row],[!path]]) &gt;0,Table23[[#This Row],[!path]],"rg:None")</f>
        <v>equipment</v>
      </c>
      <c r="R3" s="4" t="str">
        <f>IF(LEN(Table23[[#This Row],[!tag]]) &gt;0,Table23[[#This Row],[!tag]],"rg:None")</f>
        <v>Equipment</v>
      </c>
      <c r="S3" s="4" t="str">
        <f>IF(LEN(Table23[[#This Row],[!paramDef]]) &gt;0,Table23[[#This Row],[!paramDef]],"rg:None")</f>
        <v>Equipment</v>
      </c>
      <c r="T3" s="4" t="str">
        <f>IF(LEN(Table23[[#This Row],[!respDef]]) &gt;0,Table23[[#This Row],[!respDef]],"rg:None")</f>
        <v>rg:None</v>
      </c>
      <c r="U3" s="4" t="str">
        <f>IF(LEN(Table23[[#This Row],[!Description]]) &gt;0,Table23[[#This Row],[!Description]],"rg:None")</f>
        <v>rg:None</v>
      </c>
      <c r="V3" s="4" t="str">
        <f>IF(LEN(Table23[!permission]) &gt;0,Table23[!permission],"rg:None")</f>
        <v>ADMIN</v>
      </c>
    </row>
    <row r="4" spans="1:22" s="20" customFormat="1" x14ac:dyDescent="0.3">
      <c r="A4" s="29" t="s">
        <v>72</v>
      </c>
      <c r="B4" s="29" t="s">
        <v>201</v>
      </c>
      <c r="C4" s="55" t="s">
        <v>178</v>
      </c>
      <c r="D4" s="44"/>
      <c r="E4" s="44"/>
      <c r="F4" s="12"/>
      <c r="G4" s="13"/>
      <c r="H4" s="14" t="str">
        <f t="shared" ref="H4:H5" si="1">IF(LEN(A4) &gt;0,"Path","-")</f>
        <v>Path</v>
      </c>
      <c r="I4" s="4" t="str">
        <f>IF(LEN(Table23[[#This Row],[!type]])&gt;0,IF(Table23[[#This Row],[!type]]=I$1,"1","rg:None"),"-")</f>
        <v>1</v>
      </c>
      <c r="J4" s="4" t="str">
        <f>IF(LEN(Table23[[#This Row],[!type]])&gt;0,IF(Table23[[#This Row],[!type]]=J$1,"1","rg:None"),"-")</f>
        <v>rg:None</v>
      </c>
      <c r="K4" s="4" t="str">
        <f>IF(LEN(Table23[[#This Row],[!type]])&gt;0,IF(Table23[[#This Row],[!type]]=K$1,"1","rg:None"),"-")</f>
        <v>rg:None</v>
      </c>
      <c r="L4" s="4" t="str">
        <f>IF(LEN(Table23[[#This Row],[!type]])&gt;0,IF(Table23[[#This Row],[!type]]=L$1,"1","rg:None"),"-")</f>
        <v>rg:None</v>
      </c>
      <c r="M4" s="4" t="str">
        <f>IF(LEN(Table23[[#This Row],[!type]])&gt;0,IF(Table23[[#This Row],[!type]]=M$1,"1","rg:None"),"-")</f>
        <v>rg:None</v>
      </c>
      <c r="N4" s="4" t="str">
        <f>IF(LEN(Table23[[#This Row],[!type]])&gt;0,IF(Table23[[#This Row],[!type]]=N$1,"1","rg:None"),"-")</f>
        <v>rg:None</v>
      </c>
      <c r="O4" s="4" t="str">
        <f>IF(LEN(Table23[[#This Row],[!type]])&gt;0,IF(Table23[[#This Row],[!type]]=O$1,"1","rg:None"),"-")</f>
        <v>rg:None</v>
      </c>
      <c r="P4" s="4" t="str">
        <f>IF(LEN(Table23[[#This Row],[!type]])&gt;0,IF(Table23[[#This Row],[!type]]=P$1,"1","rg:None"),"-")</f>
        <v>rg:None</v>
      </c>
      <c r="Q4" s="4" t="str">
        <f>IF(LEN(Table23[[#This Row],[!path]]) &gt;0,Table23[[#This Row],[!path]],"rg:None")</f>
        <v>equipmentTypes</v>
      </c>
      <c r="R4" s="4" t="str">
        <f>IF(LEN(Table23[[#This Row],[!tag]]) &gt;0,Table23[[#This Row],[!tag]],"rg:None")</f>
        <v>EquipmentType</v>
      </c>
      <c r="S4" s="4" t="str">
        <f>IF(LEN(Table23[[#This Row],[!paramDef]]) &gt;0,Table23[[#This Row],[!paramDef]],"rg:None")</f>
        <v>rg:None</v>
      </c>
      <c r="T4" s="4" t="str">
        <f>IF(LEN(Table23[[#This Row],[!respDef]]) &gt;0,Table23[[#This Row],[!respDef]],"rg:None")</f>
        <v>rg:None</v>
      </c>
      <c r="U4" s="4" t="str">
        <f>IF(LEN(Table23[[#This Row],[!Description]]) &gt;0,Table23[[#This Row],[!Description]],"rg:None")</f>
        <v>rg:None</v>
      </c>
      <c r="V4" s="4" t="str">
        <f>IF(LEN(Table23[!permission]) &gt;0,Table23[!permission],"rg:None")</f>
        <v>rg:None</v>
      </c>
    </row>
    <row r="5" spans="1:22" s="20" customFormat="1" x14ac:dyDescent="0.3">
      <c r="A5" s="42" t="s">
        <v>74</v>
      </c>
      <c r="B5" s="42" t="s">
        <v>201</v>
      </c>
      <c r="C5" s="56" t="s">
        <v>178</v>
      </c>
      <c r="D5" s="44" t="s">
        <v>178</v>
      </c>
      <c r="E5" s="44" t="s">
        <v>580</v>
      </c>
      <c r="F5" s="12"/>
      <c r="G5" s="13"/>
      <c r="H5" s="14" t="str">
        <f t="shared" si="1"/>
        <v>Path</v>
      </c>
      <c r="I5" s="4" t="str">
        <f>IF(LEN(Table23[[#This Row],[!type]])&gt;0,IF(Table23[[#This Row],[!type]]=I$1,"1","rg:None"),"-")</f>
        <v>rg:None</v>
      </c>
      <c r="J5" s="4" t="str">
        <f>IF(LEN(Table23[[#This Row],[!type]])&gt;0,IF(Table23[[#This Row],[!type]]=J$1,"1","rg:None"),"-")</f>
        <v>rg:None</v>
      </c>
      <c r="K5" s="4" t="str">
        <f>IF(LEN(Table23[[#This Row],[!type]])&gt;0,IF(Table23[[#This Row],[!type]]=K$1,"1","rg:None"),"-")</f>
        <v>1</v>
      </c>
      <c r="L5" s="4" t="str">
        <f>IF(LEN(Table23[[#This Row],[!type]])&gt;0,IF(Table23[[#This Row],[!type]]=L$1,"1","rg:None"),"-")</f>
        <v>rg:None</v>
      </c>
      <c r="M5" s="4" t="str">
        <f>IF(LEN(Table23[[#This Row],[!type]])&gt;0,IF(Table23[[#This Row],[!type]]=M$1,"1","rg:None"),"-")</f>
        <v>rg:None</v>
      </c>
      <c r="N5" s="4" t="str">
        <f>IF(LEN(Table23[[#This Row],[!type]])&gt;0,IF(Table23[[#This Row],[!type]]=N$1,"1","rg:None"),"-")</f>
        <v>rg:None</v>
      </c>
      <c r="O5" s="4" t="str">
        <f>IF(LEN(Table23[[#This Row],[!type]])&gt;0,IF(Table23[[#This Row],[!type]]=O$1,"1","rg:None"),"-")</f>
        <v>rg:None</v>
      </c>
      <c r="P5" s="4" t="str">
        <f>IF(LEN(Table23[[#This Row],[!type]])&gt;0,IF(Table23[[#This Row],[!type]]=P$1,"1","rg:None"),"-")</f>
        <v>rg:None</v>
      </c>
      <c r="Q5" s="4" t="str">
        <f>IF(LEN(Table23[[#This Row],[!path]]) &gt;0,Table23[[#This Row],[!path]],"rg:None")</f>
        <v>equipmentTypes</v>
      </c>
      <c r="R5" s="4" t="str">
        <f>IF(LEN(Table23[[#This Row],[!tag]]) &gt;0,Table23[[#This Row],[!tag]],"rg:None")</f>
        <v>EquipmentType</v>
      </c>
      <c r="S5" s="4" t="str">
        <f>IF(LEN(Table23[[#This Row],[!paramDef]]) &gt;0,Table23[[#This Row],[!paramDef]],"rg:None")</f>
        <v>EquipmentType</v>
      </c>
      <c r="T5" s="4" t="str">
        <f>IF(LEN(Table23[[#This Row],[!respDef]]) &gt;0,Table23[[#This Row],[!respDef]],"rg:None")</f>
        <v>rg:None</v>
      </c>
      <c r="U5" s="4" t="str">
        <f>IF(LEN(Table23[[#This Row],[!Description]]) &gt;0,Table23[[#This Row],[!Description]],"rg:None")</f>
        <v>rg:None</v>
      </c>
      <c r="V5" s="4" t="str">
        <f>IF(LEN(Table23[!permission]) &gt;0,Table23[!permission],"rg:None")</f>
        <v>ADMIN</v>
      </c>
    </row>
    <row r="6" spans="1:22" s="20" customFormat="1" x14ac:dyDescent="0.3">
      <c r="A6" s="29" t="s">
        <v>72</v>
      </c>
      <c r="B6" s="137" t="s">
        <v>565</v>
      </c>
      <c r="C6" s="142" t="s">
        <v>554</v>
      </c>
      <c r="D6" s="44"/>
      <c r="E6" s="44"/>
      <c r="F6" s="12"/>
      <c r="G6" s="13"/>
      <c r="H6" s="14" t="str">
        <f t="shared" si="0"/>
        <v>Path</v>
      </c>
      <c r="I6" s="4" t="str">
        <f>IF(LEN(Table23[[#This Row],[!type]])&gt;0,IF(Table23[[#This Row],[!type]]=I$1,"1","rg:None"),"-")</f>
        <v>1</v>
      </c>
      <c r="J6" s="4" t="str">
        <f>IF(LEN(Table23[[#This Row],[!type]])&gt;0,IF(Table23[[#This Row],[!type]]=J$1,"1","rg:None"),"-")</f>
        <v>rg:None</v>
      </c>
      <c r="K6" s="4" t="str">
        <f>IF(LEN(Table23[[#This Row],[!type]])&gt;0,IF(Table23[[#This Row],[!type]]=K$1,"1","rg:None"),"-")</f>
        <v>rg:None</v>
      </c>
      <c r="L6" s="4" t="str">
        <f>IF(LEN(Table23[[#This Row],[!type]])&gt;0,IF(Table23[[#This Row],[!type]]=L$1,"1","rg:None"),"-")</f>
        <v>rg:None</v>
      </c>
      <c r="M6" s="4" t="str">
        <f>IF(LEN(Table23[[#This Row],[!type]])&gt;0,IF(Table23[[#This Row],[!type]]=M$1,"1","rg:None"),"-")</f>
        <v>rg:None</v>
      </c>
      <c r="N6" s="4" t="str">
        <f>IF(LEN(Table23[[#This Row],[!type]])&gt;0,IF(Table23[[#This Row],[!type]]=N$1,"1","rg:None"),"-")</f>
        <v>rg:None</v>
      </c>
      <c r="O6" s="4" t="str">
        <f>IF(LEN(Table23[[#This Row],[!type]])&gt;0,IF(Table23[[#This Row],[!type]]=O$1,"1","rg:None"),"-")</f>
        <v>rg:None</v>
      </c>
      <c r="P6" s="4" t="str">
        <f>IF(LEN(Table23[[#This Row],[!type]])&gt;0,IF(Table23[[#This Row],[!type]]=P$1,"1","rg:None"),"-")</f>
        <v>rg:None</v>
      </c>
      <c r="Q6" s="4" t="str">
        <f>IF(LEN(Table23[[#This Row],[!path]]) &gt;0,Table23[[#This Row],[!path]],"rg:None")</f>
        <v>districtEquipmentTypes</v>
      </c>
      <c r="R6" s="4" t="str">
        <f>IF(LEN(Table23[[#This Row],[!tag]]) &gt;0,Table23[[#This Row],[!tag]],"rg:None")</f>
        <v>DistrictEquipmentType</v>
      </c>
      <c r="S6" s="4" t="str">
        <f>IF(LEN(Table23[[#This Row],[!paramDef]]) &gt;0,Table23[[#This Row],[!paramDef]],"rg:None")</f>
        <v>rg:None</v>
      </c>
      <c r="T6" s="4" t="str">
        <f>IF(LEN(Table23[[#This Row],[!respDef]]) &gt;0,Table23[[#This Row],[!respDef]],"rg:None")</f>
        <v>rg:None</v>
      </c>
      <c r="U6" s="4" t="str">
        <f>IF(LEN(Table23[[#This Row],[!Description]]) &gt;0,Table23[[#This Row],[!Description]],"rg:None")</f>
        <v>rg:None</v>
      </c>
      <c r="V6" s="4" t="str">
        <f>IF(LEN(Table23[!permission]) &gt;0,Table23[!permission],"rg:None")</f>
        <v>rg:None</v>
      </c>
    </row>
    <row r="7" spans="1:22" s="20" customFormat="1" x14ac:dyDescent="0.3">
      <c r="A7" s="42" t="s">
        <v>74</v>
      </c>
      <c r="B7" s="137" t="s">
        <v>565</v>
      </c>
      <c r="C7" s="142" t="s">
        <v>554</v>
      </c>
      <c r="D7" s="143" t="s">
        <v>554</v>
      </c>
      <c r="E7" s="143" t="s">
        <v>580</v>
      </c>
      <c r="F7" s="12"/>
      <c r="G7" s="13"/>
      <c r="H7" s="14" t="str">
        <f t="shared" si="0"/>
        <v>Path</v>
      </c>
      <c r="I7" s="4" t="str">
        <f>IF(LEN(Table23[[#This Row],[!type]])&gt;0,IF(Table23[[#This Row],[!type]]=I$1,"1","rg:None"),"-")</f>
        <v>rg:None</v>
      </c>
      <c r="J7" s="4" t="str">
        <f>IF(LEN(Table23[[#This Row],[!type]])&gt;0,IF(Table23[[#This Row],[!type]]=J$1,"1","rg:None"),"-")</f>
        <v>rg:None</v>
      </c>
      <c r="K7" s="4" t="str">
        <f>IF(LEN(Table23[[#This Row],[!type]])&gt;0,IF(Table23[[#This Row],[!type]]=K$1,"1","rg:None"),"-")</f>
        <v>1</v>
      </c>
      <c r="L7" s="4" t="str">
        <f>IF(LEN(Table23[[#This Row],[!type]])&gt;0,IF(Table23[[#This Row],[!type]]=L$1,"1","rg:None"),"-")</f>
        <v>rg:None</v>
      </c>
      <c r="M7" s="4" t="str">
        <f>IF(LEN(Table23[[#This Row],[!type]])&gt;0,IF(Table23[[#This Row],[!type]]=M$1,"1","rg:None"),"-")</f>
        <v>rg:None</v>
      </c>
      <c r="N7" s="4" t="str">
        <f>IF(LEN(Table23[[#This Row],[!type]])&gt;0,IF(Table23[[#This Row],[!type]]=N$1,"1","rg:None"),"-")</f>
        <v>rg:None</v>
      </c>
      <c r="O7" s="4" t="str">
        <f>IF(LEN(Table23[[#This Row],[!type]])&gt;0,IF(Table23[[#This Row],[!type]]=O$1,"1","rg:None"),"-")</f>
        <v>rg:None</v>
      </c>
      <c r="P7" s="4" t="str">
        <f>IF(LEN(Table23[[#This Row],[!type]])&gt;0,IF(Table23[[#This Row],[!type]]=P$1,"1","rg:None"),"-")</f>
        <v>rg:None</v>
      </c>
      <c r="Q7" s="4" t="str">
        <f>IF(LEN(Table23[[#This Row],[!path]]) &gt;0,Table23[[#This Row],[!path]],"rg:None")</f>
        <v>districtEquipmentTypes</v>
      </c>
      <c r="R7" s="4" t="str">
        <f>IF(LEN(Table23[[#This Row],[!tag]]) &gt;0,Table23[[#This Row],[!tag]],"rg:None")</f>
        <v>DistrictEquipmentType</v>
      </c>
      <c r="S7" s="4" t="str">
        <f>IF(LEN(Table23[[#This Row],[!paramDef]]) &gt;0,Table23[[#This Row],[!paramDef]],"rg:None")</f>
        <v>DistrictEquipmentType</v>
      </c>
      <c r="T7" s="4" t="str">
        <f>IF(LEN(Table23[[#This Row],[!respDef]]) &gt;0,Table23[[#This Row],[!respDef]],"rg:None")</f>
        <v>rg:None</v>
      </c>
      <c r="U7" s="4" t="str">
        <f>IF(LEN(Table23[[#This Row],[!Description]]) &gt;0,Table23[[#This Row],[!Description]],"rg:None")</f>
        <v>rg:None</v>
      </c>
      <c r="V7" s="4" t="str">
        <f>IF(LEN(Table23[!permission]) &gt;0,Table23[!permission],"rg:None")</f>
        <v>ADMIN</v>
      </c>
    </row>
    <row r="8" spans="1:22" s="20" customFormat="1" x14ac:dyDescent="0.3">
      <c r="A8" s="57" t="s">
        <v>72</v>
      </c>
      <c r="B8" s="57" t="s">
        <v>186</v>
      </c>
      <c r="C8" s="58" t="s">
        <v>179</v>
      </c>
      <c r="D8" s="59"/>
      <c r="E8" s="59"/>
      <c r="F8" s="12"/>
      <c r="G8" s="13"/>
      <c r="H8" s="14" t="str">
        <f>IF(LEN(A8) &gt;0,"Path","-")</f>
        <v>Path</v>
      </c>
      <c r="I8" s="4" t="str">
        <f>IF(LEN(Table23[[#This Row],[!type]])&gt;0,IF(Table23[[#This Row],[!type]]=I$1,"1","rg:None"),"-")</f>
        <v>1</v>
      </c>
      <c r="J8" s="4" t="str">
        <f>IF(LEN(Table23[[#This Row],[!type]])&gt;0,IF(Table23[[#This Row],[!type]]=J$1,"1","rg:None"),"-")</f>
        <v>rg:None</v>
      </c>
      <c r="K8" s="4" t="str">
        <f>IF(LEN(Table23[[#This Row],[!type]])&gt;0,IF(Table23[[#This Row],[!type]]=K$1,"1","rg:None"),"-")</f>
        <v>rg:None</v>
      </c>
      <c r="L8" s="4" t="str">
        <f>IF(LEN(Table23[[#This Row],[!type]])&gt;0,IF(Table23[[#This Row],[!type]]=L$1,"1","rg:None"),"-")</f>
        <v>rg:None</v>
      </c>
      <c r="M8" s="4" t="str">
        <f>IF(LEN(Table23[[#This Row],[!type]])&gt;0,IF(Table23[[#This Row],[!type]]=M$1,"1","rg:None"),"-")</f>
        <v>rg:None</v>
      </c>
      <c r="N8" s="4" t="str">
        <f>IF(LEN(Table23[[#This Row],[!type]])&gt;0,IF(Table23[[#This Row],[!type]]=N$1,"1","rg:None"),"-")</f>
        <v>rg:None</v>
      </c>
      <c r="O8" s="4" t="str">
        <f>IF(LEN(Table23[[#This Row],[!type]])&gt;0,IF(Table23[[#This Row],[!type]]=O$1,"1","rg:None"),"-")</f>
        <v>rg:None</v>
      </c>
      <c r="P8" s="4" t="str">
        <f>IF(LEN(Table23[[#This Row],[!type]])&gt;0,IF(Table23[[#This Row],[!type]]=P$1,"1","rg:None"),"-")</f>
        <v>rg:None</v>
      </c>
      <c r="Q8" s="4" t="str">
        <f>IF(LEN(Table23[[#This Row],[!path]]) &gt;0,Table23[[#This Row],[!path]],"rg:None")</f>
        <v>equipmentAttachments</v>
      </c>
      <c r="R8" s="4" t="str">
        <f>IF(LEN(Table23[[#This Row],[!tag]]) &gt;0,Table23[[#This Row],[!tag]],"rg:None")</f>
        <v>EquipmentAttachment</v>
      </c>
      <c r="S8" s="4" t="str">
        <f>IF(LEN(Table23[[#This Row],[!paramDef]]) &gt;0,Table23[[#This Row],[!paramDef]],"rg:None")</f>
        <v>rg:None</v>
      </c>
      <c r="T8" s="4" t="str">
        <f>IF(LEN(Table23[[#This Row],[!respDef]]) &gt;0,Table23[[#This Row],[!respDef]],"rg:None")</f>
        <v>rg:None</v>
      </c>
      <c r="U8" s="4" t="str">
        <f>IF(LEN(Table23[[#This Row],[!Description]]) &gt;0,Table23[[#This Row],[!Description]],"rg:None")</f>
        <v>rg:None</v>
      </c>
      <c r="V8" s="4" t="str">
        <f>IF(LEN(Table23[!permission]) &gt;0,Table23[!permission],"rg:None")</f>
        <v>rg:None</v>
      </c>
    </row>
    <row r="9" spans="1:22" s="20" customFormat="1" x14ac:dyDescent="0.3">
      <c r="A9" s="57" t="s">
        <v>74</v>
      </c>
      <c r="B9" s="57" t="s">
        <v>186</v>
      </c>
      <c r="C9" s="144" t="s">
        <v>179</v>
      </c>
      <c r="D9" s="59" t="s">
        <v>179</v>
      </c>
      <c r="E9" s="59" t="s">
        <v>580</v>
      </c>
      <c r="F9" s="12"/>
      <c r="G9" s="13"/>
      <c r="H9" s="14" t="str">
        <f>IF(LEN(A9) &gt;0,"Path","-")</f>
        <v>Path</v>
      </c>
      <c r="I9" s="4" t="str">
        <f>IF(LEN(Table23[[#This Row],[!type]])&gt;0,IF(Table23[[#This Row],[!type]]=I$1,"1","rg:None"),"-")</f>
        <v>rg:None</v>
      </c>
      <c r="J9" s="4" t="str">
        <f>IF(LEN(Table23[[#This Row],[!type]])&gt;0,IF(Table23[[#This Row],[!type]]=J$1,"1","rg:None"),"-")</f>
        <v>rg:None</v>
      </c>
      <c r="K9" s="4" t="str">
        <f>IF(LEN(Table23[[#This Row],[!type]])&gt;0,IF(Table23[[#This Row],[!type]]=K$1,"1","rg:None"),"-")</f>
        <v>1</v>
      </c>
      <c r="L9" s="4" t="str">
        <f>IF(LEN(Table23[[#This Row],[!type]])&gt;0,IF(Table23[[#This Row],[!type]]=L$1,"1","rg:None"),"-")</f>
        <v>rg:None</v>
      </c>
      <c r="M9" s="4" t="str">
        <f>IF(LEN(Table23[[#This Row],[!type]])&gt;0,IF(Table23[[#This Row],[!type]]=M$1,"1","rg:None"),"-")</f>
        <v>rg:None</v>
      </c>
      <c r="N9" s="4" t="str">
        <f>IF(LEN(Table23[[#This Row],[!type]])&gt;0,IF(Table23[[#This Row],[!type]]=N$1,"1","rg:None"),"-")</f>
        <v>rg:None</v>
      </c>
      <c r="O9" s="4" t="str">
        <f>IF(LEN(Table23[[#This Row],[!type]])&gt;0,IF(Table23[[#This Row],[!type]]=O$1,"1","rg:None"),"-")</f>
        <v>rg:None</v>
      </c>
      <c r="P9" s="4" t="str">
        <f>IF(LEN(Table23[[#This Row],[!type]])&gt;0,IF(Table23[[#This Row],[!type]]=P$1,"1","rg:None"),"-")</f>
        <v>rg:None</v>
      </c>
      <c r="Q9" s="4" t="str">
        <f>IF(LEN(Table23[[#This Row],[!path]]) &gt;0,Table23[[#This Row],[!path]],"rg:None")</f>
        <v>equipmentAttachments</v>
      </c>
      <c r="R9" s="4" t="str">
        <f>IF(LEN(Table23[[#This Row],[!tag]]) &gt;0,Table23[[#This Row],[!tag]],"rg:None")</f>
        <v>EquipmentAttachment</v>
      </c>
      <c r="S9" s="4" t="str">
        <f>IF(LEN(Table23[[#This Row],[!paramDef]]) &gt;0,Table23[[#This Row],[!paramDef]],"rg:None")</f>
        <v>EquipmentAttachment</v>
      </c>
      <c r="T9" s="4" t="str">
        <f>IF(LEN(Table23[[#This Row],[!respDef]]) &gt;0,Table23[[#This Row],[!respDef]],"rg:None")</f>
        <v>rg:None</v>
      </c>
      <c r="U9" s="4" t="str">
        <f>IF(LEN(Table23[[#This Row],[!Description]]) &gt;0,Table23[[#This Row],[!Description]],"rg:None")</f>
        <v>rg:None</v>
      </c>
      <c r="V9" s="4" t="str">
        <f>IF(LEN(Table23[!permission]) &gt;0,Table23[!permission],"rg:None")</f>
        <v>ADMIN</v>
      </c>
    </row>
    <row r="10" spans="1:22" s="20" customFormat="1" x14ac:dyDescent="0.3">
      <c r="A10" s="57" t="s">
        <v>72</v>
      </c>
      <c r="B10" s="151" t="s">
        <v>578</v>
      </c>
      <c r="C10" s="139" t="s">
        <v>559</v>
      </c>
      <c r="D10" s="59"/>
      <c r="E10" s="59"/>
      <c r="F10" s="12"/>
      <c r="G10" s="13"/>
      <c r="H10" s="14" t="str">
        <f>IF(LEN(A10) &gt;0,"Path","-")</f>
        <v>Path</v>
      </c>
      <c r="I10" s="4" t="str">
        <f>IF(LEN(Table23[[#This Row],[!type]])&gt;0,IF(Table23[[#This Row],[!type]]=I$1,"1","rg:None"),"-")</f>
        <v>1</v>
      </c>
      <c r="J10" s="4" t="str">
        <f>IF(LEN(Table23[[#This Row],[!type]])&gt;0,IF(Table23[[#This Row],[!type]]=J$1,"1","rg:None"),"-")</f>
        <v>rg:None</v>
      </c>
      <c r="K10" s="4" t="str">
        <f>IF(LEN(Table23[[#This Row],[!type]])&gt;0,IF(Table23[[#This Row],[!type]]=K$1,"1","rg:None"),"-")</f>
        <v>rg:None</v>
      </c>
      <c r="L10" s="4" t="str">
        <f>IF(LEN(Table23[[#This Row],[!type]])&gt;0,IF(Table23[[#This Row],[!type]]=L$1,"1","rg:None"),"-")</f>
        <v>rg:None</v>
      </c>
      <c r="M10" s="4" t="str">
        <f>IF(LEN(Table23[[#This Row],[!type]])&gt;0,IF(Table23[[#This Row],[!type]]=M$1,"1","rg:None"),"-")</f>
        <v>rg:None</v>
      </c>
      <c r="N10" s="4" t="str">
        <f>IF(LEN(Table23[[#This Row],[!type]])&gt;0,IF(Table23[[#This Row],[!type]]=N$1,"1","rg:None"),"-")</f>
        <v>rg:None</v>
      </c>
      <c r="O10" s="4" t="str">
        <f>IF(LEN(Table23[[#This Row],[!type]])&gt;0,IF(Table23[[#This Row],[!type]]=O$1,"1","rg:None"),"-")</f>
        <v>rg:None</v>
      </c>
      <c r="P10" s="4" t="str">
        <f>IF(LEN(Table23[[#This Row],[!type]])&gt;0,IF(Table23[[#This Row],[!type]]=P$1,"1","rg:None"),"-")</f>
        <v>rg:None</v>
      </c>
      <c r="Q10" s="4" t="str">
        <f>IF(LEN(Table23[[#This Row],[!path]]) &gt;0,Table23[[#This Row],[!path]],"rg:None")</f>
        <v>localarearotationlists</v>
      </c>
      <c r="R10" s="4" t="str">
        <f>IF(LEN(Table23[[#This Row],[!tag]]) &gt;0,Table23[[#This Row],[!tag]],"rg:None")</f>
        <v>LocalAreaRotationList</v>
      </c>
      <c r="S10" s="4" t="str">
        <f>IF(LEN(Table23[[#This Row],[!paramDef]]) &gt;0,Table23[[#This Row],[!paramDef]],"rg:None")</f>
        <v>rg:None</v>
      </c>
      <c r="T10" s="4" t="str">
        <f>IF(LEN(Table23[[#This Row],[!respDef]]) &gt;0,Table23[[#This Row],[!respDef]],"rg:None")</f>
        <v>rg:None</v>
      </c>
      <c r="U10" s="4" t="str">
        <f>IF(LEN(Table23[[#This Row],[!Description]]) &gt;0,Table23[[#This Row],[!Description]],"rg:None")</f>
        <v>rg:None</v>
      </c>
      <c r="V10" s="4" t="str">
        <f>IF(LEN(Table23[!permission]) &gt;0,Table23[!permission],"rg:None")</f>
        <v>rg:None</v>
      </c>
    </row>
    <row r="11" spans="1:22" s="20" customFormat="1" x14ac:dyDescent="0.3">
      <c r="A11" s="57" t="s">
        <v>74</v>
      </c>
      <c r="B11" s="151" t="s">
        <v>578</v>
      </c>
      <c r="C11" s="139" t="s">
        <v>559</v>
      </c>
      <c r="D11" s="139" t="s">
        <v>559</v>
      </c>
      <c r="E11" s="139" t="s">
        <v>580</v>
      </c>
      <c r="F11" s="12"/>
      <c r="G11" s="13"/>
      <c r="H11" s="14" t="str">
        <f>IF(LEN(A11) &gt;0,"Path","-")</f>
        <v>Path</v>
      </c>
      <c r="I11" s="4" t="str">
        <f>IF(LEN(Table23[[#This Row],[!type]])&gt;0,IF(Table23[[#This Row],[!type]]=I$1,"1","rg:None"),"-")</f>
        <v>rg:None</v>
      </c>
      <c r="J11" s="4" t="str">
        <f>IF(LEN(Table23[[#This Row],[!type]])&gt;0,IF(Table23[[#This Row],[!type]]=J$1,"1","rg:None"),"-")</f>
        <v>rg:None</v>
      </c>
      <c r="K11" s="4" t="str">
        <f>IF(LEN(Table23[[#This Row],[!type]])&gt;0,IF(Table23[[#This Row],[!type]]=K$1,"1","rg:None"),"-")</f>
        <v>1</v>
      </c>
      <c r="L11" s="4" t="str">
        <f>IF(LEN(Table23[[#This Row],[!type]])&gt;0,IF(Table23[[#This Row],[!type]]=L$1,"1","rg:None"),"-")</f>
        <v>rg:None</v>
      </c>
      <c r="M11" s="4" t="str">
        <f>IF(LEN(Table23[[#This Row],[!type]])&gt;0,IF(Table23[[#This Row],[!type]]=M$1,"1","rg:None"),"-")</f>
        <v>rg:None</v>
      </c>
      <c r="N11" s="4" t="str">
        <f>IF(LEN(Table23[[#This Row],[!type]])&gt;0,IF(Table23[[#This Row],[!type]]=N$1,"1","rg:None"),"-")</f>
        <v>rg:None</v>
      </c>
      <c r="O11" s="4" t="str">
        <f>IF(LEN(Table23[[#This Row],[!type]])&gt;0,IF(Table23[[#This Row],[!type]]=O$1,"1","rg:None"),"-")</f>
        <v>rg:None</v>
      </c>
      <c r="P11" s="4" t="str">
        <f>IF(LEN(Table23[[#This Row],[!type]])&gt;0,IF(Table23[[#This Row],[!type]]=P$1,"1","rg:None"),"-")</f>
        <v>rg:None</v>
      </c>
      <c r="Q11" s="4" t="str">
        <f>IF(LEN(Table23[[#This Row],[!path]]) &gt;0,Table23[[#This Row],[!path]],"rg:None")</f>
        <v>localarearotationlists</v>
      </c>
      <c r="R11" s="4" t="str">
        <f>IF(LEN(Table23[[#This Row],[!tag]]) &gt;0,Table23[[#This Row],[!tag]],"rg:None")</f>
        <v>LocalAreaRotationList</v>
      </c>
      <c r="S11" s="4" t="str">
        <f>IF(LEN(Table23[[#This Row],[!paramDef]]) &gt;0,Table23[[#This Row],[!paramDef]],"rg:None")</f>
        <v>LocalAreaRotationList</v>
      </c>
      <c r="T11" s="4" t="str">
        <f>IF(LEN(Table23[[#This Row],[!respDef]]) &gt;0,Table23[[#This Row],[!respDef]],"rg:None")</f>
        <v>rg:None</v>
      </c>
      <c r="U11" s="4" t="str">
        <f>IF(LEN(Table23[[#This Row],[!Description]]) &gt;0,Table23[[#This Row],[!Description]],"rg:None")</f>
        <v>rg:None</v>
      </c>
      <c r="V11" s="4" t="str">
        <f>IF(LEN(Table23[!permission]) &gt;0,Table23[!permission],"rg:None")</f>
        <v>ADMIN</v>
      </c>
    </row>
    <row r="12" spans="1:22" x14ac:dyDescent="0.3">
      <c r="A12" s="7" t="s">
        <v>72</v>
      </c>
      <c r="B12" s="29" t="s">
        <v>199</v>
      </c>
      <c r="C12" s="3" t="s">
        <v>142</v>
      </c>
      <c r="D12" s="44"/>
      <c r="E12" s="44"/>
      <c r="F12" s="12"/>
      <c r="G12" s="13"/>
      <c r="H12" s="14" t="str">
        <f t="shared" si="0"/>
        <v>Path</v>
      </c>
      <c r="I12" s="4" t="str">
        <f>IF(LEN(Table23[[#This Row],[!type]])&gt;0,IF(Table23[[#This Row],[!type]]=I$1,"1","rg:None"),"-")</f>
        <v>1</v>
      </c>
      <c r="J12" s="4" t="str">
        <f>IF(LEN(Table23[[#This Row],[!type]])&gt;0,IF(Table23[[#This Row],[!type]]=J$1,"1","rg:None"),"-")</f>
        <v>rg:None</v>
      </c>
      <c r="K12" s="4" t="str">
        <f>IF(LEN(Table23[[#This Row],[!type]])&gt;0,IF(Table23[[#This Row],[!type]]=K$1,"1","rg:None"),"-")</f>
        <v>rg:None</v>
      </c>
      <c r="L12" s="4" t="str">
        <f>IF(LEN(Table23[[#This Row],[!type]])&gt;0,IF(Table23[[#This Row],[!type]]=L$1,"1","rg:None"),"-")</f>
        <v>rg:None</v>
      </c>
      <c r="M12" s="4" t="str">
        <f>IF(LEN(Table23[[#This Row],[!type]])&gt;0,IF(Table23[[#This Row],[!type]]=M$1,"1","rg:None"),"-")</f>
        <v>rg:None</v>
      </c>
      <c r="N12" s="4" t="str">
        <f>IF(LEN(Table23[[#This Row],[!type]])&gt;0,IF(Table23[[#This Row],[!type]]=N$1,"1","rg:None"),"-")</f>
        <v>rg:None</v>
      </c>
      <c r="O12" s="4" t="str">
        <f>IF(LEN(Table23[[#This Row],[!type]])&gt;0,IF(Table23[[#This Row],[!type]]=O$1,"1","rg:None"),"-")</f>
        <v>rg:None</v>
      </c>
      <c r="P12" s="4" t="str">
        <f>IF(LEN(Table23[[#This Row],[!type]])&gt;0,IF(Table23[[#This Row],[!type]]=P$1,"1","rg:None"),"-")</f>
        <v>rg:None</v>
      </c>
      <c r="Q12" s="4" t="str">
        <f>IF(LEN(Table23[[#This Row],[!path]]) &gt;0,Table23[[#This Row],[!path]],"rg:None")</f>
        <v>owners</v>
      </c>
      <c r="R12" s="4" t="str">
        <f>IF(LEN(Table23[[#This Row],[!tag]]) &gt;0,Table23[[#This Row],[!tag]],"rg:None")</f>
        <v>Owner</v>
      </c>
      <c r="S12" s="4" t="str">
        <f>IF(LEN(Table23[[#This Row],[!paramDef]]) &gt;0,Table23[[#This Row],[!paramDef]],"rg:None")</f>
        <v>rg:None</v>
      </c>
      <c r="T12" s="4" t="str">
        <f>IF(LEN(Table23[[#This Row],[!respDef]]) &gt;0,Table23[[#This Row],[!respDef]],"rg:None")</f>
        <v>rg:None</v>
      </c>
      <c r="U12" s="4" t="str">
        <f>IF(LEN(Table23[[#This Row],[!Description]]) &gt;0,Table23[[#This Row],[!Description]],"rg:None")</f>
        <v>rg:None</v>
      </c>
      <c r="V12" s="4" t="str">
        <f>IF(LEN(Table23[!permission]) &gt;0,Table23[!permission],"rg:None")</f>
        <v>rg:None</v>
      </c>
    </row>
    <row r="13" spans="1:22" x14ac:dyDescent="0.3">
      <c r="A13" s="42" t="s">
        <v>74</v>
      </c>
      <c r="B13" s="42" t="s">
        <v>199</v>
      </c>
      <c r="C13" s="43" t="s">
        <v>142</v>
      </c>
      <c r="D13" s="44" t="s">
        <v>142</v>
      </c>
      <c r="E13" s="44" t="s">
        <v>580</v>
      </c>
      <c r="F13" s="12"/>
      <c r="G13" s="13"/>
      <c r="H13" s="14" t="str">
        <f t="shared" si="0"/>
        <v>Path</v>
      </c>
      <c r="I13" s="4" t="str">
        <f>IF(LEN(Table23[[#This Row],[!type]])&gt;0,IF(Table23[[#This Row],[!type]]=I$1,"1","rg:None"),"-")</f>
        <v>rg:None</v>
      </c>
      <c r="J13" s="4" t="str">
        <f>IF(LEN(Table23[[#This Row],[!type]])&gt;0,IF(Table23[[#This Row],[!type]]=J$1,"1","rg:None"),"-")</f>
        <v>rg:None</v>
      </c>
      <c r="K13" s="4" t="str">
        <f>IF(LEN(Table23[[#This Row],[!type]])&gt;0,IF(Table23[[#This Row],[!type]]=K$1,"1","rg:None"),"-")</f>
        <v>1</v>
      </c>
      <c r="L13" s="4" t="str">
        <f>IF(LEN(Table23[[#This Row],[!type]])&gt;0,IF(Table23[[#This Row],[!type]]=L$1,"1","rg:None"),"-")</f>
        <v>rg:None</v>
      </c>
      <c r="M13" s="4" t="str">
        <f>IF(LEN(Table23[[#This Row],[!type]])&gt;0,IF(Table23[[#This Row],[!type]]=M$1,"1","rg:None"),"-")</f>
        <v>rg:None</v>
      </c>
      <c r="N13" s="4" t="str">
        <f>IF(LEN(Table23[[#This Row],[!type]])&gt;0,IF(Table23[[#This Row],[!type]]=N$1,"1","rg:None"),"-")</f>
        <v>rg:None</v>
      </c>
      <c r="O13" s="4" t="str">
        <f>IF(LEN(Table23[[#This Row],[!type]])&gt;0,IF(Table23[[#This Row],[!type]]=O$1,"1","rg:None"),"-")</f>
        <v>rg:None</v>
      </c>
      <c r="P13" s="4" t="str">
        <f>IF(LEN(Table23[[#This Row],[!type]])&gt;0,IF(Table23[[#This Row],[!type]]=P$1,"1","rg:None"),"-")</f>
        <v>rg:None</v>
      </c>
      <c r="Q13" s="4" t="str">
        <f>IF(LEN(Table23[[#This Row],[!path]]) &gt;0,Table23[[#This Row],[!path]],"rg:None")</f>
        <v>owners</v>
      </c>
      <c r="R13" s="4" t="str">
        <f>IF(LEN(Table23[[#This Row],[!tag]]) &gt;0,Table23[[#This Row],[!tag]],"rg:None")</f>
        <v>Owner</v>
      </c>
      <c r="S13" s="4" t="str">
        <f>IF(LEN(Table23[[#This Row],[!paramDef]]) &gt;0,Table23[[#This Row],[!paramDef]],"rg:None")</f>
        <v>Owner</v>
      </c>
      <c r="T13" s="4" t="str">
        <f>IF(LEN(Table23[[#This Row],[!respDef]]) &gt;0,Table23[[#This Row],[!respDef]],"rg:None")</f>
        <v>rg:None</v>
      </c>
      <c r="U13" s="4" t="str">
        <f>IF(LEN(Table23[[#This Row],[!Description]]) &gt;0,Table23[[#This Row],[!Description]],"rg:None")</f>
        <v>rg:None</v>
      </c>
      <c r="V13" s="4" t="str">
        <f>IF(LEN(Table23[!permission]) &gt;0,Table23[!permission],"rg:None")</f>
        <v>ADMIN</v>
      </c>
    </row>
    <row r="14" spans="1:22" x14ac:dyDescent="0.3">
      <c r="A14" s="7" t="s">
        <v>72</v>
      </c>
      <c r="B14" s="29" t="s">
        <v>200</v>
      </c>
      <c r="C14" s="3" t="s">
        <v>133</v>
      </c>
      <c r="D14" s="44"/>
      <c r="E14" s="44"/>
      <c r="F14" s="12"/>
      <c r="G14" s="13"/>
      <c r="H14" s="14" t="str">
        <f t="shared" si="0"/>
        <v>Path</v>
      </c>
      <c r="I14" s="4" t="str">
        <f>IF(LEN(Table23[[#This Row],[!type]])&gt;0,IF(Table23[[#This Row],[!type]]=I$1,"1","rg:None"),"-")</f>
        <v>1</v>
      </c>
      <c r="J14" s="4" t="str">
        <f>IF(LEN(Table23[[#This Row],[!type]])&gt;0,IF(Table23[[#This Row],[!type]]=J$1,"1","rg:None"),"-")</f>
        <v>rg:None</v>
      </c>
      <c r="K14" s="4" t="str">
        <f>IF(LEN(Table23[[#This Row],[!type]])&gt;0,IF(Table23[[#This Row],[!type]]=K$1,"1","rg:None"),"-")</f>
        <v>rg:None</v>
      </c>
      <c r="L14" s="4" t="str">
        <f>IF(LEN(Table23[[#This Row],[!type]])&gt;0,IF(Table23[[#This Row],[!type]]=L$1,"1","rg:None"),"-")</f>
        <v>rg:None</v>
      </c>
      <c r="M14" s="4" t="str">
        <f>IF(LEN(Table23[[#This Row],[!type]])&gt;0,IF(Table23[[#This Row],[!type]]=M$1,"1","rg:None"),"-")</f>
        <v>rg:None</v>
      </c>
      <c r="N14" s="4" t="str">
        <f>IF(LEN(Table23[[#This Row],[!type]])&gt;0,IF(Table23[[#This Row],[!type]]=N$1,"1","rg:None"),"-")</f>
        <v>rg:None</v>
      </c>
      <c r="O14" s="4" t="str">
        <f>IF(LEN(Table23[[#This Row],[!type]])&gt;0,IF(Table23[[#This Row],[!type]]=O$1,"1","rg:None"),"-")</f>
        <v>rg:None</v>
      </c>
      <c r="P14" s="4" t="str">
        <f>IF(LEN(Table23[[#This Row],[!type]])&gt;0,IF(Table23[[#This Row],[!type]]=P$1,"1","rg:None"),"-")</f>
        <v>rg:None</v>
      </c>
      <c r="Q14" s="4" t="str">
        <f>IF(LEN(Table23[[#This Row],[!path]]) &gt;0,Table23[[#This Row],[!path]],"rg:None")</f>
        <v>projects</v>
      </c>
      <c r="R14" s="4" t="str">
        <f>IF(LEN(Table23[[#This Row],[!tag]]) &gt;0,Table23[[#This Row],[!tag]],"rg:None")</f>
        <v>Project</v>
      </c>
      <c r="S14" s="4" t="str">
        <f>IF(LEN(Table23[[#This Row],[!paramDef]]) &gt;0,Table23[[#This Row],[!paramDef]],"rg:None")</f>
        <v>rg:None</v>
      </c>
      <c r="T14" s="4" t="str">
        <f>IF(LEN(Table23[[#This Row],[!respDef]]) &gt;0,Table23[[#This Row],[!respDef]],"rg:None")</f>
        <v>rg:None</v>
      </c>
      <c r="U14" s="4" t="str">
        <f>IF(LEN(Table23[[#This Row],[!Description]]) &gt;0,Table23[[#This Row],[!Description]],"rg:None")</f>
        <v>rg:None</v>
      </c>
      <c r="V14" s="4" t="str">
        <f>IF(LEN(Table23[!permission]) &gt;0,Table23[!permission],"rg:None")</f>
        <v>rg:None</v>
      </c>
    </row>
    <row r="15" spans="1:22" x14ac:dyDescent="0.3">
      <c r="A15" s="42" t="s">
        <v>74</v>
      </c>
      <c r="B15" s="42" t="s">
        <v>200</v>
      </c>
      <c r="C15" s="43" t="s">
        <v>133</v>
      </c>
      <c r="D15" s="44" t="s">
        <v>133</v>
      </c>
      <c r="E15" s="44" t="s">
        <v>580</v>
      </c>
      <c r="F15" s="12"/>
      <c r="G15" s="13"/>
      <c r="H15" s="14" t="str">
        <f t="shared" si="0"/>
        <v>Path</v>
      </c>
      <c r="I15" s="4" t="str">
        <f>IF(LEN(Table23[[#This Row],[!type]])&gt;0,IF(Table23[[#This Row],[!type]]=I$1,"1","rg:None"),"-")</f>
        <v>rg:None</v>
      </c>
      <c r="J15" s="4" t="str">
        <f>IF(LEN(Table23[[#This Row],[!type]])&gt;0,IF(Table23[[#This Row],[!type]]=J$1,"1","rg:None"),"-")</f>
        <v>rg:None</v>
      </c>
      <c r="K15" s="4" t="str">
        <f>IF(LEN(Table23[[#This Row],[!type]])&gt;0,IF(Table23[[#This Row],[!type]]=K$1,"1","rg:None"),"-")</f>
        <v>1</v>
      </c>
      <c r="L15" s="4" t="str">
        <f>IF(LEN(Table23[[#This Row],[!type]])&gt;0,IF(Table23[[#This Row],[!type]]=L$1,"1","rg:None"),"-")</f>
        <v>rg:None</v>
      </c>
      <c r="M15" s="4" t="str">
        <f>IF(LEN(Table23[[#This Row],[!type]])&gt;0,IF(Table23[[#This Row],[!type]]=M$1,"1","rg:None"),"-")</f>
        <v>rg:None</v>
      </c>
      <c r="N15" s="4" t="str">
        <f>IF(LEN(Table23[[#This Row],[!type]])&gt;0,IF(Table23[[#This Row],[!type]]=N$1,"1","rg:None"),"-")</f>
        <v>rg:None</v>
      </c>
      <c r="O15" s="4" t="str">
        <f>IF(LEN(Table23[[#This Row],[!type]])&gt;0,IF(Table23[[#This Row],[!type]]=O$1,"1","rg:None"),"-")</f>
        <v>rg:None</v>
      </c>
      <c r="P15" s="4" t="str">
        <f>IF(LEN(Table23[[#This Row],[!type]])&gt;0,IF(Table23[[#This Row],[!type]]=P$1,"1","rg:None"),"-")</f>
        <v>rg:None</v>
      </c>
      <c r="Q15" s="4" t="str">
        <f>IF(LEN(Table23[[#This Row],[!path]]) &gt;0,Table23[[#This Row],[!path]],"rg:None")</f>
        <v>projects</v>
      </c>
      <c r="R15" s="4" t="str">
        <f>IF(LEN(Table23[[#This Row],[!tag]]) &gt;0,Table23[[#This Row],[!tag]],"rg:None")</f>
        <v>Project</v>
      </c>
      <c r="S15" s="4" t="str">
        <f>IF(LEN(Table23[[#This Row],[!paramDef]]) &gt;0,Table23[[#This Row],[!paramDef]],"rg:None")</f>
        <v>Project</v>
      </c>
      <c r="T15" s="4" t="str">
        <f>IF(LEN(Table23[[#This Row],[!respDef]]) &gt;0,Table23[[#This Row],[!respDef]],"rg:None")</f>
        <v>rg:None</v>
      </c>
      <c r="U15" s="4" t="str">
        <f>IF(LEN(Table23[[#This Row],[!Description]]) &gt;0,Table23[[#This Row],[!Description]],"rg:None")</f>
        <v>rg:None</v>
      </c>
      <c r="V15" s="4" t="str">
        <f>IF(LEN(Table23[!permission]) &gt;0,Table23[!permission],"rg:None")</f>
        <v>ADMIN</v>
      </c>
    </row>
    <row r="16" spans="1:22" x14ac:dyDescent="0.3">
      <c r="A16" s="7" t="s">
        <v>72</v>
      </c>
      <c r="B16" s="153" t="s">
        <v>576</v>
      </c>
      <c r="C16" s="152" t="s">
        <v>577</v>
      </c>
      <c r="D16" s="44"/>
      <c r="E16" s="44"/>
      <c r="F16" s="12"/>
      <c r="G16" s="13"/>
      <c r="H16" s="14" t="str">
        <f t="shared" ref="H16:H17" si="2">IF(LEN(A16) &gt;0,"Path","-")</f>
        <v>Path</v>
      </c>
      <c r="I16" s="4" t="str">
        <f>IF(LEN(Table23[[#This Row],[!type]])&gt;0,IF(Table23[[#This Row],[!type]]=I$1,"1","rg:None"),"-")</f>
        <v>1</v>
      </c>
      <c r="J16" s="4" t="str">
        <f>IF(LEN(Table23[[#This Row],[!type]])&gt;0,IF(Table23[[#This Row],[!type]]=J$1,"1","rg:None"),"-")</f>
        <v>rg:None</v>
      </c>
      <c r="K16" s="4" t="str">
        <f>IF(LEN(Table23[[#This Row],[!type]])&gt;0,IF(Table23[[#This Row],[!type]]=K$1,"1","rg:None"),"-")</f>
        <v>rg:None</v>
      </c>
      <c r="L16" s="4" t="str">
        <f>IF(LEN(Table23[[#This Row],[!type]])&gt;0,IF(Table23[[#This Row],[!type]]=L$1,"1","rg:None"),"-")</f>
        <v>rg:None</v>
      </c>
      <c r="M16" s="4" t="str">
        <f>IF(LEN(Table23[[#This Row],[!type]])&gt;0,IF(Table23[[#This Row],[!type]]=M$1,"1","rg:None"),"-")</f>
        <v>rg:None</v>
      </c>
      <c r="N16" s="4" t="str">
        <f>IF(LEN(Table23[[#This Row],[!type]])&gt;0,IF(Table23[[#This Row],[!type]]=N$1,"1","rg:None"),"-")</f>
        <v>rg:None</v>
      </c>
      <c r="O16" s="4" t="str">
        <f>IF(LEN(Table23[[#This Row],[!type]])&gt;0,IF(Table23[[#This Row],[!type]]=O$1,"1","rg:None"),"-")</f>
        <v>rg:None</v>
      </c>
      <c r="P16" s="4" t="str">
        <f>IF(LEN(Table23[[#This Row],[!type]])&gt;0,IF(Table23[[#This Row],[!type]]=P$1,"1","rg:None"),"-")</f>
        <v>rg:None</v>
      </c>
      <c r="Q16" s="4" t="str">
        <f>IF(LEN(Table23[[#This Row],[!path]]) &gt;0,Table23[[#This Row],[!path]],"rg:None")</f>
        <v>lookuplists</v>
      </c>
      <c r="R16" s="4" t="str">
        <f>IF(LEN(Table23[[#This Row],[!tag]]) &gt;0,Table23[[#This Row],[!tag]],"rg:None")</f>
        <v>LookupList</v>
      </c>
      <c r="S16" s="4" t="str">
        <f>IF(LEN(Table23[[#This Row],[!paramDef]]) &gt;0,Table23[[#This Row],[!paramDef]],"rg:None")</f>
        <v>rg:None</v>
      </c>
      <c r="T16" s="4" t="str">
        <f>IF(LEN(Table23[[#This Row],[!respDef]]) &gt;0,Table23[[#This Row],[!respDef]],"rg:None")</f>
        <v>rg:None</v>
      </c>
      <c r="U16" s="4" t="str">
        <f>IF(LEN(Table23[[#This Row],[!Description]]) &gt;0,Table23[[#This Row],[!Description]],"rg:None")</f>
        <v>rg:None</v>
      </c>
      <c r="V16" s="4" t="str">
        <f>IF(LEN(Table23[!permission]) &gt;0,Table23[!permission],"rg:None")</f>
        <v>rg:None</v>
      </c>
    </row>
    <row r="17" spans="1:22" x14ac:dyDescent="0.3">
      <c r="A17" s="42" t="s">
        <v>74</v>
      </c>
      <c r="B17" s="153" t="s">
        <v>576</v>
      </c>
      <c r="C17" s="152" t="s">
        <v>577</v>
      </c>
      <c r="D17" s="152" t="s">
        <v>577</v>
      </c>
      <c r="E17" s="149" t="s">
        <v>580</v>
      </c>
      <c r="F17" s="12"/>
      <c r="G17" s="13"/>
      <c r="H17" s="14" t="str">
        <f t="shared" si="2"/>
        <v>Path</v>
      </c>
      <c r="I17" s="4" t="str">
        <f>IF(LEN(Table23[[#This Row],[!type]])&gt;0,IF(Table23[[#This Row],[!type]]=I$1,"1","rg:None"),"-")</f>
        <v>rg:None</v>
      </c>
      <c r="J17" s="4" t="str">
        <f>IF(LEN(Table23[[#This Row],[!type]])&gt;0,IF(Table23[[#This Row],[!type]]=J$1,"1","rg:None"),"-")</f>
        <v>rg:None</v>
      </c>
      <c r="K17" s="4" t="str">
        <f>IF(LEN(Table23[[#This Row],[!type]])&gt;0,IF(Table23[[#This Row],[!type]]=K$1,"1","rg:None"),"-")</f>
        <v>1</v>
      </c>
      <c r="L17" s="4" t="str">
        <f>IF(LEN(Table23[[#This Row],[!type]])&gt;0,IF(Table23[[#This Row],[!type]]=L$1,"1","rg:None"),"-")</f>
        <v>rg:None</v>
      </c>
      <c r="M17" s="4" t="str">
        <f>IF(LEN(Table23[[#This Row],[!type]])&gt;0,IF(Table23[[#This Row],[!type]]=M$1,"1","rg:None"),"-")</f>
        <v>rg:None</v>
      </c>
      <c r="N17" s="4" t="str">
        <f>IF(LEN(Table23[[#This Row],[!type]])&gt;0,IF(Table23[[#This Row],[!type]]=N$1,"1","rg:None"),"-")</f>
        <v>rg:None</v>
      </c>
      <c r="O17" s="4" t="str">
        <f>IF(LEN(Table23[[#This Row],[!type]])&gt;0,IF(Table23[[#This Row],[!type]]=O$1,"1","rg:None"),"-")</f>
        <v>rg:None</v>
      </c>
      <c r="P17" s="4" t="str">
        <f>IF(LEN(Table23[[#This Row],[!type]])&gt;0,IF(Table23[[#This Row],[!type]]=P$1,"1","rg:None"),"-")</f>
        <v>rg:None</v>
      </c>
      <c r="Q17" s="4" t="str">
        <f>IF(LEN(Table23[[#This Row],[!path]]) &gt;0,Table23[[#This Row],[!path]],"rg:None")</f>
        <v>lookuplists</v>
      </c>
      <c r="R17" s="4" t="str">
        <f>IF(LEN(Table23[[#This Row],[!tag]]) &gt;0,Table23[[#This Row],[!tag]],"rg:None")</f>
        <v>LookupList</v>
      </c>
      <c r="S17" s="4" t="str">
        <f>IF(LEN(Table23[[#This Row],[!paramDef]]) &gt;0,Table23[[#This Row],[!paramDef]],"rg:None")</f>
        <v>LookupList</v>
      </c>
      <c r="T17" s="4" t="str">
        <f>IF(LEN(Table23[[#This Row],[!respDef]]) &gt;0,Table23[[#This Row],[!respDef]],"rg:None")</f>
        <v>rg:None</v>
      </c>
      <c r="U17" s="4" t="str">
        <f>IF(LEN(Table23[[#This Row],[!Description]]) &gt;0,Table23[[#This Row],[!Description]],"rg:None")</f>
        <v>rg:None</v>
      </c>
      <c r="V17" s="4" t="str">
        <f>IF(LEN(Table23[!permission]) &gt;0,Table23[!permission],"rg:None")</f>
        <v>ADMIN</v>
      </c>
    </row>
    <row r="18" spans="1:22" x14ac:dyDescent="0.3">
      <c r="A18" s="7" t="s">
        <v>72</v>
      </c>
      <c r="B18" s="10" t="s">
        <v>92</v>
      </c>
      <c r="C18" s="3" t="s">
        <v>58</v>
      </c>
      <c r="D18" s="45"/>
      <c r="E18" s="44" t="s">
        <v>580</v>
      </c>
      <c r="F18" s="3"/>
      <c r="G18" s="3"/>
      <c r="H18" s="8" t="str">
        <f t="shared" ref="H18:H26" si="3">IF(LEN(A18) &gt;0,"Path","-")</f>
        <v>Path</v>
      </c>
      <c r="I18" s="5" t="str">
        <f>IF(LEN(Table23[[#This Row],[!type]])&gt;0,IF(Table23[[#This Row],[!type]]=I$1,"1","rg:None"),"-")</f>
        <v>1</v>
      </c>
      <c r="J18" s="5" t="str">
        <f>IF(LEN(Table23[[#This Row],[!type]])&gt;0,IF(Table23[[#This Row],[!type]]=J$1,"1","rg:None"),"-")</f>
        <v>rg:None</v>
      </c>
      <c r="K18" s="5" t="str">
        <f>IF(LEN(Table23[[#This Row],[!type]])&gt;0,IF(Table23[[#This Row],[!type]]=K$1,"1","rg:None"),"-")</f>
        <v>rg:None</v>
      </c>
      <c r="L18" s="5" t="str">
        <f>IF(LEN(Table23[[#This Row],[!type]])&gt;0,IF(Table23[[#This Row],[!type]]=L$1,"1","rg:None"),"-")</f>
        <v>rg:None</v>
      </c>
      <c r="M18" s="5" t="str">
        <f>IF(LEN(Table23[[#This Row],[!type]])&gt;0,IF(Table23[[#This Row],[!type]]=M$1,"1","rg:None"),"-")</f>
        <v>rg:None</v>
      </c>
      <c r="N18" s="5" t="str">
        <f>IF(LEN(Table23[[#This Row],[!type]])&gt;0,IF(Table23[[#This Row],[!type]]=N$1,"1","rg:None"),"-")</f>
        <v>rg:None</v>
      </c>
      <c r="O18" s="5" t="str">
        <f>IF(LEN(Table23[[#This Row],[!type]])&gt;0,IF(Table23[[#This Row],[!type]]=O$1,"1","rg:None"),"-")</f>
        <v>rg:None</v>
      </c>
      <c r="P18" s="5" t="str">
        <f>IF(LEN(Table23[[#This Row],[!type]])&gt;0,IF(Table23[[#This Row],[!type]]=P$1,"1","rg:None"),"-")</f>
        <v>rg:None</v>
      </c>
      <c r="Q18" s="5" t="str">
        <f>IF(LEN(Table23[[#This Row],[!path]]) &gt;0,Table23[[#This Row],[!path]],"rg:None")</f>
        <v>groups</v>
      </c>
      <c r="R18" s="5" t="str">
        <f>IF(LEN(Table23[[#This Row],[!tag]]) &gt;0,Table23[[#This Row],[!tag]],"rg:None")</f>
        <v>Group</v>
      </c>
      <c r="S18" s="5" t="str">
        <f>IF(LEN(Table23[[#This Row],[!paramDef]]) &gt;0,Table23[[#This Row],[!paramDef]],"rg:None")</f>
        <v>rg:None</v>
      </c>
      <c r="T18" s="5" t="str">
        <f>IF(LEN(Table23[[#This Row],[!respDef]]) &gt;0,Table23[[#This Row],[!respDef]],"rg:None")</f>
        <v>rg:None</v>
      </c>
      <c r="U18" s="5" t="str">
        <f>IF(LEN(Table23[[#This Row],[!Description]]) &gt;0,Table23[[#This Row],[!Description]],"rg:None")</f>
        <v>rg:None</v>
      </c>
      <c r="V18" s="4" t="str">
        <f>IF(LEN(Table23[!permission]) &gt;0,Table23[!permission],"rg:None")</f>
        <v>ADMIN</v>
      </c>
    </row>
    <row r="19" spans="1:22" x14ac:dyDescent="0.3">
      <c r="A19" s="42" t="s">
        <v>74</v>
      </c>
      <c r="B19" s="42" t="s">
        <v>92</v>
      </c>
      <c r="C19" s="43" t="s">
        <v>58</v>
      </c>
      <c r="D19" s="44" t="s">
        <v>58</v>
      </c>
      <c r="E19" s="44" t="s">
        <v>580</v>
      </c>
      <c r="F19" s="12"/>
      <c r="G19" s="13"/>
      <c r="H19" s="14" t="str">
        <f>IF(LEN(A19) &gt;0,"Path","-")</f>
        <v>Path</v>
      </c>
      <c r="I19" s="4" t="str">
        <f>IF(LEN(Table23[[#This Row],[!type]])&gt;0,IF(Table23[[#This Row],[!type]]=I$1,"1","rg:None"),"-")</f>
        <v>rg:None</v>
      </c>
      <c r="J19" s="4" t="str">
        <f>IF(LEN(Table23[[#This Row],[!type]])&gt;0,IF(Table23[[#This Row],[!type]]=J$1,"1","rg:None"),"-")</f>
        <v>rg:None</v>
      </c>
      <c r="K19" s="4" t="str">
        <f>IF(LEN(Table23[[#This Row],[!type]])&gt;0,IF(Table23[[#This Row],[!type]]=K$1,"1","rg:None"),"-")</f>
        <v>1</v>
      </c>
      <c r="L19" s="4" t="str">
        <f>IF(LEN(Table23[[#This Row],[!type]])&gt;0,IF(Table23[[#This Row],[!type]]=L$1,"1","rg:None"),"-")</f>
        <v>rg:None</v>
      </c>
      <c r="M19" s="4" t="str">
        <f>IF(LEN(Table23[[#This Row],[!type]])&gt;0,IF(Table23[[#This Row],[!type]]=M$1,"1","rg:None"),"-")</f>
        <v>rg:None</v>
      </c>
      <c r="N19" s="4" t="str">
        <f>IF(LEN(Table23[[#This Row],[!type]])&gt;0,IF(Table23[[#This Row],[!type]]=N$1,"1","rg:None"),"-")</f>
        <v>rg:None</v>
      </c>
      <c r="O19" s="4" t="str">
        <f>IF(LEN(Table23[[#This Row],[!type]])&gt;0,IF(Table23[[#This Row],[!type]]=O$1,"1","rg:None"),"-")</f>
        <v>rg:None</v>
      </c>
      <c r="P19" s="4" t="str">
        <f>IF(LEN(Table23[[#This Row],[!type]])&gt;0,IF(Table23[[#This Row],[!type]]=P$1,"1","rg:None"),"-")</f>
        <v>rg:None</v>
      </c>
      <c r="Q19" s="4" t="str">
        <f>IF(LEN(Table23[[#This Row],[!path]]) &gt;0,Table23[[#This Row],[!path]],"rg:None")</f>
        <v>groups</v>
      </c>
      <c r="R19" s="4" t="str">
        <f>IF(LEN(Table23[[#This Row],[!tag]]) &gt;0,Table23[[#This Row],[!tag]],"rg:None")</f>
        <v>Group</v>
      </c>
      <c r="S19" s="4" t="str">
        <f>IF(LEN(Table23[[#This Row],[!paramDef]]) &gt;0,Table23[[#This Row],[!paramDef]],"rg:None")</f>
        <v>Group</v>
      </c>
      <c r="T19" s="4" t="str">
        <f>IF(LEN(Table23[[#This Row],[!respDef]]) &gt;0,Table23[[#This Row],[!respDef]],"rg:None")</f>
        <v>rg:None</v>
      </c>
      <c r="U19" s="4" t="str">
        <f>IF(LEN(Table23[[#This Row],[!Description]]) &gt;0,Table23[[#This Row],[!Description]],"rg:None")</f>
        <v>rg:None</v>
      </c>
      <c r="V19" s="4" t="str">
        <f>IF(LEN(Table23[!permission]) &gt;0,Table23[!permission],"rg:None")</f>
        <v>ADMIN</v>
      </c>
    </row>
    <row r="20" spans="1:22" x14ac:dyDescent="0.3">
      <c r="A20" s="7" t="s">
        <v>72</v>
      </c>
      <c r="B20" s="10" t="s">
        <v>93</v>
      </c>
      <c r="C20" s="3" t="s">
        <v>54</v>
      </c>
      <c r="D20" s="15" t="s">
        <v>103</v>
      </c>
      <c r="E20" s="44" t="s">
        <v>580</v>
      </c>
      <c r="F20" s="3"/>
      <c r="G20" s="3"/>
      <c r="H20" s="8" t="str">
        <f t="shared" si="3"/>
        <v>Path</v>
      </c>
      <c r="I20" s="5" t="str">
        <f>IF(LEN(Table23[[#This Row],[!type]])&gt;0,IF(Table23[[#This Row],[!type]]=I$1,"1","rg:None"),"-")</f>
        <v>1</v>
      </c>
      <c r="J20" s="5" t="str">
        <f>IF(LEN(Table23[[#This Row],[!type]])&gt;0,IF(Table23[[#This Row],[!type]]=J$1,"1","rg:None"),"-")</f>
        <v>rg:None</v>
      </c>
      <c r="K20" s="5" t="str">
        <f>IF(LEN(Table23[[#This Row],[!type]])&gt;0,IF(Table23[[#This Row],[!type]]=K$1,"1","rg:None"),"-")</f>
        <v>rg:None</v>
      </c>
      <c r="L20" s="5" t="str">
        <f>IF(LEN(Table23[[#This Row],[!type]])&gt;0,IF(Table23[[#This Row],[!type]]=L$1,"1","rg:None"),"-")</f>
        <v>rg:None</v>
      </c>
      <c r="M20" s="5" t="str">
        <f>IF(LEN(Table23[[#This Row],[!type]])&gt;0,IF(Table23[[#This Row],[!type]]=M$1,"1","rg:None"),"-")</f>
        <v>rg:None</v>
      </c>
      <c r="N20" s="5" t="str">
        <f>IF(LEN(Table23[[#This Row],[!type]])&gt;0,IF(Table23[[#This Row],[!type]]=N$1,"1","rg:None"),"-")</f>
        <v>rg:None</v>
      </c>
      <c r="O20" s="5" t="str">
        <f>IF(LEN(Table23[[#This Row],[!type]])&gt;0,IF(Table23[[#This Row],[!type]]=O$1,"1","rg:None"),"-")</f>
        <v>rg:None</v>
      </c>
      <c r="P20" s="5" t="str">
        <f>IF(LEN(Table23[[#This Row],[!type]])&gt;0,IF(Table23[[#This Row],[!type]]=P$1,"1","rg:None"),"-")</f>
        <v>rg:None</v>
      </c>
      <c r="Q20" s="5" t="str">
        <f>IF(LEN(Table23[[#This Row],[!path]]) &gt;0,Table23[[#This Row],[!path]],"rg:None")</f>
        <v>permissions</v>
      </c>
      <c r="R20" s="5" t="str">
        <f>IF(LEN(Table23[[#This Row],[!tag]]) &gt;0,Table23[[#This Row],[!tag]],"rg:None")</f>
        <v>Permission</v>
      </c>
      <c r="S20" s="5" t="str">
        <f>IF(LEN(Table23[[#This Row],[!paramDef]]) &gt;0,Table23[[#This Row],[!paramDef]],"rg:None")</f>
        <v>PermissionViewModel</v>
      </c>
      <c r="T20" s="5" t="str">
        <f>IF(LEN(Table23[[#This Row],[!respDef]]) &gt;0,Table23[[#This Row],[!respDef]],"rg:None")</f>
        <v>rg:None</v>
      </c>
      <c r="U20" s="5" t="str">
        <f>IF(LEN(Table23[[#This Row],[!Description]]) &gt;0,Table23[[#This Row],[!Description]],"rg:None")</f>
        <v>rg:None</v>
      </c>
      <c r="V20" s="4" t="str">
        <f>IF(LEN(Table23[!permission]) &gt;0,Table23[!permission],"rg:None")</f>
        <v>ADMIN</v>
      </c>
    </row>
    <row r="21" spans="1:22" x14ac:dyDescent="0.3">
      <c r="A21" s="32" t="s">
        <v>74</v>
      </c>
      <c r="B21" s="32" t="s">
        <v>93</v>
      </c>
      <c r="C21" s="33" t="s">
        <v>54</v>
      </c>
      <c r="D21" s="34" t="s">
        <v>54</v>
      </c>
      <c r="E21" s="34" t="s">
        <v>580</v>
      </c>
      <c r="F21" s="12"/>
      <c r="G21" s="13"/>
      <c r="H21" s="14" t="str">
        <f>IF(LEN(A21) &gt;0,"Path","-")</f>
        <v>Path</v>
      </c>
      <c r="I21" s="4" t="str">
        <f>IF(LEN(Table23[[#This Row],[!type]])&gt;0,IF(Table23[[#This Row],[!type]]=I$1,"1","rg:None"),"-")</f>
        <v>rg:None</v>
      </c>
      <c r="J21" s="4" t="str">
        <f>IF(LEN(Table23[[#This Row],[!type]])&gt;0,IF(Table23[[#This Row],[!type]]=J$1,"1","rg:None"),"-")</f>
        <v>rg:None</v>
      </c>
      <c r="K21" s="4" t="str">
        <f>IF(LEN(Table23[[#This Row],[!type]])&gt;0,IF(Table23[[#This Row],[!type]]=K$1,"1","rg:None"),"-")</f>
        <v>1</v>
      </c>
      <c r="L21" s="4" t="str">
        <f>IF(LEN(Table23[[#This Row],[!type]])&gt;0,IF(Table23[[#This Row],[!type]]=L$1,"1","rg:None"),"-")</f>
        <v>rg:None</v>
      </c>
      <c r="M21" s="4" t="str">
        <f>IF(LEN(Table23[[#This Row],[!type]])&gt;0,IF(Table23[[#This Row],[!type]]=M$1,"1","rg:None"),"-")</f>
        <v>rg:None</v>
      </c>
      <c r="N21" s="4" t="str">
        <f>IF(LEN(Table23[[#This Row],[!type]])&gt;0,IF(Table23[[#This Row],[!type]]=N$1,"1","rg:None"),"-")</f>
        <v>rg:None</v>
      </c>
      <c r="O21" s="4" t="str">
        <f>IF(LEN(Table23[[#This Row],[!type]])&gt;0,IF(Table23[[#This Row],[!type]]=O$1,"1","rg:None"),"-")</f>
        <v>rg:None</v>
      </c>
      <c r="P21" s="4" t="str">
        <f>IF(LEN(Table23[[#This Row],[!type]])&gt;0,IF(Table23[[#This Row],[!type]]=P$1,"1","rg:None"),"-")</f>
        <v>rg:None</v>
      </c>
      <c r="Q21" s="4" t="str">
        <f>IF(LEN(Table23[[#This Row],[!path]]) &gt;0,Table23[[#This Row],[!path]],"rg:None")</f>
        <v>permissions</v>
      </c>
      <c r="R21" s="4" t="str">
        <f>IF(LEN(Table23[[#This Row],[!tag]]) &gt;0,Table23[[#This Row],[!tag]],"rg:None")</f>
        <v>Permission</v>
      </c>
      <c r="S21" s="4" t="str">
        <f>IF(LEN(Table23[[#This Row],[!paramDef]]) &gt;0,Table23[[#This Row],[!paramDef]],"rg:None")</f>
        <v>Permission</v>
      </c>
      <c r="T21" s="4" t="str">
        <f>IF(LEN(Table23[[#This Row],[!respDef]]) &gt;0,Table23[[#This Row],[!respDef]],"rg:None")</f>
        <v>rg:None</v>
      </c>
      <c r="U21" s="4" t="str">
        <f>IF(LEN(Table23[[#This Row],[!Description]]) &gt;0,Table23[[#This Row],[!Description]],"rg:None")</f>
        <v>rg:None</v>
      </c>
      <c r="V21" s="4" t="str">
        <f>IF(LEN(Table23[!permission]) &gt;0,Table23[!permission],"rg:None")</f>
        <v>ADMIN</v>
      </c>
    </row>
    <row r="22" spans="1:22" x14ac:dyDescent="0.3">
      <c r="A22" s="7" t="s">
        <v>72</v>
      </c>
      <c r="B22" s="10" t="s">
        <v>94</v>
      </c>
      <c r="C22" s="3" t="s">
        <v>51</v>
      </c>
      <c r="D22" s="87" t="s">
        <v>451</v>
      </c>
      <c r="E22" s="44" t="s">
        <v>580</v>
      </c>
      <c r="F22" s="3"/>
      <c r="G22" s="3"/>
      <c r="H22" s="8" t="str">
        <f t="shared" si="3"/>
        <v>Path</v>
      </c>
      <c r="I22" s="5" t="str">
        <f>IF(LEN(Table23[[#This Row],[!type]])&gt;0,IF(Table23[[#This Row],[!type]]=I$1,"1","rg:None"),"-")</f>
        <v>1</v>
      </c>
      <c r="J22" s="5" t="str">
        <f>IF(LEN(Table23[[#This Row],[!type]])&gt;0,IF(Table23[[#This Row],[!type]]=J$1,"1","rg:None"),"-")</f>
        <v>rg:None</v>
      </c>
      <c r="K22" s="5" t="str">
        <f>IF(LEN(Table23[[#This Row],[!type]])&gt;0,IF(Table23[[#This Row],[!type]]=K$1,"1","rg:None"),"-")</f>
        <v>rg:None</v>
      </c>
      <c r="L22" s="5" t="str">
        <f>IF(LEN(Table23[[#This Row],[!type]])&gt;0,IF(Table23[[#This Row],[!type]]=L$1,"1","rg:None"),"-")</f>
        <v>rg:None</v>
      </c>
      <c r="M22" s="5" t="str">
        <f>IF(LEN(Table23[[#This Row],[!type]])&gt;0,IF(Table23[[#This Row],[!type]]=M$1,"1","rg:None"),"-")</f>
        <v>rg:None</v>
      </c>
      <c r="N22" s="5" t="str">
        <f>IF(LEN(Table23[[#This Row],[!type]])&gt;0,IF(Table23[[#This Row],[!type]]=N$1,"1","rg:None"),"-")</f>
        <v>rg:None</v>
      </c>
      <c r="O22" s="5" t="str">
        <f>IF(LEN(Table23[[#This Row],[!type]])&gt;0,IF(Table23[[#This Row],[!type]]=O$1,"1","rg:None"),"-")</f>
        <v>rg:None</v>
      </c>
      <c r="P22" s="5" t="str">
        <f>IF(LEN(Table23[[#This Row],[!type]])&gt;0,IF(Table23[[#This Row],[!type]]=P$1,"1","rg:None"),"-")</f>
        <v>rg:None</v>
      </c>
      <c r="Q22" s="5" t="str">
        <f>IF(LEN(Table23[[#This Row],[!path]]) &gt;0,Table23[[#This Row],[!path]],"rg:None")</f>
        <v>roles</v>
      </c>
      <c r="R22" s="5" t="str">
        <f>IF(LEN(Table23[[#This Row],[!tag]]) &gt;0,Table23[[#This Row],[!tag]],"rg:None")</f>
        <v>Role</v>
      </c>
      <c r="S22" s="5" t="str">
        <f>IF(LEN(Table23[[#This Row],[!paramDef]]) &gt;0,Table23[[#This Row],[!paramDef]],"rg:None")</f>
        <v>RoleViewModel</v>
      </c>
      <c r="T22" s="5" t="str">
        <f>IF(LEN(Table23[[#This Row],[!respDef]]) &gt;0,Table23[[#This Row],[!respDef]],"rg:None")</f>
        <v>rg:None</v>
      </c>
      <c r="U22" s="5" t="str">
        <f>IF(LEN(Table23[[#This Row],[!Description]]) &gt;0,Table23[[#This Row],[!Description]],"rg:None")</f>
        <v>rg:None</v>
      </c>
      <c r="V22" s="4" t="str">
        <f>IF(LEN(Table23[!permission]) &gt;0,Table23[!permission],"rg:None")</f>
        <v>ADMIN</v>
      </c>
    </row>
    <row r="23" spans="1:22" x14ac:dyDescent="0.3">
      <c r="A23" s="32" t="s">
        <v>74</v>
      </c>
      <c r="B23" s="32" t="s">
        <v>94</v>
      </c>
      <c r="C23" s="33" t="s">
        <v>51</v>
      </c>
      <c r="D23" s="86" t="s">
        <v>51</v>
      </c>
      <c r="E23" s="86" t="s">
        <v>580</v>
      </c>
      <c r="F23" s="12"/>
      <c r="G23" s="13"/>
      <c r="H23" s="14" t="str">
        <f>IF(LEN(A23) &gt;0,"Path","-")</f>
        <v>Path</v>
      </c>
      <c r="I23" s="4" t="str">
        <f>IF(LEN(Table23[[#This Row],[!type]])&gt;0,IF(Table23[[#This Row],[!type]]=I$1,"1","rg:None"),"-")</f>
        <v>rg:None</v>
      </c>
      <c r="J23" s="4" t="str">
        <f>IF(LEN(Table23[[#This Row],[!type]])&gt;0,IF(Table23[[#This Row],[!type]]=J$1,"1","rg:None"),"-")</f>
        <v>rg:None</v>
      </c>
      <c r="K23" s="4" t="str">
        <f>IF(LEN(Table23[[#This Row],[!type]])&gt;0,IF(Table23[[#This Row],[!type]]=K$1,"1","rg:None"),"-")</f>
        <v>1</v>
      </c>
      <c r="L23" s="4" t="str">
        <f>IF(LEN(Table23[[#This Row],[!type]])&gt;0,IF(Table23[[#This Row],[!type]]=L$1,"1","rg:None"),"-")</f>
        <v>rg:None</v>
      </c>
      <c r="M23" s="4" t="str">
        <f>IF(LEN(Table23[[#This Row],[!type]])&gt;0,IF(Table23[[#This Row],[!type]]=M$1,"1","rg:None"),"-")</f>
        <v>rg:None</v>
      </c>
      <c r="N23" s="4" t="str">
        <f>IF(LEN(Table23[[#This Row],[!type]])&gt;0,IF(Table23[[#This Row],[!type]]=N$1,"1","rg:None"),"-")</f>
        <v>rg:None</v>
      </c>
      <c r="O23" s="4" t="str">
        <f>IF(LEN(Table23[[#This Row],[!type]])&gt;0,IF(Table23[[#This Row],[!type]]=O$1,"1","rg:None"),"-")</f>
        <v>rg:None</v>
      </c>
      <c r="P23" s="4" t="str">
        <f>IF(LEN(Table23[[#This Row],[!type]])&gt;0,IF(Table23[[#This Row],[!type]]=P$1,"1","rg:None"),"-")</f>
        <v>rg:None</v>
      </c>
      <c r="Q23" s="4" t="str">
        <f>IF(LEN(Table23[[#This Row],[!path]]) &gt;0,Table23[[#This Row],[!path]],"rg:None")</f>
        <v>roles</v>
      </c>
      <c r="R23" s="4" t="str">
        <f>IF(LEN(Table23[[#This Row],[!tag]]) &gt;0,Table23[[#This Row],[!tag]],"rg:None")</f>
        <v>Role</v>
      </c>
      <c r="S23" s="4" t="str">
        <f>IF(LEN(Table23[[#This Row],[!paramDef]]) &gt;0,Table23[[#This Row],[!paramDef]],"rg:None")</f>
        <v>Role</v>
      </c>
      <c r="T23" s="4" t="str">
        <f>IF(LEN(Table23[[#This Row],[!respDef]]) &gt;0,Table23[[#This Row],[!respDef]],"rg:None")</f>
        <v>rg:None</v>
      </c>
      <c r="U23" s="4" t="str">
        <f>IF(LEN(Table23[[#This Row],[!Description]]) &gt;0,Table23[[#This Row],[!Description]],"rg:None")</f>
        <v>rg:None</v>
      </c>
      <c r="V23" s="4" t="str">
        <f>IF(LEN(Table23[!permission]) &gt;0,Table23[!permission],"rg:None")</f>
        <v>ADMIN</v>
      </c>
    </row>
    <row r="24" spans="1:22" x14ac:dyDescent="0.3">
      <c r="A24" s="7" t="s">
        <v>72</v>
      </c>
      <c r="B24" s="10" t="s">
        <v>95</v>
      </c>
      <c r="C24" s="3" t="s">
        <v>0</v>
      </c>
      <c r="D24" s="15" t="s">
        <v>104</v>
      </c>
      <c r="E24" s="44" t="s">
        <v>580</v>
      </c>
      <c r="F24" s="3"/>
      <c r="G24" s="3"/>
      <c r="H24" s="8" t="str">
        <f t="shared" si="3"/>
        <v>Path</v>
      </c>
      <c r="I24" s="5" t="str">
        <f>IF(LEN(Table23[[#This Row],[!type]])&gt;0,IF(Table23[[#This Row],[!type]]=I$1,"1","rg:None"),"-")</f>
        <v>1</v>
      </c>
      <c r="J24" s="5" t="str">
        <f>IF(LEN(Table23[[#This Row],[!type]])&gt;0,IF(Table23[[#This Row],[!type]]=J$1,"1","rg:None"),"-")</f>
        <v>rg:None</v>
      </c>
      <c r="K24" s="5" t="str">
        <f>IF(LEN(Table23[[#This Row],[!type]])&gt;0,IF(Table23[[#This Row],[!type]]=K$1,"1","rg:None"),"-")</f>
        <v>rg:None</v>
      </c>
      <c r="L24" s="5" t="str">
        <f>IF(LEN(Table23[[#This Row],[!type]])&gt;0,IF(Table23[[#This Row],[!type]]=L$1,"1","rg:None"),"-")</f>
        <v>rg:None</v>
      </c>
      <c r="M24" s="5" t="str">
        <f>IF(LEN(Table23[[#This Row],[!type]])&gt;0,IF(Table23[[#This Row],[!type]]=M$1,"1","rg:None"),"-")</f>
        <v>rg:None</v>
      </c>
      <c r="N24" s="5" t="str">
        <f>IF(LEN(Table23[[#This Row],[!type]])&gt;0,IF(Table23[[#This Row],[!type]]=N$1,"1","rg:None"),"-")</f>
        <v>rg:None</v>
      </c>
      <c r="O24" s="5" t="str">
        <f>IF(LEN(Table23[[#This Row],[!type]])&gt;0,IF(Table23[[#This Row],[!type]]=O$1,"1","rg:None"),"-")</f>
        <v>rg:None</v>
      </c>
      <c r="P24" s="5" t="str">
        <f>IF(LEN(Table23[[#This Row],[!type]])&gt;0,IF(Table23[[#This Row],[!type]]=P$1,"1","rg:None"),"-")</f>
        <v>rg:None</v>
      </c>
      <c r="Q24" s="5" t="str">
        <f>IF(LEN(Table23[[#This Row],[!path]]) &gt;0,Table23[[#This Row],[!path]],"rg:None")</f>
        <v>users</v>
      </c>
      <c r="R24" s="5" t="str">
        <f>IF(LEN(Table23[[#This Row],[!tag]]) &gt;0,Table23[[#This Row],[!tag]],"rg:None")</f>
        <v>User</v>
      </c>
      <c r="S24" s="5" t="str">
        <f>IF(LEN(Table23[[#This Row],[!paramDef]]) &gt;0,Table23[[#This Row],[!paramDef]],"rg:None")</f>
        <v>UserViewModel</v>
      </c>
      <c r="T24" s="5" t="str">
        <f>IF(LEN(Table23[[#This Row],[!respDef]]) &gt;0,Table23[[#This Row],[!respDef]],"rg:None")</f>
        <v>rg:None</v>
      </c>
      <c r="U24" s="5" t="str">
        <f>IF(LEN(Table23[[#This Row],[!Description]]) &gt;0,Table23[[#This Row],[!Description]],"rg:None")</f>
        <v>rg:None</v>
      </c>
      <c r="V24" s="4" t="str">
        <f>IF(LEN(Table23[!permission]) &gt;0,Table23[!permission],"rg:None")</f>
        <v>ADMIN</v>
      </c>
    </row>
    <row r="25" spans="1:22" x14ac:dyDescent="0.3">
      <c r="A25" s="32" t="s">
        <v>74</v>
      </c>
      <c r="B25" s="32" t="s">
        <v>95</v>
      </c>
      <c r="C25" s="33" t="s">
        <v>0</v>
      </c>
      <c r="D25" s="34" t="s">
        <v>0</v>
      </c>
      <c r="E25" s="15" t="s">
        <v>580</v>
      </c>
      <c r="F25" s="12"/>
      <c r="G25" s="13"/>
      <c r="H25" s="14" t="str">
        <f>IF(LEN(A25) &gt;0,"Path","-")</f>
        <v>Path</v>
      </c>
      <c r="I25" s="4" t="str">
        <f>IF(LEN(Table23[[#This Row],[!type]])&gt;0,IF(Table23[[#This Row],[!type]]=I$1,"1","rg:None"),"-")</f>
        <v>rg:None</v>
      </c>
      <c r="J25" s="4" t="str">
        <f>IF(LEN(Table23[[#This Row],[!type]])&gt;0,IF(Table23[[#This Row],[!type]]=J$1,"1","rg:None"),"-")</f>
        <v>rg:None</v>
      </c>
      <c r="K25" s="4" t="str">
        <f>IF(LEN(Table23[[#This Row],[!type]])&gt;0,IF(Table23[[#This Row],[!type]]=K$1,"1","rg:None"),"-")</f>
        <v>1</v>
      </c>
      <c r="L25" s="4" t="str">
        <f>IF(LEN(Table23[[#This Row],[!type]])&gt;0,IF(Table23[[#This Row],[!type]]=L$1,"1","rg:None"),"-")</f>
        <v>rg:None</v>
      </c>
      <c r="M25" s="4" t="str">
        <f>IF(LEN(Table23[[#This Row],[!type]])&gt;0,IF(Table23[[#This Row],[!type]]=M$1,"1","rg:None"),"-")</f>
        <v>rg:None</v>
      </c>
      <c r="N25" s="4" t="str">
        <f>IF(LEN(Table23[[#This Row],[!type]])&gt;0,IF(Table23[[#This Row],[!type]]=N$1,"1","rg:None"),"-")</f>
        <v>rg:None</v>
      </c>
      <c r="O25" s="4" t="str">
        <f>IF(LEN(Table23[[#This Row],[!type]])&gt;0,IF(Table23[[#This Row],[!type]]=O$1,"1","rg:None"),"-")</f>
        <v>rg:None</v>
      </c>
      <c r="P25" s="4" t="str">
        <f>IF(LEN(Table23[[#This Row],[!type]])&gt;0,IF(Table23[[#This Row],[!type]]=P$1,"1","rg:None"),"-")</f>
        <v>rg:None</v>
      </c>
      <c r="Q25" s="4" t="str">
        <f>IF(LEN(Table23[[#This Row],[!path]]) &gt;0,Table23[[#This Row],[!path]],"rg:None")</f>
        <v>users</v>
      </c>
      <c r="R25" s="4" t="str">
        <f>IF(LEN(Table23[[#This Row],[!tag]]) &gt;0,Table23[[#This Row],[!tag]],"rg:None")</f>
        <v>User</v>
      </c>
      <c r="S25" s="4" t="str">
        <f>IF(LEN(Table23[[#This Row],[!paramDef]]) &gt;0,Table23[[#This Row],[!paramDef]],"rg:None")</f>
        <v>User</v>
      </c>
      <c r="T25" s="4" t="str">
        <f>IF(LEN(Table23[[#This Row],[!respDef]]) &gt;0,Table23[[#This Row],[!respDef]],"rg:None")</f>
        <v>rg:None</v>
      </c>
      <c r="U25" s="4" t="str">
        <f>IF(LEN(Table23[[#This Row],[!Description]]) &gt;0,Table23[[#This Row],[!Description]],"rg:None")</f>
        <v>rg:None</v>
      </c>
      <c r="V25" s="4" t="str">
        <f>IF(LEN(Table23[!permission]) &gt;0,Table23[!permission],"rg:None")</f>
        <v>ADMIN</v>
      </c>
    </row>
    <row r="26" spans="1:22" x14ac:dyDescent="0.3">
      <c r="A26" s="11" t="s">
        <v>74</v>
      </c>
      <c r="B26" s="11" t="s">
        <v>102</v>
      </c>
      <c r="C26" s="16" t="s">
        <v>0</v>
      </c>
      <c r="D26" s="15" t="s">
        <v>56</v>
      </c>
      <c r="E26" s="15" t="s">
        <v>580</v>
      </c>
      <c r="F26" s="12"/>
      <c r="G26" s="13"/>
      <c r="H26" s="14" t="str">
        <f t="shared" si="3"/>
        <v>Path</v>
      </c>
      <c r="I26" s="4" t="str">
        <f>IF(LEN(Table23[[#This Row],[!type]])&gt;0,IF(Table23[[#This Row],[!type]]=I$1,"1","rg:None"),"-")</f>
        <v>rg:None</v>
      </c>
      <c r="J26" s="4" t="str">
        <f>IF(LEN(Table23[[#This Row],[!type]])&gt;0,IF(Table23[[#This Row],[!type]]=J$1,"1","rg:None"),"-")</f>
        <v>rg:None</v>
      </c>
      <c r="K26" s="4" t="str">
        <f>IF(LEN(Table23[[#This Row],[!type]])&gt;0,IF(Table23[[#This Row],[!type]]=K$1,"1","rg:None"),"-")</f>
        <v>1</v>
      </c>
      <c r="L26" s="4" t="str">
        <f>IF(LEN(Table23[[#This Row],[!type]])&gt;0,IF(Table23[[#This Row],[!type]]=L$1,"1","rg:None"),"-")</f>
        <v>rg:None</v>
      </c>
      <c r="M26" s="4" t="str">
        <f>IF(LEN(Table23[[#This Row],[!type]])&gt;0,IF(Table23[[#This Row],[!type]]=M$1,"1","rg:None"),"-")</f>
        <v>rg:None</v>
      </c>
      <c r="N26" s="4" t="str">
        <f>IF(LEN(Table23[[#This Row],[!type]])&gt;0,IF(Table23[[#This Row],[!type]]=N$1,"1","rg:None"),"-")</f>
        <v>rg:None</v>
      </c>
      <c r="O26" s="4" t="str">
        <f>IF(LEN(Table23[[#This Row],[!type]])&gt;0,IF(Table23[[#This Row],[!type]]=O$1,"1","rg:None"),"-")</f>
        <v>rg:None</v>
      </c>
      <c r="P26" s="4" t="str">
        <f>IF(LEN(Table23[[#This Row],[!type]])&gt;0,IF(Table23[[#This Row],[!type]]=P$1,"1","rg:None"),"-")</f>
        <v>rg:None</v>
      </c>
      <c r="Q26" s="4" t="str">
        <f>IF(LEN(Table23[[#This Row],[!path]]) &gt;0,Table23[[#This Row],[!path]],"rg:None")</f>
        <v>usergroups</v>
      </c>
      <c r="R26" s="4" t="str">
        <f>IF(LEN(Table23[[#This Row],[!tag]]) &gt;0,Table23[[#This Row],[!tag]],"rg:None")</f>
        <v>User</v>
      </c>
      <c r="S26" s="4" t="str">
        <f>IF(LEN(Table23[[#This Row],[!paramDef]]) &gt;0,Table23[[#This Row],[!paramDef]],"rg:None")</f>
        <v>GroupMembership</v>
      </c>
      <c r="T26" s="4" t="str">
        <f>IF(LEN(Table23[[#This Row],[!respDef]]) &gt;0,Table23[[#This Row],[!respDef]],"rg:None")</f>
        <v>rg:None</v>
      </c>
      <c r="U26" s="4" t="str">
        <f>IF(LEN(Table23[[#This Row],[!Description]]) &gt;0,Table23[[#This Row],[!Description]],"rg:None")</f>
        <v>rg:None</v>
      </c>
      <c r="V26" s="4" t="str">
        <f>IF(LEN(Table23[!permission]) &gt;0,Table23[!permission],"rg:None")</f>
        <v>ADMIN</v>
      </c>
    </row>
    <row r="27" spans="1:22" x14ac:dyDescent="0.3">
      <c r="A27" s="7" t="s">
        <v>72</v>
      </c>
      <c r="B27" s="10" t="s">
        <v>97</v>
      </c>
      <c r="C27" s="3" t="s">
        <v>28</v>
      </c>
      <c r="D27" s="45"/>
      <c r="E27" s="45"/>
      <c r="F27" s="3"/>
      <c r="G27" s="3"/>
      <c r="H27" s="8" t="str">
        <f t="shared" ref="H27:H44" si="4">IF(LEN(A27) &gt;0,"Path","-")</f>
        <v>Path</v>
      </c>
      <c r="I27" s="5" t="str">
        <f>IF(LEN(Table23[[#This Row],[!type]])&gt;0,IF(Table23[[#This Row],[!type]]=I$1,"1","rg:None"),"-")</f>
        <v>1</v>
      </c>
      <c r="J27" s="5" t="str">
        <f>IF(LEN(Table23[[#This Row],[!type]])&gt;0,IF(Table23[[#This Row],[!type]]=J$1,"1","rg:None"),"-")</f>
        <v>rg:None</v>
      </c>
      <c r="K27" s="5" t="str">
        <f>IF(LEN(Table23[[#This Row],[!type]])&gt;0,IF(Table23[[#This Row],[!type]]=K$1,"1","rg:None"),"-")</f>
        <v>rg:None</v>
      </c>
      <c r="L27" s="5" t="str">
        <f>IF(LEN(Table23[[#This Row],[!type]])&gt;0,IF(Table23[[#This Row],[!type]]=L$1,"1","rg:None"),"-")</f>
        <v>rg:None</v>
      </c>
      <c r="M27" s="5" t="str">
        <f>IF(LEN(Table23[[#This Row],[!type]])&gt;0,IF(Table23[[#This Row],[!type]]=M$1,"1","rg:None"),"-")</f>
        <v>rg:None</v>
      </c>
      <c r="N27" s="5" t="str">
        <f>IF(LEN(Table23[[#This Row],[!type]])&gt;0,IF(Table23[[#This Row],[!type]]=N$1,"1","rg:None"),"-")</f>
        <v>rg:None</v>
      </c>
      <c r="O27" s="5" t="str">
        <f>IF(LEN(Table23[[#This Row],[!type]])&gt;0,IF(Table23[[#This Row],[!type]]=O$1,"1","rg:None"),"-")</f>
        <v>rg:None</v>
      </c>
      <c r="P27" s="5" t="str">
        <f>IF(LEN(Table23[[#This Row],[!type]])&gt;0,IF(Table23[[#This Row],[!type]]=P$1,"1","rg:None"),"-")</f>
        <v>rg:None</v>
      </c>
      <c r="Q27" s="5" t="str">
        <f>IF(LEN(Table23[[#This Row],[!path]]) &gt;0,Table23[[#This Row],[!path]],"rg:None")</f>
        <v>regions</v>
      </c>
      <c r="R27" s="5" t="str">
        <f>IF(LEN(Table23[[#This Row],[!tag]]) &gt;0,Table23[[#This Row],[!tag]],"rg:None")</f>
        <v>Region</v>
      </c>
      <c r="S27" s="5" t="str">
        <f>IF(LEN(Table23[[#This Row],[!paramDef]]) &gt;0,Table23[[#This Row],[!paramDef]],"rg:None")</f>
        <v>rg:None</v>
      </c>
      <c r="T27" s="5" t="str">
        <f>IF(LEN(Table23[[#This Row],[!respDef]]) &gt;0,Table23[[#This Row],[!respDef]],"rg:None")</f>
        <v>rg:None</v>
      </c>
      <c r="U27" s="5" t="str">
        <f>IF(LEN(Table23[[#This Row],[!Description]]) &gt;0,Table23[[#This Row],[!Description]],"rg:None")</f>
        <v>rg:None</v>
      </c>
      <c r="V27" s="4" t="str">
        <f>IF(LEN(Table23[!permission]) &gt;0,Table23[!permission],"rg:None")</f>
        <v>rg:None</v>
      </c>
    </row>
    <row r="28" spans="1:22" x14ac:dyDescent="0.3">
      <c r="A28" s="42" t="s">
        <v>74</v>
      </c>
      <c r="B28" s="42" t="s">
        <v>97</v>
      </c>
      <c r="C28" s="43" t="s">
        <v>28</v>
      </c>
      <c r="D28" s="44" t="s">
        <v>28</v>
      </c>
      <c r="E28" s="45" t="s">
        <v>580</v>
      </c>
      <c r="F28" s="12"/>
      <c r="G28" s="13"/>
      <c r="H28" s="14" t="str">
        <f>IF(LEN(A28) &gt;0,"Path","-")</f>
        <v>Path</v>
      </c>
      <c r="I28" s="4" t="str">
        <f>IF(LEN(Table23[[#This Row],[!type]])&gt;0,IF(Table23[[#This Row],[!type]]=I$1,"1","rg:None"),"-")</f>
        <v>rg:None</v>
      </c>
      <c r="J28" s="4" t="str">
        <f>IF(LEN(Table23[[#This Row],[!type]])&gt;0,IF(Table23[[#This Row],[!type]]=J$1,"1","rg:None"),"-")</f>
        <v>rg:None</v>
      </c>
      <c r="K28" s="4" t="str">
        <f>IF(LEN(Table23[[#This Row],[!type]])&gt;0,IF(Table23[[#This Row],[!type]]=K$1,"1","rg:None"),"-")</f>
        <v>1</v>
      </c>
      <c r="L28" s="4" t="str">
        <f>IF(LEN(Table23[[#This Row],[!type]])&gt;0,IF(Table23[[#This Row],[!type]]=L$1,"1","rg:None"),"-")</f>
        <v>rg:None</v>
      </c>
      <c r="M28" s="4" t="str">
        <f>IF(LEN(Table23[[#This Row],[!type]])&gt;0,IF(Table23[[#This Row],[!type]]=M$1,"1","rg:None"),"-")</f>
        <v>rg:None</v>
      </c>
      <c r="N28" s="4" t="str">
        <f>IF(LEN(Table23[[#This Row],[!type]])&gt;0,IF(Table23[[#This Row],[!type]]=N$1,"1","rg:None"),"-")</f>
        <v>rg:None</v>
      </c>
      <c r="O28" s="4" t="str">
        <f>IF(LEN(Table23[[#This Row],[!type]])&gt;0,IF(Table23[[#This Row],[!type]]=O$1,"1","rg:None"),"-")</f>
        <v>rg:None</v>
      </c>
      <c r="P28" s="4" t="str">
        <f>IF(LEN(Table23[[#This Row],[!type]])&gt;0,IF(Table23[[#This Row],[!type]]=P$1,"1","rg:None"),"-")</f>
        <v>rg:None</v>
      </c>
      <c r="Q28" s="4" t="str">
        <f>IF(LEN(Table23[[#This Row],[!path]]) &gt;0,Table23[[#This Row],[!path]],"rg:None")</f>
        <v>regions</v>
      </c>
      <c r="R28" s="4" t="str">
        <f>IF(LEN(Table23[[#This Row],[!tag]]) &gt;0,Table23[[#This Row],[!tag]],"rg:None")</f>
        <v>Region</v>
      </c>
      <c r="S28" s="4" t="str">
        <f>IF(LEN(Table23[[#This Row],[!paramDef]]) &gt;0,Table23[[#This Row],[!paramDef]],"rg:None")</f>
        <v>Region</v>
      </c>
      <c r="T28" s="4" t="str">
        <f>IF(LEN(Table23[[#This Row],[!respDef]]) &gt;0,Table23[[#This Row],[!respDef]],"rg:None")</f>
        <v>rg:None</v>
      </c>
      <c r="U28" s="4" t="str">
        <f>IF(LEN(Table23[[#This Row],[!Description]]) &gt;0,Table23[[#This Row],[!Description]],"rg:None")</f>
        <v>rg:None</v>
      </c>
      <c r="V28" s="4" t="str">
        <f>IF(LEN(Table23[!permission]) &gt;0,Table23[!permission],"rg:None")</f>
        <v>ADMIN</v>
      </c>
    </row>
    <row r="29" spans="1:22" x14ac:dyDescent="0.3">
      <c r="A29" s="7" t="s">
        <v>72</v>
      </c>
      <c r="B29" s="10" t="s">
        <v>98</v>
      </c>
      <c r="C29" s="3" t="s">
        <v>32</v>
      </c>
      <c r="D29" s="45"/>
      <c r="E29" s="45"/>
      <c r="F29" s="3"/>
      <c r="G29" s="3"/>
      <c r="H29" s="8" t="str">
        <f t="shared" si="4"/>
        <v>Path</v>
      </c>
      <c r="I29" s="5" t="str">
        <f>IF(LEN(Table23[[#This Row],[!type]])&gt;0,IF(Table23[[#This Row],[!type]]=I$1,"1","rg:None"),"-")</f>
        <v>1</v>
      </c>
      <c r="J29" s="5" t="str">
        <f>IF(LEN(Table23[[#This Row],[!type]])&gt;0,IF(Table23[[#This Row],[!type]]=J$1,"1","rg:None"),"-")</f>
        <v>rg:None</v>
      </c>
      <c r="K29" s="5" t="str">
        <f>IF(LEN(Table23[[#This Row],[!type]])&gt;0,IF(Table23[[#This Row],[!type]]=K$1,"1","rg:None"),"-")</f>
        <v>rg:None</v>
      </c>
      <c r="L29" s="5" t="str">
        <f>IF(LEN(Table23[[#This Row],[!type]])&gt;0,IF(Table23[[#This Row],[!type]]=L$1,"1","rg:None"),"-")</f>
        <v>rg:None</v>
      </c>
      <c r="M29" s="5" t="str">
        <f>IF(LEN(Table23[[#This Row],[!type]])&gt;0,IF(Table23[[#This Row],[!type]]=M$1,"1","rg:None"),"-")</f>
        <v>rg:None</v>
      </c>
      <c r="N29" s="5" t="str">
        <f>IF(LEN(Table23[[#This Row],[!type]])&gt;0,IF(Table23[[#This Row],[!type]]=N$1,"1","rg:None"),"-")</f>
        <v>rg:None</v>
      </c>
      <c r="O29" s="5" t="str">
        <f>IF(LEN(Table23[[#This Row],[!type]])&gt;0,IF(Table23[[#This Row],[!type]]=O$1,"1","rg:None"),"-")</f>
        <v>rg:None</v>
      </c>
      <c r="P29" s="5" t="str">
        <f>IF(LEN(Table23[[#This Row],[!type]])&gt;0,IF(Table23[[#This Row],[!type]]=P$1,"1","rg:None"),"-")</f>
        <v>rg:None</v>
      </c>
      <c r="Q29" s="5" t="str">
        <f>IF(LEN(Table23[[#This Row],[!path]]) &gt;0,Table23[[#This Row],[!path]],"rg:None")</f>
        <v>districts</v>
      </c>
      <c r="R29" s="5" t="str">
        <f>IF(LEN(Table23[[#This Row],[!tag]]) &gt;0,Table23[[#This Row],[!tag]],"rg:None")</f>
        <v>District</v>
      </c>
      <c r="S29" s="5" t="str">
        <f>IF(LEN(Table23[[#This Row],[!paramDef]]) &gt;0,Table23[[#This Row],[!paramDef]],"rg:None")</f>
        <v>rg:None</v>
      </c>
      <c r="T29" s="5" t="str">
        <f>IF(LEN(Table23[[#This Row],[!respDef]]) &gt;0,Table23[[#This Row],[!respDef]],"rg:None")</f>
        <v>rg:None</v>
      </c>
      <c r="U29" s="5" t="str">
        <f>IF(LEN(Table23[[#This Row],[!Description]]) &gt;0,Table23[[#This Row],[!Description]],"rg:None")</f>
        <v>rg:None</v>
      </c>
      <c r="V29" s="4" t="str">
        <f>IF(LEN(Table23[!permission]) &gt;0,Table23[!permission],"rg:None")</f>
        <v>rg:None</v>
      </c>
    </row>
    <row r="30" spans="1:22" x14ac:dyDescent="0.3">
      <c r="A30" s="42" t="s">
        <v>74</v>
      </c>
      <c r="B30" s="42" t="s">
        <v>98</v>
      </c>
      <c r="C30" s="43" t="s">
        <v>32</v>
      </c>
      <c r="D30" s="44" t="s">
        <v>32</v>
      </c>
      <c r="E30" s="45" t="s">
        <v>580</v>
      </c>
      <c r="F30" s="12"/>
      <c r="G30" s="13"/>
      <c r="H30" s="14" t="str">
        <f>IF(LEN(A30) &gt;0,"Path","-")</f>
        <v>Path</v>
      </c>
      <c r="I30" s="4" t="str">
        <f>IF(LEN(Table23[[#This Row],[!type]])&gt;0,IF(Table23[[#This Row],[!type]]=I$1,"1","rg:None"),"-")</f>
        <v>rg:None</v>
      </c>
      <c r="J30" s="4" t="str">
        <f>IF(LEN(Table23[[#This Row],[!type]])&gt;0,IF(Table23[[#This Row],[!type]]=J$1,"1","rg:None"),"-")</f>
        <v>rg:None</v>
      </c>
      <c r="K30" s="4" t="str">
        <f>IF(LEN(Table23[[#This Row],[!type]])&gt;0,IF(Table23[[#This Row],[!type]]=K$1,"1","rg:None"),"-")</f>
        <v>1</v>
      </c>
      <c r="L30" s="4" t="str">
        <f>IF(LEN(Table23[[#This Row],[!type]])&gt;0,IF(Table23[[#This Row],[!type]]=L$1,"1","rg:None"),"-")</f>
        <v>rg:None</v>
      </c>
      <c r="M30" s="4" t="str">
        <f>IF(LEN(Table23[[#This Row],[!type]])&gt;0,IF(Table23[[#This Row],[!type]]=M$1,"1","rg:None"),"-")</f>
        <v>rg:None</v>
      </c>
      <c r="N30" s="4" t="str">
        <f>IF(LEN(Table23[[#This Row],[!type]])&gt;0,IF(Table23[[#This Row],[!type]]=N$1,"1","rg:None"),"-")</f>
        <v>rg:None</v>
      </c>
      <c r="O30" s="4" t="str">
        <f>IF(LEN(Table23[[#This Row],[!type]])&gt;0,IF(Table23[[#This Row],[!type]]=O$1,"1","rg:None"),"-")</f>
        <v>rg:None</v>
      </c>
      <c r="P30" s="4" t="str">
        <f>IF(LEN(Table23[[#This Row],[!type]])&gt;0,IF(Table23[[#This Row],[!type]]=P$1,"1","rg:None"),"-")</f>
        <v>rg:None</v>
      </c>
      <c r="Q30" s="4" t="str">
        <f>IF(LEN(Table23[[#This Row],[!path]]) &gt;0,Table23[[#This Row],[!path]],"rg:None")</f>
        <v>districts</v>
      </c>
      <c r="R30" s="4" t="str">
        <f>IF(LEN(Table23[[#This Row],[!tag]]) &gt;0,Table23[[#This Row],[!tag]],"rg:None")</f>
        <v>District</v>
      </c>
      <c r="S30" s="4" t="str">
        <f>IF(LEN(Table23[[#This Row],[!paramDef]]) &gt;0,Table23[[#This Row],[!paramDef]],"rg:None")</f>
        <v>District</v>
      </c>
      <c r="T30" s="4" t="str">
        <f>IF(LEN(Table23[[#This Row],[!respDef]]) &gt;0,Table23[[#This Row],[!respDef]],"rg:None")</f>
        <v>rg:None</v>
      </c>
      <c r="U30" s="4" t="str">
        <f>IF(LEN(Table23[[#This Row],[!Description]]) &gt;0,Table23[[#This Row],[!Description]],"rg:None")</f>
        <v>rg:None</v>
      </c>
      <c r="V30" s="4" t="str">
        <f>IF(LEN(Table23[!permission]) &gt;0,Table23[!permission],"rg:None")</f>
        <v>ADMIN</v>
      </c>
    </row>
    <row r="31" spans="1:22" x14ac:dyDescent="0.3">
      <c r="A31" s="7" t="s">
        <v>72</v>
      </c>
      <c r="B31" s="10" t="s">
        <v>99</v>
      </c>
      <c r="C31" s="3" t="s">
        <v>10</v>
      </c>
      <c r="D31" s="45"/>
      <c r="E31" s="45"/>
      <c r="F31" s="3"/>
      <c r="G31" s="3"/>
      <c r="H31" s="8" t="str">
        <f t="shared" si="4"/>
        <v>Path</v>
      </c>
      <c r="I31" s="5" t="str">
        <f>IF(LEN(Table23[[#This Row],[!type]])&gt;0,IF(Table23[[#This Row],[!type]]=I$1,"1","rg:None"),"-")</f>
        <v>1</v>
      </c>
      <c r="J31" s="5" t="str">
        <f>IF(LEN(Table23[[#This Row],[!type]])&gt;0,IF(Table23[[#This Row],[!type]]=J$1,"1","rg:None"),"-")</f>
        <v>rg:None</v>
      </c>
      <c r="K31" s="5" t="str">
        <f>IF(LEN(Table23[[#This Row],[!type]])&gt;0,IF(Table23[[#This Row],[!type]]=K$1,"1","rg:None"),"-")</f>
        <v>rg:None</v>
      </c>
      <c r="L31" s="5" t="str">
        <f>IF(LEN(Table23[[#This Row],[!type]])&gt;0,IF(Table23[[#This Row],[!type]]=L$1,"1","rg:None"),"-")</f>
        <v>rg:None</v>
      </c>
      <c r="M31" s="5" t="str">
        <f>IF(LEN(Table23[[#This Row],[!type]])&gt;0,IF(Table23[[#This Row],[!type]]=M$1,"1","rg:None"),"-")</f>
        <v>rg:None</v>
      </c>
      <c r="N31" s="5" t="str">
        <f>IF(LEN(Table23[[#This Row],[!type]])&gt;0,IF(Table23[[#This Row],[!type]]=N$1,"1","rg:None"),"-")</f>
        <v>rg:None</v>
      </c>
      <c r="O31" s="5" t="str">
        <f>IF(LEN(Table23[[#This Row],[!type]])&gt;0,IF(Table23[[#This Row],[!type]]=O$1,"1","rg:None"),"-")</f>
        <v>rg:None</v>
      </c>
      <c r="P31" s="5" t="str">
        <f>IF(LEN(Table23[[#This Row],[!type]])&gt;0,IF(Table23[[#This Row],[!type]]=P$1,"1","rg:None"),"-")</f>
        <v>rg:None</v>
      </c>
      <c r="Q31" s="5" t="str">
        <f>IF(LEN(Table23[[#This Row],[!path]]) &gt;0,Table23[[#This Row],[!path]],"rg:None")</f>
        <v>serviceareas</v>
      </c>
      <c r="R31" s="5" t="str">
        <f>IF(LEN(Table23[[#This Row],[!tag]]) &gt;0,Table23[[#This Row],[!tag]],"rg:None")</f>
        <v>ServiceArea</v>
      </c>
      <c r="S31" s="5" t="str">
        <f>IF(LEN(Table23[[#This Row],[!paramDef]]) &gt;0,Table23[[#This Row],[!paramDef]],"rg:None")</f>
        <v>rg:None</v>
      </c>
      <c r="T31" s="5" t="str">
        <f>IF(LEN(Table23[[#This Row],[!respDef]]) &gt;0,Table23[[#This Row],[!respDef]],"rg:None")</f>
        <v>rg:None</v>
      </c>
      <c r="U31" s="5" t="str">
        <f>IF(LEN(Table23[[#This Row],[!Description]]) &gt;0,Table23[[#This Row],[!Description]],"rg:None")</f>
        <v>rg:None</v>
      </c>
      <c r="V31" s="4" t="str">
        <f>IF(LEN(Table23[!permission]) &gt;0,Table23[!permission],"rg:None")</f>
        <v>rg:None</v>
      </c>
    </row>
    <row r="32" spans="1:22" x14ac:dyDescent="0.3">
      <c r="A32" s="42" t="s">
        <v>74</v>
      </c>
      <c r="B32" s="42" t="s">
        <v>99</v>
      </c>
      <c r="C32" s="43" t="s">
        <v>10</v>
      </c>
      <c r="D32" s="44" t="s">
        <v>10</v>
      </c>
      <c r="E32" s="45" t="s">
        <v>580</v>
      </c>
      <c r="F32" s="12"/>
      <c r="G32" s="13"/>
      <c r="H32" s="14" t="str">
        <f>IF(LEN(A32) &gt;0,"Path","-")</f>
        <v>Path</v>
      </c>
      <c r="I32" s="4" t="str">
        <f>IF(LEN(Table23[[#This Row],[!type]])&gt;0,IF(Table23[[#This Row],[!type]]=I$1,"1","rg:None"),"-")</f>
        <v>rg:None</v>
      </c>
      <c r="J32" s="4" t="str">
        <f>IF(LEN(Table23[[#This Row],[!type]])&gt;0,IF(Table23[[#This Row],[!type]]=J$1,"1","rg:None"),"-")</f>
        <v>rg:None</v>
      </c>
      <c r="K32" s="4" t="str">
        <f>IF(LEN(Table23[[#This Row],[!type]])&gt;0,IF(Table23[[#This Row],[!type]]=K$1,"1","rg:None"),"-")</f>
        <v>1</v>
      </c>
      <c r="L32" s="4" t="str">
        <f>IF(LEN(Table23[[#This Row],[!type]])&gt;0,IF(Table23[[#This Row],[!type]]=L$1,"1","rg:None"),"-")</f>
        <v>rg:None</v>
      </c>
      <c r="M32" s="4" t="str">
        <f>IF(LEN(Table23[[#This Row],[!type]])&gt;0,IF(Table23[[#This Row],[!type]]=M$1,"1","rg:None"),"-")</f>
        <v>rg:None</v>
      </c>
      <c r="N32" s="4" t="str">
        <f>IF(LEN(Table23[[#This Row],[!type]])&gt;0,IF(Table23[[#This Row],[!type]]=N$1,"1","rg:None"),"-")</f>
        <v>rg:None</v>
      </c>
      <c r="O32" s="4" t="str">
        <f>IF(LEN(Table23[[#This Row],[!type]])&gt;0,IF(Table23[[#This Row],[!type]]=O$1,"1","rg:None"),"-")</f>
        <v>rg:None</v>
      </c>
      <c r="P32" s="4" t="str">
        <f>IF(LEN(Table23[[#This Row],[!type]])&gt;0,IF(Table23[[#This Row],[!type]]=P$1,"1","rg:None"),"-")</f>
        <v>rg:None</v>
      </c>
      <c r="Q32" s="4" t="str">
        <f>IF(LEN(Table23[[#This Row],[!path]]) &gt;0,Table23[[#This Row],[!path]],"rg:None")</f>
        <v>serviceareas</v>
      </c>
      <c r="R32" s="4" t="str">
        <f>IF(LEN(Table23[[#This Row],[!tag]]) &gt;0,Table23[[#This Row],[!tag]],"rg:None")</f>
        <v>ServiceArea</v>
      </c>
      <c r="S32" s="4" t="str">
        <f>IF(LEN(Table23[[#This Row],[!paramDef]]) &gt;0,Table23[[#This Row],[!paramDef]],"rg:None")</f>
        <v>ServiceArea</v>
      </c>
      <c r="T32" s="4" t="str">
        <f>IF(LEN(Table23[[#This Row],[!respDef]]) &gt;0,Table23[[#This Row],[!respDef]],"rg:None")</f>
        <v>rg:None</v>
      </c>
      <c r="U32" s="4" t="str">
        <f>IF(LEN(Table23[[#This Row],[!Description]]) &gt;0,Table23[[#This Row],[!Description]],"rg:None")</f>
        <v>rg:None</v>
      </c>
      <c r="V32" s="4" t="str">
        <f>IF(LEN(Table23[!permission]) &gt;0,Table23[!permission],"rg:None")</f>
        <v>ADMIN</v>
      </c>
    </row>
    <row r="33" spans="1:22" x14ac:dyDescent="0.3">
      <c r="A33" s="7" t="s">
        <v>72</v>
      </c>
      <c r="B33" s="10" t="s">
        <v>100</v>
      </c>
      <c r="C33" s="3" t="s">
        <v>11</v>
      </c>
      <c r="D33" s="45"/>
      <c r="E33" s="45"/>
      <c r="F33" s="3"/>
      <c r="G33" s="3"/>
      <c r="H33" s="8" t="str">
        <f t="shared" si="4"/>
        <v>Path</v>
      </c>
      <c r="I33" s="5" t="str">
        <f>IF(LEN(Table23[[#This Row],[!type]])&gt;0,IF(Table23[[#This Row],[!type]]=I$1,"1","rg:None"),"-")</f>
        <v>1</v>
      </c>
      <c r="J33" s="5" t="str">
        <f>IF(LEN(Table23[[#This Row],[!type]])&gt;0,IF(Table23[[#This Row],[!type]]=J$1,"1","rg:None"),"-")</f>
        <v>rg:None</v>
      </c>
      <c r="K33" s="5" t="str">
        <f>IF(LEN(Table23[[#This Row],[!type]])&gt;0,IF(Table23[[#This Row],[!type]]=K$1,"1","rg:None"),"-")</f>
        <v>rg:None</v>
      </c>
      <c r="L33" s="5" t="str">
        <f>IF(LEN(Table23[[#This Row],[!type]])&gt;0,IF(Table23[[#This Row],[!type]]=L$1,"1","rg:None"),"-")</f>
        <v>rg:None</v>
      </c>
      <c r="M33" s="5" t="str">
        <f>IF(LEN(Table23[[#This Row],[!type]])&gt;0,IF(Table23[[#This Row],[!type]]=M$1,"1","rg:None"),"-")</f>
        <v>rg:None</v>
      </c>
      <c r="N33" s="5" t="str">
        <f>IF(LEN(Table23[[#This Row],[!type]])&gt;0,IF(Table23[[#This Row],[!type]]=N$1,"1","rg:None"),"-")</f>
        <v>rg:None</v>
      </c>
      <c r="O33" s="5" t="str">
        <f>IF(LEN(Table23[[#This Row],[!type]])&gt;0,IF(Table23[[#This Row],[!type]]=O$1,"1","rg:None"),"-")</f>
        <v>rg:None</v>
      </c>
      <c r="P33" s="5" t="str">
        <f>IF(LEN(Table23[[#This Row],[!type]])&gt;0,IF(Table23[[#This Row],[!type]]=P$1,"1","rg:None"),"-")</f>
        <v>rg:None</v>
      </c>
      <c r="Q33" s="5" t="str">
        <f>IF(LEN(Table23[[#This Row],[!path]]) &gt;0,Table23[[#This Row],[!path]],"rg:None")</f>
        <v>cities</v>
      </c>
      <c r="R33" s="5" t="str">
        <f>IF(LEN(Table23[[#This Row],[!tag]]) &gt;0,Table23[[#This Row],[!tag]],"rg:None")</f>
        <v>City</v>
      </c>
      <c r="S33" s="5" t="str">
        <f>IF(LEN(Table23[[#This Row],[!paramDef]]) &gt;0,Table23[[#This Row],[!paramDef]],"rg:None")</f>
        <v>rg:None</v>
      </c>
      <c r="T33" s="5" t="str">
        <f>IF(LEN(Table23[[#This Row],[!respDef]]) &gt;0,Table23[[#This Row],[!respDef]],"rg:None")</f>
        <v>rg:None</v>
      </c>
      <c r="U33" s="5" t="str">
        <f>IF(LEN(Table23[[#This Row],[!Description]]) &gt;0,Table23[[#This Row],[!Description]],"rg:None")</f>
        <v>rg:None</v>
      </c>
      <c r="V33" s="4" t="str">
        <f>IF(LEN(Table23[!permission]) &gt;0,Table23[!permission],"rg:None")</f>
        <v>rg:None</v>
      </c>
    </row>
    <row r="34" spans="1:22" x14ac:dyDescent="0.3">
      <c r="A34" s="42" t="s">
        <v>74</v>
      </c>
      <c r="B34" s="42" t="s">
        <v>100</v>
      </c>
      <c r="C34" s="43" t="s">
        <v>11</v>
      </c>
      <c r="D34" s="44" t="s">
        <v>11</v>
      </c>
      <c r="E34" s="44" t="s">
        <v>580</v>
      </c>
      <c r="F34" s="12"/>
      <c r="G34" s="13"/>
      <c r="H34" s="14" t="str">
        <f>IF(LEN(A34) &gt;0,"Path","-")</f>
        <v>Path</v>
      </c>
      <c r="I34" s="4" t="str">
        <f>IF(LEN(Table23[[#This Row],[!type]])&gt;0,IF(Table23[[#This Row],[!type]]=I$1,"1","rg:None"),"-")</f>
        <v>rg:None</v>
      </c>
      <c r="J34" s="4" t="str">
        <f>IF(LEN(Table23[[#This Row],[!type]])&gt;0,IF(Table23[[#This Row],[!type]]=J$1,"1","rg:None"),"-")</f>
        <v>rg:None</v>
      </c>
      <c r="K34" s="4" t="str">
        <f>IF(LEN(Table23[[#This Row],[!type]])&gt;0,IF(Table23[[#This Row],[!type]]=K$1,"1","rg:None"),"-")</f>
        <v>1</v>
      </c>
      <c r="L34" s="4" t="str">
        <f>IF(LEN(Table23[[#This Row],[!type]])&gt;0,IF(Table23[[#This Row],[!type]]=L$1,"1","rg:None"),"-")</f>
        <v>rg:None</v>
      </c>
      <c r="M34" s="4" t="str">
        <f>IF(LEN(Table23[[#This Row],[!type]])&gt;0,IF(Table23[[#This Row],[!type]]=M$1,"1","rg:None"),"-")</f>
        <v>rg:None</v>
      </c>
      <c r="N34" s="4" t="str">
        <f>IF(LEN(Table23[[#This Row],[!type]])&gt;0,IF(Table23[[#This Row],[!type]]=N$1,"1","rg:None"),"-")</f>
        <v>rg:None</v>
      </c>
      <c r="O34" s="4" t="str">
        <f>IF(LEN(Table23[[#This Row],[!type]])&gt;0,IF(Table23[[#This Row],[!type]]=O$1,"1","rg:None"),"-")</f>
        <v>rg:None</v>
      </c>
      <c r="P34" s="4" t="str">
        <f>IF(LEN(Table23[[#This Row],[!type]])&gt;0,IF(Table23[[#This Row],[!type]]=P$1,"1","rg:None"),"-")</f>
        <v>rg:None</v>
      </c>
      <c r="Q34" s="4" t="str">
        <f>IF(LEN(Table23[[#This Row],[!path]]) &gt;0,Table23[[#This Row],[!path]],"rg:None")</f>
        <v>cities</v>
      </c>
      <c r="R34" s="4" t="str">
        <f>IF(LEN(Table23[[#This Row],[!tag]]) &gt;0,Table23[[#This Row],[!tag]],"rg:None")</f>
        <v>City</v>
      </c>
      <c r="S34" s="4" t="str">
        <f>IF(LEN(Table23[[#This Row],[!paramDef]]) &gt;0,Table23[[#This Row],[!paramDef]],"rg:None")</f>
        <v>City</v>
      </c>
      <c r="T34" s="4" t="str">
        <f>IF(LEN(Table23[[#This Row],[!respDef]]) &gt;0,Table23[[#This Row],[!respDef]],"rg:None")</f>
        <v>rg:None</v>
      </c>
      <c r="U34" s="4" t="str">
        <f>IF(LEN(Table23[[#This Row],[!Description]]) &gt;0,Table23[[#This Row],[!Description]],"rg:None")</f>
        <v>rg:None</v>
      </c>
      <c r="V34" s="4" t="str">
        <f>IF(LEN(Table23[!permission]) &gt;0,Table23[!permission],"rg:None")</f>
        <v>ADMIN</v>
      </c>
    </row>
    <row r="35" spans="1:22" x14ac:dyDescent="0.3">
      <c r="A35" s="29" t="s">
        <v>72</v>
      </c>
      <c r="B35" s="29" t="s">
        <v>202</v>
      </c>
      <c r="C35" s="30" t="s">
        <v>148</v>
      </c>
      <c r="D35" s="44"/>
      <c r="E35" s="44"/>
      <c r="F35" s="12"/>
      <c r="G35" s="13"/>
      <c r="H35" s="14" t="str">
        <f t="shared" si="4"/>
        <v>Path</v>
      </c>
      <c r="I35" s="4" t="str">
        <f>IF(LEN(Table23[[#This Row],[!type]])&gt;0,IF(Table23[[#This Row],[!type]]=I$1,"1","rg:None"),"-")</f>
        <v>1</v>
      </c>
      <c r="J35" s="4" t="str">
        <f>IF(LEN(Table23[[#This Row],[!type]])&gt;0,IF(Table23[[#This Row],[!type]]=J$1,"1","rg:None"),"-")</f>
        <v>rg:None</v>
      </c>
      <c r="K35" s="4" t="str">
        <f>IF(LEN(Table23[[#This Row],[!type]])&gt;0,IF(Table23[[#This Row],[!type]]=K$1,"1","rg:None"),"-")</f>
        <v>rg:None</v>
      </c>
      <c r="L35" s="4" t="str">
        <f>IF(LEN(Table23[[#This Row],[!type]])&gt;0,IF(Table23[[#This Row],[!type]]=L$1,"1","rg:None"),"-")</f>
        <v>rg:None</v>
      </c>
      <c r="M35" s="4" t="str">
        <f>IF(LEN(Table23[[#This Row],[!type]])&gt;0,IF(Table23[[#This Row],[!type]]=M$1,"1","rg:None"),"-")</f>
        <v>rg:None</v>
      </c>
      <c r="N35" s="4" t="str">
        <f>IF(LEN(Table23[[#This Row],[!type]])&gt;0,IF(Table23[[#This Row],[!type]]=N$1,"1","rg:None"),"-")</f>
        <v>rg:None</v>
      </c>
      <c r="O35" s="4" t="str">
        <f>IF(LEN(Table23[[#This Row],[!type]])&gt;0,IF(Table23[[#This Row],[!type]]=O$1,"1","rg:None"),"-")</f>
        <v>rg:None</v>
      </c>
      <c r="P35" s="4" t="str">
        <f>IF(LEN(Table23[[#This Row],[!type]])&gt;0,IF(Table23[[#This Row],[!type]]=P$1,"1","rg:None"),"-")</f>
        <v>rg:None</v>
      </c>
      <c r="Q35" s="4" t="str">
        <f>IF(LEN(Table23[[#This Row],[!path]]) &gt;0,Table23[[#This Row],[!path]],"rg:None")</f>
        <v>localAreas</v>
      </c>
      <c r="R35" s="4" t="str">
        <f>IF(LEN(Table23[[#This Row],[!tag]]) &gt;0,Table23[[#This Row],[!tag]],"rg:None")</f>
        <v>LocalArea</v>
      </c>
      <c r="S35" s="4" t="str">
        <f>IF(LEN(Table23[[#This Row],[!paramDef]]) &gt;0,Table23[[#This Row],[!paramDef]],"rg:None")</f>
        <v>rg:None</v>
      </c>
      <c r="T35" s="4" t="str">
        <f>IF(LEN(Table23[[#This Row],[!respDef]]) &gt;0,Table23[[#This Row],[!respDef]],"rg:None")</f>
        <v>rg:None</v>
      </c>
      <c r="U35" s="4" t="str">
        <f>IF(LEN(Table23[[#This Row],[!Description]]) &gt;0,Table23[[#This Row],[!Description]],"rg:None")</f>
        <v>rg:None</v>
      </c>
      <c r="V35" s="4" t="str">
        <f>IF(LEN(Table23[!permission]) &gt;0,Table23[!permission],"rg:None")</f>
        <v>rg:None</v>
      </c>
    </row>
    <row r="36" spans="1:22" x14ac:dyDescent="0.3">
      <c r="A36" s="42" t="s">
        <v>74</v>
      </c>
      <c r="B36" s="42" t="s">
        <v>202</v>
      </c>
      <c r="C36" s="43" t="s">
        <v>148</v>
      </c>
      <c r="D36" s="44" t="s">
        <v>148</v>
      </c>
      <c r="E36" s="44" t="s">
        <v>580</v>
      </c>
      <c r="F36" s="12"/>
      <c r="G36" s="13"/>
      <c r="H36" s="14" t="str">
        <f>IF(LEN(A36) &gt;0,"Path","-")</f>
        <v>Path</v>
      </c>
      <c r="I36" s="4" t="str">
        <f>IF(LEN(Table23[[#This Row],[!type]])&gt;0,IF(Table23[[#This Row],[!type]]=I$1,"1","rg:None"),"-")</f>
        <v>rg:None</v>
      </c>
      <c r="J36" s="4" t="str">
        <f>IF(LEN(Table23[[#This Row],[!type]])&gt;0,IF(Table23[[#This Row],[!type]]=J$1,"1","rg:None"),"-")</f>
        <v>rg:None</v>
      </c>
      <c r="K36" s="4" t="str">
        <f>IF(LEN(Table23[[#This Row],[!type]])&gt;0,IF(Table23[[#This Row],[!type]]=K$1,"1","rg:None"),"-")</f>
        <v>1</v>
      </c>
      <c r="L36" s="4" t="str">
        <f>IF(LEN(Table23[[#This Row],[!type]])&gt;0,IF(Table23[[#This Row],[!type]]=L$1,"1","rg:None"),"-")</f>
        <v>rg:None</v>
      </c>
      <c r="M36" s="4" t="str">
        <f>IF(LEN(Table23[[#This Row],[!type]])&gt;0,IF(Table23[[#This Row],[!type]]=M$1,"1","rg:None"),"-")</f>
        <v>rg:None</v>
      </c>
      <c r="N36" s="4" t="str">
        <f>IF(LEN(Table23[[#This Row],[!type]])&gt;0,IF(Table23[[#This Row],[!type]]=N$1,"1","rg:None"),"-")</f>
        <v>rg:None</v>
      </c>
      <c r="O36" s="4" t="str">
        <f>IF(LEN(Table23[[#This Row],[!type]])&gt;0,IF(Table23[[#This Row],[!type]]=O$1,"1","rg:None"),"-")</f>
        <v>rg:None</v>
      </c>
      <c r="P36" s="4" t="str">
        <f>IF(LEN(Table23[[#This Row],[!type]])&gt;0,IF(Table23[[#This Row],[!type]]=P$1,"1","rg:None"),"-")</f>
        <v>rg:None</v>
      </c>
      <c r="Q36" s="4" t="str">
        <f>IF(LEN(Table23[[#This Row],[!path]]) &gt;0,Table23[[#This Row],[!path]],"rg:None")</f>
        <v>localAreas</v>
      </c>
      <c r="R36" s="4" t="str">
        <f>IF(LEN(Table23[[#This Row],[!tag]]) &gt;0,Table23[[#This Row],[!tag]],"rg:None")</f>
        <v>LocalArea</v>
      </c>
      <c r="S36" s="4" t="str">
        <f>IF(LEN(Table23[[#This Row],[!paramDef]]) &gt;0,Table23[[#This Row],[!paramDef]],"rg:None")</f>
        <v>LocalArea</v>
      </c>
      <c r="T36" s="4" t="str">
        <f>IF(LEN(Table23[[#This Row],[!respDef]]) &gt;0,Table23[[#This Row],[!respDef]],"rg:None")</f>
        <v>rg:None</v>
      </c>
      <c r="U36" s="4" t="str">
        <f>IF(LEN(Table23[[#This Row],[!Description]]) &gt;0,Table23[[#This Row],[!Description]],"rg:None")</f>
        <v>rg:None</v>
      </c>
      <c r="V36" s="4" t="str">
        <f>IF(LEN(Table23[!permission]) &gt;0,Table23[!permission],"rg:None")</f>
        <v>ADMIN</v>
      </c>
    </row>
    <row r="37" spans="1:22" x14ac:dyDescent="0.3">
      <c r="A37" s="35" t="s">
        <v>72</v>
      </c>
      <c r="B37" s="35" t="s">
        <v>173</v>
      </c>
      <c r="C37" s="17" t="s">
        <v>169</v>
      </c>
      <c r="D37" s="36"/>
      <c r="E37" s="36"/>
      <c r="F37" s="12"/>
      <c r="G37" s="13"/>
      <c r="H37" s="14" t="str">
        <f t="shared" si="4"/>
        <v>Path</v>
      </c>
      <c r="I37" s="4" t="str">
        <f>IF(LEN(Table23[[#This Row],[!type]])&gt;0,IF(Table23[[#This Row],[!type]]=I$1,"1","rg:None"),"-")</f>
        <v>1</v>
      </c>
      <c r="J37" s="4" t="str">
        <f>IF(LEN(Table23[[#This Row],[!type]])&gt;0,IF(Table23[[#This Row],[!type]]=J$1,"1","rg:None"),"-")</f>
        <v>rg:None</v>
      </c>
      <c r="K37" s="4" t="str">
        <f>IF(LEN(Table23[[#This Row],[!type]])&gt;0,IF(Table23[[#This Row],[!type]]=K$1,"1","rg:None"),"-")</f>
        <v>rg:None</v>
      </c>
      <c r="L37" s="4" t="str">
        <f>IF(LEN(Table23[[#This Row],[!type]])&gt;0,IF(Table23[[#This Row],[!type]]=L$1,"1","rg:None"),"-")</f>
        <v>rg:None</v>
      </c>
      <c r="M37" s="4" t="str">
        <f>IF(LEN(Table23[[#This Row],[!type]])&gt;0,IF(Table23[[#This Row],[!type]]=M$1,"1","rg:None"),"-")</f>
        <v>rg:None</v>
      </c>
      <c r="N37" s="4" t="str">
        <f>IF(LEN(Table23[[#This Row],[!type]])&gt;0,IF(Table23[[#This Row],[!type]]=N$1,"1","rg:None"),"-")</f>
        <v>rg:None</v>
      </c>
      <c r="O37" s="4" t="str">
        <f>IF(LEN(Table23[[#This Row],[!type]])&gt;0,IF(Table23[[#This Row],[!type]]=O$1,"1","rg:None"),"-")</f>
        <v>rg:None</v>
      </c>
      <c r="P37" s="4" t="str">
        <f>IF(LEN(Table23[[#This Row],[!type]])&gt;0,IF(Table23[[#This Row],[!type]]=P$1,"1","rg:None"),"-")</f>
        <v>rg:None</v>
      </c>
      <c r="Q37" s="4" t="str">
        <f>IF(LEN(Table23[[#This Row],[!path]]) &gt;0,Table23[[#This Row],[!path]],"rg:None")</f>
        <v>contacts</v>
      </c>
      <c r="R37" s="4" t="str">
        <f>IF(LEN(Table23[[#This Row],[!tag]]) &gt;0,Table23[[#This Row],[!tag]],"rg:None")</f>
        <v>Contact</v>
      </c>
      <c r="S37" s="4" t="str">
        <f>IF(LEN(Table23[[#This Row],[!paramDef]]) &gt;0,Table23[[#This Row],[!paramDef]],"rg:None")</f>
        <v>rg:None</v>
      </c>
      <c r="T37" s="4" t="str">
        <f>IF(LEN(Table23[[#This Row],[!respDef]]) &gt;0,Table23[[#This Row],[!respDef]],"rg:None")</f>
        <v>rg:None</v>
      </c>
      <c r="U37" s="4" t="str">
        <f>IF(LEN(Table23[[#This Row],[!Description]]) &gt;0,Table23[[#This Row],[!Description]],"rg:None")</f>
        <v>rg:None</v>
      </c>
      <c r="V37" s="4" t="str">
        <f>IF(LEN(Table23[!permission]) &gt;0,Table23[!permission],"rg:None")</f>
        <v>rg:None</v>
      </c>
    </row>
    <row r="38" spans="1:22" x14ac:dyDescent="0.3">
      <c r="A38" s="35" t="s">
        <v>74</v>
      </c>
      <c r="B38" s="35" t="s">
        <v>173</v>
      </c>
      <c r="C38" s="17" t="s">
        <v>169</v>
      </c>
      <c r="D38" s="36" t="s">
        <v>169</v>
      </c>
      <c r="E38" s="44" t="s">
        <v>580</v>
      </c>
      <c r="F38" s="12"/>
      <c r="G38" s="13"/>
      <c r="H38" s="14" t="str">
        <f t="shared" si="4"/>
        <v>Path</v>
      </c>
      <c r="I38" s="4" t="str">
        <f>IF(LEN(Table23[[#This Row],[!type]])&gt;0,IF(Table23[[#This Row],[!type]]=I$1,"1","rg:None"),"-")</f>
        <v>rg:None</v>
      </c>
      <c r="J38" s="4" t="str">
        <f>IF(LEN(Table23[[#This Row],[!type]])&gt;0,IF(Table23[[#This Row],[!type]]=J$1,"1","rg:None"),"-")</f>
        <v>rg:None</v>
      </c>
      <c r="K38" s="4" t="str">
        <f>IF(LEN(Table23[[#This Row],[!type]])&gt;0,IF(Table23[[#This Row],[!type]]=K$1,"1","rg:None"),"-")</f>
        <v>1</v>
      </c>
      <c r="L38" s="4" t="str">
        <f>IF(LEN(Table23[[#This Row],[!type]])&gt;0,IF(Table23[[#This Row],[!type]]=L$1,"1","rg:None"),"-")</f>
        <v>rg:None</v>
      </c>
      <c r="M38" s="4" t="str">
        <f>IF(LEN(Table23[[#This Row],[!type]])&gt;0,IF(Table23[[#This Row],[!type]]=M$1,"1","rg:None"),"-")</f>
        <v>rg:None</v>
      </c>
      <c r="N38" s="4" t="str">
        <f>IF(LEN(Table23[[#This Row],[!type]])&gt;0,IF(Table23[[#This Row],[!type]]=N$1,"1","rg:None"),"-")</f>
        <v>rg:None</v>
      </c>
      <c r="O38" s="4" t="str">
        <f>IF(LEN(Table23[[#This Row],[!type]])&gt;0,IF(Table23[[#This Row],[!type]]=O$1,"1","rg:None"),"-")</f>
        <v>rg:None</v>
      </c>
      <c r="P38" s="4" t="str">
        <f>IF(LEN(Table23[[#This Row],[!type]])&gt;0,IF(Table23[[#This Row],[!type]]=P$1,"1","rg:None"),"-")</f>
        <v>rg:None</v>
      </c>
      <c r="Q38" s="4" t="str">
        <f>IF(LEN(Table23[[#This Row],[!path]]) &gt;0,Table23[[#This Row],[!path]],"rg:None")</f>
        <v>contacts</v>
      </c>
      <c r="R38" s="4" t="str">
        <f>IF(LEN(Table23[[#This Row],[!tag]]) &gt;0,Table23[[#This Row],[!tag]],"rg:None")</f>
        <v>Contact</v>
      </c>
      <c r="S38" s="4" t="str">
        <f>IF(LEN(Table23[[#This Row],[!paramDef]]) &gt;0,Table23[[#This Row],[!paramDef]],"rg:None")</f>
        <v>Contact</v>
      </c>
      <c r="T38" s="4" t="str">
        <f>IF(LEN(Table23[[#This Row],[!respDef]]) &gt;0,Table23[[#This Row],[!respDef]],"rg:None")</f>
        <v>rg:None</v>
      </c>
      <c r="U38" s="4" t="str">
        <f>IF(LEN(Table23[[#This Row],[!Description]]) &gt;0,Table23[[#This Row],[!Description]],"rg:None")</f>
        <v>rg:None</v>
      </c>
      <c r="V38" s="4" t="str">
        <f>IF(LEN(Table23[!permission]) &gt;0,Table23[!permission],"rg:None")</f>
        <v>ADMIN</v>
      </c>
    </row>
    <row r="39" spans="1:22" x14ac:dyDescent="0.3">
      <c r="A39" s="35" t="s">
        <v>72</v>
      </c>
      <c r="B39" s="35" t="s">
        <v>207</v>
      </c>
      <c r="C39" s="37" t="s">
        <v>106</v>
      </c>
      <c r="D39" s="36"/>
      <c r="E39" s="36"/>
      <c r="F39" s="12"/>
      <c r="G39" s="13"/>
      <c r="H39" s="14" t="str">
        <f t="shared" si="4"/>
        <v>Path</v>
      </c>
      <c r="I39" s="4" t="str">
        <f>IF(LEN(Table23[[#This Row],[!type]])&gt;0,IF(Table23[[#This Row],[!type]]=I$1,"1","rg:None"),"-")</f>
        <v>1</v>
      </c>
      <c r="J39" s="4" t="str">
        <f>IF(LEN(Table23[[#This Row],[!type]])&gt;0,IF(Table23[[#This Row],[!type]]=J$1,"1","rg:None"),"-")</f>
        <v>rg:None</v>
      </c>
      <c r="K39" s="4" t="str">
        <f>IF(LEN(Table23[[#This Row],[!type]])&gt;0,IF(Table23[[#This Row],[!type]]=K$1,"1","rg:None"),"-")</f>
        <v>rg:None</v>
      </c>
      <c r="L39" s="4" t="str">
        <f>IF(LEN(Table23[[#This Row],[!type]])&gt;0,IF(Table23[[#This Row],[!type]]=L$1,"1","rg:None"),"-")</f>
        <v>rg:None</v>
      </c>
      <c r="M39" s="4" t="str">
        <f>IF(LEN(Table23[[#This Row],[!type]])&gt;0,IF(Table23[[#This Row],[!type]]=M$1,"1","rg:None"),"-")</f>
        <v>rg:None</v>
      </c>
      <c r="N39" s="4" t="str">
        <f>IF(LEN(Table23[[#This Row],[!type]])&gt;0,IF(Table23[[#This Row],[!type]]=N$1,"1","rg:None"),"-")</f>
        <v>rg:None</v>
      </c>
      <c r="O39" s="4" t="str">
        <f>IF(LEN(Table23[[#This Row],[!type]])&gt;0,IF(Table23[[#This Row],[!type]]=O$1,"1","rg:None"),"-")</f>
        <v>rg:None</v>
      </c>
      <c r="P39" s="4" t="str">
        <f>IF(LEN(Table23[[#This Row],[!type]])&gt;0,IF(Table23[[#This Row],[!type]]=P$1,"1","rg:None"),"-")</f>
        <v>rg:None</v>
      </c>
      <c r="Q39" s="4" t="str">
        <f>IF(LEN(Table23[[#This Row],[!path]]) &gt;0,Table23[[#This Row],[!path]],"rg:None")</f>
        <v>dumptrucks</v>
      </c>
      <c r="R39" s="4" t="str">
        <f>IF(LEN(Table23[[#This Row],[!tag]]) &gt;0,Table23[[#This Row],[!tag]],"rg:None")</f>
        <v>DumpTruck</v>
      </c>
      <c r="S39" s="4" t="str">
        <f>IF(LEN(Table23[[#This Row],[!paramDef]]) &gt;0,Table23[[#This Row],[!paramDef]],"rg:None")</f>
        <v>rg:None</v>
      </c>
      <c r="T39" s="4" t="str">
        <f>IF(LEN(Table23[[#This Row],[!respDef]]) &gt;0,Table23[[#This Row],[!respDef]],"rg:None")</f>
        <v>rg:None</v>
      </c>
      <c r="U39" s="4" t="str">
        <f>IF(LEN(Table23[[#This Row],[!Description]]) &gt;0,Table23[[#This Row],[!Description]],"rg:None")</f>
        <v>rg:None</v>
      </c>
      <c r="V39" s="4" t="str">
        <f>IF(LEN(Table23[!permission]) &gt;0,Table23[!permission],"rg:None")</f>
        <v>rg:None</v>
      </c>
    </row>
    <row r="40" spans="1:22" x14ac:dyDescent="0.3">
      <c r="A40" s="35" t="s">
        <v>74</v>
      </c>
      <c r="B40" s="35" t="s">
        <v>207</v>
      </c>
      <c r="C40" s="37" t="s">
        <v>106</v>
      </c>
      <c r="D40" s="36" t="s">
        <v>106</v>
      </c>
      <c r="E40" s="45" t="s">
        <v>580</v>
      </c>
      <c r="F40" s="12"/>
      <c r="G40" s="13"/>
      <c r="H40" s="14" t="str">
        <f t="shared" si="4"/>
        <v>Path</v>
      </c>
      <c r="I40" s="4" t="str">
        <f>IF(LEN(Table23[[#This Row],[!type]])&gt;0,IF(Table23[[#This Row],[!type]]=I$1,"1","rg:None"),"-")</f>
        <v>rg:None</v>
      </c>
      <c r="J40" s="4" t="str">
        <f>IF(LEN(Table23[[#This Row],[!type]])&gt;0,IF(Table23[[#This Row],[!type]]=J$1,"1","rg:None"),"-")</f>
        <v>rg:None</v>
      </c>
      <c r="K40" s="4" t="str">
        <f>IF(LEN(Table23[[#This Row],[!type]])&gt;0,IF(Table23[[#This Row],[!type]]=K$1,"1","rg:None"),"-")</f>
        <v>1</v>
      </c>
      <c r="L40" s="4" t="str">
        <f>IF(LEN(Table23[[#This Row],[!type]])&gt;0,IF(Table23[[#This Row],[!type]]=L$1,"1","rg:None"),"-")</f>
        <v>rg:None</v>
      </c>
      <c r="M40" s="4" t="str">
        <f>IF(LEN(Table23[[#This Row],[!type]])&gt;0,IF(Table23[[#This Row],[!type]]=M$1,"1","rg:None"),"-")</f>
        <v>rg:None</v>
      </c>
      <c r="N40" s="4" t="str">
        <f>IF(LEN(Table23[[#This Row],[!type]])&gt;0,IF(Table23[[#This Row],[!type]]=N$1,"1","rg:None"),"-")</f>
        <v>rg:None</v>
      </c>
      <c r="O40" s="4" t="str">
        <f>IF(LEN(Table23[[#This Row],[!type]])&gt;0,IF(Table23[[#This Row],[!type]]=O$1,"1","rg:None"),"-")</f>
        <v>rg:None</v>
      </c>
      <c r="P40" s="4" t="str">
        <f>IF(LEN(Table23[[#This Row],[!type]])&gt;0,IF(Table23[[#This Row],[!type]]=P$1,"1","rg:None"),"-")</f>
        <v>rg:None</v>
      </c>
      <c r="Q40" s="4" t="str">
        <f>IF(LEN(Table23[[#This Row],[!path]]) &gt;0,Table23[[#This Row],[!path]],"rg:None")</f>
        <v>dumptrucks</v>
      </c>
      <c r="R40" s="4" t="str">
        <f>IF(LEN(Table23[[#This Row],[!tag]]) &gt;0,Table23[[#This Row],[!tag]],"rg:None")</f>
        <v>DumpTruck</v>
      </c>
      <c r="S40" s="4" t="str">
        <f>IF(LEN(Table23[[#This Row],[!paramDef]]) &gt;0,Table23[[#This Row],[!paramDef]],"rg:None")</f>
        <v>DumpTruck</v>
      </c>
      <c r="T40" s="4" t="str">
        <f>IF(LEN(Table23[[#This Row],[!respDef]]) &gt;0,Table23[[#This Row],[!respDef]],"rg:None")</f>
        <v>rg:None</v>
      </c>
      <c r="U40" s="4" t="str">
        <f>IF(LEN(Table23[[#This Row],[!Description]]) &gt;0,Table23[[#This Row],[!Description]],"rg:None")</f>
        <v>rg:None</v>
      </c>
      <c r="V40" s="4" t="str">
        <f>IF(LEN(Table23[!permission]) &gt;0,Table23[!permission],"rg:None")</f>
        <v>ADMIN</v>
      </c>
    </row>
    <row r="41" spans="1:22" x14ac:dyDescent="0.3">
      <c r="A41" s="35" t="s">
        <v>72</v>
      </c>
      <c r="B41" s="35" t="s">
        <v>161</v>
      </c>
      <c r="C41" s="37" t="s">
        <v>143</v>
      </c>
      <c r="D41" s="36"/>
      <c r="E41" s="45"/>
      <c r="F41" s="12"/>
      <c r="G41" s="13"/>
      <c r="H41" s="14" t="str">
        <f t="shared" si="4"/>
        <v>Path</v>
      </c>
      <c r="I41" s="4" t="str">
        <f>IF(LEN(Table23[[#This Row],[!type]])&gt;0,IF(Table23[[#This Row],[!type]]=I$1,"1","rg:None"),"-")</f>
        <v>1</v>
      </c>
      <c r="J41" s="4" t="str">
        <f>IF(LEN(Table23[[#This Row],[!type]])&gt;0,IF(Table23[[#This Row],[!type]]=J$1,"1","rg:None"),"-")</f>
        <v>rg:None</v>
      </c>
      <c r="K41" s="4" t="str">
        <f>IF(LEN(Table23[[#This Row],[!type]])&gt;0,IF(Table23[[#This Row],[!type]]=K$1,"1","rg:None"),"-")</f>
        <v>rg:None</v>
      </c>
      <c r="L41" s="4" t="str">
        <f>IF(LEN(Table23[[#This Row],[!type]])&gt;0,IF(Table23[[#This Row],[!type]]=L$1,"1","rg:None"),"-")</f>
        <v>rg:None</v>
      </c>
      <c r="M41" s="4" t="str">
        <f>IF(LEN(Table23[[#This Row],[!type]])&gt;0,IF(Table23[[#This Row],[!type]]=M$1,"1","rg:None"),"-")</f>
        <v>rg:None</v>
      </c>
      <c r="N41" s="4" t="str">
        <f>IF(LEN(Table23[[#This Row],[!type]])&gt;0,IF(Table23[[#This Row],[!type]]=N$1,"1","rg:None"),"-")</f>
        <v>rg:None</v>
      </c>
      <c r="O41" s="4" t="str">
        <f>IF(LEN(Table23[[#This Row],[!type]])&gt;0,IF(Table23[[#This Row],[!type]]=O$1,"1","rg:None"),"-")</f>
        <v>rg:None</v>
      </c>
      <c r="P41" s="4" t="str">
        <f>IF(LEN(Table23[[#This Row],[!type]])&gt;0,IF(Table23[[#This Row],[!type]]=P$1,"1","rg:None"),"-")</f>
        <v>rg:None</v>
      </c>
      <c r="Q41" s="4" t="str">
        <f>IF(LEN(Table23[[#This Row],[!path]]) &gt;0,Table23[[#This Row],[!path]],"rg:None")</f>
        <v>notes</v>
      </c>
      <c r="R41" s="4" t="str">
        <f>IF(LEN(Table23[[#This Row],[!tag]]) &gt;0,Table23[[#This Row],[!tag]],"rg:None")</f>
        <v>Note</v>
      </c>
      <c r="S41" s="4" t="str">
        <f>IF(LEN(Table23[[#This Row],[!paramDef]]) &gt;0,Table23[[#This Row],[!paramDef]],"rg:None")</f>
        <v>rg:None</v>
      </c>
      <c r="T41" s="4" t="str">
        <f>IF(LEN(Table23[[#This Row],[!respDef]]) &gt;0,Table23[[#This Row],[!respDef]],"rg:None")</f>
        <v>rg:None</v>
      </c>
      <c r="U41" s="4" t="str">
        <f>IF(LEN(Table23[[#This Row],[!Description]]) &gt;0,Table23[[#This Row],[!Description]],"rg:None")</f>
        <v>rg:None</v>
      </c>
      <c r="V41" s="4" t="str">
        <f>IF(LEN(Table23[!permission]) &gt;0,Table23[!permission],"rg:None")</f>
        <v>rg:None</v>
      </c>
    </row>
    <row r="42" spans="1:22" x14ac:dyDescent="0.3">
      <c r="A42" s="35" t="s">
        <v>74</v>
      </c>
      <c r="B42" s="35" t="s">
        <v>161</v>
      </c>
      <c r="C42" s="37" t="s">
        <v>143</v>
      </c>
      <c r="D42" s="36" t="s">
        <v>143</v>
      </c>
      <c r="E42" s="45" t="s">
        <v>580</v>
      </c>
      <c r="F42" s="12"/>
      <c r="G42" s="13"/>
      <c r="H42" s="14" t="str">
        <f t="shared" si="4"/>
        <v>Path</v>
      </c>
      <c r="I42" s="4" t="str">
        <f>IF(LEN(Table23[[#This Row],[!type]])&gt;0,IF(Table23[[#This Row],[!type]]=I$1,"1","rg:None"),"-")</f>
        <v>rg:None</v>
      </c>
      <c r="J42" s="4" t="str">
        <f>IF(LEN(Table23[[#This Row],[!type]])&gt;0,IF(Table23[[#This Row],[!type]]=J$1,"1","rg:None"),"-")</f>
        <v>rg:None</v>
      </c>
      <c r="K42" s="4" t="str">
        <f>IF(LEN(Table23[[#This Row],[!type]])&gt;0,IF(Table23[[#This Row],[!type]]=K$1,"1","rg:None"),"-")</f>
        <v>1</v>
      </c>
      <c r="L42" s="4" t="str">
        <f>IF(LEN(Table23[[#This Row],[!type]])&gt;0,IF(Table23[[#This Row],[!type]]=L$1,"1","rg:None"),"-")</f>
        <v>rg:None</v>
      </c>
      <c r="M42" s="4" t="str">
        <f>IF(LEN(Table23[[#This Row],[!type]])&gt;0,IF(Table23[[#This Row],[!type]]=M$1,"1","rg:None"),"-")</f>
        <v>rg:None</v>
      </c>
      <c r="N42" s="4" t="str">
        <f>IF(LEN(Table23[[#This Row],[!type]])&gt;0,IF(Table23[[#This Row],[!type]]=N$1,"1","rg:None"),"-")</f>
        <v>rg:None</v>
      </c>
      <c r="O42" s="4" t="str">
        <f>IF(LEN(Table23[[#This Row],[!type]])&gt;0,IF(Table23[[#This Row],[!type]]=O$1,"1","rg:None"),"-")</f>
        <v>rg:None</v>
      </c>
      <c r="P42" s="4" t="str">
        <f>IF(LEN(Table23[[#This Row],[!type]])&gt;0,IF(Table23[[#This Row],[!type]]=P$1,"1","rg:None"),"-")</f>
        <v>rg:None</v>
      </c>
      <c r="Q42" s="4" t="str">
        <f>IF(LEN(Table23[[#This Row],[!path]]) &gt;0,Table23[[#This Row],[!path]],"rg:None")</f>
        <v>notes</v>
      </c>
      <c r="R42" s="4" t="str">
        <f>IF(LEN(Table23[[#This Row],[!tag]]) &gt;0,Table23[[#This Row],[!tag]],"rg:None")</f>
        <v>Note</v>
      </c>
      <c r="S42" s="4" t="str">
        <f>IF(LEN(Table23[[#This Row],[!paramDef]]) &gt;0,Table23[[#This Row],[!paramDef]],"rg:None")</f>
        <v>Note</v>
      </c>
      <c r="T42" s="4" t="str">
        <f>IF(LEN(Table23[[#This Row],[!respDef]]) &gt;0,Table23[[#This Row],[!respDef]],"rg:None")</f>
        <v>rg:None</v>
      </c>
      <c r="U42" s="4" t="str">
        <f>IF(LEN(Table23[[#This Row],[!Description]]) &gt;0,Table23[[#This Row],[!Description]],"rg:None")</f>
        <v>rg:None</v>
      </c>
      <c r="V42" s="4" t="str">
        <f>IF(LEN(Table23[!permission]) &gt;0,Table23[!permission],"rg:None")</f>
        <v>ADMIN</v>
      </c>
    </row>
    <row r="43" spans="1:22" x14ac:dyDescent="0.3">
      <c r="A43" s="35" t="s">
        <v>72</v>
      </c>
      <c r="B43" s="160" t="s">
        <v>172</v>
      </c>
      <c r="C43" s="37" t="s">
        <v>155</v>
      </c>
      <c r="D43" s="36"/>
      <c r="E43" s="45"/>
      <c r="F43" s="12"/>
      <c r="G43" s="13"/>
      <c r="H43" s="14" t="str">
        <f t="shared" si="4"/>
        <v>Path</v>
      </c>
      <c r="I43" s="4" t="str">
        <f>IF(LEN(Table23[[#This Row],[!type]])&gt;0,IF(Table23[[#This Row],[!type]]=I$1,"1","rg:None"),"-")</f>
        <v>1</v>
      </c>
      <c r="J43" s="4" t="str">
        <f>IF(LEN(Table23[[#This Row],[!type]])&gt;0,IF(Table23[[#This Row],[!type]]=J$1,"1","rg:None"),"-")</f>
        <v>rg:None</v>
      </c>
      <c r="K43" s="4" t="str">
        <f>IF(LEN(Table23[[#This Row],[!type]])&gt;0,IF(Table23[[#This Row],[!type]]=K$1,"1","rg:None"),"-")</f>
        <v>rg:None</v>
      </c>
      <c r="L43" s="4" t="str">
        <f>IF(LEN(Table23[[#This Row],[!type]])&gt;0,IF(Table23[[#This Row],[!type]]=L$1,"1","rg:None"),"-")</f>
        <v>rg:None</v>
      </c>
      <c r="M43" s="4" t="str">
        <f>IF(LEN(Table23[[#This Row],[!type]])&gt;0,IF(Table23[[#This Row],[!type]]=M$1,"1","rg:None"),"-")</f>
        <v>rg:None</v>
      </c>
      <c r="N43" s="4" t="str">
        <f>IF(LEN(Table23[[#This Row],[!type]])&gt;0,IF(Table23[[#This Row],[!type]]=N$1,"1","rg:None"),"-")</f>
        <v>rg:None</v>
      </c>
      <c r="O43" s="4" t="str">
        <f>IF(LEN(Table23[[#This Row],[!type]])&gt;0,IF(Table23[[#This Row],[!type]]=O$1,"1","rg:None"),"-")</f>
        <v>rg:None</v>
      </c>
      <c r="P43" s="4" t="str">
        <f>IF(LEN(Table23[[#This Row],[!type]])&gt;0,IF(Table23[[#This Row],[!type]]=P$1,"1","rg:None"),"-")</f>
        <v>rg:None</v>
      </c>
      <c r="Q43" s="4" t="str">
        <f>IF(LEN(Table23[[#This Row],[!path]]) &gt;0,Table23[[#This Row],[!path]],"rg:None")</f>
        <v>attachments</v>
      </c>
      <c r="R43" s="4" t="str">
        <f>IF(LEN(Table23[[#This Row],[!tag]]) &gt;0,Table23[[#This Row],[!tag]],"rg:None")</f>
        <v>Attachment</v>
      </c>
      <c r="S43" s="4" t="str">
        <f>IF(LEN(Table23[[#This Row],[!paramDef]]) &gt;0,Table23[[#This Row],[!paramDef]],"rg:None")</f>
        <v>rg:None</v>
      </c>
      <c r="T43" s="4" t="str">
        <f>IF(LEN(Table23[[#This Row],[!respDef]]) &gt;0,Table23[[#This Row],[!respDef]],"rg:None")</f>
        <v>rg:None</v>
      </c>
      <c r="U43" s="4" t="str">
        <f>IF(LEN(Table23[[#This Row],[!Description]]) &gt;0,Table23[[#This Row],[!Description]],"rg:None")</f>
        <v>rg:None</v>
      </c>
      <c r="V43" s="4" t="str">
        <f>IF(LEN(Table23[!permission]) &gt;0,Table23[!permission],"rg:None")</f>
        <v>rg:None</v>
      </c>
    </row>
    <row r="44" spans="1:22" x14ac:dyDescent="0.3">
      <c r="A44" s="35" t="s">
        <v>74</v>
      </c>
      <c r="B44" s="160" t="s">
        <v>172</v>
      </c>
      <c r="C44" s="37" t="s">
        <v>155</v>
      </c>
      <c r="D44" s="36" t="s">
        <v>155</v>
      </c>
      <c r="E44" s="45" t="s">
        <v>580</v>
      </c>
      <c r="F44" s="12"/>
      <c r="G44" s="13"/>
      <c r="H44" s="14" t="str">
        <f t="shared" si="4"/>
        <v>Path</v>
      </c>
      <c r="I44" s="4" t="str">
        <f>IF(LEN(Table23[[#This Row],[!type]])&gt;0,IF(Table23[[#This Row],[!type]]=I$1,"1","rg:None"),"-")</f>
        <v>rg:None</v>
      </c>
      <c r="J44" s="4" t="str">
        <f>IF(LEN(Table23[[#This Row],[!type]])&gt;0,IF(Table23[[#This Row],[!type]]=J$1,"1","rg:None"),"-")</f>
        <v>rg:None</v>
      </c>
      <c r="K44" s="4" t="str">
        <f>IF(LEN(Table23[[#This Row],[!type]])&gt;0,IF(Table23[[#This Row],[!type]]=K$1,"1","rg:None"),"-")</f>
        <v>1</v>
      </c>
      <c r="L44" s="4" t="str">
        <f>IF(LEN(Table23[[#This Row],[!type]])&gt;0,IF(Table23[[#This Row],[!type]]=L$1,"1","rg:None"),"-")</f>
        <v>rg:None</v>
      </c>
      <c r="M44" s="4" t="str">
        <f>IF(LEN(Table23[[#This Row],[!type]])&gt;0,IF(Table23[[#This Row],[!type]]=M$1,"1","rg:None"),"-")</f>
        <v>rg:None</v>
      </c>
      <c r="N44" s="4" t="str">
        <f>IF(LEN(Table23[[#This Row],[!type]])&gt;0,IF(Table23[[#This Row],[!type]]=N$1,"1","rg:None"),"-")</f>
        <v>rg:None</v>
      </c>
      <c r="O44" s="4" t="str">
        <f>IF(LEN(Table23[[#This Row],[!type]])&gt;0,IF(Table23[[#This Row],[!type]]=O$1,"1","rg:None"),"-")</f>
        <v>rg:None</v>
      </c>
      <c r="P44" s="4" t="str">
        <f>IF(LEN(Table23[[#This Row],[!type]])&gt;0,IF(Table23[[#This Row],[!type]]=P$1,"1","rg:None"),"-")</f>
        <v>rg:None</v>
      </c>
      <c r="Q44" s="4" t="str">
        <f>IF(LEN(Table23[[#This Row],[!path]]) &gt;0,Table23[[#This Row],[!path]],"rg:None")</f>
        <v>attachments</v>
      </c>
      <c r="R44" s="4" t="str">
        <f>IF(LEN(Table23[[#This Row],[!tag]]) &gt;0,Table23[[#This Row],[!tag]],"rg:None")</f>
        <v>Attachment</v>
      </c>
      <c r="S44" s="4" t="str">
        <f>IF(LEN(Table23[[#This Row],[!paramDef]]) &gt;0,Table23[[#This Row],[!paramDef]],"rg:None")</f>
        <v>Attachment</v>
      </c>
      <c r="T44" s="4" t="str">
        <f>IF(LEN(Table23[[#This Row],[!respDef]]) &gt;0,Table23[[#This Row],[!respDef]],"rg:None")</f>
        <v>rg:None</v>
      </c>
      <c r="U44" s="4" t="str">
        <f>IF(LEN(Table23[[#This Row],[!Description]]) &gt;0,Table23[[#This Row],[!Description]],"rg:None")</f>
        <v>rg:None</v>
      </c>
      <c r="V44" s="4" t="str">
        <f>IF(LEN(Table23[!permission]) &gt;0,Table23[!permission],"rg:None")</f>
        <v>ADMIN</v>
      </c>
    </row>
    <row r="45" spans="1:22" x14ac:dyDescent="0.35">
      <c r="A45" s="35" t="s">
        <v>72</v>
      </c>
      <c r="B45" s="35" t="s">
        <v>492</v>
      </c>
      <c r="C45" t="s">
        <v>56</v>
      </c>
      <c r="D45" s="36"/>
      <c r="E45" s="45"/>
      <c r="F45" s="12"/>
      <c r="G45" s="13"/>
      <c r="H45" s="14" t="str">
        <f t="shared" ref="H45:H70" si="5">IF(LEN(A45) &gt;0,"Path","-")</f>
        <v>Path</v>
      </c>
      <c r="I45" s="4" t="str">
        <f>IF(LEN(Table23[[#This Row],[!type]])&gt;0,IF(Table23[[#This Row],[!type]]=I$1,"1","rg:None"),"-")</f>
        <v>1</v>
      </c>
      <c r="J45" s="4" t="str">
        <f>IF(LEN(Table23[[#This Row],[!type]])&gt;0,IF(Table23[[#This Row],[!type]]=J$1,"1","rg:None"),"-")</f>
        <v>rg:None</v>
      </c>
      <c r="K45" s="4" t="str">
        <f>IF(LEN(Table23[[#This Row],[!type]])&gt;0,IF(Table23[[#This Row],[!type]]=K$1,"1","rg:None"),"-")</f>
        <v>rg:None</v>
      </c>
      <c r="L45" s="4" t="str">
        <f>IF(LEN(Table23[[#This Row],[!type]])&gt;0,IF(Table23[[#This Row],[!type]]=L$1,"1","rg:None"),"-")</f>
        <v>rg:None</v>
      </c>
      <c r="M45" s="4" t="str">
        <f>IF(LEN(Table23[[#This Row],[!type]])&gt;0,IF(Table23[[#This Row],[!type]]=M$1,"1","rg:None"),"-")</f>
        <v>rg:None</v>
      </c>
      <c r="N45" s="4" t="str">
        <f>IF(LEN(Table23[[#This Row],[!type]])&gt;0,IF(Table23[[#This Row],[!type]]=N$1,"1","rg:None"),"-")</f>
        <v>rg:None</v>
      </c>
      <c r="O45" s="4" t="str">
        <f>IF(LEN(Table23[[#This Row],[!type]])&gt;0,IF(Table23[[#This Row],[!type]]=O$1,"1","rg:None"),"-")</f>
        <v>rg:None</v>
      </c>
      <c r="P45" s="4" t="str">
        <f>IF(LEN(Table23[[#This Row],[!type]])&gt;0,IF(Table23[[#This Row],[!type]]=P$1,"1","rg:None"),"-")</f>
        <v>rg:None</v>
      </c>
      <c r="Q45" s="4" t="str">
        <f>IF(LEN(Table23[[#This Row],[!path]]) &gt;0,Table23[[#This Row],[!path]],"rg:None")</f>
        <v>groupmemberships</v>
      </c>
      <c r="R45" s="4" t="str">
        <f>IF(LEN(Table23[[#This Row],[!tag]]) &gt;0,Table23[[#This Row],[!tag]],"rg:None")</f>
        <v>GroupMembership</v>
      </c>
      <c r="S45" s="4" t="str">
        <f>IF(LEN(Table23[[#This Row],[!paramDef]]) &gt;0,Table23[[#This Row],[!paramDef]],"rg:None")</f>
        <v>rg:None</v>
      </c>
      <c r="T45" s="4" t="str">
        <f>IF(LEN(Table23[[#This Row],[!respDef]]) &gt;0,Table23[[#This Row],[!respDef]],"rg:None")</f>
        <v>rg:None</v>
      </c>
      <c r="U45" s="4" t="str">
        <f>IF(LEN(Table23[[#This Row],[!Description]]) &gt;0,Table23[[#This Row],[!Description]],"rg:None")</f>
        <v>rg:None</v>
      </c>
      <c r="V45" s="4" t="str">
        <f>IF(LEN(Table23[!permission]) &gt;0,Table23[!permission],"rg:None")</f>
        <v>rg:None</v>
      </c>
    </row>
    <row r="46" spans="1:22" x14ac:dyDescent="0.35">
      <c r="A46" s="35" t="s">
        <v>74</v>
      </c>
      <c r="B46" s="35" t="s">
        <v>492</v>
      </c>
      <c r="C46" t="s">
        <v>56</v>
      </c>
      <c r="D46" s="36" t="s">
        <v>56</v>
      </c>
      <c r="E46" s="44" t="s">
        <v>580</v>
      </c>
      <c r="F46" s="12"/>
      <c r="G46" s="13"/>
      <c r="H46" s="14" t="str">
        <f t="shared" si="5"/>
        <v>Path</v>
      </c>
      <c r="I46" s="4" t="str">
        <f>IF(LEN(Table23[[#This Row],[!type]])&gt;0,IF(Table23[[#This Row],[!type]]=I$1,"1","rg:None"),"-")</f>
        <v>rg:None</v>
      </c>
      <c r="J46" s="4" t="str">
        <f>IF(LEN(Table23[[#This Row],[!type]])&gt;0,IF(Table23[[#This Row],[!type]]=J$1,"1","rg:None"),"-")</f>
        <v>rg:None</v>
      </c>
      <c r="K46" s="4" t="str">
        <f>IF(LEN(Table23[[#This Row],[!type]])&gt;0,IF(Table23[[#This Row],[!type]]=K$1,"1","rg:None"),"-")</f>
        <v>1</v>
      </c>
      <c r="L46" s="4" t="str">
        <f>IF(LEN(Table23[[#This Row],[!type]])&gt;0,IF(Table23[[#This Row],[!type]]=L$1,"1","rg:None"),"-")</f>
        <v>rg:None</v>
      </c>
      <c r="M46" s="4" t="str">
        <f>IF(LEN(Table23[[#This Row],[!type]])&gt;0,IF(Table23[[#This Row],[!type]]=M$1,"1","rg:None"),"-")</f>
        <v>rg:None</v>
      </c>
      <c r="N46" s="4" t="str">
        <f>IF(LEN(Table23[[#This Row],[!type]])&gt;0,IF(Table23[[#This Row],[!type]]=N$1,"1","rg:None"),"-")</f>
        <v>rg:None</v>
      </c>
      <c r="O46" s="4" t="str">
        <f>IF(LEN(Table23[[#This Row],[!type]])&gt;0,IF(Table23[[#This Row],[!type]]=O$1,"1","rg:None"),"-")</f>
        <v>rg:None</v>
      </c>
      <c r="P46" s="4" t="str">
        <f>IF(LEN(Table23[[#This Row],[!type]])&gt;0,IF(Table23[[#This Row],[!type]]=P$1,"1","rg:None"),"-")</f>
        <v>rg:None</v>
      </c>
      <c r="Q46" s="4" t="str">
        <f>IF(LEN(Table23[[#This Row],[!path]]) &gt;0,Table23[[#This Row],[!path]],"rg:None")</f>
        <v>groupmemberships</v>
      </c>
      <c r="R46" s="4" t="str">
        <f>IF(LEN(Table23[[#This Row],[!tag]]) &gt;0,Table23[[#This Row],[!tag]],"rg:None")</f>
        <v>GroupMembership</v>
      </c>
      <c r="S46" s="4" t="str">
        <f>IF(LEN(Table23[[#This Row],[!paramDef]]) &gt;0,Table23[[#This Row],[!paramDef]],"rg:None")</f>
        <v>GroupMembership</v>
      </c>
      <c r="T46" s="4" t="str">
        <f>IF(LEN(Table23[[#This Row],[!respDef]]) &gt;0,Table23[[#This Row],[!respDef]],"rg:None")</f>
        <v>rg:None</v>
      </c>
      <c r="U46" s="4" t="str">
        <f>IF(LEN(Table23[[#This Row],[!Description]]) &gt;0,Table23[[#This Row],[!Description]],"rg:None")</f>
        <v>rg:None</v>
      </c>
      <c r="V46" s="4" t="str">
        <f>IF(LEN(Table23[!permission]) &gt;0,Table23[!permission],"rg:None")</f>
        <v>ADMIN</v>
      </c>
    </row>
    <row r="47" spans="1:22" x14ac:dyDescent="0.35">
      <c r="A47" s="35" t="s">
        <v>72</v>
      </c>
      <c r="B47" s="116" t="s">
        <v>502</v>
      </c>
      <c r="C47" t="s">
        <v>157</v>
      </c>
      <c r="D47" s="36" t="s">
        <v>5</v>
      </c>
      <c r="E47" s="44"/>
      <c r="F47" s="12"/>
      <c r="G47" s="13"/>
      <c r="H47" s="14" t="str">
        <f t="shared" si="5"/>
        <v>Path</v>
      </c>
      <c r="I47" s="4" t="str">
        <f>IF(LEN(Table23[[#This Row],[!type]])&gt;0,IF(Table23[[#This Row],[!type]]=I$1,"1","rg:None"),"-")</f>
        <v>1</v>
      </c>
      <c r="J47" s="4" t="str">
        <f>IF(LEN(Table23[[#This Row],[!type]])&gt;0,IF(Table23[[#This Row],[!type]]=J$1,"1","rg:None"),"-")</f>
        <v>rg:None</v>
      </c>
      <c r="K47" s="4" t="str">
        <f>IF(LEN(Table23[[#This Row],[!type]])&gt;0,IF(Table23[[#This Row],[!type]]=K$1,"1","rg:None"),"-")</f>
        <v>rg:None</v>
      </c>
      <c r="L47" s="4" t="str">
        <f>IF(LEN(Table23[[#This Row],[!type]])&gt;0,IF(Table23[[#This Row],[!type]]=L$1,"1","rg:None"),"-")</f>
        <v>rg:None</v>
      </c>
      <c r="M47" s="4" t="str">
        <f>IF(LEN(Table23[[#This Row],[!type]])&gt;0,IF(Table23[[#This Row],[!type]]=M$1,"1","rg:None"),"-")</f>
        <v>rg:None</v>
      </c>
      <c r="N47" s="4" t="str">
        <f>IF(LEN(Table23[[#This Row],[!type]])&gt;0,IF(Table23[[#This Row],[!type]]=N$1,"1","rg:None"),"-")</f>
        <v>rg:None</v>
      </c>
      <c r="O47" s="4" t="str">
        <f>IF(LEN(Table23[[#This Row],[!type]])&gt;0,IF(Table23[[#This Row],[!type]]=O$1,"1","rg:None"),"-")</f>
        <v>rg:None</v>
      </c>
      <c r="P47" s="4" t="str">
        <f>IF(LEN(Table23[[#This Row],[!type]])&gt;0,IF(Table23[[#This Row],[!type]]=P$1,"1","rg:None"),"-")</f>
        <v>rg:None</v>
      </c>
      <c r="Q47" s="4" t="str">
        <f>IF(LEN(Table23[[#This Row],[!path]]) &gt;0,Table23[[#This Row],[!path]],"rg:None")</f>
        <v>histories</v>
      </c>
      <c r="R47" s="4" t="str">
        <f>IF(LEN(Table23[[#This Row],[!tag]]) &gt;0,Table23[[#This Row],[!tag]],"rg:None")</f>
        <v>History</v>
      </c>
      <c r="S47" s="4" t="str">
        <f>IF(LEN(Table23[[#This Row],[!paramDef]]) &gt;0,Table23[[#This Row],[!paramDef]],"rg:None")</f>
        <v>rg:None</v>
      </c>
      <c r="T47" s="4" t="str">
        <f>IF(LEN(Table23[[#This Row],[!respDef]]) &gt;0,Table23[[#This Row],[!respDef]],"rg:None")</f>
        <v>rg:None</v>
      </c>
      <c r="U47" s="4" t="str">
        <f>IF(LEN(Table23[[#This Row],[!Description]]) &gt;0,Table23[[#This Row],[!Description]],"rg:None")</f>
        <v>rg:None</v>
      </c>
      <c r="V47" s="4" t="str">
        <f>IF(LEN(Table23[!permission]) &gt;0,Table23[!permission],"rg:None")</f>
        <v>rg:None</v>
      </c>
    </row>
    <row r="48" spans="1:22" x14ac:dyDescent="0.35">
      <c r="A48" s="35" t="s">
        <v>74</v>
      </c>
      <c r="B48" s="116" t="s">
        <v>502</v>
      </c>
      <c r="C48" t="s">
        <v>157</v>
      </c>
      <c r="D48" s="36" t="s">
        <v>157</v>
      </c>
      <c r="E48" s="44" t="s">
        <v>580</v>
      </c>
      <c r="F48" s="12"/>
      <c r="G48" s="13"/>
      <c r="H48" s="14" t="str">
        <f t="shared" si="5"/>
        <v>Path</v>
      </c>
      <c r="I48" s="4" t="str">
        <f>IF(LEN(Table23[[#This Row],[!type]])&gt;0,IF(Table23[[#This Row],[!type]]=I$1,"1","rg:None"),"-")</f>
        <v>rg:None</v>
      </c>
      <c r="J48" s="4" t="str">
        <f>IF(LEN(Table23[[#This Row],[!type]])&gt;0,IF(Table23[[#This Row],[!type]]=J$1,"1","rg:None"),"-")</f>
        <v>rg:None</v>
      </c>
      <c r="K48" s="4" t="str">
        <f>IF(LEN(Table23[[#This Row],[!type]])&gt;0,IF(Table23[[#This Row],[!type]]=K$1,"1","rg:None"),"-")</f>
        <v>1</v>
      </c>
      <c r="L48" s="4" t="str">
        <f>IF(LEN(Table23[[#This Row],[!type]])&gt;0,IF(Table23[[#This Row],[!type]]=L$1,"1","rg:None"),"-")</f>
        <v>rg:None</v>
      </c>
      <c r="M48" s="4" t="str">
        <f>IF(LEN(Table23[[#This Row],[!type]])&gt;0,IF(Table23[[#This Row],[!type]]=M$1,"1","rg:None"),"-")</f>
        <v>rg:None</v>
      </c>
      <c r="N48" s="4" t="str">
        <f>IF(LEN(Table23[[#This Row],[!type]])&gt;0,IF(Table23[[#This Row],[!type]]=N$1,"1","rg:None"),"-")</f>
        <v>rg:None</v>
      </c>
      <c r="O48" s="4" t="str">
        <f>IF(LEN(Table23[[#This Row],[!type]])&gt;0,IF(Table23[[#This Row],[!type]]=O$1,"1","rg:None"),"-")</f>
        <v>rg:None</v>
      </c>
      <c r="P48" s="4" t="str">
        <f>IF(LEN(Table23[[#This Row],[!type]])&gt;0,IF(Table23[[#This Row],[!type]]=P$1,"1","rg:None"),"-")</f>
        <v>rg:None</v>
      </c>
      <c r="Q48" s="4" t="str">
        <f>IF(LEN(Table23[[#This Row],[!path]]) &gt;0,Table23[[#This Row],[!path]],"rg:None")</f>
        <v>histories</v>
      </c>
      <c r="R48" s="4" t="str">
        <f>IF(LEN(Table23[[#This Row],[!tag]]) &gt;0,Table23[[#This Row],[!tag]],"rg:None")</f>
        <v>History</v>
      </c>
      <c r="S48" s="4" t="str">
        <f>IF(LEN(Table23[[#This Row],[!paramDef]]) &gt;0,Table23[[#This Row],[!paramDef]],"rg:None")</f>
        <v>History</v>
      </c>
      <c r="T48" s="4" t="str">
        <f>IF(LEN(Table23[[#This Row],[!respDef]]) &gt;0,Table23[[#This Row],[!respDef]],"rg:None")</f>
        <v>rg:None</v>
      </c>
      <c r="U48" s="4" t="str">
        <f>IF(LEN(Table23[[#This Row],[!Description]]) &gt;0,Table23[[#This Row],[!Description]],"rg:None")</f>
        <v>rg:None</v>
      </c>
      <c r="V48" s="4" t="str">
        <f>IF(LEN(Table23[!permission]) &gt;0,Table23[!permission],"rg:None")</f>
        <v>ADMIN</v>
      </c>
    </row>
    <row r="49" spans="1:22" x14ac:dyDescent="0.35">
      <c r="A49" s="35" t="s">
        <v>72</v>
      </c>
      <c r="B49" s="35" t="s">
        <v>493</v>
      </c>
      <c r="C49" t="s">
        <v>194</v>
      </c>
      <c r="D49" s="36" t="s">
        <v>5</v>
      </c>
      <c r="E49" s="36"/>
      <c r="F49" s="12"/>
      <c r="G49" s="13"/>
      <c r="H49" s="14" t="str">
        <f t="shared" si="5"/>
        <v>Path</v>
      </c>
      <c r="I49" s="4" t="str">
        <f>IF(LEN(Table23[[#This Row],[!type]])&gt;0,IF(Table23[[#This Row],[!type]]=I$1,"1","rg:None"),"-")</f>
        <v>1</v>
      </c>
      <c r="J49" s="4" t="str">
        <f>IF(LEN(Table23[[#This Row],[!type]])&gt;0,IF(Table23[[#This Row],[!type]]=J$1,"1","rg:None"),"-")</f>
        <v>rg:None</v>
      </c>
      <c r="K49" s="4" t="str">
        <f>IF(LEN(Table23[[#This Row],[!type]])&gt;0,IF(Table23[[#This Row],[!type]]=K$1,"1","rg:None"),"-")</f>
        <v>rg:None</v>
      </c>
      <c r="L49" s="4" t="str">
        <f>IF(LEN(Table23[[#This Row],[!type]])&gt;0,IF(Table23[[#This Row],[!type]]=L$1,"1","rg:None"),"-")</f>
        <v>rg:None</v>
      </c>
      <c r="M49" s="4" t="str">
        <f>IF(LEN(Table23[[#This Row],[!type]])&gt;0,IF(Table23[[#This Row],[!type]]=M$1,"1","rg:None"),"-")</f>
        <v>rg:None</v>
      </c>
      <c r="N49" s="4" t="str">
        <f>IF(LEN(Table23[[#This Row],[!type]])&gt;0,IF(Table23[[#This Row],[!type]]=N$1,"1","rg:None"),"-")</f>
        <v>rg:None</v>
      </c>
      <c r="O49" s="4" t="str">
        <f>IF(LEN(Table23[[#This Row],[!type]])&gt;0,IF(Table23[[#This Row],[!type]]=O$1,"1","rg:None"),"-")</f>
        <v>rg:None</v>
      </c>
      <c r="P49" s="4" t="str">
        <f>IF(LEN(Table23[[#This Row],[!type]])&gt;0,IF(Table23[[#This Row],[!type]]=P$1,"1","rg:None"),"-")</f>
        <v>rg:None</v>
      </c>
      <c r="Q49" s="4" t="str">
        <f>IF(LEN(Table23[[#This Row],[!path]]) &gt;0,Table23[[#This Row],[!path]],"rg:None")</f>
        <v>rentalagreements</v>
      </c>
      <c r="R49" s="4" t="str">
        <f>IF(LEN(Table23[[#This Row],[!tag]]) &gt;0,Table23[[#This Row],[!tag]],"rg:None")</f>
        <v>RentalAgreement</v>
      </c>
      <c r="S49" s="4" t="str">
        <f>IF(LEN(Table23[[#This Row],[!paramDef]]) &gt;0,Table23[[#This Row],[!paramDef]],"rg:None")</f>
        <v>rg:None</v>
      </c>
      <c r="T49" s="4" t="str">
        <f>IF(LEN(Table23[[#This Row],[!respDef]]) &gt;0,Table23[[#This Row],[!respDef]],"rg:None")</f>
        <v>rg:None</v>
      </c>
      <c r="U49" s="4" t="str">
        <f>IF(LEN(Table23[[#This Row],[!Description]]) &gt;0,Table23[[#This Row],[!Description]],"rg:None")</f>
        <v>rg:None</v>
      </c>
      <c r="V49" s="4" t="str">
        <f>IF(LEN(Table23[!permission]) &gt;0,Table23[!permission],"rg:None")</f>
        <v>rg:None</v>
      </c>
    </row>
    <row r="50" spans="1:22" x14ac:dyDescent="0.35">
      <c r="A50" s="35" t="s">
        <v>74</v>
      </c>
      <c r="B50" s="35" t="s">
        <v>493</v>
      </c>
      <c r="C50" t="s">
        <v>194</v>
      </c>
      <c r="D50" s="36" t="s">
        <v>194</v>
      </c>
      <c r="E50" s="44" t="s">
        <v>580</v>
      </c>
      <c r="F50" s="12"/>
      <c r="G50" s="13"/>
      <c r="H50" s="14" t="str">
        <f t="shared" si="5"/>
        <v>Path</v>
      </c>
      <c r="I50" s="4" t="str">
        <f>IF(LEN(Table23[[#This Row],[!type]])&gt;0,IF(Table23[[#This Row],[!type]]=I$1,"1","rg:None"),"-")</f>
        <v>rg:None</v>
      </c>
      <c r="J50" s="4" t="str">
        <f>IF(LEN(Table23[[#This Row],[!type]])&gt;0,IF(Table23[[#This Row],[!type]]=J$1,"1","rg:None"),"-")</f>
        <v>rg:None</v>
      </c>
      <c r="K50" s="4" t="str">
        <f>IF(LEN(Table23[[#This Row],[!type]])&gt;0,IF(Table23[[#This Row],[!type]]=K$1,"1","rg:None"),"-")</f>
        <v>1</v>
      </c>
      <c r="L50" s="4" t="str">
        <f>IF(LEN(Table23[[#This Row],[!type]])&gt;0,IF(Table23[[#This Row],[!type]]=L$1,"1","rg:None"),"-")</f>
        <v>rg:None</v>
      </c>
      <c r="M50" s="4" t="str">
        <f>IF(LEN(Table23[[#This Row],[!type]])&gt;0,IF(Table23[[#This Row],[!type]]=M$1,"1","rg:None"),"-")</f>
        <v>rg:None</v>
      </c>
      <c r="N50" s="4" t="str">
        <f>IF(LEN(Table23[[#This Row],[!type]])&gt;0,IF(Table23[[#This Row],[!type]]=N$1,"1","rg:None"),"-")</f>
        <v>rg:None</v>
      </c>
      <c r="O50" s="4" t="str">
        <f>IF(LEN(Table23[[#This Row],[!type]])&gt;0,IF(Table23[[#This Row],[!type]]=O$1,"1","rg:None"),"-")</f>
        <v>rg:None</v>
      </c>
      <c r="P50" s="4" t="str">
        <f>IF(LEN(Table23[[#This Row],[!type]])&gt;0,IF(Table23[[#This Row],[!type]]=P$1,"1","rg:None"),"-")</f>
        <v>rg:None</v>
      </c>
      <c r="Q50" s="4" t="str">
        <f>IF(LEN(Table23[[#This Row],[!path]]) &gt;0,Table23[[#This Row],[!path]],"rg:None")</f>
        <v>rentalagreements</v>
      </c>
      <c r="R50" s="4" t="str">
        <f>IF(LEN(Table23[[#This Row],[!tag]]) &gt;0,Table23[[#This Row],[!tag]],"rg:None")</f>
        <v>RentalAgreement</v>
      </c>
      <c r="S50" s="4" t="str">
        <f>IF(LEN(Table23[[#This Row],[!paramDef]]) &gt;0,Table23[[#This Row],[!paramDef]],"rg:None")</f>
        <v>RentalAgreement</v>
      </c>
      <c r="T50" s="4" t="str">
        <f>IF(LEN(Table23[[#This Row],[!respDef]]) &gt;0,Table23[[#This Row],[!respDef]],"rg:None")</f>
        <v>rg:None</v>
      </c>
      <c r="U50" s="4" t="str">
        <f>IF(LEN(Table23[[#This Row],[!Description]]) &gt;0,Table23[[#This Row],[!Description]],"rg:None")</f>
        <v>rg:None</v>
      </c>
      <c r="V50" s="4" t="str">
        <f>IF(LEN(Table23[!permission]) &gt;0,Table23[!permission],"rg:None")</f>
        <v>ADMIN</v>
      </c>
    </row>
    <row r="51" spans="1:22" x14ac:dyDescent="0.35">
      <c r="A51" s="35" t="s">
        <v>72</v>
      </c>
      <c r="B51" s="35" t="s">
        <v>494</v>
      </c>
      <c r="C51" t="s">
        <v>465</v>
      </c>
      <c r="D51" s="36" t="s">
        <v>5</v>
      </c>
      <c r="E51" s="36"/>
      <c r="F51" s="12"/>
      <c r="G51" s="13"/>
      <c r="H51" s="14" t="str">
        <f t="shared" si="5"/>
        <v>Path</v>
      </c>
      <c r="I51" s="4" t="str">
        <f>IF(LEN(Table23[[#This Row],[!type]])&gt;0,IF(Table23[[#This Row],[!type]]=I$1,"1","rg:None"),"-")</f>
        <v>1</v>
      </c>
      <c r="J51" s="4" t="str">
        <f>IF(LEN(Table23[[#This Row],[!type]])&gt;0,IF(Table23[[#This Row],[!type]]=J$1,"1","rg:None"),"-")</f>
        <v>rg:None</v>
      </c>
      <c r="K51" s="4" t="str">
        <f>IF(LEN(Table23[[#This Row],[!type]])&gt;0,IF(Table23[[#This Row],[!type]]=K$1,"1","rg:None"),"-")</f>
        <v>rg:None</v>
      </c>
      <c r="L51" s="4" t="str">
        <f>IF(LEN(Table23[[#This Row],[!type]])&gt;0,IF(Table23[[#This Row],[!type]]=L$1,"1","rg:None"),"-")</f>
        <v>rg:None</v>
      </c>
      <c r="M51" s="4" t="str">
        <f>IF(LEN(Table23[[#This Row],[!type]])&gt;0,IF(Table23[[#This Row],[!type]]=M$1,"1","rg:None"),"-")</f>
        <v>rg:None</v>
      </c>
      <c r="N51" s="4" t="str">
        <f>IF(LEN(Table23[[#This Row],[!type]])&gt;0,IF(Table23[[#This Row],[!type]]=N$1,"1","rg:None"),"-")</f>
        <v>rg:None</v>
      </c>
      <c r="O51" s="4" t="str">
        <f>IF(LEN(Table23[[#This Row],[!type]])&gt;0,IF(Table23[[#This Row],[!type]]=O$1,"1","rg:None"),"-")</f>
        <v>rg:None</v>
      </c>
      <c r="P51" s="4" t="str">
        <f>IF(LEN(Table23[[#This Row],[!type]])&gt;0,IF(Table23[[#This Row],[!type]]=P$1,"1","rg:None"),"-")</f>
        <v>rg:None</v>
      </c>
      <c r="Q51" s="4" t="str">
        <f>IF(LEN(Table23[[#This Row],[!path]]) &gt;0,Table23[[#This Row],[!path]],"rg:None")</f>
        <v>rentalagreementconditions</v>
      </c>
      <c r="R51" s="4" t="str">
        <f>IF(LEN(Table23[[#This Row],[!tag]]) &gt;0,Table23[[#This Row],[!tag]],"rg:None")</f>
        <v>RentalAgreementCondition</v>
      </c>
      <c r="S51" s="4" t="str">
        <f>IF(LEN(Table23[[#This Row],[!paramDef]]) &gt;0,Table23[[#This Row],[!paramDef]],"rg:None")</f>
        <v>rg:None</v>
      </c>
      <c r="T51" s="4" t="str">
        <f>IF(LEN(Table23[[#This Row],[!respDef]]) &gt;0,Table23[[#This Row],[!respDef]],"rg:None")</f>
        <v>rg:None</v>
      </c>
      <c r="U51" s="4" t="str">
        <f>IF(LEN(Table23[[#This Row],[!Description]]) &gt;0,Table23[[#This Row],[!Description]],"rg:None")</f>
        <v>rg:None</v>
      </c>
      <c r="V51" s="4" t="str">
        <f>IF(LEN(Table23[!permission]) &gt;0,Table23[!permission],"rg:None")</f>
        <v>rg:None</v>
      </c>
    </row>
    <row r="52" spans="1:22" x14ac:dyDescent="0.35">
      <c r="A52" s="35" t="s">
        <v>74</v>
      </c>
      <c r="B52" s="35" t="s">
        <v>494</v>
      </c>
      <c r="C52" t="s">
        <v>465</v>
      </c>
      <c r="D52" s="36" t="s">
        <v>465</v>
      </c>
      <c r="E52" s="45" t="s">
        <v>580</v>
      </c>
      <c r="F52" s="12"/>
      <c r="G52" s="13"/>
      <c r="H52" s="14" t="str">
        <f t="shared" si="5"/>
        <v>Path</v>
      </c>
      <c r="I52" s="4" t="str">
        <f>IF(LEN(Table23[[#This Row],[!type]])&gt;0,IF(Table23[[#This Row],[!type]]=I$1,"1","rg:None"),"-")</f>
        <v>rg:None</v>
      </c>
      <c r="J52" s="4" t="str">
        <f>IF(LEN(Table23[[#This Row],[!type]])&gt;0,IF(Table23[[#This Row],[!type]]=J$1,"1","rg:None"),"-")</f>
        <v>rg:None</v>
      </c>
      <c r="K52" s="4" t="str">
        <f>IF(LEN(Table23[[#This Row],[!type]])&gt;0,IF(Table23[[#This Row],[!type]]=K$1,"1","rg:None"),"-")</f>
        <v>1</v>
      </c>
      <c r="L52" s="4" t="str">
        <f>IF(LEN(Table23[[#This Row],[!type]])&gt;0,IF(Table23[[#This Row],[!type]]=L$1,"1","rg:None"),"-")</f>
        <v>rg:None</v>
      </c>
      <c r="M52" s="4" t="str">
        <f>IF(LEN(Table23[[#This Row],[!type]])&gt;0,IF(Table23[[#This Row],[!type]]=M$1,"1","rg:None"),"-")</f>
        <v>rg:None</v>
      </c>
      <c r="N52" s="4" t="str">
        <f>IF(LEN(Table23[[#This Row],[!type]])&gt;0,IF(Table23[[#This Row],[!type]]=N$1,"1","rg:None"),"-")</f>
        <v>rg:None</v>
      </c>
      <c r="O52" s="4" t="str">
        <f>IF(LEN(Table23[[#This Row],[!type]])&gt;0,IF(Table23[[#This Row],[!type]]=O$1,"1","rg:None"),"-")</f>
        <v>rg:None</v>
      </c>
      <c r="P52" s="4" t="str">
        <f>IF(LEN(Table23[[#This Row],[!type]])&gt;0,IF(Table23[[#This Row],[!type]]=P$1,"1","rg:None"),"-")</f>
        <v>rg:None</v>
      </c>
      <c r="Q52" s="4" t="str">
        <f>IF(LEN(Table23[[#This Row],[!path]]) &gt;0,Table23[[#This Row],[!path]],"rg:None")</f>
        <v>rentalagreementconditions</v>
      </c>
      <c r="R52" s="4" t="str">
        <f>IF(LEN(Table23[[#This Row],[!tag]]) &gt;0,Table23[[#This Row],[!tag]],"rg:None")</f>
        <v>RentalAgreementCondition</v>
      </c>
      <c r="S52" s="4" t="str">
        <f>IF(LEN(Table23[[#This Row],[!paramDef]]) &gt;0,Table23[[#This Row],[!paramDef]],"rg:None")</f>
        <v>RentalAgreementCondition</v>
      </c>
      <c r="T52" s="4" t="str">
        <f>IF(LEN(Table23[[#This Row],[!respDef]]) &gt;0,Table23[[#This Row],[!respDef]],"rg:None")</f>
        <v>rg:None</v>
      </c>
      <c r="U52" s="4" t="str">
        <f>IF(LEN(Table23[[#This Row],[!Description]]) &gt;0,Table23[[#This Row],[!Description]],"rg:None")</f>
        <v>rg:None</v>
      </c>
      <c r="V52" s="4" t="str">
        <f>IF(LEN(Table23[!permission]) &gt;0,Table23[!permission],"rg:None")</f>
        <v>ADMIN</v>
      </c>
    </row>
    <row r="53" spans="1:22" x14ac:dyDescent="0.35">
      <c r="A53" s="35" t="s">
        <v>72</v>
      </c>
      <c r="B53" s="35" t="s">
        <v>495</v>
      </c>
      <c r="C53" t="s">
        <v>453</v>
      </c>
      <c r="D53" s="36" t="s">
        <v>5</v>
      </c>
      <c r="E53" s="45"/>
      <c r="F53" s="12"/>
      <c r="G53" s="13"/>
      <c r="H53" s="14" t="str">
        <f t="shared" si="5"/>
        <v>Path</v>
      </c>
      <c r="I53" s="4" t="str">
        <f>IF(LEN(Table23[[#This Row],[!type]])&gt;0,IF(Table23[[#This Row],[!type]]=I$1,"1","rg:None"),"-")</f>
        <v>1</v>
      </c>
      <c r="J53" s="4" t="str">
        <f>IF(LEN(Table23[[#This Row],[!type]])&gt;0,IF(Table23[[#This Row],[!type]]=J$1,"1","rg:None"),"-")</f>
        <v>rg:None</v>
      </c>
      <c r="K53" s="4" t="str">
        <f>IF(LEN(Table23[[#This Row],[!type]])&gt;0,IF(Table23[[#This Row],[!type]]=K$1,"1","rg:None"),"-")</f>
        <v>rg:None</v>
      </c>
      <c r="L53" s="4" t="str">
        <f>IF(LEN(Table23[[#This Row],[!type]])&gt;0,IF(Table23[[#This Row],[!type]]=L$1,"1","rg:None"),"-")</f>
        <v>rg:None</v>
      </c>
      <c r="M53" s="4" t="str">
        <f>IF(LEN(Table23[[#This Row],[!type]])&gt;0,IF(Table23[[#This Row],[!type]]=M$1,"1","rg:None"),"-")</f>
        <v>rg:None</v>
      </c>
      <c r="N53" s="4" t="str">
        <f>IF(LEN(Table23[[#This Row],[!type]])&gt;0,IF(Table23[[#This Row],[!type]]=N$1,"1","rg:None"),"-")</f>
        <v>rg:None</v>
      </c>
      <c r="O53" s="4" t="str">
        <f>IF(LEN(Table23[[#This Row],[!type]])&gt;0,IF(Table23[[#This Row],[!type]]=O$1,"1","rg:None"),"-")</f>
        <v>rg:None</v>
      </c>
      <c r="P53" s="4" t="str">
        <f>IF(LEN(Table23[[#This Row],[!type]])&gt;0,IF(Table23[[#This Row],[!type]]=P$1,"1","rg:None"),"-")</f>
        <v>rg:None</v>
      </c>
      <c r="Q53" s="4" t="str">
        <f>IF(LEN(Table23[[#This Row],[!path]]) &gt;0,Table23[[#This Row],[!path]],"rg:None")</f>
        <v>rentalagreementrates</v>
      </c>
      <c r="R53" s="4" t="str">
        <f>IF(LEN(Table23[[#This Row],[!tag]]) &gt;0,Table23[[#This Row],[!tag]],"rg:None")</f>
        <v>RentalAgreementRate</v>
      </c>
      <c r="S53" s="4" t="str">
        <f>IF(LEN(Table23[[#This Row],[!paramDef]]) &gt;0,Table23[[#This Row],[!paramDef]],"rg:None")</f>
        <v>rg:None</v>
      </c>
      <c r="T53" s="4" t="str">
        <f>IF(LEN(Table23[[#This Row],[!respDef]]) &gt;0,Table23[[#This Row],[!respDef]],"rg:None")</f>
        <v>rg:None</v>
      </c>
      <c r="U53" s="4" t="str">
        <f>IF(LEN(Table23[[#This Row],[!Description]]) &gt;0,Table23[[#This Row],[!Description]],"rg:None")</f>
        <v>rg:None</v>
      </c>
      <c r="V53" s="4" t="str">
        <f>IF(LEN(Table23[!permission]) &gt;0,Table23[!permission],"rg:None")</f>
        <v>rg:None</v>
      </c>
    </row>
    <row r="54" spans="1:22" x14ac:dyDescent="0.35">
      <c r="A54" s="35" t="s">
        <v>74</v>
      </c>
      <c r="B54" s="35" t="s">
        <v>495</v>
      </c>
      <c r="C54" t="s">
        <v>453</v>
      </c>
      <c r="D54" s="36" t="s">
        <v>453</v>
      </c>
      <c r="E54" s="45" t="s">
        <v>580</v>
      </c>
      <c r="F54" s="12"/>
      <c r="G54" s="13"/>
      <c r="H54" s="14" t="str">
        <f t="shared" si="5"/>
        <v>Path</v>
      </c>
      <c r="I54" s="4" t="str">
        <f>IF(LEN(Table23[[#This Row],[!type]])&gt;0,IF(Table23[[#This Row],[!type]]=I$1,"1","rg:None"),"-")</f>
        <v>rg:None</v>
      </c>
      <c r="J54" s="4" t="str">
        <f>IF(LEN(Table23[[#This Row],[!type]])&gt;0,IF(Table23[[#This Row],[!type]]=J$1,"1","rg:None"),"-")</f>
        <v>rg:None</v>
      </c>
      <c r="K54" s="4" t="str">
        <f>IF(LEN(Table23[[#This Row],[!type]])&gt;0,IF(Table23[[#This Row],[!type]]=K$1,"1","rg:None"),"-")</f>
        <v>1</v>
      </c>
      <c r="L54" s="4" t="str">
        <f>IF(LEN(Table23[[#This Row],[!type]])&gt;0,IF(Table23[[#This Row],[!type]]=L$1,"1","rg:None"),"-")</f>
        <v>rg:None</v>
      </c>
      <c r="M54" s="4" t="str">
        <f>IF(LEN(Table23[[#This Row],[!type]])&gt;0,IF(Table23[[#This Row],[!type]]=M$1,"1","rg:None"),"-")</f>
        <v>rg:None</v>
      </c>
      <c r="N54" s="4" t="str">
        <f>IF(LEN(Table23[[#This Row],[!type]])&gt;0,IF(Table23[[#This Row],[!type]]=N$1,"1","rg:None"),"-")</f>
        <v>rg:None</v>
      </c>
      <c r="O54" s="4" t="str">
        <f>IF(LEN(Table23[[#This Row],[!type]])&gt;0,IF(Table23[[#This Row],[!type]]=O$1,"1","rg:None"),"-")</f>
        <v>rg:None</v>
      </c>
      <c r="P54" s="4" t="str">
        <f>IF(LEN(Table23[[#This Row],[!type]])&gt;0,IF(Table23[[#This Row],[!type]]=P$1,"1","rg:None"),"-")</f>
        <v>rg:None</v>
      </c>
      <c r="Q54" s="4" t="str">
        <f>IF(LEN(Table23[[#This Row],[!path]]) &gt;0,Table23[[#This Row],[!path]],"rg:None")</f>
        <v>rentalagreementrates</v>
      </c>
      <c r="R54" s="4" t="str">
        <f>IF(LEN(Table23[[#This Row],[!tag]]) &gt;0,Table23[[#This Row],[!tag]],"rg:None")</f>
        <v>RentalAgreementRate</v>
      </c>
      <c r="S54" s="4" t="str">
        <f>IF(LEN(Table23[[#This Row],[!paramDef]]) &gt;0,Table23[[#This Row],[!paramDef]],"rg:None")</f>
        <v>RentalAgreementRate</v>
      </c>
      <c r="T54" s="4" t="str">
        <f>IF(LEN(Table23[[#This Row],[!respDef]]) &gt;0,Table23[[#This Row],[!respDef]],"rg:None")</f>
        <v>rg:None</v>
      </c>
      <c r="U54" s="4" t="str">
        <f>IF(LEN(Table23[[#This Row],[!Description]]) &gt;0,Table23[[#This Row],[!Description]],"rg:None")</f>
        <v>rg:None</v>
      </c>
      <c r="V54" s="4" t="str">
        <f>IF(LEN(Table23[!permission]) &gt;0,Table23[!permission],"rg:None")</f>
        <v>ADMIN</v>
      </c>
    </row>
    <row r="55" spans="1:22" x14ac:dyDescent="0.35">
      <c r="A55" s="35" t="s">
        <v>72</v>
      </c>
      <c r="B55" s="35" t="s">
        <v>496</v>
      </c>
      <c r="C55" t="s">
        <v>420</v>
      </c>
      <c r="D55" s="36" t="s">
        <v>5</v>
      </c>
      <c r="E55" s="45"/>
      <c r="F55" s="12"/>
      <c r="G55" s="13"/>
      <c r="H55" s="14" t="str">
        <f t="shared" si="5"/>
        <v>Path</v>
      </c>
      <c r="I55" s="4" t="str">
        <f>IF(LEN(Table23[[#This Row],[!type]])&gt;0,IF(Table23[[#This Row],[!type]]=I$1,"1","rg:None"),"-")</f>
        <v>1</v>
      </c>
      <c r="J55" s="4" t="str">
        <f>IF(LEN(Table23[[#This Row],[!type]])&gt;0,IF(Table23[[#This Row],[!type]]=J$1,"1","rg:None"),"-")</f>
        <v>rg:None</v>
      </c>
      <c r="K55" s="4" t="str">
        <f>IF(LEN(Table23[[#This Row],[!type]])&gt;0,IF(Table23[[#This Row],[!type]]=K$1,"1","rg:None"),"-")</f>
        <v>rg:None</v>
      </c>
      <c r="L55" s="4" t="str">
        <f>IF(LEN(Table23[[#This Row],[!type]])&gt;0,IF(Table23[[#This Row],[!type]]=L$1,"1","rg:None"),"-")</f>
        <v>rg:None</v>
      </c>
      <c r="M55" s="4" t="str">
        <f>IF(LEN(Table23[[#This Row],[!type]])&gt;0,IF(Table23[[#This Row],[!type]]=M$1,"1","rg:None"),"-")</f>
        <v>rg:None</v>
      </c>
      <c r="N55" s="4" t="str">
        <f>IF(LEN(Table23[[#This Row],[!type]])&gt;0,IF(Table23[[#This Row],[!type]]=N$1,"1","rg:None"),"-")</f>
        <v>rg:None</v>
      </c>
      <c r="O55" s="4" t="str">
        <f>IF(LEN(Table23[[#This Row],[!type]])&gt;0,IF(Table23[[#This Row],[!type]]=O$1,"1","rg:None"),"-")</f>
        <v>rg:None</v>
      </c>
      <c r="P55" s="4" t="str">
        <f>IF(LEN(Table23[[#This Row],[!type]])&gt;0,IF(Table23[[#This Row],[!type]]=P$1,"1","rg:None"),"-")</f>
        <v>rg:None</v>
      </c>
      <c r="Q55" s="4" t="str">
        <f>IF(LEN(Table23[[#This Row],[!path]]) &gt;0,Table23[[#This Row],[!path]],"rg:None")</f>
        <v>rentalrequests</v>
      </c>
      <c r="R55" s="4" t="str">
        <f>IF(LEN(Table23[[#This Row],[!tag]]) &gt;0,Table23[[#This Row],[!tag]],"rg:None")</f>
        <v>RentalRequest</v>
      </c>
      <c r="S55" s="4" t="str">
        <f>IF(LEN(Table23[[#This Row],[!paramDef]]) &gt;0,Table23[[#This Row],[!paramDef]],"rg:None")</f>
        <v>rg:None</v>
      </c>
      <c r="T55" s="4" t="str">
        <f>IF(LEN(Table23[[#This Row],[!respDef]]) &gt;0,Table23[[#This Row],[!respDef]],"rg:None")</f>
        <v>rg:None</v>
      </c>
      <c r="U55" s="4" t="str">
        <f>IF(LEN(Table23[[#This Row],[!Description]]) &gt;0,Table23[[#This Row],[!Description]],"rg:None")</f>
        <v>rg:None</v>
      </c>
      <c r="V55" s="4" t="str">
        <f>IF(LEN(Table23[!permission]) &gt;0,Table23[!permission],"rg:None")</f>
        <v>rg:None</v>
      </c>
    </row>
    <row r="56" spans="1:22" x14ac:dyDescent="0.35">
      <c r="A56" s="35" t="s">
        <v>74</v>
      </c>
      <c r="B56" s="35" t="s">
        <v>496</v>
      </c>
      <c r="C56" t="s">
        <v>420</v>
      </c>
      <c r="D56" s="36" t="s">
        <v>420</v>
      </c>
      <c r="E56" s="45" t="s">
        <v>580</v>
      </c>
      <c r="F56" s="12"/>
      <c r="G56" s="13"/>
      <c r="H56" s="14" t="str">
        <f t="shared" si="5"/>
        <v>Path</v>
      </c>
      <c r="I56" s="4" t="str">
        <f>IF(LEN(Table23[[#This Row],[!type]])&gt;0,IF(Table23[[#This Row],[!type]]=I$1,"1","rg:None"),"-")</f>
        <v>rg:None</v>
      </c>
      <c r="J56" s="4" t="str">
        <f>IF(LEN(Table23[[#This Row],[!type]])&gt;0,IF(Table23[[#This Row],[!type]]=J$1,"1","rg:None"),"-")</f>
        <v>rg:None</v>
      </c>
      <c r="K56" s="4" t="str">
        <f>IF(LEN(Table23[[#This Row],[!type]])&gt;0,IF(Table23[[#This Row],[!type]]=K$1,"1","rg:None"),"-")</f>
        <v>1</v>
      </c>
      <c r="L56" s="4" t="str">
        <f>IF(LEN(Table23[[#This Row],[!type]])&gt;0,IF(Table23[[#This Row],[!type]]=L$1,"1","rg:None"),"-")</f>
        <v>rg:None</v>
      </c>
      <c r="M56" s="4" t="str">
        <f>IF(LEN(Table23[[#This Row],[!type]])&gt;0,IF(Table23[[#This Row],[!type]]=M$1,"1","rg:None"),"-")</f>
        <v>rg:None</v>
      </c>
      <c r="N56" s="4" t="str">
        <f>IF(LEN(Table23[[#This Row],[!type]])&gt;0,IF(Table23[[#This Row],[!type]]=N$1,"1","rg:None"),"-")</f>
        <v>rg:None</v>
      </c>
      <c r="O56" s="4" t="str">
        <f>IF(LEN(Table23[[#This Row],[!type]])&gt;0,IF(Table23[[#This Row],[!type]]=O$1,"1","rg:None"),"-")</f>
        <v>rg:None</v>
      </c>
      <c r="P56" s="4" t="str">
        <f>IF(LEN(Table23[[#This Row],[!type]])&gt;0,IF(Table23[[#This Row],[!type]]=P$1,"1","rg:None"),"-")</f>
        <v>rg:None</v>
      </c>
      <c r="Q56" s="4" t="str">
        <f>IF(LEN(Table23[[#This Row],[!path]]) &gt;0,Table23[[#This Row],[!path]],"rg:None")</f>
        <v>rentalrequests</v>
      </c>
      <c r="R56" s="4" t="str">
        <f>IF(LEN(Table23[[#This Row],[!tag]]) &gt;0,Table23[[#This Row],[!tag]],"rg:None")</f>
        <v>RentalRequest</v>
      </c>
      <c r="S56" s="4" t="str">
        <f>IF(LEN(Table23[[#This Row],[!paramDef]]) &gt;0,Table23[[#This Row],[!paramDef]],"rg:None")</f>
        <v>RentalRequest</v>
      </c>
      <c r="T56" s="4" t="str">
        <f>IF(LEN(Table23[[#This Row],[!respDef]]) &gt;0,Table23[[#This Row],[!respDef]],"rg:None")</f>
        <v>rg:None</v>
      </c>
      <c r="U56" s="4" t="str">
        <f>IF(LEN(Table23[[#This Row],[!Description]]) &gt;0,Table23[[#This Row],[!Description]],"rg:None")</f>
        <v>rg:None</v>
      </c>
      <c r="V56" s="4" t="str">
        <f>IF(LEN(Table23[!permission]) &gt;0,Table23[!permission],"rg:None")</f>
        <v>ADMIN</v>
      </c>
    </row>
    <row r="57" spans="1:22" x14ac:dyDescent="0.35">
      <c r="A57" s="35" t="s">
        <v>72</v>
      </c>
      <c r="B57" s="35" t="s">
        <v>497</v>
      </c>
      <c r="C57" t="s">
        <v>436</v>
      </c>
      <c r="D57" s="36" t="s">
        <v>5</v>
      </c>
      <c r="E57" s="45"/>
      <c r="F57" s="12"/>
      <c r="G57" s="13"/>
      <c r="H57" s="14" t="str">
        <f t="shared" si="5"/>
        <v>Path</v>
      </c>
      <c r="I57" s="4" t="str">
        <f>IF(LEN(Table23[[#This Row],[!type]])&gt;0,IF(Table23[[#This Row],[!type]]=I$1,"1","rg:None"),"-")</f>
        <v>1</v>
      </c>
      <c r="J57" s="4" t="str">
        <f>IF(LEN(Table23[[#This Row],[!type]])&gt;0,IF(Table23[[#This Row],[!type]]=J$1,"1","rg:None"),"-")</f>
        <v>rg:None</v>
      </c>
      <c r="K57" s="4" t="str">
        <f>IF(LEN(Table23[[#This Row],[!type]])&gt;0,IF(Table23[[#This Row],[!type]]=K$1,"1","rg:None"),"-")</f>
        <v>rg:None</v>
      </c>
      <c r="L57" s="4" t="str">
        <f>IF(LEN(Table23[[#This Row],[!type]])&gt;0,IF(Table23[[#This Row],[!type]]=L$1,"1","rg:None"),"-")</f>
        <v>rg:None</v>
      </c>
      <c r="M57" s="4" t="str">
        <f>IF(LEN(Table23[[#This Row],[!type]])&gt;0,IF(Table23[[#This Row],[!type]]=M$1,"1","rg:None"),"-")</f>
        <v>rg:None</v>
      </c>
      <c r="N57" s="4" t="str">
        <f>IF(LEN(Table23[[#This Row],[!type]])&gt;0,IF(Table23[[#This Row],[!type]]=N$1,"1","rg:None"),"-")</f>
        <v>rg:None</v>
      </c>
      <c r="O57" s="4" t="str">
        <f>IF(LEN(Table23[[#This Row],[!type]])&gt;0,IF(Table23[[#This Row],[!type]]=O$1,"1","rg:None"),"-")</f>
        <v>rg:None</v>
      </c>
      <c r="P57" s="4" t="str">
        <f>IF(LEN(Table23[[#This Row],[!type]])&gt;0,IF(Table23[[#This Row],[!type]]=P$1,"1","rg:None"),"-")</f>
        <v>rg:None</v>
      </c>
      <c r="Q57" s="4" t="str">
        <f>IF(LEN(Table23[[#This Row],[!path]]) &gt;0,Table23[[#This Row],[!path]],"rg:None")</f>
        <v>rentalrequestattachments</v>
      </c>
      <c r="R57" s="4" t="str">
        <f>IF(LEN(Table23[[#This Row],[!tag]]) &gt;0,Table23[[#This Row],[!tag]],"rg:None")</f>
        <v>RentalRequestAttachment</v>
      </c>
      <c r="S57" s="4" t="str">
        <f>IF(LEN(Table23[[#This Row],[!paramDef]]) &gt;0,Table23[[#This Row],[!paramDef]],"rg:None")</f>
        <v>rg:None</v>
      </c>
      <c r="T57" s="4" t="str">
        <f>IF(LEN(Table23[[#This Row],[!respDef]]) &gt;0,Table23[[#This Row],[!respDef]],"rg:None")</f>
        <v>rg:None</v>
      </c>
      <c r="U57" s="4" t="str">
        <f>IF(LEN(Table23[[#This Row],[!Description]]) &gt;0,Table23[[#This Row],[!Description]],"rg:None")</f>
        <v>rg:None</v>
      </c>
      <c r="V57" s="4" t="str">
        <f>IF(LEN(Table23[!permission]) &gt;0,Table23[!permission],"rg:None")</f>
        <v>rg:None</v>
      </c>
    </row>
    <row r="58" spans="1:22" x14ac:dyDescent="0.35">
      <c r="A58" s="35" t="s">
        <v>74</v>
      </c>
      <c r="B58" s="35" t="s">
        <v>497</v>
      </c>
      <c r="C58" t="s">
        <v>436</v>
      </c>
      <c r="D58" s="36" t="s">
        <v>436</v>
      </c>
      <c r="E58" s="44" t="s">
        <v>580</v>
      </c>
      <c r="F58" s="12"/>
      <c r="G58" s="13"/>
      <c r="H58" s="14" t="str">
        <f t="shared" si="5"/>
        <v>Path</v>
      </c>
      <c r="I58" s="4" t="str">
        <f>IF(LEN(Table23[[#This Row],[!type]])&gt;0,IF(Table23[[#This Row],[!type]]=I$1,"1","rg:None"),"-")</f>
        <v>rg:None</v>
      </c>
      <c r="J58" s="4" t="str">
        <f>IF(LEN(Table23[[#This Row],[!type]])&gt;0,IF(Table23[[#This Row],[!type]]=J$1,"1","rg:None"),"-")</f>
        <v>rg:None</v>
      </c>
      <c r="K58" s="4" t="str">
        <f>IF(LEN(Table23[[#This Row],[!type]])&gt;0,IF(Table23[[#This Row],[!type]]=K$1,"1","rg:None"),"-")</f>
        <v>1</v>
      </c>
      <c r="L58" s="4" t="str">
        <f>IF(LEN(Table23[[#This Row],[!type]])&gt;0,IF(Table23[[#This Row],[!type]]=L$1,"1","rg:None"),"-")</f>
        <v>rg:None</v>
      </c>
      <c r="M58" s="4" t="str">
        <f>IF(LEN(Table23[[#This Row],[!type]])&gt;0,IF(Table23[[#This Row],[!type]]=M$1,"1","rg:None"),"-")</f>
        <v>rg:None</v>
      </c>
      <c r="N58" s="4" t="str">
        <f>IF(LEN(Table23[[#This Row],[!type]])&gt;0,IF(Table23[[#This Row],[!type]]=N$1,"1","rg:None"),"-")</f>
        <v>rg:None</v>
      </c>
      <c r="O58" s="4" t="str">
        <f>IF(LEN(Table23[[#This Row],[!type]])&gt;0,IF(Table23[[#This Row],[!type]]=O$1,"1","rg:None"),"-")</f>
        <v>rg:None</v>
      </c>
      <c r="P58" s="4" t="str">
        <f>IF(LEN(Table23[[#This Row],[!type]])&gt;0,IF(Table23[[#This Row],[!type]]=P$1,"1","rg:None"),"-")</f>
        <v>rg:None</v>
      </c>
      <c r="Q58" s="4" t="str">
        <f>IF(LEN(Table23[[#This Row],[!path]]) &gt;0,Table23[[#This Row],[!path]],"rg:None")</f>
        <v>rentalrequestattachments</v>
      </c>
      <c r="R58" s="4" t="str">
        <f>IF(LEN(Table23[[#This Row],[!tag]]) &gt;0,Table23[[#This Row],[!tag]],"rg:None")</f>
        <v>RentalRequestAttachment</v>
      </c>
      <c r="S58" s="4" t="str">
        <f>IF(LEN(Table23[[#This Row],[!paramDef]]) &gt;0,Table23[[#This Row],[!paramDef]],"rg:None")</f>
        <v>RentalRequestAttachment</v>
      </c>
      <c r="T58" s="4" t="str">
        <f>IF(LEN(Table23[[#This Row],[!respDef]]) &gt;0,Table23[[#This Row],[!respDef]],"rg:None")</f>
        <v>rg:None</v>
      </c>
      <c r="U58" s="4" t="str">
        <f>IF(LEN(Table23[[#This Row],[!Description]]) &gt;0,Table23[[#This Row],[!Description]],"rg:None")</f>
        <v>rg:None</v>
      </c>
      <c r="V58" s="4" t="str">
        <f>IF(LEN(Table23[!permission]) &gt;0,Table23[!permission],"rg:None")</f>
        <v>ADMIN</v>
      </c>
    </row>
    <row r="59" spans="1:22" x14ac:dyDescent="0.35">
      <c r="A59" s="35" t="s">
        <v>72</v>
      </c>
      <c r="B59" s="35" t="s">
        <v>498</v>
      </c>
      <c r="C59" t="s">
        <v>421</v>
      </c>
      <c r="D59" s="36" t="s">
        <v>5</v>
      </c>
      <c r="E59" s="44"/>
      <c r="F59" s="12"/>
      <c r="G59" s="13"/>
      <c r="H59" s="14" t="str">
        <f t="shared" si="5"/>
        <v>Path</v>
      </c>
      <c r="I59" s="4" t="str">
        <f>IF(LEN(Table23[[#This Row],[!type]])&gt;0,IF(Table23[[#This Row],[!type]]=I$1,"1","rg:None"),"-")</f>
        <v>1</v>
      </c>
      <c r="J59" s="4" t="str">
        <f>IF(LEN(Table23[[#This Row],[!type]])&gt;0,IF(Table23[[#This Row],[!type]]=J$1,"1","rg:None"),"-")</f>
        <v>rg:None</v>
      </c>
      <c r="K59" s="4" t="str">
        <f>IF(LEN(Table23[[#This Row],[!type]])&gt;0,IF(Table23[[#This Row],[!type]]=K$1,"1","rg:None"),"-")</f>
        <v>rg:None</v>
      </c>
      <c r="L59" s="4" t="str">
        <f>IF(LEN(Table23[[#This Row],[!type]])&gt;0,IF(Table23[[#This Row],[!type]]=L$1,"1","rg:None"),"-")</f>
        <v>rg:None</v>
      </c>
      <c r="M59" s="4" t="str">
        <f>IF(LEN(Table23[[#This Row],[!type]])&gt;0,IF(Table23[[#This Row],[!type]]=M$1,"1","rg:None"),"-")</f>
        <v>rg:None</v>
      </c>
      <c r="N59" s="4" t="str">
        <f>IF(LEN(Table23[[#This Row],[!type]])&gt;0,IF(Table23[[#This Row],[!type]]=N$1,"1","rg:None"),"-")</f>
        <v>rg:None</v>
      </c>
      <c r="O59" s="4" t="str">
        <f>IF(LEN(Table23[[#This Row],[!type]])&gt;0,IF(Table23[[#This Row],[!type]]=O$1,"1","rg:None"),"-")</f>
        <v>rg:None</v>
      </c>
      <c r="P59" s="4" t="str">
        <f>IF(LEN(Table23[[#This Row],[!type]])&gt;0,IF(Table23[[#This Row],[!type]]=P$1,"1","rg:None"),"-")</f>
        <v>rg:None</v>
      </c>
      <c r="Q59" s="4" t="str">
        <f>IF(LEN(Table23[[#This Row],[!path]]) &gt;0,Table23[[#This Row],[!path]],"rg:None")</f>
        <v>rentalrequestrotationlists</v>
      </c>
      <c r="R59" s="4" t="str">
        <f>IF(LEN(Table23[[#This Row],[!tag]]) &gt;0,Table23[[#This Row],[!tag]],"rg:None")</f>
        <v>RentalRequestRotationList</v>
      </c>
      <c r="S59" s="4" t="str">
        <f>IF(LEN(Table23[[#This Row],[!paramDef]]) &gt;0,Table23[[#This Row],[!paramDef]],"rg:None")</f>
        <v>rg:None</v>
      </c>
      <c r="T59" s="4" t="str">
        <f>IF(LEN(Table23[[#This Row],[!respDef]]) &gt;0,Table23[[#This Row],[!respDef]],"rg:None")</f>
        <v>rg:None</v>
      </c>
      <c r="U59" s="4" t="str">
        <f>IF(LEN(Table23[[#This Row],[!Description]]) &gt;0,Table23[[#This Row],[!Description]],"rg:None")</f>
        <v>rg:None</v>
      </c>
      <c r="V59" s="4" t="str">
        <f>IF(LEN(Table23[!permission]) &gt;0,Table23[!permission],"rg:None")</f>
        <v>rg:None</v>
      </c>
    </row>
    <row r="60" spans="1:22" x14ac:dyDescent="0.35">
      <c r="A60" s="35" t="s">
        <v>74</v>
      </c>
      <c r="B60" s="35" t="s">
        <v>498</v>
      </c>
      <c r="C60" t="s">
        <v>421</v>
      </c>
      <c r="D60" s="36" t="s">
        <v>421</v>
      </c>
      <c r="E60" s="44" t="s">
        <v>580</v>
      </c>
      <c r="F60" s="12"/>
      <c r="G60" s="13"/>
      <c r="H60" s="14" t="str">
        <f t="shared" si="5"/>
        <v>Path</v>
      </c>
      <c r="I60" s="4" t="str">
        <f>IF(LEN(Table23[[#This Row],[!type]])&gt;0,IF(Table23[[#This Row],[!type]]=I$1,"1","rg:None"),"-")</f>
        <v>rg:None</v>
      </c>
      <c r="J60" s="4" t="str">
        <f>IF(LEN(Table23[[#This Row],[!type]])&gt;0,IF(Table23[[#This Row],[!type]]=J$1,"1","rg:None"),"-")</f>
        <v>rg:None</v>
      </c>
      <c r="K60" s="4" t="str">
        <f>IF(LEN(Table23[[#This Row],[!type]])&gt;0,IF(Table23[[#This Row],[!type]]=K$1,"1","rg:None"),"-")</f>
        <v>1</v>
      </c>
      <c r="L60" s="4" t="str">
        <f>IF(LEN(Table23[[#This Row],[!type]])&gt;0,IF(Table23[[#This Row],[!type]]=L$1,"1","rg:None"),"-")</f>
        <v>rg:None</v>
      </c>
      <c r="M60" s="4" t="str">
        <f>IF(LEN(Table23[[#This Row],[!type]])&gt;0,IF(Table23[[#This Row],[!type]]=M$1,"1","rg:None"),"-")</f>
        <v>rg:None</v>
      </c>
      <c r="N60" s="4" t="str">
        <f>IF(LEN(Table23[[#This Row],[!type]])&gt;0,IF(Table23[[#This Row],[!type]]=N$1,"1","rg:None"),"-")</f>
        <v>rg:None</v>
      </c>
      <c r="O60" s="4" t="str">
        <f>IF(LEN(Table23[[#This Row],[!type]])&gt;0,IF(Table23[[#This Row],[!type]]=O$1,"1","rg:None"),"-")</f>
        <v>rg:None</v>
      </c>
      <c r="P60" s="4" t="str">
        <f>IF(LEN(Table23[[#This Row],[!type]])&gt;0,IF(Table23[[#This Row],[!type]]=P$1,"1","rg:None"),"-")</f>
        <v>rg:None</v>
      </c>
      <c r="Q60" s="4" t="str">
        <f>IF(LEN(Table23[[#This Row],[!path]]) &gt;0,Table23[[#This Row],[!path]],"rg:None")</f>
        <v>rentalrequestrotationlists</v>
      </c>
      <c r="R60" s="4" t="str">
        <f>IF(LEN(Table23[[#This Row],[!tag]]) &gt;0,Table23[[#This Row],[!tag]],"rg:None")</f>
        <v>RentalRequestRotationList</v>
      </c>
      <c r="S60" s="4" t="str">
        <f>IF(LEN(Table23[[#This Row],[!paramDef]]) &gt;0,Table23[[#This Row],[!paramDef]],"rg:None")</f>
        <v>RentalRequestRotationList</v>
      </c>
      <c r="T60" s="4" t="str">
        <f>IF(LEN(Table23[[#This Row],[!respDef]]) &gt;0,Table23[[#This Row],[!respDef]],"rg:None")</f>
        <v>rg:None</v>
      </c>
      <c r="U60" s="4" t="str">
        <f>IF(LEN(Table23[[#This Row],[!Description]]) &gt;0,Table23[[#This Row],[!Description]],"rg:None")</f>
        <v>rg:None</v>
      </c>
      <c r="V60" s="4" t="str">
        <f>IF(LEN(Table23[!permission]) &gt;0,Table23[!permission],"rg:None")</f>
        <v>ADMIN</v>
      </c>
    </row>
    <row r="61" spans="1:22" x14ac:dyDescent="0.35">
      <c r="A61" s="35" t="s">
        <v>72</v>
      </c>
      <c r="B61" s="35" t="s">
        <v>101</v>
      </c>
      <c r="C61" t="s">
        <v>52</v>
      </c>
      <c r="D61" s="36" t="s">
        <v>5</v>
      </c>
      <c r="E61" s="36"/>
      <c r="F61" s="12"/>
      <c r="G61" s="13"/>
      <c r="H61" s="14" t="str">
        <f t="shared" si="5"/>
        <v>Path</v>
      </c>
      <c r="I61" s="4" t="str">
        <f>IF(LEN(Table23[[#This Row],[!type]])&gt;0,IF(Table23[[#This Row],[!type]]=I$1,"1","rg:None"),"-")</f>
        <v>1</v>
      </c>
      <c r="J61" s="4" t="str">
        <f>IF(LEN(Table23[[#This Row],[!type]])&gt;0,IF(Table23[[#This Row],[!type]]=J$1,"1","rg:None"),"-")</f>
        <v>rg:None</v>
      </c>
      <c r="K61" s="4" t="str">
        <f>IF(LEN(Table23[[#This Row],[!type]])&gt;0,IF(Table23[[#This Row],[!type]]=K$1,"1","rg:None"),"-")</f>
        <v>rg:None</v>
      </c>
      <c r="L61" s="4" t="str">
        <f>IF(LEN(Table23[[#This Row],[!type]])&gt;0,IF(Table23[[#This Row],[!type]]=L$1,"1","rg:None"),"-")</f>
        <v>rg:None</v>
      </c>
      <c r="M61" s="4" t="str">
        <f>IF(LEN(Table23[[#This Row],[!type]])&gt;0,IF(Table23[[#This Row],[!type]]=M$1,"1","rg:None"),"-")</f>
        <v>rg:None</v>
      </c>
      <c r="N61" s="4" t="str">
        <f>IF(LEN(Table23[[#This Row],[!type]])&gt;0,IF(Table23[[#This Row],[!type]]=N$1,"1","rg:None"),"-")</f>
        <v>rg:None</v>
      </c>
      <c r="O61" s="4" t="str">
        <f>IF(LEN(Table23[[#This Row],[!type]])&gt;0,IF(Table23[[#This Row],[!type]]=O$1,"1","rg:None"),"-")</f>
        <v>rg:None</v>
      </c>
      <c r="P61" s="4" t="str">
        <f>IF(LEN(Table23[[#This Row],[!type]])&gt;0,IF(Table23[[#This Row],[!type]]=P$1,"1","rg:None"),"-")</f>
        <v>rg:None</v>
      </c>
      <c r="Q61" s="4" t="str">
        <f>IF(LEN(Table23[[#This Row],[!path]]) &gt;0,Table23[[#This Row],[!path]],"rg:None")</f>
        <v>rolepermissions</v>
      </c>
      <c r="R61" s="4" t="str">
        <f>IF(LEN(Table23[[#This Row],[!tag]]) &gt;0,Table23[[#This Row],[!tag]],"rg:None")</f>
        <v>RolePermission</v>
      </c>
      <c r="S61" s="4" t="str">
        <f>IF(LEN(Table23[[#This Row],[!paramDef]]) &gt;0,Table23[[#This Row],[!paramDef]],"rg:None")</f>
        <v>rg:None</v>
      </c>
      <c r="T61" s="4" t="str">
        <f>IF(LEN(Table23[[#This Row],[!respDef]]) &gt;0,Table23[[#This Row],[!respDef]],"rg:None")</f>
        <v>rg:None</v>
      </c>
      <c r="U61" s="4" t="str">
        <f>IF(LEN(Table23[[#This Row],[!Description]]) &gt;0,Table23[[#This Row],[!Description]],"rg:None")</f>
        <v>rg:None</v>
      </c>
      <c r="V61" s="4" t="str">
        <f>IF(LEN(Table23[!permission]) &gt;0,Table23[!permission],"rg:None")</f>
        <v>rg:None</v>
      </c>
    </row>
    <row r="62" spans="1:22" x14ac:dyDescent="0.35">
      <c r="A62" s="35" t="s">
        <v>74</v>
      </c>
      <c r="B62" s="35" t="s">
        <v>101</v>
      </c>
      <c r="C62" t="s">
        <v>52</v>
      </c>
      <c r="D62" s="36" t="s">
        <v>52</v>
      </c>
      <c r="E62" s="44" t="s">
        <v>580</v>
      </c>
      <c r="F62" s="12"/>
      <c r="G62" s="13"/>
      <c r="H62" s="14" t="str">
        <f t="shared" si="5"/>
        <v>Path</v>
      </c>
      <c r="I62" s="4" t="str">
        <f>IF(LEN(Table23[[#This Row],[!type]])&gt;0,IF(Table23[[#This Row],[!type]]=I$1,"1","rg:None"),"-")</f>
        <v>rg:None</v>
      </c>
      <c r="J62" s="4" t="str">
        <f>IF(LEN(Table23[[#This Row],[!type]])&gt;0,IF(Table23[[#This Row],[!type]]=J$1,"1","rg:None"),"-")</f>
        <v>rg:None</v>
      </c>
      <c r="K62" s="4" t="str">
        <f>IF(LEN(Table23[[#This Row],[!type]])&gt;0,IF(Table23[[#This Row],[!type]]=K$1,"1","rg:None"),"-")</f>
        <v>1</v>
      </c>
      <c r="L62" s="4" t="str">
        <f>IF(LEN(Table23[[#This Row],[!type]])&gt;0,IF(Table23[[#This Row],[!type]]=L$1,"1","rg:None"),"-")</f>
        <v>rg:None</v>
      </c>
      <c r="M62" s="4" t="str">
        <f>IF(LEN(Table23[[#This Row],[!type]])&gt;0,IF(Table23[[#This Row],[!type]]=M$1,"1","rg:None"),"-")</f>
        <v>rg:None</v>
      </c>
      <c r="N62" s="4" t="str">
        <f>IF(LEN(Table23[[#This Row],[!type]])&gt;0,IF(Table23[[#This Row],[!type]]=N$1,"1","rg:None"),"-")</f>
        <v>rg:None</v>
      </c>
      <c r="O62" s="4" t="str">
        <f>IF(LEN(Table23[[#This Row],[!type]])&gt;0,IF(Table23[[#This Row],[!type]]=O$1,"1","rg:None"),"-")</f>
        <v>rg:None</v>
      </c>
      <c r="P62" s="4" t="str">
        <f>IF(LEN(Table23[[#This Row],[!type]])&gt;0,IF(Table23[[#This Row],[!type]]=P$1,"1","rg:None"),"-")</f>
        <v>rg:None</v>
      </c>
      <c r="Q62" s="4" t="str">
        <f>IF(LEN(Table23[[#This Row],[!path]]) &gt;0,Table23[[#This Row],[!path]],"rg:None")</f>
        <v>rolepermissions</v>
      </c>
      <c r="R62" s="4" t="str">
        <f>IF(LEN(Table23[[#This Row],[!tag]]) &gt;0,Table23[[#This Row],[!tag]],"rg:None")</f>
        <v>RolePermission</v>
      </c>
      <c r="S62" s="4" t="str">
        <f>IF(LEN(Table23[[#This Row],[!paramDef]]) &gt;0,Table23[[#This Row],[!paramDef]],"rg:None")</f>
        <v>RolePermission</v>
      </c>
      <c r="T62" s="4" t="str">
        <f>IF(LEN(Table23[[#This Row],[!respDef]]) &gt;0,Table23[[#This Row],[!respDef]],"rg:None")</f>
        <v>rg:None</v>
      </c>
      <c r="U62" s="4" t="str">
        <f>IF(LEN(Table23[[#This Row],[!Description]]) &gt;0,Table23[[#This Row],[!Description]],"rg:None")</f>
        <v>rg:None</v>
      </c>
      <c r="V62" s="4" t="str">
        <f>IF(LEN(Table23[!permission]) &gt;0,Table23[!permission],"rg:None")</f>
        <v>ADMIN</v>
      </c>
    </row>
    <row r="63" spans="1:22" x14ac:dyDescent="0.35">
      <c r="A63" s="35" t="s">
        <v>72</v>
      </c>
      <c r="B63" s="35" t="s">
        <v>499</v>
      </c>
      <c r="C63" t="s">
        <v>144</v>
      </c>
      <c r="D63" s="36" t="s">
        <v>5</v>
      </c>
      <c r="E63" s="36"/>
      <c r="F63" s="12"/>
      <c r="G63" s="13"/>
      <c r="H63" s="14" t="str">
        <f t="shared" si="5"/>
        <v>Path</v>
      </c>
      <c r="I63" s="4" t="str">
        <f>IF(LEN(Table23[[#This Row],[!type]])&gt;0,IF(Table23[[#This Row],[!type]]=I$1,"1","rg:None"),"-")</f>
        <v>1</v>
      </c>
      <c r="J63" s="4" t="str">
        <f>IF(LEN(Table23[[#This Row],[!type]])&gt;0,IF(Table23[[#This Row],[!type]]=J$1,"1","rg:None"),"-")</f>
        <v>rg:None</v>
      </c>
      <c r="K63" s="4" t="str">
        <f>IF(LEN(Table23[[#This Row],[!type]])&gt;0,IF(Table23[[#This Row],[!type]]=K$1,"1","rg:None"),"-")</f>
        <v>rg:None</v>
      </c>
      <c r="L63" s="4" t="str">
        <f>IF(LEN(Table23[[#This Row],[!type]])&gt;0,IF(Table23[[#This Row],[!type]]=L$1,"1","rg:None"),"-")</f>
        <v>rg:None</v>
      </c>
      <c r="M63" s="4" t="str">
        <f>IF(LEN(Table23[[#This Row],[!type]])&gt;0,IF(Table23[[#This Row],[!type]]=M$1,"1","rg:None"),"-")</f>
        <v>rg:None</v>
      </c>
      <c r="N63" s="4" t="str">
        <f>IF(LEN(Table23[[#This Row],[!type]])&gt;0,IF(Table23[[#This Row],[!type]]=N$1,"1","rg:None"),"-")</f>
        <v>rg:None</v>
      </c>
      <c r="O63" s="4" t="str">
        <f>IF(LEN(Table23[[#This Row],[!type]])&gt;0,IF(Table23[[#This Row],[!type]]=O$1,"1","rg:None"),"-")</f>
        <v>rg:None</v>
      </c>
      <c r="P63" s="4" t="str">
        <f>IF(LEN(Table23[[#This Row],[!type]])&gt;0,IF(Table23[[#This Row],[!type]]=P$1,"1","rg:None"),"-")</f>
        <v>rg:None</v>
      </c>
      <c r="Q63" s="4" t="str">
        <f>IF(LEN(Table23[[#This Row],[!path]]) &gt;0,Table23[[#This Row],[!path]],"rg:None")</f>
        <v>seniorityaudits</v>
      </c>
      <c r="R63" s="4" t="str">
        <f>IF(LEN(Table23[[#This Row],[!tag]]) &gt;0,Table23[[#This Row],[!tag]],"rg:None")</f>
        <v>SeniorityAudit</v>
      </c>
      <c r="S63" s="4" t="str">
        <f>IF(LEN(Table23[[#This Row],[!paramDef]]) &gt;0,Table23[[#This Row],[!paramDef]],"rg:None")</f>
        <v>rg:None</v>
      </c>
      <c r="T63" s="4" t="str">
        <f>IF(LEN(Table23[[#This Row],[!respDef]]) &gt;0,Table23[[#This Row],[!respDef]],"rg:None")</f>
        <v>rg:None</v>
      </c>
      <c r="U63" s="4" t="str">
        <f>IF(LEN(Table23[[#This Row],[!Description]]) &gt;0,Table23[[#This Row],[!Description]],"rg:None")</f>
        <v>rg:None</v>
      </c>
      <c r="V63" s="4" t="str">
        <f>IF(LEN(Table23[!permission]) &gt;0,Table23[!permission],"rg:None")</f>
        <v>rg:None</v>
      </c>
    </row>
    <row r="64" spans="1:22" x14ac:dyDescent="0.35">
      <c r="A64" s="35" t="s">
        <v>74</v>
      </c>
      <c r="B64" s="35" t="s">
        <v>499</v>
      </c>
      <c r="C64" t="s">
        <v>144</v>
      </c>
      <c r="D64" s="36" t="s">
        <v>144</v>
      </c>
      <c r="E64" s="45" t="s">
        <v>580</v>
      </c>
      <c r="F64" s="12"/>
      <c r="G64" s="13"/>
      <c r="H64" s="14" t="str">
        <f t="shared" si="5"/>
        <v>Path</v>
      </c>
      <c r="I64" s="4" t="str">
        <f>IF(LEN(Table23[[#This Row],[!type]])&gt;0,IF(Table23[[#This Row],[!type]]=I$1,"1","rg:None"),"-")</f>
        <v>rg:None</v>
      </c>
      <c r="J64" s="4" t="str">
        <f>IF(LEN(Table23[[#This Row],[!type]])&gt;0,IF(Table23[[#This Row],[!type]]=J$1,"1","rg:None"),"-")</f>
        <v>rg:None</v>
      </c>
      <c r="K64" s="4" t="str">
        <f>IF(LEN(Table23[[#This Row],[!type]])&gt;0,IF(Table23[[#This Row],[!type]]=K$1,"1","rg:None"),"-")</f>
        <v>1</v>
      </c>
      <c r="L64" s="4" t="str">
        <f>IF(LEN(Table23[[#This Row],[!type]])&gt;0,IF(Table23[[#This Row],[!type]]=L$1,"1","rg:None"),"-")</f>
        <v>rg:None</v>
      </c>
      <c r="M64" s="4" t="str">
        <f>IF(LEN(Table23[[#This Row],[!type]])&gt;0,IF(Table23[[#This Row],[!type]]=M$1,"1","rg:None"),"-")</f>
        <v>rg:None</v>
      </c>
      <c r="N64" s="4" t="str">
        <f>IF(LEN(Table23[[#This Row],[!type]])&gt;0,IF(Table23[[#This Row],[!type]]=N$1,"1","rg:None"),"-")</f>
        <v>rg:None</v>
      </c>
      <c r="O64" s="4" t="str">
        <f>IF(LEN(Table23[[#This Row],[!type]])&gt;0,IF(Table23[[#This Row],[!type]]=O$1,"1","rg:None"),"-")</f>
        <v>rg:None</v>
      </c>
      <c r="P64" s="4" t="str">
        <f>IF(LEN(Table23[[#This Row],[!type]])&gt;0,IF(Table23[[#This Row],[!type]]=P$1,"1","rg:None"),"-")</f>
        <v>rg:None</v>
      </c>
      <c r="Q64" s="4" t="str">
        <f>IF(LEN(Table23[[#This Row],[!path]]) &gt;0,Table23[[#This Row],[!path]],"rg:None")</f>
        <v>seniorityaudits</v>
      </c>
      <c r="R64" s="4" t="str">
        <f>IF(LEN(Table23[[#This Row],[!tag]]) &gt;0,Table23[[#This Row],[!tag]],"rg:None")</f>
        <v>SeniorityAudit</v>
      </c>
      <c r="S64" s="4" t="str">
        <f>IF(LEN(Table23[[#This Row],[!paramDef]]) &gt;0,Table23[[#This Row],[!paramDef]],"rg:None")</f>
        <v>SeniorityAudit</v>
      </c>
      <c r="T64" s="4" t="str">
        <f>IF(LEN(Table23[[#This Row],[!respDef]]) &gt;0,Table23[[#This Row],[!respDef]],"rg:None")</f>
        <v>rg:None</v>
      </c>
      <c r="U64" s="4" t="str">
        <f>IF(LEN(Table23[[#This Row],[!Description]]) &gt;0,Table23[[#This Row],[!Description]],"rg:None")</f>
        <v>rg:None</v>
      </c>
      <c r="V64" s="4" t="str">
        <f>IF(LEN(Table23[!permission]) &gt;0,Table23[!permission],"rg:None")</f>
        <v>ADMIN</v>
      </c>
    </row>
    <row r="65" spans="1:22" x14ac:dyDescent="0.35">
      <c r="A65" s="35" t="s">
        <v>72</v>
      </c>
      <c r="B65" s="35" t="s">
        <v>500</v>
      </c>
      <c r="C65" t="s">
        <v>196</v>
      </c>
      <c r="D65" s="36" t="s">
        <v>5</v>
      </c>
      <c r="E65" s="45"/>
      <c r="F65" s="12"/>
      <c r="G65" s="13"/>
      <c r="H65" s="14" t="str">
        <f t="shared" si="5"/>
        <v>Path</v>
      </c>
      <c r="I65" s="4" t="str">
        <f>IF(LEN(Table23[[#This Row],[!type]])&gt;0,IF(Table23[[#This Row],[!type]]=I$1,"1","rg:None"),"-")</f>
        <v>1</v>
      </c>
      <c r="J65" s="4" t="str">
        <f>IF(LEN(Table23[[#This Row],[!type]])&gt;0,IF(Table23[[#This Row],[!type]]=J$1,"1","rg:None"),"-")</f>
        <v>rg:None</v>
      </c>
      <c r="K65" s="4" t="str">
        <f>IF(LEN(Table23[[#This Row],[!type]])&gt;0,IF(Table23[[#This Row],[!type]]=K$1,"1","rg:None"),"-")</f>
        <v>rg:None</v>
      </c>
      <c r="L65" s="4" t="str">
        <f>IF(LEN(Table23[[#This Row],[!type]])&gt;0,IF(Table23[[#This Row],[!type]]=L$1,"1","rg:None"),"-")</f>
        <v>rg:None</v>
      </c>
      <c r="M65" s="4" t="str">
        <f>IF(LEN(Table23[[#This Row],[!type]])&gt;0,IF(Table23[[#This Row],[!type]]=M$1,"1","rg:None"),"-")</f>
        <v>rg:None</v>
      </c>
      <c r="N65" s="4" t="str">
        <f>IF(LEN(Table23[[#This Row],[!type]])&gt;0,IF(Table23[[#This Row],[!type]]=N$1,"1","rg:None"),"-")</f>
        <v>rg:None</v>
      </c>
      <c r="O65" s="4" t="str">
        <f>IF(LEN(Table23[[#This Row],[!type]])&gt;0,IF(Table23[[#This Row],[!type]]=O$1,"1","rg:None"),"-")</f>
        <v>rg:None</v>
      </c>
      <c r="P65" s="4" t="str">
        <f>IF(LEN(Table23[[#This Row],[!type]])&gt;0,IF(Table23[[#This Row],[!type]]=P$1,"1","rg:None"),"-")</f>
        <v>rg:None</v>
      </c>
      <c r="Q65" s="4" t="str">
        <f>IF(LEN(Table23[[#This Row],[!path]]) &gt;0,Table23[[#This Row],[!path]],"rg:None")</f>
        <v>timerecords</v>
      </c>
      <c r="R65" s="4" t="str">
        <f>IF(LEN(Table23[[#This Row],[!tag]]) &gt;0,Table23[[#This Row],[!tag]],"rg:None")</f>
        <v>TimeRecord</v>
      </c>
      <c r="S65" s="4" t="str">
        <f>IF(LEN(Table23[[#This Row],[!paramDef]]) &gt;0,Table23[[#This Row],[!paramDef]],"rg:None")</f>
        <v>rg:None</v>
      </c>
      <c r="T65" s="4" t="str">
        <f>IF(LEN(Table23[[#This Row],[!respDef]]) &gt;0,Table23[[#This Row],[!respDef]],"rg:None")</f>
        <v>rg:None</v>
      </c>
      <c r="U65" s="4" t="str">
        <f>IF(LEN(Table23[[#This Row],[!Description]]) &gt;0,Table23[[#This Row],[!Description]],"rg:None")</f>
        <v>rg:None</v>
      </c>
      <c r="V65" s="4" t="str">
        <f>IF(LEN(Table23[!permission]) &gt;0,Table23[!permission],"rg:None")</f>
        <v>rg:None</v>
      </c>
    </row>
    <row r="66" spans="1:22" x14ac:dyDescent="0.35">
      <c r="A66" s="35" t="s">
        <v>74</v>
      </c>
      <c r="B66" s="35" t="s">
        <v>500</v>
      </c>
      <c r="C66" t="s">
        <v>196</v>
      </c>
      <c r="D66" s="36" t="s">
        <v>196</v>
      </c>
      <c r="E66" s="45" t="s">
        <v>580</v>
      </c>
      <c r="F66" s="12"/>
      <c r="G66" s="13"/>
      <c r="H66" s="14" t="str">
        <f t="shared" si="5"/>
        <v>Path</v>
      </c>
      <c r="I66" s="4" t="str">
        <f>IF(LEN(Table23[[#This Row],[!type]])&gt;0,IF(Table23[[#This Row],[!type]]=I$1,"1","rg:None"),"-")</f>
        <v>rg:None</v>
      </c>
      <c r="J66" s="4" t="str">
        <f>IF(LEN(Table23[[#This Row],[!type]])&gt;0,IF(Table23[[#This Row],[!type]]=J$1,"1","rg:None"),"-")</f>
        <v>rg:None</v>
      </c>
      <c r="K66" s="4" t="str">
        <f>IF(LEN(Table23[[#This Row],[!type]])&gt;0,IF(Table23[[#This Row],[!type]]=K$1,"1","rg:None"),"-")</f>
        <v>1</v>
      </c>
      <c r="L66" s="4" t="str">
        <f>IF(LEN(Table23[[#This Row],[!type]])&gt;0,IF(Table23[[#This Row],[!type]]=L$1,"1","rg:None"),"-")</f>
        <v>rg:None</v>
      </c>
      <c r="M66" s="4" t="str">
        <f>IF(LEN(Table23[[#This Row],[!type]])&gt;0,IF(Table23[[#This Row],[!type]]=M$1,"1","rg:None"),"-")</f>
        <v>rg:None</v>
      </c>
      <c r="N66" s="4" t="str">
        <f>IF(LEN(Table23[[#This Row],[!type]])&gt;0,IF(Table23[[#This Row],[!type]]=N$1,"1","rg:None"),"-")</f>
        <v>rg:None</v>
      </c>
      <c r="O66" s="4" t="str">
        <f>IF(LEN(Table23[[#This Row],[!type]])&gt;0,IF(Table23[[#This Row],[!type]]=O$1,"1","rg:None"),"-")</f>
        <v>rg:None</v>
      </c>
      <c r="P66" s="4" t="str">
        <f>IF(LEN(Table23[[#This Row],[!type]])&gt;0,IF(Table23[[#This Row],[!type]]=P$1,"1","rg:None"),"-")</f>
        <v>rg:None</v>
      </c>
      <c r="Q66" s="4" t="str">
        <f>IF(LEN(Table23[[#This Row],[!path]]) &gt;0,Table23[[#This Row],[!path]],"rg:None")</f>
        <v>timerecords</v>
      </c>
      <c r="R66" s="4" t="str">
        <f>IF(LEN(Table23[[#This Row],[!tag]]) &gt;0,Table23[[#This Row],[!tag]],"rg:None")</f>
        <v>TimeRecord</v>
      </c>
      <c r="S66" s="4" t="str">
        <f>IF(LEN(Table23[[#This Row],[!paramDef]]) &gt;0,Table23[[#This Row],[!paramDef]],"rg:None")</f>
        <v>TimeRecord</v>
      </c>
      <c r="T66" s="4" t="str">
        <f>IF(LEN(Table23[[#This Row],[!respDef]]) &gt;0,Table23[[#This Row],[!respDef]],"rg:None")</f>
        <v>rg:None</v>
      </c>
      <c r="U66" s="4" t="str">
        <f>IF(LEN(Table23[[#This Row],[!Description]]) &gt;0,Table23[[#This Row],[!Description]],"rg:None")</f>
        <v>rg:None</v>
      </c>
      <c r="V66" s="4" t="str">
        <f>IF(LEN(Table23[!permission]) &gt;0,Table23[!permission],"rg:None")</f>
        <v>ADMIN</v>
      </c>
    </row>
    <row r="67" spans="1:22" x14ac:dyDescent="0.35">
      <c r="A67" s="35" t="s">
        <v>72</v>
      </c>
      <c r="B67" s="35" t="s">
        <v>501</v>
      </c>
      <c r="C67" t="s">
        <v>22</v>
      </c>
      <c r="D67" s="36" t="s">
        <v>5</v>
      </c>
      <c r="E67" s="45"/>
      <c r="F67" s="12"/>
      <c r="G67" s="13"/>
      <c r="H67" s="14" t="str">
        <f t="shared" si="5"/>
        <v>Path</v>
      </c>
      <c r="I67" s="4" t="str">
        <f>IF(LEN(Table23[[#This Row],[!type]])&gt;0,IF(Table23[[#This Row],[!type]]=I$1,"1","rg:None"),"-")</f>
        <v>1</v>
      </c>
      <c r="J67" s="4" t="str">
        <f>IF(LEN(Table23[[#This Row],[!type]])&gt;0,IF(Table23[[#This Row],[!type]]=J$1,"1","rg:None"),"-")</f>
        <v>rg:None</v>
      </c>
      <c r="K67" s="4" t="str">
        <f>IF(LEN(Table23[[#This Row],[!type]])&gt;0,IF(Table23[[#This Row],[!type]]=K$1,"1","rg:None"),"-")</f>
        <v>rg:None</v>
      </c>
      <c r="L67" s="4" t="str">
        <f>IF(LEN(Table23[[#This Row],[!type]])&gt;0,IF(Table23[[#This Row],[!type]]=L$1,"1","rg:None"),"-")</f>
        <v>rg:None</v>
      </c>
      <c r="M67" s="4" t="str">
        <f>IF(LEN(Table23[[#This Row],[!type]])&gt;0,IF(Table23[[#This Row],[!type]]=M$1,"1","rg:None"),"-")</f>
        <v>rg:None</v>
      </c>
      <c r="N67" s="4" t="str">
        <f>IF(LEN(Table23[[#This Row],[!type]])&gt;0,IF(Table23[[#This Row],[!type]]=N$1,"1","rg:None"),"-")</f>
        <v>rg:None</v>
      </c>
      <c r="O67" s="4" t="str">
        <f>IF(LEN(Table23[[#This Row],[!type]])&gt;0,IF(Table23[[#This Row],[!type]]=O$1,"1","rg:None"),"-")</f>
        <v>rg:None</v>
      </c>
      <c r="P67" s="4" t="str">
        <f>IF(LEN(Table23[[#This Row],[!type]])&gt;0,IF(Table23[[#This Row],[!type]]=P$1,"1","rg:None"),"-")</f>
        <v>rg:None</v>
      </c>
      <c r="Q67" s="4" t="str">
        <f>IF(LEN(Table23[[#This Row],[!path]]) &gt;0,Table23[[#This Row],[!path]],"rg:None")</f>
        <v>userfavourites</v>
      </c>
      <c r="R67" s="4" t="str">
        <f>IF(LEN(Table23[[#This Row],[!tag]]) &gt;0,Table23[[#This Row],[!tag]],"rg:None")</f>
        <v>UserFavourite</v>
      </c>
      <c r="S67" s="4" t="str">
        <f>IF(LEN(Table23[[#This Row],[!paramDef]]) &gt;0,Table23[[#This Row],[!paramDef]],"rg:None")</f>
        <v>rg:None</v>
      </c>
      <c r="T67" s="4" t="str">
        <f>IF(LEN(Table23[[#This Row],[!respDef]]) &gt;0,Table23[[#This Row],[!respDef]],"rg:None")</f>
        <v>rg:None</v>
      </c>
      <c r="U67" s="4" t="str">
        <f>IF(LEN(Table23[[#This Row],[!Description]]) &gt;0,Table23[[#This Row],[!Description]],"rg:None")</f>
        <v>rg:None</v>
      </c>
      <c r="V67" s="4" t="str">
        <f>IF(LEN(Table23[!permission]) &gt;0,Table23[!permission],"rg:None")</f>
        <v>rg:None</v>
      </c>
    </row>
    <row r="68" spans="1:22" x14ac:dyDescent="0.35">
      <c r="A68" s="35" t="s">
        <v>74</v>
      </c>
      <c r="B68" s="35" t="s">
        <v>501</v>
      </c>
      <c r="C68" t="s">
        <v>22</v>
      </c>
      <c r="D68" s="36" t="s">
        <v>22</v>
      </c>
      <c r="E68" s="45" t="s">
        <v>580</v>
      </c>
      <c r="F68" s="12"/>
      <c r="G68" s="13"/>
      <c r="H68" s="14" t="str">
        <f t="shared" si="5"/>
        <v>Path</v>
      </c>
      <c r="I68" s="4" t="str">
        <f>IF(LEN(Table23[[#This Row],[!type]])&gt;0,IF(Table23[[#This Row],[!type]]=I$1,"1","rg:None"),"-")</f>
        <v>rg:None</v>
      </c>
      <c r="J68" s="4" t="str">
        <f>IF(LEN(Table23[[#This Row],[!type]])&gt;0,IF(Table23[[#This Row],[!type]]=J$1,"1","rg:None"),"-")</f>
        <v>rg:None</v>
      </c>
      <c r="K68" s="4" t="str">
        <f>IF(LEN(Table23[[#This Row],[!type]])&gt;0,IF(Table23[[#This Row],[!type]]=K$1,"1","rg:None"),"-")</f>
        <v>1</v>
      </c>
      <c r="L68" s="4" t="str">
        <f>IF(LEN(Table23[[#This Row],[!type]])&gt;0,IF(Table23[[#This Row],[!type]]=L$1,"1","rg:None"),"-")</f>
        <v>rg:None</v>
      </c>
      <c r="M68" s="4" t="str">
        <f>IF(LEN(Table23[[#This Row],[!type]])&gt;0,IF(Table23[[#This Row],[!type]]=M$1,"1","rg:None"),"-")</f>
        <v>rg:None</v>
      </c>
      <c r="N68" s="4" t="str">
        <f>IF(LEN(Table23[[#This Row],[!type]])&gt;0,IF(Table23[[#This Row],[!type]]=N$1,"1","rg:None"),"-")</f>
        <v>rg:None</v>
      </c>
      <c r="O68" s="4" t="str">
        <f>IF(LEN(Table23[[#This Row],[!type]])&gt;0,IF(Table23[[#This Row],[!type]]=O$1,"1","rg:None"),"-")</f>
        <v>rg:None</v>
      </c>
      <c r="P68" s="4" t="str">
        <f>IF(LEN(Table23[[#This Row],[!type]])&gt;0,IF(Table23[[#This Row],[!type]]=P$1,"1","rg:None"),"-")</f>
        <v>rg:None</v>
      </c>
      <c r="Q68" s="4" t="str">
        <f>IF(LEN(Table23[[#This Row],[!path]]) &gt;0,Table23[[#This Row],[!path]],"rg:None")</f>
        <v>userfavourites</v>
      </c>
      <c r="R68" s="4" t="str">
        <f>IF(LEN(Table23[[#This Row],[!tag]]) &gt;0,Table23[[#This Row],[!tag]],"rg:None")</f>
        <v>UserFavourite</v>
      </c>
      <c r="S68" s="4" t="str">
        <f>IF(LEN(Table23[[#This Row],[!paramDef]]) &gt;0,Table23[[#This Row],[!paramDef]],"rg:None")</f>
        <v>UserFavourite</v>
      </c>
      <c r="T68" s="4" t="str">
        <f>IF(LEN(Table23[[#This Row],[!respDef]]) &gt;0,Table23[[#This Row],[!respDef]],"rg:None")</f>
        <v>rg:None</v>
      </c>
      <c r="U68" s="4" t="str">
        <f>IF(LEN(Table23[[#This Row],[!Description]]) &gt;0,Table23[[#This Row],[!Description]],"rg:None")</f>
        <v>rg:None</v>
      </c>
      <c r="V68" s="4" t="str">
        <f>IF(LEN(Table23[!permission]) &gt;0,Table23[!permission],"rg:None")</f>
        <v>ADMIN</v>
      </c>
    </row>
    <row r="69" spans="1:22" x14ac:dyDescent="0.35">
      <c r="A69" s="35" t="s">
        <v>72</v>
      </c>
      <c r="B69" s="35" t="s">
        <v>96</v>
      </c>
      <c r="C69" t="s">
        <v>48</v>
      </c>
      <c r="D69" s="36" t="s">
        <v>5</v>
      </c>
      <c r="E69" s="44" t="s">
        <v>580</v>
      </c>
      <c r="F69" s="12"/>
      <c r="G69" s="13"/>
      <c r="H69" s="14" t="str">
        <f t="shared" si="5"/>
        <v>Path</v>
      </c>
      <c r="I69" s="4" t="str">
        <f>IF(LEN(Table23[[#This Row],[!type]])&gt;0,IF(Table23[[#This Row],[!type]]=I$1,"1","rg:None"),"-")</f>
        <v>1</v>
      </c>
      <c r="J69" s="4" t="str">
        <f>IF(LEN(Table23[[#This Row],[!type]])&gt;0,IF(Table23[[#This Row],[!type]]=J$1,"1","rg:None"),"-")</f>
        <v>rg:None</v>
      </c>
      <c r="K69" s="4" t="str">
        <f>IF(LEN(Table23[[#This Row],[!type]])&gt;0,IF(Table23[[#This Row],[!type]]=K$1,"1","rg:None"),"-")</f>
        <v>rg:None</v>
      </c>
      <c r="L69" s="4" t="str">
        <f>IF(LEN(Table23[[#This Row],[!type]])&gt;0,IF(Table23[[#This Row],[!type]]=L$1,"1","rg:None"),"-")</f>
        <v>rg:None</v>
      </c>
      <c r="M69" s="4" t="str">
        <f>IF(LEN(Table23[[#This Row],[!type]])&gt;0,IF(Table23[[#This Row],[!type]]=M$1,"1","rg:None"),"-")</f>
        <v>rg:None</v>
      </c>
      <c r="N69" s="4" t="str">
        <f>IF(LEN(Table23[[#This Row],[!type]])&gt;0,IF(Table23[[#This Row],[!type]]=N$1,"1","rg:None"),"-")</f>
        <v>rg:None</v>
      </c>
      <c r="O69" s="4" t="str">
        <f>IF(LEN(Table23[[#This Row],[!type]])&gt;0,IF(Table23[[#This Row],[!type]]=O$1,"1","rg:None"),"-")</f>
        <v>rg:None</v>
      </c>
      <c r="P69" s="4" t="str">
        <f>IF(LEN(Table23[[#This Row],[!type]])&gt;0,IF(Table23[[#This Row],[!type]]=P$1,"1","rg:None"),"-")</f>
        <v>rg:None</v>
      </c>
      <c r="Q69" s="4" t="str">
        <f>IF(LEN(Table23[[#This Row],[!path]]) &gt;0,Table23[[#This Row],[!path]],"rg:None")</f>
        <v>userroles</v>
      </c>
      <c r="R69" s="4" t="str">
        <f>IF(LEN(Table23[[#This Row],[!tag]]) &gt;0,Table23[[#This Row],[!tag]],"rg:None")</f>
        <v>UserRole</v>
      </c>
      <c r="S69" s="4" t="str">
        <f>IF(LEN(Table23[[#This Row],[!paramDef]]) &gt;0,Table23[[#This Row],[!paramDef]],"rg:None")</f>
        <v>rg:None</v>
      </c>
      <c r="T69" s="4" t="str">
        <f>IF(LEN(Table23[[#This Row],[!respDef]]) &gt;0,Table23[[#This Row],[!respDef]],"rg:None")</f>
        <v>rg:None</v>
      </c>
      <c r="U69" s="4" t="str">
        <f>IF(LEN(Table23[[#This Row],[!Description]]) &gt;0,Table23[[#This Row],[!Description]],"rg:None")</f>
        <v>rg:None</v>
      </c>
      <c r="V69" s="4" t="str">
        <f>IF(LEN(Table23[!permission]) &gt;0,Table23[!permission],"rg:None")</f>
        <v>ADMIN</v>
      </c>
    </row>
    <row r="70" spans="1:22" x14ac:dyDescent="0.35">
      <c r="A70" s="35" t="s">
        <v>74</v>
      </c>
      <c r="B70" s="35" t="s">
        <v>96</v>
      </c>
      <c r="C70" t="s">
        <v>48</v>
      </c>
      <c r="D70" s="36" t="s">
        <v>48</v>
      </c>
      <c r="E70" s="44" t="s">
        <v>580</v>
      </c>
      <c r="F70" s="12"/>
      <c r="G70" s="13"/>
      <c r="H70" s="14" t="str">
        <f t="shared" si="5"/>
        <v>Path</v>
      </c>
      <c r="I70" s="4" t="str">
        <f>IF(LEN(Table23[[#This Row],[!type]])&gt;0,IF(Table23[[#This Row],[!type]]=I$1,"1","rg:None"),"-")</f>
        <v>rg:None</v>
      </c>
      <c r="J70" s="4" t="str">
        <f>IF(LEN(Table23[[#This Row],[!type]])&gt;0,IF(Table23[[#This Row],[!type]]=J$1,"1","rg:None"),"-")</f>
        <v>rg:None</v>
      </c>
      <c r="K70" s="4" t="str">
        <f>IF(LEN(Table23[[#This Row],[!type]])&gt;0,IF(Table23[[#This Row],[!type]]=K$1,"1","rg:None"),"-")</f>
        <v>1</v>
      </c>
      <c r="L70" s="4" t="str">
        <f>IF(LEN(Table23[[#This Row],[!type]])&gt;0,IF(Table23[[#This Row],[!type]]=L$1,"1","rg:None"),"-")</f>
        <v>rg:None</v>
      </c>
      <c r="M70" s="4" t="str">
        <f>IF(LEN(Table23[[#This Row],[!type]])&gt;0,IF(Table23[[#This Row],[!type]]=M$1,"1","rg:None"),"-")</f>
        <v>rg:None</v>
      </c>
      <c r="N70" s="4" t="str">
        <f>IF(LEN(Table23[[#This Row],[!type]])&gt;0,IF(Table23[[#This Row],[!type]]=N$1,"1","rg:None"),"-")</f>
        <v>rg:None</v>
      </c>
      <c r="O70" s="4" t="str">
        <f>IF(LEN(Table23[[#This Row],[!type]])&gt;0,IF(Table23[[#This Row],[!type]]=O$1,"1","rg:None"),"-")</f>
        <v>rg:None</v>
      </c>
      <c r="P70" s="4" t="str">
        <f>IF(LEN(Table23[[#This Row],[!type]])&gt;0,IF(Table23[[#This Row],[!type]]=P$1,"1","rg:None"),"-")</f>
        <v>rg:None</v>
      </c>
      <c r="Q70" s="4" t="str">
        <f>IF(LEN(Table23[[#This Row],[!path]]) &gt;0,Table23[[#This Row],[!path]],"rg:None")</f>
        <v>userroles</v>
      </c>
      <c r="R70" s="4" t="str">
        <f>IF(LEN(Table23[[#This Row],[!tag]]) &gt;0,Table23[[#This Row],[!tag]],"rg:None")</f>
        <v>UserRole</v>
      </c>
      <c r="S70" s="4" t="str">
        <f>IF(LEN(Table23[[#This Row],[!paramDef]]) &gt;0,Table23[[#This Row],[!paramDef]],"rg:None")</f>
        <v>UserRole</v>
      </c>
      <c r="T70" s="4" t="str">
        <f>IF(LEN(Table23[[#This Row],[!respDef]]) &gt;0,Table23[[#This Row],[!respDef]],"rg:None")</f>
        <v>rg:None</v>
      </c>
      <c r="U70" s="4" t="str">
        <f>IF(LEN(Table23[[#This Row],[!Description]]) &gt;0,Table23[[#This Row],[!Description]],"rg:None")</f>
        <v>rg:None</v>
      </c>
      <c r="V70" s="4" t="str">
        <f>IF(LEN(Table23[!permission]) &gt;0,Table23[!permission],"rg:None")</f>
        <v>ADMIN</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2"/>
  <sheetViews>
    <sheetView workbookViewId="0">
      <selection activeCell="A2" sqref="A2"/>
    </sheetView>
  </sheetViews>
  <sheetFormatPr defaultRowHeight="16.100000000000001" x14ac:dyDescent="0.35"/>
  <cols>
    <col min="2" max="2" width="23" bestFit="1" customWidth="1"/>
  </cols>
  <sheetData>
    <row r="1" spans="1:2" x14ac:dyDescent="0.35">
      <c r="A1" t="s">
        <v>62</v>
      </c>
      <c r="B1" t="s">
        <v>65</v>
      </c>
    </row>
    <row r="2" spans="1:2" x14ac:dyDescent="0.35">
      <c r="A2" t="s">
        <v>67</v>
      </c>
      <c r="B2" t="s">
        <v>66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2"/>
  <sheetViews>
    <sheetView workbookViewId="0"/>
  </sheetViews>
  <sheetFormatPr defaultRowHeight="16.100000000000001" x14ac:dyDescent="0.35"/>
  <cols>
    <col min="2" max="2" width="28.36328125" bestFit="1" customWidth="1"/>
  </cols>
  <sheetData>
    <row r="1" spans="1:2" x14ac:dyDescent="0.35">
      <c r="A1" t="s">
        <v>62</v>
      </c>
      <c r="B1" t="s">
        <v>65</v>
      </c>
    </row>
    <row r="2" spans="1:2" x14ac:dyDescent="0.35">
      <c r="A2" t="s">
        <v>67</v>
      </c>
      <c r="B2" t="s">
        <v>147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defs.csv</vt:lpstr>
      <vt:lpstr>paths.csv</vt:lpstr>
      <vt:lpstr>model.csv</vt:lpstr>
      <vt:lpstr>api.csv</vt:lpstr>
    </vt:vector>
  </TitlesOfParts>
  <Company>Cloud Compass Computing,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Curran</dc:creator>
  <cp:lastModifiedBy>Stephen Curran</cp:lastModifiedBy>
  <cp:lastPrinted>2015-09-01T04:09:57Z</cp:lastPrinted>
  <dcterms:created xsi:type="dcterms:W3CDTF">2014-10-09T20:48:06Z</dcterms:created>
  <dcterms:modified xsi:type="dcterms:W3CDTF">2017-04-18T20:33:34Z</dcterms:modified>
</cp:coreProperties>
</file>