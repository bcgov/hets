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defs.csv!$A$1:$Y$345</definedName>
    <definedName name="_xlnm._FilterDatabase" localSheetId="1" hidden="1">paths.csv!$A$1:$F$72</definedName>
  </definedNames>
  <calcPr calcId="171027"/>
</workbook>
</file>

<file path=xl/calcChain.xml><?xml version="1.0" encoding="utf-8"?>
<calcChain xmlns="http://schemas.openxmlformats.org/spreadsheetml/2006/main">
  <c r="T17" i="30" l="1"/>
  <c r="S17" i="30"/>
  <c r="R17" i="30"/>
  <c r="Q17" i="30"/>
  <c r="P17" i="30"/>
  <c r="O17" i="30"/>
  <c r="N17" i="30"/>
  <c r="M17" i="30"/>
  <c r="L17" i="30"/>
  <c r="K17" i="30"/>
  <c r="J17" i="30"/>
  <c r="I17" i="30"/>
  <c r="H17" i="30"/>
  <c r="G17" i="30"/>
  <c r="T16" i="30"/>
  <c r="S16" i="30"/>
  <c r="R16" i="30"/>
  <c r="Q16" i="30"/>
  <c r="P16" i="30"/>
  <c r="O16" i="30"/>
  <c r="N16" i="30"/>
  <c r="M16" i="30"/>
  <c r="L16" i="30"/>
  <c r="K16" i="30"/>
  <c r="J16" i="30"/>
  <c r="I16" i="30"/>
  <c r="H16" i="30"/>
  <c r="G16" i="30"/>
  <c r="I227" i="27" l="1"/>
  <c r="I228" i="27"/>
  <c r="I229" i="27"/>
  <c r="I230" i="27"/>
  <c r="I231" i="27"/>
  <c r="I232" i="27"/>
  <c r="I233" i="27"/>
  <c r="J227" i="27"/>
  <c r="J228" i="27"/>
  <c r="J229" i="27"/>
  <c r="J230" i="27"/>
  <c r="J231" i="27"/>
  <c r="J232" i="27"/>
  <c r="J233" i="27"/>
  <c r="K227" i="27"/>
  <c r="K228" i="27"/>
  <c r="K229" i="27"/>
  <c r="K230" i="27"/>
  <c r="K231" i="27"/>
  <c r="K232" i="27"/>
  <c r="K233" i="27"/>
  <c r="L227" i="27"/>
  <c r="L228" i="27"/>
  <c r="L229" i="27"/>
  <c r="L230" i="27"/>
  <c r="L231" i="27"/>
  <c r="L232" i="27"/>
  <c r="L233" i="27"/>
  <c r="M227" i="27"/>
  <c r="M228" i="27"/>
  <c r="M229" i="27"/>
  <c r="M230" i="27"/>
  <c r="M231" i="27"/>
  <c r="M232" i="27"/>
  <c r="M233" i="27"/>
  <c r="N227" i="27"/>
  <c r="N228" i="27"/>
  <c r="N229" i="27"/>
  <c r="N230" i="27"/>
  <c r="N231" i="27"/>
  <c r="N232" i="27"/>
  <c r="N233" i="27"/>
  <c r="O227" i="27"/>
  <c r="O228" i="27"/>
  <c r="O229" i="27"/>
  <c r="O230" i="27"/>
  <c r="O231" i="27"/>
  <c r="O232" i="27"/>
  <c r="O233" i="27"/>
  <c r="P227" i="27"/>
  <c r="P228" i="27"/>
  <c r="P229" i="27"/>
  <c r="P230" i="27"/>
  <c r="P231" i="27"/>
  <c r="P232" i="27"/>
  <c r="P233" i="27"/>
  <c r="Q227" i="27"/>
  <c r="Q228" i="27"/>
  <c r="Q229" i="27"/>
  <c r="Q230" i="27"/>
  <c r="Q231" i="27"/>
  <c r="Q232" i="27"/>
  <c r="Q233" i="27"/>
  <c r="R227" i="27"/>
  <c r="R228" i="27"/>
  <c r="R229" i="27"/>
  <c r="R230" i="27"/>
  <c r="R231" i="27"/>
  <c r="R232" i="27"/>
  <c r="R233" i="27"/>
  <c r="S227" i="27"/>
  <c r="S228" i="27"/>
  <c r="S229" i="27"/>
  <c r="S230" i="27"/>
  <c r="S231" i="27"/>
  <c r="S232" i="27"/>
  <c r="S233" i="27"/>
  <c r="T227" i="27"/>
  <c r="T228" i="27"/>
  <c r="T229" i="27"/>
  <c r="T230" i="27"/>
  <c r="T231" i="27"/>
  <c r="T232" i="27"/>
  <c r="T233" i="27"/>
  <c r="U227" i="27"/>
  <c r="U228" i="27"/>
  <c r="U229" i="27"/>
  <c r="U230" i="27"/>
  <c r="U231" i="27"/>
  <c r="U232" i="27"/>
  <c r="U233" i="27"/>
  <c r="V227" i="27"/>
  <c r="V228" i="27"/>
  <c r="V229" i="27"/>
  <c r="V230" i="27"/>
  <c r="V231" i="27"/>
  <c r="V232" i="27"/>
  <c r="V233" i="27"/>
  <c r="W227" i="27"/>
  <c r="W228" i="27"/>
  <c r="W229" i="27"/>
  <c r="W230" i="27"/>
  <c r="W231" i="27"/>
  <c r="W232" i="27"/>
  <c r="W233" i="27"/>
  <c r="Y227" i="27"/>
  <c r="Y228" i="27"/>
  <c r="Y229" i="27"/>
  <c r="Y230" i="27"/>
  <c r="Y231" i="27"/>
  <c r="Y232" i="27"/>
  <c r="Y233" i="27"/>
  <c r="X227" i="27"/>
  <c r="X231" i="27"/>
  <c r="X230" i="27"/>
  <c r="X228" i="27"/>
  <c r="X232" i="27"/>
  <c r="X229" i="27"/>
  <c r="X233" i="27"/>
  <c r="T11" i="30" l="1"/>
  <c r="S11" i="30"/>
  <c r="R11" i="30"/>
  <c r="Q11" i="30"/>
  <c r="P11" i="30"/>
  <c r="O11" i="30"/>
  <c r="N11" i="30"/>
  <c r="M11" i="30"/>
  <c r="L11" i="30"/>
  <c r="K11" i="30"/>
  <c r="J11" i="30"/>
  <c r="I11" i="30"/>
  <c r="H11" i="30"/>
  <c r="G11" i="30"/>
  <c r="T10" i="30"/>
  <c r="S10" i="30"/>
  <c r="R10" i="30"/>
  <c r="Q10" i="30"/>
  <c r="P10" i="30"/>
  <c r="O10" i="30"/>
  <c r="N10" i="30"/>
  <c r="M10" i="30"/>
  <c r="L10" i="30"/>
  <c r="K10" i="30"/>
  <c r="J10" i="30"/>
  <c r="I10" i="30"/>
  <c r="H10" i="30"/>
  <c r="G10" i="30"/>
  <c r="T5" i="30" l="1"/>
  <c r="S5" i="30"/>
  <c r="R5" i="30"/>
  <c r="Q5" i="30"/>
  <c r="P5" i="30"/>
  <c r="O5" i="30"/>
  <c r="N5" i="30"/>
  <c r="M5" i="30"/>
  <c r="L5" i="30"/>
  <c r="K5" i="30"/>
  <c r="J5" i="30"/>
  <c r="I5" i="30"/>
  <c r="H5" i="30"/>
  <c r="G5" i="30"/>
  <c r="T4" i="30"/>
  <c r="S4" i="30"/>
  <c r="R4" i="30"/>
  <c r="Q4" i="30"/>
  <c r="P4" i="30"/>
  <c r="O4" i="30"/>
  <c r="N4" i="30"/>
  <c r="M4" i="30"/>
  <c r="L4" i="30"/>
  <c r="K4" i="30"/>
  <c r="J4" i="30"/>
  <c r="I4" i="30"/>
  <c r="H4" i="30"/>
  <c r="G4" i="30"/>
  <c r="I180" i="27"/>
  <c r="J180" i="27"/>
  <c r="K180" i="27"/>
  <c r="L180" i="27"/>
  <c r="M180" i="27"/>
  <c r="N180" i="27"/>
  <c r="O180" i="27"/>
  <c r="P180" i="27"/>
  <c r="Q180" i="27"/>
  <c r="R180" i="27"/>
  <c r="S180" i="27"/>
  <c r="T180" i="27"/>
  <c r="U180" i="27"/>
  <c r="V180" i="27"/>
  <c r="W180" i="27"/>
  <c r="Y180" i="27"/>
  <c r="I165" i="27"/>
  <c r="J165" i="27"/>
  <c r="K165" i="27"/>
  <c r="L165" i="27"/>
  <c r="M165" i="27"/>
  <c r="N165" i="27"/>
  <c r="O165" i="27"/>
  <c r="P165" i="27"/>
  <c r="Q165" i="27"/>
  <c r="R165" i="27"/>
  <c r="S165" i="27"/>
  <c r="T165" i="27"/>
  <c r="U165" i="27"/>
  <c r="V165" i="27"/>
  <c r="W165" i="27"/>
  <c r="Y165" i="27"/>
  <c r="X180" i="27"/>
  <c r="X165" i="27"/>
  <c r="I174" i="27" l="1"/>
  <c r="J174" i="27"/>
  <c r="K174" i="27"/>
  <c r="L174" i="27"/>
  <c r="M174" i="27"/>
  <c r="N174" i="27"/>
  <c r="O174" i="27"/>
  <c r="P174" i="27"/>
  <c r="Q174" i="27"/>
  <c r="R174" i="27"/>
  <c r="S174" i="27"/>
  <c r="T174" i="27"/>
  <c r="U174" i="27"/>
  <c r="V174" i="27"/>
  <c r="W174" i="27"/>
  <c r="Y174" i="27"/>
  <c r="I167" i="27"/>
  <c r="J167" i="27"/>
  <c r="K167" i="27"/>
  <c r="L167" i="27"/>
  <c r="M167" i="27"/>
  <c r="N167" i="27"/>
  <c r="O167" i="27"/>
  <c r="P167" i="27"/>
  <c r="Q167" i="27"/>
  <c r="R167" i="27"/>
  <c r="S167" i="27"/>
  <c r="T167" i="27"/>
  <c r="U167" i="27"/>
  <c r="V167" i="27"/>
  <c r="W167" i="27"/>
  <c r="Y167" i="27"/>
  <c r="I171" i="27"/>
  <c r="J171" i="27"/>
  <c r="K171" i="27"/>
  <c r="L171" i="27"/>
  <c r="M171" i="27"/>
  <c r="N171" i="27"/>
  <c r="O171" i="27"/>
  <c r="P171" i="27"/>
  <c r="Q171" i="27"/>
  <c r="R171" i="27"/>
  <c r="S171" i="27"/>
  <c r="T171" i="27"/>
  <c r="U171" i="27"/>
  <c r="V171" i="27"/>
  <c r="W171" i="27"/>
  <c r="Y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Y162" i="27"/>
  <c r="Y163" i="27"/>
  <c r="Y164" i="27"/>
  <c r="Y166" i="27"/>
  <c r="Y168" i="27"/>
  <c r="Y169" i="27"/>
  <c r="Y170" i="27"/>
  <c r="X174" i="27"/>
  <c r="X168" i="27"/>
  <c r="X169" i="27"/>
  <c r="X170" i="27"/>
  <c r="X167" i="27"/>
  <c r="X163" i="27"/>
  <c r="X171" i="27"/>
  <c r="X166" i="27"/>
  <c r="X162" i="27"/>
  <c r="X164" i="27"/>
  <c r="I10" i="27" l="1"/>
  <c r="J10" i="27"/>
  <c r="K10" i="27"/>
  <c r="L10" i="27"/>
  <c r="M10" i="27"/>
  <c r="N10" i="27"/>
  <c r="O10" i="27"/>
  <c r="P10" i="27"/>
  <c r="Q10" i="27"/>
  <c r="R10" i="27"/>
  <c r="S10" i="27"/>
  <c r="T10" i="27"/>
  <c r="U10" i="27"/>
  <c r="V10" i="27"/>
  <c r="W10" i="27"/>
  <c r="Y10" i="27"/>
  <c r="X10" i="27"/>
  <c r="I184" i="27" l="1"/>
  <c r="J184" i="27"/>
  <c r="K184" i="27"/>
  <c r="L184" i="27"/>
  <c r="M184" i="27"/>
  <c r="N184" i="27"/>
  <c r="O184" i="27"/>
  <c r="P184" i="27"/>
  <c r="Q184" i="27"/>
  <c r="R184" i="27"/>
  <c r="S184" i="27"/>
  <c r="T184" i="27"/>
  <c r="U184" i="27"/>
  <c r="V184" i="27"/>
  <c r="W184" i="27"/>
  <c r="Y184" i="27"/>
  <c r="I186" i="27"/>
  <c r="J186" i="27"/>
  <c r="K186" i="27"/>
  <c r="L186" i="27"/>
  <c r="M186" i="27"/>
  <c r="N186" i="27"/>
  <c r="O186" i="27"/>
  <c r="P186" i="27"/>
  <c r="Q186" i="27"/>
  <c r="R186" i="27"/>
  <c r="S186" i="27"/>
  <c r="T186" i="27"/>
  <c r="U186" i="27"/>
  <c r="V186" i="27"/>
  <c r="W186" i="27"/>
  <c r="Y186" i="27"/>
  <c r="I182" i="27"/>
  <c r="J182" i="27"/>
  <c r="K182" i="27"/>
  <c r="L182" i="27"/>
  <c r="M182" i="27"/>
  <c r="N182" i="27"/>
  <c r="O182" i="27"/>
  <c r="P182" i="27"/>
  <c r="Q182" i="27"/>
  <c r="R182" i="27"/>
  <c r="S182" i="27"/>
  <c r="T182" i="27"/>
  <c r="U182" i="27"/>
  <c r="V182" i="27"/>
  <c r="W182" i="27"/>
  <c r="Y182" i="27"/>
  <c r="X186" i="27"/>
  <c r="X184" i="27"/>
  <c r="X182" i="27"/>
  <c r="I7" i="27" l="1"/>
  <c r="J7" i="27"/>
  <c r="K7" i="27"/>
  <c r="L7" i="27"/>
  <c r="M7" i="27"/>
  <c r="N7" i="27"/>
  <c r="O7" i="27"/>
  <c r="P7" i="27"/>
  <c r="Q7" i="27"/>
  <c r="R7" i="27"/>
  <c r="S7" i="27"/>
  <c r="T7" i="27"/>
  <c r="U7" i="27"/>
  <c r="V7" i="27"/>
  <c r="W7" i="27"/>
  <c r="Y7" i="27"/>
  <c r="X7" i="27"/>
  <c r="I185" i="27" l="1"/>
  <c r="J185" i="27"/>
  <c r="K185" i="27"/>
  <c r="L185" i="27"/>
  <c r="M185" i="27"/>
  <c r="N185" i="27"/>
  <c r="O185" i="27"/>
  <c r="P185" i="27"/>
  <c r="Q185" i="27"/>
  <c r="R185" i="27"/>
  <c r="S185" i="27"/>
  <c r="T185" i="27"/>
  <c r="U185" i="27"/>
  <c r="V185" i="27"/>
  <c r="W185" i="27"/>
  <c r="Y185" i="27"/>
  <c r="I183" i="27"/>
  <c r="J183" i="27"/>
  <c r="K183" i="27"/>
  <c r="L183" i="27"/>
  <c r="M183" i="27"/>
  <c r="N183" i="27"/>
  <c r="O183" i="27"/>
  <c r="P183" i="27"/>
  <c r="Q183" i="27"/>
  <c r="R183" i="27"/>
  <c r="S183" i="27"/>
  <c r="T183" i="27"/>
  <c r="U183" i="27"/>
  <c r="V183" i="27"/>
  <c r="W183" i="27"/>
  <c r="Y183" i="27"/>
  <c r="I179" i="27"/>
  <c r="J179" i="27"/>
  <c r="K179" i="27"/>
  <c r="L179" i="27"/>
  <c r="M179" i="27"/>
  <c r="N179" i="27"/>
  <c r="O179" i="27"/>
  <c r="P179" i="27"/>
  <c r="Q179" i="27"/>
  <c r="R179" i="27"/>
  <c r="S179" i="27"/>
  <c r="T179" i="27"/>
  <c r="U179" i="27"/>
  <c r="V179" i="27"/>
  <c r="W179" i="27"/>
  <c r="Y179" i="27"/>
  <c r="I181" i="27"/>
  <c r="J181" i="27"/>
  <c r="K181" i="27"/>
  <c r="L181" i="27"/>
  <c r="M181" i="27"/>
  <c r="N181" i="27"/>
  <c r="O181" i="27"/>
  <c r="P181" i="27"/>
  <c r="Q181" i="27"/>
  <c r="R181" i="27"/>
  <c r="S181" i="27"/>
  <c r="T181" i="27"/>
  <c r="U181" i="27"/>
  <c r="V181" i="27"/>
  <c r="W181" i="27"/>
  <c r="Y181" i="27"/>
  <c r="I178" i="27"/>
  <c r="J178" i="27"/>
  <c r="K178" i="27"/>
  <c r="L178" i="27"/>
  <c r="M178" i="27"/>
  <c r="N178" i="27"/>
  <c r="O178" i="27"/>
  <c r="P178" i="27"/>
  <c r="Q178" i="27"/>
  <c r="R178" i="27"/>
  <c r="S178" i="27"/>
  <c r="T178" i="27"/>
  <c r="U178" i="27"/>
  <c r="V178" i="27"/>
  <c r="W178" i="27"/>
  <c r="Y178" i="27"/>
  <c r="I177" i="27"/>
  <c r="J177" i="27"/>
  <c r="K177" i="27"/>
  <c r="L177" i="27"/>
  <c r="M177" i="27"/>
  <c r="N177" i="27"/>
  <c r="O177" i="27"/>
  <c r="P177" i="27"/>
  <c r="Q177" i="27"/>
  <c r="R177" i="27"/>
  <c r="S177" i="27"/>
  <c r="T177" i="27"/>
  <c r="U177" i="27"/>
  <c r="V177" i="27"/>
  <c r="W177" i="27"/>
  <c r="Y177" i="27"/>
  <c r="X185" i="27"/>
  <c r="X177" i="27"/>
  <c r="X179" i="27"/>
  <c r="X183" i="27"/>
  <c r="X178" i="27"/>
  <c r="X181" i="27"/>
  <c r="I259" i="27" l="1"/>
  <c r="J259" i="27"/>
  <c r="K259" i="27"/>
  <c r="L259" i="27"/>
  <c r="M259" i="27"/>
  <c r="N259" i="27"/>
  <c r="O259" i="27"/>
  <c r="P259" i="27"/>
  <c r="Q259" i="27"/>
  <c r="R259" i="27"/>
  <c r="S259" i="27"/>
  <c r="T259" i="27"/>
  <c r="U259" i="27"/>
  <c r="V259" i="27"/>
  <c r="W259" i="27"/>
  <c r="Y259" i="27"/>
  <c r="X259" i="27"/>
  <c r="R51" i="30" l="1"/>
  <c r="R52" i="30"/>
  <c r="R56" i="30"/>
  <c r="R60" i="30"/>
  <c r="R64" i="30"/>
  <c r="R68" i="30"/>
  <c r="R72" i="30"/>
  <c r="G47" i="30"/>
  <c r="H47" i="30"/>
  <c r="I47" i="30"/>
  <c r="J47" i="30"/>
  <c r="K47" i="30"/>
  <c r="L47" i="30"/>
  <c r="M47" i="30"/>
  <c r="N47" i="30"/>
  <c r="O47" i="30"/>
  <c r="P47" i="30"/>
  <c r="Q47" i="30"/>
  <c r="R47" i="30"/>
  <c r="S47" i="30"/>
  <c r="T47" i="30"/>
  <c r="G48" i="30"/>
  <c r="H48" i="30"/>
  <c r="I48" i="30"/>
  <c r="J48" i="30"/>
  <c r="K48" i="30"/>
  <c r="L48" i="30"/>
  <c r="M48" i="30"/>
  <c r="N48" i="30"/>
  <c r="O48" i="30"/>
  <c r="P48" i="30"/>
  <c r="Q48" i="30"/>
  <c r="R48" i="30"/>
  <c r="S48" i="30"/>
  <c r="T48" i="30"/>
  <c r="G49" i="30"/>
  <c r="H49" i="30"/>
  <c r="I49" i="30"/>
  <c r="J49" i="30"/>
  <c r="K49" i="30"/>
  <c r="L49" i="30"/>
  <c r="M49" i="30"/>
  <c r="N49" i="30"/>
  <c r="O49" i="30"/>
  <c r="P49" i="30"/>
  <c r="Q49" i="30"/>
  <c r="R49" i="30"/>
  <c r="S49" i="30"/>
  <c r="T49" i="30"/>
  <c r="G50" i="30"/>
  <c r="H50" i="30"/>
  <c r="I50" i="30"/>
  <c r="J50" i="30"/>
  <c r="K50" i="30"/>
  <c r="L50" i="30"/>
  <c r="M50" i="30"/>
  <c r="N50" i="30"/>
  <c r="O50" i="30"/>
  <c r="P50" i="30"/>
  <c r="Q50" i="30"/>
  <c r="R50" i="30"/>
  <c r="S50" i="30"/>
  <c r="T50" i="30"/>
  <c r="G51" i="30"/>
  <c r="H51" i="30"/>
  <c r="I51" i="30"/>
  <c r="J51" i="30"/>
  <c r="K51" i="30"/>
  <c r="L51" i="30"/>
  <c r="M51" i="30"/>
  <c r="N51" i="30"/>
  <c r="O51" i="30"/>
  <c r="P51" i="30"/>
  <c r="Q51" i="30"/>
  <c r="S51" i="30"/>
  <c r="T51" i="30"/>
  <c r="G52" i="30"/>
  <c r="H52" i="30"/>
  <c r="I52" i="30"/>
  <c r="J52" i="30"/>
  <c r="K52" i="30"/>
  <c r="L52" i="30"/>
  <c r="M52" i="30"/>
  <c r="N52" i="30"/>
  <c r="O52" i="30"/>
  <c r="P52" i="30"/>
  <c r="Q52" i="30"/>
  <c r="S52" i="30"/>
  <c r="T52" i="30"/>
  <c r="G53" i="30"/>
  <c r="H53" i="30"/>
  <c r="I53" i="30"/>
  <c r="J53" i="30"/>
  <c r="K53" i="30"/>
  <c r="L53" i="30"/>
  <c r="M53" i="30"/>
  <c r="N53" i="30"/>
  <c r="O53" i="30"/>
  <c r="P53" i="30"/>
  <c r="Q53" i="30"/>
  <c r="R53" i="30"/>
  <c r="S53" i="30"/>
  <c r="T53" i="30"/>
  <c r="R54"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R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R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R66" i="30"/>
  <c r="S66" i="30"/>
  <c r="T66" i="30"/>
  <c r="G67" i="30"/>
  <c r="H67" i="30"/>
  <c r="I67" i="30"/>
  <c r="J67" i="30"/>
  <c r="K67" i="30"/>
  <c r="L67" i="30"/>
  <c r="M67" i="30"/>
  <c r="N67" i="30"/>
  <c r="O67" i="30"/>
  <c r="P67" i="30"/>
  <c r="Q67" i="30"/>
  <c r="R67" i="30"/>
  <c r="S67" i="30"/>
  <c r="T67" i="30"/>
  <c r="G68" i="30"/>
  <c r="H68" i="30"/>
  <c r="I68" i="30"/>
  <c r="J68" i="30"/>
  <c r="K68" i="30"/>
  <c r="L68" i="30"/>
  <c r="M68" i="30"/>
  <c r="N68" i="30"/>
  <c r="O68" i="30"/>
  <c r="P68" i="30"/>
  <c r="Q68" i="30"/>
  <c r="S68" i="30"/>
  <c r="T68" i="30"/>
  <c r="G69" i="30"/>
  <c r="H69" i="30"/>
  <c r="I69" i="30"/>
  <c r="J69" i="30"/>
  <c r="K69" i="30"/>
  <c r="L69" i="30"/>
  <c r="M69" i="30"/>
  <c r="N69" i="30"/>
  <c r="O69" i="30"/>
  <c r="P69" i="30"/>
  <c r="Q69" i="30"/>
  <c r="R69" i="30"/>
  <c r="S69" i="30"/>
  <c r="T69" i="30"/>
  <c r="G70" i="30"/>
  <c r="H70" i="30"/>
  <c r="I70" i="30"/>
  <c r="J70" i="30"/>
  <c r="K70" i="30"/>
  <c r="L70" i="30"/>
  <c r="M70" i="30"/>
  <c r="N70" i="30"/>
  <c r="O70" i="30"/>
  <c r="P70" i="30"/>
  <c r="Q70" i="30"/>
  <c r="R70" i="30"/>
  <c r="S70" i="30"/>
  <c r="T70" i="30"/>
  <c r="G71" i="30"/>
  <c r="H71" i="30"/>
  <c r="I71" i="30"/>
  <c r="J71" i="30"/>
  <c r="K71" i="30"/>
  <c r="L71" i="30"/>
  <c r="M71" i="30"/>
  <c r="N71" i="30"/>
  <c r="O71" i="30"/>
  <c r="P71" i="30"/>
  <c r="Q71" i="30"/>
  <c r="R71" i="30"/>
  <c r="S71" i="30"/>
  <c r="T71" i="30"/>
  <c r="G72" i="30"/>
  <c r="H72" i="30"/>
  <c r="I72" i="30"/>
  <c r="J72" i="30"/>
  <c r="K72" i="30"/>
  <c r="L72" i="30"/>
  <c r="M72" i="30"/>
  <c r="N72" i="30"/>
  <c r="O72" i="30"/>
  <c r="P72" i="30"/>
  <c r="Q72" i="30"/>
  <c r="S72" i="30"/>
  <c r="T72" i="30"/>
  <c r="I215" i="27"/>
  <c r="J215" i="27"/>
  <c r="K215" i="27"/>
  <c r="L215" i="27"/>
  <c r="M215" i="27"/>
  <c r="N215" i="27"/>
  <c r="O215" i="27"/>
  <c r="P215" i="27"/>
  <c r="Q215" i="27"/>
  <c r="R215" i="27"/>
  <c r="S215" i="27"/>
  <c r="T215" i="27"/>
  <c r="U215" i="27"/>
  <c r="V215" i="27"/>
  <c r="W215" i="27"/>
  <c r="Y215" i="27"/>
  <c r="Y83"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Y74" i="27"/>
  <c r="I69" i="27"/>
  <c r="J69" i="27"/>
  <c r="K69" i="27"/>
  <c r="L69" i="27"/>
  <c r="M69" i="27"/>
  <c r="N69" i="27"/>
  <c r="O69" i="27"/>
  <c r="P69" i="27"/>
  <c r="Q69" i="27"/>
  <c r="R69" i="27"/>
  <c r="S69" i="27"/>
  <c r="T69" i="27"/>
  <c r="U69" i="27"/>
  <c r="V69" i="27"/>
  <c r="W69" i="27"/>
  <c r="Y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Y62" i="27"/>
  <c r="Y63" i="27"/>
  <c r="Y64" i="27"/>
  <c r="I51" i="27"/>
  <c r="J51" i="27"/>
  <c r="K51" i="27"/>
  <c r="L51" i="27"/>
  <c r="M51" i="27"/>
  <c r="N51" i="27"/>
  <c r="O51" i="27"/>
  <c r="P51" i="27"/>
  <c r="Q51" i="27"/>
  <c r="R51" i="27"/>
  <c r="S51" i="27"/>
  <c r="T51" i="27"/>
  <c r="U51" i="27"/>
  <c r="V51" i="27"/>
  <c r="W51" i="27"/>
  <c r="Y51" i="27"/>
  <c r="I61" i="27"/>
  <c r="J61" i="27"/>
  <c r="K61" i="27"/>
  <c r="L61" i="27"/>
  <c r="M61" i="27"/>
  <c r="N61" i="27"/>
  <c r="O61" i="27"/>
  <c r="P61" i="27"/>
  <c r="Q61" i="27"/>
  <c r="R61" i="27"/>
  <c r="S61" i="27"/>
  <c r="T61" i="27"/>
  <c r="U61" i="27"/>
  <c r="V61" i="27"/>
  <c r="W61" i="27"/>
  <c r="Y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Y56" i="27"/>
  <c r="Y58" i="27"/>
  <c r="Y59" i="27"/>
  <c r="Y60" i="27"/>
  <c r="I79" i="27"/>
  <c r="J79" i="27"/>
  <c r="K79" i="27"/>
  <c r="L79" i="27"/>
  <c r="M79" i="27"/>
  <c r="N79" i="27"/>
  <c r="O79" i="27"/>
  <c r="P79" i="27"/>
  <c r="Q79" i="27"/>
  <c r="R79" i="27"/>
  <c r="S79" i="27"/>
  <c r="T79" i="27"/>
  <c r="U79" i="27"/>
  <c r="V79" i="27"/>
  <c r="W79" i="27"/>
  <c r="Y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Y75" i="27"/>
  <c r="Y76" i="27"/>
  <c r="I55" i="27"/>
  <c r="J55" i="27"/>
  <c r="K55" i="27"/>
  <c r="L55" i="27"/>
  <c r="M55" i="27"/>
  <c r="N55" i="27"/>
  <c r="O55" i="27"/>
  <c r="P55" i="27"/>
  <c r="Q55" i="27"/>
  <c r="R55" i="27"/>
  <c r="S55" i="27"/>
  <c r="T55" i="27"/>
  <c r="U55" i="27"/>
  <c r="V55" i="27"/>
  <c r="W55" i="27"/>
  <c r="Y55" i="27"/>
  <c r="I68" i="27"/>
  <c r="J68" i="27"/>
  <c r="K68" i="27"/>
  <c r="L68" i="27"/>
  <c r="M68" i="27"/>
  <c r="N68" i="27"/>
  <c r="O68" i="27"/>
  <c r="P68" i="27"/>
  <c r="Q68" i="27"/>
  <c r="R68" i="27"/>
  <c r="S68" i="27"/>
  <c r="T68" i="27"/>
  <c r="U68" i="27"/>
  <c r="V68" i="27"/>
  <c r="W68" i="27"/>
  <c r="Y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Y65" i="27"/>
  <c r="Y66" i="27"/>
  <c r="Y67" i="27"/>
  <c r="Y70" i="27"/>
  <c r="Y71" i="27"/>
  <c r="Y72" i="27"/>
  <c r="Y73" i="27"/>
  <c r="Y77" i="27"/>
  <c r="Y78" i="27"/>
  <c r="X64" i="27"/>
  <c r="X79" i="27"/>
  <c r="X83" i="27"/>
  <c r="X58" i="27"/>
  <c r="X56" i="27"/>
  <c r="X55" i="27"/>
  <c r="X59" i="27"/>
  <c r="X66" i="27"/>
  <c r="X74" i="27"/>
  <c r="X72" i="27"/>
  <c r="X69" i="27"/>
  <c r="X68" i="27"/>
  <c r="X51" i="27"/>
  <c r="X60" i="27"/>
  <c r="X215" i="27"/>
  <c r="X75" i="27"/>
  <c r="X61" i="27"/>
  <c r="X65" i="27"/>
  <c r="X73" i="27"/>
  <c r="X71" i="27"/>
  <c r="X77" i="27"/>
  <c r="X78" i="27"/>
  <c r="X63" i="27"/>
  <c r="X70" i="27"/>
  <c r="X62" i="27"/>
  <c r="X76" i="27"/>
  <c r="X67" i="27"/>
  <c r="I45" i="27" l="1"/>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112" i="27"/>
  <c r="J112" i="27"/>
  <c r="K112" i="27"/>
  <c r="L112" i="27"/>
  <c r="M112" i="27"/>
  <c r="N112" i="27"/>
  <c r="O112" i="27"/>
  <c r="P112" i="27"/>
  <c r="Q112" i="27"/>
  <c r="R112" i="27"/>
  <c r="S112" i="27"/>
  <c r="T112" i="27"/>
  <c r="U112" i="27"/>
  <c r="V112" i="27"/>
  <c r="W112" i="27"/>
  <c r="Y112"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Y31" i="27"/>
  <c r="Y32" i="27"/>
  <c r="Y33" i="27"/>
  <c r="Y34" i="27"/>
  <c r="I52" i="27"/>
  <c r="J52" i="27"/>
  <c r="K52" i="27"/>
  <c r="L52" i="27"/>
  <c r="M52" i="27"/>
  <c r="N52" i="27"/>
  <c r="O52" i="27"/>
  <c r="P52" i="27"/>
  <c r="Q52" i="27"/>
  <c r="R52" i="27"/>
  <c r="S52" i="27"/>
  <c r="T52" i="27"/>
  <c r="U52" i="27"/>
  <c r="V52" i="27"/>
  <c r="W52" i="27"/>
  <c r="Y52" i="27"/>
  <c r="I20" i="27"/>
  <c r="J20" i="27"/>
  <c r="K20" i="27"/>
  <c r="L20" i="27"/>
  <c r="M20" i="27"/>
  <c r="N20" i="27"/>
  <c r="O20" i="27"/>
  <c r="P20" i="27"/>
  <c r="Q20" i="27"/>
  <c r="R20" i="27"/>
  <c r="S20" i="27"/>
  <c r="T20" i="27"/>
  <c r="U20" i="27"/>
  <c r="V20" i="27"/>
  <c r="W20" i="27"/>
  <c r="Y20" i="27"/>
  <c r="X20" i="27"/>
  <c r="X45" i="27"/>
  <c r="X34" i="27"/>
  <c r="X46" i="27"/>
  <c r="X31" i="27"/>
  <c r="X52" i="27"/>
  <c r="X32" i="27"/>
  <c r="X33" i="27"/>
  <c r="X112" i="27"/>
  <c r="I114" i="27" l="1"/>
  <c r="J114" i="27"/>
  <c r="K114" i="27"/>
  <c r="L114" i="27"/>
  <c r="M114" i="27"/>
  <c r="N114" i="27"/>
  <c r="O114" i="27"/>
  <c r="P114" i="27"/>
  <c r="Q114" i="27"/>
  <c r="R114" i="27"/>
  <c r="S114" i="27"/>
  <c r="T114" i="27"/>
  <c r="U114" i="27"/>
  <c r="V114" i="27"/>
  <c r="W114" i="27"/>
  <c r="Y114" i="27"/>
  <c r="I113" i="27"/>
  <c r="J113" i="27"/>
  <c r="K113" i="27"/>
  <c r="L113" i="27"/>
  <c r="M113" i="27"/>
  <c r="N113" i="27"/>
  <c r="O113" i="27"/>
  <c r="P113" i="27"/>
  <c r="Q113" i="27"/>
  <c r="R113" i="27"/>
  <c r="S113" i="27"/>
  <c r="T113" i="27"/>
  <c r="U113" i="27"/>
  <c r="V113" i="27"/>
  <c r="W113" i="27"/>
  <c r="Y113" i="27"/>
  <c r="I211" i="27"/>
  <c r="J211" i="27"/>
  <c r="K211" i="27"/>
  <c r="L211" i="27"/>
  <c r="M211" i="27"/>
  <c r="N211" i="27"/>
  <c r="O211" i="27"/>
  <c r="P211" i="27"/>
  <c r="Q211" i="27"/>
  <c r="R211" i="27"/>
  <c r="S211" i="27"/>
  <c r="T211" i="27"/>
  <c r="U211" i="27"/>
  <c r="V211" i="27"/>
  <c r="W211" i="27"/>
  <c r="Y211" i="27"/>
  <c r="I210" i="27"/>
  <c r="J210" i="27"/>
  <c r="K210" i="27"/>
  <c r="L210" i="27"/>
  <c r="M210" i="27"/>
  <c r="N210" i="27"/>
  <c r="O210" i="27"/>
  <c r="P210" i="27"/>
  <c r="Q210" i="27"/>
  <c r="R210" i="27"/>
  <c r="S210" i="27"/>
  <c r="T210" i="27"/>
  <c r="U210" i="27"/>
  <c r="V210" i="27"/>
  <c r="W210" i="27"/>
  <c r="Y210" i="27"/>
  <c r="I209" i="27"/>
  <c r="J209" i="27"/>
  <c r="K209" i="27"/>
  <c r="L209" i="27"/>
  <c r="M209" i="27"/>
  <c r="N209" i="27"/>
  <c r="O209" i="27"/>
  <c r="P209" i="27"/>
  <c r="Q209" i="27"/>
  <c r="R209" i="27"/>
  <c r="S209" i="27"/>
  <c r="T209" i="27"/>
  <c r="U209" i="27"/>
  <c r="V209" i="27"/>
  <c r="W209" i="27"/>
  <c r="Y209" i="27"/>
  <c r="X211" i="27"/>
  <c r="X114" i="27"/>
  <c r="X210" i="27"/>
  <c r="X113" i="27"/>
  <c r="X209" i="27"/>
  <c r="I316" i="27" l="1"/>
  <c r="J316" i="27"/>
  <c r="K316" i="27"/>
  <c r="L316" i="27"/>
  <c r="M316" i="27"/>
  <c r="N316" i="27"/>
  <c r="O316" i="27"/>
  <c r="P316" i="27"/>
  <c r="Q316" i="27"/>
  <c r="R316" i="27"/>
  <c r="S316" i="27"/>
  <c r="T316" i="27"/>
  <c r="U316" i="27"/>
  <c r="V316" i="27"/>
  <c r="W316" i="27"/>
  <c r="Y316" i="27"/>
  <c r="X316" i="27"/>
  <c r="I30" i="27" l="1"/>
  <c r="J30" i="27"/>
  <c r="K30" i="27"/>
  <c r="L30" i="27"/>
  <c r="M30" i="27"/>
  <c r="N30" i="27"/>
  <c r="O30" i="27"/>
  <c r="P30" i="27"/>
  <c r="Q30" i="27"/>
  <c r="R30" i="27"/>
  <c r="S30" i="27"/>
  <c r="T30" i="27"/>
  <c r="U30" i="27"/>
  <c r="V30" i="27"/>
  <c r="W30" i="27"/>
  <c r="Y30" i="27"/>
  <c r="I221" i="27"/>
  <c r="J221" i="27"/>
  <c r="K221" i="27"/>
  <c r="L221" i="27"/>
  <c r="M221" i="27"/>
  <c r="N221" i="27"/>
  <c r="O221" i="27"/>
  <c r="P221" i="27"/>
  <c r="Q221" i="27"/>
  <c r="R221" i="27"/>
  <c r="S221" i="27"/>
  <c r="T221" i="27"/>
  <c r="U221" i="27"/>
  <c r="V221" i="27"/>
  <c r="W221" i="27"/>
  <c r="Y221" i="27"/>
  <c r="X221" i="27"/>
  <c r="X30" i="27"/>
  <c r="I195" i="27" l="1"/>
  <c r="J195" i="27"/>
  <c r="K195" i="27"/>
  <c r="L195" i="27"/>
  <c r="M195" i="27"/>
  <c r="N195" i="27"/>
  <c r="O195" i="27"/>
  <c r="P195" i="27"/>
  <c r="Q195" i="27"/>
  <c r="R195" i="27"/>
  <c r="S195" i="27"/>
  <c r="T195" i="27"/>
  <c r="U195" i="27"/>
  <c r="V195" i="27"/>
  <c r="W195" i="27"/>
  <c r="Y195" i="27"/>
  <c r="I296" i="27"/>
  <c r="J296" i="27"/>
  <c r="K296" i="27"/>
  <c r="L296" i="27"/>
  <c r="M296" i="27"/>
  <c r="N296" i="27"/>
  <c r="O296" i="27"/>
  <c r="P296" i="27"/>
  <c r="Q296" i="27"/>
  <c r="R296" i="27"/>
  <c r="S296" i="27"/>
  <c r="T296" i="27"/>
  <c r="U296" i="27"/>
  <c r="V296" i="27"/>
  <c r="W296" i="27"/>
  <c r="Y296" i="27"/>
  <c r="Y300" i="27"/>
  <c r="W300" i="27"/>
  <c r="V300" i="27"/>
  <c r="U300" i="27"/>
  <c r="T300" i="27"/>
  <c r="S300" i="27"/>
  <c r="R300" i="27"/>
  <c r="Q300" i="27"/>
  <c r="P300" i="27"/>
  <c r="O300" i="27"/>
  <c r="N300" i="27"/>
  <c r="M300" i="27"/>
  <c r="L300" i="27"/>
  <c r="K300" i="27"/>
  <c r="J300" i="27"/>
  <c r="I300" i="27"/>
  <c r="Y299" i="27"/>
  <c r="W299" i="27"/>
  <c r="V299" i="27"/>
  <c r="U299" i="27"/>
  <c r="T299" i="27"/>
  <c r="S299" i="27"/>
  <c r="R299" i="27"/>
  <c r="Q299" i="27"/>
  <c r="P299" i="27"/>
  <c r="O299" i="27"/>
  <c r="N299" i="27"/>
  <c r="M299" i="27"/>
  <c r="L299" i="27"/>
  <c r="K299" i="27"/>
  <c r="J299" i="27"/>
  <c r="I299" i="27"/>
  <c r="I289" i="27"/>
  <c r="J289" i="27"/>
  <c r="K289" i="27"/>
  <c r="L289" i="27"/>
  <c r="M289" i="27"/>
  <c r="N289" i="27"/>
  <c r="O289" i="27"/>
  <c r="P289" i="27"/>
  <c r="Q289" i="27"/>
  <c r="R289" i="27"/>
  <c r="S289" i="27"/>
  <c r="T289" i="27"/>
  <c r="U289" i="27"/>
  <c r="V289" i="27"/>
  <c r="W289" i="27"/>
  <c r="Y289" i="27"/>
  <c r="I282" i="27"/>
  <c r="J282" i="27"/>
  <c r="K282" i="27"/>
  <c r="L282" i="27"/>
  <c r="M282" i="27"/>
  <c r="N282" i="27"/>
  <c r="O282" i="27"/>
  <c r="P282" i="27"/>
  <c r="Q282" i="27"/>
  <c r="R282" i="27"/>
  <c r="S282" i="27"/>
  <c r="T282" i="27"/>
  <c r="U282" i="27"/>
  <c r="V282" i="27"/>
  <c r="W282" i="27"/>
  <c r="Y282" i="27"/>
  <c r="I274" i="27"/>
  <c r="J274" i="27"/>
  <c r="K274" i="27"/>
  <c r="L274" i="27"/>
  <c r="M274" i="27"/>
  <c r="N274" i="27"/>
  <c r="O274" i="27"/>
  <c r="P274" i="27"/>
  <c r="Q274" i="27"/>
  <c r="R274" i="27"/>
  <c r="S274" i="27"/>
  <c r="T274" i="27"/>
  <c r="U274" i="27"/>
  <c r="V274" i="27"/>
  <c r="W274" i="27"/>
  <c r="Y274" i="27"/>
  <c r="I208" i="27"/>
  <c r="J208" i="27"/>
  <c r="K208" i="27"/>
  <c r="L208" i="27"/>
  <c r="M208" i="27"/>
  <c r="N208" i="27"/>
  <c r="O208" i="27"/>
  <c r="P208" i="27"/>
  <c r="Q208" i="27"/>
  <c r="R208" i="27"/>
  <c r="S208" i="27"/>
  <c r="T208" i="27"/>
  <c r="U208" i="27"/>
  <c r="V208" i="27"/>
  <c r="W208" i="27"/>
  <c r="Y208" i="27"/>
  <c r="I115" i="27"/>
  <c r="J115" i="27"/>
  <c r="K115" i="27"/>
  <c r="L115" i="27"/>
  <c r="M115" i="27"/>
  <c r="N115" i="27"/>
  <c r="O115" i="27"/>
  <c r="P115" i="27"/>
  <c r="Q115" i="27"/>
  <c r="R115" i="27"/>
  <c r="S115" i="27"/>
  <c r="T115" i="27"/>
  <c r="U115" i="27"/>
  <c r="V115" i="27"/>
  <c r="W115" i="27"/>
  <c r="Y115" i="27"/>
  <c r="I38" i="27"/>
  <c r="J38" i="27"/>
  <c r="K38" i="27"/>
  <c r="L38" i="27"/>
  <c r="M38" i="27"/>
  <c r="N38" i="27"/>
  <c r="O38" i="27"/>
  <c r="P38" i="27"/>
  <c r="Q38" i="27"/>
  <c r="R38" i="27"/>
  <c r="S38" i="27"/>
  <c r="T38" i="27"/>
  <c r="U38" i="27"/>
  <c r="V38" i="27"/>
  <c r="W38" i="27"/>
  <c r="Y38"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6" i="27"/>
  <c r="J6" i="27"/>
  <c r="K6" i="27"/>
  <c r="L6" i="27"/>
  <c r="M6" i="27"/>
  <c r="N6" i="27"/>
  <c r="O6" i="27"/>
  <c r="P6" i="27"/>
  <c r="Q6" i="27"/>
  <c r="R6" i="27"/>
  <c r="S6" i="27"/>
  <c r="T6" i="27"/>
  <c r="U6" i="27"/>
  <c r="V6" i="27"/>
  <c r="W6" i="27"/>
  <c r="Y6" i="27"/>
  <c r="X98" i="27"/>
  <c r="X38" i="27"/>
  <c r="X274" i="27"/>
  <c r="X296" i="27"/>
  <c r="X300" i="27"/>
  <c r="X208" i="27"/>
  <c r="X195" i="27"/>
  <c r="X115" i="27"/>
  <c r="X99" i="27"/>
  <c r="X289" i="27"/>
  <c r="X6" i="27"/>
  <c r="X299" i="27"/>
  <c r="X282" i="27"/>
  <c r="G9" i="30" l="1"/>
  <c r="H9" i="30"/>
  <c r="I9" i="30"/>
  <c r="J9" i="30"/>
  <c r="K9" i="30"/>
  <c r="L9" i="30"/>
  <c r="M9" i="30"/>
  <c r="N9" i="30"/>
  <c r="O9" i="30"/>
  <c r="P9" i="30"/>
  <c r="Q9" i="30"/>
  <c r="R9" i="30"/>
  <c r="S9" i="30"/>
  <c r="T9" i="30"/>
  <c r="R8" i="30"/>
  <c r="G8" i="30"/>
  <c r="H8" i="30"/>
  <c r="I8" i="30"/>
  <c r="J8" i="30"/>
  <c r="K8" i="30"/>
  <c r="L8" i="30"/>
  <c r="M8" i="30"/>
  <c r="N8" i="30"/>
  <c r="O8" i="30"/>
  <c r="P8" i="30"/>
  <c r="Q8" i="30"/>
  <c r="S8" i="30"/>
  <c r="T8" i="30"/>
  <c r="G38" i="30" l="1"/>
  <c r="H38" i="30"/>
  <c r="I38" i="30"/>
  <c r="J38" i="30"/>
  <c r="K38" i="30"/>
  <c r="L38" i="30"/>
  <c r="M38" i="30"/>
  <c r="N38" i="30"/>
  <c r="O38" i="30"/>
  <c r="P38" i="30"/>
  <c r="Q38" i="30"/>
  <c r="R38" i="30"/>
  <c r="S38" i="30"/>
  <c r="T38" i="30"/>
  <c r="G36" i="30"/>
  <c r="H36" i="30"/>
  <c r="I36" i="30"/>
  <c r="J36" i="30"/>
  <c r="K36" i="30"/>
  <c r="L36" i="30"/>
  <c r="M36" i="30"/>
  <c r="N36" i="30"/>
  <c r="O36" i="30"/>
  <c r="P36" i="30"/>
  <c r="Q36" i="30"/>
  <c r="R36" i="30"/>
  <c r="S36" i="30"/>
  <c r="T36" i="30"/>
  <c r="G34" i="30"/>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19" i="30"/>
  <c r="H19" i="30"/>
  <c r="I19" i="30"/>
  <c r="J19" i="30"/>
  <c r="K19" i="30"/>
  <c r="L19" i="30"/>
  <c r="M19" i="30"/>
  <c r="N19" i="30"/>
  <c r="O19" i="30"/>
  <c r="P19" i="30"/>
  <c r="Q19" i="30"/>
  <c r="R19" i="30"/>
  <c r="S19" i="30"/>
  <c r="T19" i="30"/>
  <c r="R15" i="30"/>
  <c r="G15" i="30"/>
  <c r="H15" i="30"/>
  <c r="I15" i="30"/>
  <c r="J15" i="30"/>
  <c r="K15" i="30"/>
  <c r="L15" i="30"/>
  <c r="M15" i="30"/>
  <c r="N15" i="30"/>
  <c r="O15" i="30"/>
  <c r="P15" i="30"/>
  <c r="Q15" i="30"/>
  <c r="S15" i="30"/>
  <c r="T15" i="30"/>
  <c r="G13" i="30"/>
  <c r="H13" i="30"/>
  <c r="I13" i="30"/>
  <c r="J13" i="30"/>
  <c r="K13" i="30"/>
  <c r="L13" i="30"/>
  <c r="M13" i="30"/>
  <c r="N13" i="30"/>
  <c r="O13" i="30"/>
  <c r="P13" i="30"/>
  <c r="Q13" i="30"/>
  <c r="R13" i="30"/>
  <c r="S13" i="30"/>
  <c r="T13" i="30"/>
  <c r="G7" i="30"/>
  <c r="H7" i="30"/>
  <c r="I7" i="30"/>
  <c r="J7" i="30"/>
  <c r="K7" i="30"/>
  <c r="L7" i="30"/>
  <c r="M7" i="30"/>
  <c r="N7" i="30"/>
  <c r="O7" i="30"/>
  <c r="P7" i="30"/>
  <c r="Q7" i="30"/>
  <c r="R7" i="30"/>
  <c r="S7" i="30"/>
  <c r="T7" i="30"/>
  <c r="R3" i="30"/>
  <c r="G3" i="30"/>
  <c r="H3" i="30"/>
  <c r="I3" i="30"/>
  <c r="J3" i="30"/>
  <c r="K3" i="30"/>
  <c r="L3" i="30"/>
  <c r="M3" i="30"/>
  <c r="N3" i="30"/>
  <c r="O3" i="30"/>
  <c r="P3" i="30"/>
  <c r="Q3" i="30"/>
  <c r="S3" i="30"/>
  <c r="T3" i="30"/>
  <c r="Y2" i="27" l="1"/>
  <c r="Y3" i="27"/>
  <c r="Y4" i="27"/>
  <c r="Y5" i="27"/>
  <c r="Y8" i="27"/>
  <c r="Y9" i="27"/>
  <c r="Y11" i="27"/>
  <c r="Y12" i="27"/>
  <c r="Y13" i="27"/>
  <c r="Y14" i="27"/>
  <c r="Y15" i="27"/>
  <c r="Y16" i="27"/>
  <c r="Y17" i="27"/>
  <c r="Y18" i="27"/>
  <c r="Y19" i="27"/>
  <c r="Y21" i="27"/>
  <c r="Y22" i="27"/>
  <c r="Y23" i="27"/>
  <c r="Y24" i="27"/>
  <c r="Y25" i="27"/>
  <c r="Y26" i="27"/>
  <c r="Y27" i="27"/>
  <c r="Y28" i="27"/>
  <c r="Y29" i="27"/>
  <c r="Y35" i="27"/>
  <c r="Y36" i="27"/>
  <c r="Y37" i="27"/>
  <c r="Y39" i="27"/>
  <c r="Y40" i="27"/>
  <c r="Y41" i="27"/>
  <c r="Y42" i="27"/>
  <c r="Y43" i="27"/>
  <c r="Y44" i="27"/>
  <c r="Y47" i="27"/>
  <c r="Y48" i="27"/>
  <c r="Y49" i="27"/>
  <c r="Y50" i="27"/>
  <c r="Y53" i="27"/>
  <c r="Y54" i="27"/>
  <c r="Y57" i="27"/>
  <c r="Y80" i="27"/>
  <c r="Y81" i="27"/>
  <c r="Y82" i="27"/>
  <c r="Y84" i="27"/>
  <c r="Y85" i="27"/>
  <c r="Y86" i="27"/>
  <c r="Y87" i="27"/>
  <c r="Y88" i="27"/>
  <c r="Y89" i="27"/>
  <c r="Y90" i="27"/>
  <c r="Y91" i="27"/>
  <c r="Y92" i="27"/>
  <c r="Y93" i="27"/>
  <c r="Y94" i="27"/>
  <c r="Y96" i="27"/>
  <c r="Y95" i="27"/>
  <c r="Y97" i="27"/>
  <c r="Y100" i="27"/>
  <c r="Y101" i="27"/>
  <c r="Y102" i="27"/>
  <c r="Y103" i="27"/>
  <c r="Y104" i="27"/>
  <c r="Y105" i="27"/>
  <c r="Y106" i="27"/>
  <c r="Y107" i="27"/>
  <c r="Y108" i="27"/>
  <c r="Y109" i="27"/>
  <c r="Y110" i="27"/>
  <c r="Y111"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72" i="27"/>
  <c r="Y173" i="27"/>
  <c r="Y175" i="27"/>
  <c r="Y176" i="27"/>
  <c r="Y187" i="27"/>
  <c r="Y188" i="27"/>
  <c r="Y189" i="27"/>
  <c r="Y190" i="27"/>
  <c r="Y191" i="27"/>
  <c r="Y192" i="27"/>
  <c r="Y193" i="27"/>
  <c r="Y194" i="27"/>
  <c r="Y196" i="27"/>
  <c r="Y197" i="27"/>
  <c r="Y198" i="27"/>
  <c r="Y199" i="27"/>
  <c r="Y200" i="27"/>
  <c r="Y201" i="27"/>
  <c r="Y202" i="27"/>
  <c r="Y203" i="27"/>
  <c r="Y204" i="27"/>
  <c r="Y205" i="27"/>
  <c r="Y206" i="27"/>
  <c r="Y207" i="27"/>
  <c r="Y212" i="27"/>
  <c r="Y213" i="27"/>
  <c r="Y214" i="27"/>
  <c r="Y216" i="27"/>
  <c r="Y217" i="27"/>
  <c r="Y218" i="27"/>
  <c r="Y219" i="27"/>
  <c r="Y220" i="27"/>
  <c r="Y222" i="27"/>
  <c r="Y223" i="27"/>
  <c r="Y224" i="27"/>
  <c r="Y225" i="27"/>
  <c r="Y226"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60" i="27"/>
  <c r="Y261" i="27"/>
  <c r="Y262" i="27"/>
  <c r="Y263" i="27"/>
  <c r="Y294" i="27"/>
  <c r="Y295" i="27"/>
  <c r="Y297" i="27"/>
  <c r="Y298" i="27"/>
  <c r="Y264" i="27"/>
  <c r="Y265" i="27"/>
  <c r="Y266" i="27"/>
  <c r="Y267" i="27"/>
  <c r="Y268" i="27"/>
  <c r="Y269" i="27"/>
  <c r="Y270" i="27"/>
  <c r="Y271" i="27"/>
  <c r="Y272" i="27"/>
  <c r="Y273" i="27"/>
  <c r="Y275" i="27"/>
  <c r="Y276" i="27"/>
  <c r="Y277" i="27"/>
  <c r="Y278" i="27"/>
  <c r="Y279" i="27"/>
  <c r="Y280" i="27"/>
  <c r="Y281" i="27"/>
  <c r="Y283" i="27"/>
  <c r="Y284" i="27"/>
  <c r="Y285" i="27"/>
  <c r="Y286" i="27"/>
  <c r="Y287" i="27"/>
  <c r="Y288" i="27"/>
  <c r="Y290" i="27"/>
  <c r="Y291" i="27"/>
  <c r="Y292" i="27"/>
  <c r="Y293" i="27"/>
  <c r="Y301" i="27"/>
  <c r="Y302" i="27"/>
  <c r="Y303" i="27"/>
  <c r="Y304" i="27"/>
  <c r="Y305" i="27"/>
  <c r="Y306" i="27"/>
  <c r="Y307" i="27"/>
  <c r="Y308" i="27"/>
  <c r="Y309" i="27"/>
  <c r="Y310" i="27"/>
  <c r="Y311" i="27"/>
  <c r="Y312" i="27"/>
  <c r="Y313" i="27"/>
  <c r="Y314" i="27"/>
  <c r="Y315"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V206" i="27"/>
  <c r="I206" i="27"/>
  <c r="J206" i="27"/>
  <c r="K206" i="27"/>
  <c r="L206" i="27"/>
  <c r="M206" i="27"/>
  <c r="N206" i="27"/>
  <c r="O206" i="27"/>
  <c r="P206" i="27"/>
  <c r="Q206" i="27"/>
  <c r="R206" i="27"/>
  <c r="S206" i="27"/>
  <c r="T206" i="27"/>
  <c r="U206" i="27"/>
  <c r="W206" i="27"/>
  <c r="I207" i="27"/>
  <c r="J207" i="27"/>
  <c r="K207" i="27"/>
  <c r="L207" i="27"/>
  <c r="M207" i="27"/>
  <c r="N207" i="27"/>
  <c r="O207" i="27"/>
  <c r="P207" i="27"/>
  <c r="Q207" i="27"/>
  <c r="R207" i="27"/>
  <c r="S207" i="27"/>
  <c r="T207" i="27"/>
  <c r="U207" i="27"/>
  <c r="V207" i="27"/>
  <c r="W207"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34" i="27"/>
  <c r="J234" i="27"/>
  <c r="K234" i="27"/>
  <c r="L234" i="27"/>
  <c r="M234" i="27"/>
  <c r="N234" i="27"/>
  <c r="O234" i="27"/>
  <c r="P234" i="27"/>
  <c r="Q234" i="27"/>
  <c r="R234" i="27"/>
  <c r="S234" i="27"/>
  <c r="T234" i="27"/>
  <c r="U234" i="27"/>
  <c r="V234" i="27"/>
  <c r="W234" i="27"/>
  <c r="V235" i="27"/>
  <c r="I235" i="27"/>
  <c r="J235" i="27"/>
  <c r="K235" i="27"/>
  <c r="L235" i="27"/>
  <c r="M235" i="27"/>
  <c r="N235" i="27"/>
  <c r="O235" i="27"/>
  <c r="P235" i="27"/>
  <c r="Q235" i="27"/>
  <c r="R235" i="27"/>
  <c r="S235" i="27"/>
  <c r="T235" i="27"/>
  <c r="U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V255" i="27"/>
  <c r="I255" i="27"/>
  <c r="J255" i="27"/>
  <c r="K255" i="27"/>
  <c r="L255" i="27"/>
  <c r="M255" i="27"/>
  <c r="N255" i="27"/>
  <c r="O255" i="27"/>
  <c r="P255" i="27"/>
  <c r="Q255" i="27"/>
  <c r="R255" i="27"/>
  <c r="S255" i="27"/>
  <c r="T255" i="27"/>
  <c r="U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60" i="27"/>
  <c r="J260" i="27"/>
  <c r="K260" i="27"/>
  <c r="L260" i="27"/>
  <c r="M260" i="27"/>
  <c r="N260" i="27"/>
  <c r="O260" i="27"/>
  <c r="P260" i="27"/>
  <c r="Q260" i="27"/>
  <c r="R260" i="27"/>
  <c r="S260" i="27"/>
  <c r="T260" i="27"/>
  <c r="U260" i="27"/>
  <c r="V260" i="27"/>
  <c r="W260" i="27"/>
  <c r="V261" i="27"/>
  <c r="I261" i="27"/>
  <c r="J261" i="27"/>
  <c r="K261" i="27"/>
  <c r="L261" i="27"/>
  <c r="M261" i="27"/>
  <c r="N261" i="27"/>
  <c r="O261" i="27"/>
  <c r="P261" i="27"/>
  <c r="Q261" i="27"/>
  <c r="R261" i="27"/>
  <c r="S261" i="27"/>
  <c r="T261" i="27"/>
  <c r="U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94" i="27"/>
  <c r="J294" i="27"/>
  <c r="K294" i="27"/>
  <c r="L294" i="27"/>
  <c r="M294" i="27"/>
  <c r="N294" i="27"/>
  <c r="O294" i="27"/>
  <c r="P294" i="27"/>
  <c r="Q294" i="27"/>
  <c r="R294" i="27"/>
  <c r="S294" i="27"/>
  <c r="T294" i="27"/>
  <c r="U294" i="27"/>
  <c r="V294" i="27"/>
  <c r="W294" i="27"/>
  <c r="V295" i="27"/>
  <c r="I295" i="27"/>
  <c r="J295" i="27"/>
  <c r="K295" i="27"/>
  <c r="L295" i="27"/>
  <c r="M295" i="27"/>
  <c r="N295" i="27"/>
  <c r="O295" i="27"/>
  <c r="P295" i="27"/>
  <c r="Q295" i="27"/>
  <c r="R295" i="27"/>
  <c r="S295" i="27"/>
  <c r="T295" i="27"/>
  <c r="U295" i="27"/>
  <c r="W295"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V272" i="27"/>
  <c r="I272" i="27"/>
  <c r="J272" i="27"/>
  <c r="K272" i="27"/>
  <c r="L272" i="27"/>
  <c r="M272" i="27"/>
  <c r="N272" i="27"/>
  <c r="O272" i="27"/>
  <c r="P272" i="27"/>
  <c r="Q272" i="27"/>
  <c r="R272" i="27"/>
  <c r="S272" i="27"/>
  <c r="T272" i="27"/>
  <c r="U272" i="27"/>
  <c r="W272" i="27"/>
  <c r="I273" i="27"/>
  <c r="J273" i="27"/>
  <c r="K273" i="27"/>
  <c r="L273" i="27"/>
  <c r="M273" i="27"/>
  <c r="N273" i="27"/>
  <c r="O273" i="27"/>
  <c r="P273" i="27"/>
  <c r="Q273" i="27"/>
  <c r="R273" i="27"/>
  <c r="S273" i="27"/>
  <c r="T273" i="27"/>
  <c r="U273" i="27"/>
  <c r="V273" i="27"/>
  <c r="W273"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V279" i="27"/>
  <c r="I279" i="27"/>
  <c r="J279" i="27"/>
  <c r="K279" i="27"/>
  <c r="L279" i="27"/>
  <c r="M279" i="27"/>
  <c r="N279" i="27"/>
  <c r="O279" i="27"/>
  <c r="P279" i="27"/>
  <c r="Q279" i="27"/>
  <c r="R279" i="27"/>
  <c r="S279" i="27"/>
  <c r="T279" i="27"/>
  <c r="U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301" i="27"/>
  <c r="J301" i="27"/>
  <c r="K301" i="27"/>
  <c r="L301" i="27"/>
  <c r="M301" i="27"/>
  <c r="N301" i="27"/>
  <c r="O301" i="27"/>
  <c r="P301" i="27"/>
  <c r="Q301" i="27"/>
  <c r="R301" i="27"/>
  <c r="S301" i="27"/>
  <c r="T301" i="27"/>
  <c r="U301" i="27"/>
  <c r="V301" i="27"/>
  <c r="W301" i="27"/>
  <c r="V302" i="27"/>
  <c r="I302" i="27"/>
  <c r="J302" i="27"/>
  <c r="K302" i="27"/>
  <c r="L302" i="27"/>
  <c r="M302" i="27"/>
  <c r="N302" i="27"/>
  <c r="O302" i="27"/>
  <c r="P302" i="27"/>
  <c r="Q302" i="27"/>
  <c r="R302" i="27"/>
  <c r="S302" i="27"/>
  <c r="T302" i="27"/>
  <c r="U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7" i="27"/>
  <c r="J317" i="27"/>
  <c r="K317" i="27"/>
  <c r="L317" i="27"/>
  <c r="M317" i="27"/>
  <c r="N317" i="27"/>
  <c r="O317" i="27"/>
  <c r="P317" i="27"/>
  <c r="Q317" i="27"/>
  <c r="R317" i="27"/>
  <c r="S317" i="27"/>
  <c r="T317" i="27"/>
  <c r="U317" i="27"/>
  <c r="V317" i="27"/>
  <c r="W317" i="27"/>
  <c r="V318" i="27"/>
  <c r="I318" i="27"/>
  <c r="J318" i="27"/>
  <c r="K318" i="27"/>
  <c r="L318" i="27"/>
  <c r="M318" i="27"/>
  <c r="N318" i="27"/>
  <c r="O318" i="27"/>
  <c r="P318" i="27"/>
  <c r="Q318" i="27"/>
  <c r="R318" i="27"/>
  <c r="S318" i="27"/>
  <c r="T318" i="27"/>
  <c r="U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V323" i="27"/>
  <c r="I323" i="27"/>
  <c r="J323" i="27"/>
  <c r="K323" i="27"/>
  <c r="L323" i="27"/>
  <c r="M323" i="27"/>
  <c r="N323" i="27"/>
  <c r="O323" i="27"/>
  <c r="P323" i="27"/>
  <c r="Q323" i="27"/>
  <c r="R323" i="27"/>
  <c r="S323" i="27"/>
  <c r="T323" i="27"/>
  <c r="U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V333" i="27"/>
  <c r="I333" i="27"/>
  <c r="J333" i="27"/>
  <c r="K333" i="27"/>
  <c r="L333" i="27"/>
  <c r="M333" i="27"/>
  <c r="N333" i="27"/>
  <c r="O333" i="27"/>
  <c r="P333" i="27"/>
  <c r="Q333" i="27"/>
  <c r="R333" i="27"/>
  <c r="S333" i="27"/>
  <c r="T333" i="27"/>
  <c r="U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Y346" i="27" l="1"/>
  <c r="R46" i="30"/>
  <c r="G46" i="30"/>
  <c r="H46" i="30"/>
  <c r="I46" i="30"/>
  <c r="J46" i="30"/>
  <c r="K46" i="30"/>
  <c r="L46" i="30"/>
  <c r="M46" i="30"/>
  <c r="N46" i="30"/>
  <c r="O46" i="30"/>
  <c r="P46" i="30"/>
  <c r="Q46" i="30"/>
  <c r="S46" i="30"/>
  <c r="T46" i="30"/>
  <c r="G45" i="30"/>
  <c r="H45" i="30"/>
  <c r="I45" i="30"/>
  <c r="J45" i="30"/>
  <c r="K45" i="30"/>
  <c r="L45" i="30"/>
  <c r="M45" i="30"/>
  <c r="N45" i="30"/>
  <c r="O45" i="30"/>
  <c r="P45" i="30"/>
  <c r="Q45" i="30"/>
  <c r="R45" i="30"/>
  <c r="S45" i="30"/>
  <c r="T45" i="30"/>
  <c r="R44" i="30"/>
  <c r="G44" i="30"/>
  <c r="H44" i="30"/>
  <c r="I44" i="30"/>
  <c r="J44" i="30"/>
  <c r="K44" i="30"/>
  <c r="L44" i="30"/>
  <c r="M44" i="30"/>
  <c r="N44" i="30"/>
  <c r="O44" i="30"/>
  <c r="P44" i="30"/>
  <c r="Q44" i="30"/>
  <c r="S44" i="30"/>
  <c r="T44" i="30"/>
  <c r="R43" i="30"/>
  <c r="G43" i="30"/>
  <c r="H43" i="30"/>
  <c r="I43" i="30"/>
  <c r="J43" i="30"/>
  <c r="K43" i="30"/>
  <c r="L43" i="30"/>
  <c r="M43" i="30"/>
  <c r="N43" i="30"/>
  <c r="O43" i="30"/>
  <c r="P43" i="30"/>
  <c r="Q43" i="30"/>
  <c r="S43" i="30"/>
  <c r="T43" i="30"/>
  <c r="G42" i="30"/>
  <c r="H42" i="30"/>
  <c r="I42" i="30"/>
  <c r="J42" i="30"/>
  <c r="K42" i="30"/>
  <c r="L42" i="30"/>
  <c r="M42" i="30"/>
  <c r="N42" i="30"/>
  <c r="O42" i="30"/>
  <c r="P42" i="30"/>
  <c r="Q42" i="30"/>
  <c r="R42" i="30"/>
  <c r="S42" i="30"/>
  <c r="T42" i="30"/>
  <c r="G41" i="30"/>
  <c r="H41" i="30"/>
  <c r="I41" i="30"/>
  <c r="J41" i="30"/>
  <c r="K41" i="30"/>
  <c r="L41" i="30"/>
  <c r="M41" i="30"/>
  <c r="N41" i="30"/>
  <c r="O41" i="30"/>
  <c r="P41" i="30"/>
  <c r="Q41" i="30"/>
  <c r="R41" i="30"/>
  <c r="S41" i="30"/>
  <c r="T41" i="30"/>
  <c r="G40" i="30"/>
  <c r="H40" i="30"/>
  <c r="I40" i="30"/>
  <c r="J40" i="30"/>
  <c r="K40" i="30"/>
  <c r="L40" i="30"/>
  <c r="M40" i="30"/>
  <c r="N40" i="30"/>
  <c r="O40" i="30"/>
  <c r="P40" i="30"/>
  <c r="Q40" i="30"/>
  <c r="R40" i="30"/>
  <c r="S40" i="30"/>
  <c r="T40" i="30"/>
  <c r="R39" i="30"/>
  <c r="G39" i="30"/>
  <c r="H39" i="30"/>
  <c r="I39" i="30"/>
  <c r="J39" i="30"/>
  <c r="K39" i="30"/>
  <c r="L39" i="30"/>
  <c r="M39" i="30"/>
  <c r="N39" i="30"/>
  <c r="O39" i="30"/>
  <c r="P39" i="30"/>
  <c r="Q39" i="30"/>
  <c r="S39" i="30"/>
  <c r="T39" i="30"/>
  <c r="G21" i="30" l="1"/>
  <c r="H21" i="30"/>
  <c r="I21" i="30"/>
  <c r="J21" i="30"/>
  <c r="K21" i="30"/>
  <c r="L21" i="30"/>
  <c r="M21" i="30"/>
  <c r="N21" i="30"/>
  <c r="O21" i="30"/>
  <c r="P21" i="30"/>
  <c r="Q21" i="30"/>
  <c r="R21" i="30"/>
  <c r="S21" i="30"/>
  <c r="T21" i="30"/>
  <c r="R23" i="30"/>
  <c r="G23" i="30"/>
  <c r="H23" i="30"/>
  <c r="I23" i="30"/>
  <c r="J23" i="30"/>
  <c r="K23" i="30"/>
  <c r="L23" i="30"/>
  <c r="M23" i="30"/>
  <c r="N23" i="30"/>
  <c r="O23" i="30"/>
  <c r="P23" i="30"/>
  <c r="Q23" i="30"/>
  <c r="S23" i="30"/>
  <c r="T23" i="30"/>
  <c r="R26" i="30"/>
  <c r="G26" i="30"/>
  <c r="H26" i="30"/>
  <c r="I26" i="30"/>
  <c r="J26" i="30"/>
  <c r="K26" i="30"/>
  <c r="L26" i="30"/>
  <c r="M26" i="30"/>
  <c r="N26" i="30"/>
  <c r="O26" i="30"/>
  <c r="P26" i="30"/>
  <c r="Q26" i="30"/>
  <c r="S26" i="30"/>
  <c r="T26" i="30"/>
  <c r="X202" i="27"/>
  <c r="X119" i="27"/>
  <c r="X224" i="27"/>
  <c r="X102" i="27"/>
  <c r="X140" i="27"/>
  <c r="X39" i="27"/>
  <c r="X123" i="27"/>
  <c r="X325" i="27"/>
  <c r="X154" i="27"/>
  <c r="X203" i="27"/>
  <c r="X101" i="27"/>
  <c r="X239" i="27"/>
  <c r="X326" i="27"/>
  <c r="X268" i="27"/>
  <c r="X137" i="27"/>
  <c r="X324" i="27"/>
  <c r="X222" i="27"/>
  <c r="X292" i="27"/>
  <c r="X270" i="27"/>
  <c r="X213" i="27"/>
  <c r="X204" i="27"/>
  <c r="X196" i="27"/>
  <c r="X319" i="27"/>
  <c r="X40" i="27"/>
  <c r="X27" i="27"/>
  <c r="X277" i="27"/>
  <c r="X314" i="27"/>
  <c r="X236" i="27"/>
  <c r="X120" i="27"/>
  <c r="X150" i="27"/>
  <c r="X287" i="27"/>
  <c r="X143" i="27"/>
  <c r="X253" i="27"/>
  <c r="X293" i="27"/>
  <c r="X206" i="27"/>
  <c r="X344" i="27"/>
  <c r="X238" i="27"/>
  <c r="X332" i="27"/>
  <c r="X294" i="27"/>
  <c r="X219" i="27"/>
  <c r="X308" i="27"/>
  <c r="X130" i="27"/>
  <c r="X278" i="27"/>
  <c r="X225" i="27"/>
  <c r="X290" i="27"/>
  <c r="X17" i="27"/>
  <c r="X87" i="27"/>
  <c r="X106" i="27"/>
  <c r="X261" i="27"/>
  <c r="X151" i="27"/>
  <c r="X89" i="27"/>
  <c r="X220" i="27"/>
  <c r="X310" i="27"/>
  <c r="X283" i="27"/>
  <c r="X118" i="27"/>
  <c r="X257" i="27"/>
  <c r="X200" i="27"/>
  <c r="X256" i="27"/>
  <c r="X241" i="27"/>
  <c r="X249" i="27"/>
  <c r="X47" i="27"/>
  <c r="X5" i="27"/>
  <c r="X243" i="27"/>
  <c r="X265" i="27"/>
  <c r="X29" i="27"/>
  <c r="X192" i="27"/>
  <c r="X35" i="27"/>
  <c r="X94" i="27"/>
  <c r="X42" i="27"/>
  <c r="X312" i="27"/>
  <c r="X212" i="27"/>
  <c r="X330" i="27"/>
  <c r="X244" i="27"/>
  <c r="X82" i="27"/>
  <c r="X307" i="27"/>
  <c r="X107" i="27"/>
  <c r="X329" i="27"/>
  <c r="X263" i="27"/>
  <c r="X24" i="27"/>
  <c r="X159" i="27"/>
  <c r="X323" i="27"/>
  <c r="X147" i="27"/>
  <c r="X153" i="27"/>
  <c r="X85" i="27"/>
  <c r="X36" i="27"/>
  <c r="X337" i="27"/>
  <c r="X172" i="27"/>
  <c r="X276" i="27"/>
  <c r="X264" i="27"/>
  <c r="X108" i="27"/>
  <c r="X16" i="27"/>
  <c r="X309" i="27"/>
  <c r="X285" i="27"/>
  <c r="X197" i="27"/>
  <c r="X149" i="27"/>
  <c r="X207" i="27"/>
  <c r="X104" i="27"/>
  <c r="X341" i="27"/>
  <c r="X190" i="27"/>
  <c r="X158" i="27"/>
  <c r="X345" i="27"/>
  <c r="X81" i="27"/>
  <c r="X175" i="27"/>
  <c r="X291" i="27"/>
  <c r="X161" i="27"/>
  <c r="X333" i="27"/>
  <c r="X311" i="27"/>
  <c r="X251" i="27"/>
  <c r="X2" i="27"/>
  <c r="X248" i="27"/>
  <c r="X3" i="27"/>
  <c r="X187" i="27"/>
  <c r="X18" i="27"/>
  <c r="X216" i="27"/>
  <c r="X273" i="27"/>
  <c r="X13" i="27"/>
  <c r="X267" i="27"/>
  <c r="X327" i="27"/>
  <c r="X226" i="27"/>
  <c r="X297" i="27"/>
  <c r="X139" i="27"/>
  <c r="X160" i="27"/>
  <c r="X92" i="27"/>
  <c r="X286" i="27"/>
  <c r="X191" i="27"/>
  <c r="X306" i="27"/>
  <c r="X288" i="27"/>
  <c r="X246" i="27"/>
  <c r="X124" i="27"/>
  <c r="X234" i="27"/>
  <c r="X19" i="27"/>
  <c r="X121" i="27"/>
  <c r="X103" i="27"/>
  <c r="X295" i="27"/>
  <c r="X134" i="27"/>
  <c r="X9" i="27"/>
  <c r="X271" i="27"/>
  <c r="X105" i="27"/>
  <c r="X304" i="27"/>
  <c r="X93" i="27"/>
  <c r="X26" i="27"/>
  <c r="X84" i="27"/>
  <c r="X44" i="27"/>
  <c r="X313" i="27"/>
  <c r="X205" i="27"/>
  <c r="X266" i="27"/>
  <c r="X80" i="27"/>
  <c r="X90" i="27"/>
  <c r="X189" i="27"/>
  <c r="X126" i="27"/>
  <c r="X155" i="27"/>
  <c r="X322" i="27"/>
  <c r="X269" i="27"/>
  <c r="X14" i="27"/>
  <c r="X116" i="27"/>
  <c r="X15" i="27"/>
  <c r="X88" i="27"/>
  <c r="X340" i="27"/>
  <c r="X198" i="27"/>
  <c r="X144" i="27"/>
  <c r="X28" i="27"/>
  <c r="X303" i="27"/>
  <c r="X315" i="27"/>
  <c r="X199" i="27"/>
  <c r="X339" i="27"/>
  <c r="X317" i="27"/>
  <c r="X109" i="27"/>
  <c r="X49" i="27"/>
  <c r="X127" i="27"/>
  <c r="X141" i="27"/>
  <c r="X133" i="27"/>
  <c r="X240" i="27"/>
  <c r="X275" i="27"/>
  <c r="X217" i="27"/>
  <c r="X142" i="27"/>
  <c r="X279" i="27"/>
  <c r="X301" i="27"/>
  <c r="X334" i="27"/>
  <c r="X335" i="27"/>
  <c r="X12" i="27"/>
  <c r="X4" i="27"/>
  <c r="X122" i="27"/>
  <c r="X157" i="27"/>
  <c r="X148" i="27"/>
  <c r="X284" i="27"/>
  <c r="X214" i="27"/>
  <c r="X97" i="27"/>
  <c r="X338" i="27"/>
  <c r="X22" i="27"/>
  <c r="X41" i="27"/>
  <c r="X50" i="27"/>
  <c r="X91" i="27"/>
  <c r="X328" i="27"/>
  <c r="X302" i="27"/>
  <c r="X145" i="27"/>
  <c r="X247" i="27"/>
  <c r="X25" i="27"/>
  <c r="X53" i="27"/>
  <c r="X131" i="27"/>
  <c r="X331" i="27"/>
  <c r="X258" i="27"/>
  <c r="X132" i="27"/>
  <c r="X305" i="27"/>
  <c r="X320" i="27"/>
  <c r="X86" i="27"/>
  <c r="X260" i="27"/>
  <c r="X11" i="27"/>
  <c r="X57" i="27"/>
  <c r="X125" i="27"/>
  <c r="X235" i="27"/>
  <c r="X193" i="27"/>
  <c r="X298" i="27"/>
  <c r="X117" i="27"/>
  <c r="X321" i="27"/>
  <c r="X129" i="27"/>
  <c r="X136" i="27"/>
  <c r="X173" i="27"/>
  <c r="X201" i="27"/>
  <c r="X281" i="27"/>
  <c r="X96" i="27"/>
  <c r="X194" i="27"/>
  <c r="X188" i="27"/>
  <c r="X250" i="27"/>
  <c r="X242" i="27"/>
  <c r="X152" i="27"/>
  <c r="X318" i="27"/>
  <c r="X342" i="27"/>
  <c r="X255" i="27"/>
  <c r="X54" i="27"/>
  <c r="X100" i="27"/>
  <c r="X237" i="27"/>
  <c r="X48" i="27"/>
  <c r="X245" i="27"/>
  <c r="X176" i="27"/>
  <c r="X21" i="27"/>
  <c r="X8" i="27"/>
  <c r="X146" i="27"/>
  <c r="X336" i="27"/>
  <c r="X280" i="27"/>
  <c r="X23" i="27"/>
  <c r="X272" i="27"/>
  <c r="X37" i="27"/>
  <c r="X110" i="27"/>
  <c r="X128" i="27"/>
  <c r="X343" i="27"/>
  <c r="X223" i="27"/>
  <c r="X111" i="27"/>
  <c r="X138" i="27"/>
  <c r="X254" i="27"/>
  <c r="X262" i="27"/>
  <c r="X95" i="27"/>
  <c r="X135" i="27"/>
  <c r="X43" i="27"/>
  <c r="X156" i="27"/>
  <c r="X218" i="27"/>
  <c r="X252" i="27"/>
  <c r="T37" i="30" l="1"/>
  <c r="S37" i="30"/>
  <c r="R37" i="30"/>
  <c r="Q37" i="30"/>
  <c r="P37" i="30"/>
  <c r="O37" i="30"/>
  <c r="N37" i="30"/>
  <c r="M37" i="30"/>
  <c r="L37" i="30"/>
  <c r="K37" i="30"/>
  <c r="J37" i="30"/>
  <c r="I37" i="30"/>
  <c r="H37" i="30"/>
  <c r="G37" i="30"/>
  <c r="T35" i="30"/>
  <c r="S35" i="30"/>
  <c r="R35" i="30"/>
  <c r="Q35" i="30"/>
  <c r="P35" i="30"/>
  <c r="O35" i="30"/>
  <c r="N35" i="30"/>
  <c r="M35" i="30"/>
  <c r="L35" i="30"/>
  <c r="K35" i="30"/>
  <c r="J35" i="30"/>
  <c r="I35" i="30"/>
  <c r="H35" i="30"/>
  <c r="G35" i="30"/>
  <c r="T33" i="30"/>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8" i="30"/>
  <c r="S28" i="30"/>
  <c r="R28" i="30"/>
  <c r="Q28" i="30"/>
  <c r="P28" i="30"/>
  <c r="O28" i="30"/>
  <c r="N28" i="30"/>
  <c r="M28" i="30"/>
  <c r="L28" i="30"/>
  <c r="K28" i="30"/>
  <c r="J28" i="30"/>
  <c r="I28" i="30"/>
  <c r="H28" i="30"/>
  <c r="G28"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2" i="30"/>
  <c r="S22" i="30"/>
  <c r="R22" i="30"/>
  <c r="Q22" i="30"/>
  <c r="P22" i="30"/>
  <c r="O22" i="30"/>
  <c r="N22" i="30"/>
  <c r="M22" i="30"/>
  <c r="L22" i="30"/>
  <c r="K22" i="30"/>
  <c r="J22" i="30"/>
  <c r="I22" i="30"/>
  <c r="H22" i="30"/>
  <c r="G22"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6" i="30"/>
  <c r="S6" i="30"/>
  <c r="R6" i="30"/>
  <c r="Q6" i="30"/>
  <c r="P6" i="30"/>
  <c r="O6" i="30"/>
  <c r="N6" i="30"/>
  <c r="M6" i="30"/>
  <c r="L6" i="30"/>
  <c r="K6" i="30"/>
  <c r="J6" i="30"/>
  <c r="I6" i="30"/>
  <c r="H6" i="30"/>
  <c r="G6" i="30"/>
  <c r="T2" i="30"/>
  <c r="S2" i="30"/>
  <c r="R2" i="30"/>
  <c r="Q2" i="30"/>
  <c r="P2" i="30"/>
  <c r="O2" i="30"/>
  <c r="N2" i="30"/>
  <c r="M2" i="30"/>
  <c r="L2" i="30"/>
  <c r="K2" i="30"/>
  <c r="J2" i="30"/>
  <c r="I2" i="30"/>
  <c r="H2" i="30"/>
  <c r="G2" i="30"/>
</calcChain>
</file>

<file path=xl/sharedStrings.xml><?xml version="1.0" encoding="utf-8"?>
<sst xmlns="http://schemas.openxmlformats.org/spreadsheetml/2006/main" count="1972" uniqueCount="595">
  <si>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</si>
  <si>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</si>
  <si>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</si>
  <si>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</si>
  <si>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</si>
  <si>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</si>
  <si>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</si>
  <si>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</si>
  <si>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</si>
  <si>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</si>
  <si>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</si>
  <si>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</si>
  <si>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</si>
  <si>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</si>
  <si>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</si>
  <si>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</si>
  <si>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</si>
  <si>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</si>
  <si>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</si>
  <si>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</si>
  <si>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</si>
  <si>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</si>
  <si>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</si>
  <si>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</si>
  <si>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</si>
  <si>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</si>
  <si>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</si>
  <si>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</si>
  <si>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</si>
  <si>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</si>
  <si>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</si>
  <si>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</si>
  <si>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</si>
  <si>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</si>
  <si>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</si>
  <si>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</si>
  <si>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</si>
  <si>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</si>
  <si>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</si>
  <si>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</si>
  <si>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</si>
  <si>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</si>
  <si>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</si>
  <si>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</si>
  <si>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</si>
  <si>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</si>
  <si>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</si>
  <si>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</si>
  <si>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</si>
  <si>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</si>
  <si>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</si>
  <si>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</si>
  <si>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</si>
  <si>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</si>
  <si>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</si>
  <si>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</si>
  <si>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</si>
  <si>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</si>
  <si>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</si>
  <si>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</si>
  <si>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</si>
  <si>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</si>
  <si>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</si>
  <si>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</si>
  <si>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</si>
  <si>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</si>
  <si>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</si>
  <si>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</si>
  <si>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</si>
  <si>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</si>
  <si>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</si>
  <si>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</si>
  <si>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</si>
  <si>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</si>
  <si>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</si>
  <si>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</si>
  <si>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</si>
  <si>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</si>
  <si>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</si>
  <si>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</si>
  <si>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</si>
  <si>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</si>
  <si>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</si>
  <si>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</si>
  <si>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</si>
  <si>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</si>
  <si>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</si>
  <si>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</si>
  <si>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</si>
  <si>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</si>
  <si>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</si>
  <si>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</si>
  <si>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</si>
  <si>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</si>
  <si>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</si>
  <si>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</si>
  <si>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</si>
  <si>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</si>
  <si>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</si>
  <si>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</si>
  <si>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</si>
  <si>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</si>
  <si>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</si>
  <si>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</si>
  <si>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</si>
  <si>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</si>
  <si>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</si>
  <si>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</si>
  <si>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</si>
  <si>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</si>
  <si>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</si>
  <si>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</si>
  <si>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</si>
  <si>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</si>
  <si>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</si>
  <si>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</si>
  <si>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</si>
  <si>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</si>
  <si>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</si>
  <si>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</si>
  <si>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</si>
  <si>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</si>
  <si>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</si>
  <si>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</si>
  <si>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</si>
  <si>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</si>
  <si>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</si>
  <si>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</si>
  <si>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</si>
  <si>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</si>
  <si>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</si>
  <si>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</si>
  <si>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</si>
  <si>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</si>
  <si>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</si>
  <si>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</si>
  <si>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</si>
  <si>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</si>
  <si>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</si>
  <si>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</si>
  <si>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</si>
  <si>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</si>
  <si>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</si>
  <si>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</si>
  <si>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</si>
  <si>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</si>
  <si>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</si>
  <si>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</si>
  <si>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</si>
  <si>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</si>
  <si>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</si>
  <si>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</si>
  <si>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</si>
  <si>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</si>
  <si>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</si>
  <si>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</si>
  <si>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</si>
  <si>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</si>
  <si>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</si>
  <si>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</si>
  <si>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</si>
  <si>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</si>
  <si>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</si>
  <si>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</si>
  <si>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</si>
  <si>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</si>
  <si>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</si>
  <si>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</si>
  <si>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</si>
  <si>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</si>
  <si>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</si>
  <si>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</si>
  <si>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</si>
  <si>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</si>
  <si>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</si>
  <si>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</si>
  <si>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</si>
  <si>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</si>
  <si>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</si>
  <si>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</si>
  <si>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</si>
  <si>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</si>
  <si>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</si>
  <si>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</si>
  <si>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</si>
  <si>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</si>
  <si>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</si>
  <si>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</si>
  <si>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</si>
  <si>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</si>
  <si>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</si>
  <si>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</si>
  <si>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</si>
  <si>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</si>
  <si>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</si>
  <si>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</si>
  <si>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</si>
  <si>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</si>
  <si>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</si>
  <si>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</si>
  <si>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</si>
  <si>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</si>
  <si>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</si>
  <si>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</si>
  <si>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</si>
  <si>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</si>
  <si>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</si>
  <si>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</si>
  <si>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</si>
  <si>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</si>
  <si>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</si>
  <si>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</si>
  <si>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</si>
  <si>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</si>
  <si>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</si>
  <si>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</si>
  <si>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</si>
  <si>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</si>
  <si>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</si>
  <si>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</si>
  <si>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</si>
  <si>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</si>
  <si>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</si>
  <si>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</si>
  <si>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</si>
  <si>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</si>
  <si>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</si>
  <si>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</si>
  <si>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</si>
  <si>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</si>
  <si>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</si>
  <si>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</si>
  <si>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</si>
  <si>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</si>
  <si>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</si>
  <si>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</si>
  <si>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</si>
  <si>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</si>
  <si>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</si>
  <si>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</si>
  <si>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</si>
  <si>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</si>
  <si>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</si>
  <si>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</si>
  <si>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</si>
  <si>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</si>
  <si>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</si>
  <si>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</si>
  <si>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</si>
  <si>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</si>
  <si>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</si>
  <si>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</si>
  <si>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</si>
  <si>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</si>
  <si>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</si>
  <si>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</si>
  <si>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</si>
  <si>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</si>
  <si>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</si>
  <si>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</si>
  <si>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</si>
  <si>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</si>
  <si>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</si>
  <si>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</si>
  <si>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</si>
  <si>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</si>
  <si>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</si>
  <si>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</si>
  <si>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</si>
  <si>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</si>
  <si>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</si>
  <si>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</si>
  <si>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</si>
  <si>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</si>
  <si>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</si>
  <si>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</si>
  <si>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</si>
  <si>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</si>
  <si>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</si>
  <si>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</si>
  <si>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</si>
  <si>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</si>
  <si>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</si>
  <si>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</si>
  <si>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</si>
  <si>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</si>
  <si>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</si>
  <si>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</si>
  <si>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</si>
  <si>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</si>
  <si>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</si>
  <si>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</si>
  <si>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</si>
  <si>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</si>
  <si>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</si>
  <si>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</si>
  <si>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</si>
  <si>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</si>
  <si>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</si>
  <si>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</si>
  <si>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</si>
  <si>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</si>
  <si>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</si>
  <si>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</si>
  <si>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</si>
  <si>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</si>
  <si>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</si>
  <si>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</si>
  <si>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</si>
  <si>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</si>
  <si>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</si>
  <si>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</si>
  <si>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</si>
  <si>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</si>
  <si>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</si>
  <si>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</si>
  <si>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</si>
  <si>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</si>
  <si>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</si>
  <si>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</si>
  <si>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</si>
  <si>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</si>
  <si>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</si>
  <si>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</si>
  <si>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</si>
  <si>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</si>
  <si>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</si>
  <si>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</si>
  <si>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</si>
  <si>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</si>
  <si>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</si>
  <si>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</si>
  <si>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</si>
  <si>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</si>
  <si>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</si>
  <si>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</si>
  <si>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</si>
  <si>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</si>
  <si>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</si>
  <si>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</si>
  <si>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</si>
  <si>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</si>
  <si>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</si>
  <si>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</si>
  <si>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</si>
  <si>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</si>
  <si>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</si>
  <si>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</si>
  <si>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</si>
  <si>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</si>
  <si>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</si>
  <si>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</si>
  <si>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</si>
  <si>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</si>
  <si>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</si>
  <si>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</si>
  <si>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</si>
  <si>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</si>
  <si>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</si>
  <si>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</si>
  <si>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</si>
  <si>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</si>
  <si>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</si>
  <si>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</si>
  <si>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</si>
  <si>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</si>
  <si>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</si>
  <si>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</si>
  <si>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</si>
  <si>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</si>
  <si>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</si>
  <si>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</si>
  <si>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</si>
  <si>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</si>
  <si>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</si>
  <si>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</si>
  <si>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</si>
  <si>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</si>
  <si>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</si>
  <si>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</si>
  <si>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</si>
  <si>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</si>
  <si>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</si>
  <si>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</si>
  <si>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</si>
  <si>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</si>
  <si>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</si>
  <si>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</si>
  <si>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</si>
  <si>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</si>
  <si>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</si>
  <si>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</si>
  <si>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</si>
  <si>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</si>
  <si>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</si>
  <si>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</si>
  <si>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</si>
  <si>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</si>
  <si>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</si>
  <si>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</si>
  <si>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</si>
  <si>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</si>
  <si>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</si>
  <si>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</si>
  <si>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</si>
  <si>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</si>
  <si>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</si>
  <si>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</si>
  <si>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</si>
  <si>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</si>
  <si>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</si>
  <si>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</si>
  <si>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</si>
  <si>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</si>
  <si>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</si>
  <si>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</si>
  <si>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</si>
  <si>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</si>
  <si>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</si>
  <si>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</si>
  <si>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</si>
  <si>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</si>
  <si>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</si>
  <si>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</si>
  <si>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</si>
  <si>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</si>
  <si>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</si>
  <si>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</si>
  <si>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</si>
  <si>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</si>
  <si>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</si>
  <si>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</si>
  <si>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</si>
  <si>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</si>
  <si>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</si>
  <si>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</si>
  <si>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</si>
  <si>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</si>
  <si>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</si>
  <si>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</si>
  <si>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</si>
  <si>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</si>
  <si>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</si>
  <si>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</si>
  <si>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</si>
  <si>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</si>
  <si>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</si>
  <si>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</si>
  <si>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</si>
  <si>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</si>
  <si>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</si>
  <si>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</si>
  <si>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</si>
  <si>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</si>
  <si>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</si>
  <si>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</si>
  <si>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</si>
  <si>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</si>
  <si>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</si>
  <si>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</si>
  <si>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</si>
  <si>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</si>
  <si>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</si>
  <si>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</si>
  <si>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</si>
  <si>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</si>
  <si>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</si>
  <si>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</si>
  <si>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</si>
  <si>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</si>
  <si>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</si>
  <si>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</si>
  <si>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</si>
  <si>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</si>
  <si>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</si>
  <si>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</si>
  <si>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</si>
  <si>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</si>
  <si>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</si>
  <si>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</si>
  <si>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</si>
  <si>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</si>
  <si>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</si>
  <si>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</si>
  <si>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</si>
  <si>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</si>
  <si>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</si>
  <si>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</si>
  <si>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</si>
  <si>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</si>
  <si>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</si>
  <si>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</si>
  <si>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</si>
  <si>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</si>
  <si>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</si>
  <si>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</si>
  <si>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</si>
  <si>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</si>
  <si>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</si>
  <si>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</si>
  <si>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</si>
  <si>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</si>
  <si>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</si>
  <si>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</si>
  <si>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</si>
  <si>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</si>
  <si>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</si>
  <si>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</si>
  <si>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</si>
  <si>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</si>
  <si>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</si>
  <si>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</si>
  <si>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</si>
  <si>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</si>
  <si>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</si>
  <si>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</si>
  <si>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</si>
  <si>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</si>
  <si>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</si>
  <si>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</si>
  <si>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</si>
  <si>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</si>
  <si>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</si>
  <si>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</si>
  <si>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</si>
  <si>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</si>
  <si>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</si>
  <si>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</si>
  <si>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</si>
  <si>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</si>
  <si>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</si>
  <si>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</si>
  <si>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</si>
  <si>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</si>
  <si>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</si>
  <si>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</si>
  <si>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</si>
  <si>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</si>
  <si>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</si>
  <si>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</si>
  <si>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</si>
  <si>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</si>
  <si>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</si>
  <si>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</si>
  <si>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</si>
  <si>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</si>
  <si>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</si>
  <si>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</si>
  <si>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</si>
  <si>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</si>
  <si>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</si>
  <si>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</si>
  <si>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</si>
  <si>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</si>
  <si>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</si>
  <si>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</si>
  <si>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</si>
  <si>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</si>
  <si>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</si>
  <si>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</si>
  <si>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</si>
  <si>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</si>
  <si>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</si>
  <si>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</si>
  <si>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</si>
  <si>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</si>
  <si>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</si>
  <si>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</si>
  <si>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</si>
  <si>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</si>
  <si>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</si>
  <si>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</si>
  <si>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</si>
  <si>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</si>
  <si>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</si>
  <si>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</si>
  <si>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</si>
  <si>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</si>
  <si>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</si>
  <si>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</si>
  <si>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</si>
  <si>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</si>
  <si>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localAreaRotationLists</t>
  </si>
  <si>
    <t>LookupLists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</si>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</sst>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6" fillId="0" borderId="0"/>
  </cellStyleXfs>
  <cellXfs count="157">
    <xf numFmtId="0" fontId="0" fillId="0" borderId="0" xfId="0"/>
    <xf numFmtId="0" fontId="50" fillId="0" borderId="0" xfId="719" applyFont="1" applyAlignment="1">
      <alignment vertical="top"/>
    </xf>
    <xf numFmtId="0" fontId="50" fillId="0" borderId="0" xfId="719" applyFont="1" applyAlignment="1">
      <alignment vertical="top" wrapText="1"/>
    </xf>
    <xf numFmtId="0" fontId="46" fillId="0" borderId="0" xfId="719"/>
    <xf numFmtId="0" fontId="46" fillId="0" borderId="0" xfId="719" applyNumberFormat="1" applyAlignment="1">
      <alignment vertical="top"/>
    </xf>
    <xf numFmtId="0" fontId="46" fillId="0" borderId="0" xfId="719" applyAlignment="1">
      <alignment vertical="top"/>
    </xf>
    <xf numFmtId="0" fontId="46" fillId="0" borderId="0" xfId="719" applyAlignment="1">
      <alignment vertical="top" wrapText="1"/>
    </xf>
    <xf numFmtId="0" fontId="45" fillId="0" borderId="0" xfId="719" applyFont="1"/>
    <xf numFmtId="0" fontId="0" fillId="0" borderId="0" xfId="0" applyAlignment="1">
      <alignment vertical="top"/>
    </xf>
    <xf numFmtId="0" fontId="50" fillId="0" borderId="0" xfId="0" applyFont="1" applyAlignment="1">
      <alignment vertical="top"/>
    </xf>
    <xf numFmtId="0" fontId="44" fillId="0" borderId="0" xfId="719" applyFont="1"/>
    <xf numFmtId="0" fontId="44" fillId="0" borderId="0" xfId="719" applyFont="1" applyAlignment="1">
      <alignment vertical="top"/>
    </xf>
    <xf numFmtId="0" fontId="46" fillId="0" borderId="0" xfId="719" applyFill="1" applyAlignment="1">
      <alignment vertical="top" wrapText="1"/>
    </xf>
    <xf numFmtId="0" fontId="46" fillId="0" borderId="0" xfId="719" applyNumberFormat="1" applyFill="1"/>
    <xf numFmtId="0" fontId="0" fillId="0" borderId="0" xfId="0" applyNumberFormat="1" applyAlignment="1">
      <alignment vertical="top"/>
    </xf>
    <xf numFmtId="0" fontId="43" fillId="0" borderId="0" xfId="719" applyFont="1"/>
    <xf numFmtId="0" fontId="43" fillId="0" borderId="0" xfId="719" applyFont="1" applyFill="1"/>
    <xf numFmtId="0" fontId="46" fillId="0" borderId="0" xfId="719" applyFill="1"/>
    <xf numFmtId="0" fontId="46" fillId="0" borderId="0" xfId="719" applyNumberFormat="1" applyFill="1" applyAlignment="1">
      <alignment vertical="top"/>
    </xf>
    <xf numFmtId="0" fontId="41" fillId="0" borderId="0" xfId="719" applyFont="1" applyFill="1" applyAlignment="1">
      <alignment vertical="top"/>
    </xf>
    <xf numFmtId="0" fontId="40" fillId="0" borderId="0" xfId="719" applyFont="1"/>
    <xf numFmtId="0" fontId="40" fillId="0" borderId="0" xfId="719" applyFont="1" applyFill="1" applyAlignment="1">
      <alignment vertical="top"/>
    </xf>
    <xf numFmtId="0" fontId="40" fillId="0" borderId="0" xfId="719" applyFont="1" applyFill="1" applyAlignment="1">
      <alignment vertical="top" wrapText="1"/>
    </xf>
    <xf numFmtId="0" fontId="39" fillId="0" borderId="0" xfId="719" applyFont="1" applyFill="1" applyAlignment="1">
      <alignment vertical="top"/>
    </xf>
    <xf numFmtId="0" fontId="39" fillId="0" borderId="0" xfId="719" applyFont="1" applyFill="1" applyAlignment="1">
      <alignment vertical="top" wrapText="1"/>
    </xf>
    <xf numFmtId="0" fontId="39" fillId="0" borderId="0" xfId="719" applyNumberFormat="1" applyFont="1" applyFill="1" applyAlignment="1">
      <alignment vertical="top"/>
    </xf>
    <xf numFmtId="0" fontId="38" fillId="0" borderId="0" xfId="719" applyFont="1" applyFill="1" applyAlignment="1">
      <alignment vertical="top"/>
    </xf>
    <xf numFmtId="0" fontId="38" fillId="0" borderId="0" xfId="719" applyFont="1" applyFill="1" applyAlignment="1">
      <alignment vertical="top" wrapText="1"/>
    </xf>
    <xf numFmtId="0" fontId="37" fillId="0" borderId="0" xfId="719" applyFont="1" applyFill="1" applyAlignment="1">
      <alignment vertical="top"/>
    </xf>
    <xf numFmtId="0" fontId="37" fillId="0" borderId="0" xfId="719" applyFont="1" applyAlignment="1">
      <alignment vertical="top"/>
    </xf>
    <xf numFmtId="0" fontId="37" fillId="0" borderId="0" xfId="719" applyFont="1" applyFill="1"/>
    <xf numFmtId="0" fontId="36" fillId="0" borderId="0" xfId="719" applyFont="1" applyFill="1" applyAlignment="1">
      <alignment vertical="top"/>
    </xf>
    <xf numFmtId="0" fontId="33" fillId="0" borderId="0" xfId="719" applyFont="1" applyAlignment="1">
      <alignment vertical="top"/>
    </xf>
    <xf numFmtId="0" fontId="33" fillId="0" borderId="0" xfId="719" applyFont="1" applyFill="1"/>
    <xf numFmtId="0" fontId="33" fillId="0" borderId="0" xfId="719" applyNumberFormat="1" applyFont="1" applyAlignment="1">
      <alignment vertical="top"/>
    </xf>
    <xf numFmtId="0" fontId="31" fillId="0" borderId="0" xfId="719" applyFont="1" applyAlignment="1">
      <alignment vertical="top"/>
    </xf>
    <xf numFmtId="0" fontId="31" fillId="0" borderId="0" xfId="719" applyNumberFormat="1" applyFont="1" applyAlignment="1">
      <alignment vertical="top"/>
    </xf>
    <xf numFmtId="0" fontId="31" fillId="0" borderId="0" xfId="719" applyFont="1" applyFill="1"/>
    <xf numFmtId="0" fontId="30" fillId="0" borderId="0" xfId="719" applyFont="1" applyFill="1" applyAlignment="1">
      <alignment vertical="top"/>
    </xf>
    <xf numFmtId="0" fontId="30" fillId="0" borderId="0" xfId="719" applyFont="1" applyFill="1" applyAlignment="1">
      <alignment vertical="top" wrapText="1"/>
    </xf>
    <xf numFmtId="0" fontId="29" fillId="0" borderId="0" xfId="719" applyFont="1" applyFill="1" applyAlignment="1">
      <alignment vertical="top"/>
    </xf>
    <xf numFmtId="0" fontId="27" fillId="0" borderId="0" xfId="719" applyNumberFormat="1" applyFont="1" applyAlignment="1">
      <alignment vertical="top"/>
    </xf>
    <xf numFmtId="0" fontId="25" fillId="0" borderId="0" xfId="719" applyFont="1" applyAlignment="1">
      <alignment vertical="top"/>
    </xf>
    <xf numFmtId="0" fontId="25" fillId="0" borderId="0" xfId="719" applyFont="1" applyFill="1"/>
    <xf numFmtId="0" fontId="25" fillId="0" borderId="0" xfId="719" applyNumberFormat="1" applyFont="1" applyAlignment="1">
      <alignment vertical="top"/>
    </xf>
    <xf numFmtId="0" fontId="25" fillId="0" borderId="0" xfId="719" applyFont="1"/>
    <xf numFmtId="49" fontId="50" fillId="0" borderId="0" xfId="719" applyNumberFormat="1" applyFont="1" applyAlignment="1">
      <alignment vertical="top" wrapText="1"/>
    </xf>
    <xf numFmtId="49" fontId="46" fillId="0" borderId="0" xfId="719" applyNumberFormat="1" applyFill="1" applyAlignment="1">
      <alignment vertical="top" wrapText="1"/>
    </xf>
    <xf numFmtId="49" fontId="29" fillId="0" borderId="0" xfId="719" applyNumberFormat="1" applyFont="1" applyFill="1" applyAlignment="1">
      <alignment vertical="top" wrapText="1"/>
    </xf>
    <xf numFmtId="49" fontId="28" fillId="0" borderId="0" xfId="719" applyNumberFormat="1" applyFont="1" applyFill="1" applyAlignment="1">
      <alignment vertical="top" wrapText="1"/>
    </xf>
    <xf numFmtId="49" fontId="26" fillId="0" borderId="0" xfId="719" applyNumberFormat="1" applyFont="1" applyFill="1" applyAlignment="1">
      <alignment vertical="top" wrapText="1"/>
    </xf>
    <xf numFmtId="49" fontId="41" fillId="0" borderId="0" xfId="719" applyNumberFormat="1" applyFont="1" applyFill="1" applyAlignment="1">
      <alignment vertical="top" wrapText="1"/>
    </xf>
    <xf numFmtId="49" fontId="30" fillId="0" borderId="0" xfId="719" applyNumberFormat="1" applyFont="1" applyAlignment="1">
      <alignment vertical="top" wrapText="1"/>
    </xf>
    <xf numFmtId="49" fontId="30" fillId="0" borderId="0" xfId="719" applyNumberFormat="1" applyFont="1" applyFill="1" applyAlignment="1">
      <alignment vertical="top" wrapText="1"/>
    </xf>
    <xf numFmtId="49" fontId="46" fillId="0" borderId="0" xfId="719" applyNumberFormat="1" applyAlignment="1">
      <alignment vertical="top" wrapText="1"/>
    </xf>
    <xf numFmtId="0" fontId="24" fillId="0" borderId="0" xfId="719" applyFont="1"/>
    <xf numFmtId="0" fontId="24" fillId="0" borderId="0" xfId="719" applyFont="1" applyFill="1"/>
    <xf numFmtId="0" fontId="23" fillId="0" borderId="0" xfId="719" applyFont="1" applyAlignment="1">
      <alignment vertical="top"/>
    </xf>
    <xf numFmtId="0" fontId="23" fillId="0" borderId="0" xfId="719" applyFont="1" applyFill="1"/>
    <xf numFmtId="0" fontId="23" fillId="0" borderId="0" xfId="719" applyNumberFormat="1" applyFont="1" applyAlignment="1">
      <alignment vertical="top"/>
    </xf>
    <xf numFmtId="49" fontId="22" fillId="0" borderId="0" xfId="719" applyNumberFormat="1" applyFont="1" applyFill="1" applyAlignment="1">
      <alignment vertical="top" wrapText="1"/>
    </xf>
    <xf numFmtId="0" fontId="22" fillId="0" borderId="0" xfId="719" applyFont="1" applyFill="1" applyAlignment="1">
      <alignment vertical="top"/>
    </xf>
    <xf numFmtId="0" fontId="22" fillId="0" borderId="0" xfId="719" applyFont="1" applyFill="1" applyAlignment="1">
      <alignment vertical="top" wrapText="1"/>
    </xf>
    <xf numFmtId="0" fontId="22" fillId="0" borderId="0" xfId="719" applyNumberFormat="1" applyFont="1" applyAlignment="1">
      <alignment vertical="top"/>
    </xf>
    <xf numFmtId="0" fontId="21" fillId="0" borderId="0" xfId="719" applyFont="1" applyFill="1" applyAlignment="1">
      <alignment vertical="top"/>
    </xf>
    <xf numFmtId="49" fontId="21" fillId="0" borderId="0" xfId="719" applyNumberFormat="1" applyFont="1" applyFill="1" applyAlignment="1">
      <alignment vertical="top" wrapText="1"/>
    </xf>
    <xf numFmtId="0" fontId="19" fillId="0" borderId="0" xfId="719" applyFont="1" applyFill="1" applyAlignment="1">
      <alignment vertical="top"/>
    </xf>
    <xf numFmtId="0" fontId="18" fillId="0" borderId="0" xfId="719" applyFont="1" applyFill="1" applyAlignment="1">
      <alignment vertical="top"/>
    </xf>
    <xf numFmtId="0" fontId="18" fillId="0" borderId="0" xfId="719" applyFont="1" applyFill="1" applyAlignment="1">
      <alignment vertical="top" wrapText="1"/>
    </xf>
    <xf numFmtId="0" fontId="17" fillId="0" borderId="0" xfId="719" applyFont="1" applyFill="1" applyAlignment="1">
      <alignment vertical="top"/>
    </xf>
    <xf numFmtId="49" fontId="17" fillId="0" borderId="0" xfId="719" applyNumberFormat="1" applyFont="1" applyFill="1" applyAlignment="1">
      <alignment vertical="top" wrapText="1"/>
    </xf>
    <xf numFmtId="0" fontId="16" fillId="0" borderId="0" xfId="719" applyFont="1" applyFill="1" applyAlignment="1">
      <alignment vertical="top"/>
    </xf>
    <xf numFmtId="0" fontId="46" fillId="0" borderId="0" xfId="719" applyFill="1" applyAlignment="1">
      <alignment vertical="top"/>
    </xf>
    <xf numFmtId="0" fontId="15" fillId="0" borderId="0" xfId="719" applyFont="1" applyFill="1" applyAlignment="1">
      <alignment vertical="top"/>
    </xf>
    <xf numFmtId="49" fontId="15" fillId="0" borderId="0" xfId="719" applyNumberFormat="1" applyFont="1" applyFill="1" applyAlignment="1">
      <alignment vertical="top" wrapText="1"/>
    </xf>
    <xf numFmtId="0" fontId="49" fillId="0" borderId="0" xfId="0" applyFont="1" applyAlignment="1">
      <alignment vertical="top"/>
    </xf>
    <xf numFmtId="49" fontId="22" fillId="0" borderId="0" xfId="719" applyNumberFormat="1" applyFont="1" applyAlignment="1">
      <alignment vertical="top" wrapText="1"/>
    </xf>
    <xf numFmtId="0" fontId="39" fillId="0" borderId="0" xfId="719" applyFont="1" applyAlignment="1">
      <alignment vertical="top"/>
    </xf>
    <xf numFmtId="0" fontId="29" fillId="0" borderId="0" xfId="719" applyFont="1" applyAlignment="1">
      <alignment vertical="top"/>
    </xf>
    <xf numFmtId="49" fontId="20" fillId="0" borderId="0" xfId="719" applyNumberFormat="1" applyFont="1" applyAlignment="1">
      <alignment vertical="top" wrapText="1"/>
    </xf>
    <xf numFmtId="0" fontId="22" fillId="0" borderId="0" xfId="719" applyFont="1" applyAlignment="1">
      <alignment vertical="top"/>
    </xf>
    <xf numFmtId="0" fontId="41" fillId="0" borderId="0" xfId="719" applyFont="1" applyAlignment="1">
      <alignment vertical="top"/>
    </xf>
    <xf numFmtId="0" fontId="40" fillId="0" borderId="0" xfId="719" applyFont="1" applyAlignment="1">
      <alignment vertical="top"/>
    </xf>
    <xf numFmtId="0" fontId="15" fillId="0" borderId="0" xfId="719" applyNumberFormat="1" applyFont="1" applyFill="1" applyAlignment="1">
      <alignment vertical="top"/>
    </xf>
    <xf numFmtId="0" fontId="15" fillId="0" borderId="0" xfId="719" applyFont="1" applyFill="1" applyAlignment="1">
      <alignment vertical="top" wrapText="1"/>
    </xf>
    <xf numFmtId="0" fontId="14" fillId="0" borderId="0" xfId="719" applyFont="1" applyFill="1" applyAlignment="1">
      <alignment vertical="top"/>
    </xf>
    <xf numFmtId="0" fontId="13" fillId="0" borderId="0" xfId="719" applyNumberFormat="1" applyFont="1" applyAlignment="1">
      <alignment vertical="top"/>
    </xf>
    <xf numFmtId="0" fontId="13" fillId="0" borderId="0" xfId="719" applyFont="1"/>
    <xf numFmtId="0" fontId="15" fillId="0" borderId="0" xfId="719" applyFont="1" applyAlignment="1">
      <alignment vertical="top"/>
    </xf>
    <xf numFmtId="49" fontId="15" fillId="0" borderId="0" xfId="719" applyNumberFormat="1" applyFont="1" applyAlignment="1">
      <alignment vertical="top" wrapText="1"/>
    </xf>
    <xf numFmtId="49" fontId="29" fillId="0" borderId="0" xfId="719" applyNumberFormat="1" applyFont="1" applyAlignment="1">
      <alignment horizontal="fill" vertical="top" wrapText="1"/>
    </xf>
    <xf numFmtId="0" fontId="38" fillId="0" borderId="0" xfId="719" applyFont="1" applyAlignment="1">
      <alignment vertical="top"/>
    </xf>
    <xf numFmtId="0" fontId="21" fillId="0" borderId="0" xfId="719" applyFont="1" applyAlignment="1">
      <alignment vertical="top"/>
    </xf>
    <xf numFmtId="49" fontId="29" fillId="0" borderId="0" xfId="719" applyNumberFormat="1" applyFont="1" applyAlignment="1">
      <alignment vertical="top" wrapText="1"/>
    </xf>
    <xf numFmtId="0" fontId="32" fillId="0" borderId="0" xfId="719" applyFont="1" applyAlignment="1">
      <alignment vertical="top"/>
    </xf>
    <xf numFmtId="0" fontId="28" fillId="0" borderId="0" xfId="719" applyFont="1" applyAlignment="1">
      <alignment vertical="top"/>
    </xf>
    <xf numFmtId="49" fontId="28" fillId="0" borderId="0" xfId="719" applyNumberFormat="1" applyFont="1" applyAlignment="1">
      <alignment vertical="top" wrapText="1"/>
    </xf>
    <xf numFmtId="0" fontId="17" fillId="0" borderId="0" xfId="719" applyFont="1" applyAlignment="1">
      <alignment vertical="top"/>
    </xf>
    <xf numFmtId="49" fontId="21" fillId="0" borderId="0" xfId="719" applyNumberFormat="1" applyFont="1" applyAlignment="1">
      <alignment vertical="top" wrapText="1"/>
    </xf>
    <xf numFmtId="49" fontId="19" fillId="0" borderId="0" xfId="719" applyNumberFormat="1" applyFont="1" applyAlignment="1">
      <alignment vertical="top" wrapText="1"/>
    </xf>
    <xf numFmtId="49" fontId="25" fillId="0" borderId="0" xfId="719" applyNumberFormat="1" applyFont="1" applyAlignment="1">
      <alignment vertical="top" wrapText="1"/>
    </xf>
    <xf numFmtId="49" fontId="27" fillId="0" borderId="0" xfId="719" applyNumberFormat="1" applyFont="1" applyAlignment="1">
      <alignment vertical="top" wrapText="1"/>
    </xf>
    <xf numFmtId="0" fontId="27" fillId="0" borderId="0" xfId="719" applyFont="1" applyAlignment="1">
      <alignment vertical="top"/>
    </xf>
    <xf numFmtId="49" fontId="39" fillId="0" borderId="0" xfId="719" applyNumberFormat="1" applyFont="1" applyAlignment="1">
      <alignment vertical="top" wrapText="1"/>
    </xf>
    <xf numFmtId="49" fontId="35" fillId="0" borderId="0" xfId="719" applyNumberFormat="1" applyFont="1" applyAlignment="1">
      <alignment vertical="top" wrapText="1"/>
    </xf>
    <xf numFmtId="49" fontId="41" fillId="0" borderId="0" xfId="719" applyNumberFormat="1" applyFont="1" applyAlignment="1">
      <alignment vertical="top" wrapText="1"/>
    </xf>
    <xf numFmtId="0" fontId="34" fillId="0" borderId="0" xfId="719" applyFont="1" applyAlignment="1">
      <alignment vertical="top"/>
    </xf>
    <xf numFmtId="49" fontId="34" fillId="0" borderId="0" xfId="719" applyNumberFormat="1" applyFont="1" applyAlignment="1">
      <alignment horizontal="fill" vertical="top" wrapText="1"/>
    </xf>
    <xf numFmtId="0" fontId="30" fillId="0" borderId="0" xfId="719" applyFont="1" applyAlignment="1">
      <alignment vertical="top"/>
    </xf>
    <xf numFmtId="0" fontId="42" fillId="0" borderId="0" xfId="719" applyFont="1" applyAlignment="1">
      <alignment vertical="top"/>
    </xf>
    <xf numFmtId="49" fontId="42" fillId="0" borderId="0" xfId="719" applyNumberFormat="1" applyFont="1" applyAlignment="1">
      <alignment vertical="top" wrapText="1"/>
    </xf>
    <xf numFmtId="0" fontId="12" fillId="0" borderId="0" xfId="719" applyFont="1" applyFill="1" applyAlignment="1">
      <alignment vertical="top"/>
    </xf>
    <xf numFmtId="49" fontId="12" fillId="0" borderId="0" xfId="719" applyNumberFormat="1" applyFont="1" applyFill="1" applyAlignment="1">
      <alignment vertical="top" wrapText="1"/>
    </xf>
    <xf numFmtId="49" fontId="12" fillId="0" borderId="0" xfId="719" applyNumberFormat="1" applyFont="1" applyAlignment="1">
      <alignment vertical="top" wrapText="1"/>
    </xf>
    <xf numFmtId="0" fontId="12" fillId="0" borderId="0" xfId="719" applyNumberFormat="1" applyFont="1" applyFill="1" applyAlignment="1">
      <alignment vertical="top"/>
    </xf>
    <xf numFmtId="0" fontId="12" fillId="0" borderId="0" xfId="719" applyFont="1" applyFill="1" applyAlignment="1">
      <alignment vertical="top" wrapText="1"/>
    </xf>
    <xf numFmtId="0" fontId="12" fillId="0" borderId="0" xfId="719" applyFont="1" applyAlignment="1">
      <alignment vertical="top"/>
    </xf>
    <xf numFmtId="0" fontId="11" fillId="0" borderId="0" xfId="719" applyFont="1"/>
    <xf numFmtId="0" fontId="46" fillId="0" borderId="0" xfId="719" applyAlignment="1"/>
    <xf numFmtId="0" fontId="11" fillId="0" borderId="0" xfId="719" applyNumberFormat="1" applyFont="1" applyAlignment="1">
      <alignment vertical="top"/>
    </xf>
    <xf numFmtId="0" fontId="11" fillId="0" borderId="0" xfId="719" applyFont="1" applyAlignment="1">
      <alignment vertical="top"/>
    </xf>
    <xf numFmtId="0" fontId="11" fillId="0" borderId="0" xfId="719" applyFont="1" applyAlignment="1"/>
    <xf numFmtId="0" fontId="11" fillId="0" borderId="0" xfId="719" applyFont="1" applyFill="1" applyAlignment="1">
      <alignment vertical="top"/>
    </xf>
    <xf numFmtId="49" fontId="11" fillId="0" borderId="0" xfId="719" applyNumberFormat="1" applyFont="1" applyFill="1" applyAlignment="1">
      <alignment vertical="top" wrapText="1"/>
    </xf>
    <xf numFmtId="0" fontId="10" fillId="0" borderId="0" xfId="719" applyFont="1" applyFill="1" applyAlignment="1">
      <alignment vertical="top"/>
    </xf>
    <xf numFmtId="0" fontId="10" fillId="0" borderId="0" xfId="719" applyFont="1" applyFill="1" applyAlignment="1">
      <alignment vertical="top" wrapText="1"/>
    </xf>
    <xf numFmtId="0" fontId="10" fillId="0" borderId="0" xfId="719" applyNumberFormat="1" applyFont="1" applyFill="1" applyAlignment="1">
      <alignment vertical="top"/>
    </xf>
    <xf numFmtId="0" fontId="9" fillId="0" borderId="0" xfId="719" applyFont="1" applyFill="1" applyAlignment="1">
      <alignment vertical="top"/>
    </xf>
    <xf numFmtId="49" fontId="9" fillId="0" borderId="0" xfId="719" applyNumberFormat="1" applyFont="1" applyFill="1" applyAlignment="1">
      <alignment vertical="top" wrapText="1"/>
    </xf>
    <xf numFmtId="49" fontId="8" fillId="0" borderId="0" xfId="719" applyNumberFormat="1" applyFont="1" applyFill="1" applyAlignment="1">
      <alignment vertical="top" wrapText="1"/>
    </xf>
    <xf numFmtId="49" fontId="8" fillId="0" borderId="0" xfId="719" applyNumberFormat="1" applyFont="1" applyAlignment="1">
      <alignment vertical="top" wrapText="1"/>
    </xf>
    <xf numFmtId="0" fontId="7" fillId="0" borderId="0" xfId="719" applyFont="1" applyFill="1" applyAlignment="1">
      <alignment vertical="top"/>
    </xf>
    <xf numFmtId="49" fontId="7" fillId="0" borderId="0" xfId="719" applyNumberFormat="1" applyFont="1" applyFill="1" applyAlignment="1">
      <alignment vertical="top" wrapText="1"/>
    </xf>
    <xf numFmtId="0" fontId="6" fillId="0" borderId="0" xfId="719" applyFont="1" applyFill="1" applyAlignment="1">
      <alignment vertical="top"/>
    </xf>
    <xf numFmtId="0" fontId="6" fillId="0" borderId="0" xfId="719" applyFont="1" applyFill="1" applyAlignment="1">
      <alignment vertical="top" wrapText="1"/>
    </xf>
    <xf numFmtId="49" fontId="6" fillId="0" borderId="0" xfId="719" applyNumberFormat="1" applyFont="1" applyFill="1" applyAlignment="1">
      <alignment vertical="top" wrapText="1"/>
    </xf>
    <xf numFmtId="0" fontId="5" fillId="0" borderId="0" xfId="719" applyFont="1" applyFill="1" applyAlignment="1">
      <alignment vertical="top"/>
    </xf>
    <xf numFmtId="49" fontId="5" fillId="0" borderId="0" xfId="719" applyNumberFormat="1" applyFont="1" applyFill="1" applyAlignment="1">
      <alignment vertical="top" wrapText="1"/>
    </xf>
    <xf numFmtId="49" fontId="5" fillId="0" borderId="0" xfId="719" applyNumberFormat="1" applyFont="1" applyAlignment="1">
      <alignment vertical="top" wrapText="1"/>
    </xf>
    <xf numFmtId="0" fontId="5" fillId="0" borderId="0" xfId="719" applyFont="1" applyAlignment="1">
      <alignment vertical="top"/>
    </xf>
    <xf numFmtId="0" fontId="4" fillId="0" borderId="0" xfId="719" applyFont="1" applyAlignment="1">
      <alignment vertical="top"/>
    </xf>
    <xf numFmtId="49" fontId="4" fillId="0" borderId="0" xfId="719" applyNumberFormat="1" applyFont="1" applyFill="1" applyAlignment="1">
      <alignment vertical="top" wrapText="1"/>
    </xf>
    <xf numFmtId="0" fontId="4" fillId="0" borderId="0" xfId="719" applyFont="1" applyFill="1" applyAlignment="1">
      <alignment vertical="top"/>
    </xf>
    <xf numFmtId="0" fontId="4" fillId="0" borderId="0" xfId="719" applyFont="1" applyFill="1" applyAlignment="1">
      <alignment vertical="top" wrapText="1"/>
    </xf>
    <xf numFmtId="49" fontId="4" fillId="0" borderId="0" xfId="719" applyNumberFormat="1" applyFont="1" applyAlignment="1">
      <alignment vertical="top" wrapText="1"/>
    </xf>
    <xf numFmtId="0" fontId="4" fillId="0" borderId="0" xfId="719" applyFont="1"/>
    <xf numFmtId="0" fontId="4" fillId="0" borderId="0" xfId="719" applyNumberFormat="1" applyFont="1" applyAlignment="1">
      <alignment vertical="top"/>
    </xf>
    <xf numFmtId="0" fontId="3" fillId="0" borderId="0" xfId="719" applyFont="1" applyFill="1"/>
    <xf numFmtId="0" fontId="3" fillId="0" borderId="0" xfId="719" applyFont="1" applyFill="1" applyAlignment="1">
      <alignment vertical="top"/>
    </xf>
    <xf numFmtId="0" fontId="2" fillId="0" borderId="0" xfId="719" applyFont="1" applyFill="1" applyAlignment="1">
      <alignment vertical="top"/>
    </xf>
    <xf numFmtId="49" fontId="2" fillId="0" borderId="0" xfId="719" applyNumberFormat="1" applyFont="1" applyFill="1" applyAlignment="1">
      <alignment vertical="top" wrapText="1"/>
    </xf>
    <xf numFmtId="0" fontId="2" fillId="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0" fontId="2" fillId="0" borderId="0" xfId="719" applyFont="1" applyAlignment="1"/>
    <xf numFmtId="0" fontId="2" fillId="0" borderId="0" xfId="719" applyNumberFormat="1" applyFont="1" applyFill="1" applyAlignment="1">
      <alignment vertical="top"/>
    </xf>
    <xf numFmtId="0" fontId="1" fillId="0" borderId="0" xfId="719" applyFont="1" applyFill="1" applyAlignment="1">
      <alignment vertical="top"/>
    </xf>
    <xf numFmtId="0" fontId="1" fillId="0" borderId="0" xfId="719" applyFont="1"/>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numFmt numFmtId="30" formatCode="@"/>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6" totalsRowCount="1" headerRowDxfId="73" dataDxfId="72" totalsRowDxfId="71">
  <autoFilter ref="A1:Y345"/>
  <tableColumns count="25">
    <tableColumn id="1" name="!Table" totalsRowLabel="Total" dataDxfId="70" totalsRowDxfId="69" dataCellStyle="Normal 2"/>
    <tableColumn id="2" name="!Type" dataDxfId="68" totalsRowDxfId="67" dataCellStyle="Normal 2"/>
    <tableColumn id="6" name="!Length" dataDxfId="66" totalsRowDxfId="65" dataCellStyle="Normal 2"/>
    <tableColumn id="3" name="!Name" dataDxfId="64" totalsRowDxfId="63" dataCellStyle="Normal 2"/>
    <tableColumn id="4" name="!Description" dataDxfId="62" totalsRowDxfId="61" dataCellStyle="Normal 2"/>
    <tableColumn id="7" name="!FK" dataDxfId="60" totalsRowDxfId="59" dataCellStyle="Normal 2"/>
    <tableColumn id="10" name="!Required" dataDxfId="58" totalsRowDxfId="57" dataCellStyle="Normal 2"/>
    <tableColumn id="26" name="!Unique" dataDxfId="56" totalsRowDxfId="55" dataCellStyle="Normal 2"/>
    <tableColumn id="9" name="File" dataDxfId="54" totalsRowDxfId="53">
      <calculatedColumnFormula>IF(LEN(A2) &gt; 0,"Defs","-")</calculatedColumnFormula>
    </tableColumn>
    <tableColumn id="5" name="boolean" dataDxfId="52" totalsRowDxfId="51">
      <calculatedColumnFormula>IF(Table2[[#This Row],[!Type]]=J$1, J$1,"rg:None")</calculatedColumnFormula>
    </tableColumn>
    <tableColumn id="23" name="binary" dataDxfId="50" totalsRowDxfId="49">
      <calculatedColumnFormula>IF(Table2[[#This Row],[!Type]]=K$1, K$1,"rg:None")</calculatedColumnFormula>
    </tableColumn>
    <tableColumn id="8" name="datetime" dataDxfId="48" totalsRowDxfId="47">
      <calculatedColumnFormula>IF(Table2[[#This Row],[!Type]]=L$1, L$1,"rg:None")</calculatedColumnFormula>
    </tableColumn>
    <tableColumn id="11" name="id" dataDxfId="46" totalsRowDxfId="45">
      <calculatedColumnFormula>IF(Table2[[#This Row],[!Type]]=M$1, M$1,"rg:None")</calculatedColumnFormula>
    </tableColumn>
    <tableColumn id="12" name="integer" dataDxfId="44" totalsRowDxfId="43">
      <calculatedColumnFormula>IF(Table2[[#This Row],[!Type]]=N$1, N$1,"rg:None")</calculatedColumnFormula>
    </tableColumn>
    <tableColumn id="21" name="float" dataDxfId="42" totalsRowDxfId="41">
      <calculatedColumnFormula>IF(Table2[[#This Row],[!Type]]=O$1, O$1,"rg:None")</calculatedColumnFormula>
    </tableColumn>
    <tableColumn id="13" name="links" dataDxfId="40" totalsRowDxfId="39">
      <calculatedColumnFormula>IF(Table2[[#This Row],[!Type]]=P$1, P$1,"rg:None")</calculatedColumnFormula>
    </tableColumn>
    <tableColumn id="14" name="ref" dataDxfId="38" totalsRowDxfId="37">
      <calculatedColumnFormula>IF(Table2[[#This Row],[!Type]]=Q$1, Q$1,"rg:None")</calculatedColumnFormula>
    </tableColumn>
    <tableColumn id="15" name="string" dataDxfId="36" totalsRowDxfId="35">
      <calculatedColumnFormula>IF(Table2[[#This Row],[!Type]]=R$1, R$1,"rg:None")</calculatedColumnFormula>
    </tableColumn>
    <tableColumn id="16" name="table" dataDxfId="34" totalsRowDxfId="33">
      <calculatedColumnFormula>IF(Table2[[#This Row],[!Type]]=S$1, S$1,"rg:None")</calculatedColumnFormula>
    </tableColumn>
    <tableColumn id="17" name="Length" dataDxfId="32" totalsRowDxfId="31">
      <calculatedColumnFormula>IF(LEN(Table2[[#This Row],[!Length]]) &gt; 0, Table2[[#This Row],[!Length]], "rg:None")</calculatedColumnFormula>
    </tableColumn>
    <tableColumn id="18" name="Name" dataDxfId="30" totalsRowDxfId="29">
      <calculatedColumnFormula>IF(LEN(Table2[[#This Row],[!Name]]) &gt; 0, Table2[[#This Row],[!Name]], "rg:None")</calculatedColumnFormula>
    </tableColumn>
    <tableColumn id="19" name="Description" dataDxfId="28" totalsRowDxfId="27">
      <calculatedColumnFormula>IF(LEN(Table2[[#This Row],[!Description]]) &gt; 0, Table2[[#This Row],[!Description]], "rg:None")</calculatedColumnFormula>
    </tableColumn>
    <tableColumn id="20" name="RefDef" dataDxfId="26" totalsRowDxfId="25">
      <calculatedColumnFormula>IF(LEN(Table2[[#This Row],[!FK]])&gt;0,Table2[[#This Row],[!FK]],"rg:None")</calculatedColumnFormula>
    </tableColumn>
    <tableColumn id="22" name="Required" dataDxfId="24" totalsRowDxfId="23">
      <calculatedColumnFormula>IF(LEN(concatif2(A:A,Table2[[#This Row],[!Table]],G:G,"Y",D:D,",")) &gt; 0,"rg:[ { 'req' : '"&amp;concatif2(A:A,Table2[[#This Row],[!Table]],G:G,"Y",D:D,"' }, { 'req': '")&amp;"'} ]","rg:[]")</calculatedColumnFormula>
    </tableColumn>
    <tableColumn id="27" name="Unique" totalsRowFunction="count" dataDxfId="22" totalsRow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72" totalsRowShown="0" headerRowDxfId="20" dataDxfId="19">
  <autoFilter ref="A1:T72"/>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6"/>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350</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351</v>
      </c>
    </row>
    <row r="2" spans="1:25" ht="28.8" x14ac:dyDescent="0.3">
      <c r="A2" s="5" t="s">
        <v>136</v>
      </c>
      <c r="B2" s="5" t="s">
        <v>4</v>
      </c>
      <c r="D2" s="5" t="s">
        <v>136</v>
      </c>
      <c r="E2" s="76" t="s">
        <v>377</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220</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140" t="s">
        <v>37</v>
      </c>
      <c r="E4" s="144" t="s">
        <v>577</v>
      </c>
      <c r="F4" s="140" t="s">
        <v>32</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218</v>
      </c>
      <c r="E5" s="79" t="s">
        <v>426</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5" t="s">
        <v>15</v>
      </c>
      <c r="E6" s="60" t="s">
        <v>378</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
      <c r="A7" s="127" t="s">
        <v>136</v>
      </c>
      <c r="B7" s="127" t="s">
        <v>7</v>
      </c>
      <c r="C7" s="72">
        <v>50</v>
      </c>
      <c r="D7" s="127" t="s">
        <v>231</v>
      </c>
      <c r="E7" s="128" t="s">
        <v>537</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8.8" x14ac:dyDescent="0.3">
      <c r="A8" s="5" t="s">
        <v>136</v>
      </c>
      <c r="B8" s="5" t="s">
        <v>7</v>
      </c>
      <c r="C8" s="5">
        <v>2048</v>
      </c>
      <c r="D8" s="80" t="s">
        <v>391</v>
      </c>
      <c r="E8" s="76" t="s">
        <v>392</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
      <c r="A9" s="5" t="s">
        <v>136</v>
      </c>
      <c r="B9" s="23" t="s">
        <v>19</v>
      </c>
      <c r="C9" s="72"/>
      <c r="D9" s="66" t="s">
        <v>433</v>
      </c>
      <c r="E9" s="135" t="s">
        <v>555</v>
      </c>
      <c r="F9" s="66" t="s">
        <v>429</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x14ac:dyDescent="0.3">
      <c r="A10" s="133" t="s">
        <v>136</v>
      </c>
      <c r="B10" s="133" t="s">
        <v>19</v>
      </c>
      <c r="C10" s="72"/>
      <c r="D10" s="133" t="s">
        <v>553</v>
      </c>
      <c r="E10" s="135" t="s">
        <v>554</v>
      </c>
      <c r="F10" s="134" t="s">
        <v>199</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v>
      </c>
      <c r="Y10" s="4" t="str">
        <f>IF(LEN(Table2[[#This Row],[!Unique]])&gt;0,"rg:True","rg:None")</f>
        <v>rg:None</v>
      </c>
    </row>
    <row r="11" spans="1:25" ht="28.8" x14ac:dyDescent="0.3">
      <c r="A11" s="5" t="s">
        <v>136</v>
      </c>
      <c r="B11" s="23" t="s">
        <v>8</v>
      </c>
      <c r="C11" s="72"/>
      <c r="D11" s="23" t="s">
        <v>192</v>
      </c>
      <c r="E11" s="48" t="s">
        <v>217</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v>
      </c>
      <c r="Y13" s="4" t="str">
        <f>IF(LEN(Table2[[#This Row],[!Unique]])&gt;0,"rg:True","rg:None")</f>
        <v>rg:None</v>
      </c>
    </row>
    <row r="14" spans="1:25" x14ac:dyDescent="0.3">
      <c r="A14" s="5" t="s">
        <v>136</v>
      </c>
      <c r="B14" s="21" t="s">
        <v>19</v>
      </c>
      <c r="C14" s="72"/>
      <c r="D14" s="2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v>
      </c>
      <c r="Y14" s="4" t="str">
        <f>IF(LEN(Table2[[#This Row],[!Unique]])&gt;0,"rg:True","rg:None")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v>
      </c>
      <c r="Y15" s="4" t="str">
        <f>IF(LEN(Table2[[#This Row],[!Unique]])&gt;0,"rg:True","rg:None")</f>
        <v>rg:None</v>
      </c>
    </row>
    <row r="16" spans="1:25" x14ac:dyDescent="0.3">
      <c r="A16" s="66" t="s">
        <v>429</v>
      </c>
      <c r="B16" s="5" t="s">
        <v>4</v>
      </c>
      <c r="D16" s="66" t="s">
        <v>429</v>
      </c>
      <c r="E16" s="60" t="s">
        <v>362</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
      <c r="A17" s="66" t="s">
        <v>429</v>
      </c>
      <c r="B17" s="23" t="s">
        <v>6</v>
      </c>
      <c r="C17" s="72"/>
      <c r="D17" s="23" t="s">
        <v>6</v>
      </c>
      <c r="E17" s="54" t="s">
        <v>219</v>
      </c>
      <c r="F17" s="12"/>
      <c r="G17" s="25" t="s">
        <v>62</v>
      </c>
      <c r="H17" s="25"/>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v>
      </c>
      <c r="Y17" s="4" t="str">
        <f>IF(LEN(Table2[[#This Row],[!Unique]])&gt;0,"rg:True","rg:None")</f>
        <v>rg:None</v>
      </c>
    </row>
    <row r="18" spans="1:25" x14ac:dyDescent="0.3">
      <c r="A18" s="66" t="s">
        <v>429</v>
      </c>
      <c r="B18" s="23" t="s">
        <v>8</v>
      </c>
      <c r="C18" s="72"/>
      <c r="D18" s="23" t="s">
        <v>149</v>
      </c>
      <c r="E18" s="47"/>
      <c r="F18" s="24" t="s">
        <v>136</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v>
      </c>
      <c r="Y18" s="4" t="str">
        <f>IF(LEN(Table2[[#This Row],[!Unique]])&gt;0,"rg:True","rg:None")</f>
        <v>rg:None</v>
      </c>
    </row>
    <row r="19" spans="1:25" x14ac:dyDescent="0.3">
      <c r="A19" s="66" t="s">
        <v>429</v>
      </c>
      <c r="B19" s="26" t="s">
        <v>8</v>
      </c>
      <c r="C19" s="72"/>
      <c r="D19" s="26" t="s">
        <v>173</v>
      </c>
      <c r="E19" s="129" t="s">
        <v>538</v>
      </c>
      <c r="F19" s="27" t="s">
        <v>151</v>
      </c>
      <c r="G19" s="18"/>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v>
      </c>
      <c r="Y19" s="4" t="str">
        <f>IF(LEN(Table2[[#This Row],[!Unique]])&gt;0,"rg:True","rg:None")</f>
        <v>rg:None</v>
      </c>
    </row>
    <row r="20" spans="1:25" x14ac:dyDescent="0.3">
      <c r="A20" s="73" t="s">
        <v>429</v>
      </c>
      <c r="B20" s="73" t="s">
        <v>7</v>
      </c>
      <c r="C20" s="72">
        <v>50</v>
      </c>
      <c r="D20" s="73" t="s">
        <v>231</v>
      </c>
      <c r="E20" s="74" t="s">
        <v>445</v>
      </c>
      <c r="F20" s="12"/>
      <c r="G20" s="18"/>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x14ac:dyDescent="0.3">
      <c r="A21" s="66" t="s">
        <v>429</v>
      </c>
      <c r="B21" s="26" t="s">
        <v>8</v>
      </c>
      <c r="C21" s="72"/>
      <c r="D21" s="140" t="s">
        <v>576</v>
      </c>
      <c r="E21" s="130" t="s">
        <v>539</v>
      </c>
      <c r="F21" s="140" t="s">
        <v>570</v>
      </c>
      <c r="G21" s="18"/>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v>
      </c>
      <c r="Y21" s="4" t="str">
        <f>IF(LEN(Table2[[#This Row],[!Unique]])&gt;0,"rg:True","rg:None")</f>
        <v>rg:None</v>
      </c>
    </row>
    <row r="22" spans="1:25" x14ac:dyDescent="0.3">
      <c r="A22" s="66" t="s">
        <v>429</v>
      </c>
      <c r="B22" s="26" t="s">
        <v>13</v>
      </c>
      <c r="C22" s="72"/>
      <c r="D22" s="26" t="s">
        <v>194</v>
      </c>
      <c r="E22" s="60" t="s">
        <v>382</v>
      </c>
      <c r="F22" s="12"/>
      <c r="G22" s="18"/>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429</v>
      </c>
      <c r="B23" s="26" t="s">
        <v>13</v>
      </c>
      <c r="C23" s="72"/>
      <c r="D23" s="26" t="s">
        <v>195</v>
      </c>
      <c r="E23" s="49" t="s">
        <v>260</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8.8" x14ac:dyDescent="0.3">
      <c r="A24" s="66" t="s">
        <v>429</v>
      </c>
      <c r="B24" s="26" t="s">
        <v>12</v>
      </c>
      <c r="C24" s="72"/>
      <c r="D24" s="26" t="s">
        <v>196</v>
      </c>
      <c r="E24" s="49" t="s">
        <v>259</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ht="28.8" x14ac:dyDescent="0.3">
      <c r="A25" s="66" t="s">
        <v>429</v>
      </c>
      <c r="B25" s="26" t="s">
        <v>12</v>
      </c>
      <c r="C25" s="72"/>
      <c r="D25" s="26" t="s">
        <v>197</v>
      </c>
      <c r="E25" s="49" t="s">
        <v>258</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v>
      </c>
      <c r="Y25" s="4" t="str">
        <f>IF(LEN(Table2[[#This Row],[!Unique]])&gt;0,"rg:True","rg:None")</f>
        <v>rg:None</v>
      </c>
    </row>
    <row r="26" spans="1:25" x14ac:dyDescent="0.3">
      <c r="A26" s="66" t="s">
        <v>429</v>
      </c>
      <c r="B26" s="61" t="s">
        <v>8</v>
      </c>
      <c r="C26" s="72"/>
      <c r="D26" s="61" t="s">
        <v>383</v>
      </c>
      <c r="E26" s="60" t="s">
        <v>384</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v>
      </c>
      <c r="Y26" s="4" t="str">
        <f>IF(LEN(Table2[[#This Row],[!Unique]])&gt;0,"rg:True","rg:None")</f>
        <v>rg:None</v>
      </c>
    </row>
    <row r="27" spans="1:25" x14ac:dyDescent="0.3">
      <c r="A27" s="66" t="s">
        <v>429</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v>
      </c>
      <c r="Y27" s="4" t="str">
        <f>IF(LEN(Table2[[#This Row],[!Unique]])&gt;0,"rg:True","rg:None")</f>
        <v>rg:None</v>
      </c>
    </row>
    <row r="28" spans="1:25" x14ac:dyDescent="0.3">
      <c r="A28" s="66" t="s">
        <v>429</v>
      </c>
      <c r="B28" s="21" t="s">
        <v>19</v>
      </c>
      <c r="C28" s="72"/>
      <c r="D28" s="21" t="s">
        <v>175</v>
      </c>
      <c r="E28" s="47"/>
      <c r="F28" s="88" t="s">
        <v>447</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v>
      </c>
      <c r="Y28" s="4" t="str">
        <f>IF(LEN(Table2[[#This Row],[!Unique]])&gt;0,"rg:True","rg:None")</f>
        <v>rg:None</v>
      </c>
    </row>
    <row r="29" spans="1:25" x14ac:dyDescent="0.3">
      <c r="A29" s="66" t="s">
        <v>429</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v>
      </c>
      <c r="Y29" s="4" t="str">
        <f>IF(LEN(Table2[[#This Row],[!Unique]])&gt;0,"rg:True","rg:None")</f>
        <v>rg:None</v>
      </c>
    </row>
    <row r="30" spans="1:25" x14ac:dyDescent="0.3">
      <c r="A30" s="66" t="s">
        <v>429</v>
      </c>
      <c r="B30" s="64" t="s">
        <v>19</v>
      </c>
      <c r="C30" s="72"/>
      <c r="D30" s="66" t="s">
        <v>431</v>
      </c>
      <c r="E30" s="47"/>
      <c r="F30" s="66" t="s">
        <v>430</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v>
      </c>
      <c r="Y30" s="4" t="str">
        <f>IF(LEN(Table2[[#This Row],[!Unique]])&gt;0,"rg:True","rg:None")</f>
        <v>rg:None</v>
      </c>
    </row>
    <row r="31" spans="1:25" x14ac:dyDescent="0.3">
      <c r="A31" s="73" t="s">
        <v>447</v>
      </c>
      <c r="B31" s="73" t="s">
        <v>4</v>
      </c>
      <c r="C31" s="72"/>
      <c r="D31" s="73" t="s">
        <v>447</v>
      </c>
      <c r="E31" s="74" t="s">
        <v>448</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447</v>
      </c>
      <c r="B32" s="73" t="s">
        <v>6</v>
      </c>
      <c r="C32" s="72"/>
      <c r="D32" s="73" t="s">
        <v>6</v>
      </c>
      <c r="E32" s="89" t="s">
        <v>449</v>
      </c>
      <c r="F32" s="12"/>
      <c r="G32" s="83" t="s">
        <v>62</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x14ac:dyDescent="0.3">
      <c r="A33" s="73" t="s">
        <v>447</v>
      </c>
      <c r="B33" s="73" t="s">
        <v>8</v>
      </c>
      <c r="C33" s="72"/>
      <c r="D33" s="73" t="s">
        <v>432</v>
      </c>
      <c r="E33" s="129" t="s">
        <v>540</v>
      </c>
      <c r="F33" s="84" t="s">
        <v>429</v>
      </c>
      <c r="G33" s="18"/>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'attachment'} ]</v>
      </c>
      <c r="Y33" s="4" t="str">
        <f>IF(LEN(Table2[[#This Row],[!Unique]])&gt;0,"rg:True","rg:None")</f>
        <v>rg:None</v>
      </c>
    </row>
    <row r="34" spans="1:25" x14ac:dyDescent="0.3">
      <c r="A34" s="73" t="s">
        <v>447</v>
      </c>
      <c r="B34" s="73" t="s">
        <v>7</v>
      </c>
      <c r="C34" s="72">
        <v>150</v>
      </c>
      <c r="D34" s="73" t="s">
        <v>214</v>
      </c>
      <c r="E34" s="74" t="s">
        <v>450</v>
      </c>
      <c r="F34" s="12"/>
      <c r="G34" s="83"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'attachment'} ]</v>
      </c>
      <c r="Y34" s="4" t="str">
        <f>IF(LEN(Table2[[#This Row],[!Unique]])&gt;0,"rg:True","rg:None")</f>
        <v>rg:None</v>
      </c>
    </row>
    <row r="35" spans="1:25" ht="43.2" x14ac:dyDescent="0.3">
      <c r="A35" s="66" t="s">
        <v>430</v>
      </c>
      <c r="B35" s="26" t="s">
        <v>4</v>
      </c>
      <c r="C35" s="72"/>
      <c r="D35" s="66" t="s">
        <v>430</v>
      </c>
      <c r="E35" s="60" t="s">
        <v>385</v>
      </c>
      <c r="F35" s="27"/>
      <c r="G35" s="18"/>
      <c r="H35" s="18"/>
      <c r="I35" s="4" t="str">
        <f t="shared" ref="I35:I42"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
      <c r="A36" s="66" t="s">
        <v>430</v>
      </c>
      <c r="B36" s="23" t="s">
        <v>6</v>
      </c>
      <c r="C36" s="72"/>
      <c r="D36" s="23" t="s">
        <v>6</v>
      </c>
      <c r="E36" s="76" t="s">
        <v>386</v>
      </c>
      <c r="F36" s="12"/>
      <c r="G36" s="25" t="s">
        <v>62</v>
      </c>
      <c r="H36" s="25"/>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66" t="s">
        <v>430</v>
      </c>
      <c r="B37" s="26" t="s">
        <v>8</v>
      </c>
      <c r="C37" s="72"/>
      <c r="D37" s="66" t="s">
        <v>432</v>
      </c>
      <c r="E37" s="47"/>
      <c r="F37" s="66" t="s">
        <v>429</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rentalRequest</v>
      </c>
      <c r="V37" s="4" t="str">
        <f>IF(LEN(Table2[[#This Row],[!Description]]) &gt; 0, Table2[[#This Row],[!Description]], "rg:None")</f>
        <v>rg:None</v>
      </c>
      <c r="W37" s="4" t="str">
        <f>IF(LEN(Table2[[#This Row],[!FK]])&gt;0,Table2[[#This Row],[!FK]],"rg:None")</f>
        <v>RentalRequest</v>
      </c>
      <c r="X37" s="14" t="str">
        <f>IF(LEN(concatif2(A:A,Table2[[#This Row],[!Table]],G:G,"Y",D:D,",")) &gt; 0,"rg:[ { 'req' : '"&amp;concatif2(A:A,Table2[[#This Row],[!Table]],G:G,"Y",D:D,"' }, { 'req': '")&amp;"'} ]","rg:[]")</f>
        <v>rg:[ { 'req' : 'id'} ]</v>
      </c>
      <c r="Y37" s="4" t="str">
        <f>IF(LEN(Table2[[#This Row],[!Unique]])&gt;0,"rg:True","rg:None")</f>
        <v>rg:None</v>
      </c>
    </row>
    <row r="38" spans="1:25" ht="28.8" x14ac:dyDescent="0.3">
      <c r="A38" s="66" t="s">
        <v>430</v>
      </c>
      <c r="B38" s="61" t="s">
        <v>13</v>
      </c>
      <c r="C38" s="72"/>
      <c r="D38" s="64" t="s">
        <v>421</v>
      </c>
      <c r="E38" s="65" t="s">
        <v>422</v>
      </c>
      <c r="F38" s="12"/>
      <c r="G38" s="18"/>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v>
      </c>
      <c r="Y38" s="4" t="str">
        <f>IF(LEN(Table2[[#This Row],[!Unique]])&gt;0,"rg:True","rg:None")</f>
        <v>rg:None</v>
      </c>
    </row>
    <row r="39" spans="1:25" x14ac:dyDescent="0.3">
      <c r="A39" s="66" t="s">
        <v>430</v>
      </c>
      <c r="B39" s="26" t="s">
        <v>8</v>
      </c>
      <c r="C39" s="72"/>
      <c r="D39" s="26" t="s">
        <v>178</v>
      </c>
      <c r="E39" s="47"/>
      <c r="F39" s="27" t="s">
        <v>180</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v>
      </c>
      <c r="Y39" s="4" t="str">
        <f>IF(LEN(Table2[[#This Row],[!Unique]])&gt;0,"rg:True","rg:None")</f>
        <v>rg:None</v>
      </c>
    </row>
    <row r="40" spans="1:25" x14ac:dyDescent="0.3">
      <c r="A40" s="66" t="s">
        <v>430</v>
      </c>
      <c r="B40" s="26" t="s">
        <v>8</v>
      </c>
      <c r="C40" s="72"/>
      <c r="D40" s="26" t="s">
        <v>200</v>
      </c>
      <c r="E40" s="60" t="s">
        <v>387</v>
      </c>
      <c r="F40" s="26" t="s">
        <v>199</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v>
      </c>
      <c r="Y40" s="4" t="str">
        <f>IF(LEN(Table2[[#This Row],[!Unique]])&gt;0,"rg:True","rg:None")</f>
        <v>rg:None</v>
      </c>
    </row>
    <row r="41" spans="1:25" ht="57.6" x14ac:dyDescent="0.3">
      <c r="A41" s="66" t="s">
        <v>430</v>
      </c>
      <c r="B41" s="26" t="s">
        <v>9</v>
      </c>
      <c r="C41" s="72"/>
      <c r="D41" s="26" t="s">
        <v>198</v>
      </c>
      <c r="E41" s="60" t="s">
        <v>388</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8.8" x14ac:dyDescent="0.3">
      <c r="A42" s="66" t="s">
        <v>430</v>
      </c>
      <c r="B42" s="28" t="s">
        <v>9</v>
      </c>
      <c r="C42" s="72"/>
      <c r="D42" s="40" t="s">
        <v>221</v>
      </c>
      <c r="E42" s="48" t="s">
        <v>223</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ht="28.8" x14ac:dyDescent="0.3">
      <c r="A43" s="66" t="s">
        <v>430</v>
      </c>
      <c r="B43" s="26" t="s">
        <v>12</v>
      </c>
      <c r="C43" s="72"/>
      <c r="D43" s="40" t="s">
        <v>222</v>
      </c>
      <c r="E43" s="50" t="s">
        <v>352</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66" t="s">
        <v>430</v>
      </c>
      <c r="B44" s="40" t="s">
        <v>7</v>
      </c>
      <c r="C44" s="72"/>
      <c r="D44" s="40" t="s">
        <v>224</v>
      </c>
      <c r="E44" s="90" t="s">
        <v>225</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
      <c r="A45" s="73" t="s">
        <v>430</v>
      </c>
      <c r="B45" s="73" t="s">
        <v>7</v>
      </c>
      <c r="C45" s="73">
        <v>50</v>
      </c>
      <c r="D45" s="73" t="s">
        <v>459</v>
      </c>
      <c r="E45" s="74" t="s">
        <v>460</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66" t="s">
        <v>430</v>
      </c>
      <c r="B46" s="73" t="s">
        <v>12</v>
      </c>
      <c r="C46" s="72"/>
      <c r="D46" s="73" t="s">
        <v>456</v>
      </c>
      <c r="E46" s="74" t="s">
        <v>457</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66" t="s">
        <v>430</v>
      </c>
      <c r="B47" s="26" t="s">
        <v>7</v>
      </c>
      <c r="C47" s="72">
        <v>2048</v>
      </c>
      <c r="D47" s="73" t="s">
        <v>458</v>
      </c>
      <c r="E47" s="112" t="s">
        <v>463</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66" t="s">
        <v>430</v>
      </c>
      <c r="B48" s="26" t="s">
        <v>7</v>
      </c>
      <c r="C48" s="72">
        <v>2048</v>
      </c>
      <c r="D48" s="26" t="s">
        <v>155</v>
      </c>
      <c r="E48" s="48" t="s">
        <v>226</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ht="28.8" x14ac:dyDescent="0.3">
      <c r="A49" s="26" t="s">
        <v>199</v>
      </c>
      <c r="B49" s="26" t="s">
        <v>4</v>
      </c>
      <c r="C49" s="72"/>
      <c r="D49" s="26" t="s">
        <v>199</v>
      </c>
      <c r="E49" s="60" t="s">
        <v>389</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26" t="s">
        <v>199</v>
      </c>
      <c r="B50" s="23" t="s">
        <v>6</v>
      </c>
      <c r="C50" s="72"/>
      <c r="D50" s="23" t="s">
        <v>6</v>
      </c>
      <c r="E50" s="54" t="s">
        <v>297</v>
      </c>
      <c r="F50" s="12"/>
      <c r="G50" s="25" t="s">
        <v>62</v>
      </c>
      <c r="H50" s="25"/>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ht="28.8" x14ac:dyDescent="0.3">
      <c r="A51" s="111" t="s">
        <v>199</v>
      </c>
      <c r="B51" s="111" t="s">
        <v>7</v>
      </c>
      <c r="C51" s="72">
        <v>30</v>
      </c>
      <c r="D51" s="111" t="s">
        <v>491</v>
      </c>
      <c r="E51" s="112" t="s">
        <v>492</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
      <c r="A52" s="73" t="s">
        <v>199</v>
      </c>
      <c r="B52" s="73" t="s">
        <v>7</v>
      </c>
      <c r="C52" s="72">
        <v>50</v>
      </c>
      <c r="D52" s="73" t="s">
        <v>231</v>
      </c>
      <c r="E52" s="74" t="s">
        <v>446</v>
      </c>
      <c r="F52" s="12"/>
      <c r="G52" s="18"/>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v>
      </c>
      <c r="Y52" s="4" t="str">
        <f>IF(LEN(Table2[[#This Row],[!Unique]])&gt;0,"rg:True","rg:None")</f>
        <v>rg:None</v>
      </c>
    </row>
    <row r="53" spans="1:25" x14ac:dyDescent="0.3">
      <c r="A53" s="26" t="s">
        <v>199</v>
      </c>
      <c r="B53" s="26" t="s">
        <v>8</v>
      </c>
      <c r="C53" s="72"/>
      <c r="D53" s="26" t="s">
        <v>178</v>
      </c>
      <c r="E53" s="129" t="s">
        <v>541</v>
      </c>
      <c r="F53" s="27" t="s">
        <v>180</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v>
      </c>
      <c r="Y53" s="4" t="str">
        <f>IF(LEN(Table2[[#This Row],[!Unique]])&gt;0,"rg:True","rg:None")</f>
        <v>rg:None</v>
      </c>
    </row>
    <row r="54" spans="1:25" x14ac:dyDescent="0.3">
      <c r="A54" s="26" t="s">
        <v>199</v>
      </c>
      <c r="B54" s="23" t="s">
        <v>8</v>
      </c>
      <c r="C54" s="72"/>
      <c r="D54" s="23" t="s">
        <v>149</v>
      </c>
      <c r="E54" s="129" t="s">
        <v>542</v>
      </c>
      <c r="F54" s="24" t="s">
        <v>136</v>
      </c>
      <c r="G54" s="18"/>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v>
      </c>
      <c r="Y54" s="4" t="str">
        <f>IF(LEN(Table2[[#This Row],[!Unique]])&gt;0,"rg:True","rg:None")</f>
        <v>rg:None</v>
      </c>
    </row>
    <row r="55" spans="1:25" x14ac:dyDescent="0.3">
      <c r="A55" s="111" t="s">
        <v>199</v>
      </c>
      <c r="B55" s="111" t="s">
        <v>19</v>
      </c>
      <c r="C55" s="72"/>
      <c r="D55" s="111" t="s">
        <v>476</v>
      </c>
      <c r="E55" s="47"/>
      <c r="F55" s="111" t="s">
        <v>464</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v>
      </c>
      <c r="Y55" s="4" t="str">
        <f>IF(LEN(Table2[[#This Row],[!Unique]])&gt;0,"rg:True","rg:None")</f>
        <v>rg:None</v>
      </c>
    </row>
    <row r="56" spans="1:25" x14ac:dyDescent="0.3">
      <c r="A56" s="111" t="s">
        <v>199</v>
      </c>
      <c r="B56" s="111" t="s">
        <v>19</v>
      </c>
      <c r="C56" s="72"/>
      <c r="D56" s="111" t="s">
        <v>483</v>
      </c>
      <c r="E56" s="47"/>
      <c r="F56" s="111" t="s">
        <v>477</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v>
      </c>
      <c r="Y56" s="4" t="str">
        <f>IF(LEN(Table2[[#This Row],[!Unique]])&gt;0,"rg:True","rg:None")</f>
        <v>rg:None</v>
      </c>
    </row>
    <row r="57" spans="1:25" x14ac:dyDescent="0.3">
      <c r="A57" s="26" t="s">
        <v>199</v>
      </c>
      <c r="B57" s="26" t="s">
        <v>19</v>
      </c>
      <c r="C57" s="72"/>
      <c r="D57" s="26" t="s">
        <v>201</v>
      </c>
      <c r="E57" s="47"/>
      <c r="F57" s="27" t="s">
        <v>202</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v>
      </c>
      <c r="Y57" s="4" t="str">
        <f>IF(LEN(Table2[[#This Row],[!Unique]])&gt;0,"rg:True","rg:None")</f>
        <v>rg:None</v>
      </c>
    </row>
    <row r="58" spans="1:25" x14ac:dyDescent="0.3">
      <c r="A58" s="111" t="s">
        <v>199</v>
      </c>
      <c r="B58" s="111" t="s">
        <v>7</v>
      </c>
      <c r="C58" s="72">
        <v>2048</v>
      </c>
      <c r="D58" s="111" t="s">
        <v>155</v>
      </c>
      <c r="E58" s="112" t="s">
        <v>484</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1" t="s">
        <v>199</v>
      </c>
      <c r="B59" s="111" t="s">
        <v>12</v>
      </c>
      <c r="C59" s="72"/>
      <c r="D59" s="111" t="s">
        <v>485</v>
      </c>
      <c r="E59" s="112" t="s">
        <v>486</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111" t="s">
        <v>199</v>
      </c>
      <c r="B60" s="111" t="s">
        <v>12</v>
      </c>
      <c r="C60" s="72"/>
      <c r="D60" s="111" t="s">
        <v>489</v>
      </c>
      <c r="E60" s="112" t="s">
        <v>487</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x14ac:dyDescent="0.3">
      <c r="A61" s="111" t="s">
        <v>199</v>
      </c>
      <c r="B61" s="111" t="s">
        <v>13</v>
      </c>
      <c r="C61" s="72"/>
      <c r="D61" s="111" t="s">
        <v>488</v>
      </c>
      <c r="E61" s="112" t="s">
        <v>490</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8.8" x14ac:dyDescent="0.3">
      <c r="A62" s="111" t="s">
        <v>199</v>
      </c>
      <c r="B62" s="111" t="s">
        <v>108</v>
      </c>
      <c r="C62" s="72"/>
      <c r="D62" s="111" t="s">
        <v>495</v>
      </c>
      <c r="E62" s="112" t="s">
        <v>498</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ht="28.8" x14ac:dyDescent="0.3">
      <c r="A63" s="111" t="s">
        <v>199</v>
      </c>
      <c r="B63" s="111" t="s">
        <v>7</v>
      </c>
      <c r="C63" s="72">
        <v>50</v>
      </c>
      <c r="D63" s="111" t="s">
        <v>470</v>
      </c>
      <c r="E63" s="112" t="s">
        <v>471</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1" t="s">
        <v>199</v>
      </c>
      <c r="B64" s="111" t="s">
        <v>7</v>
      </c>
      <c r="C64" s="72">
        <v>2048</v>
      </c>
      <c r="D64" s="111" t="s">
        <v>499</v>
      </c>
      <c r="E64" s="112" t="s">
        <v>500</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1" t="s">
        <v>464</v>
      </c>
      <c r="B65" s="111" t="s">
        <v>4</v>
      </c>
      <c r="C65" s="72"/>
      <c r="D65" s="111" t="s">
        <v>464</v>
      </c>
      <c r="E65" s="112" t="s">
        <v>465</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1" t="s">
        <v>464</v>
      </c>
      <c r="B66" s="111" t="s">
        <v>6</v>
      </c>
      <c r="C66" s="72"/>
      <c r="D66" s="111" t="s">
        <v>6</v>
      </c>
      <c r="E66" s="113" t="s">
        <v>466</v>
      </c>
      <c r="F66" s="12"/>
      <c r="G66" s="114" t="s">
        <v>62</v>
      </c>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111" t="s">
        <v>464</v>
      </c>
      <c r="B67" s="111" t="s">
        <v>8</v>
      </c>
      <c r="C67" s="72"/>
      <c r="D67" s="111" t="s">
        <v>200</v>
      </c>
      <c r="E67" s="129" t="s">
        <v>543</v>
      </c>
      <c r="F67" s="27" t="s">
        <v>199</v>
      </c>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v>
      </c>
      <c r="Y67" s="4" t="str">
        <f>IF(LEN(Table2[[#This Row],[!Unique]])&gt;0,"rg:True","rg:None")</f>
        <v>rg:None</v>
      </c>
    </row>
    <row r="68" spans="1:25" x14ac:dyDescent="0.3">
      <c r="A68" s="111" t="s">
        <v>464</v>
      </c>
      <c r="B68" s="111" t="s">
        <v>7</v>
      </c>
      <c r="C68" s="72">
        <v>150</v>
      </c>
      <c r="D68" s="111" t="s">
        <v>474</v>
      </c>
      <c r="E68" s="112" t="s">
        <v>475</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
      <c r="A69" s="111" t="s">
        <v>464</v>
      </c>
      <c r="B69" s="111" t="s">
        <v>9</v>
      </c>
      <c r="C69" s="72"/>
      <c r="D69" s="111" t="s">
        <v>496</v>
      </c>
      <c r="E69" s="112" t="s">
        <v>497</v>
      </c>
      <c r="F69" s="12"/>
      <c r="G69" s="18"/>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x14ac:dyDescent="0.3">
      <c r="A70" s="111" t="s">
        <v>464</v>
      </c>
      <c r="B70" s="111" t="s">
        <v>108</v>
      </c>
      <c r="C70" s="72"/>
      <c r="D70" s="111" t="s">
        <v>144</v>
      </c>
      <c r="E70" s="112" t="s">
        <v>467</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111" t="s">
        <v>464</v>
      </c>
      <c r="B71" s="111" t="s">
        <v>13</v>
      </c>
      <c r="C71" s="72"/>
      <c r="D71" s="111" t="s">
        <v>468</v>
      </c>
      <c r="E71" s="112" t="s">
        <v>469</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ht="28.8" x14ac:dyDescent="0.3">
      <c r="A72" s="111" t="s">
        <v>464</v>
      </c>
      <c r="B72" s="111" t="s">
        <v>7</v>
      </c>
      <c r="C72" s="72">
        <v>50</v>
      </c>
      <c r="D72" s="111" t="s">
        <v>470</v>
      </c>
      <c r="E72" s="112" t="s">
        <v>471</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
      <c r="A73" s="111" t="s">
        <v>464</v>
      </c>
      <c r="B73" s="111" t="s">
        <v>7</v>
      </c>
      <c r="C73" s="72">
        <v>2048</v>
      </c>
      <c r="D73" s="111" t="s">
        <v>472</v>
      </c>
      <c r="E73" s="112" t="s">
        <v>473</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v>
      </c>
      <c r="Y73" s="4" t="str">
        <f>IF(LEN(Table2[[#This Row],[!Unique]])&gt;0,"rg:True","rg:None")</f>
        <v>rg:None</v>
      </c>
    </row>
    <row r="74" spans="1:25" x14ac:dyDescent="0.3">
      <c r="A74" s="111" t="s">
        <v>464</v>
      </c>
      <c r="B74" s="111" t="s">
        <v>19</v>
      </c>
      <c r="C74" s="72"/>
      <c r="D74" s="111" t="s">
        <v>201</v>
      </c>
      <c r="E74" s="47"/>
      <c r="F74" s="115" t="s">
        <v>202</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v>
      </c>
      <c r="Y74" s="4" t="str">
        <f>IF(LEN(Table2[[#This Row],[!Unique]])&gt;0,"rg:True","rg:None")</f>
        <v>rg:None</v>
      </c>
    </row>
    <row r="75" spans="1:25" x14ac:dyDescent="0.3">
      <c r="A75" s="111" t="s">
        <v>477</v>
      </c>
      <c r="B75" s="111" t="s">
        <v>4</v>
      </c>
      <c r="C75" s="72"/>
      <c r="D75" s="111" t="s">
        <v>477</v>
      </c>
      <c r="E75" s="112" t="s">
        <v>478</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1" t="s">
        <v>477</v>
      </c>
      <c r="B76" s="111" t="s">
        <v>6</v>
      </c>
      <c r="C76" s="72"/>
      <c r="D76" s="111" t="s">
        <v>6</v>
      </c>
      <c r="E76" s="113" t="s">
        <v>479</v>
      </c>
      <c r="F76" s="12"/>
      <c r="G76" s="18"/>
      <c r="H76" s="18"/>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v>
      </c>
      <c r="Y76" s="4" t="str">
        <f>IF(LEN(Table2[[#This Row],[!Unique]])&gt;0,"rg:True","rg:None")</f>
        <v>rg:None</v>
      </c>
    </row>
    <row r="77" spans="1:25" x14ac:dyDescent="0.3">
      <c r="A77" s="111" t="s">
        <v>477</v>
      </c>
      <c r="B77" s="111" t="s">
        <v>8</v>
      </c>
      <c r="C77" s="72"/>
      <c r="D77" s="111" t="s">
        <v>200</v>
      </c>
      <c r="E77" s="129" t="s">
        <v>543</v>
      </c>
      <c r="F77" s="27" t="s">
        <v>199</v>
      </c>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v>
      </c>
      <c r="Y77" s="4" t="str">
        <f>IF(LEN(Table2[[#This Row],[!Unique]])&gt;0,"rg:True","rg:None")</f>
        <v>rg:None</v>
      </c>
    </row>
    <row r="78" spans="1:25" x14ac:dyDescent="0.3">
      <c r="A78" s="111" t="s">
        <v>477</v>
      </c>
      <c r="B78" s="111" t="s">
        <v>7</v>
      </c>
      <c r="C78" s="72">
        <v>150</v>
      </c>
      <c r="D78" s="111" t="s">
        <v>480</v>
      </c>
      <c r="E78" s="112" t="s">
        <v>481</v>
      </c>
      <c r="F78" s="12"/>
      <c r="G78" s="18"/>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x14ac:dyDescent="0.3">
      <c r="A79" s="111" t="s">
        <v>477</v>
      </c>
      <c r="B79" s="111" t="s">
        <v>7</v>
      </c>
      <c r="C79" s="72">
        <v>2048</v>
      </c>
      <c r="D79" s="111" t="s">
        <v>472</v>
      </c>
      <c r="E79" s="112" t="s">
        <v>482</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v>
      </c>
      <c r="Y79" s="4" t="str">
        <f>IF(LEN(Table2[[#This Row],[!Unique]])&gt;0,"rg:True","rg:None")</f>
        <v>rg:None</v>
      </c>
    </row>
    <row r="80" spans="1:25" ht="28.8" x14ac:dyDescent="0.3">
      <c r="A80" s="27" t="s">
        <v>202</v>
      </c>
      <c r="B80" s="26" t="s">
        <v>4</v>
      </c>
      <c r="C80" s="72"/>
      <c r="D80" s="27" t="s">
        <v>202</v>
      </c>
      <c r="E80" s="60" t="s">
        <v>363</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7" t="s">
        <v>202</v>
      </c>
      <c r="B81" s="23" t="s">
        <v>6</v>
      </c>
      <c r="C81" s="72"/>
      <c r="D81" s="23" t="s">
        <v>6</v>
      </c>
      <c r="E81" s="54" t="s">
        <v>296</v>
      </c>
      <c r="F81" s="12"/>
      <c r="G81" s="25" t="s">
        <v>62</v>
      </c>
      <c r="H81" s="25"/>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v>
      </c>
      <c r="Y81" s="4" t="str">
        <f>IF(LEN(Table2[[#This Row],[!Unique]])&gt;0,"rg:True","rg:None")</f>
        <v>rg:None</v>
      </c>
    </row>
    <row r="82" spans="1:25" x14ac:dyDescent="0.3">
      <c r="A82" s="27" t="s">
        <v>202</v>
      </c>
      <c r="B82" s="26" t="s">
        <v>8</v>
      </c>
      <c r="C82" s="72"/>
      <c r="D82" s="26" t="s">
        <v>200</v>
      </c>
      <c r="E82" s="129" t="s">
        <v>543</v>
      </c>
      <c r="F82" s="27" t="s">
        <v>199</v>
      </c>
      <c r="G82" s="18"/>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v>
      </c>
      <c r="Y82" s="4" t="str">
        <f>IF(LEN(Table2[[#This Row],[!Unique]])&gt;0,"rg:True","rg:None")</f>
        <v>rg:None</v>
      </c>
    </row>
    <row r="83" spans="1:25" ht="28.8" x14ac:dyDescent="0.3">
      <c r="A83" s="111" t="s">
        <v>202</v>
      </c>
      <c r="B83" s="111" t="s">
        <v>8</v>
      </c>
      <c r="C83" s="72"/>
      <c r="D83" s="111" t="s">
        <v>493</v>
      </c>
      <c r="E83" s="112" t="s">
        <v>494</v>
      </c>
      <c r="F83" s="115" t="s">
        <v>464</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v>
      </c>
      <c r="Y83" s="4" t="str">
        <f>IF(LEN(Table2[[#This Row],[!Unique]])&gt;0,"rg:True","rg:None")</f>
        <v>rg:None</v>
      </c>
    </row>
    <row r="84" spans="1:25" ht="28.8" x14ac:dyDescent="0.3">
      <c r="A84" s="115" t="s">
        <v>202</v>
      </c>
      <c r="B84" s="91" t="s">
        <v>12</v>
      </c>
      <c r="D84" s="91" t="s">
        <v>203</v>
      </c>
      <c r="E84" s="48" t="s">
        <v>229</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x14ac:dyDescent="0.3">
      <c r="A85" s="27" t="s">
        <v>202</v>
      </c>
      <c r="B85" s="91" t="s">
        <v>12</v>
      </c>
      <c r="D85" s="91" t="s">
        <v>204</v>
      </c>
      <c r="E85" s="50" t="s">
        <v>353</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ht="28.8" x14ac:dyDescent="0.3">
      <c r="A86" s="40" t="s">
        <v>202</v>
      </c>
      <c r="B86" s="40" t="s">
        <v>7</v>
      </c>
      <c r="C86" s="72">
        <v>20</v>
      </c>
      <c r="D86" s="40" t="s">
        <v>227</v>
      </c>
      <c r="E86" s="48" t="s">
        <v>228</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27" t="s">
        <v>202</v>
      </c>
      <c r="B87" s="5" t="s">
        <v>108</v>
      </c>
      <c r="D87" s="5" t="s">
        <v>143</v>
      </c>
      <c r="E87" s="48" t="s">
        <v>230</v>
      </c>
      <c r="F87" s="12"/>
      <c r="G87" s="18"/>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ht="28.8" x14ac:dyDescent="0.3">
      <c r="A88" s="82" t="s">
        <v>180</v>
      </c>
      <c r="B88" s="5" t="s">
        <v>4</v>
      </c>
      <c r="D88" s="82" t="s">
        <v>180</v>
      </c>
      <c r="E88" s="76" t="s">
        <v>364</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
      <c r="A89" s="82" t="s">
        <v>180</v>
      </c>
      <c r="B89" s="5" t="s">
        <v>6</v>
      </c>
      <c r="D89" s="5" t="s">
        <v>6</v>
      </c>
      <c r="E89" s="54" t="s">
        <v>295</v>
      </c>
      <c r="F89" s="5" t="s">
        <v>5</v>
      </c>
      <c r="G89" s="4" t="s">
        <v>62</v>
      </c>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v>
      </c>
      <c r="Y89" s="4" t="str">
        <f>IF(LEN(Table2[[#This Row],[!Unique]])&gt;0,"rg:True","rg:None")</f>
        <v>rg:None</v>
      </c>
    </row>
    <row r="90" spans="1:25" x14ac:dyDescent="0.3">
      <c r="A90" s="82" t="s">
        <v>180</v>
      </c>
      <c r="B90" s="5" t="s">
        <v>8</v>
      </c>
      <c r="D90" s="82" t="s">
        <v>173</v>
      </c>
      <c r="E90" s="130" t="s">
        <v>538</v>
      </c>
      <c r="F90" s="82" t="s">
        <v>151</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v>
      </c>
      <c r="Y90" s="4" t="str">
        <f>IF(LEN(Table2[[#This Row],[!Unique]])&gt;0,"rg:True","rg:None")</f>
        <v>rg:None</v>
      </c>
    </row>
    <row r="91" spans="1:25" x14ac:dyDescent="0.3">
      <c r="A91" s="82" t="s">
        <v>180</v>
      </c>
      <c r="B91" s="5" t="s">
        <v>8</v>
      </c>
      <c r="D91" s="140" t="s">
        <v>576</v>
      </c>
      <c r="E91" s="130" t="s">
        <v>544</v>
      </c>
      <c r="F91" s="140" t="s">
        <v>570</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v>
      </c>
      <c r="Y91" s="4" t="str">
        <f>IF(LEN(Table2[[#This Row],[!Unique]])&gt;0,"rg:True","rg:None")</f>
        <v>rg:None</v>
      </c>
    </row>
    <row r="92" spans="1:25" x14ac:dyDescent="0.3">
      <c r="A92" s="82" t="s">
        <v>180</v>
      </c>
      <c r="B92" s="5" t="s">
        <v>8</v>
      </c>
      <c r="D92" s="82" t="s">
        <v>148</v>
      </c>
      <c r="E92" s="130" t="s">
        <v>545</v>
      </c>
      <c r="F92" s="21" t="s">
        <v>145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v>
      </c>
      <c r="Y92" s="4" t="str">
        <f>IF(LEN(Table2[[#This Row],[!Unique]])&gt;0,"rg:True","rg:None")</f>
        <v>rg:None</v>
      </c>
    </row>
    <row r="93" spans="1:25" ht="57.6" x14ac:dyDescent="0.3">
      <c r="A93" s="82" t="s">
        <v>180</v>
      </c>
      <c r="B93" s="5" t="s">
        <v>7</v>
      </c>
      <c r="C93" s="5">
        <v>25</v>
      </c>
      <c r="D93" s="88" t="s">
        <v>453</v>
      </c>
      <c r="E93" s="76" t="s">
        <v>393</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82" t="s">
        <v>180</v>
      </c>
      <c r="B94" s="5" t="s">
        <v>7</v>
      </c>
      <c r="C94" s="5">
        <v>50</v>
      </c>
      <c r="D94" s="92" t="s">
        <v>231</v>
      </c>
      <c r="E94" s="93" t="s">
        <v>232</v>
      </c>
      <c r="F94" s="5" t="s">
        <v>5</v>
      </c>
      <c r="G94" s="4"/>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x14ac:dyDescent="0.3">
      <c r="A95" s="82" t="s">
        <v>180</v>
      </c>
      <c r="B95" s="82" t="s">
        <v>12</v>
      </c>
      <c r="D95" s="82" t="s">
        <v>185</v>
      </c>
      <c r="E95" s="93" t="s">
        <v>233</v>
      </c>
      <c r="F95" s="5" t="s">
        <v>5</v>
      </c>
      <c r="G95" s="4"/>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82" t="s">
        <v>180</v>
      </c>
      <c r="B96" s="82" t="s">
        <v>12</v>
      </c>
      <c r="D96" s="82" t="s">
        <v>184</v>
      </c>
      <c r="E96" s="93" t="s">
        <v>234</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28.8" x14ac:dyDescent="0.3">
      <c r="A97" s="82" t="s">
        <v>180</v>
      </c>
      <c r="B97" s="94" t="s">
        <v>12</v>
      </c>
      <c r="D97" s="94" t="s">
        <v>212</v>
      </c>
      <c r="E97" s="93" t="s">
        <v>235</v>
      </c>
      <c r="F97" s="5" t="s">
        <v>5</v>
      </c>
      <c r="G97" s="4"/>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ht="43.2" x14ac:dyDescent="0.3">
      <c r="A98" s="61" t="s">
        <v>180</v>
      </c>
      <c r="B98" s="61" t="s">
        <v>9</v>
      </c>
      <c r="C98" s="72"/>
      <c r="D98" s="61" t="s">
        <v>379</v>
      </c>
      <c r="E98" s="60" t="s">
        <v>390</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61" t="s">
        <v>180</v>
      </c>
      <c r="B99" s="61" t="s">
        <v>7</v>
      </c>
      <c r="C99" s="72">
        <v>2048</v>
      </c>
      <c r="D99" s="61" t="s">
        <v>380</v>
      </c>
      <c r="E99" s="60" t="s">
        <v>381</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180</v>
      </c>
      <c r="B100" s="5" t="s">
        <v>7</v>
      </c>
      <c r="C100" s="5">
        <v>20</v>
      </c>
      <c r="D100" s="78" t="s">
        <v>236</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180</v>
      </c>
      <c r="B101" s="5" t="s">
        <v>7</v>
      </c>
      <c r="C101" s="5">
        <v>50</v>
      </c>
      <c r="D101" s="5" t="s">
        <v>131</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180</v>
      </c>
      <c r="B102" s="5" t="s">
        <v>7</v>
      </c>
      <c r="C102" s="5">
        <v>50</v>
      </c>
      <c r="D102" s="5" t="s">
        <v>132</v>
      </c>
      <c r="E102" s="93" t="s">
        <v>239</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180</v>
      </c>
      <c r="B103" s="5" t="s">
        <v>7</v>
      </c>
      <c r="C103" s="5">
        <v>15</v>
      </c>
      <c r="D103" s="5" t="s">
        <v>133</v>
      </c>
      <c r="E103" s="93" t="s">
        <v>240</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180</v>
      </c>
      <c r="B104" s="5" t="s">
        <v>7</v>
      </c>
      <c r="C104" s="5">
        <v>255</v>
      </c>
      <c r="D104" s="5" t="s">
        <v>134</v>
      </c>
      <c r="E104" s="79" t="s">
        <v>427</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180</v>
      </c>
      <c r="B105" s="5" t="s">
        <v>108</v>
      </c>
      <c r="D105" s="5" t="s">
        <v>135</v>
      </c>
      <c r="E105" s="79" t="s">
        <v>427</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
      <c r="A106" s="82" t="s">
        <v>180</v>
      </c>
      <c r="B106" s="5" t="s">
        <v>7</v>
      </c>
      <c r="C106" s="5">
        <v>255</v>
      </c>
      <c r="D106" s="5" t="s">
        <v>137</v>
      </c>
      <c r="E106" s="79" t="s">
        <v>427</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ht="72" x14ac:dyDescent="0.3">
      <c r="A107" s="82" t="s">
        <v>180</v>
      </c>
      <c r="B107" s="5" t="s">
        <v>7</v>
      </c>
      <c r="C107" s="5">
        <v>100</v>
      </c>
      <c r="D107" s="88" t="s">
        <v>454</v>
      </c>
      <c r="E107" s="93" t="s">
        <v>242</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82" t="s">
        <v>180</v>
      </c>
      <c r="B108" s="5" t="s">
        <v>7</v>
      </c>
      <c r="C108" s="5">
        <v>128</v>
      </c>
      <c r="D108" s="5" t="s">
        <v>139</v>
      </c>
      <c r="E108" s="93" t="s">
        <v>243</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82" t="s">
        <v>180</v>
      </c>
      <c r="B109" s="82" t="s">
        <v>12</v>
      </c>
      <c r="D109" s="82" t="s">
        <v>186</v>
      </c>
      <c r="E109" s="79" t="s">
        <v>427</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28.8" x14ac:dyDescent="0.3">
      <c r="A110" s="82" t="s">
        <v>180</v>
      </c>
      <c r="B110" s="95" t="s">
        <v>108</v>
      </c>
      <c r="D110" s="82" t="s">
        <v>189</v>
      </c>
      <c r="E110" s="96" t="s">
        <v>244</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57.6" x14ac:dyDescent="0.3">
      <c r="A111" s="82" t="s">
        <v>180</v>
      </c>
      <c r="B111" s="95" t="s">
        <v>108</v>
      </c>
      <c r="D111" s="80" t="s">
        <v>138</v>
      </c>
      <c r="E111" s="96" t="s">
        <v>245</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2" x14ac:dyDescent="0.3">
      <c r="A112" s="73" t="s">
        <v>180</v>
      </c>
      <c r="B112" s="73" t="s">
        <v>13</v>
      </c>
      <c r="C112" s="72"/>
      <c r="D112" s="73" t="s">
        <v>451</v>
      </c>
      <c r="E112" s="74" t="s">
        <v>452</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2" x14ac:dyDescent="0.3">
      <c r="A113" s="69" t="s">
        <v>180</v>
      </c>
      <c r="B113" s="69" t="s">
        <v>9</v>
      </c>
      <c r="C113" s="72"/>
      <c r="D113" s="69" t="s">
        <v>440</v>
      </c>
      <c r="E113" s="70" t="s">
        <v>441</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8.8" x14ac:dyDescent="0.3">
      <c r="A114" s="69" t="s">
        <v>180</v>
      </c>
      <c r="B114" s="69" t="s">
        <v>7</v>
      </c>
      <c r="C114" s="72">
        <v>2048</v>
      </c>
      <c r="D114" s="69" t="s">
        <v>439</v>
      </c>
      <c r="E114" s="70" t="s">
        <v>442</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61" t="s">
        <v>180</v>
      </c>
      <c r="B115" s="61" t="s">
        <v>12</v>
      </c>
      <c r="C115" s="72"/>
      <c r="D115" s="61" t="s">
        <v>396</v>
      </c>
      <c r="E115" s="60" t="s">
        <v>397</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8.8" x14ac:dyDescent="0.3">
      <c r="A116" s="82" t="s">
        <v>180</v>
      </c>
      <c r="B116" s="5" t="s">
        <v>108</v>
      </c>
      <c r="D116" s="80" t="s">
        <v>394</v>
      </c>
      <c r="E116" s="93" t="s">
        <v>241</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
      <c r="A117" s="82" t="s">
        <v>180</v>
      </c>
      <c r="B117" s="97" t="s">
        <v>108</v>
      </c>
      <c r="D117" s="95" t="s">
        <v>246</v>
      </c>
      <c r="E117" s="96" t="s">
        <v>247</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8.8" x14ac:dyDescent="0.3">
      <c r="A118" s="82" t="s">
        <v>180</v>
      </c>
      <c r="B118" s="5" t="s">
        <v>108</v>
      </c>
      <c r="D118" s="95" t="s">
        <v>248</v>
      </c>
      <c r="E118" s="96" t="s">
        <v>249</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8.8" x14ac:dyDescent="0.3">
      <c r="A119" s="82" t="s">
        <v>180</v>
      </c>
      <c r="B119" s="5" t="s">
        <v>108</v>
      </c>
      <c r="D119" s="95" t="s">
        <v>251</v>
      </c>
      <c r="E119" s="96" t="s">
        <v>250</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82" t="s">
        <v>180</v>
      </c>
      <c r="B120" s="5" t="s">
        <v>7</v>
      </c>
      <c r="C120" s="5">
        <v>50</v>
      </c>
      <c r="D120" s="95" t="s">
        <v>252</v>
      </c>
      <c r="E120" s="98" t="s">
        <v>425</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180</v>
      </c>
      <c r="B121" s="5" t="s">
        <v>7</v>
      </c>
      <c r="C121" s="5">
        <v>2048</v>
      </c>
      <c r="D121" s="5" t="s">
        <v>140</v>
      </c>
      <c r="E121" s="96" t="s">
        <v>253</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82" t="s">
        <v>180</v>
      </c>
      <c r="B122" s="82" t="s">
        <v>12</v>
      </c>
      <c r="D122" s="82" t="s">
        <v>187</v>
      </c>
      <c r="E122" s="96" t="s">
        <v>254</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ht="28.8" x14ac:dyDescent="0.3">
      <c r="A123" s="82" t="s">
        <v>180</v>
      </c>
      <c r="B123" s="95" t="s">
        <v>8</v>
      </c>
      <c r="D123" s="95" t="s">
        <v>255</v>
      </c>
      <c r="E123" s="96" t="s">
        <v>256</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v>
      </c>
      <c r="Y123" s="4" t="str">
        <f>IF(LEN(Table2[[#This Row],[!Unique]])&gt;0,"rg:True","rg:None")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v>
      </c>
      <c r="Y124" s="4" t="str">
        <f>IF(LEN(Table2[[#This Row],[!Unique]])&gt;0,"rg:True","rg:None")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v>
      </c>
      <c r="Y125" s="4" t="str">
        <f>IF(LEN(Table2[[#This Row],[!Unique]])&gt;0,"rg:True","rg:None")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v>
      </c>
      <c r="Y126" s="4" t="str">
        <f>IF(LEN(Table2[[#This Row],[!Unique]])&gt;0,"rg:True","rg:None")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v>
      </c>
      <c r="Y127" s="4" t="str">
        <f>IF(LEN(Table2[[#This Row],[!Unique]])&gt;0,"rg:True","rg:None")</f>
        <v>rg:None</v>
      </c>
    </row>
    <row r="128" spans="1:25" x14ac:dyDescent="0.3">
      <c r="A128" s="82" t="s">
        <v>180</v>
      </c>
      <c r="B128" s="21" t="s">
        <v>19</v>
      </c>
      <c r="C128" s="72"/>
      <c r="D128" s="21" t="s">
        <v>191</v>
      </c>
      <c r="E128" s="47"/>
      <c r="F128" s="5" t="s">
        <v>147</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v>
      </c>
      <c r="Y128" s="4" t="str">
        <f>IF(LEN(Table2[[#This Row],[!Unique]])&gt;0,"rg:True","rg:None")</f>
        <v>rg:None</v>
      </c>
    </row>
    <row r="129" spans="1:25" ht="115.2" x14ac:dyDescent="0.3">
      <c r="A129" s="5" t="s">
        <v>109</v>
      </c>
      <c r="B129" s="5" t="s">
        <v>4</v>
      </c>
      <c r="D129" s="5" t="s">
        <v>109</v>
      </c>
      <c r="E129" s="99" t="s">
        <v>395</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5" t="s">
        <v>109</v>
      </c>
      <c r="B130" s="5" t="s">
        <v>6</v>
      </c>
      <c r="D130" s="5" t="s">
        <v>6</v>
      </c>
      <c r="E130" s="54" t="s">
        <v>294</v>
      </c>
      <c r="F130" s="5" t="s">
        <v>5</v>
      </c>
      <c r="G130" s="4" t="s">
        <v>62</v>
      </c>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82" t="s">
        <v>109</v>
      </c>
      <c r="B131" s="95" t="s">
        <v>9</v>
      </c>
      <c r="D131" s="95" t="s">
        <v>257</v>
      </c>
      <c r="E131" s="96" t="s">
        <v>267</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5" t="s">
        <v>109</v>
      </c>
      <c r="B132" s="95" t="s">
        <v>9</v>
      </c>
      <c r="D132" s="95" t="s">
        <v>261</v>
      </c>
      <c r="E132" s="96" t="s">
        <v>266</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
      <c r="A133" s="5" t="s">
        <v>109</v>
      </c>
      <c r="B133" s="95" t="s">
        <v>9</v>
      </c>
      <c r="D133" s="95" t="s">
        <v>268</v>
      </c>
      <c r="E133" s="96" t="s">
        <v>269</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8.8" x14ac:dyDescent="0.3">
      <c r="A134" s="5" t="s">
        <v>109</v>
      </c>
      <c r="B134" s="95" t="s">
        <v>9</v>
      </c>
      <c r="D134" s="95" t="s">
        <v>262</v>
      </c>
      <c r="E134" s="96" t="s">
        <v>263</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5" t="s">
        <v>109</v>
      </c>
      <c r="B135" s="95" t="s">
        <v>9</v>
      </c>
      <c r="D135" s="95" t="s">
        <v>264</v>
      </c>
      <c r="E135" s="96" t="s">
        <v>265</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5" t="s">
        <v>9</v>
      </c>
      <c r="D136" s="95" t="s">
        <v>270</v>
      </c>
      <c r="E136" s="96" t="s">
        <v>271</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5" t="s">
        <v>9</v>
      </c>
      <c r="D137" s="95" t="s">
        <v>272</v>
      </c>
      <c r="E137" s="96" t="s">
        <v>273</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5" t="s">
        <v>9</v>
      </c>
      <c r="D138" s="95" t="s">
        <v>274</v>
      </c>
      <c r="E138" s="96" t="s">
        <v>275</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95" t="s">
        <v>9</v>
      </c>
      <c r="C139" s="95"/>
      <c r="D139" s="95" t="s">
        <v>276</v>
      </c>
      <c r="E139" s="96" t="s">
        <v>277</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5" t="s">
        <v>7</v>
      </c>
      <c r="C140" s="5">
        <v>150</v>
      </c>
      <c r="D140" s="5" t="s">
        <v>110</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111</v>
      </c>
      <c r="E141" s="96" t="s">
        <v>279</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112</v>
      </c>
      <c r="E142" s="96" t="s">
        <v>280</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5" t="s">
        <v>113</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82" t="s">
        <v>188</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5" t="s">
        <v>114</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115</v>
      </c>
      <c r="E146" s="96" t="s">
        <v>284</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5" t="s">
        <v>109</v>
      </c>
      <c r="B147" s="5" t="s">
        <v>7</v>
      </c>
      <c r="C147" s="5">
        <v>150</v>
      </c>
      <c r="D147" s="5" t="s">
        <v>116</v>
      </c>
      <c r="E147" s="96" t="s">
        <v>288</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ht="43.2" x14ac:dyDescent="0.3">
      <c r="A148" s="5" t="s">
        <v>109</v>
      </c>
      <c r="B148" s="5" t="s">
        <v>7</v>
      </c>
      <c r="C148" s="5">
        <v>150</v>
      </c>
      <c r="D148" s="5" t="s">
        <v>117</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5" t="s">
        <v>109</v>
      </c>
      <c r="B149" s="5" t="s">
        <v>7</v>
      </c>
      <c r="C149" s="5">
        <v>150</v>
      </c>
      <c r="D149" s="5" t="s">
        <v>118</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119</v>
      </c>
      <c r="E150" s="96" t="s">
        <v>287</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120</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121</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5" t="s">
        <v>109</v>
      </c>
      <c r="B153" s="5" t="s">
        <v>7</v>
      </c>
      <c r="C153" s="5">
        <v>150</v>
      </c>
      <c r="D153" s="5" t="s">
        <v>122</v>
      </c>
      <c r="E153" s="96" t="s">
        <v>291</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8.8" x14ac:dyDescent="0.3">
      <c r="A154" s="5" t="s">
        <v>109</v>
      </c>
      <c r="B154" s="5" t="s">
        <v>7</v>
      </c>
      <c r="C154" s="5">
        <v>150</v>
      </c>
      <c r="D154" s="5" t="s">
        <v>123</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124</v>
      </c>
      <c r="E155" s="100" t="s">
        <v>355</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8.8" x14ac:dyDescent="0.3">
      <c r="A156" s="5" t="s">
        <v>109</v>
      </c>
      <c r="B156" s="5" t="s">
        <v>7</v>
      </c>
      <c r="C156" s="5">
        <v>150</v>
      </c>
      <c r="D156" s="5" t="s">
        <v>125</v>
      </c>
      <c r="E156" s="100" t="s">
        <v>358</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
      <c r="A157" s="5" t="s">
        <v>109</v>
      </c>
      <c r="B157" s="5" t="s">
        <v>7</v>
      </c>
      <c r="C157" s="5">
        <v>150</v>
      </c>
      <c r="D157" s="5" t="s">
        <v>126</v>
      </c>
      <c r="E157" s="96" t="s">
        <v>292</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8.8" x14ac:dyDescent="0.3">
      <c r="A158" s="5" t="s">
        <v>109</v>
      </c>
      <c r="B158" s="5" t="s">
        <v>7</v>
      </c>
      <c r="C158" s="5">
        <v>150</v>
      </c>
      <c r="D158" s="5" t="s">
        <v>127</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128</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8.8" x14ac:dyDescent="0.3">
      <c r="A160" s="5" t="s">
        <v>109</v>
      </c>
      <c r="B160" s="5" t="s">
        <v>7</v>
      </c>
      <c r="C160" s="5">
        <v>150</v>
      </c>
      <c r="D160" s="5" t="s">
        <v>129</v>
      </c>
      <c r="E160" s="100" t="s">
        <v>361</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x14ac:dyDescent="0.3">
      <c r="A161" s="5" t="s">
        <v>109</v>
      </c>
      <c r="B161" s="5" t="s">
        <v>7</v>
      </c>
      <c r="C161" s="5">
        <v>150</v>
      </c>
      <c r="D161" s="5" t="s">
        <v>130</v>
      </c>
      <c r="E161" s="96" t="s">
        <v>293</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28.8" x14ac:dyDescent="0.3">
      <c r="A162" s="82" t="s">
        <v>182</v>
      </c>
      <c r="B162" s="136" t="s">
        <v>4</v>
      </c>
      <c r="C162" s="72"/>
      <c r="D162" s="82" t="s">
        <v>182</v>
      </c>
      <c r="E162" s="141" t="s">
        <v>571</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v>
      </c>
      <c r="Y162" s="4" t="str">
        <f>IF(LEN(Table2[[#This Row],[!Unique]])&gt;0,"rg:True","rg:None")</f>
        <v>rg:None</v>
      </c>
    </row>
    <row r="163" spans="1:25" x14ac:dyDescent="0.3">
      <c r="A163" s="82" t="s">
        <v>182</v>
      </c>
      <c r="B163" s="136" t="s">
        <v>6</v>
      </c>
      <c r="C163" s="72"/>
      <c r="D163" s="136" t="s">
        <v>6</v>
      </c>
      <c r="E163" s="138" t="s">
        <v>556</v>
      </c>
      <c r="F163" s="12"/>
      <c r="G163" s="18"/>
      <c r="H163" s="18"/>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v>
      </c>
      <c r="Y163" s="4" t="str">
        <f>IF(LEN(Table2[[#This Row],[!Unique]])&gt;0,"rg:True","rg:None")</f>
        <v>rg:None</v>
      </c>
    </row>
    <row r="164" spans="1:25" x14ac:dyDescent="0.3">
      <c r="A164" s="82" t="s">
        <v>182</v>
      </c>
      <c r="B164" s="136" t="s">
        <v>7</v>
      </c>
      <c r="C164" s="72">
        <v>50</v>
      </c>
      <c r="D164" s="136" t="s">
        <v>15</v>
      </c>
      <c r="E164" s="137" t="s">
        <v>557</v>
      </c>
      <c r="F164" s="12"/>
      <c r="G164" s="18"/>
      <c r="H164" s="18"/>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v>
      </c>
      <c r="Y164" s="4" t="str">
        <f>IF(LEN(Table2[[#This Row],[!Unique]])&gt;0,"rg:True","rg:None")</f>
        <v>rg:None</v>
      </c>
    </row>
    <row r="165" spans="1:25" ht="28.8" x14ac:dyDescent="0.3">
      <c r="A165" s="142" t="s">
        <v>182</v>
      </c>
      <c r="B165" s="142" t="s">
        <v>9</v>
      </c>
      <c r="C165" s="72"/>
      <c r="D165" s="142" t="s">
        <v>572</v>
      </c>
      <c r="E165" s="141" t="s">
        <v>573</v>
      </c>
      <c r="F165" s="12"/>
      <c r="G165" s="18"/>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v>
      </c>
      <c r="Y165" s="4" t="str">
        <f>IF(LEN(Table2[[#This Row],[!Unique]])&gt;0,"rg:True","rg:None")</f>
        <v>rg:None</v>
      </c>
    </row>
    <row r="166" spans="1:25" x14ac:dyDescent="0.3">
      <c r="A166" s="82" t="s">
        <v>182</v>
      </c>
      <c r="B166" s="136" t="s">
        <v>108</v>
      </c>
      <c r="C166" s="72"/>
      <c r="D166" s="136" t="s">
        <v>558</v>
      </c>
      <c r="E166" s="137" t="s">
        <v>559</v>
      </c>
      <c r="F166" s="12"/>
      <c r="G166" s="18"/>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v>
      </c>
      <c r="Y166" s="4" t="str">
        <f>IF(LEN(Table2[[#This Row],[!Unique]])&gt;0,"rg:True","rg:None")</f>
        <v>rg:None</v>
      </c>
    </row>
    <row r="167" spans="1:25" x14ac:dyDescent="0.3">
      <c r="A167" s="82" t="s">
        <v>182</v>
      </c>
      <c r="B167" s="136" t="s">
        <v>108</v>
      </c>
      <c r="C167" s="72"/>
      <c r="D167" s="136" t="s">
        <v>565</v>
      </c>
      <c r="E167" s="137" t="s">
        <v>566</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v>
      </c>
      <c r="Y167" s="4" t="str">
        <f>IF(LEN(Table2[[#This Row],[!Unique]])&gt;0,"rg:True","rg:None")</f>
        <v>rg:None</v>
      </c>
    </row>
    <row r="168" spans="1:25" ht="43.2" x14ac:dyDescent="0.3">
      <c r="A168" s="82" t="s">
        <v>182</v>
      </c>
      <c r="B168" s="136" t="s">
        <v>13</v>
      </c>
      <c r="C168" s="72"/>
      <c r="D168" s="136" t="s">
        <v>560</v>
      </c>
      <c r="E168" s="137" t="s">
        <v>567</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v>
      </c>
      <c r="Y168" s="4" t="str">
        <f>IF(LEN(Table2[[#This Row],[!Unique]])&gt;0,"rg:True","rg:None")</f>
        <v>rg:None</v>
      </c>
    </row>
    <row r="169" spans="1:25" ht="28.8" x14ac:dyDescent="0.3">
      <c r="A169" s="82" t="s">
        <v>182</v>
      </c>
      <c r="B169" s="136" t="s">
        <v>108</v>
      </c>
      <c r="C169" s="72"/>
      <c r="D169" s="139" t="s">
        <v>561</v>
      </c>
      <c r="E169" s="137" t="s">
        <v>562</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v>
      </c>
      <c r="Y169" s="4" t="str">
        <f>IF(LEN(Table2[[#This Row],[!Unique]])&gt;0,"rg:True","rg:None")</f>
        <v>rg:None</v>
      </c>
    </row>
    <row r="170" spans="1:25" ht="28.8" x14ac:dyDescent="0.3">
      <c r="A170" s="82" t="s">
        <v>182</v>
      </c>
      <c r="B170" s="136" t="s">
        <v>108</v>
      </c>
      <c r="C170" s="72"/>
      <c r="D170" s="5" t="s">
        <v>141</v>
      </c>
      <c r="E170" s="137" t="s">
        <v>563</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v>
      </c>
      <c r="Y170" s="4" t="str">
        <f>IF(LEN(Table2[[#This Row],[!Unique]])&gt;0,"rg:True","rg:None")</f>
        <v>rg:None</v>
      </c>
    </row>
    <row r="171" spans="1:25" ht="28.8" x14ac:dyDescent="0.3">
      <c r="A171" s="82" t="s">
        <v>182</v>
      </c>
      <c r="B171" s="136" t="s">
        <v>108</v>
      </c>
      <c r="C171" s="72"/>
      <c r="D171" s="5" t="s">
        <v>142</v>
      </c>
      <c r="E171" s="137" t="s">
        <v>564</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v>
      </c>
      <c r="Y171" s="4" t="str">
        <f>IF(LEN(Table2[[#This Row],[!Unique]])&gt;0,"rg:True","rg:None")</f>
        <v>rg:None</v>
      </c>
    </row>
    <row r="172" spans="1:25" ht="72" x14ac:dyDescent="0.3">
      <c r="A172" s="140" t="s">
        <v>570</v>
      </c>
      <c r="B172" s="5" t="s">
        <v>4</v>
      </c>
      <c r="D172" s="140" t="s">
        <v>570</v>
      </c>
      <c r="E172" s="144" t="s">
        <v>574</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140" t="s">
        <v>570</v>
      </c>
      <c r="B173" s="5" t="s">
        <v>6</v>
      </c>
      <c r="D173" s="5" t="s">
        <v>6</v>
      </c>
      <c r="E173" s="101" t="s">
        <v>299</v>
      </c>
      <c r="F173" s="5" t="s">
        <v>5</v>
      </c>
      <c r="G173" s="4" t="s">
        <v>62</v>
      </c>
      <c r="H173" s="4"/>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140" t="s">
        <v>570</v>
      </c>
      <c r="B174" s="136" t="s">
        <v>8</v>
      </c>
      <c r="C174" s="72"/>
      <c r="D174" s="142" t="s">
        <v>181</v>
      </c>
      <c r="E174" s="47"/>
      <c r="F174" s="143" t="s">
        <v>182</v>
      </c>
      <c r="G174" s="18"/>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v>
      </c>
      <c r="Y174" s="4" t="str">
        <f>IF(LEN(Table2[[#This Row],[!Unique]])&gt;0,"rg:True","rg:None")</f>
        <v>rg:None</v>
      </c>
    </row>
    <row r="175" spans="1:25" x14ac:dyDescent="0.3">
      <c r="A175" s="140" t="s">
        <v>570</v>
      </c>
      <c r="B175" s="5" t="s">
        <v>8</v>
      </c>
      <c r="D175" s="139" t="s">
        <v>37</v>
      </c>
      <c r="F175" s="139" t="s">
        <v>32</v>
      </c>
      <c r="G175" s="4"/>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v>
      </c>
      <c r="Y175" s="4" t="str">
        <f>IF(LEN(Table2[[#This Row],[!Unique]])&gt;0,"rg:True","rg:None")</f>
        <v>rg:None</v>
      </c>
    </row>
    <row r="176" spans="1:25" ht="57.6" x14ac:dyDescent="0.3">
      <c r="A176" s="140" t="s">
        <v>570</v>
      </c>
      <c r="B176" s="5" t="s">
        <v>7</v>
      </c>
      <c r="C176" s="5">
        <v>50</v>
      </c>
      <c r="D176" s="139" t="s">
        <v>568</v>
      </c>
      <c r="E176" s="138" t="s">
        <v>569</v>
      </c>
      <c r="F176" s="5" t="s">
        <v>5</v>
      </c>
      <c r="G176" s="4"/>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50</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v>
      </c>
      <c r="Y176" s="4" t="str">
        <f>IF(LEN(Table2[[#This Row],[!Unique]])&gt;0,"rg:True","rg:None")</f>
        <v>rg:None</v>
      </c>
    </row>
    <row r="177" spans="1:25" x14ac:dyDescent="0.3">
      <c r="A177" s="142" t="s">
        <v>575</v>
      </c>
      <c r="B177" s="124" t="s">
        <v>4</v>
      </c>
      <c r="C177" s="72"/>
      <c r="D177" s="142" t="s">
        <v>575</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v>
      </c>
      <c r="Y177" s="4" t="str">
        <f>IF(LEN(Table2[[#This Row],[!Unique]])&gt;0,"rg:True","rg:None")</f>
        <v>rg:None</v>
      </c>
    </row>
    <row r="178" spans="1:25" x14ac:dyDescent="0.3">
      <c r="A178" s="142" t="s">
        <v>575</v>
      </c>
      <c r="B178" s="124" t="s">
        <v>6</v>
      </c>
      <c r="C178" s="72"/>
      <c r="D178" s="124" t="s">
        <v>6</v>
      </c>
      <c r="E178" s="47"/>
      <c r="F178" s="12"/>
      <c r="G178" s="126"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v>
      </c>
      <c r="Y178" s="4" t="str">
        <f>IF(LEN(Table2[[#This Row],[!Unique]])&gt;0,"rg:True","rg:None")</f>
        <v>rg:None</v>
      </c>
    </row>
    <row r="179" spans="1:25" x14ac:dyDescent="0.3">
      <c r="A179" s="142" t="s">
        <v>575</v>
      </c>
      <c r="B179" s="124" t="s">
        <v>8</v>
      </c>
      <c r="C179" s="72"/>
      <c r="D179" s="142" t="s">
        <v>576</v>
      </c>
      <c r="E179" s="129" t="s">
        <v>539</v>
      </c>
      <c r="F179" s="143" t="s">
        <v>570</v>
      </c>
      <c r="G179" s="18"/>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v>
      </c>
      <c r="Y179" s="4" t="str">
        <f>IF(LEN(Table2[[#This Row],[!Unique]])&gt;0,"rg:True","rg:None")</f>
        <v>rg:None</v>
      </c>
    </row>
    <row r="180" spans="1:25" x14ac:dyDescent="0.3">
      <c r="A180" s="142" t="s">
        <v>575</v>
      </c>
      <c r="B180" s="142" t="s">
        <v>8</v>
      </c>
      <c r="C180" s="72"/>
      <c r="D180" s="142" t="s">
        <v>173</v>
      </c>
      <c r="E180" s="47"/>
      <c r="F180" s="143" t="s">
        <v>151</v>
      </c>
      <c r="G180" s="18"/>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v>
      </c>
      <c r="Y180" s="4" t="str">
        <f>IF(LEN(Table2[[#This Row],[!Unique]])&gt;0,"rg:True","rg:None")</f>
        <v>rg:None</v>
      </c>
    </row>
    <row r="181" spans="1:25" ht="28.8" x14ac:dyDescent="0.3">
      <c r="A181" s="142" t="s">
        <v>575</v>
      </c>
      <c r="B181" s="124" t="s">
        <v>8</v>
      </c>
      <c r="C181" s="72"/>
      <c r="D181" s="124" t="s">
        <v>455</v>
      </c>
      <c r="E181" s="123" t="s">
        <v>534</v>
      </c>
      <c r="F181" s="125"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v>
      </c>
      <c r="Y181" s="4" t="str">
        <f>IF(LEN(Table2[[#This Row],[!Unique]])&gt;0,"rg:True","rg:None")</f>
        <v>rg:None</v>
      </c>
    </row>
    <row r="182" spans="1:25" x14ac:dyDescent="0.3">
      <c r="A182" s="142" t="s">
        <v>575</v>
      </c>
      <c r="B182" s="131" t="s">
        <v>108</v>
      </c>
      <c r="C182" s="72"/>
      <c r="D182" s="131" t="s">
        <v>551</v>
      </c>
      <c r="E182" s="132" t="s">
        <v>550</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v>
      </c>
      <c r="Y182" s="4" t="str">
        <f>IF(LEN(Table2[[#This Row],[!Unique]])&gt;0,"rg:True","rg:None")</f>
        <v>rg:None</v>
      </c>
    </row>
    <row r="183" spans="1:25" ht="28.8" x14ac:dyDescent="0.3">
      <c r="A183" s="142" t="s">
        <v>575</v>
      </c>
      <c r="B183" s="124" t="s">
        <v>8</v>
      </c>
      <c r="C183" s="72"/>
      <c r="D183" s="124" t="s">
        <v>532</v>
      </c>
      <c r="E183" s="123" t="s">
        <v>535</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v>
      </c>
      <c r="Y183" s="4" t="str">
        <f>IF(LEN(Table2[[#This Row],[!Unique]])&gt;0,"rg:True","rg:None")</f>
        <v>rg:None</v>
      </c>
    </row>
    <row r="184" spans="1:25" x14ac:dyDescent="0.3">
      <c r="A184" s="142" t="s">
        <v>575</v>
      </c>
      <c r="B184" s="131" t="s">
        <v>108</v>
      </c>
      <c r="C184" s="72"/>
      <c r="D184" s="131" t="s">
        <v>552</v>
      </c>
      <c r="E184" s="132" t="s">
        <v>550</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ht="28.8" x14ac:dyDescent="0.3">
      <c r="A185" s="142" t="s">
        <v>575</v>
      </c>
      <c r="B185" s="124" t="s">
        <v>8</v>
      </c>
      <c r="C185" s="72"/>
      <c r="D185" s="122" t="s">
        <v>533</v>
      </c>
      <c r="E185" s="123" t="s">
        <v>536</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v>
      </c>
      <c r="Y185" s="4" t="str">
        <f>IF(LEN(Table2[[#This Row],[!Unique]])&gt;0,"rg:True","rg:None")</f>
        <v>rg:None</v>
      </c>
    </row>
    <row r="186" spans="1:25" x14ac:dyDescent="0.3">
      <c r="A186" s="142" t="s">
        <v>575</v>
      </c>
      <c r="B186" s="131" t="s">
        <v>108</v>
      </c>
      <c r="C186" s="72"/>
      <c r="D186" s="131" t="s">
        <v>552</v>
      </c>
      <c r="E186" s="132" t="s">
        <v>550</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
      <c r="A187" s="82" t="s">
        <v>183</v>
      </c>
      <c r="B187" s="5" t="s">
        <v>4</v>
      </c>
      <c r="D187" s="82" t="s">
        <v>183</v>
      </c>
      <c r="E187" s="76" t="s">
        <v>365</v>
      </c>
      <c r="F187" s="5" t="s">
        <v>5</v>
      </c>
      <c r="G187" s="4"/>
      <c r="H187" s="4"/>
      <c r="I187" s="4" t="str">
        <f t="shared" ref="I187:I204"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'typeName'} ]</v>
      </c>
      <c r="Y187" s="4" t="str">
        <f>IF(LEN(Table2[[#This Row],[!Unique]])&gt;0,"rg:True","rg:None")</f>
        <v>rg:None</v>
      </c>
    </row>
    <row r="188" spans="1:25" x14ac:dyDescent="0.3">
      <c r="A188" s="82" t="s">
        <v>183</v>
      </c>
      <c r="B188" s="5" t="s">
        <v>6</v>
      </c>
      <c r="D188" s="5" t="s">
        <v>6</v>
      </c>
      <c r="E188" s="54" t="s">
        <v>298</v>
      </c>
      <c r="F188" s="5" t="s">
        <v>5</v>
      </c>
      <c r="G188" s="4"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'typeName'} ]</v>
      </c>
      <c r="Y188" s="4" t="str">
        <f>IF(LEN(Table2[[#This Row],[!Unique]])&gt;0,"rg:True","rg:None")</f>
        <v>rg:None</v>
      </c>
    </row>
    <row r="189" spans="1:25" x14ac:dyDescent="0.3">
      <c r="A189" s="82" t="s">
        <v>183</v>
      </c>
      <c r="B189" s="5" t="s">
        <v>8</v>
      </c>
      <c r="D189" s="82" t="s">
        <v>178</v>
      </c>
      <c r="F189" s="82" t="s">
        <v>180</v>
      </c>
      <c r="G189" s="4"/>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'typeName'} ]</v>
      </c>
      <c r="Y189" s="4" t="str">
        <f>IF(LEN(Table2[[#This Row],[!Unique]])&gt;0,"rg:True","rg:None")</f>
        <v>rg:None</v>
      </c>
    </row>
    <row r="190" spans="1:25" x14ac:dyDescent="0.3">
      <c r="A190" s="82" t="s">
        <v>183</v>
      </c>
      <c r="B190" s="120" t="s">
        <v>7</v>
      </c>
      <c r="C190" s="5">
        <v>100</v>
      </c>
      <c r="D190" s="140" t="s">
        <v>579</v>
      </c>
      <c r="E190" s="144" t="s">
        <v>578</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'typeName'} ]</v>
      </c>
      <c r="Y190" s="4" t="str">
        <f>IF(LEN(Table2[[#This Row],[!Unique]])&gt;0,"rg:True","rg:None")</f>
        <v>rg:None</v>
      </c>
    </row>
    <row r="191" spans="1:25" ht="28.8" x14ac:dyDescent="0.3">
      <c r="A191" s="82" t="s">
        <v>183</v>
      </c>
      <c r="B191" s="5" t="s">
        <v>7</v>
      </c>
      <c r="C191" s="5">
        <v>2048</v>
      </c>
      <c r="D191" s="82" t="s">
        <v>14</v>
      </c>
      <c r="E191" s="144" t="s">
        <v>580</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'typeName'} ]</v>
      </c>
      <c r="Y191" s="4" t="str">
        <f>IF(LEN(Table2[[#This Row],[!Unique]])&gt;0,"rg:True","rg:None")</f>
        <v>rg:None</v>
      </c>
    </row>
    <row r="192" spans="1:25" ht="86.4" x14ac:dyDescent="0.3">
      <c r="A192" s="5" t="s">
        <v>147</v>
      </c>
      <c r="B192" s="5" t="s">
        <v>4</v>
      </c>
      <c r="D192" s="5" t="s">
        <v>147</v>
      </c>
      <c r="E192" s="101" t="s">
        <v>300</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x14ac:dyDescent="0.3">
      <c r="A193" s="5" t="s">
        <v>147</v>
      </c>
      <c r="B193" s="5" t="s">
        <v>6</v>
      </c>
      <c r="D193" s="5" t="s">
        <v>6</v>
      </c>
      <c r="E193" s="54" t="s">
        <v>356</v>
      </c>
      <c r="F193" s="5" t="s">
        <v>5</v>
      </c>
      <c r="G193" s="4" t="s">
        <v>62</v>
      </c>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x14ac:dyDescent="0.3">
      <c r="A194" s="5" t="s">
        <v>147</v>
      </c>
      <c r="B194" s="5" t="s">
        <v>12</v>
      </c>
      <c r="D194" s="80" t="s">
        <v>30</v>
      </c>
      <c r="E194" s="76" t="s">
        <v>419</v>
      </c>
      <c r="F194" s="5" t="s">
        <v>5</v>
      </c>
      <c r="G194" s="4"/>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x14ac:dyDescent="0.3">
      <c r="A195" s="61" t="s">
        <v>147</v>
      </c>
      <c r="B195" s="61" t="s">
        <v>12</v>
      </c>
      <c r="C195" s="72"/>
      <c r="D195" s="61" t="s">
        <v>31</v>
      </c>
      <c r="E195" s="60" t="s">
        <v>420</v>
      </c>
      <c r="F195" s="12"/>
      <c r="G195" s="18"/>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x14ac:dyDescent="0.3">
      <c r="A196" s="5" t="s">
        <v>147</v>
      </c>
      <c r="B196" s="5" t="s">
        <v>8</v>
      </c>
      <c r="D196" s="82" t="s">
        <v>173</v>
      </c>
      <c r="E196" s="130" t="s">
        <v>538</v>
      </c>
      <c r="F196" s="82" t="s">
        <v>151</v>
      </c>
      <c r="G196" s="4"/>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v>
      </c>
      <c r="Y196" s="4" t="str">
        <f>IF(LEN(Table2[[#This Row],[!Unique]])&gt;0,"rg:True","rg:None")</f>
        <v>rg:None</v>
      </c>
    </row>
    <row r="197" spans="1:25" x14ac:dyDescent="0.3">
      <c r="A197" s="5" t="s">
        <v>147</v>
      </c>
      <c r="B197" s="5" t="s">
        <v>8</v>
      </c>
      <c r="D197" s="82" t="s">
        <v>178</v>
      </c>
      <c r="E197" s="130" t="s">
        <v>541</v>
      </c>
      <c r="F197" s="82" t="s">
        <v>180</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v>
      </c>
      <c r="Y197" s="4" t="str">
        <f>IF(LEN(Table2[[#This Row],[!Unique]])&gt;0,"rg:True","rg:None")</f>
        <v>rg:None</v>
      </c>
    </row>
    <row r="198" spans="1:25" ht="28.8" x14ac:dyDescent="0.3">
      <c r="A198" s="5" t="s">
        <v>147</v>
      </c>
      <c r="B198" s="5" t="s">
        <v>108</v>
      </c>
      <c r="D198" s="82" t="s">
        <v>189</v>
      </c>
      <c r="E198" s="101" t="s">
        <v>302</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v>
      </c>
      <c r="Y198" s="4" t="str">
        <f>IF(LEN(Table2[[#This Row],[!Unique]])&gt;0,"rg:True","rg:None")</f>
        <v>rg:None</v>
      </c>
    </row>
    <row r="199" spans="1:25" x14ac:dyDescent="0.3">
      <c r="A199" s="5" t="s">
        <v>147</v>
      </c>
      <c r="B199" s="5" t="s">
        <v>8</v>
      </c>
      <c r="D199" s="82" t="s">
        <v>148</v>
      </c>
      <c r="E199" s="130" t="s">
        <v>545</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v>
      </c>
      <c r="Y199" s="4" t="str">
        <f>IF(LEN(Table2[[#This Row],[!Unique]])&gt;0,"rg:True","rg:None")</f>
        <v>rg:None</v>
      </c>
    </row>
    <row r="200" spans="1:25" ht="28.8" x14ac:dyDescent="0.3">
      <c r="A200" s="5" t="s">
        <v>147</v>
      </c>
      <c r="B200" s="5" t="s">
        <v>7</v>
      </c>
      <c r="C200" s="5">
        <v>150</v>
      </c>
      <c r="D200" s="80" t="s">
        <v>400</v>
      </c>
      <c r="E200" s="76" t="s">
        <v>401</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v>
      </c>
      <c r="Y200" s="4" t="str">
        <f>IF(LEN(Table2[[#This Row],[!Unique]])&gt;0,"rg:True","rg:None")</f>
        <v>rg:None</v>
      </c>
    </row>
    <row r="201" spans="1:25" ht="57.6" x14ac:dyDescent="0.3">
      <c r="A201" s="5" t="s">
        <v>147</v>
      </c>
      <c r="B201" s="5" t="s">
        <v>108</v>
      </c>
      <c r="D201" s="5" t="s">
        <v>138</v>
      </c>
      <c r="E201" s="101" t="s">
        <v>301</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v>
      </c>
      <c r="Y201" s="4" t="str">
        <f>IF(LEN(Table2[[#This Row],[!Unique]])&gt;0,"rg:True","rg:None")</f>
        <v>rg:None</v>
      </c>
    </row>
    <row r="202" spans="1:25" x14ac:dyDescent="0.3">
      <c r="A202" s="5" t="s">
        <v>147</v>
      </c>
      <c r="B202" s="5" t="s">
        <v>108</v>
      </c>
      <c r="D202" s="95" t="s">
        <v>246</v>
      </c>
      <c r="E202" s="96" t="s">
        <v>247</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v>
      </c>
      <c r="Y202" s="4" t="str">
        <f>IF(LEN(Table2[[#This Row],[!Unique]])&gt;0,"rg:True","rg:None")</f>
        <v>rg:None</v>
      </c>
    </row>
    <row r="203" spans="1:25" ht="28.8" x14ac:dyDescent="0.3">
      <c r="A203" s="5" t="s">
        <v>147</v>
      </c>
      <c r="B203" s="5" t="s">
        <v>108</v>
      </c>
      <c r="D203" s="95" t="s">
        <v>248</v>
      </c>
      <c r="E203" s="96" t="s">
        <v>249</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v>
      </c>
      <c r="Y203" s="4" t="str">
        <f>IF(LEN(Table2[[#This Row],[!Unique]])&gt;0,"rg:True","rg:None")</f>
        <v>rg:None</v>
      </c>
    </row>
    <row r="204" spans="1:25" ht="28.8" x14ac:dyDescent="0.3">
      <c r="A204" s="5" t="s">
        <v>147</v>
      </c>
      <c r="B204" s="5" t="s">
        <v>108</v>
      </c>
      <c r="D204" s="95" t="s">
        <v>251</v>
      </c>
      <c r="E204" s="96" t="s">
        <v>250</v>
      </c>
      <c r="F204" s="5" t="s">
        <v>5</v>
      </c>
      <c r="G204" s="4"/>
      <c r="H204" s="4"/>
      <c r="I204" s="4" t="str">
        <f t="shared" si="21"/>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v>
      </c>
      <c r="Y204" s="4" t="str">
        <f>IF(LEN(Table2[[#This Row],[!Unique]])&gt;0,"rg:True","rg:None")</f>
        <v>rg:None</v>
      </c>
    </row>
    <row r="205" spans="1:25" x14ac:dyDescent="0.3">
      <c r="A205" s="5" t="s">
        <v>145</v>
      </c>
      <c r="B205" s="5" t="s">
        <v>4</v>
      </c>
      <c r="D205" s="5" t="s">
        <v>145</v>
      </c>
      <c r="E205" s="76" t="s">
        <v>366</v>
      </c>
      <c r="F205" s="5" t="s">
        <v>5</v>
      </c>
      <c r="G205" s="4"/>
      <c r="H205" s="4"/>
      <c r="I205" s="4" t="str">
        <f t="shared" ref="I205:I220" si="22">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Owner</v>
      </c>
      <c r="V205" s="4" t="str">
        <f>IF(LEN(Table2[[#This Row],[!Description]]) &gt; 0, Table2[[#This Row],[!Description]], "rg:None")</f>
        <v>The person or company to which a piece of construction equipment belongs.</v>
      </c>
      <c r="W205" s="4" t="str">
        <f>IF(LEN(Table2[[#This Row],[!FK]])&gt;0,Table2[[#This Row],[!FK]],"rg:None")</f>
        <v>rg:None</v>
      </c>
      <c r="X205" s="14" t="str">
        <f>IF(LEN(concatif2(A:A,Table2[[#This Row],[!Table]],G:G,"Y",D:D,",")) &gt; 0,"rg:[ { 'req' : '"&amp;concatif2(A:A,Table2[[#This Row],[!Table]],G:G,"Y",D:D,"' }, { 'req': '")&amp;"'} ]","rg:[]")</f>
        <v>rg:[ { 'req' : 'id' }, { 'req': 'ownerEquipmentCodePrefix'} ]</v>
      </c>
      <c r="Y205" s="4" t="str">
        <f>IF(LEN(Table2[[#This Row],[!Unique]])&gt;0,"rg:True","rg:None")</f>
        <v>rg:None</v>
      </c>
    </row>
    <row r="206" spans="1:25" x14ac:dyDescent="0.3">
      <c r="A206" s="5" t="s">
        <v>145</v>
      </c>
      <c r="B206" s="5" t="s">
        <v>6</v>
      </c>
      <c r="D206" s="5" t="s">
        <v>6</v>
      </c>
      <c r="E206" s="54" t="s">
        <v>357</v>
      </c>
      <c r="F206" s="5" t="s">
        <v>5</v>
      </c>
      <c r="G206" s="4" t="s">
        <v>62</v>
      </c>
      <c r="H206" s="63" t="s">
        <v>62</v>
      </c>
      <c r="I206" s="4" t="str">
        <f t="shared" si="22"/>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Owner</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rg:True</v>
      </c>
    </row>
    <row r="207" spans="1:25" ht="43.2" x14ac:dyDescent="0.3">
      <c r="A207" s="5" t="s">
        <v>145</v>
      </c>
      <c r="B207" s="5" t="s">
        <v>7</v>
      </c>
      <c r="C207" s="5">
        <v>20</v>
      </c>
      <c r="D207" s="92" t="s">
        <v>423</v>
      </c>
      <c r="E207" s="100" t="s">
        <v>303</v>
      </c>
      <c r="F207" s="5" t="s">
        <v>5</v>
      </c>
      <c r="G207" s="63" t="s">
        <v>62</v>
      </c>
      <c r="H207" s="63" t="s">
        <v>62</v>
      </c>
      <c r="I207" s="4" t="str">
        <f t="shared" si="22"/>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20</v>
      </c>
      <c r="U207" s="4" t="str">
        <f>IF(LEN(Table2[[#This Row],[!Name]]) &gt; 0, Table2[[#This Row],[!Name]], "rg:None")</f>
        <v>ownerEquipmentCodePrefix</v>
      </c>
      <c r="V207"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rg:True</v>
      </c>
    </row>
    <row r="208" spans="1:25" ht="28.8" x14ac:dyDescent="0.3">
      <c r="A208" s="61" t="s">
        <v>145</v>
      </c>
      <c r="B208" s="61" t="s">
        <v>7</v>
      </c>
      <c r="C208" s="72">
        <v>150</v>
      </c>
      <c r="D208" s="61" t="s">
        <v>398</v>
      </c>
      <c r="E208" s="60" t="s">
        <v>399</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150</v>
      </c>
      <c r="U208" s="4" t="str">
        <f>IF(LEN(Table2[[#This Row],[!Name]]) &gt; 0, Table2[[#This Row],[!Name]], "rg:None")</f>
        <v>organizationName</v>
      </c>
      <c r="V208" s="4" t="str">
        <f>IF(LEN(Table2[[#This Row],[!Description]]) &gt; 0, Table2[[#This Row],[!Description]], "rg:None")</f>
        <v>The name of the organization of the Owner. May simply be the First Name, Last Name of the Owner if the Owner is a sole proprietorship, or the name of a company.</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ht="28.8" x14ac:dyDescent="0.3">
      <c r="A209" s="69" t="s">
        <v>145</v>
      </c>
      <c r="B209" s="69" t="s">
        <v>7</v>
      </c>
      <c r="C209" s="72">
        <v>150</v>
      </c>
      <c r="D209" s="71" t="s">
        <v>435</v>
      </c>
      <c r="E209" s="70" t="s">
        <v>436</v>
      </c>
      <c r="F209" s="12"/>
      <c r="G209" s="18"/>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doingBusinessAs</v>
      </c>
      <c r="V209" s="4" t="str">
        <f>IF(LEN(Table2[[#This Row],[!Description]]) &gt; 0, Table2[[#This Row],[!Description]], "rg:None")</f>
        <v xml:space="preserve">An official (per BC Registries) alternate name for an Owner organization under which it does business. The application does not verify the name against any registry/lookup. </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28.8" x14ac:dyDescent="0.3">
      <c r="A210" s="69" t="s">
        <v>145</v>
      </c>
      <c r="B210" s="69" t="s">
        <v>7</v>
      </c>
      <c r="C210" s="72">
        <v>150</v>
      </c>
      <c r="D210" s="71" t="s">
        <v>444</v>
      </c>
      <c r="E210" s="70" t="s">
        <v>437</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registeredCompanyNumber</v>
      </c>
      <c r="V210" s="4" t="str">
        <f>IF(LEN(Table2[[#This Row],[!Description]]) &gt; 0, Table2[[#This Row],[!Description]], "rg:None")</f>
        <v>The BC Registries number under which the business is registered.  The application does not verify the number against any registry/lookup.</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43.2" x14ac:dyDescent="0.3">
      <c r="A211" s="69" t="s">
        <v>145</v>
      </c>
      <c r="B211" s="69" t="s">
        <v>9</v>
      </c>
      <c r="C211" s="72"/>
      <c r="D211" s="71" t="s">
        <v>443</v>
      </c>
      <c r="E211" s="70" t="s">
        <v>438</v>
      </c>
      <c r="F211" s="12"/>
      <c r="G211" s="18"/>
      <c r="H211" s="18"/>
      <c r="I211" s="4" t="str">
        <f>IF(LEN(A211) &gt; 0,"Defs","-")</f>
        <v>Defs</v>
      </c>
      <c r="J211" s="4" t="str">
        <f>IF(Table2[[#This Row],[!Type]]=J$1, J$1,"rg:None")</f>
        <v>boolean</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meetsResidency</v>
      </c>
      <c r="V211"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x14ac:dyDescent="0.3">
      <c r="A212" s="5" t="s">
        <v>145</v>
      </c>
      <c r="B212" s="23" t="s">
        <v>8</v>
      </c>
      <c r="C212" s="72"/>
      <c r="D212" s="23" t="s">
        <v>192</v>
      </c>
      <c r="E212" s="103" t="s">
        <v>193</v>
      </c>
      <c r="F212" s="77" t="s">
        <v>172</v>
      </c>
      <c r="G212" s="18"/>
      <c r="H212" s="18"/>
      <c r="I212" s="4" t="str">
        <f t="shared" si="22"/>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ref</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primaryContact</v>
      </c>
      <c r="V212" s="4" t="str">
        <f>IF(LEN(Table2[[#This Row],[!Description]]) &gt; 0, Table2[[#This Row],[!Description]], "rg:None")</f>
        <v>Link to the designated Primary Contact.</v>
      </c>
      <c r="W212" s="4" t="str">
        <f>IF(LEN(Table2[[#This Row],[!FK]])&gt;0,Table2[[#This Row],[!FK]],"rg:None")</f>
        <v>Contact</v>
      </c>
      <c r="X212" s="14" t="str">
        <f>IF(LEN(concatif2(A:A,Table2[[#This Row],[!Table]],G:G,"Y",D:D,",")) &gt; 0,"rg:[ { 'req' : '"&amp;concatif2(A:A,Table2[[#This Row],[!Table]],G:G,"Y",D:D,"' }, { 'req': '")&amp;"'} ]","rg:[]")</f>
        <v>rg:[ { 'req' : 'id' }, { 'req': 'ownerEquipmentCodePrefix'} ]</v>
      </c>
      <c r="Y212" s="4" t="str">
        <f>IF(LEN(Table2[[#This Row],[!Unique]])&gt;0,"rg:True","rg:None")</f>
        <v>rg:None</v>
      </c>
    </row>
    <row r="213" spans="1:25" x14ac:dyDescent="0.3">
      <c r="A213" s="5" t="s">
        <v>145</v>
      </c>
      <c r="B213" s="102" t="s">
        <v>8</v>
      </c>
      <c r="D213" s="102" t="s">
        <v>173</v>
      </c>
      <c r="F213" s="102" t="s">
        <v>151</v>
      </c>
      <c r="G213" s="4"/>
      <c r="H213" s="4"/>
      <c r="I213" s="4" t="str">
        <f t="shared" si="22"/>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localArea</v>
      </c>
      <c r="V213" s="4" t="str">
        <f>IF(LEN(Table2[[#This Row],[!Description]]) &gt; 0, Table2[[#This Row],[!Description]], "rg:None")</f>
        <v>rg:None</v>
      </c>
      <c r="W213" s="4" t="str">
        <f>IF(LEN(Table2[[#This Row],[!FK]])&gt;0,Table2[[#This Row],[!FK]],"rg:None")</f>
        <v>LocalArea</v>
      </c>
      <c r="X213" s="14" t="str">
        <f>IF(LEN(concatif2(A:A,Table2[[#This Row],[!Table]],G:G,"Y",D:D,",")) &gt; 0,"rg:[ { 'req' : '"&amp;concatif2(A:A,Table2[[#This Row],[!Table]],G:G,"Y",D:D,"' }, { 'req': '")&amp;"'} ]","rg:[]")</f>
        <v>rg:[ { 'req' : 'id' }, { 'req': 'ownerEquipmentCodePrefix'} ]</v>
      </c>
      <c r="Y213" s="4" t="str">
        <f>IF(LEN(Table2[[#This Row],[!Unique]])&gt;0,"rg:True","rg:None")</f>
        <v>rg:None</v>
      </c>
    </row>
    <row r="214" spans="1:25" ht="28.8" x14ac:dyDescent="0.3">
      <c r="A214" s="5" t="s">
        <v>145</v>
      </c>
      <c r="B214" s="102" t="s">
        <v>9</v>
      </c>
      <c r="D214" s="102" t="s">
        <v>304</v>
      </c>
      <c r="E214" s="101" t="s">
        <v>305</v>
      </c>
      <c r="F214" s="5" t="s">
        <v>5</v>
      </c>
      <c r="G214" s="4"/>
      <c r="H214" s="4"/>
      <c r="I214" s="4" t="str">
        <f t="shared" si="22"/>
        <v>Defs</v>
      </c>
      <c r="J214" s="4" t="str">
        <f>IF(Table2[[#This Row],[!Type]]=J$1, J$1,"rg:None")</f>
        <v>boolean</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isMaintenanceContractor</v>
      </c>
      <c r="V214" s="4" t="str">
        <f>IF(LEN(Table2[[#This Row],[!Description]]) &gt; 0, Table2[[#This Row],[!Description]], "rg:None")</f>
        <v>True if the owner is contracted by MOTI to handle Maintenance activities in the area - e.g. provided services in address unscheduled issues on the roads in the area.</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111" t="s">
        <v>145</v>
      </c>
      <c r="B215" s="111" t="s">
        <v>7</v>
      </c>
      <c r="C215" s="72">
        <v>50</v>
      </c>
      <c r="D215" s="111" t="s">
        <v>503</v>
      </c>
      <c r="E215" s="112" t="s">
        <v>501</v>
      </c>
      <c r="F215" s="12"/>
      <c r="G215" s="18"/>
      <c r="H215" s="18"/>
      <c r="I215" s="4" t="str">
        <f>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50</v>
      </c>
      <c r="U215" s="4" t="str">
        <f>IF(LEN(Table2[[#This Row],[!Name]]) &gt; 0, Table2[[#This Row],[!Name]], "rg:None")</f>
        <v>workSafeBCPolicyNumber</v>
      </c>
      <c r="V215" s="4" t="str">
        <f>IF(LEN(Table2[[#This Row],[!Description]]) &gt; 0, Table2[[#This Row],[!Description]], "rg:None")</f>
        <v>The Owner's WorkSafeBC (aka WCB) Insurance Policy Number.</v>
      </c>
      <c r="W215" s="4" t="str">
        <f>IF(LEN(Table2[[#This Row],[!FK]])&gt;0,Table2[[#This Row],[!FK]],"rg:None")</f>
        <v>rg:None</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
      <c r="A216" s="5" t="s">
        <v>145</v>
      </c>
      <c r="B216" s="82" t="s">
        <v>12</v>
      </c>
      <c r="D216" s="116" t="s">
        <v>504</v>
      </c>
      <c r="E216" s="113" t="s">
        <v>502</v>
      </c>
      <c r="F216" s="5" t="s">
        <v>5</v>
      </c>
      <c r="G216" s="4"/>
      <c r="H216" s="4"/>
      <c r="I216" s="4" t="str">
        <f t="shared" si="22"/>
        <v>Defs</v>
      </c>
      <c r="J216" s="4" t="str">
        <f>IF(Table2[[#This Row],[!Type]]=J$1, J$1,"rg:None")</f>
        <v>rg:None</v>
      </c>
      <c r="K216" s="4" t="str">
        <f>IF(Table2[[#This Row],[!Type]]=K$1, K$1,"rg:None")</f>
        <v>rg:None</v>
      </c>
      <c r="L216" s="4" t="str">
        <f>IF(Table2[[#This Row],[!Type]]=L$1, L$1,"rg:None")</f>
        <v>datetime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workSafeBCExpiryDate</v>
      </c>
      <c r="V216" s="4" t="str">
        <f>IF(LEN(Table2[[#This Row],[!Description]]) &gt; 0, Table2[[#This Row],[!Description]], "rg:None")</f>
        <v>The expiration of the owner's current WorkSafeBC (aka WCB) permit.</v>
      </c>
      <c r="W216" s="4" t="str">
        <f>IF(LEN(Table2[[#This Row],[!FK]])&gt;0,Table2[[#This Row],[!FK]],"rg:None")</f>
        <v>rg:None</v>
      </c>
      <c r="X216" s="14" t="str">
        <f>IF(LEN(concatif2(A:A,Table2[[#This Row],[!Table]],G:G,"Y",D:D,",")) &gt; 0,"rg:[ { 'req' : '"&amp;concatif2(A:A,Table2[[#This Row],[!Table]],G:G,"Y",D:D,"' }, { 'req': '")&amp;"'} ]","rg:[]")</f>
        <v>rg:[ { 'req' : 'id' }, { 'req': 'ownerEquipmentCodePrefix'} ]</v>
      </c>
      <c r="Y216" s="4" t="str">
        <f>IF(LEN(Table2[[#This Row],[!Unique]])&gt;0,"rg:True","rg:None")</f>
        <v>rg:None</v>
      </c>
    </row>
    <row r="217" spans="1:25" ht="57.6" x14ac:dyDescent="0.3">
      <c r="A217" s="5" t="s">
        <v>145</v>
      </c>
      <c r="B217" s="82" t="s">
        <v>12</v>
      </c>
      <c r="D217" s="82" t="s">
        <v>174</v>
      </c>
      <c r="E217" s="101" t="s">
        <v>306</v>
      </c>
      <c r="F217" s="5" t="s">
        <v>5</v>
      </c>
      <c r="G217" s="4"/>
      <c r="H217" s="4"/>
      <c r="I217" s="4" t="str">
        <f t="shared" si="22"/>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CGLEndDate</v>
      </c>
      <c r="V21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7" s="4" t="str">
        <f>IF(LEN(Table2[[#This Row],[!FK]])&gt;0,Table2[[#This Row],[!FK]],"rg:None")</f>
        <v>rg:None</v>
      </c>
      <c r="X217" s="14" t="str">
        <f>IF(LEN(concatif2(A:A,Table2[[#This Row],[!Table]],G:G,"Y",D:D,",")) &gt; 0,"rg:[ { 'req' : '"&amp;concatif2(A:A,Table2[[#This Row],[!Table]],G:G,"Y",D:D,"' }, { 'req': '")&amp;"'} ]","rg:[]")</f>
        <v>rg:[ { 'req' : 'id' }, { 'req': 'ownerEquipmentCodePrefix'} ]</v>
      </c>
      <c r="Y217" s="4" t="str">
        <f>IF(LEN(Table2[[#This Row],[!Unique]])&gt;0,"rg:True","rg:None")</f>
        <v>rg:None</v>
      </c>
    </row>
    <row r="218" spans="1:25" ht="57.6" x14ac:dyDescent="0.3">
      <c r="A218" s="5" t="s">
        <v>145</v>
      </c>
      <c r="B218" s="5" t="s">
        <v>7</v>
      </c>
      <c r="C218" s="5">
        <v>50</v>
      </c>
      <c r="D218" s="102" t="s">
        <v>231</v>
      </c>
      <c r="E218" s="101" t="s">
        <v>307</v>
      </c>
      <c r="F218" s="5" t="s">
        <v>5</v>
      </c>
      <c r="G218" s="4"/>
      <c r="H218" s="4"/>
      <c r="I218" s="4" t="str">
        <f t="shared" si="22"/>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50</v>
      </c>
      <c r="U218" s="4" t="str">
        <f>IF(LEN(Table2[[#This Row],[!Name]]) &gt; 0, Table2[[#This Row],[!Name]], "rg:None")</f>
        <v>status</v>
      </c>
      <c r="V21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8" s="4" t="str">
        <f>IF(LEN(Table2[[#This Row],[!FK]])&gt;0,Table2[[#This Row],[!FK]],"rg:None")</f>
        <v>rg:None</v>
      </c>
      <c r="X218" s="14" t="str">
        <f>IF(LEN(concatif2(A:A,Table2[[#This Row],[!Table]],G:G,"Y",D:D,",")) &gt; 0,"rg:[ { 'req' : '"&amp;concatif2(A:A,Table2[[#This Row],[!Table]],G:G,"Y",D:D,"' }, { 'req': '")&amp;"'} ]","rg:[]")</f>
        <v>rg:[ { 'req' : 'id' }, { 'req': 'ownerEquipmentCodePrefix'} ]</v>
      </c>
      <c r="Y218" s="4" t="str">
        <f>IF(LEN(Table2[[#This Row],[!Unique]])&gt;0,"rg:True","rg:None")</f>
        <v>rg:None</v>
      </c>
    </row>
    <row r="219" spans="1:25" ht="28.8" x14ac:dyDescent="0.3">
      <c r="A219" s="5" t="s">
        <v>145</v>
      </c>
      <c r="B219" s="5" t="s">
        <v>7</v>
      </c>
      <c r="C219" s="5">
        <v>50</v>
      </c>
      <c r="D219" s="102" t="s">
        <v>252</v>
      </c>
      <c r="E219" s="79" t="s">
        <v>428</v>
      </c>
      <c r="F219" s="5" t="s">
        <v>5</v>
      </c>
      <c r="G219" s="4"/>
      <c r="H219" s="4"/>
      <c r="I219" s="4" t="str">
        <f t="shared" si="22"/>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archiveCode</v>
      </c>
      <c r="V219" s="4" t="str">
        <f>IF(LEN(Table2[[#This Row],[!Description]]) &gt; 0, Table2[[#This Row],[!Description]], "rg:None")</f>
        <v>TO BE REVIEWED WITH THE BUSINESS - IS THIS NEEDED -A coded reason for why an owner record has been moved to Archived.</v>
      </c>
      <c r="W219" s="4" t="str">
        <f>IF(LEN(Table2[[#This Row],[!FK]])&gt;0,Table2[[#This Row],[!FK]],"rg:None")</f>
        <v>rg:None</v>
      </c>
      <c r="X219" s="14" t="str">
        <f>IF(LEN(concatif2(A:A,Table2[[#This Row],[!Table]],G:G,"Y",D:D,",")) &gt; 0,"rg:[ { 'req' : '"&amp;concatif2(A:A,Table2[[#This Row],[!Table]],G:G,"Y",D:D,"' }, { 'req': '")&amp;"'} ]","rg:[]")</f>
        <v>rg:[ { 'req' : 'id' }, { 'req': 'ownerEquipmentCodePrefix'} ]</v>
      </c>
      <c r="Y219" s="4" t="str">
        <f>IF(LEN(Table2[[#This Row],[!Unique]])&gt;0,"rg:True","rg:None")</f>
        <v>rg:None</v>
      </c>
    </row>
    <row r="220" spans="1:25" x14ac:dyDescent="0.3">
      <c r="A220" s="5" t="s">
        <v>145</v>
      </c>
      <c r="B220" s="5" t="s">
        <v>7</v>
      </c>
      <c r="C220" s="5">
        <v>2048</v>
      </c>
      <c r="D220" s="5" t="s">
        <v>140</v>
      </c>
      <c r="E220" s="101" t="s">
        <v>308</v>
      </c>
      <c r="F220" s="5" t="s">
        <v>5</v>
      </c>
      <c r="G220" s="4"/>
      <c r="H220" s="4"/>
      <c r="I220" s="4" t="str">
        <f t="shared" si="22"/>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2048</v>
      </c>
      <c r="U220" s="4" t="str">
        <f>IF(LEN(Table2[[#This Row],[!Name]]) &gt; 0, Table2[[#This Row],[!Name]], "rg:None")</f>
        <v>archiveReason</v>
      </c>
      <c r="V220" s="4" t="str">
        <f>IF(LEN(Table2[[#This Row],[!Description]]) &gt; 0, Table2[[#This Row],[!Description]], "rg:None")</f>
        <v>A text note about why the owner record has been changed to Archived.</v>
      </c>
      <c r="W220" s="4" t="str">
        <f>IF(LEN(Table2[[#This Row],[!FK]])&gt;0,Table2[[#This Row],[!FK]],"rg:None")</f>
        <v>rg:None</v>
      </c>
      <c r="X220" s="14" t="str">
        <f>IF(LEN(concatif2(A:A,Table2[[#This Row],[!Table]],G:G,"Y",D:D,",")) &gt; 0,"rg:[ { 'req' : '"&amp;concatif2(A:A,Table2[[#This Row],[!Table]],G:G,"Y",D:D,"' }, { 'req': '")&amp;"'} ]","rg:[]")</f>
        <v>rg:[ { 'req' : 'id' }, { 'req': 'ownerEquipmentCodePrefix'} ]</v>
      </c>
      <c r="Y220" s="4" t="str">
        <f>IF(LEN(Table2[[#This Row],[!Unique]])&gt;0,"rg:True","rg:None")</f>
        <v>rg:None</v>
      </c>
    </row>
    <row r="221" spans="1:25" ht="28.8" x14ac:dyDescent="0.3">
      <c r="A221" s="64" t="s">
        <v>145</v>
      </c>
      <c r="B221" s="64" t="s">
        <v>12</v>
      </c>
      <c r="C221" s="72"/>
      <c r="D221" s="64" t="s">
        <v>187</v>
      </c>
      <c r="E221" s="65" t="s">
        <v>424</v>
      </c>
      <c r="F221" s="12"/>
      <c r="G221" s="18"/>
      <c r="H221" s="18"/>
      <c r="I221" s="4" t="str">
        <f>IF(LEN(A221) &gt; 0,"Defs","-")</f>
        <v>Defs</v>
      </c>
      <c r="J221" s="4" t="str">
        <f>IF(Table2[[#This Row],[!Type]]=J$1, J$1,"rg:None")</f>
        <v>rg:None</v>
      </c>
      <c r="K221" s="4" t="str">
        <f>IF(Table2[[#This Row],[!Type]]=K$1, K$1,"rg:None")</f>
        <v>rg:None</v>
      </c>
      <c r="L221" s="4" t="str">
        <f>IF(Table2[[#This Row],[!Type]]=L$1, L$1,"rg:None")</f>
        <v>datetime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archiveDate</v>
      </c>
      <c r="V221" s="4" t="str">
        <f>IF(LEN(Table2[[#This Row],[!Description]]) &gt; 0, Table2[[#This Row],[!Description]], "rg:None")</f>
        <v>The date the Owner record was changed to Archived and removed from active use in the system.</v>
      </c>
      <c r="W221" s="4" t="str">
        <f>IF(LEN(Table2[[#This Row],[!FK]])&gt;0,Table2[[#This Row],[!FK]],"rg:None")</f>
        <v>rg:None</v>
      </c>
      <c r="X221" s="14" t="str">
        <f>IF(LEN(concatif2(A:A,Table2[[#This Row],[!Table]],G:G,"Y",D:D,",")) &gt; 0,"rg:[ { 'req' : '"&amp;concatif2(A:A,Table2[[#This Row],[!Table]],G:G,"Y",D:D,"' }, { 'req': '")&amp;"'} ]","rg:[]")</f>
        <v>rg:[ { 'req' : 'id' }, { 'req': 'ownerEquipmentCodePrefix'} ]</v>
      </c>
      <c r="Y221" s="4" t="str">
        <f>IF(LEN(Table2[[#This Row],[!Unique]])&gt;0,"rg:True","rg:None")</f>
        <v>rg:None</v>
      </c>
    </row>
    <row r="222" spans="1:25" x14ac:dyDescent="0.3">
      <c r="A222" s="21" t="s">
        <v>145</v>
      </c>
      <c r="B222" s="21" t="s">
        <v>19</v>
      </c>
      <c r="C222" s="72"/>
      <c r="D222" s="21" t="s">
        <v>176</v>
      </c>
      <c r="E222" s="47"/>
      <c r="F222" s="82" t="s">
        <v>172</v>
      </c>
      <c r="G222" s="18"/>
      <c r="H222" s="18"/>
      <c r="I222" s="4" t="str">
        <f t="shared" ref="I222:I226" si="23">IF(LEN(A222) &gt; 0,"Defs","-")</f>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links</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contacts</v>
      </c>
      <c r="V222" s="4" t="str">
        <f>IF(LEN(Table2[[#This Row],[!Description]]) &gt; 0, Table2[[#This Row],[!Description]], "rg:None")</f>
        <v>rg:None</v>
      </c>
      <c r="W222" s="4" t="str">
        <f>IF(LEN(Table2[[#This Row],[!FK]])&gt;0,Table2[[#This Row],[!FK]],"rg:None")</f>
        <v>Contact</v>
      </c>
      <c r="X222" s="14" t="str">
        <f>IF(LEN(concatif2(A:A,Table2[[#This Row],[!Table]],G:G,"Y",D:D,",")) &gt; 0,"rg:[ { 'req' : '"&amp;concatif2(A:A,Table2[[#This Row],[!Table]],G:G,"Y",D:D,"' }, { 'req': '")&amp;"'} ]","rg:[]")</f>
        <v>rg:[ { 'req' : 'id' }, { 'req': 'ownerEquipmentCodePrefix'} ]</v>
      </c>
      <c r="Y222" s="4" t="str">
        <f>IF(LEN(Table2[[#This Row],[!Unique]])&gt;0,"rg:True","rg:None")</f>
        <v>rg:None</v>
      </c>
    </row>
    <row r="223" spans="1:25" x14ac:dyDescent="0.3">
      <c r="A223" s="21" t="s">
        <v>145</v>
      </c>
      <c r="B223" s="21" t="s">
        <v>19</v>
      </c>
      <c r="C223" s="72"/>
      <c r="D223" s="21" t="s">
        <v>164</v>
      </c>
      <c r="E223" s="47"/>
      <c r="F223" s="22" t="s">
        <v>146</v>
      </c>
      <c r="G223" s="18"/>
      <c r="H223" s="18"/>
      <c r="I223" s="4" t="str">
        <f t="shared" si="23"/>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notes</v>
      </c>
      <c r="V223" s="4" t="str">
        <f>IF(LEN(Table2[[#This Row],[!Description]]) &gt; 0, Table2[[#This Row],[!Description]], "rg:None")</f>
        <v>rg:None</v>
      </c>
      <c r="W223" s="4" t="str">
        <f>IF(LEN(Table2[[#This Row],[!FK]])&gt;0,Table2[[#This Row],[!FK]],"rg:None")</f>
        <v>Note</v>
      </c>
      <c r="X223" s="14" t="str">
        <f>IF(LEN(concatif2(A:A,Table2[[#This Row],[!Table]],G:G,"Y",D:D,",")) &gt; 0,"rg:[ { 'req' : '"&amp;concatif2(A:A,Table2[[#This Row],[!Table]],G:G,"Y",D:D,"' }, { 'req': '")&amp;"'} ]","rg:[]")</f>
        <v>rg:[ { 'req' : 'id' }, { 'req': 'ownerEquipmentCodePrefix'} ]</v>
      </c>
      <c r="Y223" s="4" t="str">
        <f>IF(LEN(Table2[[#This Row],[!Unique]])&gt;0,"rg:True","rg:None")</f>
        <v>rg:None</v>
      </c>
    </row>
    <row r="224" spans="1:25" x14ac:dyDescent="0.3">
      <c r="A224" s="21" t="s">
        <v>145</v>
      </c>
      <c r="B224" s="21" t="s">
        <v>19</v>
      </c>
      <c r="C224" s="72"/>
      <c r="D224" s="21" t="s">
        <v>175</v>
      </c>
      <c r="E224" s="47"/>
      <c r="F224" s="81" t="s">
        <v>158</v>
      </c>
      <c r="G224" s="18"/>
      <c r="H224" s="18"/>
      <c r="I224" s="4" t="str">
        <f t="shared" si="23"/>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attachments</v>
      </c>
      <c r="V224" s="4" t="str">
        <f>IF(LEN(Table2[[#This Row],[!Description]]) &gt; 0, Table2[[#This Row],[!Description]], "rg:None")</f>
        <v>rg:None</v>
      </c>
      <c r="W224" s="4" t="str">
        <f>IF(LEN(Table2[[#This Row],[!FK]])&gt;0,Table2[[#This Row],[!FK]],"rg:None")</f>
        <v>Attachment</v>
      </c>
      <c r="X224" s="14" t="str">
        <f>IF(LEN(concatif2(A:A,Table2[[#This Row],[!Table]],G:G,"Y",D:D,",")) &gt; 0,"rg:[ { 'req' : '"&amp;concatif2(A:A,Table2[[#This Row],[!Table]],G:G,"Y",D:D,"' }, { 'req': '")&amp;"'} ]","rg:[]")</f>
        <v>rg:[ { 'req' : 'id' }, { 'req': 'ownerEquipmentCodePrefix'} ]</v>
      </c>
      <c r="Y224" s="4" t="str">
        <f>IF(LEN(Table2[[#This Row],[!Unique]])&gt;0,"rg:True","rg:None")</f>
        <v>rg:None</v>
      </c>
    </row>
    <row r="225" spans="1:25" x14ac:dyDescent="0.3">
      <c r="A225" s="21" t="s">
        <v>145</v>
      </c>
      <c r="B225" s="21" t="s">
        <v>19</v>
      </c>
      <c r="C225" s="72"/>
      <c r="D225" s="21" t="s">
        <v>177</v>
      </c>
      <c r="E225" s="47"/>
      <c r="F225" s="82" t="s">
        <v>160</v>
      </c>
      <c r="G225" s="18"/>
      <c r="H225" s="18"/>
      <c r="I225" s="4" t="str">
        <f t="shared" si="23"/>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history</v>
      </c>
      <c r="V225" s="4" t="str">
        <f>IF(LEN(Table2[[#This Row],[!Description]]) &gt; 0, Table2[[#This Row],[!Description]], "rg:None")</f>
        <v>rg:None</v>
      </c>
      <c r="W225" s="4" t="str">
        <f>IF(LEN(Table2[[#This Row],[!FK]])&gt;0,Table2[[#This Row],[!FK]],"rg:None")</f>
        <v>History</v>
      </c>
      <c r="X225" s="14" t="str">
        <f>IF(LEN(concatif2(A:A,Table2[[#This Row],[!Table]],G:G,"Y",D:D,",")) &gt; 0,"rg:[ { 'req' : '"&amp;concatif2(A:A,Table2[[#This Row],[!Table]],G:G,"Y",D:D,"' }, { 'req': '")&amp;"'} ]","rg:[]")</f>
        <v>rg:[ { 'req' : 'id' }, { 'req': 'ownerEquipmentCodePrefix'} ]</v>
      </c>
      <c r="Y225" s="4" t="str">
        <f>IF(LEN(Table2[[#This Row],[!Unique]])&gt;0,"rg:True","rg:None")</f>
        <v>rg:None</v>
      </c>
    </row>
    <row r="226" spans="1:25" x14ac:dyDescent="0.3">
      <c r="A226" s="21" t="s">
        <v>145</v>
      </c>
      <c r="B226" s="21" t="s">
        <v>19</v>
      </c>
      <c r="C226" s="72"/>
      <c r="D226" s="21" t="s">
        <v>179</v>
      </c>
      <c r="E226" s="47"/>
      <c r="F226" s="82" t="s">
        <v>180</v>
      </c>
      <c r="G226" s="18"/>
      <c r="H226" s="18"/>
      <c r="I226" s="4" t="str">
        <f t="shared" si="23"/>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equipmentList</v>
      </c>
      <c r="V226" s="4" t="str">
        <f>IF(LEN(Table2[[#This Row],[!Description]]) &gt; 0, Table2[[#This Row],[!Description]], "rg:None")</f>
        <v>rg:None</v>
      </c>
      <c r="W226" s="4" t="str">
        <f>IF(LEN(Table2[[#This Row],[!FK]])&gt;0,Table2[[#This Row],[!FK]],"rg:None")</f>
        <v>Equipment</v>
      </c>
      <c r="X226" s="14" t="str">
        <f>IF(LEN(concatif2(A:A,Table2[[#This Row],[!Table]],G:G,"Y",D:D,",")) &gt; 0,"rg:[ { 'req' : '"&amp;concatif2(A:A,Table2[[#This Row],[!Table]],G:G,"Y",D:D,"' }, { 'req': '")&amp;"'} ]","rg:[]")</f>
        <v>rg:[ { 'req' : 'id' }, { 'req': 'ownerEquipmentCodePrefix'} ]</v>
      </c>
      <c r="Y226" s="4" t="str">
        <f>IF(LEN(Table2[[#This Row],[!Unique]])&gt;0,"rg:True","rg:None")</f>
        <v>rg:None</v>
      </c>
    </row>
    <row r="227" spans="1:25" ht="43.2" x14ac:dyDescent="0.3">
      <c r="A227" s="149" t="s">
        <v>583</v>
      </c>
      <c r="B227" s="149" t="s">
        <v>4</v>
      </c>
      <c r="C227" s="72"/>
      <c r="D227" s="149" t="s">
        <v>583</v>
      </c>
      <c r="E227" s="150" t="s">
        <v>584</v>
      </c>
      <c r="F227" s="12"/>
      <c r="G227" s="18"/>
      <c r="H227" s="18"/>
      <c r="I227" s="4" t="str">
        <f t="shared" ref="I227:I233" si="24">IF(LEN(A227) &gt; 0,"Defs","-")</f>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table</v>
      </c>
      <c r="T227" s="4" t="str">
        <f>IF(LEN(Table2[[#This Row],[!Length]]) &gt; 0, Table2[[#This Row],[!Length]], "rg:None")</f>
        <v>rg:None</v>
      </c>
      <c r="U227" s="4" t="str">
        <f>IF(LEN(Table2[[#This Row],[!Name]]) &gt; 0, Table2[[#This Row],[!Name]], "rg:None")</f>
        <v>LookupLists</v>
      </c>
      <c r="V227"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49" t="s">
        <v>583</v>
      </c>
      <c r="B228" s="149" t="s">
        <v>6</v>
      </c>
      <c r="C228" s="72"/>
      <c r="D228" s="149" t="s">
        <v>6</v>
      </c>
      <c r="E228" s="153" t="s">
        <v>585</v>
      </c>
      <c r="F228" s="12"/>
      <c r="G228" s="154" t="s">
        <v>62</v>
      </c>
      <c r="H228" s="154" t="s">
        <v>62</v>
      </c>
      <c r="I228" s="4" t="str">
        <f t="shared" si="24"/>
        <v>Defs</v>
      </c>
      <c r="J228" s="4" t="str">
        <f>IF(Table2[[#This Row],[!Type]]=J$1, J$1,"rg:None")</f>
        <v>rg:None</v>
      </c>
      <c r="K228" s="4" t="str">
        <f>IF(Table2[[#This Row],[!Type]]=K$1, K$1,"rg:None")</f>
        <v>rg:None</v>
      </c>
      <c r="L228" s="4" t="str">
        <f>IF(Table2[[#This Row],[!Type]]=L$1, L$1,"rg:None")</f>
        <v>rg:None</v>
      </c>
      <c r="M228" s="4" t="str">
        <f>IF(Table2[[#This Row],[!Type]]=M$1, M$1,"rg:None")</f>
        <v>id</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id</v>
      </c>
      <c r="V228" s="4" t="str">
        <f>IF(LEN(Table2[[#This Row],[!Description]]) &gt; 0, Table2[[#This Row],[!Description]], "rg:None")</f>
        <v>A system-generated unique identifier for a LookupList</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rg:True</v>
      </c>
    </row>
    <row r="229" spans="1:25" ht="28.8" x14ac:dyDescent="0.3">
      <c r="A229" s="149" t="s">
        <v>583</v>
      </c>
      <c r="B229" s="149" t="s">
        <v>7</v>
      </c>
      <c r="C229" s="72">
        <v>100</v>
      </c>
      <c r="D229" s="149" t="s">
        <v>586</v>
      </c>
      <c r="E229" s="150" t="s">
        <v>587</v>
      </c>
      <c r="F229" s="12"/>
      <c r="G229" s="18"/>
      <c r="H229" s="18"/>
      <c r="I229" s="4" t="str">
        <f t="shared" si="24"/>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100</v>
      </c>
      <c r="U229" s="4" t="str">
        <f>IF(LEN(Table2[[#This Row],[!Name]]) &gt; 0, Table2[[#This Row],[!Name]], "rg:None")</f>
        <v>contextName</v>
      </c>
      <c r="V229" s="4" t="str">
        <f>IF(LEN(Table2[[#This Row],[!Description]]) &gt; 0, Table2[[#This Row],[!Description]], "rg:None")</f>
        <v>The context within the app in which this lookup list if used. Defined and referenced in the code of the application.</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49" t="s">
        <v>583</v>
      </c>
      <c r="B230" s="149" t="s">
        <v>9</v>
      </c>
      <c r="C230" s="72"/>
      <c r="D230" s="149" t="s">
        <v>26</v>
      </c>
      <c r="E230" s="150" t="s">
        <v>588</v>
      </c>
      <c r="F230" s="12"/>
      <c r="G230" s="18"/>
      <c r="H230" s="18"/>
      <c r="I230" s="4" t="str">
        <f t="shared" si="24"/>
        <v>Defs</v>
      </c>
      <c r="J230" s="4" t="str">
        <f>IF(Table2[[#This Row],[!Type]]=J$1, J$1,"rg:None")</f>
        <v>boolean</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isDefault</v>
      </c>
      <c r="V230" s="4" t="str">
        <f>IF(LEN(Table2[[#This Row],[!Description]]) &gt; 0, Table2[[#This Row],[!Description]], "rg:None")</f>
        <v>True of the value within the lookup list context should be the default for the lookup instance.</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49" t="s">
        <v>583</v>
      </c>
      <c r="B231" s="149" t="s">
        <v>13</v>
      </c>
      <c r="C231" s="72"/>
      <c r="D231" s="149" t="s">
        <v>589</v>
      </c>
      <c r="E231" s="150" t="s">
        <v>590</v>
      </c>
      <c r="F231" s="12"/>
      <c r="G231" s="18"/>
      <c r="H231" s="18"/>
      <c r="I231" s="4" t="str">
        <f t="shared" si="24"/>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integer</v>
      </c>
      <c r="O231" s="4" t="str">
        <f>IF(Table2[[#This Row],[!Type]]=O$1, O$1,"rg:None")</f>
        <v>rg:None</v>
      </c>
      <c r="P231" s="4" t="str">
        <f>IF(Table2[[#This Row],[!Type]]=P$1, P$1,"rg:None")</f>
        <v>rg:None</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displaySortOrder</v>
      </c>
      <c r="V231" s="4" t="str">
        <f>IF(LEN(Table2[[#This Row],[!Description]]) &gt; 0, Table2[[#This Row],[!Description]], "rg:None")</f>
        <v>The sort order for list of values within a list context.</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ht="28.8" x14ac:dyDescent="0.3">
      <c r="A232" s="149" t="s">
        <v>583</v>
      </c>
      <c r="B232" s="149" t="s">
        <v>7</v>
      </c>
      <c r="C232" s="72">
        <v>30</v>
      </c>
      <c r="D232" s="149" t="s">
        <v>591</v>
      </c>
      <c r="E232" s="150" t="s">
        <v>593</v>
      </c>
      <c r="F232" s="12"/>
      <c r="G232" s="18"/>
      <c r="H232" s="18"/>
      <c r="I232" s="4" t="str">
        <f t="shared" si="24"/>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30</v>
      </c>
      <c r="U232" s="4" t="str">
        <f>IF(LEN(Table2[[#This Row],[!Name]]) &gt; 0, Table2[[#This Row],[!Name]], "rg:None")</f>
        <v>codeName</v>
      </c>
      <c r="V232" s="4" t="str">
        <f>IF(LEN(Table2[[#This Row],[!Description]]) &gt; 0, Table2[[#This Row],[!Description]], "rg:None")</f>
        <v>The a shorter lookup name to find the value. Can be used at the option of the application to present on the screen a short version of the lookup list value.</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
      <c r="A233" s="149" t="s">
        <v>583</v>
      </c>
      <c r="B233" s="149" t="s">
        <v>7</v>
      </c>
      <c r="C233" s="72">
        <v>100</v>
      </c>
      <c r="D233" s="149" t="s">
        <v>24</v>
      </c>
      <c r="E233" s="150" t="s">
        <v>592</v>
      </c>
      <c r="F233" s="12"/>
      <c r="G233" s="18"/>
      <c r="H233" s="18"/>
      <c r="I233" s="4" t="str">
        <f t="shared" si="24"/>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100</v>
      </c>
      <c r="U233" s="4" t="str">
        <f>IF(LEN(Table2[[#This Row],[!Name]]) &gt; 0, Table2[[#This Row],[!Name]], "rg:None")</f>
        <v>value</v>
      </c>
      <c r="V233" s="4" t="str">
        <f>IF(LEN(Table2[[#This Row],[!Description]]) &gt; 0, Table2[[#This Row],[!Description]], "rg:None")</f>
        <v>The fully spelled out value of the lookup entry.</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ht="28.8" x14ac:dyDescent="0.3">
      <c r="A234" s="81" t="s">
        <v>172</v>
      </c>
      <c r="B234" s="5" t="s">
        <v>4</v>
      </c>
      <c r="D234" s="81" t="s">
        <v>172</v>
      </c>
      <c r="E234" s="76" t="s">
        <v>367</v>
      </c>
      <c r="F234" s="5" t="s">
        <v>5</v>
      </c>
      <c r="G234" s="4"/>
      <c r="H234" s="4"/>
      <c r="I234" s="5" t="str">
        <f t="shared" ref="I234:I249" si="25">IF(LEN(A234) &gt; 0,"Defs","-")</f>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rg:None</v>
      </c>
      <c r="S234" s="4" t="str">
        <f>IF(Table2[[#This Row],[!Type]]=S$1, S$1,"rg:None")</f>
        <v>table</v>
      </c>
      <c r="T234" s="4" t="str">
        <f>IF(LEN(Table2[[#This Row],[!Length]]) &gt; 0, Table2[[#This Row],[!Length]], "rg:None")</f>
        <v>rg:None</v>
      </c>
      <c r="U234" s="4" t="str">
        <f>IF(LEN(Table2[[#This Row],[!Name]]) &gt; 0, Table2[[#This Row],[!Name]], "rg:None")</f>
        <v>Contact</v>
      </c>
      <c r="V234" s="4" t="str">
        <f>IF(LEN(Table2[[#This Row],[!Description]]) &gt; 0, Table2[[#This Row],[!Description]], "rg:None")</f>
        <v>A person and their related contact information linked to one or more entities in the system. For examples, there are contacts for Owners, Projects.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
      <c r="A235" s="117" t="s">
        <v>172</v>
      </c>
      <c r="B235" s="3" t="s">
        <v>6</v>
      </c>
      <c r="C235" s="3"/>
      <c r="D235" s="3" t="s">
        <v>6</v>
      </c>
      <c r="E235" s="118" t="s">
        <v>309</v>
      </c>
      <c r="F235" s="3" t="s">
        <v>5</v>
      </c>
      <c r="G235" s="4" t="s">
        <v>62</v>
      </c>
      <c r="H235" s="119" t="s">
        <v>62</v>
      </c>
      <c r="I235" s="5" t="str">
        <f t="shared" si="25"/>
        <v>Defs</v>
      </c>
      <c r="J235" s="4" t="str">
        <f>IF(Table2[[#This Row],[!Type]]=J$1, J$1,"rg:None")</f>
        <v>rg:None</v>
      </c>
      <c r="K235" s="4" t="str">
        <f>IF(Table2[[#This Row],[!Type]]=K$1, K$1,"rg:None")</f>
        <v>rg:None</v>
      </c>
      <c r="L235" s="4" t="str">
        <f>IF(Table2[[#This Row],[!Type]]=L$1, L$1,"rg:None")</f>
        <v>rg:None</v>
      </c>
      <c r="M235" s="4" t="str">
        <f>IF(Table2[[#This Row],[!Type]]=M$1, M$1,"rg:None")</f>
        <v>id</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id</v>
      </c>
      <c r="V235" s="4" t="str">
        <f>IF(LEN(Table2[[#This Row],[!Description]]) &gt; 0, Table2[[#This Row],[!Description]], "rg:None")</f>
        <v>A system-generated unique identifier for a Contact</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rg:True</v>
      </c>
    </row>
    <row r="236" spans="1:25" x14ac:dyDescent="0.3">
      <c r="A236" s="117" t="s">
        <v>172</v>
      </c>
      <c r="B236" s="3" t="s">
        <v>7</v>
      </c>
      <c r="C236" s="3">
        <v>50</v>
      </c>
      <c r="D236" s="3" t="s">
        <v>16</v>
      </c>
      <c r="E236" s="118" t="s">
        <v>162</v>
      </c>
      <c r="F236" s="3" t="s">
        <v>5</v>
      </c>
      <c r="G236" s="119"/>
      <c r="H236" s="4"/>
      <c r="I236" s="5" t="str">
        <f t="shared" si="25"/>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50</v>
      </c>
      <c r="U236" s="4" t="str">
        <f>IF(LEN(Table2[[#This Row],[!Name]]) &gt; 0, Table2[[#This Row],[!Name]], "rg:None")</f>
        <v>givenName</v>
      </c>
      <c r="V236" s="4" t="str">
        <f>IF(LEN(Table2[[#This Row],[!Description]]) &gt; 0, Table2[[#This Row],[!Description]], "rg:None")</f>
        <v>The given name of the contact.</v>
      </c>
      <c r="W236" s="4" t="str">
        <f>IF(LEN(Table2[[#This Row],[!FK]])&gt;0,Table2[[#This Row],[!FK]],"rg:None")</f>
        <v>rg:None</v>
      </c>
      <c r="X236" s="14" t="str">
        <f>IF(LEN(concatif2(A:A,Table2[[#This Row],[!Table]],G:G,"Y",D:D,",")) &gt; 0,"rg:[ { 'req' : '"&amp;concatif2(A:A,Table2[[#This Row],[!Table]],G:G,"Y",D:D,"' }, { 'req': '")&amp;"'} ]","rg:[]")</f>
        <v>rg:[ { 'req' : 'id'} ]</v>
      </c>
      <c r="Y236" s="4" t="str">
        <f>IF(LEN(Table2[[#This Row],[!Unique]])&gt;0,"rg:True","rg:None")</f>
        <v>rg:None</v>
      </c>
    </row>
    <row r="237" spans="1:25" x14ac:dyDescent="0.3">
      <c r="A237" s="117" t="s">
        <v>172</v>
      </c>
      <c r="B237" s="3" t="s">
        <v>7</v>
      </c>
      <c r="C237" s="3">
        <v>50</v>
      </c>
      <c r="D237" s="3" t="s">
        <v>17</v>
      </c>
      <c r="E237" s="118" t="s">
        <v>163</v>
      </c>
      <c r="F237" s="3" t="s">
        <v>5</v>
      </c>
      <c r="G237" s="119"/>
      <c r="H237" s="4"/>
      <c r="I237" s="5" t="str">
        <f t="shared" si="25"/>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surname</v>
      </c>
      <c r="V237" s="4" t="str">
        <f>IF(LEN(Table2[[#This Row],[!Description]]) &gt; 0, Table2[[#This Row],[!Description]], "rg:None")</f>
        <v>The surname of the contact.</v>
      </c>
      <c r="W237" s="4" t="str">
        <f>IF(LEN(Table2[[#This Row],[!FK]])&gt;0,Table2[[#This Row],[!FK]],"rg:None")</f>
        <v>rg:None</v>
      </c>
      <c r="X237" s="14" t="str">
        <f>IF(LEN(concatif2(A:A,Table2[[#This Row],[!Table]],G:G,"Y",D:D,",")) &gt; 0,"rg:[ { 'req' : '"&amp;concatif2(A:A,Table2[[#This Row],[!Table]],G:G,"Y",D:D,"' }, { 'req': '")&amp;"'} ]","rg:[]")</f>
        <v>rg:[ { 'req' : 'id'} ]</v>
      </c>
      <c r="Y237" s="4" t="str">
        <f>IF(LEN(Table2[[#This Row],[!Unique]])&gt;0,"rg:True","rg:None")</f>
        <v>rg:None</v>
      </c>
    </row>
    <row r="238" spans="1:25" x14ac:dyDescent="0.3">
      <c r="A238" s="120" t="s">
        <v>172</v>
      </c>
      <c r="B238" s="120" t="s">
        <v>7</v>
      </c>
      <c r="C238" s="3">
        <v>150</v>
      </c>
      <c r="D238" s="120" t="s">
        <v>398</v>
      </c>
      <c r="E238" s="120" t="s">
        <v>516</v>
      </c>
      <c r="F238" s="6"/>
      <c r="G238" s="18"/>
      <c r="H238" s="18"/>
      <c r="I238" s="5" t="str">
        <f t="shared" si="25"/>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150</v>
      </c>
      <c r="U238" s="4" t="str">
        <f>IF(LEN(Table2[[#This Row],[!Name]]) &gt; 0, Table2[[#This Row],[!Name]], "rg:None")</f>
        <v>organizationName</v>
      </c>
      <c r="V238" s="4" t="str">
        <f>IF(LEN(Table2[[#This Row],[!Description]]) &gt; 0, Table2[[#This Row],[!Description]], "rg:None")</f>
        <v>The organization 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Row],[!Unique]])&gt;0,"rg:True","rg:None")</f>
        <v>rg:None</v>
      </c>
    </row>
    <row r="239" spans="1:25" x14ac:dyDescent="0.3">
      <c r="A239" s="117" t="s">
        <v>172</v>
      </c>
      <c r="B239" s="3" t="s">
        <v>7</v>
      </c>
      <c r="C239" s="3">
        <v>100</v>
      </c>
      <c r="D239" s="3" t="s">
        <v>18</v>
      </c>
      <c r="E239" s="121" t="s">
        <v>310</v>
      </c>
      <c r="F239" s="3" t="s">
        <v>5</v>
      </c>
      <c r="G239" s="119"/>
      <c r="H239" s="4"/>
      <c r="I239" s="5" t="str">
        <f t="shared" si="25"/>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100</v>
      </c>
      <c r="U239" s="4" t="str">
        <f>IF(LEN(Table2[[#This Row],[!Name]]) &gt; 0, Table2[[#This Row],[!Name]], "rg:None")</f>
        <v>role</v>
      </c>
      <c r="V239" s="4" t="str">
        <f>IF(LEN(Table2[[#This Row],[!Description]]) &gt; 0, Table2[[#This Row],[!Description]], "rg:None")</f>
        <v>The role of the contact. UI controlled as to whether it is free form or selected from an enumerated list - for initial implementation, the field is freeform.</v>
      </c>
      <c r="W239" s="4" t="str">
        <f>IF(LEN(Table2[[#This Row],[!FK]])&gt;0,Table2[[#This Row],[!FK]],"rg:None")</f>
        <v>rg:None</v>
      </c>
      <c r="X239" s="14" t="str">
        <f>IF(LEN(concatif2(A:A,Table2[[#This Row],[!Table]],G:G,"Y",D:D,",")) &gt; 0,"rg:[ { 'req' : '"&amp;concatif2(A:A,Table2[[#This Row],[!Table]],G:G,"Y",D:D,"' }, { 'req': '")&amp;"'} ]","rg:[]")</f>
        <v>rg:[ { 'req' : 'id'} ]</v>
      </c>
      <c r="Y239" s="4" t="str">
        <f>IF(LEN(Table2[[#This Row],[!Unique]])&gt;0,"rg:True","rg:None")</f>
        <v>rg:None</v>
      </c>
    </row>
    <row r="240" spans="1:25" x14ac:dyDescent="0.3">
      <c r="A240" s="117" t="s">
        <v>172</v>
      </c>
      <c r="B240" s="3" t="s">
        <v>7</v>
      </c>
      <c r="C240" s="3">
        <v>150</v>
      </c>
      <c r="D240" s="3" t="s">
        <v>164</v>
      </c>
      <c r="E240" s="121" t="s">
        <v>311</v>
      </c>
      <c r="F240" s="3" t="s">
        <v>5</v>
      </c>
      <c r="G240" s="4"/>
      <c r="H240" s="4"/>
      <c r="I240" s="5" t="str">
        <f t="shared" si="25"/>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150</v>
      </c>
      <c r="U240" s="4" t="str">
        <f>IF(LEN(Table2[[#This Row],[!Name]]) &gt; 0, Table2[[#This Row],[!Name]], "rg:None")</f>
        <v>notes</v>
      </c>
      <c r="V240" s="4" t="str">
        <f>IF(LEN(Table2[[#This Row],[!Description]]) &gt; 0, Table2[[#This Row],[!Description]], "rg:None")</f>
        <v>A note about the contact maintained by the users.</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rg:None</v>
      </c>
    </row>
    <row r="241" spans="1:25" x14ac:dyDescent="0.3">
      <c r="A241" s="120" t="s">
        <v>172</v>
      </c>
      <c r="B241" s="120" t="s">
        <v>7</v>
      </c>
      <c r="C241" s="3">
        <v>255</v>
      </c>
      <c r="D241" s="120" t="s">
        <v>517</v>
      </c>
      <c r="E241" s="120" t="s">
        <v>518</v>
      </c>
      <c r="F241" s="6"/>
      <c r="G241" s="18"/>
      <c r="H241" s="18"/>
      <c r="I241" s="5" t="str">
        <f t="shared" si="25"/>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255</v>
      </c>
      <c r="U241" s="4" t="str">
        <f>IF(LEN(Table2[[#This Row],[!Name]]) &gt; 0, Table2[[#This Row],[!Name]], "rg:None")</f>
        <v>emailAddress</v>
      </c>
      <c r="V241" s="4" t="str">
        <f>IF(LEN(Table2[[#This Row],[!Description]]) &gt; 0, Table2[[#This Row],[!Description]], "rg:None")</f>
        <v>The email address for the contact.</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rg:None</v>
      </c>
    </row>
    <row r="242" spans="1:25" x14ac:dyDescent="0.3">
      <c r="A242" s="117" t="s">
        <v>172</v>
      </c>
      <c r="B242" s="3" t="s">
        <v>7</v>
      </c>
      <c r="C242" s="3">
        <v>20</v>
      </c>
      <c r="D242" s="117" t="s">
        <v>519</v>
      </c>
      <c r="E242" s="121" t="s">
        <v>520</v>
      </c>
      <c r="F242" s="3" t="s">
        <v>5</v>
      </c>
      <c r="G242" s="119"/>
      <c r="H242" s="4"/>
      <c r="I242" s="5" t="str">
        <f t="shared" si="25"/>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20</v>
      </c>
      <c r="U242" s="4" t="str">
        <f>IF(LEN(Table2[[#This Row],[!Name]]) &gt; 0, Table2[[#This Row],[!Name]], "rg:None")</f>
        <v>workPhoneNumber</v>
      </c>
      <c r="V242" s="4" t="str">
        <f>IF(LEN(Table2[[#This Row],[!Description]]) &gt; 0, Table2[[#This Row],[!Description]], "rg:None")</f>
        <v>The work phone number for the contact.</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x14ac:dyDescent="0.3">
      <c r="A243" s="117" t="s">
        <v>172</v>
      </c>
      <c r="B243" s="3" t="s">
        <v>7</v>
      </c>
      <c r="C243" s="3">
        <v>20</v>
      </c>
      <c r="D243" s="117" t="s">
        <v>521</v>
      </c>
      <c r="E243" s="121" t="s">
        <v>522</v>
      </c>
      <c r="F243" s="3" t="s">
        <v>5</v>
      </c>
      <c r="G243" s="119"/>
      <c r="H243" s="4"/>
      <c r="I243" s="5" t="str">
        <f t="shared" si="25"/>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20</v>
      </c>
      <c r="U243" s="4" t="str">
        <f>IF(LEN(Table2[[#This Row],[!Name]]) &gt; 0, Table2[[#This Row],[!Name]], "rg:None")</f>
        <v>mobilePhoneNumber</v>
      </c>
      <c r="V243" s="4" t="str">
        <f>IF(LEN(Table2[[#This Row],[!Description]]) &gt; 0, Table2[[#This Row],[!Description]], "rg:None")</f>
        <v>The mobile phone number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Row],[!Unique]])&gt;0,"rg:True","rg:None")</f>
        <v>rg:None</v>
      </c>
    </row>
    <row r="244" spans="1:25" x14ac:dyDescent="0.3">
      <c r="A244" s="117" t="s">
        <v>172</v>
      </c>
      <c r="B244" s="117" t="s">
        <v>7</v>
      </c>
      <c r="C244" s="3">
        <v>20</v>
      </c>
      <c r="D244" s="117" t="s">
        <v>523</v>
      </c>
      <c r="E244" s="121" t="s">
        <v>524</v>
      </c>
      <c r="F244" s="3" t="s">
        <v>5</v>
      </c>
      <c r="G244" s="4"/>
      <c r="H244" s="4"/>
      <c r="I244" s="5" t="str">
        <f t="shared" si="25"/>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faxPhoneNumber</v>
      </c>
      <c r="V244" s="4" t="str">
        <f>IF(LEN(Table2[[#This Row],[!Description]]) &gt; 0, Table2[[#This Row],[!Description]], "rg:None")</f>
        <v>The fax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Row],[!Unique]])&gt;0,"rg:True","rg:None")</f>
        <v>rg:None</v>
      </c>
    </row>
    <row r="245" spans="1:25" x14ac:dyDescent="0.3">
      <c r="A245" s="117" t="s">
        <v>172</v>
      </c>
      <c r="B245" s="3" t="s">
        <v>7</v>
      </c>
      <c r="C245" s="3">
        <v>80</v>
      </c>
      <c r="D245" s="117" t="s">
        <v>525</v>
      </c>
      <c r="E245" s="121" t="s">
        <v>165</v>
      </c>
      <c r="F245" s="3" t="s">
        <v>5</v>
      </c>
      <c r="G245" s="4"/>
      <c r="H245" s="4"/>
      <c r="I245" s="5" t="str">
        <f t="shared" si="25"/>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80</v>
      </c>
      <c r="U245" s="4" t="str">
        <f>IF(LEN(Table2[[#This Row],[!Name]]) &gt; 0, Table2[[#This Row],[!Name]], "rg:None")</f>
        <v>address1</v>
      </c>
      <c r="V245" s="4" t="str">
        <f>IF(LEN(Table2[[#This Row],[!Description]]) &gt; 0, Table2[[#This Row],[!Description]], "rg:None")</f>
        <v>Address 1 line of the address.</v>
      </c>
      <c r="W245" s="4" t="str">
        <f>IF(LEN(Table2[[#This Row],[!FK]])&gt;0,Table2[[#This Row],[!FK]],"rg:None")</f>
        <v>rg:None</v>
      </c>
      <c r="X245" s="14" t="str">
        <f>IF(LEN(concatif2(A:A,Table2[[#This Row],[!Table]],G:G,"Y",D:D,",")) &gt; 0,"rg:[ { 'req' : '"&amp;concatif2(A:A,Table2[[#This Row],[!Table]],G:G,"Y",D:D,"' }, { 'req': '")&amp;"'} ]","rg:[]")</f>
        <v>rg:[ { 'req' : 'id'} ]</v>
      </c>
      <c r="Y245" s="4" t="str">
        <f>IF(LEN(Table2[[#This Row],[!Unique]])&gt;0,"rg:True","rg:None")</f>
        <v>rg:None</v>
      </c>
    </row>
    <row r="246" spans="1:25" x14ac:dyDescent="0.3">
      <c r="A246" s="117" t="s">
        <v>172</v>
      </c>
      <c r="B246" s="3" t="s">
        <v>7</v>
      </c>
      <c r="C246" s="3">
        <v>80</v>
      </c>
      <c r="D246" s="117" t="s">
        <v>526</v>
      </c>
      <c r="E246" s="118" t="s">
        <v>166</v>
      </c>
      <c r="F246" s="3" t="s">
        <v>5</v>
      </c>
      <c r="G246" s="4"/>
      <c r="H246" s="4"/>
      <c r="I246" s="5" t="str">
        <f t="shared" si="25"/>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80</v>
      </c>
      <c r="U246" s="4" t="str">
        <f>IF(LEN(Table2[[#This Row],[!Name]]) &gt; 0, Table2[[#This Row],[!Name]], "rg:None")</f>
        <v>address2</v>
      </c>
      <c r="V246" s="4" t="str">
        <f>IF(LEN(Table2[[#This Row],[!Description]]) &gt; 0, Table2[[#This Row],[!Description]], "rg:None")</f>
        <v>Address 2 line of the address.</v>
      </c>
      <c r="W246" s="4" t="str">
        <f>IF(LEN(Table2[[#This Row],[!FK]])&gt;0,Table2[[#This Row],[!FK]],"rg:None")</f>
        <v>rg:None</v>
      </c>
      <c r="X246" s="14" t="str">
        <f>IF(LEN(concatif2(A:A,Table2[[#This Row],[!Table]],G:G,"Y",D:D,",")) &gt; 0,"rg:[ { 'req' : '"&amp;concatif2(A:A,Table2[[#This Row],[!Table]],G:G,"Y",D:D,"' }, { 'req': '")&amp;"'} ]","rg:[]")</f>
        <v>rg:[ { 'req' : 'id'} ]</v>
      </c>
      <c r="Y246" s="4" t="str">
        <f>IF(LEN(Table2[[#This Row],[!Unique]])&gt;0,"rg:True","rg:None")</f>
        <v>rg:None</v>
      </c>
    </row>
    <row r="247" spans="1:25" x14ac:dyDescent="0.3">
      <c r="A247" s="117" t="s">
        <v>172</v>
      </c>
      <c r="B247" s="3" t="s">
        <v>7</v>
      </c>
      <c r="C247" s="3">
        <v>100</v>
      </c>
      <c r="D247" s="117" t="s">
        <v>21</v>
      </c>
      <c r="E247" s="118" t="s">
        <v>167</v>
      </c>
      <c r="F247" s="3" t="s">
        <v>5</v>
      </c>
      <c r="G247" s="4"/>
      <c r="H247" s="4"/>
      <c r="I247" s="5" t="str">
        <f t="shared" si="25"/>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100</v>
      </c>
      <c r="U247" s="4" t="str">
        <f>IF(LEN(Table2[[#This Row],[!Name]]) &gt; 0, Table2[[#This Row],[!Name]], "rg:None")</f>
        <v>city</v>
      </c>
      <c r="V247" s="4" t="str">
        <f>IF(LEN(Table2[[#This Row],[!Description]]) &gt; 0, Table2[[#This Row],[!Description]], "rg:None")</f>
        <v>The City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Row],[!Unique]])&gt;0,"rg:True","rg:None")</f>
        <v>rg:None</v>
      </c>
    </row>
    <row r="248" spans="1:25" x14ac:dyDescent="0.3">
      <c r="A248" s="117" t="s">
        <v>172</v>
      </c>
      <c r="B248" s="3" t="s">
        <v>7</v>
      </c>
      <c r="C248" s="3">
        <v>50</v>
      </c>
      <c r="D248" s="117" t="s">
        <v>168</v>
      </c>
      <c r="E248" s="118" t="s">
        <v>169</v>
      </c>
      <c r="F248" s="3" t="s">
        <v>5</v>
      </c>
      <c r="G248" s="4"/>
      <c r="H248" s="4"/>
      <c r="I248" s="5" t="str">
        <f t="shared" si="25"/>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50</v>
      </c>
      <c r="U248" s="4" t="str">
        <f>IF(LEN(Table2[[#This Row],[!Name]]) &gt; 0, Table2[[#This Row],[!Name]], "rg:None")</f>
        <v>province</v>
      </c>
      <c r="V248" s="4" t="str">
        <f>IF(LEN(Table2[[#This Row],[!Description]]) &gt; 0, Table2[[#This Row],[!Description]], "rg:None")</f>
        <v>The Province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Row],[!Unique]])&gt;0,"rg:True","rg:None")</f>
        <v>rg:None</v>
      </c>
    </row>
    <row r="249" spans="1:25" x14ac:dyDescent="0.3">
      <c r="A249" s="117" t="s">
        <v>172</v>
      </c>
      <c r="B249" s="3" t="s">
        <v>7</v>
      </c>
      <c r="C249" s="3">
        <v>15</v>
      </c>
      <c r="D249" s="117" t="s">
        <v>170</v>
      </c>
      <c r="E249" s="118" t="s">
        <v>171</v>
      </c>
      <c r="F249" s="3" t="s">
        <v>5</v>
      </c>
      <c r="G249" s="4"/>
      <c r="H249" s="4"/>
      <c r="I249" s="5" t="str">
        <f t="shared" si="25"/>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15</v>
      </c>
      <c r="U249" s="4" t="str">
        <f>IF(LEN(Table2[[#This Row],[!Name]]) &gt; 0, Table2[[#This Row],[!Name]], "rg:None")</f>
        <v>postalCode</v>
      </c>
      <c r="V249" s="4" t="str">
        <f>IF(LEN(Table2[[#This Row],[!Description]]) &gt; 0, Table2[[#This Row],[!Description]], "rg:None")</f>
        <v>The postal code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Row],[!Unique]])&gt;0,"rg:True","rg:None")</f>
        <v>rg:None</v>
      </c>
    </row>
    <row r="250" spans="1:25" ht="28.8" x14ac:dyDescent="0.3">
      <c r="A250" s="81" t="s">
        <v>146</v>
      </c>
      <c r="B250" s="5" t="s">
        <v>4</v>
      </c>
      <c r="D250" s="5" t="s">
        <v>146</v>
      </c>
      <c r="E250" s="76" t="s">
        <v>368</v>
      </c>
      <c r="F250" s="5" t="s">
        <v>5</v>
      </c>
      <c r="G250" s="4"/>
      <c r="H250" s="4"/>
      <c r="I250" s="5" t="str">
        <f t="shared" ref="I250:I262" si="26">IF(LEN(A250) &gt; 0,"Defs","-")</f>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table</v>
      </c>
      <c r="T250" s="4" t="str">
        <f>IF(LEN(Table2[[#This Row],[!Length]]) &gt; 0, Table2[[#This Row],[!Length]], "rg:None")</f>
        <v>rg:None</v>
      </c>
      <c r="U250" s="4" t="str">
        <f>IF(LEN(Table2[[#This Row],[!Name]]) &gt; 0, Table2[[#This Row],[!Name]], "rg:None")</f>
        <v>Note</v>
      </c>
      <c r="V250" s="4" t="str">
        <f>IF(LEN(Table2[[#This Row],[!Description]]) &gt; 0, Table2[[#This Row],[!Description]], "rg:None")</f>
        <v>Text entered about an entity in the application - e.g. piece of Equipment, an Owner, a Project and so on.</v>
      </c>
      <c r="W250" s="4" t="str">
        <f>IF(LEN(Table2[[#This Row],[!FK]])&gt;0,Table2[[#This Row],[!FK]],"rg:None")</f>
        <v>rg:None</v>
      </c>
      <c r="X250" s="14" t="str">
        <f>IF(LEN(concatif2(A:A,Table2[[#This Row],[!Table]],G:G,"Y",D:D,",")) &gt; 0,"rg:[ { 'req' : '"&amp;concatif2(A:A,Table2[[#This Row],[!Table]],G:G,"Y",D:D,"' }, { 'req': '")&amp;"'} ]","rg:[]")</f>
        <v>rg:[ { 'req' : 'id' }, { 'req': 'text'} ]</v>
      </c>
      <c r="Y250" s="4" t="str">
        <f>IF(LEN(Table2[[#This Row],[!Unique]])&gt;0,"rg:True","rg:None")</f>
        <v>rg:None</v>
      </c>
    </row>
    <row r="251" spans="1:25" x14ac:dyDescent="0.3">
      <c r="A251" s="81" t="s">
        <v>146</v>
      </c>
      <c r="B251" s="5" t="s">
        <v>6</v>
      </c>
      <c r="D251" s="5" t="s">
        <v>6</v>
      </c>
      <c r="E251" s="54" t="s">
        <v>313</v>
      </c>
      <c r="F251" s="5" t="s">
        <v>5</v>
      </c>
      <c r="G251" s="4" t="s">
        <v>62</v>
      </c>
      <c r="H251" s="41"/>
      <c r="I251" s="5" t="str">
        <f t="shared" si="26"/>
        <v>Defs</v>
      </c>
      <c r="J251" s="4" t="str">
        <f>IF(Table2[[#This Row],[!Type]]=J$1, J$1,"rg:None")</f>
        <v>rg:None</v>
      </c>
      <c r="K251" s="4" t="str">
        <f>IF(Table2[[#This Row],[!Type]]=K$1, K$1,"rg:None")</f>
        <v>rg:None</v>
      </c>
      <c r="L251" s="4" t="str">
        <f>IF(Table2[[#This Row],[!Type]]=L$1, L$1,"rg:None")</f>
        <v>rg:None</v>
      </c>
      <c r="M251" s="4" t="str">
        <f>IF(Table2[[#This Row],[!Type]]=M$1, M$1,"rg:None")</f>
        <v>id</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4" t="str">
        <f>IF(LEN(Table2[[#This Row],[!Length]]) &gt; 0, Table2[[#This Row],[!Length]], "rg:None")</f>
        <v>rg:None</v>
      </c>
      <c r="U251" s="4" t="str">
        <f>IF(LEN(Table2[[#This Row],[!Name]]) &gt; 0, Table2[[#This Row],[!Name]], "rg:None")</f>
        <v>id</v>
      </c>
      <c r="V251" s="4" t="str">
        <f>IF(LEN(Table2[[#This Row],[!Description]]) &gt; 0, Table2[[#This Row],[!Description]], "rg:None")</f>
        <v>A system-generated unique identifier for a Note</v>
      </c>
      <c r="W251" s="4" t="str">
        <f>IF(LEN(Table2[[#This Row],[!FK]])&gt;0,Table2[[#This Row],[!FK]],"rg:None")</f>
        <v>rg:None</v>
      </c>
      <c r="X251" s="14" t="str">
        <f>IF(LEN(concatif2(A:A,Table2[[#This Row],[!Table]],G:G,"Y",D:D,",")) &gt; 0,"rg:[ { 'req' : '"&amp;concatif2(A:A,Table2[[#This Row],[!Table]],G:G,"Y",D:D,"' }, { 'req': '")&amp;"'} ]","rg:[]")</f>
        <v>rg:[ { 'req' : 'id' }, { 'req': 'text'} ]</v>
      </c>
      <c r="Y251" s="4" t="str">
        <f>IF(LEN(Table2[[#This Row],[!Unique]])&gt;0,"rg:True","rg:None")</f>
        <v>rg:None</v>
      </c>
    </row>
    <row r="252" spans="1:25" x14ac:dyDescent="0.3">
      <c r="A252" s="81" t="s">
        <v>146</v>
      </c>
      <c r="B252" s="5" t="s">
        <v>7</v>
      </c>
      <c r="C252" s="5">
        <v>2048</v>
      </c>
      <c r="D252" s="102" t="s">
        <v>348</v>
      </c>
      <c r="E252" s="101" t="s">
        <v>312</v>
      </c>
      <c r="F252" s="5" t="s">
        <v>5</v>
      </c>
      <c r="G252" s="41" t="s">
        <v>62</v>
      </c>
      <c r="H252" s="4"/>
      <c r="I252" s="5" t="str">
        <f t="shared" si="26"/>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2048</v>
      </c>
      <c r="U252" s="4" t="str">
        <f>IF(LEN(Table2[[#This Row],[!Name]]) &gt; 0, Table2[[#This Row],[!Name]], "rg:None")</f>
        <v>text</v>
      </c>
      <c r="V252" s="4" t="str">
        <f>IF(LEN(Table2[[#This Row],[!Description]]) &gt; 0, Table2[[#This Row],[!Description]], "rg:None")</f>
        <v>Notes entered by users about instance of entities - e.g. School Buses and School Bus Owners</v>
      </c>
      <c r="W252" s="4" t="str">
        <f>IF(LEN(Table2[[#This Row],[!FK]])&gt;0,Table2[[#This Row],[!FK]],"rg:None")</f>
        <v>rg:None</v>
      </c>
      <c r="X252" s="14" t="str">
        <f>IF(LEN(concatif2(A:A,Table2[[#This Row],[!Table]],G:G,"Y",D:D,",")) &gt; 0,"rg:[ { 'req' : '"&amp;concatif2(A:A,Table2[[#This Row],[!Table]],G:G,"Y",D:D,"' }, { 'req': '")&amp;"'} ]","rg:[]")</f>
        <v>rg:[ { 'req' : 'id' }, { 'req': 'text'} ]</v>
      </c>
      <c r="Y252" s="4" t="str">
        <f>IF(LEN(Table2[[#This Row],[!Unique]])&gt;0,"rg:True","rg:None")</f>
        <v>rg:None</v>
      </c>
    </row>
    <row r="253" spans="1:25" ht="28.8" x14ac:dyDescent="0.3">
      <c r="A253" s="81" t="s">
        <v>146</v>
      </c>
      <c r="B253" s="5" t="s">
        <v>9</v>
      </c>
      <c r="D253" s="5" t="s">
        <v>156</v>
      </c>
      <c r="E253" s="104" t="s">
        <v>314</v>
      </c>
      <c r="F253" s="5" t="s">
        <v>5</v>
      </c>
      <c r="G253" s="4"/>
      <c r="H253" s="4"/>
      <c r="I253" s="5" t="str">
        <f t="shared" si="26"/>
        <v>Defs</v>
      </c>
      <c r="J253" s="4" t="str">
        <f>IF(Table2[[#This Row],[!Type]]=J$1, J$1,"rg:None")</f>
        <v>boolean</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isNoLongerRelevant</v>
      </c>
      <c r="V253" s="4" t="str">
        <f>IF(LEN(Table2[[#This Row],[!Description]]) &gt; 0, Table2[[#This Row],[!Description]], "rg:None")</f>
        <v>A user set flag that the note is no longer relevant. Allows the note to be retained for historical reasons,  but identified to other users as no longer applicable.</v>
      </c>
      <c r="W253" s="4" t="str">
        <f>IF(LEN(Table2[[#This Row],[!FK]])&gt;0,Table2[[#This Row],[!FK]],"rg:None")</f>
        <v>rg:None</v>
      </c>
      <c r="X253" s="14" t="str">
        <f>IF(LEN(concatif2(A:A,Table2[[#This Row],[!Table]],G:G,"Y",D:D,",")) &gt; 0,"rg:[ { 'req' : '"&amp;concatif2(A:A,Table2[[#This Row],[!Table]],G:G,"Y",D:D,"' }, { 'req': '")&amp;"'} ]","rg:[]")</f>
        <v>rg:[ { 'req' : 'id' }, { 'req': 'text'} ]</v>
      </c>
      <c r="Y253" s="4" t="str">
        <f>IF(LEN(Table2[[#This Row],[!Unique]])&gt;0,"rg:True","rg:None")</f>
        <v>rg:None</v>
      </c>
    </row>
    <row r="254" spans="1:25" ht="28.8" x14ac:dyDescent="0.3">
      <c r="A254" s="81" t="s">
        <v>158</v>
      </c>
      <c r="B254" s="5" t="s">
        <v>4</v>
      </c>
      <c r="D254" s="81" t="s">
        <v>158</v>
      </c>
      <c r="E254" s="76" t="s">
        <v>369</v>
      </c>
      <c r="F254" s="5" t="s">
        <v>5</v>
      </c>
      <c r="G254" s="4"/>
      <c r="H254" s="4"/>
      <c r="I254" s="5" t="str">
        <f t="shared" si="26"/>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table</v>
      </c>
      <c r="T254" s="4" t="str">
        <f>IF(LEN(Table2[[#This Row],[!Length]]) &gt; 0, Table2[[#This Row],[!Length]], "rg:None")</f>
        <v>rg:None</v>
      </c>
      <c r="U254" s="4" t="str">
        <f>IF(LEN(Table2[[#This Row],[!Name]]) &gt; 0, Table2[[#This Row],[!Name]], "rg:None")</f>
        <v>Attachment</v>
      </c>
      <c r="V254" s="4" t="str">
        <f>IF(LEN(Table2[[#This Row],[!Description]]) &gt; 0, Table2[[#This Row],[!Description]], "rg:None")</f>
        <v>Uploaded documents related to entity in the application - e.g. piece of Equipment, an Owner, a Project and so on.</v>
      </c>
      <c r="W254" s="4" t="str">
        <f>IF(LEN(Table2[[#This Row],[!FK]])&gt;0,Table2[[#This Row],[!FK]],"rg:None")</f>
        <v>rg:None</v>
      </c>
      <c r="X254" s="14" t="str">
        <f>IF(LEN(concatif2(A:A,Table2[[#This Row],[!Table]],G:G,"Y",D:D,",")) &gt; 0,"rg:[ { 'req' : '"&amp;concatif2(A:A,Table2[[#This Row],[!Table]],G:G,"Y",D:D,"' }, { 'req': '")&amp;"'} ]","rg:[]")</f>
        <v>rg:[ { 'req' : 'id'} ]</v>
      </c>
      <c r="Y254" s="4" t="str">
        <f>IF(LEN(Table2[[#This Row],[!Unique]])&gt;0,"rg:True","rg:None")</f>
        <v>rg:None</v>
      </c>
    </row>
    <row r="255" spans="1:25" x14ac:dyDescent="0.3">
      <c r="A255" s="81" t="s">
        <v>158</v>
      </c>
      <c r="B255" s="5" t="s">
        <v>6</v>
      </c>
      <c r="D255" s="5" t="s">
        <v>6</v>
      </c>
      <c r="E255" s="54" t="s">
        <v>315</v>
      </c>
      <c r="F255" s="5" t="s">
        <v>5</v>
      </c>
      <c r="G255" s="4" t="s">
        <v>62</v>
      </c>
      <c r="H255" s="41" t="s">
        <v>62</v>
      </c>
      <c r="I255" s="5" t="str">
        <f t="shared" si="26"/>
        <v>Defs</v>
      </c>
      <c r="J255" s="4" t="str">
        <f>IF(Table2[[#This Row],[!Type]]=J$1, J$1,"rg:None")</f>
        <v>rg:None</v>
      </c>
      <c r="K255" s="4" t="str">
        <f>IF(Table2[[#This Row],[!Type]]=K$1, K$1,"rg:None")</f>
        <v>rg:None</v>
      </c>
      <c r="L255" s="4" t="str">
        <f>IF(Table2[[#This Row],[!Type]]=L$1, L$1,"rg:None")</f>
        <v>rg:None</v>
      </c>
      <c r="M255" s="4" t="str">
        <f>IF(Table2[[#This Row],[!Type]]=M$1, M$1,"rg:None")</f>
        <v>id</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4" t="str">
        <f>IF(LEN(Table2[[#This Row],[!Length]]) &gt; 0, Table2[[#This Row],[!Length]], "rg:None")</f>
        <v>rg:None</v>
      </c>
      <c r="U255" s="4" t="str">
        <f>IF(LEN(Table2[[#This Row],[!Name]]) &gt; 0, Table2[[#This Row],[!Name]], "rg:None")</f>
        <v>id</v>
      </c>
      <c r="V255" s="4" t="str">
        <f>IF(LEN(Table2[[#This Row],[!Description]]) &gt; 0, Table2[[#This Row],[!Description]], "rg:None")</f>
        <v>A system-generated unique identifier for an Attachment</v>
      </c>
      <c r="W255" s="4" t="str">
        <f>IF(LEN(Table2[[#This Row],[!FK]])&gt;0,Table2[[#This Row],[!FK]],"rg:None")</f>
        <v>rg:None</v>
      </c>
      <c r="X255" s="14" t="str">
        <f>IF(LEN(concatif2(A:A,Table2[[#This Row],[!Table]],G:G,"Y",D:D,",")) &gt; 0,"rg:[ { 'req' : '"&amp;concatif2(A:A,Table2[[#This Row],[!Table]],G:G,"Y",D:D,"' }, { 'req': '")&amp;"'} ]","rg:[]")</f>
        <v>rg:[ { 'req' : 'id'} ]</v>
      </c>
      <c r="Y255" s="4" t="str">
        <f>IF(LEN(Table2[[#This Row],[!Unique]])&gt;0,"rg:True","rg:None")</f>
        <v>rg:True</v>
      </c>
    </row>
    <row r="256" spans="1:25" x14ac:dyDescent="0.3">
      <c r="A256" s="81" t="s">
        <v>158</v>
      </c>
      <c r="B256" s="5" t="s">
        <v>7</v>
      </c>
      <c r="C256" s="5">
        <v>2048</v>
      </c>
      <c r="D256" s="5" t="s">
        <v>527</v>
      </c>
      <c r="E256" s="54" t="s">
        <v>528</v>
      </c>
      <c r="F256" s="5" t="s">
        <v>5</v>
      </c>
      <c r="G256" s="41"/>
      <c r="H256" s="41"/>
      <c r="I256" s="5" t="str">
        <f t="shared" si="26"/>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2048</v>
      </c>
      <c r="U256" s="4" t="str">
        <f>IF(LEN(Table2[[#This Row],[!Name]]) &gt; 0, Table2[[#This Row],[!Name]], "rg:None")</f>
        <v>fileName</v>
      </c>
      <c r="V256" s="4" t="str">
        <f>IF(LEN(Table2[[#This Row],[!Description]]) &gt; 0, Table2[[#This Row],[!Description]], "rg:None")</f>
        <v>Filename as passed by the user uploading the file</v>
      </c>
      <c r="W256" s="4" t="str">
        <f>IF(LEN(Table2[[#This Row],[!FK]])&gt;0,Table2[[#This Row],[!FK]],"rg:None")</f>
        <v>rg:None</v>
      </c>
      <c r="X256" s="14" t="str">
        <f>IF(LEN(concatif2(A:A,Table2[[#This Row],[!Table]],G:G,"Y",D:D,",")) &gt; 0,"rg:[ { 'req' : '"&amp;concatif2(A:A,Table2[[#This Row],[!Table]],G:G,"Y",D:D,"' }, { 'req': '")&amp;"'} ]","rg:[]")</f>
        <v>rg:[ { 'req' : 'id'} ]</v>
      </c>
      <c r="Y256" s="4" t="str">
        <f>IF(LEN(Table2[[#This Row],[!Unique]])&gt;0,"rg:True","rg:None")</f>
        <v>rg:None</v>
      </c>
    </row>
    <row r="257" spans="1:25" x14ac:dyDescent="0.3">
      <c r="A257" s="81" t="s">
        <v>158</v>
      </c>
      <c r="B257" s="5" t="s">
        <v>159</v>
      </c>
      <c r="D257" s="5" t="s">
        <v>529</v>
      </c>
      <c r="E257" s="105" t="s">
        <v>530</v>
      </c>
      <c r="F257" s="5" t="s">
        <v>5</v>
      </c>
      <c r="G257" s="41"/>
      <c r="H257" s="41"/>
      <c r="I257" s="5" t="str">
        <f t="shared" si="26"/>
        <v>Defs</v>
      </c>
      <c r="J257" s="4" t="str">
        <f>IF(Table2[[#This Row],[!Type]]=J$1, J$1,"rg:None")</f>
        <v>rg:None</v>
      </c>
      <c r="K257" s="4" t="str">
        <f>IF(Table2[[#This Row],[!Type]]=K$1, K$1,"rg:None")</f>
        <v>binary</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rg:None</v>
      </c>
      <c r="T257" s="4" t="str">
        <f>IF(LEN(Table2[[#This Row],[!Length]]) &gt; 0, Table2[[#This Row],[!Length]], "rg:None")</f>
        <v>rg:None</v>
      </c>
      <c r="U257" s="4" t="str">
        <f>IF(LEN(Table2[[#This Row],[!Name]]) &gt; 0, Table2[[#This Row],[!Name]], "rg:None")</f>
        <v>fileContents</v>
      </c>
      <c r="V257" s="4" t="str">
        <f>IF(LEN(Table2[[#This Row],[!Description]]) &gt; 0, Table2[[#This Row],[!Description]], "rg:None")</f>
        <v>Binary contents of the file</v>
      </c>
      <c r="W257" s="4" t="str">
        <f>IF(LEN(Table2[[#This Row],[!FK]])&gt;0,Table2[[#This Row],[!FK]],"rg:None")</f>
        <v>rg:None</v>
      </c>
      <c r="X257" s="14" t="str">
        <f>IF(LEN(concatif2(A:A,Table2[[#This Row],[!Table]],G:G,"Y",D:D,",")) &gt; 0,"rg:[ { 'req' : '"&amp;concatif2(A:A,Table2[[#This Row],[!Table]],G:G,"Y",D:D,"' }, { 'req': '")&amp;"'} ]","rg:[]")</f>
        <v>rg:[ { 'req' : 'id'} ]</v>
      </c>
      <c r="Y257" s="4" t="str">
        <f>IF(LEN(Table2[[#This Row],[!Unique]])&gt;0,"rg:True","rg:None")</f>
        <v>rg:None</v>
      </c>
    </row>
    <row r="258" spans="1:25" x14ac:dyDescent="0.3">
      <c r="A258" s="81" t="s">
        <v>158</v>
      </c>
      <c r="B258" s="5" t="s">
        <v>7</v>
      </c>
      <c r="C258" s="5">
        <v>2048</v>
      </c>
      <c r="D258" s="5" t="s">
        <v>14</v>
      </c>
      <c r="E258" s="105" t="s">
        <v>157</v>
      </c>
      <c r="F258" s="5" t="s">
        <v>5</v>
      </c>
      <c r="G258" s="4"/>
      <c r="H258" s="4"/>
      <c r="I258" s="5" t="str">
        <f t="shared" si="26"/>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string</v>
      </c>
      <c r="S258" s="4" t="str">
        <f>IF(Table2[[#This Row],[!Type]]=S$1, S$1,"rg:None")</f>
        <v>rg:None</v>
      </c>
      <c r="T258" s="4">
        <f>IF(LEN(Table2[[#This Row],[!Length]]) &gt; 0, Table2[[#This Row],[!Length]], "rg:None")</f>
        <v>2048</v>
      </c>
      <c r="U258" s="4" t="str">
        <f>IF(LEN(Table2[[#This Row],[!Name]]) &gt; 0, Table2[[#This Row],[!Name]], "rg:None")</f>
        <v>description</v>
      </c>
      <c r="V258" s="4" t="str">
        <f>IF(LEN(Table2[[#This Row],[!Description]]) &gt; 0, Table2[[#This Row],[!Description]], "rg:None")</f>
        <v>A note about the attachment,  optionally maintained by the user.</v>
      </c>
      <c r="W258" s="4" t="str">
        <f>IF(LEN(Table2[[#This Row],[!FK]])&gt;0,Table2[[#This Row],[!FK]],"rg:None")</f>
        <v>rg:None</v>
      </c>
      <c r="X258" s="14" t="str">
        <f>IF(LEN(concatif2(A:A,Table2[[#This Row],[!Table]],G:G,"Y",D:D,",")) &gt; 0,"rg:[ { 'req' : '"&amp;concatif2(A:A,Table2[[#This Row],[!Table]],G:G,"Y",D:D,"' }, { 'req': '")&amp;"'} ]","rg:[]")</f>
        <v>rg:[ { 'req' : 'id'} ]</v>
      </c>
      <c r="Y258" s="4" t="str">
        <f>IF(LEN(Table2[[#This Row],[!Unique]])&gt;0,"rg:True","rg:None")</f>
        <v>rg:None</v>
      </c>
    </row>
    <row r="259" spans="1:25" x14ac:dyDescent="0.3">
      <c r="A259" s="72" t="s">
        <v>158</v>
      </c>
      <c r="B259" s="72" t="s">
        <v>7</v>
      </c>
      <c r="C259" s="72">
        <v>255</v>
      </c>
      <c r="D259" s="72" t="s">
        <v>20</v>
      </c>
      <c r="E259" s="47" t="s">
        <v>531</v>
      </c>
      <c r="F259" s="12"/>
      <c r="G259" s="18"/>
      <c r="H259" s="18"/>
      <c r="I259" s="4" t="str">
        <f>IF(LEN(A259) &gt; 0,"Defs","-")</f>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255</v>
      </c>
      <c r="U259" s="4" t="str">
        <f>IF(LEN(Table2[[#This Row],[!Name]]) &gt; 0, Table2[[#This Row],[!Name]], "rg:None")</f>
        <v>type</v>
      </c>
      <c r="V259" s="4" t="str">
        <f>IF(LEN(Table2[[#This Row],[!Description]]) &gt; 0, Table2[[#This Row],[!Description]], "rg:None")</f>
        <v>Type of attachment</v>
      </c>
      <c r="W259" s="4" t="str">
        <f>IF(LEN(Table2[[#This Row],[!FK]])&gt;0,Table2[[#This Row],[!FK]],"rg:None")</f>
        <v>rg:None</v>
      </c>
      <c r="X259" s="14" t="str">
        <f>IF(LEN(concatif2(A:A,Table2[[#This Row],[!Table]],G:G,"Y",D:D,",")) &gt; 0,"rg:[ { 'req' : '"&amp;concatif2(A:A,Table2[[#This Row],[!Table]],G:G,"Y",D:D,"' }, { 'req': '")&amp;"'} ]","rg:[]")</f>
        <v>rg:[ { 'req' : 'id'} ]</v>
      </c>
      <c r="Y259" s="4" t="str">
        <f>IF(LEN(Table2[[#This Row],[!Unique]])&gt;0,"rg:True","rg:None")</f>
        <v>rg:None</v>
      </c>
    </row>
    <row r="260" spans="1:25" ht="28.8" x14ac:dyDescent="0.3">
      <c r="A260" s="81" t="s">
        <v>160</v>
      </c>
      <c r="B260" s="5" t="s">
        <v>4</v>
      </c>
      <c r="D260" s="81" t="s">
        <v>160</v>
      </c>
      <c r="E260" s="76" t="s">
        <v>370</v>
      </c>
      <c r="F260" s="5" t="s">
        <v>5</v>
      </c>
      <c r="G260" s="4"/>
      <c r="H260" s="4"/>
      <c r="I260" s="5" t="str">
        <f t="shared" si="26"/>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table</v>
      </c>
      <c r="T260" s="4" t="str">
        <f>IF(LEN(Table2[[#This Row],[!Length]]) &gt; 0, Table2[[#This Row],[!Length]], "rg:None")</f>
        <v>rg:None</v>
      </c>
      <c r="U260" s="4" t="str">
        <f>IF(LEN(Table2[[#This Row],[!Name]]) &gt; 0, Table2[[#This Row],[!Name]], "rg:None")</f>
        <v>History</v>
      </c>
      <c r="V260" s="4" t="str">
        <f>IF(LEN(Table2[[#This Row],[!Description]]) &gt; 0, Table2[[#This Row],[!Description]], "rg:None")</f>
        <v>A log entry created by the system based on a triggering event and related to an entity in the application - e.g. piece of Equipment, an Owner, a Project and so on.</v>
      </c>
      <c r="W260" s="4" t="str">
        <f>IF(LEN(Table2[[#This Row],[!FK]])&gt;0,Table2[[#This Row],[!FK]],"rg:None")</f>
        <v>rg:None</v>
      </c>
      <c r="X260" s="14" t="str">
        <f>IF(LEN(concatif2(A:A,Table2[[#This Row],[!Table]],G:G,"Y",D:D,",")) &gt; 0,"rg:[ { 'req' : '"&amp;concatif2(A:A,Table2[[#This Row],[!Table]],G:G,"Y",D:D,"' }, { 'req': '")&amp;"'} ]","rg:[]")</f>
        <v>rg:[ { 'req' : 'id' }, { 'req': 'historyText'} ]</v>
      </c>
      <c r="Y260" s="4" t="str">
        <f>IF(LEN(Table2[[#This Row],[!Unique]])&gt;0,"rg:True","rg:None")</f>
        <v>rg:None</v>
      </c>
    </row>
    <row r="261" spans="1:25" x14ac:dyDescent="0.3">
      <c r="A261" s="81" t="s">
        <v>160</v>
      </c>
      <c r="B261" s="5" t="s">
        <v>6</v>
      </c>
      <c r="D261" s="5" t="s">
        <v>6</v>
      </c>
      <c r="E261" s="54" t="s">
        <v>316</v>
      </c>
      <c r="F261" s="5" t="s">
        <v>5</v>
      </c>
      <c r="G261" s="4" t="s">
        <v>62</v>
      </c>
      <c r="H261" s="41"/>
      <c r="I261" s="5" t="str">
        <f t="shared" si="26"/>
        <v>Defs</v>
      </c>
      <c r="J261" s="4" t="str">
        <f>IF(Table2[[#This Row],[!Type]]=J$1, J$1,"rg:None")</f>
        <v>rg:None</v>
      </c>
      <c r="K261" s="4" t="str">
        <f>IF(Table2[[#This Row],[!Type]]=K$1, K$1,"rg:None")</f>
        <v>rg:None</v>
      </c>
      <c r="L261" s="4" t="str">
        <f>IF(Table2[[#This Row],[!Type]]=L$1, L$1,"rg:None")</f>
        <v>rg:None</v>
      </c>
      <c r="M261" s="4" t="str">
        <f>IF(Table2[[#This Row],[!Type]]=M$1, M$1,"rg:None")</f>
        <v>id</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rg:None</v>
      </c>
      <c r="T261" s="4" t="str">
        <f>IF(LEN(Table2[[#This Row],[!Length]]) &gt; 0, Table2[[#This Row],[!Length]], "rg:None")</f>
        <v>rg:None</v>
      </c>
      <c r="U261" s="4" t="str">
        <f>IF(LEN(Table2[[#This Row],[!Name]]) &gt; 0, Table2[[#This Row],[!Name]], "rg:None")</f>
        <v>id</v>
      </c>
      <c r="V261" s="4" t="str">
        <f>IF(LEN(Table2[[#This Row],[!Description]]) &gt; 0, Table2[[#This Row],[!Description]], "rg:None")</f>
        <v>A system-generated unique identifier for a History</v>
      </c>
      <c r="W261" s="4" t="str">
        <f>IF(LEN(Table2[[#This Row],[!FK]])&gt;0,Table2[[#This Row],[!FK]],"rg:None")</f>
        <v>rg:None</v>
      </c>
      <c r="X261" s="14" t="str">
        <f>IF(LEN(concatif2(A:A,Table2[[#This Row],[!Table]],G:G,"Y",D:D,",")) &gt; 0,"rg:[ { 'req' : '"&amp;concatif2(A:A,Table2[[#This Row],[!Table]],G:G,"Y",D:D,"' }, { 'req': '")&amp;"'} ]","rg:[]")</f>
        <v>rg:[ { 'req' : 'id' }, { 'req': 'historyText'} ]</v>
      </c>
      <c r="Y261" s="4" t="str">
        <f>IF(LEN(Table2[[#This Row],[!Unique]])&gt;0,"rg:True","rg:None")</f>
        <v>rg:None</v>
      </c>
    </row>
    <row r="262" spans="1:25" x14ac:dyDescent="0.3">
      <c r="A262" s="81" t="s">
        <v>160</v>
      </c>
      <c r="B262" s="81" t="s">
        <v>7</v>
      </c>
      <c r="C262" s="5">
        <v>2048</v>
      </c>
      <c r="D262" s="106" t="s">
        <v>210</v>
      </c>
      <c r="E262" s="107" t="s">
        <v>211</v>
      </c>
      <c r="G262" s="41" t="s">
        <v>62</v>
      </c>
      <c r="H262" s="41"/>
      <c r="I262" s="5" t="str">
        <f t="shared" si="26"/>
        <v>Defs</v>
      </c>
      <c r="J262" s="4" t="str">
        <f>IF(Table2[[#This Row],[!Type]]=J$1, J$1,"rg:None")</f>
        <v>rg:None</v>
      </c>
      <c r="K262" s="4" t="str">
        <f>IF(Table2[[#This Row],[!Type]]=K$1, K$1,"rg:None")</f>
        <v>rg:None</v>
      </c>
      <c r="L262" s="4" t="str">
        <f>IF(Table2[[#This Row],[!Type]]=L$1, L$1,"rg:None")</f>
        <v>rg:None</v>
      </c>
      <c r="M262" s="4" t="str">
        <f>IF(Table2[[#This Row],[!Type]]=M$1, M$1,"rg:None")</f>
        <v>rg:None</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string</v>
      </c>
      <c r="S262" s="4" t="str">
        <f>IF(Table2[[#This Row],[!Type]]=S$1, S$1,"rg:None")</f>
        <v>rg:None</v>
      </c>
      <c r="T262" s="4">
        <f>IF(LEN(Table2[[#This Row],[!Length]]) &gt; 0, Table2[[#This Row],[!Length]], "rg:None")</f>
        <v>2048</v>
      </c>
      <c r="U262" s="4" t="str">
        <f>IF(LEN(Table2[[#This Row],[!Name]]) &gt; 0, Table2[[#This Row],[!Name]], "rg:None")</f>
        <v>historyText</v>
      </c>
      <c r="V262" s="4" t="str">
        <f>IF(LEN(Table2[[#This Row],[!Description]]) &gt; 0, Table2[[#This Row],[!Description]], "rg:None")</f>
        <v>The text of the history entry tracked against the related entity.</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Row],[!Unique]])&gt;0,"rg:True","rg:None")</f>
        <v>rg:None</v>
      </c>
    </row>
    <row r="263" spans="1:25" x14ac:dyDescent="0.3">
      <c r="A263" s="81" t="s">
        <v>160</v>
      </c>
      <c r="B263" s="19" t="s">
        <v>12</v>
      </c>
      <c r="C263" s="72"/>
      <c r="D263" s="31" t="s">
        <v>209</v>
      </c>
      <c r="E263" s="51" t="s">
        <v>161</v>
      </c>
      <c r="F263" s="12"/>
      <c r="G263" s="18"/>
      <c r="H263" s="18"/>
      <c r="I263" s="4" t="str">
        <f>IF(LEN(A263) &gt; 0,"Defs","-")</f>
        <v>Defs</v>
      </c>
      <c r="J263" s="14" t="str">
        <f>IF(Table2[[#This Row],[!Type]]=J$1, J$1,"rg:None")</f>
        <v>rg:None</v>
      </c>
      <c r="K263" s="14" t="str">
        <f>IF(Table2[[#This Row],[!Type]]=K$1, K$1,"rg:None")</f>
        <v>rg:None</v>
      </c>
      <c r="L263" s="14" t="str">
        <f>IF(Table2[[#This Row],[!Type]]=L$1, L$1,"rg:None")</f>
        <v>datetime</v>
      </c>
      <c r="M263" s="14" t="str">
        <f>IF(Table2[[#This Row],[!Type]]=M$1, M$1,"rg:None")</f>
        <v>rg:None</v>
      </c>
      <c r="N263" s="14" t="str">
        <f>IF(Table2[[#This Row],[!Type]]=N$1, N$1,"rg:None")</f>
        <v>rg:None</v>
      </c>
      <c r="O263" s="1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14" t="str">
        <f>IF(LEN(Table2[[#This Row],[!Length]]) &gt; 0, Table2[[#This Row],[!Length]], "rg:None")</f>
        <v>rg:None</v>
      </c>
      <c r="U263" s="14" t="str">
        <f>IF(LEN(Table2[[#This Row],[!Name]]) &gt; 0, Table2[[#This Row],[!Name]], "rg:None")</f>
        <v>createdDate</v>
      </c>
      <c r="V263" s="14" t="str">
        <f>IF(LEN(Table2[[#This Row],[!Description]]) &gt; 0, Table2[[#This Row],[!Description]], "rg:None")</f>
        <v>Date the record is created.</v>
      </c>
      <c r="W263" s="14" t="str">
        <f>IF(LEN(Table2[[#This Row],[!FK]])&gt;0,Table2[[#This Row],[!FK]],"rg:None")</f>
        <v>rg:None</v>
      </c>
      <c r="X263" s="14" t="str">
        <f>IF(LEN(concatif2(A:A,Table2[[#This Row],[!Table]],G:G,"Y",D:D,",")) &gt; 0,"rg:[ { 'req' : '"&amp;concatif2(A:A,Table2[[#This Row],[!Table]],G:G,"Y",D:D,"' }, { 'req': '")&amp;"'} ]","rg:[]")</f>
        <v>rg:[ { 'req' : 'id' }, { 'req': 'historyText'} ]</v>
      </c>
      <c r="Y263" s="14" t="str">
        <f>IF(LEN(Table2[[#This Row],[!Unique]])&gt;0,"rg:True","rg:None")</f>
        <v>rg:None</v>
      </c>
    </row>
    <row r="264" spans="1:25" ht="28.8" x14ac:dyDescent="0.3">
      <c r="A264" s="5" t="s">
        <v>22</v>
      </c>
      <c r="B264" s="5" t="s">
        <v>4</v>
      </c>
      <c r="D264" s="5" t="s">
        <v>22</v>
      </c>
      <c r="E264" s="54" t="s">
        <v>63</v>
      </c>
      <c r="F264" s="5" t="s">
        <v>5</v>
      </c>
      <c r="G264" s="4"/>
      <c r="H264" s="4"/>
      <c r="I264" s="5" t="str">
        <f t="shared" ref="I264:I306" si="27">IF(LEN(A264) &gt; 0,"Defs","-")</f>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table</v>
      </c>
      <c r="T264" s="8" t="str">
        <f>IF(LEN(Table2[[#This Row],[!Length]]) &gt; 0, Table2[[#This Row],[!Length]], "rg:None")</f>
        <v>rg:None</v>
      </c>
      <c r="U264" s="8" t="str">
        <f>IF(LEN(Table2[[#This Row],[!Name]]) &gt; 0, Table2[[#This Row],[!Name]], "rg:None")</f>
        <v>UserFavourite</v>
      </c>
      <c r="V264" s="8" t="str">
        <f>IF(LEN(Table2[[#This Row],[!Description]]) &gt; 0, Table2[[#This Row],[!Description]], "rg:None")</f>
        <v>User specific settings for a specific location in the UI. The location and saved settings are internally defined by the UI.</v>
      </c>
      <c r="W264" s="8" t="str">
        <f>IF(LEN(Table2[[#This Row],[!FK]])&gt;0,Table2[[#This Row],[!FK]],"rg:None")</f>
        <v>rg:None</v>
      </c>
      <c r="X264" s="8" t="str">
        <f>IF(LEN(concatif2(A:A,Table2[[#This Row],[!Table]],G:G,"Y",D:D,",")) &gt; 0,"rg:[ { 'req' : '"&amp;concatif2(A:A,Table2[[#This Row],[!Table]],G:G,"Y",D:D,"' }, { 'req': '")&amp;"'} ]","rg:[]")</f>
        <v>rg:[ { 'req' : 'id'} ]</v>
      </c>
      <c r="Y264" s="8" t="str">
        <f>IF(LEN(Table2[[#This Row],[!Unique]])&gt;0,"rg:True","rg:None")</f>
        <v>rg:None</v>
      </c>
    </row>
    <row r="265" spans="1:25" x14ac:dyDescent="0.3">
      <c r="A265" s="5" t="s">
        <v>22</v>
      </c>
      <c r="B265" s="5" t="s">
        <v>6</v>
      </c>
      <c r="D265" s="5" t="s">
        <v>6</v>
      </c>
      <c r="E265" s="54" t="s">
        <v>317</v>
      </c>
      <c r="F265" s="5" t="s">
        <v>5</v>
      </c>
      <c r="G265" s="4" t="s">
        <v>62</v>
      </c>
      <c r="H265" s="41"/>
      <c r="I265" s="5" t="str">
        <f t="shared" si="27"/>
        <v>Defs</v>
      </c>
      <c r="J265" s="8" t="str">
        <f>IF(Table2[[#This Row],[!Type]]=J$1, J$1,"rg:None")</f>
        <v>rg:None</v>
      </c>
      <c r="K265" s="8" t="str">
        <f>IF(Table2[[#This Row],[!Type]]=K$1, K$1,"rg:None")</f>
        <v>rg:None</v>
      </c>
      <c r="L265" s="8" t="str">
        <f>IF(Table2[[#This Row],[!Type]]=L$1, L$1,"rg:None")</f>
        <v>rg:None</v>
      </c>
      <c r="M265" s="8" t="str">
        <f>IF(Table2[[#This Row],[!Type]]=M$1, M$1,"rg:None")</f>
        <v>id</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id</v>
      </c>
      <c r="V265" s="8" t="str">
        <f>IF(LEN(Table2[[#This Row],[!Description]]) &gt; 0, Table2[[#This Row],[!Description]], "rg:None")</f>
        <v>A system-generated unique identifier for a UserFavourite</v>
      </c>
      <c r="W265" s="8" t="str">
        <f>IF(LEN(Table2[[#This Row],[!FK]])&gt;0,Table2[[#This Row],[!FK]],"rg:None")</f>
        <v>rg:None</v>
      </c>
      <c r="X265" s="8" t="str">
        <f>IF(LEN(concatif2(A:A,Table2[[#This Row],[!Table]],G:G,"Y",D:D,",")) &gt; 0,"rg:[ { 'req' : '"&amp;concatif2(A:A,Table2[[#This Row],[!Table]],G:G,"Y",D:D,"' }, { 'req': '")&amp;"'} ]","rg:[]")</f>
        <v>rg:[ { 'req' : 'id'} ]</v>
      </c>
      <c r="Y265" s="8" t="str">
        <f>IF(LEN(Table2[[#This Row],[!Unique]])&gt;0,"rg:True","rg:None")</f>
        <v>rg:None</v>
      </c>
    </row>
    <row r="266" spans="1:25" ht="28.8" x14ac:dyDescent="0.3">
      <c r="A266" s="5" t="s">
        <v>22</v>
      </c>
      <c r="B266" s="5" t="s">
        <v>7</v>
      </c>
      <c r="C266" s="5">
        <v>150</v>
      </c>
      <c r="D266" s="5" t="s">
        <v>15</v>
      </c>
      <c r="E266" s="54" t="s">
        <v>23</v>
      </c>
      <c r="F266" s="5" t="s">
        <v>5</v>
      </c>
      <c r="G266" s="4"/>
      <c r="H266" s="4"/>
      <c r="I266" s="5" t="str">
        <f t="shared" si="27"/>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8">
        <f>IF(LEN(Table2[[#This Row],[!Length]]) &gt; 0, Table2[[#This Row],[!Length]], "rg:None")</f>
        <v>150</v>
      </c>
      <c r="U266" s="8" t="str">
        <f>IF(LEN(Table2[[#This Row],[!Name]]) &gt; 0, Table2[[#This Row],[!Name]], "rg:None")</f>
        <v>name</v>
      </c>
      <c r="V266" s="8" t="str">
        <f>IF(LEN(Table2[[#This Row],[!Description]]) &gt; 0, Table2[[#This Row],[!Description]], "rg:None")</f>
        <v>The user-defined name for the recorded settings. Allows the user to save different groups of settings and access each one easily when needed.</v>
      </c>
      <c r="W266" s="8" t="str">
        <f>IF(LEN(Table2[[#This Row],[!FK]])&gt;0,Table2[[#This Row],[!FK]],"rg:None")</f>
        <v>rg:None</v>
      </c>
      <c r="X266" s="8" t="str">
        <f>IF(LEN(concatif2(A:A,Table2[[#This Row],[!Table]],G:G,"Y",D:D,",")) &gt; 0,"rg:[ { 'req' : '"&amp;concatif2(A:A,Table2[[#This Row],[!Table]],G:G,"Y",D:D,"' }, { 'req': '")&amp;"'} ]","rg:[]")</f>
        <v>rg:[ { 'req' : 'id'} ]</v>
      </c>
      <c r="Y266" s="8" t="str">
        <f>IF(LEN(Table2[[#This Row],[!Unique]])&gt;0,"rg:True","rg:None")</f>
        <v>rg:None</v>
      </c>
    </row>
    <row r="267" spans="1:25" ht="28.8" x14ac:dyDescent="0.3">
      <c r="A267" s="5" t="s">
        <v>22</v>
      </c>
      <c r="B267" s="5" t="s">
        <v>7</v>
      </c>
      <c r="C267" s="5">
        <v>2048</v>
      </c>
      <c r="D267" s="5" t="s">
        <v>24</v>
      </c>
      <c r="E267" s="54" t="s">
        <v>25</v>
      </c>
      <c r="F267" s="5" t="s">
        <v>5</v>
      </c>
      <c r="G267" s="4"/>
      <c r="H267" s="4"/>
      <c r="I267" s="5" t="str">
        <f t="shared" si="27"/>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2048</v>
      </c>
      <c r="U267" s="8" t="str">
        <f>IF(LEN(Table2[[#This Row],[!Name]]) &gt; 0, Table2[[#This Row],[!Name]], "rg:None")</f>
        <v>value</v>
      </c>
      <c r="V267" s="8" t="str">
        <f>IF(LEN(Table2[[#This Row],[!Description]]) &gt; 0, Table2[[#This Row],[!Description]], "rg:None")</f>
        <v>The settings saved by the user. In general,  a UI defined chunk of json that stores the settings in place when the user created the favourite.</v>
      </c>
      <c r="W267" s="8" t="str">
        <f>IF(LEN(Table2[[#This Row],[!FK]])&gt;0,Table2[[#This Row],[!FK]],"rg:None")</f>
        <v>rg:None</v>
      </c>
      <c r="X267" s="8" t="str">
        <f>IF(LEN(concatif2(A:A,Table2[[#This Row],[!Table]],G:G,"Y",D:D,",")) &gt; 0,"rg:[ { 'req' : '"&amp;concatif2(A:A,Table2[[#This Row],[!Table]],G:G,"Y",D:D,"' }, { 'req': '")&amp;"'} ]","rg:[]")</f>
        <v>rg:[ { 'req' : 'id'} ]</v>
      </c>
      <c r="Y267" s="8" t="str">
        <f>IF(LEN(Table2[[#This Row],[!Unique]])&gt;0,"rg:True","rg:None")</f>
        <v>rg:None</v>
      </c>
    </row>
    <row r="268" spans="1:25" ht="57.6" x14ac:dyDescent="0.3">
      <c r="A268" s="5" t="s">
        <v>22</v>
      </c>
      <c r="B268" s="5" t="s">
        <v>9</v>
      </c>
      <c r="D268" s="5" t="s">
        <v>26</v>
      </c>
      <c r="E268" s="54" t="s">
        <v>27</v>
      </c>
      <c r="F268" s="5" t="s">
        <v>5</v>
      </c>
      <c r="G268" s="4"/>
      <c r="H268" s="4"/>
      <c r="I268" s="5" t="str">
        <f t="shared" si="27"/>
        <v>Defs</v>
      </c>
      <c r="J268" s="8" t="str">
        <f>IF(Table2[[#This Row],[!Type]]=J$1, J$1,"rg:None")</f>
        <v>boolean</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isDefault</v>
      </c>
      <c r="V268"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8" s="8" t="str">
        <f>IF(LEN(Table2[[#This Row],[!FK]])&gt;0,Table2[[#This Row],[!FK]],"rg:None")</f>
        <v>rg:None</v>
      </c>
      <c r="X268" s="8" t="str">
        <f>IF(LEN(concatif2(A:A,Table2[[#This Row],[!Table]],G:G,"Y",D:D,",")) &gt; 0,"rg:[ { 'req' : '"&amp;concatif2(A:A,Table2[[#This Row],[!Table]],G:G,"Y",D:D,"' }, { 'req': '")&amp;"'} ]","rg:[]")</f>
        <v>rg:[ { 'req' : 'id'} ]</v>
      </c>
      <c r="Y268" s="8" t="str">
        <f>IF(LEN(Table2[[#This Row],[!Unique]])&gt;0,"rg:True","rg:None")</f>
        <v>rg:None</v>
      </c>
    </row>
    <row r="269" spans="1:25" x14ac:dyDescent="0.3">
      <c r="A269" s="5" t="s">
        <v>22</v>
      </c>
      <c r="B269" s="108" t="s">
        <v>7</v>
      </c>
      <c r="C269" s="5">
        <v>150</v>
      </c>
      <c r="D269" s="108" t="s">
        <v>20</v>
      </c>
      <c r="E269" s="52" t="s">
        <v>215</v>
      </c>
      <c r="G269" s="4"/>
      <c r="H269" s="4"/>
      <c r="I269" s="5" t="str">
        <f t="shared" si="27"/>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150</v>
      </c>
      <c r="U269" s="8" t="str">
        <f>IF(LEN(Table2[[#This Row],[!Name]]) &gt; 0, Table2[[#This Row],[!Name]], "rg:None")</f>
        <v>type</v>
      </c>
      <c r="V269" s="8" t="str">
        <f>IF(LEN(Table2[[#This Row],[!Description]]) &gt; 0, Table2[[#This Row],[!Description]], "rg:None")</f>
        <v>The type of Favourite</v>
      </c>
      <c r="W269" s="8" t="str">
        <f>IF(LEN(Table2[[#This Row],[!FK]])&gt;0,Table2[[#This Row],[!FK]],"rg:None")</f>
        <v>rg:None</v>
      </c>
      <c r="X269" s="8" t="str">
        <f>IF(LEN(concatif2(A:A,Table2[[#This Row],[!Table]],G:G,"Y",D:D,",")) &gt; 0,"rg:[ { 'req' : '"&amp;concatif2(A:A,Table2[[#This Row],[!Table]],G:G,"Y",D:D,"' }, { 'req': '")&amp;"'} ]","rg:[]")</f>
        <v>rg:[ { 'req' : 'id'} ]</v>
      </c>
      <c r="Y269" s="8" t="str">
        <f>IF(LEN(Table2[[#This Row],[!Unique]])&gt;0,"rg:True","rg:None")</f>
        <v>rg:None</v>
      </c>
    </row>
    <row r="270" spans="1:25" x14ac:dyDescent="0.3">
      <c r="A270" s="38" t="s">
        <v>22</v>
      </c>
      <c r="B270" s="38" t="s">
        <v>8</v>
      </c>
      <c r="C270" s="72"/>
      <c r="D270" s="38" t="s">
        <v>0</v>
      </c>
      <c r="E270" s="53" t="s">
        <v>216</v>
      </c>
      <c r="F270" s="39" t="s">
        <v>0</v>
      </c>
      <c r="G270" s="18"/>
      <c r="H270" s="18"/>
      <c r="I270" s="4" t="str">
        <f>IF(LEN(A270) &gt; 0,"Defs","-")</f>
        <v>Defs</v>
      </c>
      <c r="J270" s="14" t="str">
        <f>IF(Table2[[#This Row],[!Type]]=J$1, J$1,"rg:None")</f>
        <v>rg:None</v>
      </c>
      <c r="K270" s="14" t="str">
        <f>IF(Table2[[#This Row],[!Type]]=K$1, K$1,"rg:None")</f>
        <v>rg:None</v>
      </c>
      <c r="L270" s="14" t="str">
        <f>IF(Table2[[#This Row],[!Type]]=L$1, L$1,"rg:None")</f>
        <v>rg:None</v>
      </c>
      <c r="M270" s="14" t="str">
        <f>IF(Table2[[#This Row],[!Type]]=M$1, M$1,"rg:None")</f>
        <v>rg:None</v>
      </c>
      <c r="N270" s="14" t="str">
        <f>IF(Table2[[#This Row],[!Type]]=N$1, N$1,"rg:None")</f>
        <v>rg:None</v>
      </c>
      <c r="O270" s="14" t="str">
        <f>IF(Table2[[#This Row],[!Type]]=O$1, O$1,"rg:None")</f>
        <v>rg:None</v>
      </c>
      <c r="P270" s="4" t="str">
        <f>IF(Table2[[#This Row],[!Type]]=P$1, P$1,"rg:None")</f>
        <v>rg:None</v>
      </c>
      <c r="Q270" s="4" t="str">
        <f>IF(Table2[[#This Row],[!Type]]=Q$1, Q$1,"rg:None")</f>
        <v>ref</v>
      </c>
      <c r="R270" s="4" t="str">
        <f>IF(Table2[[#This Row],[!Type]]=R$1, R$1,"rg:None")</f>
        <v>rg:None</v>
      </c>
      <c r="S270" s="4" t="str">
        <f>IF(Table2[[#This Row],[!Type]]=S$1, S$1,"rg:None")</f>
        <v>rg:None</v>
      </c>
      <c r="T270" s="14" t="str">
        <f>IF(LEN(Table2[[#This Row],[!Length]]) &gt; 0, Table2[[#This Row],[!Length]], "rg:None")</f>
        <v>rg:None</v>
      </c>
      <c r="U270" s="14" t="str">
        <f>IF(LEN(Table2[[#This Row],[!Name]]) &gt; 0, Table2[[#This Row],[!Name]], "rg:None")</f>
        <v>User</v>
      </c>
      <c r="V270" s="14" t="str">
        <f>IF(LEN(Table2[[#This Row],[!Description]]) &gt; 0, Table2[[#This Row],[!Description]], "rg:None")</f>
        <v>The User who has this Favourite</v>
      </c>
      <c r="W270" s="14" t="str">
        <f>IF(LEN(Table2[[#This Row],[!FK]])&gt;0,Table2[[#This Row],[!FK]],"rg:None")</f>
        <v>User</v>
      </c>
      <c r="X270" s="14" t="str">
        <f>IF(LEN(concatif2(A:A,Table2[[#This Row],[!Table]],G:G,"Y",D:D,",")) &gt; 0,"rg:[ { 'req' : '"&amp;concatif2(A:A,Table2[[#This Row],[!Table]],G:G,"Y",D:D,"' }, { 'req': '")&amp;"'} ]","rg:[]")</f>
        <v>rg:[ { 'req' : 'id'} ]</v>
      </c>
      <c r="Y270" s="14" t="str">
        <f>IF(LEN(Table2[[#This Row],[!Unique]])&gt;0,"rg:True","rg:None")</f>
        <v>rg:None</v>
      </c>
    </row>
    <row r="271" spans="1:25" x14ac:dyDescent="0.3">
      <c r="A271" s="5" t="s">
        <v>28</v>
      </c>
      <c r="B271" s="5" t="s">
        <v>4</v>
      </c>
      <c r="D271" s="5" t="s">
        <v>28</v>
      </c>
      <c r="E271" s="76" t="s">
        <v>402</v>
      </c>
      <c r="F271" s="5" t="s">
        <v>5</v>
      </c>
      <c r="G271" s="4"/>
      <c r="H271" s="4"/>
      <c r="I271" s="5" t="str">
        <f t="shared" si="27"/>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table</v>
      </c>
      <c r="T271" s="8" t="str">
        <f>IF(LEN(Table2[[#This Row],[!Length]]) &gt; 0, Table2[[#This Row],[!Length]], "rg:None")</f>
        <v>rg:None</v>
      </c>
      <c r="U271" s="8" t="str">
        <f>IF(LEN(Table2[[#This Row],[!Name]]) &gt; 0, Table2[[#This Row],[!Name]], "rg:None")</f>
        <v>Region</v>
      </c>
      <c r="V271" s="8" t="str">
        <f>IF(LEN(Table2[[#This Row],[!Description]]) &gt; 0, Table2[[#This Row],[!Description]], "rg:None")</f>
        <v>The Ministry of Transportion and Infrastructure REGION.</v>
      </c>
      <c r="W271" s="8" t="str">
        <f>IF(LEN(Table2[[#This Row],[!FK]])&gt;0,Table2[[#This Row],[!FK]],"rg:None")</f>
        <v>rg:None</v>
      </c>
      <c r="X271" s="8" t="str">
        <f>IF(LEN(concatif2(A:A,Table2[[#This Row],[!Table]],G:G,"Y",D:D,",")) &gt; 0,"rg:[ { 'req' : '"&amp;concatif2(A:A,Table2[[#This Row],[!Table]],G:G,"Y",D:D,"' }, { 'req': '")&amp;"'} ]","rg:[]")</f>
        <v>rg:[ { 'req' : 'id' }, { 'req': 'ministryRegionID' }, { 'req': 'name' }, { 'req': 'startDate'} ]</v>
      </c>
      <c r="Y271" s="8" t="str">
        <f>IF(LEN(Table2[[#This Row],[!Unique]])&gt;0,"rg:True","rg:None")</f>
        <v>rg:None</v>
      </c>
    </row>
    <row r="272" spans="1:25" x14ac:dyDescent="0.3">
      <c r="A272" s="5" t="s">
        <v>28</v>
      </c>
      <c r="B272" s="5" t="s">
        <v>6</v>
      </c>
      <c r="D272" s="5" t="s">
        <v>6</v>
      </c>
      <c r="E272" s="54" t="s">
        <v>318</v>
      </c>
      <c r="F272" s="5" t="s">
        <v>5</v>
      </c>
      <c r="G272" s="4" t="s">
        <v>62</v>
      </c>
      <c r="H272" s="41"/>
      <c r="I272" s="5" t="str">
        <f t="shared" si="27"/>
        <v>Defs</v>
      </c>
      <c r="J272" s="8" t="str">
        <f>IF(Table2[[#This Row],[!Type]]=J$1, J$1,"rg:None")</f>
        <v>rg:None</v>
      </c>
      <c r="K272" s="8" t="str">
        <f>IF(Table2[[#This Row],[!Type]]=K$1, K$1,"rg:None")</f>
        <v>rg:None</v>
      </c>
      <c r="L272" s="8" t="str">
        <f>IF(Table2[[#This Row],[!Type]]=L$1, L$1,"rg:None")</f>
        <v>rg:None</v>
      </c>
      <c r="M272" s="8" t="str">
        <f>IF(Table2[[#This Row],[!Type]]=M$1, M$1,"rg:None")</f>
        <v>id</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id</v>
      </c>
      <c r="V272" s="8" t="str">
        <f>IF(LEN(Table2[[#This Row],[!Description]]) &gt; 0, Table2[[#This Row],[!Description]], "rg:None")</f>
        <v>A system-generated unique identifier for a Region</v>
      </c>
      <c r="W272" s="8" t="str">
        <f>IF(LEN(Table2[[#This Row],[!FK]])&gt;0,Table2[[#This Row],[!FK]],"rg:None")</f>
        <v>rg:None</v>
      </c>
      <c r="X272" s="8" t="str">
        <f>IF(LEN(concatif2(A:A,Table2[[#This Row],[!Table]],G:G,"Y",D:D,",")) &gt; 0,"rg:[ { 'req' : '"&amp;concatif2(A:A,Table2[[#This Row],[!Table]],G:G,"Y",D:D,"' }, { 'req': '")&amp;"'} ]","rg:[]")</f>
        <v>rg:[ { 'req' : 'id' }, { 'req': 'ministryRegionID' }, { 'req': 'name' }, { 'req': 'startDate'} ]</v>
      </c>
      <c r="Y272" s="8" t="str">
        <f>IF(LEN(Table2[[#This Row],[!Unique]])&gt;0,"rg:True","rg:None")</f>
        <v>rg:None</v>
      </c>
    </row>
    <row r="273" spans="1:25" x14ac:dyDescent="0.3">
      <c r="A273" s="5" t="s">
        <v>28</v>
      </c>
      <c r="B273" s="5" t="s">
        <v>13</v>
      </c>
      <c r="D273" s="5" t="s">
        <v>29</v>
      </c>
      <c r="E273" s="76" t="s">
        <v>407</v>
      </c>
      <c r="F273" s="5" t="s">
        <v>5</v>
      </c>
      <c r="G273" s="41" t="s">
        <v>62</v>
      </c>
      <c r="H273" s="41" t="s">
        <v>62</v>
      </c>
      <c r="I273" s="5" t="str">
        <f t="shared" si="27"/>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integer</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ministryRegionID</v>
      </c>
      <c r="V273" s="8" t="str">
        <f>IF(LEN(Table2[[#This Row],[!Description]]) &gt; 0, Table2[[#This Row],[!Description]], "rg:None")</f>
        <v>A system generated unique identifier. NOT GENERATED IN THIS SYSTEM.</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Row],[!Unique]])&gt;0,"rg:True","rg:None")</f>
        <v>rg:True</v>
      </c>
    </row>
    <row r="274" spans="1:25" x14ac:dyDescent="0.3">
      <c r="A274" s="61" t="s">
        <v>28</v>
      </c>
      <c r="B274" s="61" t="s">
        <v>13</v>
      </c>
      <c r="C274" s="72"/>
      <c r="D274" s="61" t="s">
        <v>403</v>
      </c>
      <c r="E274" s="60" t="s">
        <v>404</v>
      </c>
      <c r="F274" s="12"/>
      <c r="G274" s="18"/>
      <c r="H274" s="18"/>
      <c r="I274" s="4" t="str">
        <f>IF(LEN(A274) &gt; 0,"Defs","-")</f>
        <v>Defs</v>
      </c>
      <c r="J274" s="14" t="str">
        <f>IF(Table2[[#This Row],[!Type]]=J$1, J$1,"rg:None")</f>
        <v>rg:None</v>
      </c>
      <c r="K274" s="14" t="str">
        <f>IF(Table2[[#This Row],[!Type]]=K$1, K$1,"rg:None")</f>
        <v>rg:None</v>
      </c>
      <c r="L274" s="14" t="str">
        <f>IF(Table2[[#This Row],[!Type]]=L$1, L$1,"rg:None")</f>
        <v>rg:None</v>
      </c>
      <c r="M274" s="14" t="str">
        <f>IF(Table2[[#This Row],[!Type]]=M$1, M$1,"rg:None")</f>
        <v>rg:None</v>
      </c>
      <c r="N274" s="14" t="str">
        <f>IF(Table2[[#This Row],[!Type]]=N$1, N$1,"rg:None")</f>
        <v>integer</v>
      </c>
      <c r="O274" s="14" t="str">
        <f>IF(Table2[[#This Row],[!Type]]=O$1, O$1,"rg:None")</f>
        <v>rg:None</v>
      </c>
      <c r="P274" s="4" t="str">
        <f>IF(Table2[[#This Row],[!Type]]=P$1, P$1,"rg:None")</f>
        <v>rg:None</v>
      </c>
      <c r="Q274" s="4" t="str">
        <f>IF(Table2[[#This Row],[!Type]]=Q$1, Q$1,"rg:None")</f>
        <v>rg:None</v>
      </c>
      <c r="R274" s="4" t="str">
        <f>IF(Table2[[#This Row],[!Type]]=R$1, R$1,"rg:None")</f>
        <v>rg:None</v>
      </c>
      <c r="S274" s="4" t="str">
        <f>IF(Table2[[#This Row],[!Type]]=S$1, S$1,"rg:None")</f>
        <v>rg:None</v>
      </c>
      <c r="T274" s="14" t="str">
        <f>IF(LEN(Table2[[#This Row],[!Length]]) &gt; 0, Table2[[#This Row],[!Length]], "rg:None")</f>
        <v>rg:None</v>
      </c>
      <c r="U274" s="14" t="str">
        <f>IF(LEN(Table2[[#This Row],[!Name]]) &gt; 0, Table2[[#This Row],[!Name]], "rg:None")</f>
        <v>regionNumber</v>
      </c>
      <c r="V274" s="14" t="str">
        <f>IF(LEN(Table2[[#This Row],[!Description]]) &gt; 0, Table2[[#This Row],[!Description]], "rg:None")</f>
        <v>A code that uniquely defines a Region.</v>
      </c>
      <c r="W274" s="14" t="str">
        <f>IF(LEN(Table2[[#This Row],[!FK]])&gt;0,Table2[[#This Row],[!FK]],"rg:None")</f>
        <v>rg:None</v>
      </c>
      <c r="X274" s="14" t="str">
        <f>IF(LEN(concatif2(A:A,Table2[[#This Row],[!Table]],G:G,"Y",D:D,",")) &gt; 0,"rg:[ { 'req' : '"&amp;concatif2(A:A,Table2[[#This Row],[!Table]],G:G,"Y",D:D,"' }, { 'req': '")&amp;"'} ]","rg:[]")</f>
        <v>rg:[ { 'req' : 'id' }, { 'req': 'ministryRegionID' }, { 'req': 'name' }, { 'req': 'startDate'} ]</v>
      </c>
      <c r="Y274" s="14" t="str">
        <f>IF(LEN(Table2[[#This Row],[!Unique]])&gt;0,"rg:True","rg:None")</f>
        <v>rg:None</v>
      </c>
    </row>
    <row r="275" spans="1:25" x14ac:dyDescent="0.3">
      <c r="A275" s="5" t="s">
        <v>28</v>
      </c>
      <c r="B275" s="5" t="s">
        <v>7</v>
      </c>
      <c r="C275" s="5">
        <v>150</v>
      </c>
      <c r="D275" s="5" t="s">
        <v>15</v>
      </c>
      <c r="E275" s="76" t="s">
        <v>405</v>
      </c>
      <c r="F275" s="5" t="s">
        <v>5</v>
      </c>
      <c r="G275" s="41" t="s">
        <v>62</v>
      </c>
      <c r="H275" s="41"/>
      <c r="I275" s="5" t="str">
        <f t="shared" si="27"/>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string</v>
      </c>
      <c r="S275" s="5" t="str">
        <f>IF(Table2[[#This Row],[!Type]]=S$1, S$1,"rg:None")</f>
        <v>rg:None</v>
      </c>
      <c r="T275" s="8">
        <f>IF(LEN(Table2[[#This Row],[!Length]]) &gt; 0, Table2[[#This Row],[!Length]], "rg:None")</f>
        <v>150</v>
      </c>
      <c r="U275" s="8" t="str">
        <f>IF(LEN(Table2[[#This Row],[!Name]]) &gt; 0, Table2[[#This Row],[!Name]], "rg:None")</f>
        <v>name</v>
      </c>
      <c r="V275" s="8" t="str">
        <f>IF(LEN(Table2[[#This Row],[!Description]]) &gt; 0, Table2[[#This Row],[!Description]], "rg:None")</f>
        <v>The name of a Minsitry Region.</v>
      </c>
      <c r="W275" s="8" t="str">
        <f>IF(LEN(Table2[[#This Row],[!FK]])&gt;0,Table2[[#This Row],[!FK]],"rg:None")</f>
        <v>rg:None</v>
      </c>
      <c r="X275" s="8" t="str">
        <f>IF(LEN(concatif2(A:A,Table2[[#This Row],[!Table]],G:G,"Y",D:D,",")) &gt; 0,"rg:[ { 'req' : '"&amp;concatif2(A:A,Table2[[#This Row],[!Table]],G:G,"Y",D:D,"' }, { 'req': '")&amp;"'} ]","rg:[]")</f>
        <v>rg:[ { 'req' : 'id' }, { 'req': 'ministryRegionID' }, { 'req': 'name' }, { 'req': 'startDate'} ]</v>
      </c>
      <c r="Y275" s="8" t="str">
        <f>IF(LEN(Table2[[#This Row],[!Unique]])&gt;0,"rg:True","rg:None")</f>
        <v>rg:None</v>
      </c>
    </row>
    <row r="276" spans="1:25" ht="28.8" x14ac:dyDescent="0.3">
      <c r="A276" s="5" t="s">
        <v>28</v>
      </c>
      <c r="B276" s="5" t="s">
        <v>12</v>
      </c>
      <c r="D276" s="5" t="s">
        <v>30</v>
      </c>
      <c r="E276" s="76" t="s">
        <v>411</v>
      </c>
      <c r="F276" s="5" t="s">
        <v>5</v>
      </c>
      <c r="G276" s="63" t="s">
        <v>62</v>
      </c>
      <c r="H276" s="4"/>
      <c r="I276" s="5" t="str">
        <f t="shared" si="27"/>
        <v>Defs</v>
      </c>
      <c r="J276" s="8" t="str">
        <f>IF(Table2[[#This Row],[!Type]]=J$1, J$1,"rg:None")</f>
        <v>rg:None</v>
      </c>
      <c r="K276" s="8" t="str">
        <f>IF(Table2[[#This Row],[!Type]]=K$1, K$1,"rg:None")</f>
        <v>rg:None</v>
      </c>
      <c r="L276" s="8" t="str">
        <f>IF(Table2[[#This Row],[!Type]]=L$1, L$1,"rg:None")</f>
        <v>datetime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startDate</v>
      </c>
      <c r="V276" s="8" t="str">
        <f>IF(LEN(Table2[[#This Row],[!Description]]) &gt; 0, Table2[[#This Row],[!Description]], "rg:None")</f>
        <v>The DATE the business information came into effect. - NOT CURRENTLY ENFORCED IN THIS SYSTEM</v>
      </c>
      <c r="W276" s="8" t="str">
        <f>IF(LEN(Table2[[#This Row],[!FK]])&gt;0,Table2[[#This Row],[!FK]],"rg:None")</f>
        <v>rg:None</v>
      </c>
      <c r="X276" s="8" t="str">
        <f>IF(LEN(concatif2(A:A,Table2[[#This Row],[!Table]],G:G,"Y",D:D,",")) &gt; 0,"rg:[ { 'req' : '"&amp;concatif2(A:A,Table2[[#This Row],[!Table]],G:G,"Y",D:D,"' }, { 'req': '")&amp;"'} ]","rg:[]")</f>
        <v>rg:[ { 'req' : 'id' }, { 'req': 'ministryRegionID' }, { 'req': 'name' }, { 'req': 'startDate'} ]</v>
      </c>
      <c r="Y276" s="8" t="str">
        <f>IF(LEN(Table2[[#This Row],[!Unique]])&gt;0,"rg:True","rg:None")</f>
        <v>rg:None</v>
      </c>
    </row>
    <row r="277" spans="1:25" ht="28.8" x14ac:dyDescent="0.3">
      <c r="A277" s="5" t="s">
        <v>28</v>
      </c>
      <c r="B277" s="5" t="s">
        <v>12</v>
      </c>
      <c r="D277" s="5" t="s">
        <v>31</v>
      </c>
      <c r="E277" s="76" t="s">
        <v>412</v>
      </c>
      <c r="F277" s="5" t="s">
        <v>5</v>
      </c>
      <c r="G277" s="4"/>
      <c r="H277" s="4"/>
      <c r="I277" s="5" t="str">
        <f t="shared" si="27"/>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endDate</v>
      </c>
      <c r="V277" s="8" t="str">
        <f>IF(LEN(Table2[[#This Row],[!Description]]) &gt; 0, Table2[[#This Row],[!Description]], "rg:None")</f>
        <v>The DATE the business information ceased to be in effect. - NOT CURRENTLY ENFORCED IN THIS SYSTEM</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Row],[!Unique]])&gt;0,"rg:True","rg:None")</f>
        <v>rg:None</v>
      </c>
    </row>
    <row r="278" spans="1:25" x14ac:dyDescent="0.3">
      <c r="A278" s="5" t="s">
        <v>32</v>
      </c>
      <c r="B278" s="5" t="s">
        <v>4</v>
      </c>
      <c r="D278" s="5" t="s">
        <v>32</v>
      </c>
      <c r="E278" s="76" t="s">
        <v>406</v>
      </c>
      <c r="F278" s="5" t="s">
        <v>5</v>
      </c>
      <c r="G278" s="4"/>
      <c r="H278" s="4"/>
      <c r="I278" s="5" t="str">
        <f t="shared" si="27"/>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table</v>
      </c>
      <c r="T278" s="8" t="str">
        <f>IF(LEN(Table2[[#This Row],[!Length]]) &gt; 0, Table2[[#This Row],[!Length]], "rg:None")</f>
        <v>rg:None</v>
      </c>
      <c r="U278" s="8" t="str">
        <f>IF(LEN(Table2[[#This Row],[!Name]]) &gt; 0, Table2[[#This Row],[!Name]], "rg:None")</f>
        <v>District</v>
      </c>
      <c r="V278" s="8" t="str">
        <f>IF(LEN(Table2[[#This Row],[!Description]]) &gt; 0, Table2[[#This Row],[!Description]], "rg:None")</f>
        <v>The Ministry of Transportion and Infrastructure DISTRICT</v>
      </c>
      <c r="W278" s="8" t="str">
        <f>IF(LEN(Table2[[#This Row],[!FK]])&gt;0,Table2[[#This Row],[!FK]],"rg:None")</f>
        <v>rg:None</v>
      </c>
      <c r="X278" s="8" t="str">
        <f>IF(LEN(concatif2(A:A,Table2[[#This Row],[!Table]],G:G,"Y",D:D,",")) &gt; 0,"rg:[ { 'req' : '"&amp;concatif2(A:A,Table2[[#This Row],[!Table]],G:G,"Y",D:D,"' }, { 'req': '")&amp;"'} ]","rg:[]")</f>
        <v>rg:[ { 'req' : 'id' }, { 'req': 'ministryDistrictID' }, { 'req': 'name' }, { 'req': 'region' }, { 'req': 'startDate'} ]</v>
      </c>
      <c r="Y278" s="8" t="str">
        <f>IF(LEN(Table2[[#This Row],[!Unique]])&gt;0,"rg:True","rg:None")</f>
        <v>rg:None</v>
      </c>
    </row>
    <row r="279" spans="1:25" x14ac:dyDescent="0.3">
      <c r="A279" s="5" t="s">
        <v>32</v>
      </c>
      <c r="B279" s="5" t="s">
        <v>6</v>
      </c>
      <c r="D279" s="5" t="s">
        <v>6</v>
      </c>
      <c r="E279" s="54" t="s">
        <v>319</v>
      </c>
      <c r="F279" s="5" t="s">
        <v>5</v>
      </c>
      <c r="G279" s="4" t="s">
        <v>62</v>
      </c>
      <c r="H279" s="41"/>
      <c r="I279" s="5" t="str">
        <f t="shared" si="27"/>
        <v>Defs</v>
      </c>
      <c r="J279" s="8" t="str">
        <f>IF(Table2[[#This Row],[!Type]]=J$1, J$1,"rg:None")</f>
        <v>rg:None</v>
      </c>
      <c r="K279" s="8" t="str">
        <f>IF(Table2[[#This Row],[!Type]]=K$1, K$1,"rg:None")</f>
        <v>rg:None</v>
      </c>
      <c r="L279" s="8" t="str">
        <f>IF(Table2[[#This Row],[!Type]]=L$1, L$1,"rg:None")</f>
        <v>rg:None</v>
      </c>
      <c r="M279" s="8" t="str">
        <f>IF(Table2[[#This Row],[!Type]]=M$1, M$1,"rg:None")</f>
        <v>id</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id</v>
      </c>
      <c r="V279" s="8" t="str">
        <f>IF(LEN(Table2[[#This Row],[!Description]]) &gt; 0, Table2[[#This Row],[!Description]], "rg:None")</f>
        <v>A system-generated unique identifier for a District</v>
      </c>
      <c r="W279" s="8" t="str">
        <f>IF(LEN(Table2[[#This Row],[!FK]])&gt;0,Table2[[#This Row],[!FK]],"rg:None")</f>
        <v>rg:None</v>
      </c>
      <c r="X279" s="8" t="str">
        <f>IF(LEN(concatif2(A:A,Table2[[#This Row],[!Table]],G:G,"Y",D:D,",")) &gt; 0,"rg:[ { 'req' : '"&amp;concatif2(A:A,Table2[[#This Row],[!Table]],G:G,"Y",D:D,"' }, { 'req': '")&amp;"'} ]","rg:[]")</f>
        <v>rg:[ { 'req' : 'id' }, { 'req': 'ministryDistrictID' }, { 'req': 'name' }, { 'req': 'region' }, { 'req': 'startDate'} ]</v>
      </c>
      <c r="Y279" s="8" t="str">
        <f>IF(LEN(Table2[[#This Row],[!Unique]])&gt;0,"rg:True","rg:None")</f>
        <v>rg:None</v>
      </c>
    </row>
    <row r="280" spans="1:25" x14ac:dyDescent="0.3">
      <c r="A280" s="5" t="s">
        <v>32</v>
      </c>
      <c r="B280" s="5" t="s">
        <v>13</v>
      </c>
      <c r="D280" s="5" t="s">
        <v>33</v>
      </c>
      <c r="E280" s="76" t="s">
        <v>407</v>
      </c>
      <c r="F280" s="5" t="s">
        <v>5</v>
      </c>
      <c r="G280" s="41" t="s">
        <v>62</v>
      </c>
      <c r="H280" s="41"/>
      <c r="I280" s="5" t="str">
        <f t="shared" si="27"/>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integer</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ministryDistrictID</v>
      </c>
      <c r="V280" s="8" t="str">
        <f>IF(LEN(Table2[[#This Row],[!Description]]) &gt; 0, Table2[[#This Row],[!Description]], "rg:None")</f>
        <v>A system generated unique identifier. NOT GENERATED IN THIS SYSTEM.</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Row],[!Unique]])&gt;0,"rg:True","rg:None")</f>
        <v>rg:None</v>
      </c>
    </row>
    <row r="281" spans="1:25" x14ac:dyDescent="0.3">
      <c r="A281" s="5" t="s">
        <v>32</v>
      </c>
      <c r="B281" s="5" t="s">
        <v>7</v>
      </c>
      <c r="C281" s="5">
        <v>150</v>
      </c>
      <c r="D281" s="5" t="s">
        <v>15</v>
      </c>
      <c r="E281" s="76" t="s">
        <v>408</v>
      </c>
      <c r="F281" s="5" t="s">
        <v>5</v>
      </c>
      <c r="G281" s="41" t="s">
        <v>62</v>
      </c>
      <c r="H281" s="41"/>
      <c r="I281" s="5" t="str">
        <f t="shared" si="27"/>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string</v>
      </c>
      <c r="S281" s="5" t="str">
        <f>IF(Table2[[#This Row],[!Type]]=S$1, S$1,"rg:None")</f>
        <v>rg:None</v>
      </c>
      <c r="T281" s="8">
        <f>IF(LEN(Table2[[#This Row],[!Length]]) &gt; 0, Table2[[#This Row],[!Length]], "rg:None")</f>
        <v>150</v>
      </c>
      <c r="U281" s="8" t="str">
        <f>IF(LEN(Table2[[#This Row],[!Name]]) &gt; 0, Table2[[#This Row],[!Name]], "rg:None")</f>
        <v>name</v>
      </c>
      <c r="V281" s="8" t="str">
        <f>IF(LEN(Table2[[#This Row],[!Description]]) &gt; 0, Table2[[#This Row],[!Description]], "rg:None")</f>
        <v>The Name of a Ministry District.</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Row],[!Unique]])&gt;0,"rg:True","rg:None")</f>
        <v>rg:None</v>
      </c>
    </row>
    <row r="282" spans="1:25" x14ac:dyDescent="0.3">
      <c r="A282" s="61" t="s">
        <v>32</v>
      </c>
      <c r="B282" s="61" t="s">
        <v>13</v>
      </c>
      <c r="C282" s="72"/>
      <c r="D282" s="61" t="s">
        <v>409</v>
      </c>
      <c r="E282" s="47" t="s">
        <v>410</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districtNumber</v>
      </c>
      <c r="V282" s="14" t="str">
        <f>IF(LEN(Table2[[#This Row],[!Description]]) &gt; 0, Table2[[#This Row],[!Description]], "rg:None")</f>
        <v>A number that uniquely defines a Ministry District.</v>
      </c>
      <c r="W282" s="14" t="str">
        <f>IF(LEN(Table2[[#This Row],[!FK]])&gt;0,Table2[[#This Row],[!FK]],"rg:None")</f>
        <v>rg:None</v>
      </c>
      <c r="X282" s="14" t="str">
        <f>IF(LEN(concatif2(A:A,Table2[[#This Row],[!Table]],G:G,"Y",D:D,",")) &gt; 0,"rg:[ { 'req' : '"&amp;concatif2(A:A,Table2[[#This Row],[!Table]],G:G,"Y",D:D,"' }, { 'req': '")&amp;"'} ]","rg:[]")</f>
        <v>rg:[ { 'req' : 'id' }, { 'req': 'ministryDistrictID' }, { 'req': 'name' }, { 'req': 'region' }, { 'req': 'startDate'} ]</v>
      </c>
      <c r="Y282" s="14" t="str">
        <f>IF(LEN(Table2[[#This Row],[!Unique]])&gt;0,"rg:True","rg:None")</f>
        <v>rg:None</v>
      </c>
    </row>
    <row r="283" spans="1:25" x14ac:dyDescent="0.3">
      <c r="A283" s="5" t="s">
        <v>32</v>
      </c>
      <c r="B283" s="5" t="s">
        <v>8</v>
      </c>
      <c r="D283" s="5" t="s">
        <v>34</v>
      </c>
      <c r="E283" s="54" t="s">
        <v>35</v>
      </c>
      <c r="F283" s="5" t="s">
        <v>28</v>
      </c>
      <c r="G283" s="63" t="s">
        <v>62</v>
      </c>
      <c r="H283" s="4"/>
      <c r="I283" s="5" t="str">
        <f t="shared" si="27"/>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region</v>
      </c>
      <c r="V283" s="8" t="str">
        <f>IF(LEN(Table2[[#This Row],[!Description]]) &gt; 0, Table2[[#This Row],[!Description]], "rg:None")</f>
        <v>The region in which the District is found.</v>
      </c>
      <c r="W283" s="8" t="str">
        <f>IF(LEN(Table2[[#This Row],[!FK]])&gt;0,Table2[[#This Row],[!FK]],"rg:None")</f>
        <v>Region</v>
      </c>
      <c r="X283" s="8" t="str">
        <f>IF(LEN(concatif2(A:A,Table2[[#This Row],[!Table]],G:G,"Y",D:D,",")) &gt; 0,"rg:[ { 'req' : '"&amp;concatif2(A:A,Table2[[#This Row],[!Table]],G:G,"Y",D:D,"' }, { 'req': '")&amp;"'} ]","rg:[]")</f>
        <v>rg:[ { 'req' : 'id' }, { 'req': 'ministryDistrictID' }, { 'req': 'name' }, { 'req': 'region' }, { 'req': 'startDate'} ]</v>
      </c>
      <c r="Y283" s="8" t="str">
        <f>IF(LEN(Table2[[#This Row],[!Unique]])&gt;0,"rg:True","rg:None")</f>
        <v>rg:None</v>
      </c>
    </row>
    <row r="284" spans="1:25" ht="28.8" x14ac:dyDescent="0.3">
      <c r="A284" s="5" t="s">
        <v>32</v>
      </c>
      <c r="B284" s="5" t="s">
        <v>12</v>
      </c>
      <c r="D284" s="5" t="s">
        <v>30</v>
      </c>
      <c r="E284" s="76" t="s">
        <v>411</v>
      </c>
      <c r="F284" s="5" t="s">
        <v>5</v>
      </c>
      <c r="G284" s="63" t="s">
        <v>62</v>
      </c>
      <c r="H284" s="4"/>
      <c r="I284" s="5" t="str">
        <f t="shared" si="27"/>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'ministryDistrictID' }, { 'req': 'name' }, { 'req': 'region' }, { 'req': 'startDate'} ]</v>
      </c>
      <c r="Y284" s="8" t="str">
        <f>IF(LEN(Table2[[#This Row],[!Unique]])&gt;0,"rg:True","rg:None")</f>
        <v>rg:None</v>
      </c>
    </row>
    <row r="285" spans="1:25" ht="28.8" x14ac:dyDescent="0.3">
      <c r="A285" s="5" t="s">
        <v>32</v>
      </c>
      <c r="B285" s="5" t="s">
        <v>12</v>
      </c>
      <c r="D285" s="5" t="s">
        <v>31</v>
      </c>
      <c r="E285" s="76" t="s">
        <v>412</v>
      </c>
      <c r="F285" s="5" t="s">
        <v>5</v>
      </c>
      <c r="G285" s="4"/>
      <c r="H285" s="4"/>
      <c r="I285" s="5" t="str">
        <f t="shared" si="27"/>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'ministryDistrictID' }, { 'req': 'name' }, { 'req': 'region' }, { 'req': 'startDate'} ]</v>
      </c>
      <c r="Y285" s="8" t="str">
        <f>IF(LEN(Table2[[#This Row],[!Unique]])&gt;0,"rg:True","rg:None")</f>
        <v>rg:None</v>
      </c>
    </row>
    <row r="286" spans="1:25" x14ac:dyDescent="0.3">
      <c r="A286" s="5" t="s">
        <v>10</v>
      </c>
      <c r="B286" s="5" t="s">
        <v>4</v>
      </c>
      <c r="D286" s="5" t="s">
        <v>10</v>
      </c>
      <c r="E286" s="54" t="s">
        <v>416</v>
      </c>
      <c r="F286" s="5" t="s">
        <v>5</v>
      </c>
      <c r="G286" s="4"/>
      <c r="H286" s="4"/>
      <c r="I286" s="5" t="str">
        <f t="shared" si="27"/>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ServiceArea</v>
      </c>
      <c r="V286" s="8" t="str">
        <f>IF(LEN(Table2[[#This Row],[!Description]]) &gt; 0, Table2[[#This Row],[!Description]], "rg:None")</f>
        <v>The Ministry of Transportation and Infrastructure SERVICE AREA.</v>
      </c>
      <c r="W286" s="8" t="str">
        <f>IF(LEN(Table2[[#This Row],[!FK]])&gt;0,Table2[[#This Row],[!FK]],"rg:None")</f>
        <v>rg:None</v>
      </c>
      <c r="X286" s="8" t="str">
        <f>IF(LEN(concatif2(A:A,Table2[[#This Row],[!Table]],G:G,"Y",D:D,",")) &gt; 0,"rg:[ { 'req' : '"&amp;concatif2(A:A,Table2[[#This Row],[!Table]],G:G,"Y",D:D,"' }, { 'req': '")&amp;"'} ]","rg:[]")</f>
        <v>rg:[ { 'req' : 'id' }, { 'req': 'ministryServiceAreaID' }, { 'req': 'name' }, { 'req': 'district' }, { 'req': 'startDate'} ]</v>
      </c>
      <c r="Y286" s="8" t="str">
        <f>IF(LEN(Table2[[#This Row],[!Unique]])&gt;0,"rg:True","rg:None")</f>
        <v>rg:None</v>
      </c>
    </row>
    <row r="287" spans="1:25" x14ac:dyDescent="0.3">
      <c r="A287" s="5" t="s">
        <v>10</v>
      </c>
      <c r="B287" s="5" t="s">
        <v>6</v>
      </c>
      <c r="D287" s="5" t="s">
        <v>6</v>
      </c>
      <c r="E287" s="54" t="s">
        <v>320</v>
      </c>
      <c r="F287" s="5" t="s">
        <v>5</v>
      </c>
      <c r="G287" s="4" t="s">
        <v>62</v>
      </c>
      <c r="H287" s="41" t="s">
        <v>62</v>
      </c>
      <c r="I287" s="5" t="str">
        <f t="shared" si="27"/>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ServiceArea</v>
      </c>
      <c r="W287" s="8" t="str">
        <f>IF(LEN(Table2[[#This Row],[!FK]])&gt;0,Table2[[#This Row],[!FK]],"rg:None")</f>
        <v>rg:None</v>
      </c>
      <c r="X287" s="8" t="str">
        <f>IF(LEN(concatif2(A:A,Table2[[#This Row],[!Table]],G:G,"Y",D:D,",")) &gt; 0,"rg:[ { 'req' : '"&amp;concatif2(A:A,Table2[[#This Row],[!Table]],G:G,"Y",D:D,"' }, { 'req': '")&amp;"'} ]","rg:[]")</f>
        <v>rg:[ { 'req' : 'id' }, { 'req': 'ministryServiceAreaID' }, { 'req': 'name' }, { 'req': 'district' }, { 'req': 'startDate'} ]</v>
      </c>
      <c r="Y287" s="8" t="str">
        <f>IF(LEN(Table2[[#This Row],[!Unique]])&gt;0,"rg:True","rg:None")</f>
        <v>rg:True</v>
      </c>
    </row>
    <row r="288" spans="1:25" x14ac:dyDescent="0.3">
      <c r="A288" s="5" t="s">
        <v>10</v>
      </c>
      <c r="B288" s="5" t="s">
        <v>13</v>
      </c>
      <c r="D288" s="5" t="s">
        <v>36</v>
      </c>
      <c r="E288" s="76" t="s">
        <v>407</v>
      </c>
      <c r="F288" s="5" t="s">
        <v>5</v>
      </c>
      <c r="G288" s="41" t="s">
        <v>62</v>
      </c>
      <c r="H288" s="41"/>
      <c r="I288" s="5" t="str">
        <f t="shared" si="27"/>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integer</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ministryServiceAreaID</v>
      </c>
      <c r="V288" s="8" t="str">
        <f>IF(LEN(Table2[[#This Row],[!Description]]) &gt; 0, Table2[[#This Row],[!Description]], "rg:None")</f>
        <v>A system generated unique identifier. NOT GENERATED IN THIS SYSTEM.</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Row],[!Unique]])&gt;0,"rg:True","rg:None")</f>
        <v>rg:None</v>
      </c>
    </row>
    <row r="289" spans="1:25" x14ac:dyDescent="0.3">
      <c r="A289" s="61" t="s">
        <v>10</v>
      </c>
      <c r="B289" s="61" t="s">
        <v>13</v>
      </c>
      <c r="C289" s="72"/>
      <c r="D289" s="61" t="s">
        <v>414</v>
      </c>
      <c r="E289" s="47" t="s">
        <v>415</v>
      </c>
      <c r="F289" s="12"/>
      <c r="G289" s="18"/>
      <c r="H289" s="18"/>
      <c r="I289" s="4" t="str">
        <f>IF(LEN(A289) &gt; 0,"Defs","-")</f>
        <v>Defs</v>
      </c>
      <c r="J289" s="14" t="str">
        <f>IF(Table2[[#This Row],[!Type]]=J$1, J$1,"rg:None")</f>
        <v>rg:None</v>
      </c>
      <c r="K289" s="14" t="str">
        <f>IF(Table2[[#This Row],[!Type]]=K$1, K$1,"rg:None")</f>
        <v>rg:None</v>
      </c>
      <c r="L289" s="14" t="str">
        <f>IF(Table2[[#This Row],[!Type]]=L$1, L$1,"rg:None")</f>
        <v>rg:None</v>
      </c>
      <c r="M289" s="14" t="str">
        <f>IF(Table2[[#This Row],[!Type]]=M$1, M$1,"rg:None")</f>
        <v>rg:None</v>
      </c>
      <c r="N289" s="14" t="str">
        <f>IF(Table2[[#This Row],[!Type]]=N$1, N$1,"rg:None")</f>
        <v>integer</v>
      </c>
      <c r="O289" s="14" t="str">
        <f>IF(Table2[[#This Row],[!Type]]=O$1, O$1,"rg:None")</f>
        <v>rg:None</v>
      </c>
      <c r="P289" s="4" t="str">
        <f>IF(Table2[[#This Row],[!Type]]=P$1, P$1,"rg:None")</f>
        <v>rg:None</v>
      </c>
      <c r="Q289" s="4" t="str">
        <f>IF(Table2[[#This Row],[!Type]]=Q$1, Q$1,"rg:None")</f>
        <v>rg:None</v>
      </c>
      <c r="R289" s="4" t="str">
        <f>IF(Table2[[#This Row],[!Type]]=R$1, R$1,"rg:None")</f>
        <v>rg:None</v>
      </c>
      <c r="S289" s="4" t="str">
        <f>IF(Table2[[#This Row],[!Type]]=S$1, S$1,"rg:None")</f>
        <v>rg:None</v>
      </c>
      <c r="T289" s="14" t="str">
        <f>IF(LEN(Table2[[#This Row],[!Length]]) &gt; 0, Table2[[#This Row],[!Length]], "rg:None")</f>
        <v>rg:None</v>
      </c>
      <c r="U289" s="14" t="str">
        <f>IF(LEN(Table2[[#This Row],[!Name]]) &gt; 0, Table2[[#This Row],[!Name]], "rg:None")</f>
        <v>areaNumber</v>
      </c>
      <c r="V289" s="14" t="str">
        <f>IF(LEN(Table2[[#This Row],[!Description]]) &gt; 0, Table2[[#This Row],[!Description]], "rg:None")</f>
        <v>A number that uniquely defines a Ministry Service Area.</v>
      </c>
      <c r="W289" s="14" t="str">
        <f>IF(LEN(Table2[[#This Row],[!FK]])&gt;0,Table2[[#This Row],[!FK]],"rg:None")</f>
        <v>rg:None</v>
      </c>
      <c r="X289" s="14" t="str">
        <f>IF(LEN(concatif2(A:A,Table2[[#This Row],[!Table]],G:G,"Y",D:D,",")) &gt; 0,"rg:[ { 'req' : '"&amp;concatif2(A:A,Table2[[#This Row],[!Table]],G:G,"Y",D:D,"' }, { 'req': '")&amp;"'} ]","rg:[]")</f>
        <v>rg:[ { 'req' : 'id' }, { 'req': 'ministryServiceAreaID' }, { 'req': 'name' }, { 'req': 'district' }, { 'req': 'startDate'} ]</v>
      </c>
      <c r="Y289" s="14" t="str">
        <f>IF(LEN(Table2[[#This Row],[!Unique]])&gt;0,"rg:True","rg:None")</f>
        <v>rg:None</v>
      </c>
    </row>
    <row r="290" spans="1:25" x14ac:dyDescent="0.3">
      <c r="A290" s="5" t="s">
        <v>10</v>
      </c>
      <c r="B290" s="5" t="s">
        <v>7</v>
      </c>
      <c r="C290" s="5">
        <v>150</v>
      </c>
      <c r="D290" s="5" t="s">
        <v>15</v>
      </c>
      <c r="E290" s="76" t="s">
        <v>413</v>
      </c>
      <c r="F290" s="5" t="s">
        <v>5</v>
      </c>
      <c r="G290" s="41" t="s">
        <v>62</v>
      </c>
      <c r="H290" s="41"/>
      <c r="I290" s="5" t="str">
        <f t="shared" si="27"/>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8">
        <f>IF(LEN(Table2[[#This Row],[!Length]]) &gt; 0, Table2[[#This Row],[!Length]], "rg:None")</f>
        <v>150</v>
      </c>
      <c r="U290" s="8" t="str">
        <f>IF(LEN(Table2[[#This Row],[!Name]]) &gt; 0, Table2[[#This Row],[!Name]], "rg:None")</f>
        <v>name</v>
      </c>
      <c r="V290" s="8" t="str">
        <f>IF(LEN(Table2[[#This Row],[!Description]]) &gt; 0, Table2[[#This Row],[!Description]], "rg:None")</f>
        <v>The Name of a Ministry Service Area.</v>
      </c>
      <c r="W290" s="8" t="str">
        <f>IF(LEN(Table2[[#This Row],[!FK]])&gt;0,Table2[[#This Row],[!FK]],"rg:None")</f>
        <v>rg:None</v>
      </c>
      <c r="X290" s="8" t="str">
        <f>IF(LEN(concatif2(A:A,Table2[[#This Row],[!Table]],G:G,"Y",D:D,",")) &gt; 0,"rg:[ { 'req' : '"&amp;concatif2(A:A,Table2[[#This Row],[!Table]],G:G,"Y",D:D,"' }, { 'req': '")&amp;"'} ]","rg:[]")</f>
        <v>rg:[ { 'req' : 'id' }, { 'req': 'ministryServiceAreaID' }, { 'req': 'name' }, { 'req': 'district' }, { 'req': 'startDate'} ]</v>
      </c>
      <c r="Y290" s="8" t="str">
        <f>IF(LEN(Table2[[#This Row],[!Unique]])&gt;0,"rg:True","rg:None")</f>
        <v>rg:None</v>
      </c>
    </row>
    <row r="291" spans="1:25" x14ac:dyDescent="0.3">
      <c r="A291" s="5" t="s">
        <v>10</v>
      </c>
      <c r="B291" s="5" t="s">
        <v>8</v>
      </c>
      <c r="D291" s="5" t="s">
        <v>37</v>
      </c>
      <c r="E291" s="54" t="s">
        <v>38</v>
      </c>
      <c r="F291" s="5" t="s">
        <v>32</v>
      </c>
      <c r="G291" s="63" t="s">
        <v>62</v>
      </c>
      <c r="H291" s="4"/>
      <c r="I291" s="5" t="str">
        <f t="shared" si="27"/>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ref</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district</v>
      </c>
      <c r="V291" s="8" t="str">
        <f>IF(LEN(Table2[[#This Row],[!Description]]) &gt; 0, Table2[[#This Row],[!Description]], "rg:None")</f>
        <v>The district in which the Service Area is found.</v>
      </c>
      <c r="W291" s="8" t="str">
        <f>IF(LEN(Table2[[#This Row],[!FK]])&gt;0,Table2[[#This Row],[!FK]],"rg:None")</f>
        <v>District</v>
      </c>
      <c r="X291" s="8" t="str">
        <f>IF(LEN(concatif2(A:A,Table2[[#This Row],[!Table]],G:G,"Y",D:D,",")) &gt; 0,"rg:[ { 'req' : '"&amp;concatif2(A:A,Table2[[#This Row],[!Table]],G:G,"Y",D:D,"' }, { 'req': '")&amp;"'} ]","rg:[]")</f>
        <v>rg:[ { 'req' : 'id' }, { 'req': 'ministryServiceAreaID' }, { 'req': 'name' }, { 'req': 'district' }, { 'req': 'startDate'} ]</v>
      </c>
      <c r="Y291" s="8" t="str">
        <f>IF(LEN(Table2[[#This Row],[!Unique]])&gt;0,"rg:True","rg:None")</f>
        <v>rg:None</v>
      </c>
    </row>
    <row r="292" spans="1:25" ht="28.8" x14ac:dyDescent="0.3">
      <c r="A292" s="5" t="s">
        <v>10</v>
      </c>
      <c r="B292" s="5" t="s">
        <v>12</v>
      </c>
      <c r="D292" s="5" t="s">
        <v>30</v>
      </c>
      <c r="E292" s="76" t="s">
        <v>411</v>
      </c>
      <c r="F292" s="5" t="s">
        <v>5</v>
      </c>
      <c r="G292" s="63" t="s">
        <v>62</v>
      </c>
      <c r="H292" s="4"/>
      <c r="I292" s="5" t="str">
        <f t="shared" si="27"/>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startDate</v>
      </c>
      <c r="V292" s="8" t="str">
        <f>IF(LEN(Table2[[#This Row],[!Description]]) &gt; 0, Table2[[#This Row],[!Description]], "rg:None")</f>
        <v>The DATE the business information came into effect. - NOT CURRENTLY ENFORCED IN THIS SYSTEM</v>
      </c>
      <c r="W292" s="8" t="str">
        <f>IF(LEN(Table2[[#This Row],[!FK]])&gt;0,Table2[[#This Row],[!FK]],"rg:None")</f>
        <v>rg:None</v>
      </c>
      <c r="X292" s="8" t="str">
        <f>IF(LEN(concatif2(A:A,Table2[[#This Row],[!Table]],G:G,"Y",D:D,",")) &gt; 0,"rg:[ { 'req' : '"&amp;concatif2(A:A,Table2[[#This Row],[!Table]],G:G,"Y",D:D,"' }, { 'req': '")&amp;"'} ]","rg:[]")</f>
        <v>rg:[ { 'req' : 'id' }, { 'req': 'ministryServiceAreaID' }, { 'req': 'name' }, { 'req': 'district' }, { 'req': 'startDate'} ]</v>
      </c>
      <c r="Y292" s="8" t="str">
        <f>IF(LEN(Table2[[#This Row],[!Unique]])&gt;0,"rg:True","rg:None")</f>
        <v>rg:None</v>
      </c>
    </row>
    <row r="293" spans="1:25" ht="28.8" x14ac:dyDescent="0.3">
      <c r="A293" s="5" t="s">
        <v>10</v>
      </c>
      <c r="B293" s="5" t="s">
        <v>12</v>
      </c>
      <c r="D293" s="5" t="s">
        <v>31</v>
      </c>
      <c r="E293" s="76" t="s">
        <v>412</v>
      </c>
      <c r="F293" s="5" t="s">
        <v>5</v>
      </c>
      <c r="G293" s="4"/>
      <c r="H293" s="4"/>
      <c r="I293" s="5" t="str">
        <f t="shared" si="27"/>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endDate</v>
      </c>
      <c r="V293" s="8" t="str">
        <f>IF(LEN(Table2[[#This Row],[!Description]]) &gt; 0, Table2[[#This Row],[!Description]], "rg:None")</f>
        <v>The DATE the business information ceased to be in effect. - NOT CURRENTLY ENFORCED IN THIS SYSTEM</v>
      </c>
      <c r="W293" s="8" t="str">
        <f>IF(LEN(Table2[[#This Row],[!FK]])&gt;0,Table2[[#This Row],[!FK]],"rg:None")</f>
        <v>rg:None</v>
      </c>
      <c r="X293" s="8" t="str">
        <f>IF(LEN(concatif2(A:A,Table2[[#This Row],[!Table]],G:G,"Y",D:D,",")) &gt; 0,"rg:[ { 'req' : '"&amp;concatif2(A:A,Table2[[#This Row],[!Table]],G:G,"Y",D:D,"' }, { 'req': '")&amp;"'} ]","rg:[]")</f>
        <v>rg:[ { 'req' : 'id' }, { 'req': 'ministryServiceAreaID' }, { 'req': 'name' }, { 'req': 'district' }, { 'req': 'startDate'} ]</v>
      </c>
      <c r="Y293" s="8" t="str">
        <f>IF(LEN(Table2[[#This Row],[!Unique]])&gt;0,"rg:True","rg:None")</f>
        <v>rg:None</v>
      </c>
    </row>
    <row r="294" spans="1:25" x14ac:dyDescent="0.3">
      <c r="A294" s="109" t="s">
        <v>151</v>
      </c>
      <c r="B294" s="5" t="s">
        <v>4</v>
      </c>
      <c r="D294" s="109" t="s">
        <v>151</v>
      </c>
      <c r="E294" s="76" t="s">
        <v>371</v>
      </c>
      <c r="F294" s="5" t="s">
        <v>5</v>
      </c>
      <c r="G294" s="4"/>
      <c r="H294" s="4"/>
      <c r="I294" s="5" t="str">
        <f>IF(LEN(A294) &gt; 0,"Defs","-")</f>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table</v>
      </c>
      <c r="T294" s="8" t="str">
        <f>IF(LEN(Table2[[#This Row],[!Length]]) &gt; 0, Table2[[#This Row],[!Length]], "rg:None")</f>
        <v>rg:None</v>
      </c>
      <c r="U294" s="8" t="str">
        <f>IF(LEN(Table2[[#This Row],[!Name]]) &gt; 0, Table2[[#This Row],[!Name]], "rg:None")</f>
        <v>LocalArea</v>
      </c>
      <c r="V294" s="8" t="str">
        <f>IF(LEN(Table2[[#This Row],[!Description]]) &gt; 0, Table2[[#This Row],[!Description]], "rg:None")</f>
        <v>A HETS-application defined area that is within a Service Area.</v>
      </c>
      <c r="W294" s="8" t="str">
        <f>IF(LEN(Table2[[#This Row],[!FK]])&gt;0,Table2[[#This Row],[!FK]],"rg:None")</f>
        <v>rg:None</v>
      </c>
      <c r="X294" s="8" t="str">
        <f>IF(LEN(concatif2(A:A,Table2[[#This Row],[!Table]],G:G,"Y",D:D,",")) &gt; 0,"rg:[ { 'req' : '"&amp;concatif2(A:A,Table2[[#This Row],[!Table]],G:G,"Y",D:D,"' }, { 'req': '")&amp;"'} ]","rg:[]")</f>
        <v>rg:[ { 'req' : 'id' }, { 'req': 'startDate'} ]</v>
      </c>
      <c r="Y294" s="8" t="str">
        <f>IF(LEN(Table2[[#This Row],[!Unique]])&gt;0,"rg:True","rg:None")</f>
        <v>rg:None</v>
      </c>
    </row>
    <row r="295" spans="1:25" x14ac:dyDescent="0.3">
      <c r="A295" s="109" t="s">
        <v>151</v>
      </c>
      <c r="B295" s="5" t="s">
        <v>6</v>
      </c>
      <c r="D295" s="5" t="s">
        <v>6</v>
      </c>
      <c r="E295" s="54" t="s">
        <v>349</v>
      </c>
      <c r="F295" s="5" t="s">
        <v>5</v>
      </c>
      <c r="G295" s="4" t="s">
        <v>62</v>
      </c>
      <c r="H295" s="4"/>
      <c r="I295" s="5" t="str">
        <f>IF(LEN(A295) &gt; 0,"Defs","-")</f>
        <v>Defs</v>
      </c>
      <c r="J295" s="8" t="str">
        <f>IF(Table2[[#This Row],[!Type]]=J$1, J$1,"rg:None")</f>
        <v>rg:None</v>
      </c>
      <c r="K295" s="8" t="str">
        <f>IF(Table2[[#This Row],[!Type]]=K$1, K$1,"rg:None")</f>
        <v>rg:None</v>
      </c>
      <c r="L295" s="8" t="str">
        <f>IF(Table2[[#This Row],[!Type]]=L$1, L$1,"rg:None")</f>
        <v>rg:None</v>
      </c>
      <c r="M295" s="8" t="str">
        <f>IF(Table2[[#This Row],[!Type]]=M$1, M$1,"rg:None")</f>
        <v>id</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id</v>
      </c>
      <c r="V295" s="8" t="str">
        <f>IF(LEN(Table2[[#This Row],[!Description]]) &gt; 0, Table2[[#This Row],[!Description]], "rg:None")</f>
        <v>A system-generated unique identifier for a LocalArea</v>
      </c>
      <c r="W295" s="8" t="str">
        <f>IF(LEN(Table2[[#This Row],[!FK]])&gt;0,Table2[[#This Row],[!FK]],"rg:None")</f>
        <v>rg:None</v>
      </c>
      <c r="X295" s="8" t="str">
        <f>IF(LEN(concatif2(A:A,Table2[[#This Row],[!Table]],G:G,"Y",D:D,",")) &gt; 0,"rg:[ { 'req' : '"&amp;concatif2(A:A,Table2[[#This Row],[!Table]],G:G,"Y",D:D,"' }, { 'req': '")&amp;"'} ]","rg:[]")</f>
        <v>rg:[ { 'req' : 'id' }, { 'req': 'startDate'} ]</v>
      </c>
      <c r="Y295" s="8" t="str">
        <f>IF(LEN(Table2[[#This Row],[!Unique]])&gt;0,"rg:True","rg:None")</f>
        <v>rg:None</v>
      </c>
    </row>
    <row r="296" spans="1:25" x14ac:dyDescent="0.3">
      <c r="A296" s="61" t="s">
        <v>151</v>
      </c>
      <c r="B296" s="61" t="s">
        <v>13</v>
      </c>
      <c r="C296" s="72"/>
      <c r="D296" s="61" t="s">
        <v>418</v>
      </c>
      <c r="E296" s="60" t="s">
        <v>417</v>
      </c>
      <c r="F296" s="12"/>
      <c r="G296" s="18"/>
      <c r="H296" s="18"/>
      <c r="I296" s="4" t="str">
        <f>IF(LEN(A296) &gt; 0,"Defs","-")</f>
        <v>Defs</v>
      </c>
      <c r="J296" s="14" t="str">
        <f>IF(Table2[[#This Row],[!Type]]=J$1, J$1,"rg:None")</f>
        <v>rg:None</v>
      </c>
      <c r="K296" s="14" t="str">
        <f>IF(Table2[[#This Row],[!Type]]=K$1, K$1,"rg:None")</f>
        <v>rg:None</v>
      </c>
      <c r="L296" s="14" t="str">
        <f>IF(Table2[[#This Row],[!Type]]=L$1, L$1,"rg:None")</f>
        <v>rg:None</v>
      </c>
      <c r="M296" s="14" t="str">
        <f>IF(Table2[[#This Row],[!Type]]=M$1, M$1,"rg:None")</f>
        <v>rg:None</v>
      </c>
      <c r="N296" s="14" t="str">
        <f>IF(Table2[[#This Row],[!Type]]=N$1, N$1,"rg:None")</f>
        <v>integer</v>
      </c>
      <c r="O296" s="14" t="str">
        <f>IF(Table2[[#This Row],[!Type]]=O$1, O$1,"rg:None")</f>
        <v>rg:None</v>
      </c>
      <c r="P296" s="4" t="str">
        <f>IF(Table2[[#This Row],[!Type]]=P$1, P$1,"rg:None")</f>
        <v>rg:None</v>
      </c>
      <c r="Q296" s="4" t="str">
        <f>IF(Table2[[#This Row],[!Type]]=Q$1, Q$1,"rg:None")</f>
        <v>rg:None</v>
      </c>
      <c r="R296" s="4" t="str">
        <f>IF(Table2[[#This Row],[!Type]]=R$1, R$1,"rg:None")</f>
        <v>rg:None</v>
      </c>
      <c r="S296" s="4" t="str">
        <f>IF(Table2[[#This Row],[!Type]]=S$1, S$1,"rg:None")</f>
        <v>rg:None</v>
      </c>
      <c r="T296" s="14" t="str">
        <f>IF(LEN(Table2[[#This Row],[!Length]]) &gt; 0, Table2[[#This Row],[!Length]], "rg:None")</f>
        <v>rg:None</v>
      </c>
      <c r="U296" s="14" t="str">
        <f>IF(LEN(Table2[[#This Row],[!Name]]) &gt; 0, Table2[[#This Row],[!Name]], "rg:None")</f>
        <v>localAreaNumber</v>
      </c>
      <c r="V296" s="14" t="str">
        <f>IF(LEN(Table2[[#This Row],[!Description]]) &gt; 0, Table2[[#This Row],[!Description]], "rg:None")</f>
        <v>A system-generated, visible to the user number for the Local Area</v>
      </c>
      <c r="W296" s="14" t="str">
        <f>IF(LEN(Table2[[#This Row],[!FK]])&gt;0,Table2[[#This Row],[!FK]],"rg:None")</f>
        <v>rg:None</v>
      </c>
      <c r="X296" s="14" t="str">
        <f>IF(LEN(concatif2(A:A,Table2[[#This Row],[!Table]],G:G,"Y",D:D,",")) &gt; 0,"rg:[ { 'req' : '"&amp;concatif2(A:A,Table2[[#This Row],[!Table]],G:G,"Y",D:D,"' }, { 'req': '")&amp;"'} ]","rg:[]")</f>
        <v>rg:[ { 'req' : 'id' }, { 'req': 'startDate'} ]</v>
      </c>
      <c r="Y296" s="14" t="str">
        <f>IF(LEN(Table2[[#This Row],[!Unique]])&gt;0,"rg:True","rg:None")</f>
        <v>rg:None</v>
      </c>
    </row>
    <row r="297" spans="1:25" x14ac:dyDescent="0.3">
      <c r="A297" s="109" t="s">
        <v>151</v>
      </c>
      <c r="B297" s="5" t="s">
        <v>7</v>
      </c>
      <c r="C297" s="5">
        <v>150</v>
      </c>
      <c r="D297" s="5" t="s">
        <v>15</v>
      </c>
      <c r="E297" s="110" t="s">
        <v>152</v>
      </c>
      <c r="F297" s="5" t="s">
        <v>5</v>
      </c>
      <c r="G297" s="4"/>
      <c r="H297" s="4"/>
      <c r="I297" s="5" t="str">
        <f>IF(LEN(A297) &gt; 0,"Defs","-")</f>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150</v>
      </c>
      <c r="U297" s="8" t="str">
        <f>IF(LEN(Table2[[#This Row],[!Name]]) &gt; 0, Table2[[#This Row],[!Name]], "rg:None")</f>
        <v>name</v>
      </c>
      <c r="V297" s="8" t="str">
        <f>IF(LEN(Table2[[#This Row],[!Description]]) &gt; 0, Table2[[#This Row],[!Description]], "rg:None")</f>
        <v>The full name of the Local Area</v>
      </c>
      <c r="W297" s="8" t="str">
        <f>IF(LEN(Table2[[#This Row],[!FK]])&gt;0,Table2[[#This Row],[!FK]],"rg:None")</f>
        <v>rg:None</v>
      </c>
      <c r="X297" s="8" t="str">
        <f>IF(LEN(concatif2(A:A,Table2[[#This Row],[!Table]],G:G,"Y",D:D,",")) &gt; 0,"rg:[ { 'req' : '"&amp;concatif2(A:A,Table2[[#This Row],[!Table]],G:G,"Y",D:D,"' }, { 'req': '")&amp;"'} ]","rg:[]")</f>
        <v>rg:[ { 'req' : 'id' }, { 'req': 'startDate'} ]</v>
      </c>
      <c r="Y297" s="8" t="str">
        <f>IF(LEN(Table2[[#This Row],[!Unique]])&gt;0,"rg:True","rg:None")</f>
        <v>rg:None</v>
      </c>
    </row>
    <row r="298" spans="1:25" x14ac:dyDescent="0.3">
      <c r="A298" s="109" t="s">
        <v>151</v>
      </c>
      <c r="B298" s="5" t="s">
        <v>8</v>
      </c>
      <c r="D298" s="109" t="s">
        <v>153</v>
      </c>
      <c r="E298" s="110" t="s">
        <v>154</v>
      </c>
      <c r="F298" s="109" t="s">
        <v>10</v>
      </c>
      <c r="G298" s="4"/>
      <c r="H298" s="4"/>
      <c r="I298" s="5" t="str">
        <f>IF(LEN(A298) &gt; 0,"Defs","-")</f>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ref</v>
      </c>
      <c r="R298" s="5" t="str">
        <f>IF(Table2[[#This Row],[!Type]]=R$1, R$1,"rg:None")</f>
        <v>rg:None</v>
      </c>
      <c r="S298" s="5" t="str">
        <f>IF(Table2[[#This Row],[!Type]]=S$1, S$1,"rg:None")</f>
        <v>rg:None</v>
      </c>
      <c r="T298" s="8" t="str">
        <f>IF(LEN(Table2[[#This Row],[!Length]]) &gt; 0, Table2[[#This Row],[!Length]], "rg:None")</f>
        <v>rg:None</v>
      </c>
      <c r="U298" s="8" t="str">
        <f>IF(LEN(Table2[[#This Row],[!Name]]) &gt; 0, Table2[[#This Row],[!Name]], "rg:None")</f>
        <v>serviceArea</v>
      </c>
      <c r="V298" s="8" t="str">
        <f>IF(LEN(Table2[[#This Row],[!Description]]) &gt; 0, Table2[[#This Row],[!Description]], "rg:None")</f>
        <v>The Service Area in which the Local Area is found.</v>
      </c>
      <c r="W298" s="8" t="str">
        <f>IF(LEN(Table2[[#This Row],[!FK]])&gt;0,Table2[[#This Row],[!FK]],"rg:None")</f>
        <v>ServiceArea</v>
      </c>
      <c r="X298" s="8" t="str">
        <f>IF(LEN(concatif2(A:A,Table2[[#This Row],[!Table]],G:G,"Y",D:D,",")) &gt; 0,"rg:[ { 'req' : '"&amp;concatif2(A:A,Table2[[#This Row],[!Table]],G:G,"Y",D:D,"' }, { 'req': '")&amp;"'} ]","rg:[]")</f>
        <v>rg:[ { 'req' : 'id' }, { 'req': 'startDate'} ]</v>
      </c>
      <c r="Y298" s="8" t="str">
        <f>IF(LEN(Table2[[#This Row],[!Unique]])&gt;0,"rg:True","rg:None")</f>
        <v>rg:None</v>
      </c>
    </row>
    <row r="299" spans="1:25" ht="28.8" x14ac:dyDescent="0.3">
      <c r="A299" s="61" t="s">
        <v>151</v>
      </c>
      <c r="B299" s="5" t="s">
        <v>12</v>
      </c>
      <c r="D299" s="5" t="s">
        <v>30</v>
      </c>
      <c r="E299" s="76" t="s">
        <v>411</v>
      </c>
      <c r="F299" s="5" t="s">
        <v>5</v>
      </c>
      <c r="G299" s="63" t="s">
        <v>62</v>
      </c>
      <c r="H299" s="4"/>
      <c r="I299" s="5" t="str">
        <f t="shared" ref="I299:I300" si="28">IF(LEN(A299) &gt; 0,"Defs","-")</f>
        <v>Defs</v>
      </c>
      <c r="J299" s="8" t="str">
        <f>IF(Table2[[#This Row],[!Type]]=J$1, J$1,"rg:None")</f>
        <v>rg:None</v>
      </c>
      <c r="K299" s="8" t="str">
        <f>IF(Table2[[#This Row],[!Type]]=K$1, K$1,"rg:None")</f>
        <v>rg:None</v>
      </c>
      <c r="L299" s="8" t="str">
        <f>IF(Table2[[#This Row],[!Type]]=L$1, L$1,"rg:None")</f>
        <v>datetime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startDate</v>
      </c>
      <c r="V299" s="8" t="str">
        <f>IF(LEN(Table2[[#This Row],[!Description]]) &gt; 0, Table2[[#This Row],[!Description]], "rg:None")</f>
        <v>The DATE the business information came into effect. - NOT CURRENTLY ENFORCED IN THIS SYSTEM</v>
      </c>
      <c r="W299" s="8" t="str">
        <f>IF(LEN(Table2[[#This Row],[!FK]])&gt;0,Table2[[#This Row],[!FK]],"rg:None")</f>
        <v>rg:None</v>
      </c>
      <c r="X299" s="8" t="str">
        <f>IF(LEN(concatif2(A:A,Table2[[#This Row],[!Table]],G:G,"Y",D:D,",")) &gt; 0,"rg:[ { 'req' : '"&amp;concatif2(A:A,Table2[[#This Row],[!Table]],G:G,"Y",D:D,"' }, { 'req': '")&amp;"'} ]","rg:[]")</f>
        <v>rg:[ { 'req' : 'id' }, { 'req': 'startDate'} ]</v>
      </c>
      <c r="Y299" s="8" t="str">
        <f>IF(LEN(Table2[[#This Row],[!Unique]])&gt;0,"rg:True","rg:None")</f>
        <v>rg:None</v>
      </c>
    </row>
    <row r="300" spans="1:25" ht="28.8" x14ac:dyDescent="0.3">
      <c r="A300" s="61" t="s">
        <v>151</v>
      </c>
      <c r="B300" s="5" t="s">
        <v>12</v>
      </c>
      <c r="D300" s="5" t="s">
        <v>31</v>
      </c>
      <c r="E300" s="76" t="s">
        <v>412</v>
      </c>
      <c r="F300" s="5" t="s">
        <v>5</v>
      </c>
      <c r="G300" s="4"/>
      <c r="H300" s="4"/>
      <c r="I300" s="5" t="str">
        <f t="shared" si="28"/>
        <v>Defs</v>
      </c>
      <c r="J300" s="8" t="str">
        <f>IF(Table2[[#This Row],[!Type]]=J$1, J$1,"rg:None")</f>
        <v>rg:None</v>
      </c>
      <c r="K300" s="8" t="str">
        <f>IF(Table2[[#This Row],[!Type]]=K$1, K$1,"rg:None")</f>
        <v>rg:None</v>
      </c>
      <c r="L300" s="8" t="str">
        <f>IF(Table2[[#This Row],[!Type]]=L$1, L$1,"rg:None")</f>
        <v>datetime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endDate</v>
      </c>
      <c r="V300" s="8" t="str">
        <f>IF(LEN(Table2[[#This Row],[!Description]]) &gt; 0, Table2[[#This Row],[!Description]], "rg:None")</f>
        <v>The DATE the business information ceased to be in effect. - NOT CURRENTLY ENFORCED IN THIS SYSTEM</v>
      </c>
      <c r="W300" s="8" t="str">
        <f>IF(LEN(Table2[[#This Row],[!FK]])&gt;0,Table2[[#This Row],[!FK]],"rg:None")</f>
        <v>rg:None</v>
      </c>
      <c r="X300" s="8" t="str">
        <f>IF(LEN(concatif2(A:A,Table2[[#This Row],[!Table]],G:G,"Y",D:D,",")) &gt; 0,"rg:[ { 'req' : '"&amp;concatif2(A:A,Table2[[#This Row],[!Table]],G:G,"Y",D:D,"' }, { 'req': '")&amp;"'} ]","rg:[]")</f>
        <v>rg:[ { 'req' : 'id' }, { 'req': 'startDate'} ]</v>
      </c>
      <c r="Y300" s="8" t="str">
        <f>IF(LEN(Table2[[#This Row],[!Unique]])&gt;0,"rg:True","rg:None")</f>
        <v>rg:None</v>
      </c>
    </row>
    <row r="301" spans="1:25" x14ac:dyDescent="0.3">
      <c r="A301" s="5" t="s">
        <v>11</v>
      </c>
      <c r="B301" s="5" t="s">
        <v>4</v>
      </c>
      <c r="D301" s="5" t="s">
        <v>11</v>
      </c>
      <c r="E301" s="54" t="s">
        <v>64</v>
      </c>
      <c r="F301" s="5" t="s">
        <v>5</v>
      </c>
      <c r="G301" s="4"/>
      <c r="H301" s="4"/>
      <c r="I301" s="5" t="str">
        <f t="shared" si="27"/>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table</v>
      </c>
      <c r="T301" s="8" t="str">
        <f>IF(LEN(Table2[[#This Row],[!Length]]) &gt; 0, Table2[[#This Row],[!Length]], "rg:None")</f>
        <v>rg:None</v>
      </c>
      <c r="U301" s="8" t="str">
        <f>IF(LEN(Table2[[#This Row],[!Name]]) &gt; 0, Table2[[#This Row],[!Name]], "rg:None")</f>
        <v>City</v>
      </c>
      <c r="V301" s="8" t="str">
        <f>IF(LEN(Table2[[#This Row],[!Description]]) &gt; 0, Table2[[#This Row],[!Description]], "rg:None")</f>
        <v>A list of cities in BC. Authoritative source to be determined.</v>
      </c>
      <c r="W301" s="8" t="str">
        <f>IF(LEN(Table2[[#This Row],[!FK]])&gt;0,Table2[[#This Row],[!FK]],"rg:None")</f>
        <v>rg:None</v>
      </c>
      <c r="X301" s="8" t="str">
        <f>IF(LEN(concatif2(A:A,Table2[[#This Row],[!Table]],G:G,"Y",D:D,",")) &gt; 0,"rg:[ { 'req' : '"&amp;concatif2(A:A,Table2[[#This Row],[!Table]],G:G,"Y",D:D,"' }, { 'req': '")&amp;"'} ]","rg:[]")</f>
        <v>rg:[ { 'req' : 'id'} ]</v>
      </c>
      <c r="Y301" s="8" t="str">
        <f>IF(LEN(Table2[[#This Row],[!Unique]])&gt;0,"rg:True","rg:None")</f>
        <v>rg:None</v>
      </c>
    </row>
    <row r="302" spans="1:25" x14ac:dyDescent="0.3">
      <c r="A302" s="5" t="s">
        <v>11</v>
      </c>
      <c r="B302" s="5" t="s">
        <v>6</v>
      </c>
      <c r="D302" s="5" t="s">
        <v>6</v>
      </c>
      <c r="E302" s="54" t="s">
        <v>321</v>
      </c>
      <c r="F302" s="5" t="s">
        <v>5</v>
      </c>
      <c r="G302" s="4" t="s">
        <v>62</v>
      </c>
      <c r="H302" s="41"/>
      <c r="I302" s="5" t="str">
        <f t="shared" si="27"/>
        <v>Defs</v>
      </c>
      <c r="J302" s="8" t="str">
        <f>IF(Table2[[#This Row],[!Type]]=J$1, J$1,"rg:None")</f>
        <v>rg:None</v>
      </c>
      <c r="K302" s="8" t="str">
        <f>IF(Table2[[#This Row],[!Type]]=K$1, K$1,"rg:None")</f>
        <v>rg:None</v>
      </c>
      <c r="L302" s="8" t="str">
        <f>IF(Table2[[#This Row],[!Type]]=L$1, L$1,"rg:None")</f>
        <v>rg:None</v>
      </c>
      <c r="M302" s="8" t="str">
        <f>IF(Table2[[#This Row],[!Type]]=M$1, M$1,"rg:None")</f>
        <v>id</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id</v>
      </c>
      <c r="V302" s="8" t="str">
        <f>IF(LEN(Table2[[#This Row],[!Description]]) &gt; 0, Table2[[#This Row],[!Description]], "rg:None")</f>
        <v>A system-generated unique identifier for a City</v>
      </c>
      <c r="W302" s="8" t="str">
        <f>IF(LEN(Table2[[#This Row],[!FK]])&gt;0,Table2[[#This Row],[!FK]],"rg:None")</f>
        <v>rg:None</v>
      </c>
      <c r="X302" s="8" t="str">
        <f>IF(LEN(concatif2(A:A,Table2[[#This Row],[!Table]],G:G,"Y",D:D,",")) &gt; 0,"rg:[ { 'req' : '"&amp;concatif2(A:A,Table2[[#This Row],[!Table]],G:G,"Y",D:D,"' }, { 'req': '")&amp;"'} ]","rg:[]")</f>
        <v>rg:[ { 'req' : 'id'} ]</v>
      </c>
      <c r="Y302" s="8" t="str">
        <f>IF(LEN(Table2[[#This Row],[!Unique]])&gt;0,"rg:True","rg:None")</f>
        <v>rg:None</v>
      </c>
    </row>
    <row r="303" spans="1:25" x14ac:dyDescent="0.3">
      <c r="A303" s="5" t="s">
        <v>11</v>
      </c>
      <c r="B303" s="5" t="s">
        <v>7</v>
      </c>
      <c r="C303" s="5">
        <v>150</v>
      </c>
      <c r="D303" s="5" t="s">
        <v>15</v>
      </c>
      <c r="E303" s="54" t="s">
        <v>39</v>
      </c>
      <c r="F303" s="5" t="s">
        <v>5</v>
      </c>
      <c r="G303" s="4"/>
      <c r="H303" s="4"/>
      <c r="I303" s="5" t="str">
        <f t="shared" si="27"/>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8">
        <f>IF(LEN(Table2[[#This Row],[!Length]]) &gt; 0, Table2[[#This Row],[!Length]], "rg:None")</f>
        <v>150</v>
      </c>
      <c r="U303" s="8" t="str">
        <f>IF(LEN(Table2[[#This Row],[!Name]]) &gt; 0, Table2[[#This Row],[!Name]], "rg:None")</f>
        <v>name</v>
      </c>
      <c r="V303" s="8" t="str">
        <f>IF(LEN(Table2[[#This Row],[!Description]]) &gt; 0, Table2[[#This Row],[!Description]], "rg:None")</f>
        <v>The name of the City</v>
      </c>
      <c r="W303" s="8" t="str">
        <f>IF(LEN(Table2[[#This Row],[!FK]])&gt;0,Table2[[#This Row],[!FK]],"rg:None")</f>
        <v>rg:None</v>
      </c>
      <c r="X303" s="8" t="str">
        <f>IF(LEN(concatif2(A:A,Table2[[#This Row],[!Table]],G:G,"Y",D:D,",")) &gt; 0,"rg:[ { 'req' : '"&amp;concatif2(A:A,Table2[[#This Row],[!Table]],G:G,"Y",D:D,"' }, { 'req': '")&amp;"'} ]","rg:[]")</f>
        <v>rg:[ { 'req' : 'id'} ]</v>
      </c>
      <c r="Y303" s="8" t="str">
        <f>IF(LEN(Table2[[#This Row],[!Unique]])&gt;0,"rg:True","rg:None")</f>
        <v>rg:None</v>
      </c>
    </row>
    <row r="304" spans="1:25" x14ac:dyDescent="0.3">
      <c r="A304" s="5" t="s">
        <v>0</v>
      </c>
      <c r="B304" s="5" t="s">
        <v>4</v>
      </c>
      <c r="D304" s="5" t="s">
        <v>0</v>
      </c>
      <c r="E304" s="76" t="s">
        <v>372</v>
      </c>
      <c r="F304" s="5" t="s">
        <v>5</v>
      </c>
      <c r="G304" s="4"/>
      <c r="H304" s="4"/>
      <c r="I304" s="5" t="str">
        <f t="shared" si="27"/>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table</v>
      </c>
      <c r="T304" s="8" t="str">
        <f>IF(LEN(Table2[[#This Row],[!Length]]) &gt; 0, Table2[[#This Row],[!Length]], "rg:None")</f>
        <v>rg:None</v>
      </c>
      <c r="U304" s="8" t="str">
        <f>IF(LEN(Table2[[#This Row],[!Name]]) &gt; 0, Table2[[#This Row],[!Name]], "rg:None")</f>
        <v>User</v>
      </c>
      <c r="V304" s="8" t="str">
        <f>IF(LEN(Table2[[#This Row],[!Description]]) &gt; 0, Table2[[#This Row],[!Description]], "rg:None")</f>
        <v>An identified user in the HETS Application that has a defined authorization level.</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Row],[!Unique]])&gt;0,"rg:True","rg:None")</f>
        <v>rg:None</v>
      </c>
    </row>
    <row r="305" spans="1:25" x14ac:dyDescent="0.3">
      <c r="A305" s="5" t="s">
        <v>0</v>
      </c>
      <c r="B305" s="5" t="s">
        <v>6</v>
      </c>
      <c r="D305" s="5" t="s">
        <v>6</v>
      </c>
      <c r="E305" s="54" t="s">
        <v>322</v>
      </c>
      <c r="F305" s="5" t="s">
        <v>5</v>
      </c>
      <c r="G305" s="4" t="s">
        <v>62</v>
      </c>
      <c r="H305" s="41"/>
      <c r="I305" s="5" t="str">
        <f t="shared" si="27"/>
        <v>Defs</v>
      </c>
      <c r="J305" s="8" t="str">
        <f>IF(Table2[[#This Row],[!Type]]=J$1, J$1,"rg:None")</f>
        <v>rg:None</v>
      </c>
      <c r="K305" s="8" t="str">
        <f>IF(Table2[[#This Row],[!Type]]=K$1, K$1,"rg:None")</f>
        <v>rg:None</v>
      </c>
      <c r="L305" s="8" t="str">
        <f>IF(Table2[[#This Row],[!Type]]=L$1, L$1,"rg:None")</f>
        <v>rg:None</v>
      </c>
      <c r="M305" s="8" t="str">
        <f>IF(Table2[[#This Row],[!Type]]=M$1, M$1,"rg:None")</f>
        <v>id</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id</v>
      </c>
      <c r="V305" s="8" t="str">
        <f>IF(LEN(Table2[[#This Row],[!Description]]) &gt; 0, Table2[[#This Row],[!Description]], "rg:None")</f>
        <v>A system-generated unique identifier for a User</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Row],[!Unique]])&gt;0,"rg:True","rg:None")</f>
        <v>rg:None</v>
      </c>
    </row>
    <row r="306" spans="1:25" x14ac:dyDescent="0.3">
      <c r="A306" s="5" t="s">
        <v>0</v>
      </c>
      <c r="B306" s="5" t="s">
        <v>7</v>
      </c>
      <c r="C306" s="5">
        <v>50</v>
      </c>
      <c r="D306" s="5" t="s">
        <v>16</v>
      </c>
      <c r="E306" s="54" t="s">
        <v>323</v>
      </c>
      <c r="F306" s="5" t="s">
        <v>5</v>
      </c>
      <c r="G306" s="41" t="s">
        <v>62</v>
      </c>
      <c r="H306" s="41"/>
      <c r="I306" s="5" t="str">
        <f t="shared" si="27"/>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8">
        <f>IF(LEN(Table2[[#This Row],[!Length]]) &gt; 0, Table2[[#This Row],[!Length]], "rg:None")</f>
        <v>50</v>
      </c>
      <c r="U306" s="8" t="str">
        <f>IF(LEN(Table2[[#This Row],[!Name]]) &gt; 0, Table2[[#This Row],[!Name]], "rg:None")</f>
        <v>givenName</v>
      </c>
      <c r="V306" s="8" t="str">
        <f>IF(LEN(Table2[[#This Row],[!Description]]) &gt; 0, Table2[[#This Row],[!Description]], "rg:None")</f>
        <v>Given name of the user.</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Row],[!Unique]])&gt;0,"rg:True","rg:None")</f>
        <v>rg:None</v>
      </c>
    </row>
    <row r="307" spans="1:25" x14ac:dyDescent="0.3">
      <c r="A307" s="5" t="s">
        <v>0</v>
      </c>
      <c r="B307" s="5" t="s">
        <v>7</v>
      </c>
      <c r="C307" s="5">
        <v>50</v>
      </c>
      <c r="D307" s="5" t="s">
        <v>17</v>
      </c>
      <c r="E307" s="54" t="s">
        <v>324</v>
      </c>
      <c r="F307" s="5" t="s">
        <v>5</v>
      </c>
      <c r="G307" s="41" t="s">
        <v>62</v>
      </c>
      <c r="H307" s="41"/>
      <c r="I307" s="5" t="str">
        <f t="shared" ref="I307:I345" si="29">IF(LEN(A307) &gt; 0,"Defs","-")</f>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8">
        <f>IF(LEN(Table2[[#This Row],[!Length]]) &gt; 0, Table2[[#This Row],[!Length]], "rg:None")</f>
        <v>50</v>
      </c>
      <c r="U307" s="8" t="str">
        <f>IF(LEN(Table2[[#This Row],[!Name]]) &gt; 0, Table2[[#This Row],[!Name]], "rg:None")</f>
        <v>surname</v>
      </c>
      <c r="V307" s="8" t="str">
        <f>IF(LEN(Table2[[#This Row],[!Description]]) &gt; 0, Table2[[#This Row],[!Description]], "rg:None")</f>
        <v>Surname of the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Row],[!Unique]])&gt;0,"rg:True","rg:None")</f>
        <v>rg:None</v>
      </c>
    </row>
    <row r="308" spans="1:25" x14ac:dyDescent="0.3">
      <c r="A308" s="5" t="s">
        <v>0</v>
      </c>
      <c r="B308" s="5" t="s">
        <v>7</v>
      </c>
      <c r="C308" s="5">
        <v>10</v>
      </c>
      <c r="D308" s="5" t="s">
        <v>42</v>
      </c>
      <c r="E308" s="54" t="s">
        <v>325</v>
      </c>
      <c r="F308" s="5" t="s">
        <v>5</v>
      </c>
      <c r="G308" s="4"/>
      <c r="H308" s="4"/>
      <c r="I308" s="5" t="str">
        <f t="shared" si="29"/>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10</v>
      </c>
      <c r="U308" s="8" t="str">
        <f>IF(LEN(Table2[[#This Row],[!Name]]) &gt; 0, Table2[[#This Row],[!Name]], "rg:None")</f>
        <v>initials</v>
      </c>
      <c r="V308" s="8" t="str">
        <f>IF(LEN(Table2[[#This Row],[!Description]]) &gt; 0, Table2[[#This Row],[!Description]], "rg:None")</f>
        <v>Initials of the user, to be presented where screen space is at a premium.</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Row],[!Unique]])&gt;0,"rg:True","rg:None")</f>
        <v>rg:None</v>
      </c>
    </row>
    <row r="309" spans="1:25" x14ac:dyDescent="0.3">
      <c r="A309" s="5" t="s">
        <v>0</v>
      </c>
      <c r="B309" s="5" t="s">
        <v>7</v>
      </c>
      <c r="C309" s="5">
        <v>255</v>
      </c>
      <c r="D309" s="5" t="s">
        <v>43</v>
      </c>
      <c r="E309" s="54" t="s">
        <v>326</v>
      </c>
      <c r="F309" s="5" t="s">
        <v>5</v>
      </c>
      <c r="G309" s="4"/>
      <c r="H309" s="4"/>
      <c r="I309" s="5" t="str">
        <f t="shared" si="29"/>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255</v>
      </c>
      <c r="U309" s="8" t="str">
        <f>IF(LEN(Table2[[#This Row],[!Name]]) &gt; 0, Table2[[#This Row],[!Name]], "rg:None")</f>
        <v>email</v>
      </c>
      <c r="V309" s="8" t="str">
        <f>IF(LEN(Table2[[#This Row],[!Description]]) &gt; 0, Table2[[#This Row],[!Description]], "rg:None")</f>
        <v>The email address of the user in the system.</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Row],[!Unique]])&gt;0,"rg:True","rg:None")</f>
        <v>rg:None</v>
      </c>
    </row>
    <row r="310" spans="1:25" ht="28.8" x14ac:dyDescent="0.3">
      <c r="A310" s="5" t="s">
        <v>0</v>
      </c>
      <c r="B310" s="5" t="s">
        <v>9</v>
      </c>
      <c r="D310" s="5" t="s">
        <v>41</v>
      </c>
      <c r="E310" s="54" t="s">
        <v>327</v>
      </c>
      <c r="F310" s="5" t="s">
        <v>5</v>
      </c>
      <c r="G310" s="4" t="s">
        <v>62</v>
      </c>
      <c r="H310" s="4"/>
      <c r="I310" s="5" t="str">
        <f t="shared" si="29"/>
        <v>Defs</v>
      </c>
      <c r="J310" s="8" t="str">
        <f>IF(Table2[[#This Row],[!Type]]=J$1, J$1,"rg:None")</f>
        <v>boolean</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active</v>
      </c>
      <c r="V310" s="8" t="str">
        <f>IF(LEN(Table2[[#This Row],[!Description]]) &gt; 0, Table2[[#This Row],[!Description]], "rg:None")</f>
        <v>A flag indicating the User is active in the system. Set false to remove access to the system for the user.</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Row],[!Unique]])&gt;0,"rg:True","rg:None")</f>
        <v>rg:None</v>
      </c>
    </row>
    <row r="311" spans="1:25" x14ac:dyDescent="0.3">
      <c r="A311" s="5" t="s">
        <v>0</v>
      </c>
      <c r="B311" s="5" t="s">
        <v>7</v>
      </c>
      <c r="C311" s="5">
        <v>255</v>
      </c>
      <c r="D311" s="5" t="s">
        <v>44</v>
      </c>
      <c r="E311" s="54" t="s">
        <v>45</v>
      </c>
      <c r="F311" s="5" t="s">
        <v>5</v>
      </c>
      <c r="G311" s="4"/>
      <c r="H311" s="4"/>
      <c r="I311" s="5" t="str">
        <f t="shared" si="29"/>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255</v>
      </c>
      <c r="U311" s="8" t="str">
        <f>IF(LEN(Table2[[#This Row],[!Name]]) &gt; 0, Table2[[#This Row],[!Name]], "rg:None")</f>
        <v>smUserId</v>
      </c>
      <c r="V311" s="8" t="str">
        <f>IF(LEN(Table2[[#This Row],[!Description]]) &gt; 0, Table2[[#This Row],[!Description]], "rg:None")</f>
        <v>Security Manager User ID</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Row],[!Unique]])&gt;0,"rg:True","rg:None")</f>
        <v>rg:None</v>
      </c>
    </row>
    <row r="312" spans="1:25" ht="57.6" x14ac:dyDescent="0.3">
      <c r="A312" s="5" t="s">
        <v>0</v>
      </c>
      <c r="B312" s="5" t="s">
        <v>7</v>
      </c>
      <c r="C312" s="5">
        <v>255</v>
      </c>
      <c r="D312" s="5" t="s">
        <v>46</v>
      </c>
      <c r="E312" s="54" t="s">
        <v>328</v>
      </c>
      <c r="F312" s="5" t="s">
        <v>5</v>
      </c>
      <c r="G312" s="4"/>
      <c r="H312" s="4"/>
      <c r="I312" s="5" t="str">
        <f t="shared" si="29"/>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255</v>
      </c>
      <c r="U312" s="8" t="str">
        <f>IF(LEN(Table2[[#This Row],[!Name]]) &gt; 0, Table2[[#This Row],[!Name]], "rg:None")</f>
        <v>guid</v>
      </c>
      <c r="V312"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Row],[!Unique]])&gt;0,"rg:True","rg:None")</f>
        <v>rg:None</v>
      </c>
    </row>
    <row r="313" spans="1:25" x14ac:dyDescent="0.3">
      <c r="A313" s="5" t="s">
        <v>0</v>
      </c>
      <c r="B313" s="5" t="s">
        <v>7</v>
      </c>
      <c r="C313" s="5">
        <v>255</v>
      </c>
      <c r="D313" s="5" t="s">
        <v>47</v>
      </c>
      <c r="E313" s="54" t="s">
        <v>329</v>
      </c>
      <c r="F313" s="5" t="s">
        <v>5</v>
      </c>
      <c r="G313" s="4"/>
      <c r="H313" s="4"/>
      <c r="I313" s="5" t="str">
        <f t="shared" si="29"/>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smAuthorizationDirectory</v>
      </c>
      <c r="V313" s="8" t="str">
        <f>IF(LEN(Table2[[#This Row],[!Description]]) &gt; 0, Table2[[#This Row],[!Description]], "rg:None")</f>
        <v>The user directory service used by Siteminder to authenticate the user - usually IDIR or BCeID.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Row],[!Unique]])&gt;0,"rg:True","rg:None")</f>
        <v>rg:None</v>
      </c>
    </row>
    <row r="314" spans="1:25" x14ac:dyDescent="0.3">
      <c r="A314" s="5" t="s">
        <v>0</v>
      </c>
      <c r="B314" s="5" t="s">
        <v>19</v>
      </c>
      <c r="D314" s="5" t="s">
        <v>48</v>
      </c>
      <c r="F314" s="5" t="s">
        <v>50</v>
      </c>
      <c r="G314" s="4"/>
      <c r="H314" s="4"/>
      <c r="I314" s="5" t="str">
        <f t="shared" si="29"/>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links</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userRoles</v>
      </c>
      <c r="V314" s="8" t="str">
        <f>IF(LEN(Table2[[#This Row],[!Description]]) &gt; 0, Table2[[#This Row],[!Description]], "rg:None")</f>
        <v>rg:None</v>
      </c>
      <c r="W314" s="8" t="str">
        <f>IF(LEN(Table2[[#This Row],[!FK]])&gt;0,Table2[[#This Row],[!FK]],"rg:None")</f>
        <v>UserRole</v>
      </c>
      <c r="X314" s="8" t="str">
        <f>IF(LEN(concatif2(A:A,Table2[[#This Row],[!Table]],G:G,"Y",D:D,",")) &gt; 0,"rg:[ { 'req' : '"&amp;concatif2(A:A,Table2[[#This Row],[!Table]],G:G,"Y",D:D,"' }, { 'req': '")&amp;"'} ]","rg:[]")</f>
        <v>rg:[ { 'req' : 'id' }, { 'req': 'givenName' }, { 'req': 'surname' }, { 'req': 'active'} ]</v>
      </c>
      <c r="Y314" s="8" t="str">
        <f>IF(LEN(Table2[[#This Row],[!Unique]])&gt;0,"rg:True","rg:None")</f>
        <v>rg:None</v>
      </c>
    </row>
    <row r="315" spans="1:25" x14ac:dyDescent="0.3">
      <c r="A315" s="5" t="s">
        <v>0</v>
      </c>
      <c r="B315" s="5" t="s">
        <v>19</v>
      </c>
      <c r="D315" s="5" t="s">
        <v>49</v>
      </c>
      <c r="F315" s="5" t="s">
        <v>59</v>
      </c>
      <c r="G315" s="4"/>
      <c r="H315" s="4"/>
      <c r="I315" s="5" t="str">
        <f t="shared" si="29"/>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groupMemberships</v>
      </c>
      <c r="V315" s="8" t="str">
        <f>IF(LEN(Table2[[#This Row],[!Description]]) &gt; 0, Table2[[#This Row],[!Description]], "rg:None")</f>
        <v>rg:None</v>
      </c>
      <c r="W315" s="8" t="str">
        <f>IF(LEN(Table2[[#This Row],[!FK]])&gt;0,Table2[[#This Row],[!FK]],"rg:None")</f>
        <v>GroupMembership</v>
      </c>
      <c r="X315" s="8" t="str">
        <f>IF(LEN(concatif2(A:A,Table2[[#This Row],[!Table]],G:G,"Y",D:D,",")) &gt; 0,"rg:[ { 'req' : '"&amp;concatif2(A:A,Table2[[#This Row],[!Table]],G:G,"Y",D:D,"' }, { 'req': '")&amp;"'} ]","rg:[]")</f>
        <v>rg:[ { 'req' : 'id' }, { 'req': 'givenName' }, { 'req': 'surname' }, { 'req': 'active'} ]</v>
      </c>
      <c r="Y315" s="8" t="str">
        <f>IF(LEN(Table2[[#This Row],[!Unique]])&gt;0,"rg:True","rg:None")</f>
        <v>rg:None</v>
      </c>
    </row>
    <row r="316" spans="1:25" x14ac:dyDescent="0.3">
      <c r="A316" s="67" t="s">
        <v>0</v>
      </c>
      <c r="B316" s="67" t="s">
        <v>8</v>
      </c>
      <c r="C316" s="72"/>
      <c r="D316" s="67" t="s">
        <v>32</v>
      </c>
      <c r="E316" s="47" t="s">
        <v>434</v>
      </c>
      <c r="F316" s="68" t="s">
        <v>32</v>
      </c>
      <c r="G316" s="18"/>
      <c r="H316" s="18"/>
      <c r="I316" s="4" t="str">
        <f>IF(LEN(A316) &gt; 0,"Defs","-")</f>
        <v>Defs</v>
      </c>
      <c r="J316" s="14" t="str">
        <f>IF(Table2[[#This Row],[!Type]]=J$1, J$1,"rg:None")</f>
        <v>rg:None</v>
      </c>
      <c r="K316" s="14" t="str">
        <f>IF(Table2[[#This Row],[!Type]]=K$1, K$1,"rg:None")</f>
        <v>rg:None</v>
      </c>
      <c r="L316" s="14" t="str">
        <f>IF(Table2[[#This Row],[!Type]]=L$1, L$1,"rg:None")</f>
        <v>rg:None</v>
      </c>
      <c r="M316" s="14" t="str">
        <f>IF(Table2[[#This Row],[!Type]]=M$1, M$1,"rg:None")</f>
        <v>rg:None</v>
      </c>
      <c r="N316" s="14" t="str">
        <f>IF(Table2[[#This Row],[!Type]]=N$1, N$1,"rg:None")</f>
        <v>rg:None</v>
      </c>
      <c r="O316" s="14" t="str">
        <f>IF(Table2[[#This Row],[!Type]]=O$1, O$1,"rg:None")</f>
        <v>rg:None</v>
      </c>
      <c r="P316" s="4" t="str">
        <f>IF(Table2[[#This Row],[!Type]]=P$1, P$1,"rg:None")</f>
        <v>rg:None</v>
      </c>
      <c r="Q316" s="4" t="str">
        <f>IF(Table2[[#This Row],[!Type]]=Q$1, Q$1,"rg:None")</f>
        <v>ref</v>
      </c>
      <c r="R316" s="4" t="str">
        <f>IF(Table2[[#This Row],[!Type]]=R$1, R$1,"rg:None")</f>
        <v>rg:None</v>
      </c>
      <c r="S316" s="4" t="str">
        <f>IF(Table2[[#This Row],[!Type]]=S$1, S$1,"rg:None")</f>
        <v>rg:None</v>
      </c>
      <c r="T316" s="14" t="str">
        <f>IF(LEN(Table2[[#This Row],[!Length]]) &gt; 0, Table2[[#This Row],[!Length]], "rg:None")</f>
        <v>rg:None</v>
      </c>
      <c r="U316" s="14" t="str">
        <f>IF(LEN(Table2[[#This Row],[!Name]]) &gt; 0, Table2[[#This Row],[!Name]], "rg:None")</f>
        <v>District</v>
      </c>
      <c r="V316" s="14" t="str">
        <f>IF(LEN(Table2[[#This Row],[!Description]]) &gt; 0, Table2[[#This Row],[!Description]], "rg:None")</f>
        <v>The District that the User belongs to</v>
      </c>
      <c r="W316" s="14" t="str">
        <f>IF(LEN(Table2[[#This Row],[!FK]])&gt;0,Table2[[#This Row],[!FK]],"rg:None")</f>
        <v>District</v>
      </c>
      <c r="X316" s="14" t="str">
        <f>IF(LEN(concatif2(A:A,Table2[[#This Row],[!Table]],G:G,"Y",D:D,",")) &gt; 0,"rg:[ { 'req' : '"&amp;concatif2(A:A,Table2[[#This Row],[!Table]],G:G,"Y",D:D,"' }, { 'req': '")&amp;"'} ]","rg:[]")</f>
        <v>rg:[ { 'req' : 'id' }, { 'req': 'givenName' }, { 'req': 'surname' }, { 'req': 'active'} ]</v>
      </c>
      <c r="Y316" s="14" t="str">
        <f>IF(LEN(Table2[[#This Row],[!Unique]])&gt;0,"rg:True","rg:None")</f>
        <v>rg:None</v>
      </c>
    </row>
    <row r="317" spans="1:25" ht="28.8" x14ac:dyDescent="0.3">
      <c r="A317" s="5" t="s">
        <v>50</v>
      </c>
      <c r="B317" s="5" t="s">
        <v>4</v>
      </c>
      <c r="D317" s="5" t="s">
        <v>50</v>
      </c>
      <c r="E317" s="54" t="s">
        <v>330</v>
      </c>
      <c r="F317" s="5" t="s">
        <v>5</v>
      </c>
      <c r="G317" s="4"/>
      <c r="H317" s="4"/>
      <c r="I317" s="5" t="str">
        <f t="shared" si="29"/>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table</v>
      </c>
      <c r="T317" s="8" t="str">
        <f>IF(LEN(Table2[[#This Row],[!Length]]) &gt; 0, Table2[[#This Row],[!Length]], "rg:None")</f>
        <v>rg:None</v>
      </c>
      <c r="U317" s="8" t="str">
        <f>IF(LEN(Table2[[#This Row],[!Name]]) &gt; 0, Table2[[#This Row],[!Name]], "rg:None")</f>
        <v>UserRole</v>
      </c>
      <c r="V317"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7" s="8" t="str">
        <f>IF(LEN(Table2[[#This Row],[!FK]])&gt;0,Table2[[#This Row],[!FK]],"rg:None")</f>
        <v>rg:None</v>
      </c>
      <c r="X317" s="8" t="str">
        <f>IF(LEN(concatif2(A:A,Table2[[#This Row],[!Table]],G:G,"Y",D:D,",")) &gt; 0,"rg:[ { 'req' : '"&amp;concatif2(A:A,Table2[[#This Row],[!Table]],G:G,"Y",D:D,"' }, { 'req': '")&amp;"'} ]","rg:[]")</f>
        <v>rg:[ { 'req' : 'id' }, { 'req': 'effectiveDate'} ]</v>
      </c>
      <c r="Y317" s="8" t="str">
        <f>IF(LEN(Table2[[#This Row],[!Unique]])&gt;0,"rg:True","rg:None")</f>
        <v>rg:None</v>
      </c>
    </row>
    <row r="318" spans="1:25" x14ac:dyDescent="0.3">
      <c r="A318" s="5" t="s">
        <v>50</v>
      </c>
      <c r="B318" s="5" t="s">
        <v>6</v>
      </c>
      <c r="D318" s="5" t="s">
        <v>6</v>
      </c>
      <c r="E318" s="54" t="s">
        <v>331</v>
      </c>
      <c r="F318" s="5" t="s">
        <v>5</v>
      </c>
      <c r="G318" s="4" t="s">
        <v>62</v>
      </c>
      <c r="H318" s="4"/>
      <c r="I318" s="5" t="str">
        <f t="shared" si="29"/>
        <v>Defs</v>
      </c>
      <c r="J318" s="8" t="str">
        <f>IF(Table2[[#This Row],[!Type]]=J$1, J$1,"rg:None")</f>
        <v>rg:None</v>
      </c>
      <c r="K318" s="8" t="str">
        <f>IF(Table2[[#This Row],[!Type]]=K$1, K$1,"rg:None")</f>
        <v>rg:None</v>
      </c>
      <c r="L318" s="8" t="str">
        <f>IF(Table2[[#This Row],[!Type]]=L$1, L$1,"rg:None")</f>
        <v>rg:None</v>
      </c>
      <c r="M318" s="8" t="str">
        <f>IF(Table2[[#This Row],[!Type]]=M$1, M$1,"rg:None")</f>
        <v>id</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id</v>
      </c>
      <c r="V318" s="8" t="str">
        <f>IF(LEN(Table2[[#This Row],[!Description]]) &gt; 0, Table2[[#This Row],[!Description]], "rg:None")</f>
        <v>A system-generated unique identifier for a UserRole</v>
      </c>
      <c r="W318" s="8" t="str">
        <f>IF(LEN(Table2[[#This Row],[!FK]])&gt;0,Table2[[#This Row],[!FK]],"rg:None")</f>
        <v>rg:None</v>
      </c>
      <c r="X318" s="8" t="str">
        <f>IF(LEN(concatif2(A:A,Table2[[#This Row],[!Table]],G:G,"Y",D:D,",")) &gt; 0,"rg:[ { 'req' : '"&amp;concatif2(A:A,Table2[[#This Row],[!Table]],G:G,"Y",D:D,"' }, { 'req': '")&amp;"'} ]","rg:[]")</f>
        <v>rg:[ { 'req' : 'id' }, { 'req': 'effectiveDate'} ]</v>
      </c>
      <c r="Y318" s="8" t="str">
        <f>IF(LEN(Table2[[#This Row],[!Unique]])&gt;0,"rg:True","rg:None")</f>
        <v>rg:None</v>
      </c>
    </row>
    <row r="319" spans="1:25" x14ac:dyDescent="0.3">
      <c r="A319" s="5" t="s">
        <v>50</v>
      </c>
      <c r="B319" s="5" t="s">
        <v>12</v>
      </c>
      <c r="D319" s="5" t="s">
        <v>51</v>
      </c>
      <c r="E319" s="54" t="s">
        <v>332</v>
      </c>
      <c r="F319" s="5" t="s">
        <v>5</v>
      </c>
      <c r="G319" s="4" t="s">
        <v>62</v>
      </c>
      <c r="H319" s="4"/>
      <c r="I319" s="5" t="str">
        <f t="shared" si="29"/>
        <v>Defs</v>
      </c>
      <c r="J319" s="8" t="str">
        <f>IF(Table2[[#This Row],[!Type]]=J$1, J$1,"rg:None")</f>
        <v>rg:None</v>
      </c>
      <c r="K319" s="8" t="str">
        <f>IF(Table2[[#This Row],[!Type]]=K$1, K$1,"rg:None")</f>
        <v>rg:None</v>
      </c>
      <c r="L319" s="8" t="str">
        <f>IF(Table2[[#This Row],[!Type]]=L$1, L$1,"rg:None")</f>
        <v>datetime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effectiveDate</v>
      </c>
      <c r="V319" s="8" t="str">
        <f>IF(LEN(Table2[[#This Row],[!Description]]) &gt; 0, Table2[[#This Row],[!Description]], "rg:None")</f>
        <v>The date on which the user was given the related role.</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Row],[!Unique]])&gt;0,"rg:True","rg:None")</f>
        <v>rg:None</v>
      </c>
    </row>
    <row r="320" spans="1:25" x14ac:dyDescent="0.3">
      <c r="A320" s="5" t="s">
        <v>50</v>
      </c>
      <c r="B320" s="5" t="s">
        <v>12</v>
      </c>
      <c r="D320" s="5" t="s">
        <v>52</v>
      </c>
      <c r="E320" s="54" t="s">
        <v>333</v>
      </c>
      <c r="F320" s="5" t="s">
        <v>5</v>
      </c>
      <c r="G320" s="4"/>
      <c r="H320" s="4"/>
      <c r="I320" s="5" t="str">
        <f t="shared" si="29"/>
        <v>Defs</v>
      </c>
      <c r="J320" s="8" t="str">
        <f>IF(Table2[[#This Row],[!Type]]=J$1, J$1,"rg:None")</f>
        <v>rg:None</v>
      </c>
      <c r="K320" s="8" t="str">
        <f>IF(Table2[[#This Row],[!Type]]=K$1, K$1,"rg:None")</f>
        <v>rg:None</v>
      </c>
      <c r="L320" s="8" t="str">
        <f>IF(Table2[[#This Row],[!Type]]=L$1, L$1,"rg:None")</f>
        <v>datetime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expiryDate</v>
      </c>
      <c r="V320" s="8" t="str">
        <f>IF(LEN(Table2[[#This Row],[!Description]]) &gt; 0, Table2[[#This Row],[!Description]], "rg:None")</f>
        <v>The date on which a role previously assigned to a user was removed from that user.</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Row],[!Unique]])&gt;0,"rg:True","rg:None")</f>
        <v>rg:None</v>
      </c>
    </row>
    <row r="321" spans="1:25" x14ac:dyDescent="0.3">
      <c r="A321" s="5" t="s">
        <v>50</v>
      </c>
      <c r="B321" s="5" t="s">
        <v>8</v>
      </c>
      <c r="D321" s="5" t="s">
        <v>18</v>
      </c>
      <c r="E321" s="130" t="s">
        <v>546</v>
      </c>
      <c r="F321" s="5" t="s">
        <v>53</v>
      </c>
      <c r="G321" s="4"/>
      <c r="H321" s="4"/>
      <c r="I321" s="5" t="str">
        <f t="shared" si="29"/>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ref</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role</v>
      </c>
      <c r="V321" s="8" t="str">
        <f>IF(LEN(Table2[[#This Row],[!Description]]) &gt; 0, Table2[[#This Row],[!Description]], "rg:None")</f>
        <v>A foreign key reference to the system-generated unique identifier for a Role</v>
      </c>
      <c r="W321" s="8" t="str">
        <f>IF(LEN(Table2[[#This Row],[!FK]])&gt;0,Table2[[#This Row],[!FK]],"rg:None")</f>
        <v>Role</v>
      </c>
      <c r="X321" s="8" t="str">
        <f>IF(LEN(concatif2(A:A,Table2[[#This Row],[!Table]],G:G,"Y",D:D,",")) &gt; 0,"rg:[ { 'req' : '"&amp;concatif2(A:A,Table2[[#This Row],[!Table]],G:G,"Y",D:D,"' }, { 'req': '")&amp;"'} ]","rg:[]")</f>
        <v>rg:[ { 'req' : 'id' }, { 'req': 'effectiveDate'} ]</v>
      </c>
      <c r="Y321" s="8" t="str">
        <f>IF(LEN(Table2[[#This Row],[!Unique]])&gt;0,"rg:True","rg:None")</f>
        <v>rg:None</v>
      </c>
    </row>
    <row r="322" spans="1:25" ht="43.2" x14ac:dyDescent="0.3">
      <c r="A322" s="5" t="s">
        <v>53</v>
      </c>
      <c r="B322" s="5" t="s">
        <v>4</v>
      </c>
      <c r="D322" s="5" t="s">
        <v>53</v>
      </c>
      <c r="E322" s="76" t="s">
        <v>373</v>
      </c>
      <c r="F322" s="5" t="s">
        <v>5</v>
      </c>
      <c r="G322" s="4"/>
      <c r="H322" s="4"/>
      <c r="I322" s="5" t="str">
        <f t="shared" si="29"/>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table</v>
      </c>
      <c r="T322" s="8" t="str">
        <f>IF(LEN(Table2[[#This Row],[!Length]]) &gt; 0, Table2[[#This Row],[!Length]], "rg:None")</f>
        <v>rg:None</v>
      </c>
      <c r="U322" s="8" t="str">
        <f>IF(LEN(Table2[[#This Row],[!Name]]) &gt; 0, Table2[[#This Row],[!Name]], "rg:None")</f>
        <v>Role</v>
      </c>
      <c r="V322"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2" s="8" t="str">
        <f>IF(LEN(Table2[[#This Row],[!FK]])&gt;0,Table2[[#This Row],[!FK]],"rg:None")</f>
        <v>rg:None</v>
      </c>
      <c r="X322" s="8" t="str">
        <f>IF(LEN(concatif2(A:A,Table2[[#This Row],[!Table]],G:G,"Y",D:D,",")) &gt; 0,"rg:[ { 'req' : '"&amp;concatif2(A:A,Table2[[#This Row],[!Table]],G:G,"Y",D:D,"' }, { 'req': '")&amp;"'} ]","rg:[]")</f>
        <v>rg:[ { 'req' : 'id' }, { 'req': 'name' }, { 'req': 'description'} ]</v>
      </c>
      <c r="Y322" s="8" t="str">
        <f>IF(LEN(Table2[[#This Row],[!Unique]])&gt;0,"rg:True","rg:None")</f>
        <v>rg:None</v>
      </c>
    </row>
    <row r="323" spans="1:25" x14ac:dyDescent="0.3">
      <c r="A323" s="5" t="s">
        <v>53</v>
      </c>
      <c r="B323" s="5" t="s">
        <v>6</v>
      </c>
      <c r="D323" s="5" t="s">
        <v>6</v>
      </c>
      <c r="E323" s="54" t="s">
        <v>334</v>
      </c>
      <c r="F323" s="5" t="s">
        <v>5</v>
      </c>
      <c r="G323" s="4" t="s">
        <v>62</v>
      </c>
      <c r="H323" s="4"/>
      <c r="I323" s="5" t="str">
        <f t="shared" si="29"/>
        <v>Defs</v>
      </c>
      <c r="J323" s="8" t="str">
        <f>IF(Table2[[#This Row],[!Type]]=J$1, J$1,"rg:None")</f>
        <v>rg:None</v>
      </c>
      <c r="K323" s="8" t="str">
        <f>IF(Table2[[#This Row],[!Type]]=K$1, K$1,"rg:None")</f>
        <v>rg:None</v>
      </c>
      <c r="L323" s="8" t="str">
        <f>IF(Table2[[#This Row],[!Type]]=L$1, L$1,"rg:None")</f>
        <v>rg:None</v>
      </c>
      <c r="M323" s="8" t="str">
        <f>IF(Table2[[#This Row],[!Type]]=M$1, M$1,"rg:None")</f>
        <v>id</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id</v>
      </c>
      <c r="V323" s="8" t="str">
        <f>IF(LEN(Table2[[#This Row],[!Description]]) &gt; 0, Table2[[#This Row],[!Description]], "rg:None")</f>
        <v>A system-generated unique identifier for a Role</v>
      </c>
      <c r="W323" s="8" t="str">
        <f>IF(LEN(Table2[[#This Row],[!FK]])&gt;0,Table2[[#This Row],[!FK]],"rg:None")</f>
        <v>rg:None</v>
      </c>
      <c r="X323" s="8" t="str">
        <f>IF(LEN(concatif2(A:A,Table2[[#This Row],[!Table]],G:G,"Y",D:D,",")) &gt; 0,"rg:[ { 'req' : '"&amp;concatif2(A:A,Table2[[#This Row],[!Table]],G:G,"Y",D:D,"' }, { 'req': '")&amp;"'} ]","rg:[]")</f>
        <v>rg:[ { 'req' : 'id' }, { 'req': 'name' }, { 'req': 'description'} ]</v>
      </c>
      <c r="Y323" s="8" t="str">
        <f>IF(LEN(Table2[[#This Row],[!Unique]])&gt;0,"rg:True","rg:None")</f>
        <v>rg:None</v>
      </c>
    </row>
    <row r="324" spans="1:25" x14ac:dyDescent="0.3">
      <c r="A324" s="5" t="s">
        <v>53</v>
      </c>
      <c r="B324" s="5" t="s">
        <v>7</v>
      </c>
      <c r="C324" s="5">
        <v>255</v>
      </c>
      <c r="D324" s="5" t="s">
        <v>15</v>
      </c>
      <c r="E324" s="54" t="s">
        <v>335</v>
      </c>
      <c r="F324" s="5" t="s">
        <v>5</v>
      </c>
      <c r="G324" s="4" t="s">
        <v>62</v>
      </c>
      <c r="H324" s="4"/>
      <c r="I324" s="5" t="str">
        <f t="shared" si="29"/>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255</v>
      </c>
      <c r="U324" s="8" t="str">
        <f>IF(LEN(Table2[[#This Row],[!Name]]) &gt; 0, Table2[[#This Row],[!Name]], "rg:None")</f>
        <v>name</v>
      </c>
      <c r="V324" s="8" t="str">
        <f>IF(LEN(Table2[[#This Row],[!Description]]) &gt; 0, Table2[[#This Row],[!Description]], "rg:None")</f>
        <v>The name of the Role, as established by the user creating the role.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Row],[!Unique]])&gt;0,"rg:True","rg:None")</f>
        <v>rg:None</v>
      </c>
    </row>
    <row r="325" spans="1:25" x14ac:dyDescent="0.3">
      <c r="A325" s="5" t="s">
        <v>53</v>
      </c>
      <c r="B325" s="5" t="s">
        <v>7</v>
      </c>
      <c r="C325" s="5">
        <v>2048</v>
      </c>
      <c r="D325" s="5" t="s">
        <v>14</v>
      </c>
      <c r="E325" s="54" t="s">
        <v>336</v>
      </c>
      <c r="F325" s="5" t="s">
        <v>5</v>
      </c>
      <c r="G325" s="4" t="s">
        <v>62</v>
      </c>
      <c r="H325" s="4"/>
      <c r="I325" s="5" t="str">
        <f t="shared" si="29"/>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2048</v>
      </c>
      <c r="U325" s="8" t="str">
        <f>IF(LEN(Table2[[#This Row],[!Name]]) &gt; 0, Table2[[#This Row],[!Name]], "rg:None")</f>
        <v>description</v>
      </c>
      <c r="V325" s="8" t="str">
        <f>IF(LEN(Table2[[#This Row],[!Description]]) &gt; 0, Table2[[#This Row],[!Description]], "rg:None")</f>
        <v>A description of the role as set by the user creating/updating the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Row],[!Unique]])&gt;0,"rg:True","rg:None")</f>
        <v>rg:None</v>
      </c>
    </row>
    <row r="326" spans="1:25" x14ac:dyDescent="0.3">
      <c r="A326" s="5" t="s">
        <v>53</v>
      </c>
      <c r="B326" s="5" t="s">
        <v>19</v>
      </c>
      <c r="D326" s="5" t="s">
        <v>54</v>
      </c>
      <c r="F326" s="5" t="s">
        <v>55</v>
      </c>
      <c r="G326" s="4"/>
      <c r="H326" s="4"/>
      <c r="I326" s="5" t="str">
        <f t="shared" si="29"/>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links</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rolePermissions</v>
      </c>
      <c r="V326" s="8" t="str">
        <f>IF(LEN(Table2[[#This Row],[!Description]]) &gt; 0, Table2[[#This Row],[!Description]], "rg:None")</f>
        <v>rg:None</v>
      </c>
      <c r="W326" s="8" t="str">
        <f>IF(LEN(Table2[[#This Row],[!FK]])&gt;0,Table2[[#This Row],[!FK]],"rg:None")</f>
        <v>RolePermission</v>
      </c>
      <c r="X326" s="8" t="str">
        <f>IF(LEN(concatif2(A:A,Table2[[#This Row],[!Table]],G:G,"Y",D:D,",")) &gt; 0,"rg:[ { 'req' : '"&amp;concatif2(A:A,Table2[[#This Row],[!Table]],G:G,"Y",D:D,"' }, { 'req': '")&amp;"'} ]","rg:[]")</f>
        <v>rg:[ { 'req' : 'id' }, { 'req': 'name' }, { 'req': 'description'} ]</v>
      </c>
      <c r="Y326" s="8" t="str">
        <f>IF(LEN(Table2[[#This Row],[!Unique]])&gt;0,"rg:True","rg:None")</f>
        <v>rg:None</v>
      </c>
    </row>
    <row r="327" spans="1:25" x14ac:dyDescent="0.3">
      <c r="A327" s="5" t="s">
        <v>53</v>
      </c>
      <c r="B327" s="5" t="s">
        <v>19</v>
      </c>
      <c r="D327" s="5" t="s">
        <v>48</v>
      </c>
      <c r="F327" s="5" t="s">
        <v>50</v>
      </c>
      <c r="G327" s="4"/>
      <c r="H327" s="4"/>
      <c r="I327" s="5" t="str">
        <f t="shared" si="29"/>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links</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userRoles</v>
      </c>
      <c r="V327" s="8" t="str">
        <f>IF(LEN(Table2[[#This Row],[!Description]]) &gt; 0, Table2[[#This Row],[!Description]], "rg:None")</f>
        <v>rg:None</v>
      </c>
      <c r="W327" s="8" t="str">
        <f>IF(LEN(Table2[[#This Row],[!FK]])&gt;0,Table2[[#This Row],[!FK]],"rg:None")</f>
        <v>UserRole</v>
      </c>
      <c r="X327" s="8" t="str">
        <f>IF(LEN(concatif2(A:A,Table2[[#This Row],[!Table]],G:G,"Y",D:D,",")) &gt; 0,"rg:[ { 'req' : '"&amp;concatif2(A:A,Table2[[#This Row],[!Table]],G:G,"Y",D:D,"' }, { 'req': '")&amp;"'} ]","rg:[]")</f>
        <v>rg:[ { 'req' : 'id' }, { 'req': 'name' }, { 'req': 'description'} ]</v>
      </c>
      <c r="Y327" s="8" t="str">
        <f>IF(LEN(Table2[[#This Row],[!Unique]])&gt;0,"rg:True","rg:None")</f>
        <v>rg:None</v>
      </c>
    </row>
    <row r="328" spans="1:25" ht="28.8" x14ac:dyDescent="0.3">
      <c r="A328" s="5" t="s">
        <v>55</v>
      </c>
      <c r="B328" s="5" t="s">
        <v>4</v>
      </c>
      <c r="D328" s="5" t="s">
        <v>55</v>
      </c>
      <c r="E328" s="76" t="s">
        <v>374</v>
      </c>
      <c r="F328" s="5" t="s">
        <v>5</v>
      </c>
      <c r="G328" s="4"/>
      <c r="H328" s="4"/>
      <c r="I328" s="5" t="str">
        <f t="shared" si="29"/>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table</v>
      </c>
      <c r="T328" s="8" t="str">
        <f>IF(LEN(Table2[[#This Row],[!Length]]) &gt; 0, Table2[[#This Row],[!Length]], "rg:None")</f>
        <v>rg:None</v>
      </c>
      <c r="U328" s="8" t="str">
        <f>IF(LEN(Table2[[#This Row],[!Name]]) &gt; 0, Table2[[#This Row],[!Name]], "rg:None")</f>
        <v>RolePermission</v>
      </c>
      <c r="V328" s="8" t="str">
        <f>IF(LEN(Table2[[#This Row],[!Description]]) &gt; 0, Table2[[#This Row],[!Description]], "rg:None")</f>
        <v>A permission that is part of a Role - a component of the authorization provided by the Role to the user to which the Role is assigned.</v>
      </c>
      <c r="W328" s="8" t="str">
        <f>IF(LEN(Table2[[#This Row],[!FK]])&gt;0,Table2[[#This Row],[!FK]],"rg:None")</f>
        <v>rg:None</v>
      </c>
      <c r="X328" s="8" t="str">
        <f>IF(LEN(concatif2(A:A,Table2[[#This Row],[!Table]],G:G,"Y",D:D,",")) &gt; 0,"rg:[ { 'req' : '"&amp;concatif2(A:A,Table2[[#This Row],[!Table]],G:G,"Y",D:D,"' }, { 'req': '")&amp;"'} ]","rg:[]")</f>
        <v>rg:[ { 'req' : 'id'} ]</v>
      </c>
      <c r="Y328" s="8" t="str">
        <f>IF(LEN(Table2[[#This Row],[!Unique]])&gt;0,"rg:True","rg:None")</f>
        <v>rg:None</v>
      </c>
    </row>
    <row r="329" spans="1:25" x14ac:dyDescent="0.3">
      <c r="A329" s="5" t="s">
        <v>55</v>
      </c>
      <c r="B329" s="5" t="s">
        <v>6</v>
      </c>
      <c r="D329" s="5" t="s">
        <v>6</v>
      </c>
      <c r="E329" s="54" t="s">
        <v>337</v>
      </c>
      <c r="F329" s="5" t="s">
        <v>5</v>
      </c>
      <c r="G329" s="4" t="s">
        <v>62</v>
      </c>
      <c r="H329" s="4"/>
      <c r="I329" s="5" t="str">
        <f t="shared" si="29"/>
        <v>Defs</v>
      </c>
      <c r="J329" s="8" t="str">
        <f>IF(Table2[[#This Row],[!Type]]=J$1, J$1,"rg:None")</f>
        <v>rg:None</v>
      </c>
      <c r="K329" s="8" t="str">
        <f>IF(Table2[[#This Row],[!Type]]=K$1, K$1,"rg:None")</f>
        <v>rg:None</v>
      </c>
      <c r="L329" s="8" t="str">
        <f>IF(Table2[[#This Row],[!Type]]=L$1, L$1,"rg:None")</f>
        <v>rg:None</v>
      </c>
      <c r="M329" s="8" t="str">
        <f>IF(Table2[[#This Row],[!Type]]=M$1, M$1,"rg:None")</f>
        <v>id</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id</v>
      </c>
      <c r="V329" s="8" t="str">
        <f>IF(LEN(Table2[[#This Row],[!Description]]) &gt; 0, Table2[[#This Row],[!Description]], "rg:None")</f>
        <v>A system-generated unique identifier for a RolePermission</v>
      </c>
      <c r="W329" s="8" t="str">
        <f>IF(LEN(Table2[[#This Row],[!FK]])&gt;0,Table2[[#This Row],[!FK]],"rg:None")</f>
        <v>rg:None</v>
      </c>
      <c r="X329" s="8" t="str">
        <f>IF(LEN(concatif2(A:A,Table2[[#This Row],[!Table]],G:G,"Y",D:D,",")) &gt; 0,"rg:[ { 'req' : '"&amp;concatif2(A:A,Table2[[#This Row],[!Table]],G:G,"Y",D:D,"' }, { 'req': '")&amp;"'} ]","rg:[]")</f>
        <v>rg:[ { 'req' : 'id'} ]</v>
      </c>
      <c r="Y329" s="8" t="str">
        <f>IF(LEN(Table2[[#This Row],[!Unique]])&gt;0,"rg:True","rg:None")</f>
        <v>rg:None</v>
      </c>
    </row>
    <row r="330" spans="1:25" x14ac:dyDescent="0.3">
      <c r="A330" s="5" t="s">
        <v>55</v>
      </c>
      <c r="B330" s="5" t="s">
        <v>8</v>
      </c>
      <c r="D330" s="5" t="s">
        <v>18</v>
      </c>
      <c r="F330" s="5" t="s">
        <v>53</v>
      </c>
      <c r="G330" s="4"/>
      <c r="H330" s="4"/>
      <c r="I330" s="5" t="str">
        <f t="shared" si="29"/>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role</v>
      </c>
      <c r="V330" s="8" t="str">
        <f>IF(LEN(Table2[[#This Row],[!Description]]) &gt; 0, Table2[[#This Row],[!Description]], "rg:None")</f>
        <v>rg:None</v>
      </c>
      <c r="W330" s="8" t="str">
        <f>IF(LEN(Table2[[#This Row],[!FK]])&gt;0,Table2[[#This Row],[!FK]],"rg:None")</f>
        <v>Role</v>
      </c>
      <c r="X330" s="8" t="str">
        <f>IF(LEN(concatif2(A:A,Table2[[#This Row],[!Table]],G:G,"Y",D:D,",")) &gt; 0,"rg:[ { 'req' : '"&amp;concatif2(A:A,Table2[[#This Row],[!Table]],G:G,"Y",D:D,"' }, { 'req': '")&amp;"'} ]","rg:[]")</f>
        <v>rg:[ { 'req' : 'id'} ]</v>
      </c>
      <c r="Y330" s="8" t="str">
        <f>IF(LEN(Table2[[#This Row],[!Unique]])&gt;0,"rg:True","rg:None")</f>
        <v>rg:None</v>
      </c>
    </row>
    <row r="331" spans="1:25" x14ac:dyDescent="0.3">
      <c r="A331" s="5" t="s">
        <v>55</v>
      </c>
      <c r="B331" s="5" t="s">
        <v>8</v>
      </c>
      <c r="D331" s="5" t="s">
        <v>56</v>
      </c>
      <c r="E331" s="130" t="s">
        <v>547</v>
      </c>
      <c r="F331" s="5" t="s">
        <v>57</v>
      </c>
      <c r="G331" s="4"/>
      <c r="H331" s="4"/>
      <c r="I331" s="5" t="str">
        <f t="shared" si="29"/>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ref</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permission</v>
      </c>
      <c r="V331" s="8" t="str">
        <f>IF(LEN(Table2[[#This Row],[!Description]]) &gt; 0, Table2[[#This Row],[!Description]], "rg:None")</f>
        <v>A foreign key reference to the system-generated unique identifier for a Permission</v>
      </c>
      <c r="W331" s="8" t="str">
        <f>IF(LEN(Table2[[#This Row],[!FK]])&gt;0,Table2[[#This Row],[!FK]],"rg:None")</f>
        <v>Permission</v>
      </c>
      <c r="X331" s="8" t="str">
        <f>IF(LEN(concatif2(A:A,Table2[[#This Row],[!Table]],G:G,"Y",D:D,",")) &gt; 0,"rg:[ { 'req' : '"&amp;concatif2(A:A,Table2[[#This Row],[!Table]],G:G,"Y",D:D,"' }, { 'req': '")&amp;"'} ]","rg:[]")</f>
        <v>rg:[ { 'req' : 'id'} ]</v>
      </c>
      <c r="Y331" s="8" t="str">
        <f>IF(LEN(Table2[[#This Row],[!Unique]])&gt;0,"rg:True","rg:None")</f>
        <v>rg:None</v>
      </c>
    </row>
    <row r="332" spans="1:25" ht="72" x14ac:dyDescent="0.3">
      <c r="A332" s="5" t="s">
        <v>57</v>
      </c>
      <c r="B332" s="5" t="s">
        <v>4</v>
      </c>
      <c r="D332" s="5" t="s">
        <v>57</v>
      </c>
      <c r="E332" s="76" t="s">
        <v>375</v>
      </c>
      <c r="F332" s="5" t="s">
        <v>5</v>
      </c>
      <c r="G332" s="4"/>
      <c r="H332" s="4"/>
      <c r="I332" s="5" t="str">
        <f t="shared" si="29"/>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table</v>
      </c>
      <c r="T332" s="8" t="str">
        <f>IF(LEN(Table2[[#This Row],[!Length]]) &gt; 0, Table2[[#This Row],[!Length]], "rg:None")</f>
        <v>rg:None</v>
      </c>
      <c r="U332" s="8" t="str">
        <f>IF(LEN(Table2[[#This Row],[!Name]]) &gt; 0, Table2[[#This Row],[!Name]], "rg:None")</f>
        <v>Permission</v>
      </c>
      <c r="V332"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2" s="8" t="str">
        <f>IF(LEN(Table2[[#This Row],[!FK]])&gt;0,Table2[[#This Row],[!FK]],"rg:None")</f>
        <v>rg:None</v>
      </c>
      <c r="X332" s="8" t="str">
        <f>IF(LEN(concatif2(A:A,Table2[[#This Row],[!Table]],G:G,"Y",D:D,",")) &gt; 0,"rg:[ { 'req' : '"&amp;concatif2(A:A,Table2[[#This Row],[!Table]],G:G,"Y",D:D,"' }, { 'req': '")&amp;"'} ]","rg:[]")</f>
        <v>rg:[ { 'req' : 'id' }, { 'req': 'code' }, { 'req': 'name' }, { 'req': 'description'} ]</v>
      </c>
      <c r="Y332" s="8" t="str">
        <f>IF(LEN(Table2[[#This Row],[!Unique]])&gt;0,"rg:True","rg:None")</f>
        <v>rg:None</v>
      </c>
    </row>
    <row r="333" spans="1:25" x14ac:dyDescent="0.3">
      <c r="A333" s="5" t="s">
        <v>57</v>
      </c>
      <c r="B333" s="5" t="s">
        <v>6</v>
      </c>
      <c r="D333" s="5" t="s">
        <v>6</v>
      </c>
      <c r="E333" s="54" t="s">
        <v>338</v>
      </c>
      <c r="F333" s="5" t="s">
        <v>5</v>
      </c>
      <c r="G333" s="4" t="s">
        <v>62</v>
      </c>
      <c r="H333" s="4"/>
      <c r="I333" s="5" t="str">
        <f t="shared" si="29"/>
        <v>Defs</v>
      </c>
      <c r="J333" s="8" t="str">
        <f>IF(Table2[[#This Row],[!Type]]=J$1, J$1,"rg:None")</f>
        <v>rg:None</v>
      </c>
      <c r="K333" s="8" t="str">
        <f>IF(Table2[[#This Row],[!Type]]=K$1, K$1,"rg:None")</f>
        <v>rg:None</v>
      </c>
      <c r="L333" s="8" t="str">
        <f>IF(Table2[[#This Row],[!Type]]=L$1, L$1,"rg:None")</f>
        <v>rg:None</v>
      </c>
      <c r="M333" s="8" t="str">
        <f>IF(Table2[[#This Row],[!Type]]=M$1, M$1,"rg:None")</f>
        <v>id</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id</v>
      </c>
      <c r="V333" s="8" t="str">
        <f>IF(LEN(Table2[[#This Row],[!Description]]) &gt; 0, Table2[[#This Row],[!Description]], "rg:None")</f>
        <v>A system-generated unique identifier for a Permission</v>
      </c>
      <c r="W333" s="8" t="str">
        <f>IF(LEN(Table2[[#This Row],[!FK]])&gt;0,Table2[[#This Row],[!FK]],"rg:None")</f>
        <v>rg:None</v>
      </c>
      <c r="X333" s="8" t="str">
        <f>IF(LEN(concatif2(A:A,Table2[[#This Row],[!Table]],G:G,"Y",D:D,",")) &gt; 0,"rg:[ { 'req' : '"&amp;concatif2(A:A,Table2[[#This Row],[!Table]],G:G,"Y",D:D,"' }, { 'req': '")&amp;"'} ]","rg:[]")</f>
        <v>rg:[ { 'req' : 'id' }, { 'req': 'code' }, { 'req': 'name' }, { 'req': 'description'} ]</v>
      </c>
      <c r="Y333" s="8" t="str">
        <f>IF(LEN(Table2[[#This Row],[!Unique]])&gt;0,"rg:True","rg:None")</f>
        <v>rg:None</v>
      </c>
    </row>
    <row r="334" spans="1:25" x14ac:dyDescent="0.3">
      <c r="A334" s="5" t="s">
        <v>57</v>
      </c>
      <c r="B334" s="5" t="s">
        <v>7</v>
      </c>
      <c r="C334" s="5">
        <v>50</v>
      </c>
      <c r="D334" s="5" t="s">
        <v>58</v>
      </c>
      <c r="E334" s="54" t="s">
        <v>339</v>
      </c>
      <c r="F334" s="5" t="s">
        <v>5</v>
      </c>
      <c r="G334" s="4" t="s">
        <v>62</v>
      </c>
      <c r="H334" s="4"/>
      <c r="I334" s="5" t="str">
        <f t="shared" si="29"/>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50</v>
      </c>
      <c r="U334" s="8" t="str">
        <f>IF(LEN(Table2[[#This Row],[!Name]]) &gt; 0, Table2[[#This Row],[!Name]], "rg:None")</f>
        <v>code</v>
      </c>
      <c r="V334" s="8" t="str">
        <f>IF(LEN(Table2[[#This Row],[!Description]]) &gt; 0, Table2[[#This Row],[!Description]], "rg:None")</f>
        <v>The name of the permission referenced in the software of the application.</v>
      </c>
      <c r="W334" s="8" t="str">
        <f>IF(LEN(Table2[[#This Row],[!FK]])&gt;0,Table2[[#This Row],[!FK]],"rg:None")</f>
        <v>rg:None</v>
      </c>
      <c r="X334" s="8" t="str">
        <f>IF(LEN(concatif2(A:A,Table2[[#This Row],[!Table]],G:G,"Y",D:D,",")) &gt; 0,"rg:[ { 'req' : '"&amp;concatif2(A:A,Table2[[#This Row],[!Table]],G:G,"Y",D:D,"' }, { 'req': '")&amp;"'} ]","rg:[]")</f>
        <v>rg:[ { 'req' : 'id' }, { 'req': 'code' }, { 'req': 'name' }, { 'req': 'description'} ]</v>
      </c>
      <c r="Y334" s="8" t="str">
        <f>IF(LEN(Table2[[#This Row],[!Unique]])&gt;0,"rg:True","rg:None")</f>
        <v>rg:None</v>
      </c>
    </row>
    <row r="335" spans="1:25" ht="28.8" x14ac:dyDescent="0.3">
      <c r="A335" s="5" t="s">
        <v>57</v>
      </c>
      <c r="B335" s="5" t="s">
        <v>7</v>
      </c>
      <c r="C335" s="5">
        <v>150</v>
      </c>
      <c r="D335" s="5" t="s">
        <v>15</v>
      </c>
      <c r="E335" s="54" t="s">
        <v>340</v>
      </c>
      <c r="F335" s="5" t="s">
        <v>5</v>
      </c>
      <c r="G335" s="4" t="s">
        <v>62</v>
      </c>
      <c r="H335" s="4"/>
      <c r="I335" s="5" t="str">
        <f t="shared" si="29"/>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string</v>
      </c>
      <c r="S335" s="5" t="str">
        <f>IF(Table2[[#This Row],[!Type]]=S$1, S$1,"rg:None")</f>
        <v>rg:None</v>
      </c>
      <c r="T335" s="8">
        <f>IF(LEN(Table2[[#This Row],[!Length]]) &gt; 0, Table2[[#This Row],[!Length]], "rg:None")</f>
        <v>150</v>
      </c>
      <c r="U335" s="8" t="str">
        <f>IF(LEN(Table2[[#This Row],[!Name]]) &gt; 0, Table2[[#This Row],[!Name]], "rg:None")</f>
        <v>name</v>
      </c>
      <c r="V335" s="8" t="str">
        <f>IF(LEN(Table2[[#This Row],[!Description]]) &gt; 0, Table2[[#This Row],[!Description]], "rg:None")</f>
        <v>The 'user friendly' name of the permission exposed to the user selecting the permissions to be included in a Role.</v>
      </c>
      <c r="W335" s="8" t="str">
        <f>IF(LEN(Table2[[#This Row],[!FK]])&gt;0,Table2[[#This Row],[!FK]],"rg:None")</f>
        <v>rg:None</v>
      </c>
      <c r="X335" s="8" t="str">
        <f>IF(LEN(concatif2(A:A,Table2[[#This Row],[!Table]],G:G,"Y",D:D,",")) &gt; 0,"rg:[ { 'req' : '"&amp;concatif2(A:A,Table2[[#This Row],[!Table]],G:G,"Y",D:D,"' }, { 'req': '")&amp;"'} ]","rg:[]")</f>
        <v>rg:[ { 'req' : 'id' }, { 'req': 'code' }, { 'req': 'name' }, { 'req': 'description'} ]</v>
      </c>
      <c r="Y335" s="8" t="str">
        <f>IF(LEN(Table2[[#This Row],[!Unique]])&gt;0,"rg:True","rg:None")</f>
        <v>rg:None</v>
      </c>
    </row>
    <row r="336" spans="1:25" ht="28.8" x14ac:dyDescent="0.3">
      <c r="A336" s="5" t="s">
        <v>57</v>
      </c>
      <c r="B336" s="5" t="s">
        <v>7</v>
      </c>
      <c r="C336" s="5">
        <v>2048</v>
      </c>
      <c r="D336" s="5" t="s">
        <v>14</v>
      </c>
      <c r="E336" s="54" t="s">
        <v>341</v>
      </c>
      <c r="F336" s="5" t="s">
        <v>5</v>
      </c>
      <c r="G336" s="4" t="s">
        <v>62</v>
      </c>
      <c r="H336" s="4"/>
      <c r="I336" s="5" t="str">
        <f t="shared" si="29"/>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2048</v>
      </c>
      <c r="U336" s="8" t="str">
        <f>IF(LEN(Table2[[#This Row],[!Name]]) &gt; 0, Table2[[#This Row],[!Name]], "rg:None")</f>
        <v>description</v>
      </c>
      <c r="V336" s="8" t="str">
        <f>IF(LEN(Table2[[#This Row],[!Description]]) &gt; 0, Table2[[#This Row],[!Description]], "rg:None")</f>
        <v>A description of the purpose of the permission and exposed to the user selecting the permissions to be included in a Role.</v>
      </c>
      <c r="W336" s="8" t="str">
        <f>IF(LEN(Table2[[#This Row],[!FK]])&gt;0,Table2[[#This Row],[!FK]],"rg:None")</f>
        <v>rg:None</v>
      </c>
      <c r="X336" s="8" t="str">
        <f>IF(LEN(concatif2(A:A,Table2[[#This Row],[!Table]],G:G,"Y",D:D,",")) &gt; 0,"rg:[ { 'req' : '"&amp;concatif2(A:A,Table2[[#This Row],[!Table]],G:G,"Y",D:D,"' }, { 'req': '")&amp;"'} ]","rg:[]")</f>
        <v>rg:[ { 'req' : 'id' }, { 'req': 'code' }, { 'req': 'name' }, { 'req': 'description'} ]</v>
      </c>
      <c r="Y336" s="8" t="str">
        <f>IF(LEN(Table2[[#This Row],[!Unique]])&gt;0,"rg:True","rg:None")</f>
        <v>rg:None</v>
      </c>
    </row>
    <row r="337" spans="1:25" x14ac:dyDescent="0.3">
      <c r="A337" s="5" t="s">
        <v>59</v>
      </c>
      <c r="B337" s="5" t="s">
        <v>4</v>
      </c>
      <c r="D337" s="5" t="s">
        <v>59</v>
      </c>
      <c r="E337" s="54" t="s">
        <v>342</v>
      </c>
      <c r="F337" s="5" t="s">
        <v>5</v>
      </c>
      <c r="G337" s="4"/>
      <c r="H337" s="4"/>
      <c r="I337" s="5" t="str">
        <f t="shared" si="29"/>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rg:None</v>
      </c>
      <c r="S337" s="5" t="str">
        <f>IF(Table2[[#This Row],[!Type]]=S$1, S$1,"rg:None")</f>
        <v>table</v>
      </c>
      <c r="T337" s="8" t="str">
        <f>IF(LEN(Table2[[#This Row],[!Length]]) &gt; 0, Table2[[#This Row],[!Length]], "rg:None")</f>
        <v>rg:None</v>
      </c>
      <c r="U337" s="8" t="str">
        <f>IF(LEN(Table2[[#This Row],[!Name]]) &gt; 0, Table2[[#This Row],[!Name]], "rg:None")</f>
        <v>GroupMembership</v>
      </c>
      <c r="V337" s="8" t="str">
        <f>IF(LEN(Table2[[#This Row],[!Description]]) &gt; 0, Table2[[#This Row],[!Description]], "rg:None")</f>
        <v>The users associated with a given group that has been defined in the application.</v>
      </c>
      <c r="W337" s="8" t="str">
        <f>IF(LEN(Table2[[#This Row],[!FK]])&gt;0,Table2[[#This Row],[!FK]],"rg:None")</f>
        <v>rg:None</v>
      </c>
      <c r="X337" s="8" t="str">
        <f>IF(LEN(concatif2(A:A,Table2[[#This Row],[!Table]],G:G,"Y",D:D,",")) &gt; 0,"rg:[ { 'req' : '"&amp;concatif2(A:A,Table2[[#This Row],[!Table]],G:G,"Y",D:D,"' }, { 'req': '")&amp;"'} ]","rg:[]")</f>
        <v>rg:[ { 'req' : 'id' }, { 'req': 'active'} ]</v>
      </c>
      <c r="Y337" s="8" t="str">
        <f>IF(LEN(Table2[[#This Row],[!Unique]])&gt;0,"rg:True","rg:None")</f>
        <v>rg:None</v>
      </c>
    </row>
    <row r="338" spans="1:25" x14ac:dyDescent="0.3">
      <c r="A338" s="5" t="s">
        <v>59</v>
      </c>
      <c r="B338" s="5" t="s">
        <v>6</v>
      </c>
      <c r="D338" s="5" t="s">
        <v>6</v>
      </c>
      <c r="E338" s="54" t="s">
        <v>343</v>
      </c>
      <c r="F338" s="5" t="s">
        <v>5</v>
      </c>
      <c r="G338" s="4" t="s">
        <v>62</v>
      </c>
      <c r="H338" s="4"/>
      <c r="I338" s="5" t="str">
        <f t="shared" si="29"/>
        <v>Defs</v>
      </c>
      <c r="J338" s="8" t="str">
        <f>IF(Table2[[#This Row],[!Type]]=J$1, J$1,"rg:None")</f>
        <v>rg:None</v>
      </c>
      <c r="K338" s="8" t="str">
        <f>IF(Table2[[#This Row],[!Type]]=K$1, K$1,"rg:None")</f>
        <v>rg:None</v>
      </c>
      <c r="L338" s="8" t="str">
        <f>IF(Table2[[#This Row],[!Type]]=L$1, L$1,"rg:None")</f>
        <v>rg:None</v>
      </c>
      <c r="M338" s="8" t="str">
        <f>IF(Table2[[#This Row],[!Type]]=M$1, M$1,"rg:None")</f>
        <v>id</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rg:None</v>
      </c>
      <c r="S338" s="5" t="str">
        <f>IF(Table2[[#This Row],[!Type]]=S$1, S$1,"rg:None")</f>
        <v>rg:None</v>
      </c>
      <c r="T338" s="8" t="str">
        <f>IF(LEN(Table2[[#This Row],[!Length]]) &gt; 0, Table2[[#This Row],[!Length]], "rg:None")</f>
        <v>rg:None</v>
      </c>
      <c r="U338" s="8" t="str">
        <f>IF(LEN(Table2[[#This Row],[!Name]]) &gt; 0, Table2[[#This Row],[!Name]], "rg:None")</f>
        <v>id</v>
      </c>
      <c r="V338" s="8" t="str">
        <f>IF(LEN(Table2[[#This Row],[!Description]]) &gt; 0, Table2[[#This Row],[!Description]], "rg:None")</f>
        <v>A system-generated unique identifier for a GroupMembership</v>
      </c>
      <c r="W338" s="8" t="str">
        <f>IF(LEN(Table2[[#This Row],[!FK]])&gt;0,Table2[[#This Row],[!FK]],"rg:None")</f>
        <v>rg:None</v>
      </c>
      <c r="X338" s="8" t="str">
        <f>IF(LEN(concatif2(A:A,Table2[[#This Row],[!Table]],G:G,"Y",D:D,",")) &gt; 0,"rg:[ { 'req' : '"&amp;concatif2(A:A,Table2[[#This Row],[!Table]],G:G,"Y",D:D,"' }, { 'req': '")&amp;"'} ]","rg:[]")</f>
        <v>rg:[ { 'req' : 'id' }, { 'req': 'active'} ]</v>
      </c>
      <c r="Y338" s="8" t="str">
        <f>IF(LEN(Table2[[#This Row],[!Unique]])&gt;0,"rg:True","rg:None")</f>
        <v>rg:None</v>
      </c>
    </row>
    <row r="339" spans="1:25" ht="28.8" x14ac:dyDescent="0.3">
      <c r="A339" s="5" t="s">
        <v>59</v>
      </c>
      <c r="B339" s="5" t="s">
        <v>9</v>
      </c>
      <c r="D339" s="5" t="s">
        <v>41</v>
      </c>
      <c r="E339" s="54" t="s">
        <v>344</v>
      </c>
      <c r="F339" s="5" t="s">
        <v>5</v>
      </c>
      <c r="G339" s="4" t="s">
        <v>62</v>
      </c>
      <c r="H339" s="4"/>
      <c r="I339" s="5" t="str">
        <f t="shared" si="29"/>
        <v>Defs</v>
      </c>
      <c r="J339" s="8" t="str">
        <f>IF(Table2[[#This Row],[!Type]]=J$1, J$1,"rg:None")</f>
        <v>boolean</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active</v>
      </c>
      <c r="V339" s="8" t="str">
        <f>IF(LEN(Table2[[#This Row],[!Description]]) &gt; 0, Table2[[#This Row],[!Description]], "rg:None")</f>
        <v>A flag indicating the User is active in the group. Set false to remove the user from the designated group.</v>
      </c>
      <c r="W339" s="8" t="str">
        <f>IF(LEN(Table2[[#This Row],[!FK]])&gt;0,Table2[[#This Row],[!FK]],"rg:None")</f>
        <v>rg:None</v>
      </c>
      <c r="X339" s="8" t="str">
        <f>IF(LEN(concatif2(A:A,Table2[[#This Row],[!Table]],G:G,"Y",D:D,",")) &gt; 0,"rg:[ { 'req' : '"&amp;concatif2(A:A,Table2[[#This Row],[!Table]],G:G,"Y",D:D,"' }, { 'req': '")&amp;"'} ]","rg:[]")</f>
        <v>rg:[ { 'req' : 'id' }, { 'req': 'active'} ]</v>
      </c>
      <c r="Y339" s="8" t="str">
        <f>IF(LEN(Table2[[#This Row],[!Unique]])&gt;0,"rg:True","rg:None")</f>
        <v>rg:None</v>
      </c>
    </row>
    <row r="340" spans="1:25" x14ac:dyDescent="0.3">
      <c r="A340" s="5" t="s">
        <v>59</v>
      </c>
      <c r="B340" s="5" t="s">
        <v>8</v>
      </c>
      <c r="D340" s="5" t="s">
        <v>60</v>
      </c>
      <c r="E340" s="130" t="s">
        <v>548</v>
      </c>
      <c r="F340" s="5" t="s">
        <v>61</v>
      </c>
      <c r="G340" s="4"/>
      <c r="H340" s="4"/>
      <c r="I340" s="5" t="str">
        <f t="shared" si="29"/>
        <v>Defs</v>
      </c>
      <c r="J340" s="8" t="str">
        <f>IF(Table2[[#This Row],[!Type]]=J$1, J$1,"rg:None")</f>
        <v>rg:None</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ref</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group</v>
      </c>
      <c r="V340" s="8" t="str">
        <f>IF(LEN(Table2[[#This Row],[!Description]]) &gt; 0, Table2[[#This Row],[!Description]], "rg:None")</f>
        <v>A foreign key reference to the system-generated unique identifier for a Group</v>
      </c>
      <c r="W340" s="8" t="str">
        <f>IF(LEN(Table2[[#This Row],[!FK]])&gt;0,Table2[[#This Row],[!FK]],"rg:None")</f>
        <v>Group</v>
      </c>
      <c r="X340" s="8" t="str">
        <f>IF(LEN(concatif2(A:A,Table2[[#This Row],[!Table]],G:G,"Y",D:D,",")) &gt; 0,"rg:[ { 'req' : '"&amp;concatif2(A:A,Table2[[#This Row],[!Table]],G:G,"Y",D:D,"' }, { 'req': '")&amp;"'} ]","rg:[]")</f>
        <v>rg:[ { 'req' : 'id' }, { 'req': 'active'} ]</v>
      </c>
      <c r="Y340" s="8" t="str">
        <f>IF(LEN(Table2[[#This Row],[!Unique]])&gt;0,"rg:True","rg:None")</f>
        <v>rg:None</v>
      </c>
    </row>
    <row r="341" spans="1:25" x14ac:dyDescent="0.3">
      <c r="A341" s="5" t="s">
        <v>59</v>
      </c>
      <c r="B341" s="5" t="s">
        <v>8</v>
      </c>
      <c r="D341" s="5" t="s">
        <v>40</v>
      </c>
      <c r="E341" s="130" t="s">
        <v>549</v>
      </c>
      <c r="F341" s="5" t="s">
        <v>0</v>
      </c>
      <c r="G341" s="4"/>
      <c r="H341" s="4"/>
      <c r="I341" s="5" t="str">
        <f t="shared" si="29"/>
        <v>Defs</v>
      </c>
      <c r="J341" s="8" t="str">
        <f>IF(Table2[[#This Row],[!Type]]=J$1, J$1,"rg:None")</f>
        <v>rg:None</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ref</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user</v>
      </c>
      <c r="V341" s="8" t="str">
        <f>IF(LEN(Table2[[#This Row],[!Description]]) &gt; 0, Table2[[#This Row],[!Description]], "rg:None")</f>
        <v>A foreign key reference to the system-generated unique identifier for a User</v>
      </c>
      <c r="W341" s="8" t="str">
        <f>IF(LEN(Table2[[#This Row],[!FK]])&gt;0,Table2[[#This Row],[!FK]],"rg:None")</f>
        <v>User</v>
      </c>
      <c r="X341" s="8" t="str">
        <f>IF(LEN(concatif2(A:A,Table2[[#This Row],[!Table]],G:G,"Y",D:D,",")) &gt; 0,"rg:[ { 'req' : '"&amp;concatif2(A:A,Table2[[#This Row],[!Table]],G:G,"Y",D:D,"' }, { 'req': '")&amp;"'} ]","rg:[]")</f>
        <v>rg:[ { 'req' : 'id' }, { 'req': 'active'} ]</v>
      </c>
      <c r="Y341" s="8" t="str">
        <f>IF(LEN(Table2[[#This Row],[!Unique]])&gt;0,"rg:True","rg:None")</f>
        <v>rg:None</v>
      </c>
    </row>
    <row r="342" spans="1:25" ht="43.2" x14ac:dyDescent="0.3">
      <c r="A342" s="5" t="s">
        <v>61</v>
      </c>
      <c r="B342" s="5" t="s">
        <v>4</v>
      </c>
      <c r="D342" s="5" t="s">
        <v>61</v>
      </c>
      <c r="E342" s="76" t="s">
        <v>376</v>
      </c>
      <c r="F342" s="5" t="s">
        <v>5</v>
      </c>
      <c r="G342" s="4"/>
      <c r="H342" s="4"/>
      <c r="I342" s="5" t="str">
        <f t="shared" si="29"/>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rg:None</v>
      </c>
      <c r="R342" s="5" t="str">
        <f>IF(Table2[[#This Row],[!Type]]=R$1, R$1,"rg:None")</f>
        <v>rg:None</v>
      </c>
      <c r="S342" s="5" t="str">
        <f>IF(Table2[[#This Row],[!Type]]=S$1, S$1,"rg:None")</f>
        <v>table</v>
      </c>
      <c r="T342" s="8" t="str">
        <f>IF(LEN(Table2[[#This Row],[!Length]]) &gt; 0, Table2[[#This Row],[!Length]], "rg:None")</f>
        <v>rg:None</v>
      </c>
      <c r="U342" s="8" t="str">
        <f>IF(LEN(Table2[[#This Row],[!Name]]) &gt; 0, Table2[[#This Row],[!Name]], "rg:None")</f>
        <v>Group</v>
      </c>
      <c r="V342"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2" s="8" t="str">
        <f>IF(LEN(Table2[[#This Row],[!FK]])&gt;0,Table2[[#This Row],[!FK]],"rg:None")</f>
        <v>rg:None</v>
      </c>
      <c r="X342" s="8" t="str">
        <f>IF(LEN(concatif2(A:A,Table2[[#This Row],[!Table]],G:G,"Y",D:D,",")) &gt; 0,"rg:[ { 'req' : '"&amp;concatif2(A:A,Table2[[#This Row],[!Table]],G:G,"Y",D:D,"' }, { 'req': '")&amp;"'} ]","rg:[]")</f>
        <v>rg:[ { 'req' : 'id' }, { 'req': 'name' }, { 'req': 'description'} ]</v>
      </c>
      <c r="Y342" s="8" t="str">
        <f>IF(LEN(Table2[[#This Row],[!Unique]])&gt;0,"rg:True","rg:None")</f>
        <v>rg:None</v>
      </c>
    </row>
    <row r="343" spans="1:25" x14ac:dyDescent="0.3">
      <c r="A343" s="5" t="s">
        <v>61</v>
      </c>
      <c r="B343" s="5" t="s">
        <v>6</v>
      </c>
      <c r="D343" s="5" t="s">
        <v>6</v>
      </c>
      <c r="E343" s="54" t="s">
        <v>345</v>
      </c>
      <c r="F343" s="5" t="s">
        <v>5</v>
      </c>
      <c r="G343" s="4" t="s">
        <v>62</v>
      </c>
      <c r="H343" s="4"/>
      <c r="I343" s="5" t="str">
        <f t="shared" si="29"/>
        <v>Defs</v>
      </c>
      <c r="J343" s="8" t="str">
        <f>IF(Table2[[#This Row],[!Type]]=J$1, J$1,"rg:None")</f>
        <v>rg:None</v>
      </c>
      <c r="K343" s="8" t="str">
        <f>IF(Table2[[#This Row],[!Type]]=K$1, K$1,"rg:None")</f>
        <v>rg:None</v>
      </c>
      <c r="L343" s="8" t="str">
        <f>IF(Table2[[#This Row],[!Type]]=L$1, L$1,"rg:None")</f>
        <v>rg:None</v>
      </c>
      <c r="M343" s="8" t="str">
        <f>IF(Table2[[#This Row],[!Type]]=M$1, M$1,"rg:None")</f>
        <v>id</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rg:None</v>
      </c>
      <c r="S343" s="5" t="str">
        <f>IF(Table2[[#This Row],[!Type]]=S$1, S$1,"rg:None")</f>
        <v>rg:None</v>
      </c>
      <c r="T343" s="8" t="str">
        <f>IF(LEN(Table2[[#This Row],[!Length]]) &gt; 0, Table2[[#This Row],[!Length]], "rg:None")</f>
        <v>rg:None</v>
      </c>
      <c r="U343" s="8" t="str">
        <f>IF(LEN(Table2[[#This Row],[!Name]]) &gt; 0, Table2[[#This Row],[!Name]], "rg:None")</f>
        <v>id</v>
      </c>
      <c r="V343" s="8" t="str">
        <f>IF(LEN(Table2[[#This Row],[!Description]]) &gt; 0, Table2[[#This Row],[!Description]], "rg:None")</f>
        <v>A system-generated unique identifier for a Group</v>
      </c>
      <c r="W343" s="8" t="str">
        <f>IF(LEN(Table2[[#This Row],[!FK]])&gt;0,Table2[[#This Row],[!FK]],"rg:None")</f>
        <v>rg:None</v>
      </c>
      <c r="X343" s="8" t="str">
        <f>IF(LEN(concatif2(A:A,Table2[[#This Row],[!Table]],G:G,"Y",D:D,",")) &gt; 0,"rg:[ { 'req' : '"&amp;concatif2(A:A,Table2[[#This Row],[!Table]],G:G,"Y",D:D,"' }, { 'req': '")&amp;"'} ]","rg:[]")</f>
        <v>rg:[ { 'req' : 'id' }, { 'req': 'name' }, { 'req': 'description'} ]</v>
      </c>
      <c r="Y343" s="8" t="str">
        <f>IF(LEN(Table2[[#This Row],[!Unique]])&gt;0,"rg:True","rg:None")</f>
        <v>rg:None</v>
      </c>
    </row>
    <row r="344" spans="1:25" x14ac:dyDescent="0.3">
      <c r="A344" s="5" t="s">
        <v>61</v>
      </c>
      <c r="B344" s="5" t="s">
        <v>7</v>
      </c>
      <c r="C344" s="5">
        <v>150</v>
      </c>
      <c r="D344" s="5" t="s">
        <v>15</v>
      </c>
      <c r="E344" s="54" t="s">
        <v>346</v>
      </c>
      <c r="F344" s="5" t="s">
        <v>5</v>
      </c>
      <c r="G344" s="4" t="s">
        <v>62</v>
      </c>
      <c r="H344" s="4"/>
      <c r="I344" s="5" t="str">
        <f t="shared" si="29"/>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string</v>
      </c>
      <c r="S344" s="5" t="str">
        <f>IF(Table2[[#This Row],[!Type]]=S$1, S$1,"rg:None")</f>
        <v>rg:None</v>
      </c>
      <c r="T344" s="8">
        <f>IF(LEN(Table2[[#This Row],[!Length]]) &gt; 0, Table2[[#This Row],[!Length]], "rg:None")</f>
        <v>150</v>
      </c>
      <c r="U344" s="8" t="str">
        <f>IF(LEN(Table2[[#This Row],[!Name]]) &gt; 0, Table2[[#This Row],[!Name]], "rg:None")</f>
        <v>name</v>
      </c>
      <c r="V344" s="8" t="str">
        <f>IF(LEN(Table2[[#This Row],[!Description]]) &gt; 0, Table2[[#This Row],[!Description]], "rg:None")</f>
        <v>The name of the group, as refenced in the code.</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Row],[!Unique]])&gt;0,"rg:True","rg:None")</f>
        <v>rg:None</v>
      </c>
    </row>
    <row r="345" spans="1:25" ht="28.8" x14ac:dyDescent="0.3">
      <c r="A345" s="5" t="s">
        <v>61</v>
      </c>
      <c r="B345" s="5" t="s">
        <v>7</v>
      </c>
      <c r="C345" s="5">
        <v>2048</v>
      </c>
      <c r="D345" s="5" t="s">
        <v>14</v>
      </c>
      <c r="E345" s="54" t="s">
        <v>347</v>
      </c>
      <c r="F345" s="5" t="s">
        <v>5</v>
      </c>
      <c r="G345" s="4" t="s">
        <v>62</v>
      </c>
      <c r="H345" s="4"/>
      <c r="I345" s="5" t="str">
        <f t="shared" si="29"/>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string</v>
      </c>
      <c r="S345" s="5" t="str">
        <f>IF(Table2[[#This Row],[!Type]]=S$1, S$1,"rg:None")</f>
        <v>rg:None</v>
      </c>
      <c r="T345" s="8">
        <f>IF(LEN(Table2[[#This Row],[!Length]]) &gt; 0, Table2[[#This Row],[!Length]], "rg:None")</f>
        <v>2048</v>
      </c>
      <c r="U345" s="8" t="str">
        <f>IF(LEN(Table2[[#This Row],[!Name]]) &gt; 0, Table2[[#This Row],[!Name]], "rg:None")</f>
        <v>description</v>
      </c>
      <c r="V345" s="8" t="str">
        <f>IF(LEN(Table2[[#This Row],[!Description]]) &gt; 0, Table2[[#This Row],[!Description]], "rg:None")</f>
        <v>A description of the group that is presented to the user when they are setting a user into a group.</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Row],[!Unique]])&gt;0,"rg:True","rg:None")</f>
        <v>rg:None</v>
      </c>
    </row>
    <row r="346" spans="1:25" x14ac:dyDescent="0.3">
      <c r="A346" s="151" t="s">
        <v>461</v>
      </c>
      <c r="B346" s="151"/>
      <c r="C346" s="151"/>
      <c r="D346" s="151"/>
      <c r="E346" s="152"/>
      <c r="F346" s="152"/>
      <c r="G346" s="151"/>
      <c r="H346" s="151"/>
      <c r="I346" s="8"/>
      <c r="J346" s="8"/>
      <c r="K346" s="8"/>
      <c r="L346" s="8"/>
      <c r="M346" s="8"/>
      <c r="N346" s="8"/>
      <c r="O346" s="8"/>
      <c r="P346" s="8"/>
      <c r="Q346" s="8"/>
      <c r="R346" s="8"/>
      <c r="S346" s="8"/>
      <c r="T346" s="8"/>
      <c r="U346" s="8"/>
      <c r="V346" s="8"/>
      <c r="W346" s="8"/>
      <c r="Y346" s="8">
        <f>SUBTOTAL(103,Table2[Unique])</f>
        <v>344</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72"/>
  <sheetViews>
    <sheetView zoomScale="130" zoomScaleNormal="130" workbookViewId="0">
      <pane ySplit="1" topLeftCell="A2" activePane="bottomLeft" state="frozen"/>
      <selection pane="bottomLeft"/>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178</v>
      </c>
      <c r="C2" s="20" t="s">
        <v>180</v>
      </c>
      <c r="D2" s="44"/>
      <c r="E2" s="12"/>
      <c r="F2" s="13"/>
      <c r="G2" s="14" t="str">
        <f t="shared" ref="G2:G15"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2" t="s">
        <v>77</v>
      </c>
      <c r="B3" s="42" t="s">
        <v>178</v>
      </c>
      <c r="C3" s="43" t="s">
        <v>180</v>
      </c>
      <c r="D3" s="44" t="s">
        <v>180</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207</v>
      </c>
      <c r="C4" s="55" t="s">
        <v>182</v>
      </c>
      <c r="D4" s="44"/>
      <c r="E4" s="12"/>
      <c r="F4" s="13"/>
      <c r="G4" s="14" t="str">
        <f t="shared" ref="G4:G5" si="1">IF(LEN(A4) &gt;0,"Path","-")</f>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2" t="s">
        <v>77</v>
      </c>
      <c r="B5" s="42" t="s">
        <v>207</v>
      </c>
      <c r="C5" s="56" t="s">
        <v>182</v>
      </c>
      <c r="D5" s="44" t="s">
        <v>182</v>
      </c>
      <c r="E5" s="12"/>
      <c r="F5" s="13"/>
      <c r="G5" s="14" t="str">
        <f t="shared" si="1"/>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29" t="s">
        <v>75</v>
      </c>
      <c r="B6" s="140" t="s">
        <v>581</v>
      </c>
      <c r="C6" s="145" t="s">
        <v>570</v>
      </c>
      <c r="D6" s="44"/>
      <c r="E6" s="12"/>
      <c r="F6" s="13"/>
      <c r="G6" s="14" t="str">
        <f t="shared" si="0"/>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districtEquipmentTypes</v>
      </c>
      <c r="Q6" s="4" t="str">
        <f>IF(LEN(Table23[[#This Row],[!tag]]) &gt;0,Table23[[#This Row],[!tag]],"rg:None")</f>
        <v>DistrictEquipmentType</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42" t="s">
        <v>77</v>
      </c>
      <c r="B7" s="140" t="s">
        <v>581</v>
      </c>
      <c r="C7" s="145" t="s">
        <v>570</v>
      </c>
      <c r="D7" s="146" t="s">
        <v>570</v>
      </c>
      <c r="E7" s="12"/>
      <c r="F7" s="13"/>
      <c r="G7" s="14" t="str">
        <f t="shared" si="0"/>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districtEquipmentTypes</v>
      </c>
      <c r="Q7" s="4" t="str">
        <f>IF(LEN(Table23[[#This Row],[!tag]]) &gt;0,Table23[[#This Row],[!tag]],"rg:None")</f>
        <v>DistrictEquipmentType</v>
      </c>
      <c r="R7" s="4" t="str">
        <f>IF(LEN(Table23[[#This Row],[!paramDef]]) &gt;0,Table23[[#This Row],[!paramDef]],"rg:None")</f>
        <v>DistrictEquipmentType</v>
      </c>
      <c r="S7" s="4" t="str">
        <f>IF(LEN(Table23[[#This Row],[!respDef]]) &gt;0,Table23[[#This Row],[!respDef]],"rg:None")</f>
        <v>rg:None</v>
      </c>
      <c r="T7" s="4" t="str">
        <f>IF(LEN(Table23[[#This Row],[!Description]]) &gt;0,Table23[[#This Row],[!Description]],"rg:None")</f>
        <v>rg:None</v>
      </c>
    </row>
    <row r="8" spans="1:20" s="20" customFormat="1" x14ac:dyDescent="0.3">
      <c r="A8" s="57" t="s">
        <v>75</v>
      </c>
      <c r="B8" s="57" t="s">
        <v>190</v>
      </c>
      <c r="C8" s="58" t="s">
        <v>183</v>
      </c>
      <c r="D8" s="59"/>
      <c r="E8" s="12"/>
      <c r="F8" s="13"/>
      <c r="G8" s="14" t="str">
        <f>IF(LEN(A8) &gt;0,"Path","-")</f>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equipmentAttachments</v>
      </c>
      <c r="Q8" s="4" t="str">
        <f>IF(LEN(Table23[[#This Row],[!tag]]) &gt;0,Table23[[#This Row],[!tag]],"rg:None")</f>
        <v>EquipmentAttachment</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0" customFormat="1" x14ac:dyDescent="0.3">
      <c r="A9" s="57" t="s">
        <v>77</v>
      </c>
      <c r="B9" s="57" t="s">
        <v>190</v>
      </c>
      <c r="C9" s="147" t="s">
        <v>183</v>
      </c>
      <c r="D9" s="59" t="s">
        <v>183</v>
      </c>
      <c r="E9" s="12"/>
      <c r="F9" s="13"/>
      <c r="G9" s="14"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equipmentAttachments</v>
      </c>
      <c r="Q9" s="4" t="str">
        <f>IF(LEN(Table23[[#This Row],[!tag]]) &gt;0,Table23[[#This Row],[!tag]],"rg:None")</f>
        <v>EquipmentAttachment</v>
      </c>
      <c r="R9" s="4" t="str">
        <f>IF(LEN(Table23[[#This Row],[!paramDef]]) &gt;0,Table23[[#This Row],[!paramDef]],"rg:None")</f>
        <v>EquipmentAttachment</v>
      </c>
      <c r="S9" s="4" t="str">
        <f>IF(LEN(Table23[[#This Row],[!respDef]]) &gt;0,Table23[[#This Row],[!respDef]],"rg:None")</f>
        <v>rg:None</v>
      </c>
      <c r="T9" s="4" t="str">
        <f>IF(LEN(Table23[[#This Row],[!Description]]) &gt;0,Table23[[#This Row],[!Description]],"rg:None")</f>
        <v>rg:None</v>
      </c>
    </row>
    <row r="10" spans="1:20" s="20" customFormat="1" x14ac:dyDescent="0.3">
      <c r="A10" s="57" t="s">
        <v>75</v>
      </c>
      <c r="B10" s="148" t="s">
        <v>582</v>
      </c>
      <c r="C10" s="142" t="s">
        <v>575</v>
      </c>
      <c r="D10" s="59"/>
      <c r="E10" s="12"/>
      <c r="F10" s="13"/>
      <c r="G10" s="14" t="str">
        <f>IF(LEN(A10) &gt;0,"Path","-")</f>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localAreaRotationLists</v>
      </c>
      <c r="Q10" s="4" t="str">
        <f>IF(LEN(Table23[[#This Row],[!tag]]) &gt;0,Table23[[#This Row],[!tag]],"rg:None")</f>
        <v>LocalAreaRotationList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s="20" customFormat="1" x14ac:dyDescent="0.3">
      <c r="A11" s="57" t="s">
        <v>77</v>
      </c>
      <c r="B11" s="148" t="s">
        <v>582</v>
      </c>
      <c r="C11" s="142" t="s">
        <v>575</v>
      </c>
      <c r="D11" s="142" t="s">
        <v>575</v>
      </c>
      <c r="E11" s="12"/>
      <c r="F11" s="13"/>
      <c r="G11" s="14"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localAreaRotationLists</v>
      </c>
      <c r="Q11" s="4" t="str">
        <f>IF(LEN(Table23[[#This Row],[!tag]]) &gt;0,Table23[[#This Row],[!tag]],"rg:None")</f>
        <v>LocalAreaRotationList</v>
      </c>
      <c r="R11" s="4" t="str">
        <f>IF(LEN(Table23[[#This Row],[!paramDef]]) &gt;0,Table23[[#This Row],[!paramDef]],"rg:None")</f>
        <v>LocalAreaRotationList</v>
      </c>
      <c r="S11" s="4" t="str">
        <f>IF(LEN(Table23[[#This Row],[!respDef]]) &gt;0,Table23[[#This Row],[!respDef]],"rg:None")</f>
        <v>rg:None</v>
      </c>
      <c r="T11" s="4" t="str">
        <f>IF(LEN(Table23[[#This Row],[!Description]]) &gt;0,Table23[[#This Row],[!Description]],"rg:None")</f>
        <v>rg:None</v>
      </c>
    </row>
    <row r="12" spans="1:20" x14ac:dyDescent="0.3">
      <c r="A12" s="7" t="s">
        <v>75</v>
      </c>
      <c r="B12" s="29" t="s">
        <v>205</v>
      </c>
      <c r="C12" s="3" t="s">
        <v>145</v>
      </c>
      <c r="D12" s="44"/>
      <c r="E12" s="12"/>
      <c r="F12" s="13"/>
      <c r="G12" s="14"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owners</v>
      </c>
      <c r="Q12" s="4" t="str">
        <f>IF(LEN(Table23[[#This Row],[!tag]]) &gt;0,Table23[[#This Row],[!tag]],"rg:None")</f>
        <v>Owner</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42" t="s">
        <v>77</v>
      </c>
      <c r="B13" s="42" t="s">
        <v>205</v>
      </c>
      <c r="C13" s="43" t="s">
        <v>145</v>
      </c>
      <c r="D13" s="44" t="s">
        <v>145</v>
      </c>
      <c r="E13" s="12"/>
      <c r="F13" s="13"/>
      <c r="G13" s="14"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owners</v>
      </c>
      <c r="Q13" s="4" t="str">
        <f>IF(LEN(Table23[[#This Row],[!tag]]) &gt;0,Table23[[#This Row],[!tag]],"rg:None")</f>
        <v>Owner</v>
      </c>
      <c r="R13" s="4" t="str">
        <f>IF(LEN(Table23[[#This Row],[!paramDef]]) &gt;0,Table23[[#This Row],[!paramDef]],"rg:None")</f>
        <v>Owner</v>
      </c>
      <c r="S13" s="4" t="str">
        <f>IF(LEN(Table23[[#This Row],[!respDef]]) &gt;0,Table23[[#This Row],[!respDef]],"rg:None")</f>
        <v>rg:None</v>
      </c>
      <c r="T13" s="4" t="str">
        <f>IF(LEN(Table23[[#This Row],[!Description]]) &gt;0,Table23[[#This Row],[!Description]],"rg:None")</f>
        <v>rg:None</v>
      </c>
    </row>
    <row r="14" spans="1:20" x14ac:dyDescent="0.3">
      <c r="A14" s="7" t="s">
        <v>75</v>
      </c>
      <c r="B14" s="29" t="s">
        <v>206</v>
      </c>
      <c r="C14" s="3" t="s">
        <v>136</v>
      </c>
      <c r="D14" s="44"/>
      <c r="E14" s="12"/>
      <c r="F14" s="13"/>
      <c r="G14" s="14" t="str">
        <f t="shared" si="0"/>
        <v>Path</v>
      </c>
      <c r="H14" s="4" t="str">
        <f>IF(LEN(Table23[[#This Row],[!type]])&gt;0,IF(Table23[[#This Row],[!type]]=H$1,"1","rg:None"),"-")</f>
        <v>1</v>
      </c>
      <c r="I14" s="4" t="str">
        <f>IF(LEN(Table23[[#This Row],[!type]])&gt;0,IF(Table23[[#This Row],[!type]]=I$1,"1","rg:None"),"-")</f>
        <v>rg:None</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Row],[!path]]) &gt;0,Table23[[#This Row],[!path]],"rg:None")</f>
        <v>projects</v>
      </c>
      <c r="Q14" s="4" t="str">
        <f>IF(LEN(Table23[[#This Row],[!tag]]) &gt;0,Table23[[#This Row],[!tag]],"rg:None")</f>
        <v>Project</v>
      </c>
      <c r="R14" s="4" t="str">
        <f>IF(LEN(Table23[[#This Row],[!paramDef]]) &gt;0,Table23[[#This Row],[!paramDef]],"rg:None")</f>
        <v>rg:None</v>
      </c>
      <c r="S14" s="4" t="str">
        <f>IF(LEN(Table23[[#This Row],[!respDef]]) &gt;0,Table23[[#This Row],[!respDef]],"rg:None")</f>
        <v>rg:None</v>
      </c>
      <c r="T14" s="4" t="str">
        <f>IF(LEN(Table23[[#This Row],[!Description]]) &gt;0,Table23[[#This Row],[!Description]],"rg:None")</f>
        <v>rg:None</v>
      </c>
    </row>
    <row r="15" spans="1:20" x14ac:dyDescent="0.3">
      <c r="A15" s="42" t="s">
        <v>77</v>
      </c>
      <c r="B15" s="42" t="s">
        <v>206</v>
      </c>
      <c r="C15" s="43" t="s">
        <v>136</v>
      </c>
      <c r="D15" s="44" t="s">
        <v>136</v>
      </c>
      <c r="E15" s="12"/>
      <c r="F15" s="13"/>
      <c r="G15" s="14" t="str">
        <f t="shared" si="0"/>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projects</v>
      </c>
      <c r="Q15" s="4" t="str">
        <f>IF(LEN(Table23[[#This Row],[!tag]]) &gt;0,Table23[[#This Row],[!tag]],"rg:None")</f>
        <v>Project</v>
      </c>
      <c r="R15" s="4" t="str">
        <f>IF(LEN(Table23[[#This Row],[!paramDef]]) &gt;0,Table23[[#This Row],[!paramDef]],"rg:None")</f>
        <v>Project</v>
      </c>
      <c r="S15" s="4" t="str">
        <f>IF(LEN(Table23[[#This Row],[!respDef]]) &gt;0,Table23[[#This Row],[!respDef]],"rg:None")</f>
        <v>rg:None</v>
      </c>
      <c r="T15" s="4" t="str">
        <f>IF(LEN(Table23[[#This Row],[!Description]]) &gt;0,Table23[[#This Row],[!Description]],"rg:None")</f>
        <v>rg:None</v>
      </c>
    </row>
    <row r="16" spans="1:20" x14ac:dyDescent="0.3">
      <c r="A16" s="7" t="s">
        <v>75</v>
      </c>
      <c r="B16" s="155" t="s">
        <v>594</v>
      </c>
      <c r="C16" s="156" t="s">
        <v>583</v>
      </c>
      <c r="D16" s="44"/>
      <c r="E16" s="12"/>
      <c r="F16" s="13"/>
      <c r="G16" s="14" t="str">
        <f t="shared" ref="G16:G17" si="2">IF(LEN(A16) &gt;0,"Path","-")</f>
        <v>Path</v>
      </c>
      <c r="H16" s="4" t="str">
        <f>IF(LEN(Table23[[#This Row],[!type]])&gt;0,IF(Table23[[#This Row],[!type]]=H$1,"1","rg:None"),"-")</f>
        <v>1</v>
      </c>
      <c r="I16" s="4" t="str">
        <f>IF(LEN(Table23[[#This Row],[!type]])&gt;0,IF(Table23[[#This Row],[!type]]=I$1,"1","rg:None"),"-")</f>
        <v>rg:None</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Row],[!path]]) &gt;0,Table23[[#This Row],[!path]],"rg:None")</f>
        <v>lookupLists</v>
      </c>
      <c r="Q16" s="4" t="str">
        <f>IF(LEN(Table23[[#This Row],[!tag]]) &gt;0,Table23[[#This Row],[!tag]],"rg:None")</f>
        <v>LookupLists</v>
      </c>
      <c r="R16" s="4" t="str">
        <f>IF(LEN(Table23[[#This Row],[!paramDef]]) &gt;0,Table23[[#This Row],[!paramDef]],"rg:None")</f>
        <v>rg:None</v>
      </c>
      <c r="S16" s="4" t="str">
        <f>IF(LEN(Table23[[#This Row],[!respDef]]) &gt;0,Table23[[#This Row],[!respDef]],"rg:None")</f>
        <v>rg:None</v>
      </c>
      <c r="T16" s="4" t="str">
        <f>IF(LEN(Table23[[#This Row],[!Description]]) &gt;0,Table23[[#This Row],[!Description]],"rg:None")</f>
        <v>rg:None</v>
      </c>
    </row>
    <row r="17" spans="1:20" x14ac:dyDescent="0.3">
      <c r="A17" s="42" t="s">
        <v>77</v>
      </c>
      <c r="B17" s="155" t="s">
        <v>594</v>
      </c>
      <c r="C17" s="156" t="s">
        <v>583</v>
      </c>
      <c r="D17" s="156" t="s">
        <v>583</v>
      </c>
      <c r="E17" s="12"/>
      <c r="F17" s="13"/>
      <c r="G17" s="14" t="str">
        <f t="shared" si="2"/>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lookupLists</v>
      </c>
      <c r="Q17" s="4" t="str">
        <f>IF(LEN(Table23[[#This Row],[!tag]]) &gt;0,Table23[[#This Row],[!tag]],"rg:None")</f>
        <v>LookupLists</v>
      </c>
      <c r="R17" s="4" t="str">
        <f>IF(LEN(Table23[[#This Row],[!paramDef]]) &gt;0,Table23[[#This Row],[!paramDef]],"rg:None")</f>
        <v>LookupLists</v>
      </c>
      <c r="S17" s="4" t="str">
        <f>IF(LEN(Table23[[#This Row],[!respDef]]) &gt;0,Table23[[#This Row],[!respDef]],"rg:None")</f>
        <v>rg:None</v>
      </c>
      <c r="T17" s="4" t="str">
        <f>IF(LEN(Table23[[#This Row],[!Description]]) &gt;0,Table23[[#This Row],[!Description]],"rg:None")</f>
        <v>rg:None</v>
      </c>
    </row>
    <row r="18" spans="1:20" x14ac:dyDescent="0.3">
      <c r="A18" s="7" t="s">
        <v>75</v>
      </c>
      <c r="B18" s="10" t="s">
        <v>95</v>
      </c>
      <c r="C18" s="3" t="s">
        <v>61</v>
      </c>
      <c r="D18" s="45"/>
      <c r="E18" s="3"/>
      <c r="F18" s="3"/>
      <c r="G18" s="8" t="str">
        <f t="shared" ref="G18:G28" si="3">IF(LEN(A18) &gt;0,"Path","-")</f>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groups</v>
      </c>
      <c r="Q18" s="5" t="str">
        <f>IF(LEN(Table23[[#This Row],[!tag]]) &gt;0,Table23[[#This Row],[!tag]],"rg:None")</f>
        <v>Group</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2" t="s">
        <v>77</v>
      </c>
      <c r="B19" s="42" t="s">
        <v>95</v>
      </c>
      <c r="C19" s="43" t="s">
        <v>61</v>
      </c>
      <c r="D19" s="44" t="s">
        <v>61</v>
      </c>
      <c r="E19" s="12"/>
      <c r="F19" s="13"/>
      <c r="G19" s="14"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groups</v>
      </c>
      <c r="Q19" s="4" t="str">
        <f>IF(LEN(Table23[[#This Row],[!tag]]) &gt;0,Table23[[#This Row],[!tag]],"rg:None")</f>
        <v>Group</v>
      </c>
      <c r="R19" s="4" t="str">
        <f>IF(LEN(Table23[[#This Row],[!paramDef]]) &gt;0,Table23[[#This Row],[!paramDef]],"rg:None")</f>
        <v>Group</v>
      </c>
      <c r="S19" s="4" t="str">
        <f>IF(LEN(Table23[[#This Row],[!respDef]]) &gt;0,Table23[[#This Row],[!respDef]],"rg:None")</f>
        <v>rg:None</v>
      </c>
      <c r="T19" s="4" t="str">
        <f>IF(LEN(Table23[[#This Row],[!Description]]) &gt;0,Table23[[#This Row],[!Description]],"rg:None")</f>
        <v>rg:None</v>
      </c>
    </row>
    <row r="20" spans="1:20" x14ac:dyDescent="0.3">
      <c r="A20" s="7" t="s">
        <v>75</v>
      </c>
      <c r="B20" s="10" t="s">
        <v>96</v>
      </c>
      <c r="C20" s="3" t="s">
        <v>57</v>
      </c>
      <c r="D20" s="15" t="s">
        <v>106</v>
      </c>
      <c r="E20" s="3"/>
      <c r="F20" s="3"/>
      <c r="G20" s="8" t="str">
        <f t="shared" si="3"/>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permissions</v>
      </c>
      <c r="Q20" s="5" t="str">
        <f>IF(LEN(Table23[[#This Row],[!tag]]) &gt;0,Table23[[#This Row],[!tag]],"rg:None")</f>
        <v>Permission</v>
      </c>
      <c r="R20" s="5" t="str">
        <f>IF(LEN(Table23[[#This Row],[!paramDef]]) &gt;0,Table23[[#This Row],[!paramDef]],"rg:None")</f>
        <v>PermissionViewModel</v>
      </c>
      <c r="S20" s="5" t="str">
        <f>IF(LEN(Table23[[#This Row],[!respDef]]) &gt;0,Table23[[#This Row],[!respDef]],"rg:None")</f>
        <v>rg:None</v>
      </c>
      <c r="T20" s="5" t="str">
        <f>IF(LEN(Table23[[#This Row],[!Description]]) &gt;0,Table23[[#This Row],[!Description]],"rg:None")</f>
        <v>rg:None</v>
      </c>
    </row>
    <row r="21" spans="1:20" x14ac:dyDescent="0.3">
      <c r="A21" s="32" t="s">
        <v>77</v>
      </c>
      <c r="B21" s="32" t="s">
        <v>96</v>
      </c>
      <c r="C21" s="33" t="s">
        <v>57</v>
      </c>
      <c r="D21" s="34" t="s">
        <v>57</v>
      </c>
      <c r="E21" s="12"/>
      <c r="F21" s="13"/>
      <c r="G21" s="14"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permissions</v>
      </c>
      <c r="Q21" s="4" t="str">
        <f>IF(LEN(Table23[[#This Row],[!tag]]) &gt;0,Table23[[#This Row],[!tag]],"rg:None")</f>
        <v>Permission</v>
      </c>
      <c r="R21" s="4" t="str">
        <f>IF(LEN(Table23[[#This Row],[!paramDef]]) &gt;0,Table23[[#This Row],[!paramDef]],"rg:None")</f>
        <v>Permission</v>
      </c>
      <c r="S21" s="4" t="str">
        <f>IF(LEN(Table23[[#This Row],[!respDef]]) &gt;0,Table23[[#This Row],[!respDef]],"rg:None")</f>
        <v>rg:None</v>
      </c>
      <c r="T21" s="4" t="str">
        <f>IF(LEN(Table23[[#This Row],[!Description]]) &gt;0,Table23[[#This Row],[!Description]],"rg:None")</f>
        <v>rg:None</v>
      </c>
    </row>
    <row r="22" spans="1:20" x14ac:dyDescent="0.3">
      <c r="A22" s="7" t="s">
        <v>75</v>
      </c>
      <c r="B22" s="10" t="s">
        <v>97</v>
      </c>
      <c r="C22" s="3" t="s">
        <v>53</v>
      </c>
      <c r="D22" s="87" t="s">
        <v>462</v>
      </c>
      <c r="E22" s="3"/>
      <c r="F22" s="3"/>
      <c r="G22" s="8" t="str">
        <f t="shared" si="3"/>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roles</v>
      </c>
      <c r="Q22" s="5" t="str">
        <f>IF(LEN(Table23[[#This Row],[!tag]]) &gt;0,Table23[[#This Row],[!tag]],"rg:None")</f>
        <v>Role</v>
      </c>
      <c r="R22" s="5" t="str">
        <f>IF(LEN(Table23[[#This Row],[!paramDef]]) &gt;0,Table23[[#This Row],[!paramDef]],"rg:None")</f>
        <v>RoleViewModel</v>
      </c>
      <c r="S22" s="5" t="str">
        <f>IF(LEN(Table23[[#This Row],[!respDef]]) &gt;0,Table23[[#This Row],[!respDef]],"rg:None")</f>
        <v>rg:None</v>
      </c>
      <c r="T22" s="5" t="str">
        <f>IF(LEN(Table23[[#This Row],[!Description]]) &gt;0,Table23[[#This Row],[!Description]],"rg:None")</f>
        <v>rg:None</v>
      </c>
    </row>
    <row r="23" spans="1:20" x14ac:dyDescent="0.3">
      <c r="A23" s="32" t="s">
        <v>77</v>
      </c>
      <c r="B23" s="32" t="s">
        <v>97</v>
      </c>
      <c r="C23" s="33" t="s">
        <v>53</v>
      </c>
      <c r="D23" s="86" t="s">
        <v>53</v>
      </c>
      <c r="E23" s="12"/>
      <c r="F23" s="13"/>
      <c r="G23" s="14"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roles</v>
      </c>
      <c r="Q23" s="4" t="str">
        <f>IF(LEN(Table23[[#This Row],[!tag]]) &gt;0,Table23[[#This Row],[!tag]],"rg:None")</f>
        <v>Role</v>
      </c>
      <c r="R23" s="4" t="str">
        <f>IF(LEN(Table23[[#This Row],[!paramDef]]) &gt;0,Table23[[#This Row],[!paramDef]],"rg:None")</f>
        <v>Role</v>
      </c>
      <c r="S23" s="4" t="str">
        <f>IF(LEN(Table23[[#This Row],[!respDef]]) &gt;0,Table23[[#This Row],[!respDef]],"rg:None")</f>
        <v>rg:None</v>
      </c>
      <c r="T23" s="4" t="str">
        <f>IF(LEN(Table23[[#This Row],[!Description]]) &gt;0,Table23[[#This Row],[!Description]],"rg:None")</f>
        <v>rg:None</v>
      </c>
    </row>
    <row r="24" spans="1:20" x14ac:dyDescent="0.3">
      <c r="A24" s="10" t="s">
        <v>77</v>
      </c>
      <c r="B24" s="10" t="s">
        <v>104</v>
      </c>
      <c r="C24" s="15" t="s">
        <v>53</v>
      </c>
      <c r="D24" s="15" t="s">
        <v>55</v>
      </c>
      <c r="E24" s="3"/>
      <c r="F24" s="3"/>
      <c r="G24" s="8" t="str">
        <f t="shared" si="3"/>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rolepermissions</v>
      </c>
      <c r="Q24" s="5" t="str">
        <f>IF(LEN(Table23[[#This Row],[!tag]]) &gt;0,Table23[[#This Row],[!tag]],"rg:None")</f>
        <v>Role</v>
      </c>
      <c r="R24" s="5" t="str">
        <f>IF(LEN(Table23[[#This Row],[!paramDef]]) &gt;0,Table23[[#This Row],[!paramDef]],"rg:None")</f>
        <v>RolePermission</v>
      </c>
      <c r="S24" s="5" t="str">
        <f>IF(LEN(Table23[[#This Row],[!respDef]]) &gt;0,Table23[[#This Row],[!respDef]],"rg:None")</f>
        <v>rg:None</v>
      </c>
      <c r="T24" s="5" t="str">
        <f>IF(LEN(Table23[[#This Row],[!Description]]) &gt;0,Table23[[#This Row],[!Description]],"rg:None")</f>
        <v>rg:None</v>
      </c>
    </row>
    <row r="25" spans="1:20" x14ac:dyDescent="0.3">
      <c r="A25" s="7" t="s">
        <v>75</v>
      </c>
      <c r="B25" s="10" t="s">
        <v>98</v>
      </c>
      <c r="C25" s="3" t="s">
        <v>0</v>
      </c>
      <c r="D25" s="15" t="s">
        <v>107</v>
      </c>
      <c r="E25" s="3"/>
      <c r="F25" s="3"/>
      <c r="G25" s="8" t="str">
        <f t="shared" si="3"/>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users</v>
      </c>
      <c r="Q25" s="5" t="str">
        <f>IF(LEN(Table23[[#This Row],[!tag]]) &gt;0,Table23[[#This Row],[!tag]],"rg:None")</f>
        <v>User</v>
      </c>
      <c r="R25" s="5" t="str">
        <f>IF(LEN(Table23[[#This Row],[!paramDef]]) &gt;0,Table23[[#This Row],[!paramDef]],"rg:None")</f>
        <v>UserViewModel</v>
      </c>
      <c r="S25" s="5" t="str">
        <f>IF(LEN(Table23[[#This Row],[!respDef]]) &gt;0,Table23[[#This Row],[!respDef]],"rg:None")</f>
        <v>rg:None</v>
      </c>
      <c r="T25" s="5" t="str">
        <f>IF(LEN(Table23[[#This Row],[!Description]]) &gt;0,Table23[[#This Row],[!Description]],"rg:None")</f>
        <v>rg:None</v>
      </c>
    </row>
    <row r="26" spans="1:20" x14ac:dyDescent="0.3">
      <c r="A26" s="32" t="s">
        <v>77</v>
      </c>
      <c r="B26" s="32" t="s">
        <v>98</v>
      </c>
      <c r="C26" s="33" t="s">
        <v>0</v>
      </c>
      <c r="D26" s="34" t="s">
        <v>0</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users</v>
      </c>
      <c r="Q26" s="4" t="str">
        <f>IF(LEN(Table23[[#This Row],[!tag]]) &gt;0,Table23[[#This Row],[!tag]],"rg:None")</f>
        <v>User</v>
      </c>
      <c r="R26" s="4" t="str">
        <f>IF(LEN(Table23[[#This Row],[!paramDef]]) &gt;0,Table23[[#This Row],[!paramDef]],"rg:None")</f>
        <v>User</v>
      </c>
      <c r="S26" s="4" t="str">
        <f>IF(LEN(Table23[[#This Row],[!respDef]]) &gt;0,Table23[[#This Row],[!respDef]],"rg:None")</f>
        <v>rg:None</v>
      </c>
      <c r="T26" s="4" t="str">
        <f>IF(LEN(Table23[[#This Row],[!Description]]) &gt;0,Table23[[#This Row],[!Description]],"rg:None")</f>
        <v>rg:None</v>
      </c>
    </row>
    <row r="27" spans="1:20" x14ac:dyDescent="0.3">
      <c r="A27" s="11" t="s">
        <v>77</v>
      </c>
      <c r="B27" s="11" t="s">
        <v>105</v>
      </c>
      <c r="C27" s="16" t="s">
        <v>0</v>
      </c>
      <c r="D27" s="15" t="s">
        <v>59</v>
      </c>
      <c r="E27" s="12"/>
      <c r="F27" s="13"/>
      <c r="G27" s="14" t="str">
        <f t="shared" si="3"/>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usergroups</v>
      </c>
      <c r="Q27" s="4" t="str">
        <f>IF(LEN(Table23[[#This Row],[!tag]]) &gt;0,Table23[[#This Row],[!tag]],"rg:None")</f>
        <v>User</v>
      </c>
      <c r="R27" s="4" t="str">
        <f>IF(LEN(Table23[[#This Row],[!paramDef]]) &gt;0,Table23[[#This Row],[!paramDef]],"rg:None")</f>
        <v>GroupMembership</v>
      </c>
      <c r="S27" s="4" t="str">
        <f>IF(LEN(Table23[[#This Row],[!respDef]]) &gt;0,Table23[[#This Row],[!respDef]],"rg:None")</f>
        <v>rg:None</v>
      </c>
      <c r="T27" s="4" t="str">
        <f>IF(LEN(Table23[[#This Row],[!Description]]) &gt;0,Table23[[#This Row],[!Description]],"rg:None")</f>
        <v>rg:None</v>
      </c>
    </row>
    <row r="28" spans="1:20" x14ac:dyDescent="0.3">
      <c r="A28" s="10" t="s">
        <v>77</v>
      </c>
      <c r="B28" s="10" t="s">
        <v>99</v>
      </c>
      <c r="C28" s="15" t="s">
        <v>0</v>
      </c>
      <c r="D28" s="15" t="s">
        <v>50</v>
      </c>
      <c r="E28" s="3"/>
      <c r="F28" s="3"/>
      <c r="G28" s="8" t="str">
        <f t="shared" si="3"/>
        <v>Path</v>
      </c>
      <c r="H28" s="5" t="str">
        <f>IF(LEN(Table23[[#This Row],[!type]])&gt;0,IF(Table23[[#This Row],[!type]]=H$1,"1","rg:None"),"-")</f>
        <v>rg:None</v>
      </c>
      <c r="I28" s="5" t="str">
        <f>IF(LEN(Table23[[#This Row],[!type]])&gt;0,IF(Table23[[#This Row],[!type]]=I$1,"1","rg:None"),"-")</f>
        <v>rg:None</v>
      </c>
      <c r="J28" s="5" t="str">
        <f>IF(LEN(Table23[[#This Row],[!type]])&gt;0,IF(Table23[[#This Row],[!type]]=J$1,"1","rg:None"),"-")</f>
        <v>1</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userroles</v>
      </c>
      <c r="Q28" s="5" t="str">
        <f>IF(LEN(Table23[[#This Row],[!tag]]) &gt;0,Table23[[#This Row],[!tag]],"rg:None")</f>
        <v>User</v>
      </c>
      <c r="R28" s="5" t="str">
        <f>IF(LEN(Table23[[#This Row],[!paramDef]]) &gt;0,Table23[[#This Row],[!paramDef]],"rg:None")</f>
        <v>UserRole</v>
      </c>
      <c r="S28" s="5" t="str">
        <f>IF(LEN(Table23[[#This Row],[!respDef]]) &gt;0,Table23[[#This Row],[!respDef]],"rg:None")</f>
        <v>rg:None</v>
      </c>
      <c r="T28" s="5" t="str">
        <f>IF(LEN(Table23[[#This Row],[!Description]]) &gt;0,Table23[[#This Row],[!Description]],"rg:None")</f>
        <v>rg:None</v>
      </c>
    </row>
    <row r="29" spans="1:20" x14ac:dyDescent="0.3">
      <c r="A29" s="7" t="s">
        <v>75</v>
      </c>
      <c r="B29" s="10" t="s">
        <v>100</v>
      </c>
      <c r="C29" s="3" t="s">
        <v>28</v>
      </c>
      <c r="D29" s="45"/>
      <c r="E29" s="3"/>
      <c r="F29" s="3"/>
      <c r="G29" s="8" t="str">
        <f t="shared" ref="G29:G46" si="4">IF(LEN(A29) &gt;0,"Path","-")</f>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regions</v>
      </c>
      <c r="Q29" s="5" t="str">
        <f>IF(LEN(Table23[[#This Row],[!tag]]) &gt;0,Table23[[#This Row],[!tag]],"rg:None")</f>
        <v>Region</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2" t="s">
        <v>77</v>
      </c>
      <c r="B30" s="42" t="s">
        <v>100</v>
      </c>
      <c r="C30" s="43" t="s">
        <v>28</v>
      </c>
      <c r="D30" s="44" t="s">
        <v>28</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regions</v>
      </c>
      <c r="Q30" s="4" t="str">
        <f>IF(LEN(Table23[[#This Row],[!tag]]) &gt;0,Table23[[#This Row],[!tag]],"rg:None")</f>
        <v>Region</v>
      </c>
      <c r="R30" s="4" t="str">
        <f>IF(LEN(Table23[[#This Row],[!paramDef]]) &gt;0,Table23[[#This Row],[!paramDef]],"rg:None")</f>
        <v>Region</v>
      </c>
      <c r="S30" s="4" t="str">
        <f>IF(LEN(Table23[[#This Row],[!respDef]]) &gt;0,Table23[[#This Row],[!respDef]],"rg:None")</f>
        <v>rg:None</v>
      </c>
      <c r="T30" s="4" t="str">
        <f>IF(LEN(Table23[[#This Row],[!Description]]) &gt;0,Table23[[#This Row],[!Description]],"rg:None")</f>
        <v>rg:None</v>
      </c>
    </row>
    <row r="31" spans="1:20" x14ac:dyDescent="0.3">
      <c r="A31" s="7" t="s">
        <v>75</v>
      </c>
      <c r="B31" s="10" t="s">
        <v>101</v>
      </c>
      <c r="C31" s="3" t="s">
        <v>32</v>
      </c>
      <c r="D31" s="45"/>
      <c r="E31" s="3"/>
      <c r="F31" s="3"/>
      <c r="G31" s="8" t="str">
        <f t="shared" si="4"/>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districts</v>
      </c>
      <c r="Q31" s="5" t="str">
        <f>IF(LEN(Table23[[#This Row],[!tag]]) &gt;0,Table23[[#This Row],[!tag]],"rg:None")</f>
        <v>District</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2" t="s">
        <v>77</v>
      </c>
      <c r="B32" s="42" t="s">
        <v>101</v>
      </c>
      <c r="C32" s="43" t="s">
        <v>32</v>
      </c>
      <c r="D32" s="44" t="s">
        <v>32</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districts</v>
      </c>
      <c r="Q32" s="4" t="str">
        <f>IF(LEN(Table23[[#This Row],[!tag]]) &gt;0,Table23[[#This Row],[!tag]],"rg:None")</f>
        <v>District</v>
      </c>
      <c r="R32" s="4" t="str">
        <f>IF(LEN(Table23[[#This Row],[!paramDef]]) &gt;0,Table23[[#This Row],[!paramDef]],"rg:None")</f>
        <v>District</v>
      </c>
      <c r="S32" s="4" t="str">
        <f>IF(LEN(Table23[[#This Row],[!respDef]]) &gt;0,Table23[[#This Row],[!respDef]],"rg:None")</f>
        <v>rg:None</v>
      </c>
      <c r="T32" s="4" t="str">
        <f>IF(LEN(Table23[[#This Row],[!Description]]) &gt;0,Table23[[#This Row],[!Description]],"rg:None")</f>
        <v>rg:None</v>
      </c>
    </row>
    <row r="33" spans="1:20" x14ac:dyDescent="0.3">
      <c r="A33" s="7" t="s">
        <v>75</v>
      </c>
      <c r="B33" s="10" t="s">
        <v>102</v>
      </c>
      <c r="C33" s="3" t="s">
        <v>10</v>
      </c>
      <c r="D33" s="45"/>
      <c r="E33" s="3"/>
      <c r="F33" s="3"/>
      <c r="G33" s="8" t="str">
        <f t="shared" si="4"/>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serviceareas</v>
      </c>
      <c r="Q33" s="5" t="str">
        <f>IF(LEN(Table23[[#This Row],[!tag]]) &gt;0,Table23[[#This Row],[!tag]],"rg:None")</f>
        <v>ServiceArea</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2" t="s">
        <v>77</v>
      </c>
      <c r="B34" s="42" t="s">
        <v>102</v>
      </c>
      <c r="C34" s="43" t="s">
        <v>10</v>
      </c>
      <c r="D34" s="44" t="s">
        <v>10</v>
      </c>
      <c r="E34" s="12"/>
      <c r="F34" s="13"/>
      <c r="G34" s="14"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serviceareas</v>
      </c>
      <c r="Q34" s="4" t="str">
        <f>IF(LEN(Table23[[#This Row],[!tag]]) &gt;0,Table23[[#This Row],[!tag]],"rg:None")</f>
        <v>ServiceArea</v>
      </c>
      <c r="R34" s="4" t="str">
        <f>IF(LEN(Table23[[#This Row],[!paramDef]]) &gt;0,Table23[[#This Row],[!paramDef]],"rg:None")</f>
        <v>ServiceArea</v>
      </c>
      <c r="S34" s="4" t="str">
        <f>IF(LEN(Table23[[#This Row],[!respDef]]) &gt;0,Table23[[#This Row],[!respDef]],"rg:None")</f>
        <v>rg:None</v>
      </c>
      <c r="T34" s="4" t="str">
        <f>IF(LEN(Table23[[#This Row],[!Description]]) &gt;0,Table23[[#This Row],[!Description]],"rg:None")</f>
        <v>rg:None</v>
      </c>
    </row>
    <row r="35" spans="1:20" x14ac:dyDescent="0.3">
      <c r="A35" s="7" t="s">
        <v>75</v>
      </c>
      <c r="B35" s="10" t="s">
        <v>103</v>
      </c>
      <c r="C35" s="3" t="s">
        <v>11</v>
      </c>
      <c r="D35" s="45"/>
      <c r="E35" s="3"/>
      <c r="F35" s="3"/>
      <c r="G35" s="8" t="str">
        <f t="shared" si="4"/>
        <v>Path</v>
      </c>
      <c r="H35" s="5" t="str">
        <f>IF(LEN(Table23[[#This Row],[!type]])&gt;0,IF(Table23[[#This Row],[!type]]=H$1,"1","rg:None"),"-")</f>
        <v>1</v>
      </c>
      <c r="I35" s="5" t="str">
        <f>IF(LEN(Table23[[#This Row],[!type]])&gt;0,IF(Table23[[#This Row],[!type]]=I$1,"1","rg:None"),"-")</f>
        <v>rg:None</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Row],[!path]]) &gt;0,Table23[[#This Row],[!path]],"rg:None")</f>
        <v>cities</v>
      </c>
      <c r="Q35" s="5" t="str">
        <f>IF(LEN(Table23[[#This Row],[!tag]]) &gt;0,Table23[[#This Row],[!tag]],"rg:None")</f>
        <v>City</v>
      </c>
      <c r="R35" s="5" t="str">
        <f>IF(LEN(Table23[[#This Row],[!paramDef]]) &gt;0,Table23[[#This Row],[!paramDef]],"rg:None")</f>
        <v>rg:None</v>
      </c>
      <c r="S35" s="5" t="str">
        <f>IF(LEN(Table23[[#This Row],[!respDef]]) &gt;0,Table23[[#This Row],[!respDef]],"rg:None")</f>
        <v>rg:None</v>
      </c>
      <c r="T35" s="5" t="str">
        <f>IF(LEN(Table23[[#This Row],[!Description]]) &gt;0,Table23[[#This Row],[!Description]],"rg:None")</f>
        <v>rg:None</v>
      </c>
    </row>
    <row r="36" spans="1:20" x14ac:dyDescent="0.3">
      <c r="A36" s="42" t="s">
        <v>77</v>
      </c>
      <c r="B36" s="42" t="s">
        <v>103</v>
      </c>
      <c r="C36" s="43" t="s">
        <v>11</v>
      </c>
      <c r="D36" s="44" t="s">
        <v>11</v>
      </c>
      <c r="E36" s="12"/>
      <c r="F36" s="13"/>
      <c r="G36" s="14" t="str">
        <f>IF(LEN(A36) &gt;0,"Path","-")</f>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cities</v>
      </c>
      <c r="Q36" s="4" t="str">
        <f>IF(LEN(Table23[[#This Row],[!tag]]) &gt;0,Table23[[#This Row],[!tag]],"rg:None")</f>
        <v>City</v>
      </c>
      <c r="R36" s="4" t="str">
        <f>IF(LEN(Table23[[#This Row],[!paramDef]]) &gt;0,Table23[[#This Row],[!paramDef]],"rg:None")</f>
        <v>City</v>
      </c>
      <c r="S36" s="4" t="str">
        <f>IF(LEN(Table23[[#This Row],[!respDef]]) &gt;0,Table23[[#This Row],[!respDef]],"rg:None")</f>
        <v>rg:None</v>
      </c>
      <c r="T36" s="4" t="str">
        <f>IF(LEN(Table23[[#This Row],[!Description]]) &gt;0,Table23[[#This Row],[!Description]],"rg:None")</f>
        <v>rg:None</v>
      </c>
    </row>
    <row r="37" spans="1:20" x14ac:dyDescent="0.3">
      <c r="A37" s="29" t="s">
        <v>75</v>
      </c>
      <c r="B37" s="29" t="s">
        <v>208</v>
      </c>
      <c r="C37" s="30" t="s">
        <v>151</v>
      </c>
      <c r="D37" s="44"/>
      <c r="E37" s="12"/>
      <c r="F37" s="13"/>
      <c r="G37" s="14" t="str">
        <f t="shared" si="4"/>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localAreas</v>
      </c>
      <c r="Q37" s="4" t="str">
        <f>IF(LEN(Table23[[#This Row],[!tag]]) &gt;0,Table23[[#This Row],[!tag]],"rg:None")</f>
        <v>LocalArea</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2" t="s">
        <v>77</v>
      </c>
      <c r="B38" s="42" t="s">
        <v>208</v>
      </c>
      <c r="C38" s="43" t="s">
        <v>151</v>
      </c>
      <c r="D38" s="44" t="s">
        <v>151</v>
      </c>
      <c r="E38" s="12"/>
      <c r="F38" s="13"/>
      <c r="G38" s="14" t="str">
        <f>IF(LEN(A38) &gt;0,"Path","-")</f>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localAreas</v>
      </c>
      <c r="Q38" s="4" t="str">
        <f>IF(LEN(Table23[[#This Row],[!tag]]) &gt;0,Table23[[#This Row],[!tag]],"rg:None")</f>
        <v>LocalArea</v>
      </c>
      <c r="R38" s="4" t="str">
        <f>IF(LEN(Table23[[#This Row],[!paramDef]]) &gt;0,Table23[[#This Row],[!paramDef]],"rg:None")</f>
        <v>LocalArea</v>
      </c>
      <c r="S38" s="4" t="str">
        <f>IF(LEN(Table23[[#This Row],[!respDef]]) &gt;0,Table23[[#This Row],[!respDef]],"rg:None")</f>
        <v>rg:None</v>
      </c>
      <c r="T38" s="4" t="str">
        <f>IF(LEN(Table23[[#This Row],[!Description]]) &gt;0,Table23[[#This Row],[!Description]],"rg:None")</f>
        <v>rg:None</v>
      </c>
    </row>
    <row r="39" spans="1:20" x14ac:dyDescent="0.3">
      <c r="A39" s="35" t="s">
        <v>75</v>
      </c>
      <c r="B39" s="35" t="s">
        <v>176</v>
      </c>
      <c r="C39" s="17" t="s">
        <v>172</v>
      </c>
      <c r="D39" s="36"/>
      <c r="E39" s="12"/>
      <c r="F39" s="13"/>
      <c r="G39" s="14" t="str">
        <f t="shared" si="4"/>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contacts</v>
      </c>
      <c r="Q39" s="4" t="str">
        <f>IF(LEN(Table23[[#This Row],[!tag]]) &gt;0,Table23[[#This Row],[!tag]],"rg:None")</f>
        <v>Contact</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5" t="s">
        <v>77</v>
      </c>
      <c r="B40" s="35" t="s">
        <v>176</v>
      </c>
      <c r="C40" s="17" t="s">
        <v>172</v>
      </c>
      <c r="D40" s="36" t="s">
        <v>172</v>
      </c>
      <c r="E40" s="12"/>
      <c r="F40" s="13"/>
      <c r="G40" s="14" t="str">
        <f t="shared" si="4"/>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contacts</v>
      </c>
      <c r="Q40" s="4" t="str">
        <f>IF(LEN(Table23[[#This Row],[!tag]]) &gt;0,Table23[[#This Row],[!tag]],"rg:None")</f>
        <v>Contact</v>
      </c>
      <c r="R40" s="4" t="str">
        <f>IF(LEN(Table23[[#This Row],[!paramDef]]) &gt;0,Table23[[#This Row],[!paramDef]],"rg:None")</f>
        <v>Contact</v>
      </c>
      <c r="S40" s="4" t="str">
        <f>IF(LEN(Table23[[#This Row],[!respDef]]) &gt;0,Table23[[#This Row],[!respDef]],"rg:None")</f>
        <v>rg:None</v>
      </c>
      <c r="T40" s="4" t="str">
        <f>IF(LEN(Table23[[#This Row],[!Description]]) &gt;0,Table23[[#This Row],[!Description]],"rg:None")</f>
        <v>rg:None</v>
      </c>
    </row>
    <row r="41" spans="1:20" x14ac:dyDescent="0.3">
      <c r="A41" s="35" t="s">
        <v>75</v>
      </c>
      <c r="B41" s="35" t="s">
        <v>213</v>
      </c>
      <c r="C41" s="37" t="s">
        <v>109</v>
      </c>
      <c r="D41" s="36"/>
      <c r="E41" s="12"/>
      <c r="F41" s="13"/>
      <c r="G41" s="14" t="str">
        <f t="shared" si="4"/>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dumptrucks</v>
      </c>
      <c r="Q41" s="4" t="str">
        <f>IF(LEN(Table23[[#This Row],[!tag]]) &gt;0,Table23[[#This Row],[!tag]],"rg:None")</f>
        <v>DumpTruck</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5" t="s">
        <v>77</v>
      </c>
      <c r="B42" s="35" t="s">
        <v>213</v>
      </c>
      <c r="C42" s="37" t="s">
        <v>109</v>
      </c>
      <c r="D42" s="36" t="s">
        <v>109</v>
      </c>
      <c r="E42" s="12"/>
      <c r="F42" s="13"/>
      <c r="G42" s="14" t="str">
        <f t="shared" si="4"/>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dumptrucks</v>
      </c>
      <c r="Q42" s="4" t="str">
        <f>IF(LEN(Table23[[#This Row],[!tag]]) &gt;0,Table23[[#This Row],[!tag]],"rg:None")</f>
        <v>DumpTruck</v>
      </c>
      <c r="R42" s="4" t="str">
        <f>IF(LEN(Table23[[#This Row],[!paramDef]]) &gt;0,Table23[[#This Row],[!paramDef]],"rg:None")</f>
        <v>DumpTruck</v>
      </c>
      <c r="S42" s="4" t="str">
        <f>IF(LEN(Table23[[#This Row],[!respDef]]) &gt;0,Table23[[#This Row],[!respDef]],"rg:None")</f>
        <v>rg:None</v>
      </c>
      <c r="T42" s="4" t="str">
        <f>IF(LEN(Table23[[#This Row],[!Description]]) &gt;0,Table23[[#This Row],[!Description]],"rg:None")</f>
        <v>rg:None</v>
      </c>
    </row>
    <row r="43" spans="1:20" x14ac:dyDescent="0.3">
      <c r="A43" s="35" t="s">
        <v>75</v>
      </c>
      <c r="B43" s="35" t="s">
        <v>164</v>
      </c>
      <c r="C43" s="37" t="s">
        <v>146</v>
      </c>
      <c r="D43" s="36"/>
      <c r="E43" s="12"/>
      <c r="F43" s="13"/>
      <c r="G43" s="14" t="str">
        <f t="shared" si="4"/>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notes</v>
      </c>
      <c r="Q43" s="4" t="str">
        <f>IF(LEN(Table23[[#This Row],[!tag]]) &gt;0,Table23[[#This Row],[!tag]],"rg:None")</f>
        <v>Note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5" t="s">
        <v>77</v>
      </c>
      <c r="B44" s="35" t="s">
        <v>164</v>
      </c>
      <c r="C44" s="37" t="s">
        <v>146</v>
      </c>
      <c r="D44" s="36" t="s">
        <v>146</v>
      </c>
      <c r="E44" s="12"/>
      <c r="F44" s="13"/>
      <c r="G44" s="14" t="str">
        <f t="shared" si="4"/>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notes</v>
      </c>
      <c r="Q44" s="4" t="str">
        <f>IF(LEN(Table23[[#This Row],[!tag]]) &gt;0,Table23[[#This Row],[!tag]],"rg:None")</f>
        <v>Note</v>
      </c>
      <c r="R44" s="4" t="str">
        <f>IF(LEN(Table23[[#This Row],[!paramDef]]) &gt;0,Table23[[#This Row],[!paramDef]],"rg:None")</f>
        <v>Note</v>
      </c>
      <c r="S44" s="4" t="str">
        <f>IF(LEN(Table23[[#This Row],[!respDef]]) &gt;0,Table23[[#This Row],[!respDef]],"rg:None")</f>
        <v>rg:None</v>
      </c>
      <c r="T44" s="4" t="str">
        <f>IF(LEN(Table23[[#This Row],[!Description]]) &gt;0,Table23[[#This Row],[!Description]],"rg:None")</f>
        <v>rg:None</v>
      </c>
    </row>
    <row r="45" spans="1:20" x14ac:dyDescent="0.3">
      <c r="A45" s="35" t="s">
        <v>75</v>
      </c>
      <c r="B45" s="35" t="s">
        <v>214</v>
      </c>
      <c r="C45" s="37" t="s">
        <v>158</v>
      </c>
      <c r="D45" s="36"/>
      <c r="E45" s="12"/>
      <c r="F45" s="13"/>
      <c r="G45" s="14" t="str">
        <f t="shared" si="4"/>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attachment</v>
      </c>
      <c r="Q45" s="4" t="str">
        <f>IF(LEN(Table23[[#This Row],[!tag]]) &gt;0,Table23[[#This Row],[!tag]],"rg:None")</f>
        <v>Attachment</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5" t="s">
        <v>77</v>
      </c>
      <c r="B46" s="35" t="s">
        <v>214</v>
      </c>
      <c r="C46" s="37" t="s">
        <v>158</v>
      </c>
      <c r="D46" s="36" t="s">
        <v>158</v>
      </c>
      <c r="E46" s="12"/>
      <c r="F46" s="13"/>
      <c r="G46" s="14" t="str">
        <f t="shared" si="4"/>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attachment</v>
      </c>
      <c r="Q46" s="4" t="str">
        <f>IF(LEN(Table23[[#This Row],[!tag]]) &gt;0,Table23[[#This Row],[!tag]],"rg:None")</f>
        <v>Attachment</v>
      </c>
      <c r="R46" s="4" t="str">
        <f>IF(LEN(Table23[[#This Row],[!paramDef]]) &gt;0,Table23[[#This Row],[!paramDef]],"rg:None")</f>
        <v>Attachment</v>
      </c>
      <c r="S46" s="4" t="str">
        <f>IF(LEN(Table23[[#This Row],[!respDef]]) &gt;0,Table23[[#This Row],[!respDef]],"rg:None")</f>
        <v>rg:None</v>
      </c>
      <c r="T46" s="4" t="str">
        <f>IF(LEN(Table23[[#This Row],[!Description]]) &gt;0,Table23[[#This Row],[!Description]],"rg:None")</f>
        <v>rg:None</v>
      </c>
    </row>
    <row r="47" spans="1:20" x14ac:dyDescent="0.3">
      <c r="A47" s="35" t="s">
        <v>75</v>
      </c>
      <c r="B47" s="35" t="s">
        <v>505</v>
      </c>
      <c r="C47" t="s">
        <v>59</v>
      </c>
      <c r="D47" s="36"/>
      <c r="E47" s="12"/>
      <c r="F47" s="13"/>
      <c r="G47" s="14" t="str">
        <f t="shared" ref="G47:G72" si="5">IF(LEN(A47) &gt;0,"Path","-")</f>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groupmemberships</v>
      </c>
      <c r="Q47" s="4" t="str">
        <f>IF(LEN(Table23[[#This Row],[!tag]]) &gt;0,Table23[[#This Row],[!tag]],"rg:None")</f>
        <v>GroupMembership</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5" t="s">
        <v>77</v>
      </c>
      <c r="B48" s="35" t="s">
        <v>505</v>
      </c>
      <c r="C48" t="s">
        <v>59</v>
      </c>
      <c r="D48" s="36" t="s">
        <v>59</v>
      </c>
      <c r="E48" s="12"/>
      <c r="F48" s="13"/>
      <c r="G48" s="14" t="str">
        <f t="shared" si="5"/>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groupmemberships</v>
      </c>
      <c r="Q48" s="4" t="str">
        <f>IF(LEN(Table23[[#This Row],[!tag]]) &gt;0,Table23[[#This Row],[!tag]],"rg:None")</f>
        <v>GroupMembership</v>
      </c>
      <c r="R48" s="4" t="str">
        <f>IF(LEN(Table23[[#This Row],[!paramDef]]) &gt;0,Table23[[#This Row],[!paramDef]],"rg:None")</f>
        <v>GroupMembership</v>
      </c>
      <c r="S48" s="4" t="str">
        <f>IF(LEN(Table23[[#This Row],[!respDef]]) &gt;0,Table23[[#This Row],[!respDef]],"rg:None")</f>
        <v>rg:None</v>
      </c>
      <c r="T48" s="4" t="str">
        <f>IF(LEN(Table23[[#This Row],[!Description]]) &gt;0,Table23[[#This Row],[!Description]],"rg:None")</f>
        <v>rg:None</v>
      </c>
    </row>
    <row r="49" spans="1:20" x14ac:dyDescent="0.3">
      <c r="A49" s="35" t="s">
        <v>75</v>
      </c>
      <c r="B49" s="116" t="s">
        <v>515</v>
      </c>
      <c r="C49" t="s">
        <v>160</v>
      </c>
      <c r="D49" s="36" t="s">
        <v>5</v>
      </c>
      <c r="E49" s="12"/>
      <c r="F49" s="13"/>
      <c r="G49" s="14" t="str">
        <f t="shared" si="5"/>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histories</v>
      </c>
      <c r="Q49" s="4" t="str">
        <f>IF(LEN(Table23[[#This Row],[!tag]]) &gt;0,Table23[[#This Row],[!tag]],"rg:None")</f>
        <v>History</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5" t="s">
        <v>77</v>
      </c>
      <c r="B50" s="116" t="s">
        <v>515</v>
      </c>
      <c r="C50" t="s">
        <v>160</v>
      </c>
      <c r="D50" s="36" t="s">
        <v>160</v>
      </c>
      <c r="E50" s="12"/>
      <c r="F50" s="13"/>
      <c r="G50" s="14" t="str">
        <f t="shared" si="5"/>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histories</v>
      </c>
      <c r="Q50" s="4" t="str">
        <f>IF(LEN(Table23[[#This Row],[!tag]]) &gt;0,Table23[[#This Row],[!tag]],"rg:None")</f>
        <v>History</v>
      </c>
      <c r="R50" s="4" t="str">
        <f>IF(LEN(Table23[[#This Row],[!paramDef]]) &gt;0,Table23[[#This Row],[!paramDef]],"rg:None")</f>
        <v>History</v>
      </c>
      <c r="S50" s="4" t="str">
        <f>IF(LEN(Table23[[#This Row],[!respDef]]) &gt;0,Table23[[#This Row],[!respDef]],"rg:None")</f>
        <v>rg:None</v>
      </c>
      <c r="T50" s="4" t="str">
        <f>IF(LEN(Table23[[#This Row],[!Description]]) &gt;0,Table23[[#This Row],[!Description]],"rg:None")</f>
        <v>rg:None</v>
      </c>
    </row>
    <row r="51" spans="1:20" x14ac:dyDescent="0.3">
      <c r="A51" s="35" t="s">
        <v>75</v>
      </c>
      <c r="B51" s="35" t="s">
        <v>506</v>
      </c>
      <c r="C51" t="s">
        <v>199</v>
      </c>
      <c r="D51" s="36" t="s">
        <v>5</v>
      </c>
      <c r="E51" s="12"/>
      <c r="F51" s="13"/>
      <c r="G51" s="14" t="str">
        <f t="shared" si="5"/>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rentalagreements</v>
      </c>
      <c r="Q51" s="4" t="str">
        <f>IF(LEN(Table23[[#This Row],[!tag]]) &gt;0,Table23[[#This Row],[!tag]],"rg:None")</f>
        <v>RentalAgreement</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5" t="s">
        <v>77</v>
      </c>
      <c r="B52" s="35" t="s">
        <v>506</v>
      </c>
      <c r="C52" t="s">
        <v>199</v>
      </c>
      <c r="D52" s="36" t="s">
        <v>199</v>
      </c>
      <c r="E52" s="12"/>
      <c r="F52" s="13"/>
      <c r="G52" s="14" t="str">
        <f t="shared" si="5"/>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rentalagreements</v>
      </c>
      <c r="Q52" s="4" t="str">
        <f>IF(LEN(Table23[[#This Row],[!tag]]) &gt;0,Table23[[#This Row],[!tag]],"rg:None")</f>
        <v>RentalAgreement</v>
      </c>
      <c r="R52" s="4" t="str">
        <f>IF(LEN(Table23[[#This Row],[!paramDef]]) &gt;0,Table23[[#This Row],[!paramDef]],"rg:None")</f>
        <v>RentalAgreement</v>
      </c>
      <c r="S52" s="4" t="str">
        <f>IF(LEN(Table23[[#This Row],[!respDef]]) &gt;0,Table23[[#This Row],[!respDef]],"rg:None")</f>
        <v>rg:None</v>
      </c>
      <c r="T52" s="4" t="str">
        <f>IF(LEN(Table23[[#This Row],[!Description]]) &gt;0,Table23[[#This Row],[!Description]],"rg:None")</f>
        <v>rg:None</v>
      </c>
    </row>
    <row r="53" spans="1:20" x14ac:dyDescent="0.3">
      <c r="A53" s="35" t="s">
        <v>75</v>
      </c>
      <c r="B53" s="35" t="s">
        <v>507</v>
      </c>
      <c r="C53" t="s">
        <v>477</v>
      </c>
      <c r="D53" s="36" t="s">
        <v>5</v>
      </c>
      <c r="E53" s="12"/>
      <c r="F53" s="13"/>
      <c r="G53" s="14" t="str">
        <f t="shared" si="5"/>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rentalagreementconditions</v>
      </c>
      <c r="Q53" s="4" t="str">
        <f>IF(LEN(Table23[[#This Row],[!tag]]) &gt;0,Table23[[#This Row],[!tag]],"rg:None")</f>
        <v>RentalAgreementCondition</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5" t="s">
        <v>77</v>
      </c>
      <c r="B54" s="35" t="s">
        <v>507</v>
      </c>
      <c r="C54" t="s">
        <v>477</v>
      </c>
      <c r="D54" s="36" t="s">
        <v>477</v>
      </c>
      <c r="E54" s="12"/>
      <c r="F54" s="13"/>
      <c r="G54" s="14" t="str">
        <f t="shared" si="5"/>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rentalagreementconditions</v>
      </c>
      <c r="Q54" s="4" t="str">
        <f>IF(LEN(Table23[[#This Row],[!tag]]) &gt;0,Table23[[#This Row],[!tag]],"rg:None")</f>
        <v>RentalAgreementCondition</v>
      </c>
      <c r="R54" s="4" t="str">
        <f>IF(LEN(Table23[[#This Row],[!paramDef]]) &gt;0,Table23[[#This Row],[!paramDef]],"rg:None")</f>
        <v>RentalAgreementCondition</v>
      </c>
      <c r="S54" s="4" t="str">
        <f>IF(LEN(Table23[[#This Row],[!respDef]]) &gt;0,Table23[[#This Row],[!respDef]],"rg:None")</f>
        <v>rg:None</v>
      </c>
      <c r="T54" s="4" t="str">
        <f>IF(LEN(Table23[[#This Row],[!Description]]) &gt;0,Table23[[#This Row],[!Description]],"rg:None")</f>
        <v>rg:None</v>
      </c>
    </row>
    <row r="55" spans="1:20" x14ac:dyDescent="0.3">
      <c r="A55" s="35" t="s">
        <v>75</v>
      </c>
      <c r="B55" s="35" t="s">
        <v>508</v>
      </c>
      <c r="C55" t="s">
        <v>464</v>
      </c>
      <c r="D55" s="36" t="s">
        <v>5</v>
      </c>
      <c r="E55" s="12"/>
      <c r="F55" s="13"/>
      <c r="G55" s="14" t="str">
        <f t="shared" si="5"/>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rentalagreementrates</v>
      </c>
      <c r="Q55" s="4" t="str">
        <f>IF(LEN(Table23[[#This Row],[!tag]]) &gt;0,Table23[[#This Row],[!tag]],"rg:None")</f>
        <v>RentalAgreementRate</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5" t="s">
        <v>77</v>
      </c>
      <c r="B56" s="35" t="s">
        <v>508</v>
      </c>
      <c r="C56" t="s">
        <v>464</v>
      </c>
      <c r="D56" s="36" t="s">
        <v>464</v>
      </c>
      <c r="E56" s="12"/>
      <c r="F56" s="13"/>
      <c r="G56" s="14" t="str">
        <f t="shared" si="5"/>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rentalagreementrates</v>
      </c>
      <c r="Q56" s="4" t="str">
        <f>IF(LEN(Table23[[#This Row],[!tag]]) &gt;0,Table23[[#This Row],[!tag]],"rg:None")</f>
        <v>RentalAgreementRate</v>
      </c>
      <c r="R56" s="4" t="str">
        <f>IF(LEN(Table23[[#This Row],[!paramDef]]) &gt;0,Table23[[#This Row],[!paramDef]],"rg:None")</f>
        <v>RentalAgreementRate</v>
      </c>
      <c r="S56" s="4" t="str">
        <f>IF(LEN(Table23[[#This Row],[!respDef]]) &gt;0,Table23[[#This Row],[!respDef]],"rg:None")</f>
        <v>rg:None</v>
      </c>
      <c r="T56" s="4" t="str">
        <f>IF(LEN(Table23[[#This Row],[!Description]]) &gt;0,Table23[[#This Row],[!Description]],"rg:None")</f>
        <v>rg:None</v>
      </c>
    </row>
    <row r="57" spans="1:20" x14ac:dyDescent="0.3">
      <c r="A57" s="35" t="s">
        <v>75</v>
      </c>
      <c r="B57" s="35" t="s">
        <v>509</v>
      </c>
      <c r="C57" t="s">
        <v>429</v>
      </c>
      <c r="D57" s="36" t="s">
        <v>5</v>
      </c>
      <c r="E57" s="12"/>
      <c r="F57" s="13"/>
      <c r="G57" s="14" t="str">
        <f t="shared" si="5"/>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rentalrequests</v>
      </c>
      <c r="Q57" s="4" t="str">
        <f>IF(LEN(Table23[[#This Row],[!tag]]) &gt;0,Table23[[#This Row],[!tag]],"rg:None")</f>
        <v>RentalRequest</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5" t="s">
        <v>77</v>
      </c>
      <c r="B58" s="35" t="s">
        <v>509</v>
      </c>
      <c r="C58" t="s">
        <v>429</v>
      </c>
      <c r="D58" s="36" t="s">
        <v>429</v>
      </c>
      <c r="E58" s="12"/>
      <c r="F58" s="13"/>
      <c r="G58" s="14" t="str">
        <f t="shared" si="5"/>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rentalrequests</v>
      </c>
      <c r="Q58" s="4" t="str">
        <f>IF(LEN(Table23[[#This Row],[!tag]]) &gt;0,Table23[[#This Row],[!tag]],"rg:None")</f>
        <v>RentalRequest</v>
      </c>
      <c r="R58" s="4" t="str">
        <f>IF(LEN(Table23[[#This Row],[!paramDef]]) &gt;0,Table23[[#This Row],[!paramDef]],"rg:None")</f>
        <v>RentalRequest</v>
      </c>
      <c r="S58" s="4" t="str">
        <f>IF(LEN(Table23[[#This Row],[!respDef]]) &gt;0,Table23[[#This Row],[!respDef]],"rg:None")</f>
        <v>rg:None</v>
      </c>
      <c r="T58" s="4" t="str">
        <f>IF(LEN(Table23[[#This Row],[!Description]]) &gt;0,Table23[[#This Row],[!Description]],"rg:None")</f>
        <v>rg:None</v>
      </c>
    </row>
    <row r="59" spans="1:20" x14ac:dyDescent="0.3">
      <c r="A59" s="35" t="s">
        <v>75</v>
      </c>
      <c r="B59" s="35" t="s">
        <v>510</v>
      </c>
      <c r="C59" t="s">
        <v>447</v>
      </c>
      <c r="D59" s="36" t="s">
        <v>5</v>
      </c>
      <c r="E59" s="12"/>
      <c r="F59" s="13"/>
      <c r="G59" s="14" t="str">
        <f t="shared" si="5"/>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rentalrequestattachments</v>
      </c>
      <c r="Q59" s="4" t="str">
        <f>IF(LEN(Table23[[#This Row],[!tag]]) &gt;0,Table23[[#This Row],[!tag]],"rg:None")</f>
        <v>RentalRequestAttachment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5" t="s">
        <v>77</v>
      </c>
      <c r="B60" s="35" t="s">
        <v>510</v>
      </c>
      <c r="C60" t="s">
        <v>447</v>
      </c>
      <c r="D60" s="36" t="s">
        <v>447</v>
      </c>
      <c r="E60" s="12"/>
      <c r="F60" s="13"/>
      <c r="G60" s="14" t="str">
        <f t="shared" si="5"/>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rentalrequestattachments</v>
      </c>
      <c r="Q60" s="4" t="str">
        <f>IF(LEN(Table23[[#This Row],[!tag]]) &gt;0,Table23[[#This Row],[!tag]],"rg:None")</f>
        <v>RentalRequestAttachment</v>
      </c>
      <c r="R60" s="4" t="str">
        <f>IF(LEN(Table23[[#This Row],[!paramDef]]) &gt;0,Table23[[#This Row],[!paramDef]],"rg:None")</f>
        <v>RentalRequestAttachment</v>
      </c>
      <c r="S60" s="4" t="str">
        <f>IF(LEN(Table23[[#This Row],[!respDef]]) &gt;0,Table23[[#This Row],[!respDef]],"rg:None")</f>
        <v>rg:None</v>
      </c>
      <c r="T60" s="4" t="str">
        <f>IF(LEN(Table23[[#This Row],[!Description]]) &gt;0,Table23[[#This Row],[!Description]],"rg:None")</f>
        <v>rg:None</v>
      </c>
    </row>
    <row r="61" spans="1:20" x14ac:dyDescent="0.3">
      <c r="A61" s="35" t="s">
        <v>75</v>
      </c>
      <c r="B61" s="35" t="s">
        <v>511</v>
      </c>
      <c r="C61" t="s">
        <v>430</v>
      </c>
      <c r="D61" s="36" t="s">
        <v>5</v>
      </c>
      <c r="E61" s="12"/>
      <c r="F61" s="13"/>
      <c r="G61" s="14" t="str">
        <f t="shared" si="5"/>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rentalrequestrotationlists</v>
      </c>
      <c r="Q61" s="4" t="str">
        <f>IF(LEN(Table23[[#This Row],[!tag]]) &gt;0,Table23[[#This Row],[!tag]],"rg:None")</f>
        <v>RentalRequestRotationList</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5" t="s">
        <v>77</v>
      </c>
      <c r="B62" s="35" t="s">
        <v>511</v>
      </c>
      <c r="C62" t="s">
        <v>430</v>
      </c>
      <c r="D62" s="36" t="s">
        <v>430</v>
      </c>
      <c r="E62" s="12"/>
      <c r="F62" s="13"/>
      <c r="G62" s="14" t="str">
        <f t="shared" si="5"/>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rentalrequestrotationlists</v>
      </c>
      <c r="Q62" s="4" t="str">
        <f>IF(LEN(Table23[[#This Row],[!tag]]) &gt;0,Table23[[#This Row],[!tag]],"rg:None")</f>
        <v>RentalRequestRotationList</v>
      </c>
      <c r="R62" s="4" t="str">
        <f>IF(LEN(Table23[[#This Row],[!paramDef]]) &gt;0,Table23[[#This Row],[!paramDef]],"rg:None")</f>
        <v>RentalRequestRotationList</v>
      </c>
      <c r="S62" s="4" t="str">
        <f>IF(LEN(Table23[[#This Row],[!respDef]]) &gt;0,Table23[[#This Row],[!respDef]],"rg:None")</f>
        <v>rg:None</v>
      </c>
      <c r="T62" s="4" t="str">
        <f>IF(LEN(Table23[[#This Row],[!Description]]) &gt;0,Table23[[#This Row],[!Description]],"rg:None")</f>
        <v>rg:None</v>
      </c>
    </row>
    <row r="63" spans="1:20" x14ac:dyDescent="0.3">
      <c r="A63" s="35" t="s">
        <v>75</v>
      </c>
      <c r="B63" s="35" t="s">
        <v>104</v>
      </c>
      <c r="C63" t="s">
        <v>55</v>
      </c>
      <c r="D63" s="36" t="s">
        <v>5</v>
      </c>
      <c r="E63" s="12"/>
      <c r="F63" s="13"/>
      <c r="G63" s="14" t="str">
        <f t="shared" si="5"/>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rolepermissions</v>
      </c>
      <c r="Q63" s="4" t="str">
        <f>IF(LEN(Table23[[#This Row],[!tag]]) &gt;0,Table23[[#This Row],[!tag]],"rg:None")</f>
        <v>RolePermission</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5" t="s">
        <v>77</v>
      </c>
      <c r="B64" s="35" t="s">
        <v>104</v>
      </c>
      <c r="C64" t="s">
        <v>55</v>
      </c>
      <c r="D64" s="36" t="s">
        <v>55</v>
      </c>
      <c r="E64" s="12"/>
      <c r="F64" s="13"/>
      <c r="G64" s="14" t="str">
        <f t="shared" si="5"/>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rolepermissions</v>
      </c>
      <c r="Q64" s="4" t="str">
        <f>IF(LEN(Table23[[#This Row],[!tag]]) &gt;0,Table23[[#This Row],[!tag]],"rg:None")</f>
        <v>RolePermission</v>
      </c>
      <c r="R64" s="4" t="str">
        <f>IF(LEN(Table23[[#This Row],[!paramDef]]) &gt;0,Table23[[#This Row],[!paramDef]],"rg:None")</f>
        <v>RolePermission</v>
      </c>
      <c r="S64" s="4" t="str">
        <f>IF(LEN(Table23[[#This Row],[!respDef]]) &gt;0,Table23[[#This Row],[!respDef]],"rg:None")</f>
        <v>rg:None</v>
      </c>
      <c r="T64" s="4" t="str">
        <f>IF(LEN(Table23[[#This Row],[!Description]]) &gt;0,Table23[[#This Row],[!Description]],"rg:None")</f>
        <v>rg:None</v>
      </c>
    </row>
    <row r="65" spans="1:20" x14ac:dyDescent="0.3">
      <c r="A65" s="35" t="s">
        <v>75</v>
      </c>
      <c r="B65" s="35" t="s">
        <v>512</v>
      </c>
      <c r="C65" t="s">
        <v>147</v>
      </c>
      <c r="D65" s="36" t="s">
        <v>5</v>
      </c>
      <c r="E65" s="12"/>
      <c r="F65" s="13"/>
      <c r="G65" s="14" t="str">
        <f t="shared" si="5"/>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seniorityaudits</v>
      </c>
      <c r="Q65" s="4" t="str">
        <f>IF(LEN(Table23[[#This Row],[!tag]]) &gt;0,Table23[[#This Row],[!tag]],"rg:None")</f>
        <v>SeniorityAudit</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5" t="s">
        <v>77</v>
      </c>
      <c r="B66" s="35" t="s">
        <v>512</v>
      </c>
      <c r="C66" t="s">
        <v>147</v>
      </c>
      <c r="D66" s="36" t="s">
        <v>147</v>
      </c>
      <c r="E66" s="12"/>
      <c r="F66" s="13"/>
      <c r="G66" s="14" t="str">
        <f t="shared" si="5"/>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seniorityaudits</v>
      </c>
      <c r="Q66" s="4" t="str">
        <f>IF(LEN(Table23[[#This Row],[!tag]]) &gt;0,Table23[[#This Row],[!tag]],"rg:None")</f>
        <v>SeniorityAudit</v>
      </c>
      <c r="R66" s="4" t="str">
        <f>IF(LEN(Table23[[#This Row],[!paramDef]]) &gt;0,Table23[[#This Row],[!paramDef]],"rg:None")</f>
        <v>SeniorityAudit</v>
      </c>
      <c r="S66" s="4" t="str">
        <f>IF(LEN(Table23[[#This Row],[!respDef]]) &gt;0,Table23[[#This Row],[!respDef]],"rg:None")</f>
        <v>rg:None</v>
      </c>
      <c r="T66" s="4" t="str">
        <f>IF(LEN(Table23[[#This Row],[!Description]]) &gt;0,Table23[[#This Row],[!Description]],"rg:None")</f>
        <v>rg:None</v>
      </c>
    </row>
    <row r="67" spans="1:20" x14ac:dyDescent="0.3">
      <c r="A67" s="35" t="s">
        <v>75</v>
      </c>
      <c r="B67" s="35" t="s">
        <v>513</v>
      </c>
      <c r="C67" t="s">
        <v>202</v>
      </c>
      <c r="D67" s="36" t="s">
        <v>5</v>
      </c>
      <c r="E67" s="12"/>
      <c r="F67" s="13"/>
      <c r="G67" s="14" t="str">
        <f t="shared" si="5"/>
        <v>Path</v>
      </c>
      <c r="H67" s="4" t="str">
        <f>IF(LEN(Table23[[#This Row],[!type]])&gt;0,IF(Table23[[#This Row],[!type]]=H$1,"1","rg:None"),"-")</f>
        <v>1</v>
      </c>
      <c r="I67" s="4" t="str">
        <f>IF(LEN(Table23[[#This Row],[!type]])&gt;0,IF(Table23[[#This Row],[!type]]=I$1,"1","rg:None"),"-")</f>
        <v>rg:None</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Row],[!path]]) &gt;0,Table23[[#This Row],[!path]],"rg:None")</f>
        <v>timerecords</v>
      </c>
      <c r="Q67" s="4" t="str">
        <f>IF(LEN(Table23[[#This Row],[!tag]]) &gt;0,Table23[[#This Row],[!tag]],"rg:None")</f>
        <v>TimeRecord</v>
      </c>
      <c r="R67" s="4" t="str">
        <f>IF(LEN(Table23[[#This Row],[!paramDef]]) &gt;0,Table23[[#This Row],[!paramDef]],"rg:None")</f>
        <v>rg:None</v>
      </c>
      <c r="S67" s="4" t="str">
        <f>IF(LEN(Table23[[#This Row],[!respDef]]) &gt;0,Table23[[#This Row],[!respDef]],"rg:None")</f>
        <v>rg:None</v>
      </c>
      <c r="T67" s="4" t="str">
        <f>IF(LEN(Table23[[#This Row],[!Description]]) &gt;0,Table23[[#This Row],[!Description]],"rg:None")</f>
        <v>rg:None</v>
      </c>
    </row>
    <row r="68" spans="1:20" x14ac:dyDescent="0.3">
      <c r="A68" s="35" t="s">
        <v>77</v>
      </c>
      <c r="B68" s="35" t="s">
        <v>513</v>
      </c>
      <c r="C68" t="s">
        <v>202</v>
      </c>
      <c r="D68" s="36" t="s">
        <v>202</v>
      </c>
      <c r="E68" s="12"/>
      <c r="F68" s="13"/>
      <c r="G68" s="14" t="str">
        <f t="shared" si="5"/>
        <v>Path</v>
      </c>
      <c r="H68" s="4" t="str">
        <f>IF(LEN(Table23[[#This Row],[!type]])&gt;0,IF(Table23[[#This Row],[!type]]=H$1,"1","rg:None"),"-")</f>
        <v>rg:None</v>
      </c>
      <c r="I68" s="4" t="str">
        <f>IF(LEN(Table23[[#This Row],[!type]])&gt;0,IF(Table23[[#This Row],[!type]]=I$1,"1","rg:None"),"-")</f>
        <v>rg:None</v>
      </c>
      <c r="J68" s="4" t="str">
        <f>IF(LEN(Table23[[#This Row],[!type]])&gt;0,IF(Table23[[#This Row],[!type]]=J$1,"1","rg:None"),"-")</f>
        <v>1</v>
      </c>
      <c r="K68" s="4" t="str">
        <f>IF(LEN(Table23[[#This Row],[!type]])&gt;0,IF(Table23[[#This Row],[!type]]=K$1,"1","rg:None"),"-")</f>
        <v>rg:None</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Row],[!path]]) &gt;0,Table23[[#This Row],[!path]],"rg:None")</f>
        <v>timerecords</v>
      </c>
      <c r="Q68" s="4" t="str">
        <f>IF(LEN(Table23[[#This Row],[!tag]]) &gt;0,Table23[[#This Row],[!tag]],"rg:None")</f>
        <v>TimeRecord</v>
      </c>
      <c r="R68" s="4" t="str">
        <f>IF(LEN(Table23[[#This Row],[!paramDef]]) &gt;0,Table23[[#This Row],[!paramDef]],"rg:None")</f>
        <v>TimeRecord</v>
      </c>
      <c r="S68" s="4" t="str">
        <f>IF(LEN(Table23[[#This Row],[!respDef]]) &gt;0,Table23[[#This Row],[!respDef]],"rg:None")</f>
        <v>rg:None</v>
      </c>
      <c r="T68" s="4" t="str">
        <f>IF(LEN(Table23[[#This Row],[!Description]]) &gt;0,Table23[[#This Row],[!Description]],"rg:None")</f>
        <v>rg:None</v>
      </c>
    </row>
    <row r="69" spans="1:20" x14ac:dyDescent="0.3">
      <c r="A69" s="35" t="s">
        <v>75</v>
      </c>
      <c r="B69" s="35" t="s">
        <v>514</v>
      </c>
      <c r="C69" t="s">
        <v>22</v>
      </c>
      <c r="D69" s="36" t="s">
        <v>5</v>
      </c>
      <c r="E69" s="12"/>
      <c r="F69" s="13"/>
      <c r="G69" s="14" t="str">
        <f t="shared" si="5"/>
        <v>Path</v>
      </c>
      <c r="H69" s="4" t="str">
        <f>IF(LEN(Table23[[#This Row],[!type]])&gt;0,IF(Table23[[#This Row],[!type]]=H$1,"1","rg:None"),"-")</f>
        <v>1</v>
      </c>
      <c r="I69" s="4" t="str">
        <f>IF(LEN(Table23[[#This Row],[!type]])&gt;0,IF(Table23[[#This Row],[!type]]=I$1,"1","rg:None"),"-")</f>
        <v>rg:None</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Row],[!path]]) &gt;0,Table23[[#This Row],[!path]],"rg:None")</f>
        <v>userfavourites</v>
      </c>
      <c r="Q69" s="4" t="str">
        <f>IF(LEN(Table23[[#This Row],[!tag]]) &gt;0,Table23[[#This Row],[!tag]],"rg:None")</f>
        <v>UserFavourite</v>
      </c>
      <c r="R69" s="4" t="str">
        <f>IF(LEN(Table23[[#This Row],[!paramDef]]) &gt;0,Table23[[#This Row],[!paramDef]],"rg:None")</f>
        <v>rg:None</v>
      </c>
      <c r="S69" s="4" t="str">
        <f>IF(LEN(Table23[[#This Row],[!respDef]]) &gt;0,Table23[[#This Row],[!respDef]],"rg:None")</f>
        <v>rg:None</v>
      </c>
      <c r="T69" s="4" t="str">
        <f>IF(LEN(Table23[[#This Row],[!Description]]) &gt;0,Table23[[#This Row],[!Description]],"rg:None")</f>
        <v>rg:None</v>
      </c>
    </row>
    <row r="70" spans="1:20" x14ac:dyDescent="0.3">
      <c r="A70" s="35" t="s">
        <v>77</v>
      </c>
      <c r="B70" s="35" t="s">
        <v>514</v>
      </c>
      <c r="C70" t="s">
        <v>22</v>
      </c>
      <c r="D70" s="36" t="s">
        <v>22</v>
      </c>
      <c r="E70" s="12"/>
      <c r="F70" s="13"/>
      <c r="G70" s="14" t="str">
        <f t="shared" si="5"/>
        <v>Path</v>
      </c>
      <c r="H70" s="4" t="str">
        <f>IF(LEN(Table23[[#This Row],[!type]])&gt;0,IF(Table23[[#This Row],[!type]]=H$1,"1","rg:None"),"-")</f>
        <v>rg:None</v>
      </c>
      <c r="I70" s="4" t="str">
        <f>IF(LEN(Table23[[#This Row],[!type]])&gt;0,IF(Table23[[#This Row],[!type]]=I$1,"1","rg:None"),"-")</f>
        <v>rg:None</v>
      </c>
      <c r="J70" s="4" t="str">
        <f>IF(LEN(Table23[[#This Row],[!type]])&gt;0,IF(Table23[[#This Row],[!type]]=J$1,"1","rg:None"),"-")</f>
        <v>1</v>
      </c>
      <c r="K70" s="4" t="str">
        <f>IF(LEN(Table23[[#This Row],[!type]])&gt;0,IF(Table23[[#This Row],[!type]]=K$1,"1","rg:None"),"-")</f>
        <v>rg:None</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Row],[!path]]) &gt;0,Table23[[#This Row],[!path]],"rg:None")</f>
        <v>userfavourites</v>
      </c>
      <c r="Q70" s="4" t="str">
        <f>IF(LEN(Table23[[#This Row],[!tag]]) &gt;0,Table23[[#This Row],[!tag]],"rg:None")</f>
        <v>UserFavourite</v>
      </c>
      <c r="R70" s="4" t="str">
        <f>IF(LEN(Table23[[#This Row],[!paramDef]]) &gt;0,Table23[[#This Row],[!paramDef]],"rg:None")</f>
        <v>UserFavourite</v>
      </c>
      <c r="S70" s="4" t="str">
        <f>IF(LEN(Table23[[#This Row],[!respDef]]) &gt;0,Table23[[#This Row],[!respDef]],"rg:None")</f>
        <v>rg:None</v>
      </c>
      <c r="T70" s="4" t="str">
        <f>IF(LEN(Table23[[#This Row],[!Description]]) &gt;0,Table23[[#This Row],[!Description]],"rg:None")</f>
        <v>rg:None</v>
      </c>
    </row>
    <row r="71" spans="1:20" x14ac:dyDescent="0.3">
      <c r="A71" s="35" t="s">
        <v>75</v>
      </c>
      <c r="B71" s="35" t="s">
        <v>99</v>
      </c>
      <c r="C71" t="s">
        <v>50</v>
      </c>
      <c r="D71" s="36" t="s">
        <v>5</v>
      </c>
      <c r="E71" s="12"/>
      <c r="F71" s="13"/>
      <c r="G71" s="14" t="str">
        <f t="shared" si="5"/>
        <v>Path</v>
      </c>
      <c r="H71" s="4" t="str">
        <f>IF(LEN(Table23[[#This Row],[!type]])&gt;0,IF(Table23[[#This Row],[!type]]=H$1,"1","rg:None"),"-")</f>
        <v>1</v>
      </c>
      <c r="I71" s="4" t="str">
        <f>IF(LEN(Table23[[#This Row],[!type]])&gt;0,IF(Table23[[#This Row],[!type]]=I$1,"1","rg:None"),"-")</f>
        <v>rg:None</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Row],[!path]]) &gt;0,Table23[[#This Row],[!path]],"rg:None")</f>
        <v>userroles</v>
      </c>
      <c r="Q71" s="4" t="str">
        <f>IF(LEN(Table23[[#This Row],[!tag]]) &gt;0,Table23[[#This Row],[!tag]],"rg:None")</f>
        <v>UserRole</v>
      </c>
      <c r="R71" s="4" t="str">
        <f>IF(LEN(Table23[[#This Row],[!paramDef]]) &gt;0,Table23[[#This Row],[!paramDef]],"rg:None")</f>
        <v>rg:None</v>
      </c>
      <c r="S71" s="4" t="str">
        <f>IF(LEN(Table23[[#This Row],[!respDef]]) &gt;0,Table23[[#This Row],[!respDef]],"rg:None")</f>
        <v>rg:None</v>
      </c>
      <c r="T71" s="4" t="str">
        <f>IF(LEN(Table23[[#This Row],[!Description]]) &gt;0,Table23[[#This Row],[!Description]],"rg:None")</f>
        <v>rg:None</v>
      </c>
    </row>
    <row r="72" spans="1:20" x14ac:dyDescent="0.3">
      <c r="A72" s="35" t="s">
        <v>77</v>
      </c>
      <c r="B72" s="35" t="s">
        <v>99</v>
      </c>
      <c r="C72" t="s">
        <v>50</v>
      </c>
      <c r="D72" s="36" t="s">
        <v>50</v>
      </c>
      <c r="E72" s="12"/>
      <c r="F72" s="13"/>
      <c r="G72" s="14" t="str">
        <f t="shared" si="5"/>
        <v>Path</v>
      </c>
      <c r="H72" s="4" t="str">
        <f>IF(LEN(Table23[[#This Row],[!type]])&gt;0,IF(Table23[[#This Row],[!type]]=H$1,"1","rg:None"),"-")</f>
        <v>rg:None</v>
      </c>
      <c r="I72" s="4" t="str">
        <f>IF(LEN(Table23[[#This Row],[!type]])&gt;0,IF(Table23[[#This Row],[!type]]=I$1,"1","rg:None"),"-")</f>
        <v>rg:None</v>
      </c>
      <c r="J72" s="4" t="str">
        <f>IF(LEN(Table23[[#This Row],[!type]])&gt;0,IF(Table23[[#This Row],[!type]]=J$1,"1","rg:None"),"-")</f>
        <v>1</v>
      </c>
      <c r="K72" s="4" t="str">
        <f>IF(LEN(Table23[[#This Row],[!type]])&gt;0,IF(Table23[[#This Row],[!type]]=K$1,"1","rg:None"),"-")</f>
        <v>rg:None</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Row],[!path]]) &gt;0,Table23[[#This Row],[!path]],"rg:None")</f>
        <v>userroles</v>
      </c>
      <c r="Q72" s="4" t="str">
        <f>IF(LEN(Table23[[#This Row],[!tag]]) &gt;0,Table23[[#This Row],[!tag]],"rg:None")</f>
        <v>UserRole</v>
      </c>
      <c r="R72" s="4" t="str">
        <f>IF(LEN(Table23[[#This Row],[!paramDef]]) &gt;0,Table23[[#This Row],[!paramDef]],"rg:None")</f>
        <v>UserRole</v>
      </c>
      <c r="S72" s="4" t="str">
        <f>IF(LEN(Table23[[#This Row],[!respDef]]) &gt;0,Table23[[#This Row],[!respDef]],"rg:None")</f>
        <v>rg:None</v>
      </c>
      <c r="T72"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2017-03-20T22:13:42Z</dcterms:modified>
</cp:coreProperties>
</file>