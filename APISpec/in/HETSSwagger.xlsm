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defs.csv!$A$1:$Y$347</definedName>
    <definedName name="_xlnm._FilterDatabase" localSheetId="1" hidden="1">paths.csv!$A$1:$G$72</definedName>
  </definedNames>
  <calcPr calcId="171027"/>
</workbook>
</file>

<file path=xl/calcChain.xml><?xml version="1.0" encoding="utf-8"?>
<calcChain xmlns="http://schemas.openxmlformats.org/spreadsheetml/2006/main">
  <c r="I85" i="27" l="1"/>
  <c r="J85" i="27"/>
  <c r="K85" i="27"/>
  <c r="L85" i="27"/>
  <c r="M85" i="27"/>
  <c r="N85" i="27"/>
  <c r="O85" i="27"/>
  <c r="P85" i="27"/>
  <c r="Q85" i="27"/>
  <c r="R85" i="27"/>
  <c r="S85" i="27"/>
  <c r="T85" i="27"/>
  <c r="U85" i="27"/>
  <c r="V85" i="27"/>
  <c r="W85" i="27"/>
  <c r="X85" i="27"/>
  <c r="Y85" i="27"/>
  <c r="Y205" i="27"/>
  <c r="W205" i="27"/>
  <c r="V205" i="27"/>
  <c r="U205" i="27"/>
  <c r="T205" i="27"/>
  <c r="S205" i="27"/>
  <c r="R205" i="27"/>
  <c r="Q205" i="27"/>
  <c r="P205" i="27"/>
  <c r="O205" i="27"/>
  <c r="N205" i="27"/>
  <c r="M205" i="27"/>
  <c r="L205" i="27"/>
  <c r="K205" i="27"/>
  <c r="J205" i="27"/>
  <c r="I205" i="27"/>
  <c r="Y204" i="27"/>
  <c r="W204" i="27"/>
  <c r="V204" i="27"/>
  <c r="U204" i="27"/>
  <c r="T204" i="27"/>
  <c r="S204" i="27"/>
  <c r="R204" i="27"/>
  <c r="Q204" i="27"/>
  <c r="P204" i="27"/>
  <c r="O204" i="27"/>
  <c r="N204" i="27"/>
  <c r="M204" i="27"/>
  <c r="L204" i="27"/>
  <c r="K204" i="27"/>
  <c r="J204" i="27"/>
  <c r="I204" i="27"/>
  <c r="X205" i="27"/>
  <c r="X204"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8" i="27"/>
  <c r="Y29" i="27"/>
  <c r="Y30"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Y347"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29" i="27" l="1"/>
  <c r="I230" i="27"/>
  <c r="I231" i="27"/>
  <c r="I232" i="27"/>
  <c r="I233" i="27"/>
  <c r="I234" i="27"/>
  <c r="I235" i="27"/>
  <c r="J229" i="27"/>
  <c r="J230" i="27"/>
  <c r="J231" i="27"/>
  <c r="J232" i="27"/>
  <c r="J233" i="27"/>
  <c r="J234" i="27"/>
  <c r="J235" i="27"/>
  <c r="K229" i="27"/>
  <c r="K230" i="27"/>
  <c r="K231" i="27"/>
  <c r="K232" i="27"/>
  <c r="K233" i="27"/>
  <c r="K234" i="27"/>
  <c r="K235" i="27"/>
  <c r="L229" i="27"/>
  <c r="L230" i="27"/>
  <c r="L231" i="27"/>
  <c r="L232" i="27"/>
  <c r="L233" i="27"/>
  <c r="L234" i="27"/>
  <c r="L235" i="27"/>
  <c r="M229" i="27"/>
  <c r="M230" i="27"/>
  <c r="M231" i="27"/>
  <c r="M232" i="27"/>
  <c r="M233" i="27"/>
  <c r="M234" i="27"/>
  <c r="M235" i="27"/>
  <c r="N229" i="27"/>
  <c r="N230" i="27"/>
  <c r="N231" i="27"/>
  <c r="N232" i="27"/>
  <c r="N233" i="27"/>
  <c r="N234" i="27"/>
  <c r="N235" i="27"/>
  <c r="O229" i="27"/>
  <c r="O230" i="27"/>
  <c r="O231" i="27"/>
  <c r="O232" i="27"/>
  <c r="O233" i="27"/>
  <c r="O234" i="27"/>
  <c r="O235" i="27"/>
  <c r="P229" i="27"/>
  <c r="P230" i="27"/>
  <c r="P231" i="27"/>
  <c r="P232" i="27"/>
  <c r="P233" i="27"/>
  <c r="P234" i="27"/>
  <c r="P235" i="27"/>
  <c r="Q229" i="27"/>
  <c r="Q230" i="27"/>
  <c r="Q231" i="27"/>
  <c r="Q232" i="27"/>
  <c r="Q233" i="27"/>
  <c r="Q234" i="27"/>
  <c r="Q235" i="27"/>
  <c r="R229" i="27"/>
  <c r="R230" i="27"/>
  <c r="R231" i="27"/>
  <c r="R232" i="27"/>
  <c r="R233" i="27"/>
  <c r="R234" i="27"/>
  <c r="R235" i="27"/>
  <c r="S229" i="27"/>
  <c r="S230" i="27"/>
  <c r="S231" i="27"/>
  <c r="S232" i="27"/>
  <c r="S233" i="27"/>
  <c r="S234" i="27"/>
  <c r="S235" i="27"/>
  <c r="T229" i="27"/>
  <c r="T230" i="27"/>
  <c r="T231" i="27"/>
  <c r="T232" i="27"/>
  <c r="T233" i="27"/>
  <c r="T234" i="27"/>
  <c r="T235" i="27"/>
  <c r="U229" i="27"/>
  <c r="U230" i="27"/>
  <c r="U231" i="27"/>
  <c r="U232" i="27"/>
  <c r="U233" i="27"/>
  <c r="U234" i="27"/>
  <c r="U235" i="27"/>
  <c r="V229" i="27"/>
  <c r="V230" i="27"/>
  <c r="V231" i="27"/>
  <c r="V232" i="27"/>
  <c r="V233" i="27"/>
  <c r="V234" i="27"/>
  <c r="V235" i="27"/>
  <c r="W229" i="27"/>
  <c r="W230" i="27"/>
  <c r="W231" i="27"/>
  <c r="W232" i="27"/>
  <c r="W233" i="27"/>
  <c r="W234" i="27"/>
  <c r="W235" i="27"/>
  <c r="X234" i="27"/>
  <c r="X232" i="27"/>
  <c r="X230" i="27"/>
  <c r="X233" i="27"/>
  <c r="X235" i="27"/>
  <c r="X229" i="27"/>
  <c r="X231"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80" i="27"/>
  <c r="J180" i="27"/>
  <c r="K180" i="27"/>
  <c r="L180" i="27"/>
  <c r="M180" i="27"/>
  <c r="N180" i="27"/>
  <c r="O180" i="27"/>
  <c r="P180" i="27"/>
  <c r="Q180" i="27"/>
  <c r="R180" i="27"/>
  <c r="S180" i="27"/>
  <c r="T180" i="27"/>
  <c r="U180" i="27"/>
  <c r="V180" i="27"/>
  <c r="W180" i="27"/>
  <c r="I165" i="27"/>
  <c r="J165" i="27"/>
  <c r="K165" i="27"/>
  <c r="L165" i="27"/>
  <c r="M165" i="27"/>
  <c r="N165" i="27"/>
  <c r="O165" i="27"/>
  <c r="P165" i="27"/>
  <c r="Q165" i="27"/>
  <c r="R165" i="27"/>
  <c r="S165" i="27"/>
  <c r="T165" i="27"/>
  <c r="U165" i="27"/>
  <c r="V165" i="27"/>
  <c r="W165" i="27"/>
  <c r="X180" i="27"/>
  <c r="X165" i="27"/>
  <c r="I174" i="27" l="1"/>
  <c r="J174" i="27"/>
  <c r="K174" i="27"/>
  <c r="L174" i="27"/>
  <c r="M174" i="27"/>
  <c r="N174" i="27"/>
  <c r="O174" i="27"/>
  <c r="P174" i="27"/>
  <c r="Q174" i="27"/>
  <c r="R174" i="27"/>
  <c r="S174" i="27"/>
  <c r="T174" i="27"/>
  <c r="U174" i="27"/>
  <c r="V174" i="27"/>
  <c r="W174" i="27"/>
  <c r="I167" i="27"/>
  <c r="J167" i="27"/>
  <c r="K167" i="27"/>
  <c r="L167" i="27"/>
  <c r="M167" i="27"/>
  <c r="N167" i="27"/>
  <c r="O167" i="27"/>
  <c r="P167" i="27"/>
  <c r="Q167" i="27"/>
  <c r="R167" i="27"/>
  <c r="S167" i="27"/>
  <c r="T167" i="27"/>
  <c r="U167" i="27"/>
  <c r="V167" i="27"/>
  <c r="W167" i="27"/>
  <c r="I171" i="27"/>
  <c r="J171" i="27"/>
  <c r="K171" i="27"/>
  <c r="L171" i="27"/>
  <c r="M171" i="27"/>
  <c r="N171" i="27"/>
  <c r="O171" i="27"/>
  <c r="P171" i="27"/>
  <c r="Q171" i="27"/>
  <c r="R171" i="27"/>
  <c r="S171" i="27"/>
  <c r="T171" i="27"/>
  <c r="U171" i="27"/>
  <c r="V171" i="27"/>
  <c r="W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X174" i="27"/>
  <c r="X167" i="27"/>
  <c r="X164" i="27"/>
  <c r="X163" i="27"/>
  <c r="X171" i="27"/>
  <c r="X162" i="27"/>
  <c r="X168" i="27"/>
  <c r="X170" i="27"/>
  <c r="X166" i="27"/>
  <c r="X169" i="27"/>
  <c r="I10" i="27" l="1"/>
  <c r="J10" i="27"/>
  <c r="K10" i="27"/>
  <c r="L10" i="27"/>
  <c r="M10" i="27"/>
  <c r="N10" i="27"/>
  <c r="O10" i="27"/>
  <c r="P10" i="27"/>
  <c r="Q10" i="27"/>
  <c r="R10" i="27"/>
  <c r="S10" i="27"/>
  <c r="T10" i="27"/>
  <c r="U10" i="27"/>
  <c r="V10" i="27"/>
  <c r="W10" i="27"/>
  <c r="X10" i="27"/>
  <c r="I184" i="27" l="1"/>
  <c r="J184" i="27"/>
  <c r="K184" i="27"/>
  <c r="L184" i="27"/>
  <c r="M184" i="27"/>
  <c r="N184" i="27"/>
  <c r="O184" i="27"/>
  <c r="P184" i="27"/>
  <c r="Q184" i="27"/>
  <c r="R184" i="27"/>
  <c r="S184" i="27"/>
  <c r="T184" i="27"/>
  <c r="U184" i="27"/>
  <c r="V184" i="27"/>
  <c r="W184" i="27"/>
  <c r="I186" i="27"/>
  <c r="J186" i="27"/>
  <c r="K186" i="27"/>
  <c r="L186" i="27"/>
  <c r="M186" i="27"/>
  <c r="N186" i="27"/>
  <c r="O186" i="27"/>
  <c r="P186" i="27"/>
  <c r="Q186" i="27"/>
  <c r="R186" i="27"/>
  <c r="S186" i="27"/>
  <c r="T186" i="27"/>
  <c r="U186" i="27"/>
  <c r="V186" i="27"/>
  <c r="W186" i="27"/>
  <c r="I182" i="27"/>
  <c r="J182" i="27"/>
  <c r="K182" i="27"/>
  <c r="L182" i="27"/>
  <c r="M182" i="27"/>
  <c r="N182" i="27"/>
  <c r="O182" i="27"/>
  <c r="P182" i="27"/>
  <c r="Q182" i="27"/>
  <c r="R182" i="27"/>
  <c r="S182" i="27"/>
  <c r="T182" i="27"/>
  <c r="U182" i="27"/>
  <c r="V182" i="27"/>
  <c r="W182" i="27"/>
  <c r="X186" i="27"/>
  <c r="X184" i="27"/>
  <c r="X182" i="27"/>
  <c r="I7" i="27" l="1"/>
  <c r="J7" i="27"/>
  <c r="K7" i="27"/>
  <c r="L7" i="27"/>
  <c r="M7" i="27"/>
  <c r="N7" i="27"/>
  <c r="O7" i="27"/>
  <c r="P7" i="27"/>
  <c r="Q7" i="27"/>
  <c r="R7" i="27"/>
  <c r="S7" i="27"/>
  <c r="T7" i="27"/>
  <c r="U7" i="27"/>
  <c r="V7" i="27"/>
  <c r="W7" i="27"/>
  <c r="X7" i="27"/>
  <c r="I185" i="27" l="1"/>
  <c r="J185" i="27"/>
  <c r="K185" i="27"/>
  <c r="L185" i="27"/>
  <c r="M185" i="27"/>
  <c r="N185" i="27"/>
  <c r="O185" i="27"/>
  <c r="P185" i="27"/>
  <c r="Q185" i="27"/>
  <c r="R185" i="27"/>
  <c r="S185" i="27"/>
  <c r="T185" i="27"/>
  <c r="U185" i="27"/>
  <c r="V185" i="27"/>
  <c r="W185" i="27"/>
  <c r="I183" i="27"/>
  <c r="J183" i="27"/>
  <c r="K183" i="27"/>
  <c r="L183" i="27"/>
  <c r="M183" i="27"/>
  <c r="N183" i="27"/>
  <c r="O183" i="27"/>
  <c r="P183" i="27"/>
  <c r="Q183" i="27"/>
  <c r="R183" i="27"/>
  <c r="S183" i="27"/>
  <c r="T183" i="27"/>
  <c r="U183" i="27"/>
  <c r="V183" i="27"/>
  <c r="W183" i="27"/>
  <c r="I179" i="27"/>
  <c r="J179" i="27"/>
  <c r="K179" i="27"/>
  <c r="L179" i="27"/>
  <c r="M179" i="27"/>
  <c r="N179" i="27"/>
  <c r="O179" i="27"/>
  <c r="P179" i="27"/>
  <c r="Q179" i="27"/>
  <c r="R179" i="27"/>
  <c r="S179" i="27"/>
  <c r="T179" i="27"/>
  <c r="U179" i="27"/>
  <c r="V179" i="27"/>
  <c r="W179" i="27"/>
  <c r="I181" i="27"/>
  <c r="J181" i="27"/>
  <c r="K181" i="27"/>
  <c r="L181" i="27"/>
  <c r="M181" i="27"/>
  <c r="N181" i="27"/>
  <c r="O181" i="27"/>
  <c r="P181" i="27"/>
  <c r="Q181" i="27"/>
  <c r="R181" i="27"/>
  <c r="S181" i="27"/>
  <c r="T181" i="27"/>
  <c r="U181" i="27"/>
  <c r="V181" i="27"/>
  <c r="W181" i="27"/>
  <c r="I178" i="27"/>
  <c r="J178" i="27"/>
  <c r="K178" i="27"/>
  <c r="L178" i="27"/>
  <c r="M178" i="27"/>
  <c r="N178" i="27"/>
  <c r="O178" i="27"/>
  <c r="P178" i="27"/>
  <c r="Q178" i="27"/>
  <c r="R178" i="27"/>
  <c r="S178" i="27"/>
  <c r="T178" i="27"/>
  <c r="U178" i="27"/>
  <c r="V178" i="27"/>
  <c r="W178" i="27"/>
  <c r="I177" i="27"/>
  <c r="J177" i="27"/>
  <c r="K177" i="27"/>
  <c r="L177" i="27"/>
  <c r="M177" i="27"/>
  <c r="N177" i="27"/>
  <c r="O177" i="27"/>
  <c r="P177" i="27"/>
  <c r="Q177" i="27"/>
  <c r="R177" i="27"/>
  <c r="S177" i="27"/>
  <c r="T177" i="27"/>
  <c r="U177" i="27"/>
  <c r="V177" i="27"/>
  <c r="W177" i="27"/>
  <c r="X185" i="27"/>
  <c r="X181" i="27"/>
  <c r="X183" i="27"/>
  <c r="X179" i="27"/>
  <c r="X177" i="27"/>
  <c r="X178" i="27"/>
  <c r="I261" i="27" l="1"/>
  <c r="J261" i="27"/>
  <c r="K261" i="27"/>
  <c r="L261" i="27"/>
  <c r="M261" i="27"/>
  <c r="N261" i="27"/>
  <c r="O261" i="27"/>
  <c r="P261" i="27"/>
  <c r="Q261" i="27"/>
  <c r="R261" i="27"/>
  <c r="S261" i="27"/>
  <c r="T261" i="27"/>
  <c r="U261" i="27"/>
  <c r="V261" i="27"/>
  <c r="W261" i="27"/>
  <c r="X261"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17" i="27"/>
  <c r="J217" i="27"/>
  <c r="K217" i="27"/>
  <c r="L217" i="27"/>
  <c r="M217" i="27"/>
  <c r="N217" i="27"/>
  <c r="O217" i="27"/>
  <c r="P217" i="27"/>
  <c r="Q217" i="27"/>
  <c r="R217" i="27"/>
  <c r="S217" i="27"/>
  <c r="T217" i="27"/>
  <c r="U217" i="27"/>
  <c r="V217" i="27"/>
  <c r="W217"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79" i="27"/>
  <c r="J79" i="27"/>
  <c r="K79" i="27"/>
  <c r="L79" i="27"/>
  <c r="M79" i="27"/>
  <c r="N79" i="27"/>
  <c r="O79" i="27"/>
  <c r="P79" i="27"/>
  <c r="Q79" i="27"/>
  <c r="R79" i="27"/>
  <c r="S79" i="27"/>
  <c r="T79" i="27"/>
  <c r="U79" i="27"/>
  <c r="V79" i="27"/>
  <c r="W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X77" i="27"/>
  <c r="X72" i="27"/>
  <c r="X70" i="27"/>
  <c r="X66" i="27"/>
  <c r="X61" i="27"/>
  <c r="X217" i="27"/>
  <c r="X83" i="27"/>
  <c r="X73" i="27"/>
  <c r="X60" i="27"/>
  <c r="X55" i="27"/>
  <c r="X76" i="27"/>
  <c r="X51" i="27"/>
  <c r="X69" i="27"/>
  <c r="X79" i="27"/>
  <c r="X58" i="27"/>
  <c r="X63" i="27"/>
  <c r="X71" i="27"/>
  <c r="X74" i="27"/>
  <c r="X59" i="27"/>
  <c r="X68" i="27"/>
  <c r="X67" i="27"/>
  <c r="X65" i="27"/>
  <c r="X56" i="27"/>
  <c r="X75" i="27"/>
  <c r="X64" i="27"/>
  <c r="X62" i="27"/>
  <c r="X78"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2" i="27"/>
  <c r="J112" i="27"/>
  <c r="K112" i="27"/>
  <c r="L112" i="27"/>
  <c r="M112" i="27"/>
  <c r="N112" i="27"/>
  <c r="O112" i="27"/>
  <c r="P112" i="27"/>
  <c r="Q112" i="27"/>
  <c r="R112" i="27"/>
  <c r="S112" i="27"/>
  <c r="T112" i="27"/>
  <c r="U112" i="27"/>
  <c r="V112" i="27"/>
  <c r="W112"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20" i="27"/>
  <c r="X112" i="27"/>
  <c r="X31" i="27"/>
  <c r="X33" i="27"/>
  <c r="X34" i="27"/>
  <c r="X45" i="27"/>
  <c r="X32" i="27"/>
  <c r="X46" i="27"/>
  <c r="X52" i="27"/>
  <c r="I114" i="27" l="1"/>
  <c r="J114" i="27"/>
  <c r="K114" i="27"/>
  <c r="L114" i="27"/>
  <c r="M114" i="27"/>
  <c r="N114" i="27"/>
  <c r="O114" i="27"/>
  <c r="P114" i="27"/>
  <c r="Q114" i="27"/>
  <c r="R114" i="27"/>
  <c r="S114" i="27"/>
  <c r="T114" i="27"/>
  <c r="U114" i="27"/>
  <c r="V114" i="27"/>
  <c r="W114" i="27"/>
  <c r="I113" i="27"/>
  <c r="J113" i="27"/>
  <c r="K113" i="27"/>
  <c r="L113" i="27"/>
  <c r="M113" i="27"/>
  <c r="N113" i="27"/>
  <c r="O113" i="27"/>
  <c r="P113" i="27"/>
  <c r="Q113" i="27"/>
  <c r="R113" i="27"/>
  <c r="S113" i="27"/>
  <c r="T113" i="27"/>
  <c r="U113" i="27"/>
  <c r="V113" i="27"/>
  <c r="W113" i="27"/>
  <c r="I213" i="27"/>
  <c r="J213" i="27"/>
  <c r="K213" i="27"/>
  <c r="L213" i="27"/>
  <c r="M213" i="27"/>
  <c r="N213" i="27"/>
  <c r="O213" i="27"/>
  <c r="P213" i="27"/>
  <c r="Q213" i="27"/>
  <c r="R213" i="27"/>
  <c r="S213" i="27"/>
  <c r="T213" i="27"/>
  <c r="U213" i="27"/>
  <c r="V213" i="27"/>
  <c r="W2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X211" i="27"/>
  <c r="X113" i="27"/>
  <c r="X213" i="27"/>
  <c r="X114" i="27"/>
  <c r="X212" i="27"/>
  <c r="I318" i="27" l="1"/>
  <c r="J318" i="27"/>
  <c r="K318" i="27"/>
  <c r="L318" i="27"/>
  <c r="M318" i="27"/>
  <c r="N318" i="27"/>
  <c r="O318" i="27"/>
  <c r="P318" i="27"/>
  <c r="Q318" i="27"/>
  <c r="R318" i="27"/>
  <c r="S318" i="27"/>
  <c r="T318" i="27"/>
  <c r="U318" i="27"/>
  <c r="V318" i="27"/>
  <c r="W318" i="27"/>
  <c r="X318" i="27"/>
  <c r="I30" i="27" l="1"/>
  <c r="J30" i="27"/>
  <c r="K30" i="27"/>
  <c r="L30" i="27"/>
  <c r="M30" i="27"/>
  <c r="N30" i="27"/>
  <c r="O30" i="27"/>
  <c r="P30" i="27"/>
  <c r="Q30" i="27"/>
  <c r="R30" i="27"/>
  <c r="S30" i="27"/>
  <c r="T30" i="27"/>
  <c r="U30" i="27"/>
  <c r="V30" i="27"/>
  <c r="W30" i="27"/>
  <c r="I223" i="27"/>
  <c r="J223" i="27"/>
  <c r="K223" i="27"/>
  <c r="L223" i="27"/>
  <c r="M223" i="27"/>
  <c r="N223" i="27"/>
  <c r="O223" i="27"/>
  <c r="P223" i="27"/>
  <c r="Q223" i="27"/>
  <c r="R223" i="27"/>
  <c r="S223" i="27"/>
  <c r="T223" i="27"/>
  <c r="U223" i="27"/>
  <c r="V223" i="27"/>
  <c r="W223" i="27"/>
  <c r="X30" i="27"/>
  <c r="X223" i="27"/>
  <c r="I195" i="27" l="1"/>
  <c r="J195" i="27"/>
  <c r="K195" i="27"/>
  <c r="L195" i="27"/>
  <c r="M195" i="27"/>
  <c r="N195" i="27"/>
  <c r="O195" i="27"/>
  <c r="P195" i="27"/>
  <c r="Q195" i="27"/>
  <c r="R195" i="27"/>
  <c r="S195" i="27"/>
  <c r="T195" i="27"/>
  <c r="U195" i="27"/>
  <c r="V195" i="27"/>
  <c r="W195" i="27"/>
  <c r="I298" i="27"/>
  <c r="J298" i="27"/>
  <c r="K298" i="27"/>
  <c r="L298" i="27"/>
  <c r="M298" i="27"/>
  <c r="N298" i="27"/>
  <c r="O298" i="27"/>
  <c r="P298" i="27"/>
  <c r="Q298" i="27"/>
  <c r="R298" i="27"/>
  <c r="S298" i="27"/>
  <c r="T298" i="27"/>
  <c r="U298" i="27"/>
  <c r="V298" i="27"/>
  <c r="W298" i="27"/>
  <c r="W302" i="27"/>
  <c r="V302" i="27"/>
  <c r="U302" i="27"/>
  <c r="T302" i="27"/>
  <c r="S302" i="27"/>
  <c r="R302" i="27"/>
  <c r="Q302" i="27"/>
  <c r="P302" i="27"/>
  <c r="O302" i="27"/>
  <c r="N302" i="27"/>
  <c r="M302" i="27"/>
  <c r="L302" i="27"/>
  <c r="K302" i="27"/>
  <c r="J302" i="27"/>
  <c r="I302" i="27"/>
  <c r="W301" i="27"/>
  <c r="V301" i="27"/>
  <c r="U301" i="27"/>
  <c r="T301" i="27"/>
  <c r="S301" i="27"/>
  <c r="R301" i="27"/>
  <c r="Q301" i="27"/>
  <c r="P301" i="27"/>
  <c r="O301" i="27"/>
  <c r="N301" i="27"/>
  <c r="M301" i="27"/>
  <c r="L301" i="27"/>
  <c r="K301" i="27"/>
  <c r="J301" i="27"/>
  <c r="I301" i="27"/>
  <c r="I291" i="27"/>
  <c r="J291" i="27"/>
  <c r="K291" i="27"/>
  <c r="L291" i="27"/>
  <c r="M291" i="27"/>
  <c r="N291" i="27"/>
  <c r="O291" i="27"/>
  <c r="P291" i="27"/>
  <c r="Q291" i="27"/>
  <c r="R291" i="27"/>
  <c r="S291" i="27"/>
  <c r="T291" i="27"/>
  <c r="U291" i="27"/>
  <c r="V291" i="27"/>
  <c r="W291" i="27"/>
  <c r="I284" i="27"/>
  <c r="J284" i="27"/>
  <c r="K284" i="27"/>
  <c r="L284" i="27"/>
  <c r="M284" i="27"/>
  <c r="N284" i="27"/>
  <c r="O284" i="27"/>
  <c r="P284" i="27"/>
  <c r="Q284" i="27"/>
  <c r="R284" i="27"/>
  <c r="S284" i="27"/>
  <c r="T284" i="27"/>
  <c r="U284" i="27"/>
  <c r="V284" i="27"/>
  <c r="W284" i="27"/>
  <c r="I276" i="27"/>
  <c r="J276" i="27"/>
  <c r="K276" i="27"/>
  <c r="L276" i="27"/>
  <c r="M276" i="27"/>
  <c r="N276" i="27"/>
  <c r="O276" i="27"/>
  <c r="P276" i="27"/>
  <c r="Q276" i="27"/>
  <c r="R276" i="27"/>
  <c r="S276" i="27"/>
  <c r="T276" i="27"/>
  <c r="U276" i="27"/>
  <c r="V276" i="27"/>
  <c r="W276" i="27"/>
  <c r="I210" i="27"/>
  <c r="J210" i="27"/>
  <c r="K210" i="27"/>
  <c r="L210" i="27"/>
  <c r="M210" i="27"/>
  <c r="N210" i="27"/>
  <c r="O210" i="27"/>
  <c r="P210" i="27"/>
  <c r="Q210" i="27"/>
  <c r="R210" i="27"/>
  <c r="S210" i="27"/>
  <c r="T210" i="27"/>
  <c r="U210" i="27"/>
  <c r="V210" i="27"/>
  <c r="W210" i="27"/>
  <c r="I115" i="27"/>
  <c r="J115" i="27"/>
  <c r="K115" i="27"/>
  <c r="L115" i="27"/>
  <c r="M115" i="27"/>
  <c r="N115" i="27"/>
  <c r="O115" i="27"/>
  <c r="P115" i="27"/>
  <c r="Q115" i="27"/>
  <c r="R115" i="27"/>
  <c r="S115" i="27"/>
  <c r="T115" i="27"/>
  <c r="U115" i="27"/>
  <c r="V115" i="27"/>
  <c r="W115" i="27"/>
  <c r="I38" i="27"/>
  <c r="J38" i="27"/>
  <c r="K38" i="27"/>
  <c r="L38" i="27"/>
  <c r="M38" i="27"/>
  <c r="N38" i="27"/>
  <c r="O38" i="27"/>
  <c r="P38" i="27"/>
  <c r="Q38" i="27"/>
  <c r="R38" i="27"/>
  <c r="S38" i="27"/>
  <c r="T38" i="27"/>
  <c r="U38" i="27"/>
  <c r="V38" i="27"/>
  <c r="W38"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6" i="27"/>
  <c r="J6" i="27"/>
  <c r="K6" i="27"/>
  <c r="L6" i="27"/>
  <c r="M6" i="27"/>
  <c r="N6" i="27"/>
  <c r="O6" i="27"/>
  <c r="P6" i="27"/>
  <c r="Q6" i="27"/>
  <c r="R6" i="27"/>
  <c r="S6" i="27"/>
  <c r="T6" i="27"/>
  <c r="U6" i="27"/>
  <c r="V6" i="27"/>
  <c r="W6" i="27"/>
  <c r="X302" i="27"/>
  <c r="X115" i="27"/>
  <c r="X38" i="27"/>
  <c r="X301" i="27"/>
  <c r="X6" i="27"/>
  <c r="X298" i="27"/>
  <c r="X210" i="27"/>
  <c r="X98" i="27"/>
  <c r="X99" i="27"/>
  <c r="X195" i="27"/>
  <c r="X291" i="27"/>
  <c r="X284" i="27"/>
  <c r="X276"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V208" i="27"/>
  <c r="I208" i="27"/>
  <c r="J208" i="27"/>
  <c r="K208" i="27"/>
  <c r="L208" i="27"/>
  <c r="M208" i="27"/>
  <c r="N208" i="27"/>
  <c r="O208" i="27"/>
  <c r="P208" i="27"/>
  <c r="Q208" i="27"/>
  <c r="R208" i="27"/>
  <c r="S208" i="27"/>
  <c r="T208" i="27"/>
  <c r="U208" i="27"/>
  <c r="W208" i="27"/>
  <c r="I209" i="27"/>
  <c r="J209" i="27"/>
  <c r="K209" i="27"/>
  <c r="L209" i="27"/>
  <c r="M209" i="27"/>
  <c r="N209" i="27"/>
  <c r="O209" i="27"/>
  <c r="P209" i="27"/>
  <c r="Q209" i="27"/>
  <c r="R209" i="27"/>
  <c r="S209" i="27"/>
  <c r="T209" i="27"/>
  <c r="U209" i="27"/>
  <c r="V209" i="27"/>
  <c r="W209"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36" i="27"/>
  <c r="J236" i="27"/>
  <c r="K236" i="27"/>
  <c r="L236" i="27"/>
  <c r="M236" i="27"/>
  <c r="N236" i="27"/>
  <c r="O236" i="27"/>
  <c r="P236" i="27"/>
  <c r="Q236" i="27"/>
  <c r="R236" i="27"/>
  <c r="S236" i="27"/>
  <c r="T236" i="27"/>
  <c r="U236" i="27"/>
  <c r="V236" i="27"/>
  <c r="W236" i="27"/>
  <c r="V237" i="27"/>
  <c r="I237" i="27"/>
  <c r="J237" i="27"/>
  <c r="K237" i="27"/>
  <c r="L237" i="27"/>
  <c r="M237" i="27"/>
  <c r="N237" i="27"/>
  <c r="O237" i="27"/>
  <c r="P237" i="27"/>
  <c r="Q237" i="27"/>
  <c r="R237" i="27"/>
  <c r="S237" i="27"/>
  <c r="T237" i="27"/>
  <c r="U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V249" i="27"/>
  <c r="I249" i="27"/>
  <c r="J249" i="27"/>
  <c r="K249" i="27"/>
  <c r="L249" i="27"/>
  <c r="M249" i="27"/>
  <c r="N249" i="27"/>
  <c r="O249" i="27"/>
  <c r="P249" i="27"/>
  <c r="Q249" i="27"/>
  <c r="R249" i="27"/>
  <c r="S249" i="27"/>
  <c r="T249" i="27"/>
  <c r="U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V257" i="27"/>
  <c r="I257" i="27"/>
  <c r="J257" i="27"/>
  <c r="K257" i="27"/>
  <c r="L257" i="27"/>
  <c r="M257" i="27"/>
  <c r="N257" i="27"/>
  <c r="O257" i="27"/>
  <c r="P257" i="27"/>
  <c r="Q257" i="27"/>
  <c r="R257" i="27"/>
  <c r="S257" i="27"/>
  <c r="T257" i="27"/>
  <c r="U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2" i="27"/>
  <c r="J262" i="27"/>
  <c r="K262" i="27"/>
  <c r="L262" i="27"/>
  <c r="M262" i="27"/>
  <c r="N262" i="27"/>
  <c r="O262" i="27"/>
  <c r="P262" i="27"/>
  <c r="Q262" i="27"/>
  <c r="R262" i="27"/>
  <c r="S262" i="27"/>
  <c r="T262" i="27"/>
  <c r="U262" i="27"/>
  <c r="V262" i="27"/>
  <c r="W262" i="27"/>
  <c r="V263" i="27"/>
  <c r="I263" i="27"/>
  <c r="J263" i="27"/>
  <c r="K263" i="27"/>
  <c r="L263" i="27"/>
  <c r="M263" i="27"/>
  <c r="N263" i="27"/>
  <c r="O263" i="27"/>
  <c r="P263" i="27"/>
  <c r="Q263" i="27"/>
  <c r="R263" i="27"/>
  <c r="S263" i="27"/>
  <c r="T263" i="27"/>
  <c r="U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96" i="27"/>
  <c r="J296" i="27"/>
  <c r="K296" i="27"/>
  <c r="L296" i="27"/>
  <c r="M296" i="27"/>
  <c r="N296" i="27"/>
  <c r="O296" i="27"/>
  <c r="P296" i="27"/>
  <c r="Q296" i="27"/>
  <c r="R296" i="27"/>
  <c r="S296" i="27"/>
  <c r="T296" i="27"/>
  <c r="U296" i="27"/>
  <c r="V296" i="27"/>
  <c r="W296" i="27"/>
  <c r="V297" i="27"/>
  <c r="I297" i="27"/>
  <c r="J297" i="27"/>
  <c r="K297" i="27"/>
  <c r="L297" i="27"/>
  <c r="M297" i="27"/>
  <c r="N297" i="27"/>
  <c r="O297" i="27"/>
  <c r="P297" i="27"/>
  <c r="Q297" i="27"/>
  <c r="R297" i="27"/>
  <c r="S297" i="27"/>
  <c r="T297" i="27"/>
  <c r="U297" i="27"/>
  <c r="W297"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V274" i="27"/>
  <c r="I274" i="27"/>
  <c r="J274" i="27"/>
  <c r="K274" i="27"/>
  <c r="L274" i="27"/>
  <c r="M274" i="27"/>
  <c r="N274" i="27"/>
  <c r="O274" i="27"/>
  <c r="P274" i="27"/>
  <c r="Q274" i="27"/>
  <c r="R274" i="27"/>
  <c r="S274" i="27"/>
  <c r="T274" i="27"/>
  <c r="U274" i="27"/>
  <c r="W274" i="27"/>
  <c r="I275" i="27"/>
  <c r="J275" i="27"/>
  <c r="K275" i="27"/>
  <c r="L275" i="27"/>
  <c r="M275" i="27"/>
  <c r="N275" i="27"/>
  <c r="O275" i="27"/>
  <c r="P275" i="27"/>
  <c r="Q275" i="27"/>
  <c r="R275" i="27"/>
  <c r="S275" i="27"/>
  <c r="T275" i="27"/>
  <c r="U275" i="27"/>
  <c r="V275" i="27"/>
  <c r="W275"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V281" i="27"/>
  <c r="I281" i="27"/>
  <c r="J281" i="27"/>
  <c r="K281" i="27"/>
  <c r="L281" i="27"/>
  <c r="M281" i="27"/>
  <c r="N281" i="27"/>
  <c r="O281" i="27"/>
  <c r="P281" i="27"/>
  <c r="Q281" i="27"/>
  <c r="R281" i="27"/>
  <c r="S281" i="27"/>
  <c r="T281" i="27"/>
  <c r="U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303" i="27"/>
  <c r="J303" i="27"/>
  <c r="K303" i="27"/>
  <c r="L303" i="27"/>
  <c r="M303" i="27"/>
  <c r="N303" i="27"/>
  <c r="O303" i="27"/>
  <c r="P303" i="27"/>
  <c r="Q303" i="27"/>
  <c r="R303" i="27"/>
  <c r="S303" i="27"/>
  <c r="T303" i="27"/>
  <c r="U303" i="27"/>
  <c r="V303" i="27"/>
  <c r="W303" i="27"/>
  <c r="V304" i="27"/>
  <c r="I304" i="27"/>
  <c r="J304" i="27"/>
  <c r="K304" i="27"/>
  <c r="L304" i="27"/>
  <c r="M304" i="27"/>
  <c r="N304" i="27"/>
  <c r="O304" i="27"/>
  <c r="P304" i="27"/>
  <c r="Q304" i="27"/>
  <c r="R304" i="27"/>
  <c r="S304" i="27"/>
  <c r="T304" i="27"/>
  <c r="U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9" i="27"/>
  <c r="J319" i="27"/>
  <c r="K319" i="27"/>
  <c r="L319" i="27"/>
  <c r="M319" i="27"/>
  <c r="N319" i="27"/>
  <c r="O319" i="27"/>
  <c r="P319" i="27"/>
  <c r="Q319" i="27"/>
  <c r="R319" i="27"/>
  <c r="S319" i="27"/>
  <c r="T319" i="27"/>
  <c r="U319" i="27"/>
  <c r="V319" i="27"/>
  <c r="W319" i="27"/>
  <c r="V320" i="27"/>
  <c r="I320" i="27"/>
  <c r="J320" i="27"/>
  <c r="K320" i="27"/>
  <c r="L320" i="27"/>
  <c r="M320" i="27"/>
  <c r="N320" i="27"/>
  <c r="O320" i="27"/>
  <c r="P320" i="27"/>
  <c r="Q320" i="27"/>
  <c r="R320" i="27"/>
  <c r="S320" i="27"/>
  <c r="T320" i="27"/>
  <c r="U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V325" i="27"/>
  <c r="I325" i="27"/>
  <c r="J325" i="27"/>
  <c r="K325" i="27"/>
  <c r="L325" i="27"/>
  <c r="M325" i="27"/>
  <c r="N325" i="27"/>
  <c r="O325" i="27"/>
  <c r="P325" i="27"/>
  <c r="Q325" i="27"/>
  <c r="R325" i="27"/>
  <c r="S325" i="27"/>
  <c r="T325" i="27"/>
  <c r="U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V335" i="27"/>
  <c r="I335" i="27"/>
  <c r="J335" i="27"/>
  <c r="K335" i="27"/>
  <c r="L335" i="27"/>
  <c r="M335" i="27"/>
  <c r="N335" i="27"/>
  <c r="O335" i="27"/>
  <c r="P335" i="27"/>
  <c r="Q335" i="27"/>
  <c r="R335" i="27"/>
  <c r="S335" i="27"/>
  <c r="T335" i="27"/>
  <c r="U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I347" i="27"/>
  <c r="J347" i="27"/>
  <c r="K347" i="27"/>
  <c r="L347" i="27"/>
  <c r="M347" i="27"/>
  <c r="N347" i="27"/>
  <c r="O347" i="27"/>
  <c r="P347" i="27"/>
  <c r="Q347" i="27"/>
  <c r="R347" i="27"/>
  <c r="S347" i="27"/>
  <c r="T347" i="27"/>
  <c r="U347" i="27"/>
  <c r="V347" i="27"/>
  <c r="W347" i="27"/>
  <c r="Y348"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26" i="27"/>
  <c r="X35" i="27"/>
  <c r="X19" i="27"/>
  <c r="X145" i="27"/>
  <c r="X254" i="27"/>
  <c r="X26" i="27"/>
  <c r="X122" i="27"/>
  <c r="X299" i="27"/>
  <c r="X154" i="27"/>
  <c r="X25" i="27"/>
  <c r="X123" i="27"/>
  <c r="X214" i="27"/>
  <c r="X134" i="27"/>
  <c r="X131" i="27"/>
  <c r="X328" i="27"/>
  <c r="X18" i="27"/>
  <c r="X4" i="27"/>
  <c r="X17" i="27"/>
  <c r="X241" i="27"/>
  <c r="X107" i="27"/>
  <c r="X93" i="27"/>
  <c r="X322" i="27"/>
  <c r="X224" i="27"/>
  <c r="X279" i="27"/>
  <c r="X43" i="27"/>
  <c r="X336" i="27"/>
  <c r="X310" i="27"/>
  <c r="X125" i="27"/>
  <c r="X326" i="27"/>
  <c r="X248" i="27"/>
  <c r="X23" i="27"/>
  <c r="X130" i="27"/>
  <c r="X84" i="27"/>
  <c r="X316" i="27"/>
  <c r="X16" i="27"/>
  <c r="X116" i="27"/>
  <c r="X283" i="27"/>
  <c r="X36" i="27"/>
  <c r="X270" i="27"/>
  <c r="X159" i="27"/>
  <c r="X244" i="27"/>
  <c r="X216" i="27"/>
  <c r="X137" i="27"/>
  <c r="X24" i="27"/>
  <c r="X44" i="27"/>
  <c r="X11" i="27"/>
  <c r="X120" i="27"/>
  <c r="X139" i="27"/>
  <c r="X22" i="27"/>
  <c r="X314" i="27"/>
  <c r="X215" i="27"/>
  <c r="X90" i="27"/>
  <c r="X300" i="27"/>
  <c r="X263" i="27"/>
  <c r="X285" i="27"/>
  <c r="X294" i="27"/>
  <c r="X262" i="27"/>
  <c r="X331" i="27"/>
  <c r="X194" i="27"/>
  <c r="X221" i="27"/>
  <c r="X150" i="27"/>
  <c r="X272" i="27"/>
  <c r="X153" i="27"/>
  <c r="X80" i="27"/>
  <c r="X193" i="27"/>
  <c r="X255" i="27"/>
  <c r="X330" i="27"/>
  <c r="X40" i="27"/>
  <c r="X324" i="27"/>
  <c r="X42" i="27"/>
  <c r="X82" i="27"/>
  <c r="X321" i="27"/>
  <c r="X172" i="27"/>
  <c r="X155" i="27"/>
  <c r="X129" i="27"/>
  <c r="X240" i="27"/>
  <c r="X124" i="27"/>
  <c r="X260" i="27"/>
  <c r="X197" i="27"/>
  <c r="X238" i="27"/>
  <c r="X311" i="27"/>
  <c r="X15" i="27"/>
  <c r="X96" i="27"/>
  <c r="X200" i="27"/>
  <c r="X265" i="27"/>
  <c r="X334" i="27"/>
  <c r="X320" i="27"/>
  <c r="X347" i="27"/>
  <c r="X247" i="27"/>
  <c r="X106" i="27"/>
  <c r="X315" i="27"/>
  <c r="X202" i="27"/>
  <c r="X105" i="27"/>
  <c r="X37" i="27"/>
  <c r="X280" i="27"/>
  <c r="X313" i="27"/>
  <c r="X133" i="27"/>
  <c r="X21" i="27"/>
  <c r="X269" i="27"/>
  <c r="X335" i="27"/>
  <c r="X187" i="27"/>
  <c r="X27" i="27"/>
  <c r="X151" i="27"/>
  <c r="X289" i="27"/>
  <c r="X149" i="27"/>
  <c r="X198" i="27"/>
  <c r="X252" i="27"/>
  <c r="X292" i="27"/>
  <c r="X273" i="27"/>
  <c r="X117" i="27"/>
  <c r="X329" i="27"/>
  <c r="X346" i="27"/>
  <c r="X158" i="27"/>
  <c r="X199" i="27"/>
  <c r="X257" i="27"/>
  <c r="X29" i="27"/>
  <c r="X343" i="27"/>
  <c r="X5" i="27"/>
  <c r="X176" i="27"/>
  <c r="X191" i="27"/>
  <c r="X295" i="27"/>
  <c r="X332" i="27"/>
  <c r="X333" i="27"/>
  <c r="X208" i="27"/>
  <c r="X190" i="27"/>
  <c r="X317" i="27"/>
  <c r="X344" i="27"/>
  <c r="X287" i="27"/>
  <c r="X256" i="27"/>
  <c r="X259" i="27"/>
  <c r="X148" i="27"/>
  <c r="X203" i="27"/>
  <c r="X319" i="27"/>
  <c r="X296" i="27"/>
  <c r="X175" i="27"/>
  <c r="X109" i="27"/>
  <c r="X239" i="27"/>
  <c r="X325" i="27"/>
  <c r="X207" i="27"/>
  <c r="X54" i="27"/>
  <c r="X268" i="27"/>
  <c r="X227" i="27"/>
  <c r="X253" i="27"/>
  <c r="X242" i="27"/>
  <c r="X8" i="27"/>
  <c r="X246" i="27"/>
  <c r="X160" i="27"/>
  <c r="X108" i="27"/>
  <c r="X156" i="27"/>
  <c r="X103" i="27"/>
  <c r="X258" i="27"/>
  <c r="X267" i="27"/>
  <c r="X281" i="27"/>
  <c r="X47" i="27"/>
  <c r="X39" i="27"/>
  <c r="X264" i="27"/>
  <c r="X243" i="27"/>
  <c r="X92" i="27"/>
  <c r="X97" i="27"/>
  <c r="X95" i="27"/>
  <c r="X189" i="27"/>
  <c r="X132" i="27"/>
  <c r="X144" i="27"/>
  <c r="X277" i="27"/>
  <c r="X304" i="27"/>
  <c r="X87" i="27"/>
  <c r="X3" i="27"/>
  <c r="X142" i="27"/>
  <c r="X282" i="27"/>
  <c r="X266" i="27"/>
  <c r="X271" i="27"/>
  <c r="X274" i="27"/>
  <c r="X141" i="27"/>
  <c r="X222" i="27"/>
  <c r="X13" i="27"/>
  <c r="X12" i="27"/>
  <c r="X128" i="27"/>
  <c r="X86" i="27"/>
  <c r="X126" i="27"/>
  <c r="X218" i="27"/>
  <c r="X100" i="27"/>
  <c r="X88" i="27"/>
  <c r="X236" i="27"/>
  <c r="X293" i="27"/>
  <c r="X136" i="27"/>
  <c r="X192" i="27"/>
  <c r="X237" i="27"/>
  <c r="X49" i="27"/>
  <c r="X308" i="27"/>
  <c r="X89" i="27"/>
  <c r="X275" i="27"/>
  <c r="X337" i="27"/>
  <c r="X110" i="27"/>
  <c r="X2" i="27"/>
  <c r="X147" i="27"/>
  <c r="X278" i="27"/>
  <c r="X48" i="27"/>
  <c r="X250" i="27"/>
  <c r="X188" i="27"/>
  <c r="X118" i="27"/>
  <c r="X228" i="27"/>
  <c r="X157" i="27"/>
  <c r="X111" i="27"/>
  <c r="X104" i="27"/>
  <c r="X28" i="27"/>
  <c r="X119" i="27"/>
  <c r="X41" i="27"/>
  <c r="X251" i="27"/>
  <c r="X288" i="27"/>
  <c r="X340" i="27"/>
  <c r="X135" i="27"/>
  <c r="X152" i="27"/>
  <c r="X219" i="27"/>
  <c r="X297" i="27"/>
  <c r="X201" i="27"/>
  <c r="X341" i="27"/>
  <c r="X342" i="27"/>
  <c r="X209" i="27"/>
  <c r="X57" i="27"/>
  <c r="X146" i="27"/>
  <c r="X81" i="27"/>
  <c r="X101" i="27"/>
  <c r="X309" i="27"/>
  <c r="X306" i="27"/>
  <c r="X307" i="27"/>
  <c r="X206" i="27"/>
  <c r="X286" i="27"/>
  <c r="X143" i="27"/>
  <c r="X91" i="27"/>
  <c r="X339" i="27"/>
  <c r="X323" i="27"/>
  <c r="X245" i="27"/>
  <c r="X290" i="27"/>
  <c r="X50" i="27"/>
  <c r="X220" i="27"/>
  <c r="X161" i="27"/>
  <c r="X127" i="27"/>
  <c r="X196" i="27"/>
  <c r="X102" i="27"/>
  <c r="X94" i="27"/>
  <c r="X121" i="27"/>
  <c r="X249" i="27"/>
  <c r="X140" i="27"/>
  <c r="X345" i="27"/>
  <c r="X53" i="27"/>
  <c r="X14" i="27"/>
  <c r="X338" i="27"/>
  <c r="X303" i="27"/>
  <c r="X327" i="27"/>
  <c r="X9" i="27"/>
  <c r="X138" i="27"/>
  <c r="X305" i="27"/>
  <c r="X225" i="27"/>
  <c r="X312" i="27"/>
  <c r="X173" i="27"/>
</calcChain>
</file>

<file path=xl/sharedStrings.xml><?xml version="1.0" encoding="utf-8"?>
<sst xmlns="http://schemas.openxmlformats.org/spreadsheetml/2006/main" count="2116" uniqueCount="598">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</sst>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0" fillId="0" borderId="0"/>
  </cellStyleXfs>
  <cellXfs count="162">
    <xf numFmtId="0" fontId="0" fillId="0" borderId="0" xfId="0"/>
    <xf numFmtId="0" fontId="54" fillId="0" borderId="0" xfId="719" applyFont="1" applyAlignment="1">
      <alignment vertical="top"/>
    </xf>
    <xf numFmtId="0" fontId="54" fillId="0" borderId="0" xfId="719" applyFont="1" applyAlignment="1">
      <alignment vertical="top" wrapText="1"/>
    </xf>
    <xf numFmtId="0" fontId="50" fillId="0" borderId="0" xfId="719"/>
    <xf numFmtId="0" fontId="50" fillId="0" borderId="0" xfId="719" applyNumberFormat="1" applyAlignment="1">
      <alignment vertical="top"/>
    </xf>
    <xf numFmtId="0" fontId="50" fillId="0" borderId="0" xfId="719" applyAlignment="1">
      <alignment vertical="top"/>
    </xf>
    <xf numFmtId="0" fontId="50" fillId="0" borderId="0" xfId="719" applyAlignment="1">
      <alignment vertical="top" wrapText="1"/>
    </xf>
    <xf numFmtId="0" fontId="49" fillId="0" borderId="0" xfId="719" applyFont="1"/>
    <xf numFmtId="0" fontId="0" fillId="0" borderId="0" xfId="0" applyAlignment="1">
      <alignment vertical="top"/>
    </xf>
    <xf numFmtId="0" fontId="54" fillId="0" borderId="0" xfId="0" applyFont="1" applyAlignment="1">
      <alignment vertical="top"/>
    </xf>
    <xf numFmtId="0" fontId="48" fillId="0" borderId="0" xfId="719" applyFont="1"/>
    <xf numFmtId="0" fontId="48" fillId="0" borderId="0" xfId="719" applyFont="1" applyAlignment="1">
      <alignment vertical="top"/>
    </xf>
    <xf numFmtId="0" fontId="50" fillId="0" borderId="0" xfId="719" applyFill="1" applyAlignment="1">
      <alignment vertical="top" wrapText="1"/>
    </xf>
    <xf numFmtId="0" fontId="50" fillId="0" borderId="0" xfId="719" applyNumberFormat="1" applyFill="1"/>
    <xf numFmtId="0" fontId="0" fillId="0" borderId="0" xfId="0" applyNumberFormat="1" applyAlignment="1">
      <alignment vertical="top"/>
    </xf>
    <xf numFmtId="0" fontId="47" fillId="0" borderId="0" xfId="719" applyFont="1"/>
    <xf numFmtId="0" fontId="47" fillId="0" borderId="0" xfId="719" applyFont="1" applyFill="1"/>
    <xf numFmtId="0" fontId="50" fillId="0" borderId="0" xfId="719" applyFill="1"/>
    <xf numFmtId="0" fontId="50" fillId="0" borderId="0" xfId="719" applyNumberFormat="1" applyFill="1" applyAlignment="1">
      <alignment vertical="top"/>
    </xf>
    <xf numFmtId="0" fontId="45" fillId="0" borderId="0" xfId="719" applyFont="1" applyFill="1" applyAlignment="1">
      <alignment vertical="top"/>
    </xf>
    <xf numFmtId="0" fontId="44" fillId="0" borderId="0" xfId="719" applyFont="1"/>
    <xf numFmtId="0" fontId="44" fillId="0" borderId="0" xfId="719" applyFont="1" applyFill="1" applyAlignment="1">
      <alignment vertical="top"/>
    </xf>
    <xf numFmtId="0" fontId="44" fillId="0" borderId="0" xfId="719" applyFont="1" applyFill="1" applyAlignment="1">
      <alignment vertical="top" wrapText="1"/>
    </xf>
    <xf numFmtId="0" fontId="43" fillId="0" borderId="0" xfId="719" applyFont="1" applyFill="1" applyAlignment="1">
      <alignment vertical="top"/>
    </xf>
    <xf numFmtId="0" fontId="43" fillId="0" borderId="0" xfId="719" applyFont="1" applyFill="1" applyAlignment="1">
      <alignment vertical="top" wrapText="1"/>
    </xf>
    <xf numFmtId="0" fontId="43" fillId="0" borderId="0" xfId="719" applyNumberFormat="1" applyFont="1" applyFill="1" applyAlignment="1">
      <alignment vertical="top"/>
    </xf>
    <xf numFmtId="0" fontId="42" fillId="0" borderId="0" xfId="719" applyFont="1" applyFill="1" applyAlignment="1">
      <alignment vertical="top"/>
    </xf>
    <xf numFmtId="0" fontId="42" fillId="0" borderId="0" xfId="719" applyFont="1" applyFill="1" applyAlignment="1">
      <alignment vertical="top" wrapText="1"/>
    </xf>
    <xf numFmtId="0" fontId="41" fillId="0" borderId="0" xfId="719" applyFont="1" applyFill="1" applyAlignment="1">
      <alignment vertical="top"/>
    </xf>
    <xf numFmtId="0" fontId="41" fillId="0" borderId="0" xfId="719" applyFont="1" applyAlignment="1">
      <alignment vertical="top"/>
    </xf>
    <xf numFmtId="0" fontId="41" fillId="0" borderId="0" xfId="719" applyFont="1" applyFill="1"/>
    <xf numFmtId="0" fontId="40" fillId="0" borderId="0" xfId="719" applyFont="1" applyFill="1" applyAlignment="1">
      <alignment vertical="top"/>
    </xf>
    <xf numFmtId="0" fontId="37" fillId="0" borderId="0" xfId="719" applyFont="1" applyAlignment="1">
      <alignment vertical="top"/>
    </xf>
    <xf numFmtId="0" fontId="37" fillId="0" borderId="0" xfId="719" applyFont="1" applyFill="1"/>
    <xf numFmtId="0" fontId="37" fillId="0" borderId="0" xfId="719" applyNumberFormat="1" applyFont="1" applyAlignment="1">
      <alignment vertical="top"/>
    </xf>
    <xf numFmtId="0" fontId="35" fillId="0" borderId="0" xfId="719" applyFont="1" applyAlignment="1">
      <alignment vertical="top"/>
    </xf>
    <xf numFmtId="0" fontId="35" fillId="0" borderId="0" xfId="719" applyNumberFormat="1" applyFont="1" applyAlignment="1">
      <alignment vertical="top"/>
    </xf>
    <xf numFmtId="0" fontId="35" fillId="0" borderId="0" xfId="719" applyFont="1" applyFill="1"/>
    <xf numFmtId="0" fontId="34" fillId="0" borderId="0" xfId="719" applyFont="1" applyFill="1" applyAlignment="1">
      <alignment vertical="top"/>
    </xf>
    <xf numFmtId="0" fontId="34" fillId="0" borderId="0" xfId="719" applyFont="1" applyFill="1" applyAlignment="1">
      <alignment vertical="top" wrapText="1"/>
    </xf>
    <xf numFmtId="0" fontId="33" fillId="0" borderId="0" xfId="719" applyFont="1" applyFill="1" applyAlignment="1">
      <alignment vertical="top"/>
    </xf>
    <xf numFmtId="0" fontId="31" fillId="0" borderId="0" xfId="719" applyNumberFormat="1" applyFont="1" applyAlignment="1">
      <alignment vertical="top"/>
    </xf>
    <xf numFmtId="0" fontId="29" fillId="0" borderId="0" xfId="719" applyFont="1" applyAlignment="1">
      <alignment vertical="top"/>
    </xf>
    <xf numFmtId="0" fontId="29" fillId="0" borderId="0" xfId="719" applyFont="1" applyFill="1"/>
    <xf numFmtId="0" fontId="29" fillId="0" borderId="0" xfId="719" applyNumberFormat="1" applyFont="1" applyAlignment="1">
      <alignment vertical="top"/>
    </xf>
    <xf numFmtId="0" fontId="29" fillId="0" borderId="0" xfId="719" applyFont="1"/>
    <xf numFmtId="49" fontId="54" fillId="0" borderId="0" xfId="719" applyNumberFormat="1" applyFont="1" applyAlignment="1">
      <alignment vertical="top" wrapText="1"/>
    </xf>
    <xf numFmtId="49" fontId="50" fillId="0" borderId="0" xfId="719" applyNumberFormat="1" applyFill="1" applyAlignment="1">
      <alignment vertical="top" wrapText="1"/>
    </xf>
    <xf numFmtId="49" fontId="33" fillId="0" borderId="0" xfId="719" applyNumberFormat="1" applyFont="1" applyFill="1" applyAlignment="1">
      <alignment vertical="top" wrapText="1"/>
    </xf>
    <xf numFmtId="49" fontId="32" fillId="0" borderId="0" xfId="719" applyNumberFormat="1" applyFont="1" applyFill="1" applyAlignment="1">
      <alignment vertical="top" wrapText="1"/>
    </xf>
    <xf numFmtId="49" fontId="30" fillId="0" borderId="0" xfId="719" applyNumberFormat="1" applyFont="1" applyFill="1" applyAlignment="1">
      <alignment vertical="top" wrapText="1"/>
    </xf>
    <xf numFmtId="49" fontId="45" fillId="0" borderId="0" xfId="719" applyNumberFormat="1" applyFont="1" applyFill="1" applyAlignment="1">
      <alignment vertical="top" wrapText="1"/>
    </xf>
    <xf numFmtId="49" fontId="34" fillId="0" borderId="0" xfId="719" applyNumberFormat="1" applyFont="1" applyAlignment="1">
      <alignment vertical="top" wrapText="1"/>
    </xf>
    <xf numFmtId="49" fontId="34" fillId="0" borderId="0" xfId="719" applyNumberFormat="1" applyFont="1" applyFill="1" applyAlignment="1">
      <alignment vertical="top" wrapText="1"/>
    </xf>
    <xf numFmtId="49" fontId="50" fillId="0" borderId="0" xfId="719" applyNumberFormat="1" applyAlignment="1">
      <alignment vertical="top" wrapText="1"/>
    </xf>
    <xf numFmtId="0" fontId="28" fillId="0" borderId="0" xfId="719" applyFont="1"/>
    <xf numFmtId="0" fontId="28" fillId="0" borderId="0" xfId="719" applyFont="1" applyFill="1"/>
    <xf numFmtId="0" fontId="27" fillId="0" borderId="0" xfId="719" applyFont="1" applyAlignment="1">
      <alignment vertical="top"/>
    </xf>
    <xf numFmtId="0" fontId="27" fillId="0" borderId="0" xfId="719" applyFont="1" applyFill="1"/>
    <xf numFmtId="0" fontId="27" fillId="0" borderId="0" xfId="719" applyNumberFormat="1" applyFont="1" applyAlignment="1">
      <alignment vertical="top"/>
    </xf>
    <xf numFmtId="49" fontId="26" fillId="0" borderId="0" xfId="719" applyNumberFormat="1" applyFont="1" applyFill="1" applyAlignment="1">
      <alignment vertical="top" wrapText="1"/>
    </xf>
    <xf numFmtId="0" fontId="26" fillId="0" borderId="0" xfId="719" applyFont="1" applyFill="1" applyAlignment="1">
      <alignment vertical="top"/>
    </xf>
    <xf numFmtId="0" fontId="26" fillId="0" borderId="0" xfId="719" applyFont="1" applyFill="1" applyAlignment="1">
      <alignment vertical="top" wrapText="1"/>
    </xf>
    <xf numFmtId="0" fontId="26" fillId="0" borderId="0" xfId="719" applyNumberFormat="1" applyFont="1" applyAlignment="1">
      <alignment vertical="top"/>
    </xf>
    <xf numFmtId="0" fontId="25" fillId="0" borderId="0" xfId="719" applyFont="1" applyFill="1" applyAlignment="1">
      <alignment vertical="top"/>
    </xf>
    <xf numFmtId="49" fontId="25" fillId="0" borderId="0" xfId="719" applyNumberFormat="1" applyFont="1" applyFill="1" applyAlignment="1">
      <alignment vertical="top" wrapText="1"/>
    </xf>
    <xf numFmtId="0" fontId="23" fillId="0" borderId="0" xfId="719" applyFont="1" applyFill="1" applyAlignment="1">
      <alignment vertical="top"/>
    </xf>
    <xf numFmtId="0" fontId="22" fillId="0" borderId="0" xfId="719" applyFont="1" applyFill="1" applyAlignment="1">
      <alignment vertical="top"/>
    </xf>
    <xf numFmtId="0" fontId="22" fillId="0" borderId="0" xfId="719" applyFont="1" applyFill="1" applyAlignment="1">
      <alignment vertical="top" wrapText="1"/>
    </xf>
    <xf numFmtId="0" fontId="21" fillId="0" borderId="0" xfId="719" applyFont="1" applyFill="1" applyAlignment="1">
      <alignment vertical="top"/>
    </xf>
    <xf numFmtId="49" fontId="21" fillId="0" borderId="0" xfId="719" applyNumberFormat="1" applyFont="1" applyFill="1" applyAlignment="1">
      <alignment vertical="top" wrapText="1"/>
    </xf>
    <xf numFmtId="0" fontId="20" fillId="0" borderId="0" xfId="719" applyFont="1" applyFill="1" applyAlignment="1">
      <alignment vertical="top"/>
    </xf>
    <xf numFmtId="0" fontId="50" fillId="0" borderId="0" xfId="719" applyFill="1" applyAlignment="1">
      <alignment vertical="top"/>
    </xf>
    <xf numFmtId="0" fontId="19" fillId="0" borderId="0" xfId="719" applyFont="1" applyFill="1" applyAlignment="1">
      <alignment vertical="top"/>
    </xf>
    <xf numFmtId="49" fontId="19" fillId="0" borderId="0" xfId="719" applyNumberFormat="1" applyFont="1" applyFill="1" applyAlignment="1">
      <alignment vertical="top" wrapText="1"/>
    </xf>
    <xf numFmtId="0" fontId="53" fillId="0" borderId="0" xfId="0" applyFont="1" applyAlignment="1">
      <alignment vertical="top"/>
    </xf>
    <xf numFmtId="49" fontId="26" fillId="0" borderId="0" xfId="719" applyNumberFormat="1" applyFont="1" applyAlignment="1">
      <alignment vertical="top" wrapText="1"/>
    </xf>
    <xf numFmtId="0" fontId="43" fillId="0" borderId="0" xfId="719" applyFont="1" applyAlignment="1">
      <alignment vertical="top"/>
    </xf>
    <xf numFmtId="0" fontId="33" fillId="0" borderId="0" xfId="719" applyFont="1" applyAlignment="1">
      <alignment vertical="top"/>
    </xf>
    <xf numFmtId="49" fontId="24" fillId="0" borderId="0" xfId="719" applyNumberFormat="1" applyFont="1" applyAlignment="1">
      <alignment vertical="top" wrapText="1"/>
    </xf>
    <xf numFmtId="0" fontId="26" fillId="0" borderId="0" xfId="719" applyFont="1" applyAlignment="1">
      <alignment vertical="top"/>
    </xf>
    <xf numFmtId="0" fontId="45" fillId="0" borderId="0" xfId="719" applyFont="1" applyAlignment="1">
      <alignment vertical="top"/>
    </xf>
    <xf numFmtId="0" fontId="44" fillId="0" borderId="0" xfId="719" applyFont="1" applyAlignment="1">
      <alignment vertical="top"/>
    </xf>
    <xf numFmtId="0" fontId="19" fillId="0" borderId="0" xfId="719" applyNumberFormat="1" applyFont="1" applyFill="1" applyAlignment="1">
      <alignment vertical="top"/>
    </xf>
    <xf numFmtId="0" fontId="19" fillId="0" borderId="0" xfId="719" applyFont="1" applyFill="1" applyAlignment="1">
      <alignment vertical="top" wrapText="1"/>
    </xf>
    <xf numFmtId="0" fontId="18" fillId="0" borderId="0" xfId="719" applyFont="1" applyFill="1" applyAlignment="1">
      <alignment vertical="top"/>
    </xf>
    <xf numFmtId="0" fontId="17" fillId="0" borderId="0" xfId="719" applyNumberFormat="1" applyFont="1" applyAlignment="1">
      <alignment vertical="top"/>
    </xf>
    <xf numFmtId="0" fontId="17" fillId="0" borderId="0" xfId="719" applyFont="1"/>
    <xf numFmtId="0" fontId="19" fillId="0" borderId="0" xfId="719" applyFont="1" applyAlignment="1">
      <alignment vertical="top"/>
    </xf>
    <xf numFmtId="49" fontId="19" fillId="0" borderId="0" xfId="719" applyNumberFormat="1" applyFont="1" applyAlignment="1">
      <alignment vertical="top" wrapText="1"/>
    </xf>
    <xf numFmtId="49" fontId="33" fillId="0" borderId="0" xfId="719" applyNumberFormat="1" applyFont="1" applyAlignment="1">
      <alignment horizontal="fill" vertical="top" wrapText="1"/>
    </xf>
    <xf numFmtId="0" fontId="42" fillId="0" borderId="0" xfId="719" applyFont="1" applyAlignment="1">
      <alignment vertical="top"/>
    </xf>
    <xf numFmtId="0" fontId="25" fillId="0" borderId="0" xfId="719" applyFont="1" applyAlignment="1">
      <alignment vertical="top"/>
    </xf>
    <xf numFmtId="49" fontId="33" fillId="0" borderId="0" xfId="719" applyNumberFormat="1" applyFont="1" applyAlignment="1">
      <alignment vertical="top" wrapText="1"/>
    </xf>
    <xf numFmtId="0" fontId="36" fillId="0" borderId="0" xfId="719" applyFont="1" applyAlignment="1">
      <alignment vertical="top"/>
    </xf>
    <xf numFmtId="0" fontId="32" fillId="0" borderId="0" xfId="719" applyFont="1" applyAlignment="1">
      <alignment vertical="top"/>
    </xf>
    <xf numFmtId="49" fontId="32" fillId="0" borderId="0" xfId="719" applyNumberFormat="1" applyFont="1" applyAlignment="1">
      <alignment vertical="top" wrapText="1"/>
    </xf>
    <xf numFmtId="0" fontId="21" fillId="0" borderId="0" xfId="719" applyFont="1" applyAlignment="1">
      <alignment vertical="top"/>
    </xf>
    <xf numFmtId="49" fontId="25" fillId="0" borderId="0" xfId="719" applyNumberFormat="1" applyFont="1" applyAlignment="1">
      <alignment vertical="top" wrapText="1"/>
    </xf>
    <xf numFmtId="49" fontId="23" fillId="0" borderId="0" xfId="719" applyNumberFormat="1" applyFont="1" applyAlignment="1">
      <alignment vertical="top" wrapText="1"/>
    </xf>
    <xf numFmtId="49" fontId="29" fillId="0" borderId="0" xfId="719" applyNumberFormat="1" applyFont="1" applyAlignment="1">
      <alignment vertical="top" wrapText="1"/>
    </xf>
    <xf numFmtId="49" fontId="31" fillId="0" borderId="0" xfId="719" applyNumberFormat="1" applyFont="1" applyAlignment="1">
      <alignment vertical="top" wrapText="1"/>
    </xf>
    <xf numFmtId="0" fontId="31" fillId="0" borderId="0" xfId="719" applyFont="1" applyAlignment="1">
      <alignment vertical="top"/>
    </xf>
    <xf numFmtId="49" fontId="43" fillId="0" borderId="0" xfId="719" applyNumberFormat="1" applyFont="1" applyAlignment="1">
      <alignment vertical="top" wrapText="1"/>
    </xf>
    <xf numFmtId="49" fontId="39" fillId="0" borderId="0" xfId="719" applyNumberFormat="1" applyFont="1" applyAlignment="1">
      <alignment vertical="top" wrapText="1"/>
    </xf>
    <xf numFmtId="49" fontId="45" fillId="0" borderId="0" xfId="719" applyNumberFormat="1" applyFont="1" applyAlignment="1">
      <alignment vertical="top" wrapText="1"/>
    </xf>
    <xf numFmtId="0" fontId="38" fillId="0" borderId="0" xfId="719" applyFont="1" applyAlignment="1">
      <alignment vertical="top"/>
    </xf>
    <xf numFmtId="49" fontId="38" fillId="0" borderId="0" xfId="719" applyNumberFormat="1" applyFont="1" applyAlignment="1">
      <alignment horizontal="fill" vertical="top" wrapText="1"/>
    </xf>
    <xf numFmtId="0" fontId="34" fillId="0" borderId="0" xfId="719" applyFont="1" applyAlignment="1">
      <alignment vertical="top"/>
    </xf>
    <xf numFmtId="0" fontId="46" fillId="0" borderId="0" xfId="719" applyFont="1" applyAlignment="1">
      <alignment vertical="top"/>
    </xf>
    <xf numFmtId="49" fontId="46" fillId="0" borderId="0" xfId="719" applyNumberFormat="1" applyFont="1" applyAlignment="1">
      <alignment vertical="top" wrapText="1"/>
    </xf>
    <xf numFmtId="0" fontId="16" fillId="0" borderId="0" xfId="719" applyFont="1" applyFill="1" applyAlignment="1">
      <alignment vertical="top"/>
    </xf>
    <xf numFmtId="49" fontId="16" fillId="0" borderId="0" xfId="719" applyNumberFormat="1" applyFont="1" applyFill="1" applyAlignment="1">
      <alignment vertical="top" wrapText="1"/>
    </xf>
    <xf numFmtId="49" fontId="16" fillId="0" borderId="0" xfId="719" applyNumberFormat="1" applyFont="1" applyAlignment="1">
      <alignment vertical="top" wrapText="1"/>
    </xf>
    <xf numFmtId="0" fontId="16" fillId="0" borderId="0" xfId="719" applyNumberFormat="1" applyFont="1" applyFill="1" applyAlignment="1">
      <alignment vertical="top"/>
    </xf>
    <xf numFmtId="0" fontId="16" fillId="0" borderId="0" xfId="719" applyFont="1" applyFill="1" applyAlignment="1">
      <alignment vertical="top" wrapText="1"/>
    </xf>
    <xf numFmtId="0" fontId="16" fillId="0" borderId="0" xfId="719" applyFont="1" applyAlignment="1">
      <alignment vertical="top"/>
    </xf>
    <xf numFmtId="0" fontId="15" fillId="0" borderId="0" xfId="719" applyFont="1"/>
    <xf numFmtId="0" fontId="50" fillId="0" borderId="0" xfId="719" applyAlignment="1"/>
    <xf numFmtId="0" fontId="15" fillId="0" borderId="0" xfId="719" applyNumberFormat="1" applyFont="1" applyAlignment="1">
      <alignment vertical="top"/>
    </xf>
    <xf numFmtId="0" fontId="15" fillId="0" borderId="0" xfId="719" applyFont="1" applyAlignment="1">
      <alignment vertical="top"/>
    </xf>
    <xf numFmtId="0" fontId="15" fillId="0" borderId="0" xfId="719" applyFont="1" applyAlignment="1"/>
    <xf numFmtId="0" fontId="15" fillId="0" borderId="0" xfId="719" applyFont="1" applyFill="1" applyAlignment="1">
      <alignment vertical="top"/>
    </xf>
    <xf numFmtId="49" fontId="15" fillId="0" borderId="0" xfId="719" applyNumberFormat="1" applyFont="1" applyFill="1" applyAlignment="1">
      <alignment vertical="top" wrapText="1"/>
    </xf>
    <xf numFmtId="0" fontId="14" fillId="0" borderId="0" xfId="719" applyFont="1" applyFill="1" applyAlignment="1">
      <alignment vertical="top"/>
    </xf>
    <xf numFmtId="0" fontId="14" fillId="0" borderId="0" xfId="719" applyFont="1" applyFill="1" applyAlignment="1">
      <alignment vertical="top" wrapText="1"/>
    </xf>
    <xf numFmtId="0" fontId="14" fillId="0" borderId="0" xfId="719" applyNumberFormat="1" applyFont="1" applyFill="1" applyAlignment="1">
      <alignment vertical="top"/>
    </xf>
    <xf numFmtId="0" fontId="13" fillId="0" borderId="0" xfId="719" applyFont="1" applyFill="1" applyAlignment="1">
      <alignment vertical="top"/>
    </xf>
    <xf numFmtId="49" fontId="13" fillId="0" borderId="0" xfId="719" applyNumberFormat="1" applyFont="1" applyFill="1" applyAlignment="1">
      <alignment vertical="top" wrapText="1"/>
    </xf>
    <xf numFmtId="49" fontId="12" fillId="0" borderId="0" xfId="719" applyNumberFormat="1" applyFont="1" applyFill="1" applyAlignment="1">
      <alignment vertical="top" wrapText="1"/>
    </xf>
    <xf numFmtId="49" fontId="12" fillId="0" borderId="0" xfId="719" applyNumberFormat="1" applyFont="1" applyAlignment="1">
      <alignment vertical="top" wrapText="1"/>
    </xf>
    <xf numFmtId="0" fontId="11" fillId="0" borderId="0" xfId="719" applyFont="1" applyFill="1" applyAlignment="1">
      <alignment vertical="top"/>
    </xf>
    <xf numFmtId="49" fontId="11" fillId="0" borderId="0" xfId="719" applyNumberFormat="1" applyFont="1" applyFill="1" applyAlignment="1">
      <alignment vertical="top" wrapText="1"/>
    </xf>
    <xf numFmtId="0" fontId="10" fillId="0" borderId="0" xfId="719" applyFont="1" applyFill="1" applyAlignment="1">
      <alignment vertical="top"/>
    </xf>
    <xf numFmtId="0" fontId="10" fillId="0" borderId="0" xfId="719" applyFont="1" applyFill="1" applyAlignment="1">
      <alignment vertical="top" wrapText="1"/>
    </xf>
    <xf numFmtId="49" fontId="10" fillId="0" borderId="0" xfId="719" applyNumberFormat="1" applyFont="1" applyFill="1" applyAlignment="1">
      <alignment vertical="top" wrapText="1"/>
    </xf>
    <xf numFmtId="0" fontId="9" fillId="0" borderId="0" xfId="719" applyFont="1" applyFill="1" applyAlignment="1">
      <alignment vertical="top"/>
    </xf>
    <xf numFmtId="49" fontId="9" fillId="0" borderId="0" xfId="719" applyNumberFormat="1" applyFont="1" applyFill="1" applyAlignment="1">
      <alignment vertical="top" wrapText="1"/>
    </xf>
    <xf numFmtId="49" fontId="9" fillId="0" borderId="0" xfId="719" applyNumberFormat="1" applyFont="1" applyAlignment="1">
      <alignment vertical="top" wrapText="1"/>
    </xf>
    <xf numFmtId="0" fontId="9" fillId="0" borderId="0" xfId="719" applyFont="1" applyAlignment="1">
      <alignment vertical="top"/>
    </xf>
    <xf numFmtId="0" fontId="8" fillId="0" borderId="0" xfId="719" applyFont="1" applyAlignment="1">
      <alignment vertical="top"/>
    </xf>
    <xf numFmtId="49" fontId="8" fillId="0" borderId="0" xfId="719" applyNumberFormat="1" applyFont="1" applyFill="1" applyAlignment="1">
      <alignment vertical="top" wrapText="1"/>
    </xf>
    <xf numFmtId="0" fontId="8" fillId="0" borderId="0" xfId="719" applyFont="1" applyFill="1" applyAlignment="1">
      <alignment vertical="top"/>
    </xf>
    <xf numFmtId="0" fontId="8" fillId="0" borderId="0" xfId="719" applyFont="1" applyFill="1" applyAlignment="1">
      <alignment vertical="top" wrapText="1"/>
    </xf>
    <xf numFmtId="49" fontId="8" fillId="0" borderId="0" xfId="719" applyNumberFormat="1" applyFont="1" applyAlignment="1">
      <alignment vertical="top" wrapText="1"/>
    </xf>
    <xf numFmtId="0" fontId="8" fillId="0" borderId="0" xfId="719" applyFont="1"/>
    <xf numFmtId="0" fontId="8" fillId="0" borderId="0" xfId="719" applyNumberFormat="1" applyFont="1" applyAlignment="1">
      <alignment vertical="top"/>
    </xf>
    <xf numFmtId="0" fontId="7" fillId="0" borderId="0" xfId="719" applyFont="1" applyFill="1"/>
    <xf numFmtId="0" fontId="6" fillId="0" borderId="0" xfId="719" applyFont="1" applyFill="1" applyAlignment="1">
      <alignment vertical="top"/>
    </xf>
    <xf numFmtId="49" fontId="6" fillId="0" borderId="0" xfId="719" applyNumberFormat="1" applyFont="1" applyFill="1" applyAlignment="1">
      <alignment vertical="top" wrapText="1"/>
    </xf>
    <xf numFmtId="0" fontId="6" fillId="0" borderId="0" xfId="719" applyFont="1" applyAlignment="1"/>
    <xf numFmtId="0" fontId="6" fillId="0" borderId="0" xfId="719" applyNumberFormat="1" applyFont="1" applyFill="1" applyAlignment="1">
      <alignment vertical="top"/>
    </xf>
    <xf numFmtId="0" fontId="5" fillId="0" borderId="0" xfId="719" applyFont="1"/>
    <xf numFmtId="0" fontId="4" fillId="0" borderId="0" xfId="719" applyFont="1" applyFill="1" applyAlignment="1">
      <alignment vertical="top"/>
    </xf>
    <xf numFmtId="0" fontId="3" fillId="0" borderId="0" xfId="719" applyFont="1" applyFill="1" applyAlignment="1">
      <alignment vertical="top"/>
    </xf>
    <xf numFmtId="0" fontId="2" fillId="0" borderId="0" xfId="719" applyFont="1"/>
    <xf numFmtId="0" fontId="2" fillId="0" borderId="0" xfId="719" applyFont="1" applyFill="1" applyAlignment="1">
      <alignment vertical="top"/>
    </xf>
    <xf numFmtId="0" fontId="1" fillId="0" borderId="0" xfId="719" applyNumberFormat="1" applyFont="1" applyFill="1" applyAlignment="1">
      <alignment vertical="top"/>
    </xf>
    <xf numFmtId="0" fontId="1" fillId="0" borderId="0" xfId="719" applyNumberFormat="1" applyFont="1" applyAlignment="1">
      <alignment vertical="top"/>
    </xf>
    <xf numFmtId="49" fontId="1" fillId="0" borderId="0" xfId="719" applyNumberFormat="1" applyFont="1" applyFill="1" applyAlignment="1">
      <alignment vertical="top" wrapText="1"/>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8" totalsRowCount="1" headerRowDxfId="75" dataDxfId="74" totalsRowDxfId="73">
  <autoFilter ref="A1:Y347"/>
  <tableColumns count="25">
    <tableColumn id="1" name="!Table" totalsRowLabel="Total" dataDxfId="72" totalsRowDxfId="24" dataCellStyle="Normal 2"/>
    <tableColumn id="2" name="!Type" dataDxfId="71" totalsRowDxfId="23" dataCellStyle="Normal 2"/>
    <tableColumn id="6" name="!Length" dataDxfId="70" totalsRowDxfId="22" dataCellStyle="Normal 2"/>
    <tableColumn id="3" name="!Name" dataDxfId="69" totalsRowDxfId="21" dataCellStyle="Normal 2"/>
    <tableColumn id="4" name="!Description" dataDxfId="68" totalsRowDxfId="20" dataCellStyle="Normal 2"/>
    <tableColumn id="7" name="!FK" dataDxfId="67" totalsRowDxfId="19" dataCellStyle="Normal 2"/>
    <tableColumn id="10" name="!Required" dataDxfId="66" totalsRowDxfId="18" dataCellStyle="Normal 2"/>
    <tableColumn id="26" name="!Unique" dataDxfId="65" totalsRowDxfId="17" dataCellStyle="Normal 2"/>
    <tableColumn id="9" name="File" dataDxfId="64" totalsRowDxfId="16">
      <calculatedColumnFormula>IF(LEN(A2) &gt; 0,"Defs","-")</calculatedColumnFormula>
    </tableColumn>
    <tableColumn id="5" name="boolean" dataDxfId="63" totalsRowDxfId="15">
      <calculatedColumnFormula>IF(Table2[[#This Row],[!Type]]=J$1, J$1,"rg:None")</calculatedColumnFormula>
    </tableColumn>
    <tableColumn id="23" name="binary" dataDxfId="62" totalsRowDxfId="14">
      <calculatedColumnFormula>IF(Table2[[#This Row],[!Type]]=K$1, K$1,"rg:None")</calculatedColumnFormula>
    </tableColumn>
    <tableColumn id="8" name="datetime" dataDxfId="61" totalsRowDxfId="13">
      <calculatedColumnFormula>IF(Table2[[#This Row],[!Type]]=L$1, L$1,"rg:None")</calculatedColumnFormula>
    </tableColumn>
    <tableColumn id="11" name="id" dataDxfId="60" totalsRowDxfId="12">
      <calculatedColumnFormula>IF(Table2[[#This Row],[!Type]]=M$1, M$1,"rg:None")</calculatedColumnFormula>
    </tableColumn>
    <tableColumn id="12" name="integer" dataDxfId="59" totalsRowDxfId="11">
      <calculatedColumnFormula>IF(Table2[[#This Row],[!Type]]=N$1, N$1,"rg:None")</calculatedColumnFormula>
    </tableColumn>
    <tableColumn id="21" name="float" dataDxfId="58" totalsRowDxfId="10">
      <calculatedColumnFormula>IF(Table2[[#This Row],[!Type]]=O$1, O$1,"rg:None")</calculatedColumnFormula>
    </tableColumn>
    <tableColumn id="13" name="links" dataDxfId="57" totalsRowDxfId="9">
      <calculatedColumnFormula>IF(Table2[[#This Row],[!Type]]=P$1, P$1,"rg:None")</calculatedColumnFormula>
    </tableColumn>
    <tableColumn id="14" name="ref" dataDxfId="56" totalsRowDxfId="8">
      <calculatedColumnFormula>IF(Table2[[#This Row],[!Type]]=Q$1, Q$1,"rg:None")</calculatedColumnFormula>
    </tableColumn>
    <tableColumn id="15" name="string" dataDxfId="55" totalsRowDxfId="7">
      <calculatedColumnFormula>IF(Table2[[#This Row],[!Type]]=R$1, R$1,"rg:None")</calculatedColumnFormula>
    </tableColumn>
    <tableColumn id="16" name="table" dataDxfId="54" totalsRowDxfId="6">
      <calculatedColumnFormula>IF(Table2[[#This Row],[!Type]]=S$1, S$1,"rg:None")</calculatedColumnFormula>
    </tableColumn>
    <tableColumn id="17" name="Length" dataDxfId="53" totalsRowDxfId="5">
      <calculatedColumnFormula>IF(LEN(Table2[[#This Row],[!Length]]) &gt; 0, Table2[[#This Row],[!Length]], "rg:None")</calculatedColumnFormula>
    </tableColumn>
    <tableColumn id="18" name="Name" dataDxfId="52" totalsRowDxfId="4">
      <calculatedColumnFormula>IF(LEN(Table2[[#This Row],[!Name]]) &gt; 0, Table2[[#This Row],[!Name]], "rg:None")</calculatedColumnFormula>
    </tableColumn>
    <tableColumn id="19" name="Description" dataDxfId="51" totalsRowDxfId="3">
      <calculatedColumnFormula>IF(LEN(Table2[[#This Row],[!Description]]) &gt; 0, Table2[[#This Row],[!Description]], "rg:None")</calculatedColumnFormula>
    </tableColumn>
    <tableColumn id="20" name="RefDef" dataDxfId="50" totalsRowDxfId="2">
      <calculatedColumnFormula>IF(LEN(Table2[[#This Row],[!FK]])&gt;0,Table2[[#This Row],[!FK]],"rg:None")</calculatedColumnFormula>
    </tableColumn>
    <tableColumn id="22" name="Required" dataDxfId="49" totalsRowDxfId="1">
      <calculatedColumnFormula>IF(LEN(concatif2(A:A,Table2[[#This Row],[!Table]],G:G,"Y",D:D,",")) &gt; 0,"rg:[ { 'req' : '"&amp;concatif2(A:A,Table2[[#This Row],[!Table]],G:G,"Y",D:D,"' }, { 'req': '")&amp;"'} ]","rg:[]")</calculatedColumnFormula>
    </tableColumn>
    <tableColumn id="27" name="Unique" totalsRowFunction="count" dataDxfId="25"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48" dataDxfId="47">
  <autoFilter ref="A1:V72"/>
  <tableColumns count="22">
    <tableColumn id="1" name="!type" dataDxfId="46"/>
    <tableColumn id="2" name="!path" dataDxfId="45"/>
    <tableColumn id="6" name="!tag" dataCellStyle="Normal 2"/>
    <tableColumn id="3" name="!paramDef" dataDxfId="44">
      <calculatedColumnFormula>LOWER(Table23[[#This Row],[!path]])&amp;"s"</calculatedColumnFormula>
    </tableColumn>
    <tableColumn id="21" name="!permission" dataDxfId="43" dataCellStyle="Normal 2"/>
    <tableColumn id="4" name="!respDef" dataDxfId="42" dataCellStyle="Normal 2"/>
    <tableColumn id="5" name="!Description" dataDxfId="41" dataCellStyle="Normal 2"/>
    <tableColumn id="7" name="File" dataDxfId="40">
      <calculatedColumnFormula>IF(LEN(A2) &gt;0,"Path","-")</calculatedColumnFormula>
    </tableColumn>
    <tableColumn id="8" name="crud" dataDxfId="39">
      <calculatedColumnFormula>IF(LEN(Table23[[#This Row],[!type]])&gt;0,IF(Table23[[#This Row],[!type]]=I$1,"1","rg:None"),"-")</calculatedColumnFormula>
    </tableColumn>
    <tableColumn id="9" name="post" dataDxfId="38">
      <calculatedColumnFormula>IF(LEN(Table23[[#This Row],[!type]])&gt;0,IF(Table23[[#This Row],[!type]]=J$1,"1","rg:None"),"-")</calculatedColumnFormula>
    </tableColumn>
    <tableColumn id="10" name="bulk" dataDxfId="37">
      <calculatedColumnFormula>IF(LEN(Table23[[#This Row],[!type]])&gt;0,IF(Table23[[#This Row],[!type]]=K$1,"1","rg:None"),"-")</calculatedColumnFormula>
    </tableColumn>
    <tableColumn id="11" name="getById" dataDxfId="36">
      <calculatedColumnFormula>IF(LEN(Table23[[#This Row],[!type]])&gt;0,IF(Table23[[#This Row],[!type]]=L$1,"1","rg:None"),"-")</calculatedColumnFormula>
    </tableColumn>
    <tableColumn id="12" name="putById" dataDxfId="35">
      <calculatedColumnFormula>IF(LEN(Table23[[#This Row],[!type]])&gt;0,IF(Table23[[#This Row],[!type]]=M$1,"1","rg:None"),"-")</calculatedColumnFormula>
    </tableColumn>
    <tableColumn id="13" name="deleteById" dataDxfId="34">
      <calculatedColumnFormula>IF(LEN(Table23[[#This Row],[!type]])&gt;0,IF(Table23[[#This Row],[!type]]=N$1,"1","rg:None"),"-")</calculatedColumnFormula>
    </tableColumn>
    <tableColumn id="14" name="fullpath" dataDxfId="33">
      <calculatedColumnFormula>IF(LEN(Table23[[#This Row],[!type]])&gt;0,IF(Table23[[#This Row],[!type]]=O$1,"1","rg:None"),"-")</calculatedColumnFormula>
    </tableColumn>
    <tableColumn id="15" name="idpath" dataDxfId="32">
      <calculatedColumnFormula>IF(LEN(Table23[[#This Row],[!type]])&gt;0,IF(Table23[[#This Row],[!type]]=P$1,"1","rg:None"),"-")</calculatedColumnFormula>
    </tableColumn>
    <tableColumn id="16" name="path" dataDxfId="31">
      <calculatedColumnFormula>IF(LEN(Table23[[#This Row],[!path]]) &gt;0,Table23[[#This Row],[!path]],"rg:None")</calculatedColumnFormula>
    </tableColumn>
    <tableColumn id="17" name="tag" dataDxfId="30">
      <calculatedColumnFormula>IF(LEN(Table23[[#This Row],[!tag]]) &gt;0,Table23[[#This Row],[!tag]],"rg:None")</calculatedColumnFormula>
    </tableColumn>
    <tableColumn id="18" name="paramDef" dataDxfId="29">
      <calculatedColumnFormula>IF(LEN(Table23[[#This Row],[!paramDef]]) &gt;0,Table23[[#This Row],[!paramDef]],"rg:None")</calculatedColumnFormula>
    </tableColumn>
    <tableColumn id="19" name="respDef" dataDxfId="28">
      <calculatedColumnFormula>IF(LEN(Table23[[#This Row],[!respDef]]) &gt;0,Table23[[#This Row],[!respDef]],"rg:None")</calculatedColumnFormula>
    </tableColumn>
    <tableColumn id="20" name="Description" dataDxfId="27">
      <calculatedColumnFormula>IF(LEN(Table23[[#This Row],[!Description]]) &gt;0,Table23[[#This Row],[!Description]],"rg:None")</calculatedColumnFormula>
    </tableColumn>
    <tableColumn id="22" name="x-codegen-permission" dataDxfId="26">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8"/>
  <sheetViews>
    <sheetView tabSelected="1" zoomScale="90" zoomScaleNormal="90" workbookViewId="0">
      <pane ySplit="1" topLeftCell="A2" activePane="bottomLeft" state="frozen"/>
      <selection pane="bottomLeft" activeCell="A2" sqref="A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350</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351</v>
      </c>
    </row>
    <row r="2" spans="1:25" ht="28.8" x14ac:dyDescent="0.3">
      <c r="A2" s="5" t="s">
        <v>136</v>
      </c>
      <c r="B2" s="5" t="s">
        <v>4</v>
      </c>
      <c r="D2" s="5" t="s">
        <v>136</v>
      </c>
      <c r="E2" s="76" t="s">
        <v>377</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220</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576</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218</v>
      </c>
      <c r="E5" s="79" t="s">
        <v>425</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378</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231</v>
      </c>
      <c r="E7" s="128" t="s">
        <v>536</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391</v>
      </c>
      <c r="E8" s="76" t="s">
        <v>392</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432</v>
      </c>
      <c r="E9" s="135" t="s">
        <v>554</v>
      </c>
      <c r="F9" s="66" t="s">
        <v>428</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552</v>
      </c>
      <c r="E10" s="135" t="s">
        <v>553</v>
      </c>
      <c r="F10" s="134" t="s">
        <v>199</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192</v>
      </c>
      <c r="E11" s="48" t="s">
        <v>217</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2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428</v>
      </c>
      <c r="B16" s="5" t="s">
        <v>4</v>
      </c>
      <c r="D16" s="66" t="s">
        <v>428</v>
      </c>
      <c r="E16" s="60" t="s">
        <v>362</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428</v>
      </c>
      <c r="B17" s="23" t="s">
        <v>6</v>
      </c>
      <c r="C17" s="72"/>
      <c r="D17" s="23" t="s">
        <v>6</v>
      </c>
      <c r="E17" s="54" t="s">
        <v>219</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428</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428</v>
      </c>
      <c r="B19" s="26" t="s">
        <v>8</v>
      </c>
      <c r="C19" s="72"/>
      <c r="D19" s="26" t="s">
        <v>173</v>
      </c>
      <c r="E19" s="129" t="s">
        <v>537</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428</v>
      </c>
      <c r="B20" s="73" t="s">
        <v>7</v>
      </c>
      <c r="C20" s="72">
        <v>50</v>
      </c>
      <c r="D20" s="73" t="s">
        <v>231</v>
      </c>
      <c r="E20" s="74" t="s">
        <v>444</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428</v>
      </c>
      <c r="B21" s="26" t="s">
        <v>8</v>
      </c>
      <c r="C21" s="72"/>
      <c r="D21" s="140" t="s">
        <v>575</v>
      </c>
      <c r="E21" s="130" t="s">
        <v>538</v>
      </c>
      <c r="F21" s="140" t="s">
        <v>569</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428</v>
      </c>
      <c r="B22" s="26" t="s">
        <v>13</v>
      </c>
      <c r="C22" s="72"/>
      <c r="D22" s="26" t="s">
        <v>194</v>
      </c>
      <c r="E22" s="60" t="s">
        <v>382</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428</v>
      </c>
      <c r="B23" s="26" t="s">
        <v>13</v>
      </c>
      <c r="C23" s="72"/>
      <c r="D23" s="26" t="s">
        <v>195</v>
      </c>
      <c r="E23" s="49" t="s">
        <v>260</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428</v>
      </c>
      <c r="B24" s="26" t="s">
        <v>12</v>
      </c>
      <c r="C24" s="72"/>
      <c r="D24" s="26" t="s">
        <v>196</v>
      </c>
      <c r="E24" s="49" t="s">
        <v>259</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428</v>
      </c>
      <c r="B25" s="26" t="s">
        <v>12</v>
      </c>
      <c r="C25" s="72"/>
      <c r="D25" s="26" t="s">
        <v>197</v>
      </c>
      <c r="E25" s="49" t="s">
        <v>258</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428</v>
      </c>
      <c r="B26" s="61" t="s">
        <v>8</v>
      </c>
      <c r="C26" s="72"/>
      <c r="D26" s="61" t="s">
        <v>383</v>
      </c>
      <c r="E26" s="60" t="s">
        <v>384</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428</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66" t="s">
        <v>428</v>
      </c>
      <c r="B28" s="21" t="s">
        <v>19</v>
      </c>
      <c r="C28" s="72"/>
      <c r="D28" s="21" t="s">
        <v>175</v>
      </c>
      <c r="E28" s="47"/>
      <c r="F28" s="88" t="s">
        <v>446</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428</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66" t="s">
        <v>428</v>
      </c>
      <c r="B30" s="64" t="s">
        <v>19</v>
      </c>
      <c r="C30" s="72"/>
      <c r="D30" s="66" t="s">
        <v>430</v>
      </c>
      <c r="E30" s="47"/>
      <c r="F30" s="66" t="s">
        <v>429</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73" t="s">
        <v>446</v>
      </c>
      <c r="B31" s="73" t="s">
        <v>4</v>
      </c>
      <c r="C31" s="72"/>
      <c r="D31" s="73" t="s">
        <v>446</v>
      </c>
      <c r="E31" s="74" t="s">
        <v>447</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'rentalRequest' }, { 'req': 'attachment'} ]</v>
      </c>
      <c r="Y31" s="4" t="str">
        <f>IF(LEN(Table2[[#This Row],[!Unique]])&gt;0,IF(Table2[[#This Row],[!Type]] = "id", "rg:None","rg:True"),"rg:None")</f>
        <v>rg:None</v>
      </c>
    </row>
    <row r="32" spans="1:25" x14ac:dyDescent="0.3">
      <c r="A32" s="73" t="s">
        <v>446</v>
      </c>
      <c r="B32" s="73" t="s">
        <v>6</v>
      </c>
      <c r="C32" s="72"/>
      <c r="D32" s="73" t="s">
        <v>6</v>
      </c>
      <c r="E32" s="89" t="s">
        <v>448</v>
      </c>
      <c r="F32" s="12"/>
      <c r="G32" s="83" t="s">
        <v>62</v>
      </c>
      <c r="H32" s="157" t="s">
        <v>62</v>
      </c>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446</v>
      </c>
      <c r="B33" s="73" t="s">
        <v>8</v>
      </c>
      <c r="C33" s="72"/>
      <c r="D33" s="73" t="s">
        <v>431</v>
      </c>
      <c r="E33" s="129" t="s">
        <v>539</v>
      </c>
      <c r="F33" s="84" t="s">
        <v>428</v>
      </c>
      <c r="G33" s="157" t="s">
        <v>62</v>
      </c>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446</v>
      </c>
      <c r="B34" s="73" t="s">
        <v>7</v>
      </c>
      <c r="C34" s="72">
        <v>150</v>
      </c>
      <c r="D34" s="73" t="s">
        <v>214</v>
      </c>
      <c r="E34" s="74" t="s">
        <v>449</v>
      </c>
      <c r="F34" s="12"/>
      <c r="G34" s="83"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ht="43.2" x14ac:dyDescent="0.3">
      <c r="A35" s="66" t="s">
        <v>429</v>
      </c>
      <c r="B35" s="26" t="s">
        <v>4</v>
      </c>
      <c r="C35" s="72"/>
      <c r="D35" s="66" t="s">
        <v>429</v>
      </c>
      <c r="E35" s="60" t="s">
        <v>385</v>
      </c>
      <c r="F35" s="27"/>
      <c r="G35" s="18"/>
      <c r="H35" s="18"/>
      <c r="I35" s="4" t="str">
        <f t="shared" ref="I35:I42"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 { 'req': 'rentalRequest' }, { 'req': 'rotationListSortOrder' }, { 'req': 'equipment'} ]</v>
      </c>
      <c r="Y35" s="4" t="str">
        <f>IF(LEN(Table2[[#This Row],[!Unique]])&gt;0,IF(Table2[[#This Row],[!Type]] = "id", "rg:None","rg:True"),"rg:None")</f>
        <v>rg:None</v>
      </c>
    </row>
    <row r="36" spans="1:25" x14ac:dyDescent="0.3">
      <c r="A36" s="66" t="s">
        <v>429</v>
      </c>
      <c r="B36" s="23" t="s">
        <v>6</v>
      </c>
      <c r="C36" s="72"/>
      <c r="D36" s="23" t="s">
        <v>6</v>
      </c>
      <c r="E36" s="76" t="s">
        <v>386</v>
      </c>
      <c r="F36" s="12"/>
      <c r="G36" s="25" t="s">
        <v>62</v>
      </c>
      <c r="H36" s="157" t="s">
        <v>62</v>
      </c>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 { 'req': 'rentalRequest' }, { 'req': 'rotationListSortOrder' }, { 'req': 'equipment'} ]</v>
      </c>
      <c r="Y36" s="4" t="str">
        <f>IF(LEN(Table2[[#This Row],[!Unique]])&gt;0,IF(Table2[[#This Row],[!Type]] = "id", "rg:None","rg:True"),"rg:None")</f>
        <v>rg:None</v>
      </c>
    </row>
    <row r="37" spans="1:25" x14ac:dyDescent="0.3">
      <c r="A37" s="66" t="s">
        <v>429</v>
      </c>
      <c r="B37" s="26" t="s">
        <v>8</v>
      </c>
      <c r="C37" s="72"/>
      <c r="D37" s="66" t="s">
        <v>431</v>
      </c>
      <c r="E37" s="47"/>
      <c r="F37" s="66" t="s">
        <v>428</v>
      </c>
      <c r="G37" s="157" t="s">
        <v>62</v>
      </c>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rentalRequest</v>
      </c>
      <c r="V37" s="4" t="str">
        <f>IF(LEN(Table2[[#This Row],[!Description]]) &gt; 0, Table2[[#This Row],[!Description]], "rg:None")</f>
        <v>rg:None</v>
      </c>
      <c r="W37" s="4" t="str">
        <f>IF(LEN(Table2[[#This Row],[!FK]])&gt;0,Table2[[#This Row],[!FK]],"rg:None")</f>
        <v>RentalRequest</v>
      </c>
      <c r="X37" s="14" t="str">
        <f>IF(LEN(concatif2(A:A,Table2[[#This Row],[!Table]],G:G,"Y",D:D,",")) &gt; 0,"rg:[ { 'req' : '"&amp;concatif2(A:A,Table2[[#This Row],[!Table]],G:G,"Y",D:D,"' }, { 'req': '")&amp;"'} ]","rg:[]")</f>
        <v>rg:[ { 'req' : 'id' }, { 'req': 'rentalRequest' }, { 'req': 'rotationListSortOrder' }, { 'req': 'equipment'} ]</v>
      </c>
      <c r="Y37" s="4" t="str">
        <f>IF(LEN(Table2[[#This Row],[!Unique]])&gt;0,IF(Table2[[#This Row],[!Type]] = "id", "rg:None","rg:True"),"rg:None")</f>
        <v>rg:None</v>
      </c>
    </row>
    <row r="38" spans="1:25" ht="28.8" x14ac:dyDescent="0.3">
      <c r="A38" s="66" t="s">
        <v>429</v>
      </c>
      <c r="B38" s="61" t="s">
        <v>13</v>
      </c>
      <c r="C38" s="72"/>
      <c r="D38" s="64" t="s">
        <v>421</v>
      </c>
      <c r="E38" s="159" t="s">
        <v>597</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'rentalRequest' }, { 'req': 'rotationListSortOrder' }, { 'req': 'equipment'} ]</v>
      </c>
      <c r="Y38" s="4" t="str">
        <f>IF(LEN(Table2[[#This Row],[!Unique]])&gt;0,IF(Table2[[#This Row],[!Type]] = "id", "rg:None","rg:True"),"rg:None")</f>
        <v>rg:None</v>
      </c>
    </row>
    <row r="39" spans="1:25" x14ac:dyDescent="0.3">
      <c r="A39" s="66" t="s">
        <v>429</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'rentalRequest' }, { 'req': 'rotationListSortOrder' }, { 'req': 'equipment'} ]</v>
      </c>
      <c r="Y39" s="4" t="str">
        <f>IF(LEN(Table2[[#This Row],[!Unique]])&gt;0,IF(Table2[[#This Row],[!Type]] = "id", "rg:None","rg:True"),"rg:None")</f>
        <v>rg:None</v>
      </c>
    </row>
    <row r="40" spans="1:25" x14ac:dyDescent="0.3">
      <c r="A40" s="66" t="s">
        <v>429</v>
      </c>
      <c r="B40" s="26" t="s">
        <v>8</v>
      </c>
      <c r="C40" s="72"/>
      <c r="D40" s="26" t="s">
        <v>200</v>
      </c>
      <c r="E40" s="60" t="s">
        <v>387</v>
      </c>
      <c r="F40" s="26" t="s">
        <v>199</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'rentalRequest' }, { 'req': 'rotationListSortOrder' }, { 'req': 'equipment'} ]</v>
      </c>
      <c r="Y40" s="4" t="str">
        <f>IF(LEN(Table2[[#This Row],[!Unique]])&gt;0,IF(Table2[[#This Row],[!Type]] = "id", "rg:None","rg:True"),"rg:None")</f>
        <v>rg:None</v>
      </c>
    </row>
    <row r="41" spans="1:25" ht="57.6" x14ac:dyDescent="0.3">
      <c r="A41" s="66" t="s">
        <v>429</v>
      </c>
      <c r="B41" s="26" t="s">
        <v>9</v>
      </c>
      <c r="C41" s="72"/>
      <c r="D41" s="26" t="s">
        <v>198</v>
      </c>
      <c r="E41" s="60" t="s">
        <v>388</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'rentalRequest' }, { 'req': 'rotationListSortOrder' }, { 'req': 'equipment'} ]</v>
      </c>
      <c r="Y41" s="4" t="str">
        <f>IF(LEN(Table2[[#This Row],[!Unique]])&gt;0,IF(Table2[[#This Row],[!Type]] = "id", "rg:None","rg:True"),"rg:None")</f>
        <v>rg:None</v>
      </c>
    </row>
    <row r="42" spans="1:25" ht="28.8" x14ac:dyDescent="0.3">
      <c r="A42" s="66" t="s">
        <v>429</v>
      </c>
      <c r="B42" s="28" t="s">
        <v>9</v>
      </c>
      <c r="C42" s="72"/>
      <c r="D42" s="40" t="s">
        <v>221</v>
      </c>
      <c r="E42" s="48" t="s">
        <v>223</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'rentalRequest' }, { 'req': 'rotationListSortOrder' }, { 'req': 'equipment'} ]</v>
      </c>
      <c r="Y42" s="4" t="str">
        <f>IF(LEN(Table2[[#This Row],[!Unique]])&gt;0,IF(Table2[[#This Row],[!Type]] = "id", "rg:None","rg:True"),"rg:None")</f>
        <v>rg:None</v>
      </c>
    </row>
    <row r="43" spans="1:25" ht="28.8" x14ac:dyDescent="0.3">
      <c r="A43" s="66" t="s">
        <v>429</v>
      </c>
      <c r="B43" s="26" t="s">
        <v>12</v>
      </c>
      <c r="C43" s="72"/>
      <c r="D43" s="40" t="s">
        <v>222</v>
      </c>
      <c r="E43" s="50" t="s">
        <v>352</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'rentalRequest' }, { 'req': 'rotationListSortOrder' }, { 'req': 'equipment'} ]</v>
      </c>
      <c r="Y43" s="4" t="str">
        <f>IF(LEN(Table2[[#This Row],[!Unique]])&gt;0,IF(Table2[[#This Row],[!Type]] = "id", "rg:None","rg:True"),"rg:None")</f>
        <v>rg:None</v>
      </c>
    </row>
    <row r="44" spans="1:25" x14ac:dyDescent="0.3">
      <c r="A44" s="66" t="s">
        <v>429</v>
      </c>
      <c r="B44" s="40" t="s">
        <v>7</v>
      </c>
      <c r="C44" s="72"/>
      <c r="D44" s="40" t="s">
        <v>224</v>
      </c>
      <c r="E44" s="90" t="s">
        <v>225</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'rentalRequest' }, { 'req': 'rotationListSortOrder' }, { 'req': 'equipment'} ]</v>
      </c>
      <c r="Y44" s="4" t="str">
        <f>IF(LEN(Table2[[#This Row],[!Unique]])&gt;0,IF(Table2[[#This Row],[!Type]] = "id", "rg:None","rg:True"),"rg:None")</f>
        <v>rg:None</v>
      </c>
    </row>
    <row r="45" spans="1:25" x14ac:dyDescent="0.3">
      <c r="A45" s="73" t="s">
        <v>429</v>
      </c>
      <c r="B45" s="73" t="s">
        <v>7</v>
      </c>
      <c r="C45" s="73">
        <v>50</v>
      </c>
      <c r="D45" s="73" t="s">
        <v>458</v>
      </c>
      <c r="E45" s="74" t="s">
        <v>459</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'rentalRequest' }, { 'req': 'rotationListSortOrder' }, { 'req': 'equipment'} ]</v>
      </c>
      <c r="Y45" s="4" t="str">
        <f>IF(LEN(Table2[[#This Row],[!Unique]])&gt;0,IF(Table2[[#This Row],[!Type]] = "id", "rg:None","rg:True"),"rg:None")</f>
        <v>rg:None</v>
      </c>
    </row>
    <row r="46" spans="1:25" x14ac:dyDescent="0.3">
      <c r="A46" s="66" t="s">
        <v>429</v>
      </c>
      <c r="B46" s="73" t="s">
        <v>12</v>
      </c>
      <c r="C46" s="72"/>
      <c r="D46" s="73" t="s">
        <v>455</v>
      </c>
      <c r="E46" s="74" t="s">
        <v>456</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'rentalRequest' }, { 'req': 'rotationListSortOrder' }, { 'req': 'equipment'} ]</v>
      </c>
      <c r="Y46" s="4" t="str">
        <f>IF(LEN(Table2[[#This Row],[!Unique]])&gt;0,IF(Table2[[#This Row],[!Type]] = "id", "rg:None","rg:True"),"rg:None")</f>
        <v>rg:None</v>
      </c>
    </row>
    <row r="47" spans="1:25" ht="28.8" x14ac:dyDescent="0.3">
      <c r="A47" s="66" t="s">
        <v>429</v>
      </c>
      <c r="B47" s="26" t="s">
        <v>7</v>
      </c>
      <c r="C47" s="72">
        <v>2048</v>
      </c>
      <c r="D47" s="73" t="s">
        <v>457</v>
      </c>
      <c r="E47" s="112" t="s">
        <v>462</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'rentalRequest' }, { 'req': 'rotationListSortOrder' }, { 'req': 'equipment'} ]</v>
      </c>
      <c r="Y47" s="4" t="str">
        <f>IF(LEN(Table2[[#This Row],[!Unique]])&gt;0,IF(Table2[[#This Row],[!Type]] = "id", "rg:None","rg:True"),"rg:None")</f>
        <v>rg:None</v>
      </c>
    </row>
    <row r="48" spans="1:25" x14ac:dyDescent="0.3">
      <c r="A48" s="66" t="s">
        <v>429</v>
      </c>
      <c r="B48" s="26" t="s">
        <v>7</v>
      </c>
      <c r="C48" s="72">
        <v>2048</v>
      </c>
      <c r="D48" s="26" t="s">
        <v>155</v>
      </c>
      <c r="E48" s="48" t="s">
        <v>226</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'rentalRequest' }, { 'req': 'rotationListSortOrder' }, { 'req': 'equipment'} ]</v>
      </c>
      <c r="Y48" s="4" t="str">
        <f>IF(LEN(Table2[[#This Row],[!Unique]])&gt;0,IF(Table2[[#This Row],[!Type]] = "id", "rg:None","rg:True"),"rg:None")</f>
        <v>rg:None</v>
      </c>
    </row>
    <row r="49" spans="1:25" ht="28.8" x14ac:dyDescent="0.3">
      <c r="A49" s="26" t="s">
        <v>199</v>
      </c>
      <c r="B49" s="26" t="s">
        <v>4</v>
      </c>
      <c r="C49" s="72"/>
      <c r="D49" s="26" t="s">
        <v>199</v>
      </c>
      <c r="E49" s="60" t="s">
        <v>389</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199</v>
      </c>
      <c r="B50" s="23" t="s">
        <v>6</v>
      </c>
      <c r="C50" s="72"/>
      <c r="D50" s="23" t="s">
        <v>6</v>
      </c>
      <c r="E50" s="54" t="s">
        <v>297</v>
      </c>
      <c r="F50" s="12"/>
      <c r="G50" s="25" t="s">
        <v>62</v>
      </c>
      <c r="H50" s="157" t="s">
        <v>62</v>
      </c>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1" t="s">
        <v>199</v>
      </c>
      <c r="B51" s="111" t="s">
        <v>7</v>
      </c>
      <c r="C51" s="72">
        <v>30</v>
      </c>
      <c r="D51" s="111" t="s">
        <v>490</v>
      </c>
      <c r="E51" s="112" t="s">
        <v>491</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3" t="s">
        <v>199</v>
      </c>
      <c r="B52" s="73" t="s">
        <v>7</v>
      </c>
      <c r="C52" s="72">
        <v>50</v>
      </c>
      <c r="D52" s="73" t="s">
        <v>231</v>
      </c>
      <c r="E52" s="74" t="s">
        <v>445</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199</v>
      </c>
      <c r="B53" s="26" t="s">
        <v>8</v>
      </c>
      <c r="C53" s="72"/>
      <c r="D53" s="26" t="s">
        <v>178</v>
      </c>
      <c r="E53" s="129" t="s">
        <v>540</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199</v>
      </c>
      <c r="B54" s="23" t="s">
        <v>8</v>
      </c>
      <c r="C54" s="72"/>
      <c r="D54" s="23" t="s">
        <v>149</v>
      </c>
      <c r="E54" s="129" t="s">
        <v>541</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199</v>
      </c>
      <c r="B55" s="111" t="s">
        <v>19</v>
      </c>
      <c r="C55" s="72"/>
      <c r="D55" s="111" t="s">
        <v>475</v>
      </c>
      <c r="E55" s="47"/>
      <c r="F55" s="111" t="s">
        <v>463</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1" t="s">
        <v>199</v>
      </c>
      <c r="B56" s="111" t="s">
        <v>19</v>
      </c>
      <c r="C56" s="72"/>
      <c r="D56" s="111" t="s">
        <v>482</v>
      </c>
      <c r="E56" s="47"/>
      <c r="F56" s="111" t="s">
        <v>476</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199</v>
      </c>
      <c r="B57" s="26" t="s">
        <v>19</v>
      </c>
      <c r="C57" s="72"/>
      <c r="D57" s="26" t="s">
        <v>201</v>
      </c>
      <c r="E57" s="47"/>
      <c r="F57" s="27" t="s">
        <v>202</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199</v>
      </c>
      <c r="B58" s="111" t="s">
        <v>7</v>
      </c>
      <c r="C58" s="72">
        <v>2048</v>
      </c>
      <c r="D58" s="111" t="s">
        <v>155</v>
      </c>
      <c r="E58" s="112" t="s">
        <v>483</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199</v>
      </c>
      <c r="B59" s="111" t="s">
        <v>12</v>
      </c>
      <c r="C59" s="72"/>
      <c r="D59" s="111" t="s">
        <v>484</v>
      </c>
      <c r="E59" s="112" t="s">
        <v>485</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199</v>
      </c>
      <c r="B60" s="111" t="s">
        <v>12</v>
      </c>
      <c r="C60" s="72"/>
      <c r="D60" s="111" t="s">
        <v>488</v>
      </c>
      <c r="E60" s="112" t="s">
        <v>486</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1" t="s">
        <v>199</v>
      </c>
      <c r="B61" s="111" t="s">
        <v>13</v>
      </c>
      <c r="C61" s="72"/>
      <c r="D61" s="111" t="s">
        <v>487</v>
      </c>
      <c r="E61" s="112" t="s">
        <v>489</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199</v>
      </c>
      <c r="B62" s="111" t="s">
        <v>108</v>
      </c>
      <c r="C62" s="72"/>
      <c r="D62" s="111" t="s">
        <v>494</v>
      </c>
      <c r="E62" s="112" t="s">
        <v>497</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1" t="s">
        <v>199</v>
      </c>
      <c r="B63" s="111" t="s">
        <v>7</v>
      </c>
      <c r="C63" s="72">
        <v>50</v>
      </c>
      <c r="D63" s="111" t="s">
        <v>469</v>
      </c>
      <c r="E63" s="112" t="s">
        <v>470</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199</v>
      </c>
      <c r="B64" s="111" t="s">
        <v>7</v>
      </c>
      <c r="C64" s="72">
        <v>2048</v>
      </c>
      <c r="D64" s="111" t="s">
        <v>498</v>
      </c>
      <c r="E64" s="112" t="s">
        <v>499</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1" t="s">
        <v>463</v>
      </c>
      <c r="B65" s="111" t="s">
        <v>4</v>
      </c>
      <c r="C65" s="72"/>
      <c r="D65" s="111" t="s">
        <v>463</v>
      </c>
      <c r="E65" s="112" t="s">
        <v>464</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x14ac:dyDescent="0.3">
      <c r="A66" s="111" t="s">
        <v>463</v>
      </c>
      <c r="B66" s="111" t="s">
        <v>6</v>
      </c>
      <c r="C66" s="72"/>
      <c r="D66" s="111" t="s">
        <v>6</v>
      </c>
      <c r="E66" s="113" t="s">
        <v>465</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
      <c r="A67" s="111" t="s">
        <v>463</v>
      </c>
      <c r="B67" s="111" t="s">
        <v>8</v>
      </c>
      <c r="C67" s="72"/>
      <c r="D67" s="111" t="s">
        <v>200</v>
      </c>
      <c r="E67" s="129" t="s">
        <v>542</v>
      </c>
      <c r="F67" s="27" t="s">
        <v>199</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
      <c r="A68" s="111" t="s">
        <v>463</v>
      </c>
      <c r="B68" s="111" t="s">
        <v>7</v>
      </c>
      <c r="C68" s="72">
        <v>150</v>
      </c>
      <c r="D68" s="111" t="s">
        <v>473</v>
      </c>
      <c r="E68" s="112" t="s">
        <v>474</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v>
      </c>
      <c r="Y68" s="4" t="str">
        <f>IF(LEN(Table2[[#This Row],[!Unique]])&gt;0,IF(Table2[[#This Row],[!Type]] = "id", "rg:None","rg:True"),"rg:None")</f>
        <v>rg:None</v>
      </c>
    </row>
    <row r="69" spans="1:25" x14ac:dyDescent="0.3">
      <c r="A69" s="111" t="s">
        <v>463</v>
      </c>
      <c r="B69" s="111" t="s">
        <v>9</v>
      </c>
      <c r="C69" s="72"/>
      <c r="D69" s="111" t="s">
        <v>495</v>
      </c>
      <c r="E69" s="112" t="s">
        <v>496</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v>
      </c>
      <c r="Y69" s="4" t="str">
        <f>IF(LEN(Table2[[#This Row],[!Unique]])&gt;0,IF(Table2[[#This Row],[!Type]] = "id", "rg:None","rg:True"),"rg:None")</f>
        <v>rg:None</v>
      </c>
    </row>
    <row r="70" spans="1:25" x14ac:dyDescent="0.3">
      <c r="A70" s="111" t="s">
        <v>463</v>
      </c>
      <c r="B70" s="111" t="s">
        <v>108</v>
      </c>
      <c r="C70" s="72"/>
      <c r="D70" s="111" t="s">
        <v>144</v>
      </c>
      <c r="E70" s="112" t="s">
        <v>466</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v>
      </c>
      <c r="Y70" s="4" t="str">
        <f>IF(LEN(Table2[[#This Row],[!Unique]])&gt;0,IF(Table2[[#This Row],[!Type]] = "id", "rg:None","rg:True"),"rg:None")</f>
        <v>rg:None</v>
      </c>
    </row>
    <row r="71" spans="1:25" ht="28.8" x14ac:dyDescent="0.3">
      <c r="A71" s="111" t="s">
        <v>463</v>
      </c>
      <c r="B71" s="111" t="s">
        <v>13</v>
      </c>
      <c r="C71" s="72"/>
      <c r="D71" s="111" t="s">
        <v>467</v>
      </c>
      <c r="E71" s="112" t="s">
        <v>468</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v>
      </c>
      <c r="Y71" s="4" t="str">
        <f>IF(LEN(Table2[[#This Row],[!Unique]])&gt;0,IF(Table2[[#This Row],[!Type]] = "id", "rg:None","rg:True"),"rg:None")</f>
        <v>rg:None</v>
      </c>
    </row>
    <row r="72" spans="1:25" ht="28.8" x14ac:dyDescent="0.3">
      <c r="A72" s="111" t="s">
        <v>463</v>
      </c>
      <c r="B72" s="111" t="s">
        <v>7</v>
      </c>
      <c r="C72" s="72">
        <v>50</v>
      </c>
      <c r="D72" s="111" t="s">
        <v>469</v>
      </c>
      <c r="E72" s="112" t="s">
        <v>470</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v>
      </c>
      <c r="Y72" s="4" t="str">
        <f>IF(LEN(Table2[[#This Row],[!Unique]])&gt;0,IF(Table2[[#This Row],[!Type]] = "id", "rg:None","rg:True"),"rg:None")</f>
        <v>rg:None</v>
      </c>
    </row>
    <row r="73" spans="1:25" x14ac:dyDescent="0.3">
      <c r="A73" s="111" t="s">
        <v>463</v>
      </c>
      <c r="B73" s="111" t="s">
        <v>7</v>
      </c>
      <c r="C73" s="72">
        <v>2048</v>
      </c>
      <c r="D73" s="111" t="s">
        <v>471</v>
      </c>
      <c r="E73" s="112" t="s">
        <v>472</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v>
      </c>
      <c r="Y73" s="4" t="str">
        <f>IF(LEN(Table2[[#This Row],[!Unique]])&gt;0,IF(Table2[[#This Row],[!Type]] = "id", "rg:None","rg:True"),"rg:None")</f>
        <v>rg:None</v>
      </c>
    </row>
    <row r="74" spans="1:25" x14ac:dyDescent="0.3">
      <c r="A74" s="111" t="s">
        <v>463</v>
      </c>
      <c r="B74" s="111" t="s">
        <v>19</v>
      </c>
      <c r="C74" s="72"/>
      <c r="D74" s="111" t="s">
        <v>201</v>
      </c>
      <c r="E74" s="47"/>
      <c r="F74" s="115" t="s">
        <v>202</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 { 'req': 'rentalAgreement'} ]</v>
      </c>
      <c r="Y74" s="4" t="str">
        <f>IF(LEN(Table2[[#This Row],[!Unique]])&gt;0,IF(Table2[[#This Row],[!Type]] = "id", "rg:None","rg:True"),"rg:None")</f>
        <v>rg:None</v>
      </c>
    </row>
    <row r="75" spans="1:25" x14ac:dyDescent="0.3">
      <c r="A75" s="111" t="s">
        <v>476</v>
      </c>
      <c r="B75" s="111" t="s">
        <v>4</v>
      </c>
      <c r="C75" s="72"/>
      <c r="D75" s="111" t="s">
        <v>476</v>
      </c>
      <c r="E75" s="112" t="s">
        <v>477</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 { 'req' : 'id' }, { 'req': 'rentalAgreement' }, { 'req': 'conditionName'} ]</v>
      </c>
      <c r="Y75" s="4" t="str">
        <f>IF(LEN(Table2[[#This Row],[!Unique]])&gt;0,IF(Table2[[#This Row],[!Type]] = "id", "rg:None","rg:True"),"rg:None")</f>
        <v>rg:None</v>
      </c>
    </row>
    <row r="76" spans="1:25" x14ac:dyDescent="0.3">
      <c r="A76" s="111" t="s">
        <v>476</v>
      </c>
      <c r="B76" s="111" t="s">
        <v>6</v>
      </c>
      <c r="C76" s="72"/>
      <c r="D76" s="111" t="s">
        <v>6</v>
      </c>
      <c r="E76" s="113" t="s">
        <v>478</v>
      </c>
      <c r="F76" s="12"/>
      <c r="G76" s="157" t="s">
        <v>62</v>
      </c>
      <c r="H76" s="157" t="s">
        <v>62</v>
      </c>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476</v>
      </c>
      <c r="B77" s="111" t="s">
        <v>8</v>
      </c>
      <c r="C77" s="72"/>
      <c r="D77" s="111" t="s">
        <v>200</v>
      </c>
      <c r="E77" s="129" t="s">
        <v>542</v>
      </c>
      <c r="F77" s="27" t="s">
        <v>199</v>
      </c>
      <c r="G77" s="157" t="s">
        <v>62</v>
      </c>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476</v>
      </c>
      <c r="B78" s="111" t="s">
        <v>7</v>
      </c>
      <c r="C78" s="72">
        <v>150</v>
      </c>
      <c r="D78" s="111" t="s">
        <v>479</v>
      </c>
      <c r="E78" s="112" t="s">
        <v>480</v>
      </c>
      <c r="F78" s="12"/>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1" t="s">
        <v>476</v>
      </c>
      <c r="B79" s="111" t="s">
        <v>7</v>
      </c>
      <c r="C79" s="72">
        <v>2048</v>
      </c>
      <c r="D79" s="111" t="s">
        <v>471</v>
      </c>
      <c r="E79" s="112" t="s">
        <v>481</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ht="28.8" x14ac:dyDescent="0.3">
      <c r="A80" s="27" t="s">
        <v>202</v>
      </c>
      <c r="B80" s="26" t="s">
        <v>4</v>
      </c>
      <c r="C80" s="72"/>
      <c r="D80" s="27" t="s">
        <v>202</v>
      </c>
      <c r="E80" s="60" t="s">
        <v>363</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x14ac:dyDescent="0.3">
      <c r="A81" s="27" t="s">
        <v>202</v>
      </c>
      <c r="B81" s="23" t="s">
        <v>6</v>
      </c>
      <c r="C81" s="72"/>
      <c r="D81" s="23" t="s">
        <v>6</v>
      </c>
      <c r="E81" s="54" t="s">
        <v>296</v>
      </c>
      <c r="F81" s="12"/>
      <c r="G81" s="25" t="s">
        <v>62</v>
      </c>
      <c r="H81" s="157" t="s">
        <v>62</v>
      </c>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202</v>
      </c>
      <c r="B82" s="26" t="s">
        <v>8</v>
      </c>
      <c r="C82" s="72"/>
      <c r="D82" s="26" t="s">
        <v>200</v>
      </c>
      <c r="E82" s="129" t="s">
        <v>542</v>
      </c>
      <c r="F82" s="27" t="s">
        <v>199</v>
      </c>
      <c r="G82" s="157" t="s">
        <v>62</v>
      </c>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ht="28.8" x14ac:dyDescent="0.3">
      <c r="A83" s="111" t="s">
        <v>202</v>
      </c>
      <c r="B83" s="111" t="s">
        <v>8</v>
      </c>
      <c r="C83" s="72"/>
      <c r="D83" s="111" t="s">
        <v>492</v>
      </c>
      <c r="E83" s="112" t="s">
        <v>493</v>
      </c>
      <c r="F83" s="115" t="s">
        <v>463</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5" t="s">
        <v>202</v>
      </c>
      <c r="B84" s="91" t="s">
        <v>12</v>
      </c>
      <c r="D84" s="91" t="s">
        <v>203</v>
      </c>
      <c r="E84" s="48" t="s">
        <v>229</v>
      </c>
      <c r="F84" s="12"/>
      <c r="G84" s="157" t="s">
        <v>62</v>
      </c>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x14ac:dyDescent="0.3">
      <c r="A85" s="27" t="s">
        <v>202</v>
      </c>
      <c r="B85" s="91" t="s">
        <v>12</v>
      </c>
      <c r="D85" s="91" t="s">
        <v>204</v>
      </c>
      <c r="E85" s="50" t="s">
        <v>353</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ht="28.8" x14ac:dyDescent="0.3">
      <c r="A86" s="40" t="s">
        <v>202</v>
      </c>
      <c r="B86" s="40" t="s">
        <v>7</v>
      </c>
      <c r="C86" s="72">
        <v>20</v>
      </c>
      <c r="D86" s="40" t="s">
        <v>227</v>
      </c>
      <c r="E86" s="48" t="s">
        <v>228</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x14ac:dyDescent="0.3">
      <c r="A87" s="27" t="s">
        <v>202</v>
      </c>
      <c r="B87" s="5" t="s">
        <v>108</v>
      </c>
      <c r="D87" s="5" t="s">
        <v>143</v>
      </c>
      <c r="E87" s="48" t="s">
        <v>230</v>
      </c>
      <c r="F87" s="12"/>
      <c r="G87" s="157" t="s">
        <v>62</v>
      </c>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ht="28.8" x14ac:dyDescent="0.3">
      <c r="A88" s="82" t="s">
        <v>180</v>
      </c>
      <c r="B88" s="5" t="s">
        <v>4</v>
      </c>
      <c r="D88" s="82" t="s">
        <v>180</v>
      </c>
      <c r="E88" s="76" t="s">
        <v>364</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x14ac:dyDescent="0.3">
      <c r="A89" s="82" t="s">
        <v>180</v>
      </c>
      <c r="B89" s="5" t="s">
        <v>6</v>
      </c>
      <c r="D89" s="5" t="s">
        <v>6</v>
      </c>
      <c r="E89" s="54" t="s">
        <v>295</v>
      </c>
      <c r="F89" s="5" t="s">
        <v>5</v>
      </c>
      <c r="G89" s="4" t="s">
        <v>62</v>
      </c>
      <c r="H89" s="158" t="s">
        <v>62</v>
      </c>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8</v>
      </c>
      <c r="D90" s="82" t="s">
        <v>173</v>
      </c>
      <c r="E90" s="130" t="s">
        <v>537</v>
      </c>
      <c r="F90" s="82" t="s">
        <v>151</v>
      </c>
      <c r="G90" s="158" t="s">
        <v>62</v>
      </c>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140" t="s">
        <v>575</v>
      </c>
      <c r="E91" s="130" t="s">
        <v>543</v>
      </c>
      <c r="F91" s="140" t="s">
        <v>569</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2" t="s">
        <v>180</v>
      </c>
      <c r="B92" s="5" t="s">
        <v>8</v>
      </c>
      <c r="D92" s="82" t="s">
        <v>148</v>
      </c>
      <c r="E92" s="130" t="s">
        <v>544</v>
      </c>
      <c r="F92" s="21" t="s">
        <v>145</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ht="57.6" x14ac:dyDescent="0.3">
      <c r="A93" s="82" t="s">
        <v>180</v>
      </c>
      <c r="B93" s="5" t="s">
        <v>7</v>
      </c>
      <c r="C93" s="5">
        <v>25</v>
      </c>
      <c r="D93" s="88" t="s">
        <v>452</v>
      </c>
      <c r="E93" s="76" t="s">
        <v>393</v>
      </c>
      <c r="F93" s="5" t="s">
        <v>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28.8" x14ac:dyDescent="0.3">
      <c r="A94" s="82" t="s">
        <v>180</v>
      </c>
      <c r="B94" s="5" t="s">
        <v>7</v>
      </c>
      <c r="C94" s="5">
        <v>50</v>
      </c>
      <c r="D94" s="92" t="s">
        <v>231</v>
      </c>
      <c r="E94" s="93" t="s">
        <v>232</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
      <c r="A95" s="82" t="s">
        <v>180</v>
      </c>
      <c r="B95" s="82" t="s">
        <v>12</v>
      </c>
      <c r="D95" s="82" t="s">
        <v>185</v>
      </c>
      <c r="E95" s="93" t="s">
        <v>233</v>
      </c>
      <c r="F95" s="5" t="s">
        <v>5</v>
      </c>
      <c r="G95" s="158" t="s">
        <v>62</v>
      </c>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ht="28.8" x14ac:dyDescent="0.3">
      <c r="A96" s="82" t="s">
        <v>180</v>
      </c>
      <c r="B96" s="82" t="s">
        <v>12</v>
      </c>
      <c r="D96" s="82" t="s">
        <v>184</v>
      </c>
      <c r="E96" s="93" t="s">
        <v>234</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8" x14ac:dyDescent="0.3">
      <c r="A97" s="82" t="s">
        <v>180</v>
      </c>
      <c r="B97" s="94" t="s">
        <v>12</v>
      </c>
      <c r="D97" s="94" t="s">
        <v>212</v>
      </c>
      <c r="E97" s="93" t="s">
        <v>235</v>
      </c>
      <c r="F97" s="5" t="s">
        <v>5</v>
      </c>
      <c r="G97" s="158" t="s">
        <v>62</v>
      </c>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43.2" x14ac:dyDescent="0.3">
      <c r="A98" s="61" t="s">
        <v>180</v>
      </c>
      <c r="B98" s="61" t="s">
        <v>9</v>
      </c>
      <c r="C98" s="72"/>
      <c r="D98" s="61" t="s">
        <v>379</v>
      </c>
      <c r="E98" s="60" t="s">
        <v>390</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
      <c r="A99" s="61" t="s">
        <v>180</v>
      </c>
      <c r="B99" s="61" t="s">
        <v>7</v>
      </c>
      <c r="C99" s="72">
        <v>2048</v>
      </c>
      <c r="D99" s="61" t="s">
        <v>380</v>
      </c>
      <c r="E99" s="60" t="s">
        <v>381</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82" t="s">
        <v>180</v>
      </c>
      <c r="B100" s="5" t="s">
        <v>7</v>
      </c>
      <c r="C100" s="5">
        <v>20</v>
      </c>
      <c r="D100" s="78" t="s">
        <v>236</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2" t="s">
        <v>180</v>
      </c>
      <c r="B101" s="5" t="s">
        <v>7</v>
      </c>
      <c r="C101" s="5">
        <v>50</v>
      </c>
      <c r="D101" s="5" t="s">
        <v>131</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50</v>
      </c>
      <c r="D102" s="5" t="s">
        <v>132</v>
      </c>
      <c r="E102" s="93" t="s">
        <v>239</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15</v>
      </c>
      <c r="D103" s="5" t="s">
        <v>133</v>
      </c>
      <c r="E103" s="93" t="s">
        <v>240</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7</v>
      </c>
      <c r="C104" s="5">
        <v>255</v>
      </c>
      <c r="D104" s="5" t="s">
        <v>134</v>
      </c>
      <c r="E104" s="79" t="s">
        <v>426</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108</v>
      </c>
      <c r="D105" s="5" t="s">
        <v>135</v>
      </c>
      <c r="E105" s="79" t="s">
        <v>426</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3">
      <c r="A106" s="82" t="s">
        <v>180</v>
      </c>
      <c r="B106" s="5" t="s">
        <v>7</v>
      </c>
      <c r="C106" s="5">
        <v>255</v>
      </c>
      <c r="D106" s="5" t="s">
        <v>137</v>
      </c>
      <c r="E106" s="79" t="s">
        <v>426</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72" x14ac:dyDescent="0.3">
      <c r="A107" s="82" t="s">
        <v>180</v>
      </c>
      <c r="B107" s="5" t="s">
        <v>7</v>
      </c>
      <c r="C107" s="5">
        <v>100</v>
      </c>
      <c r="D107" s="88" t="s">
        <v>453</v>
      </c>
      <c r="E107" s="93" t="s">
        <v>242</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3">
      <c r="A108" s="82" t="s">
        <v>180</v>
      </c>
      <c r="B108" s="5" t="s">
        <v>7</v>
      </c>
      <c r="C108" s="5">
        <v>128</v>
      </c>
      <c r="D108" s="5" t="s">
        <v>139</v>
      </c>
      <c r="E108" s="93" t="s">
        <v>243</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2" t="s">
        <v>180</v>
      </c>
      <c r="B109" s="82" t="s">
        <v>12</v>
      </c>
      <c r="D109" s="82" t="s">
        <v>186</v>
      </c>
      <c r="E109" s="79" t="s">
        <v>426</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28.8" x14ac:dyDescent="0.3">
      <c r="A110" s="82" t="s">
        <v>180</v>
      </c>
      <c r="B110" s="95" t="s">
        <v>108</v>
      </c>
      <c r="D110" s="82" t="s">
        <v>189</v>
      </c>
      <c r="E110" s="96" t="s">
        <v>244</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57.6" x14ac:dyDescent="0.3">
      <c r="A111" s="82" t="s">
        <v>180</v>
      </c>
      <c r="B111" s="95" t="s">
        <v>108</v>
      </c>
      <c r="D111" s="80" t="s">
        <v>138</v>
      </c>
      <c r="E111" s="96" t="s">
        <v>245</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43.2" x14ac:dyDescent="0.3">
      <c r="A112" s="73" t="s">
        <v>180</v>
      </c>
      <c r="B112" s="73" t="s">
        <v>13</v>
      </c>
      <c r="C112" s="72"/>
      <c r="D112" s="73" t="s">
        <v>450</v>
      </c>
      <c r="E112" s="74" t="s">
        <v>451</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3.2" x14ac:dyDescent="0.3">
      <c r="A113" s="69" t="s">
        <v>180</v>
      </c>
      <c r="B113" s="69" t="s">
        <v>9</v>
      </c>
      <c r="C113" s="72"/>
      <c r="D113" s="69" t="s">
        <v>439</v>
      </c>
      <c r="E113" s="70" t="s">
        <v>440</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28.8" x14ac:dyDescent="0.3">
      <c r="A114" s="69" t="s">
        <v>180</v>
      </c>
      <c r="B114" s="69" t="s">
        <v>7</v>
      </c>
      <c r="C114" s="72">
        <v>2048</v>
      </c>
      <c r="D114" s="69" t="s">
        <v>438</v>
      </c>
      <c r="E114" s="70" t="s">
        <v>441</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61" t="s">
        <v>180</v>
      </c>
      <c r="B115" s="61" t="s">
        <v>12</v>
      </c>
      <c r="C115" s="72"/>
      <c r="D115" s="61" t="s">
        <v>396</v>
      </c>
      <c r="E115" s="60" t="s">
        <v>397</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
      <c r="A116" s="82" t="s">
        <v>180</v>
      </c>
      <c r="B116" s="5" t="s">
        <v>108</v>
      </c>
      <c r="D116" s="80" t="s">
        <v>394</v>
      </c>
      <c r="E116" s="93" t="s">
        <v>241</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
      <c r="A117" s="82" t="s">
        <v>180</v>
      </c>
      <c r="B117" s="97" t="s">
        <v>108</v>
      </c>
      <c r="D117" s="95" t="s">
        <v>246</v>
      </c>
      <c r="E117" s="96" t="s">
        <v>247</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8" x14ac:dyDescent="0.3">
      <c r="A118" s="82" t="s">
        <v>180</v>
      </c>
      <c r="B118" s="5" t="s">
        <v>108</v>
      </c>
      <c r="D118" s="95" t="s">
        <v>248</v>
      </c>
      <c r="E118" s="96" t="s">
        <v>249</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2" t="s">
        <v>180</v>
      </c>
      <c r="B119" s="5" t="s">
        <v>108</v>
      </c>
      <c r="D119" s="95" t="s">
        <v>251</v>
      </c>
      <c r="E119" s="96" t="s">
        <v>250</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3">
      <c r="A120" s="82" t="s">
        <v>180</v>
      </c>
      <c r="B120" s="5" t="s">
        <v>7</v>
      </c>
      <c r="C120" s="5">
        <v>50</v>
      </c>
      <c r="D120" s="95" t="s">
        <v>252</v>
      </c>
      <c r="E120" s="98" t="s">
        <v>424</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2" t="s">
        <v>180</v>
      </c>
      <c r="B121" s="5" t="s">
        <v>7</v>
      </c>
      <c r="C121" s="5">
        <v>2048</v>
      </c>
      <c r="D121" s="5" t="s">
        <v>140</v>
      </c>
      <c r="E121" s="96" t="s">
        <v>253</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3">
      <c r="A122" s="82" t="s">
        <v>180</v>
      </c>
      <c r="B122" s="82" t="s">
        <v>12</v>
      </c>
      <c r="D122" s="82" t="s">
        <v>187</v>
      </c>
      <c r="E122" s="96" t="s">
        <v>254</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ht="28.8" x14ac:dyDescent="0.3">
      <c r="A123" s="82" t="s">
        <v>180</v>
      </c>
      <c r="B123" s="95" t="s">
        <v>8</v>
      </c>
      <c r="D123" s="95" t="s">
        <v>255</v>
      </c>
      <c r="E123" s="96" t="s">
        <v>256</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x14ac:dyDescent="0.3">
      <c r="A128" s="82" t="s">
        <v>180</v>
      </c>
      <c r="B128" s="21" t="s">
        <v>19</v>
      </c>
      <c r="C128" s="72"/>
      <c r="D128" s="21" t="s">
        <v>191</v>
      </c>
      <c r="E128" s="47"/>
      <c r="F128" s="5" t="s">
        <v>147</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 { 'req': 'localArea' }, { 'req': 'districtEquipmentType' }, { 'req': 'owner' }, { 'req': 'equipmentCode' }, { 'req': 'status' }, { 'req': 'receivedDate' }, { 'req': 'lastVerifiedDate'} ]</v>
      </c>
      <c r="Y128" s="4" t="str">
        <f>IF(LEN(Table2[[#This Row],[!Unique]])&gt;0,IF(Table2[[#This Row],[!Type]] = "id", "rg:None","rg:True"),"rg:None")</f>
        <v>rg:None</v>
      </c>
    </row>
    <row r="129" spans="1:25" ht="115.2" x14ac:dyDescent="0.3">
      <c r="A129" s="5" t="s">
        <v>109</v>
      </c>
      <c r="B129" s="5" t="s">
        <v>4</v>
      </c>
      <c r="D129" s="5" t="s">
        <v>109</v>
      </c>
      <c r="E129" s="99" t="s">
        <v>395</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5" t="s">
        <v>109</v>
      </c>
      <c r="B130" s="5" t="s">
        <v>6</v>
      </c>
      <c r="D130" s="5" t="s">
        <v>6</v>
      </c>
      <c r="E130" s="54" t="s">
        <v>294</v>
      </c>
      <c r="F130" s="5" t="s">
        <v>5</v>
      </c>
      <c r="G130" s="4" t="s">
        <v>62</v>
      </c>
      <c r="H130" s="158" t="s">
        <v>62</v>
      </c>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82" t="s">
        <v>109</v>
      </c>
      <c r="B131" s="95" t="s">
        <v>9</v>
      </c>
      <c r="D131" s="95" t="s">
        <v>257</v>
      </c>
      <c r="E131" s="96" t="s">
        <v>267</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5" t="s">
        <v>9</v>
      </c>
      <c r="D132" s="95" t="s">
        <v>261</v>
      </c>
      <c r="E132" s="96" t="s">
        <v>266</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x14ac:dyDescent="0.3">
      <c r="A133" s="5" t="s">
        <v>109</v>
      </c>
      <c r="B133" s="95" t="s">
        <v>9</v>
      </c>
      <c r="D133" s="95" t="s">
        <v>268</v>
      </c>
      <c r="E133" s="96" t="s">
        <v>269</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ht="28.8" x14ac:dyDescent="0.3">
      <c r="A134" s="5" t="s">
        <v>109</v>
      </c>
      <c r="B134" s="95" t="s">
        <v>9</v>
      </c>
      <c r="D134" s="95" t="s">
        <v>262</v>
      </c>
      <c r="E134" s="96" t="s">
        <v>263</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264</v>
      </c>
      <c r="E135" s="96" t="s">
        <v>265</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5" t="s">
        <v>9</v>
      </c>
      <c r="D136" s="95" t="s">
        <v>270</v>
      </c>
      <c r="E136" s="96" t="s">
        <v>271</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272</v>
      </c>
      <c r="E137" s="96" t="s">
        <v>273</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D138" s="95" t="s">
        <v>274</v>
      </c>
      <c r="E138" s="96" t="s">
        <v>275</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95" t="s">
        <v>9</v>
      </c>
      <c r="C139" s="95"/>
      <c r="D139" s="95" t="s">
        <v>276</v>
      </c>
      <c r="E139" s="96" t="s">
        <v>277</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110</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111</v>
      </c>
      <c r="E141" s="96" t="s">
        <v>279</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112</v>
      </c>
      <c r="E142" s="96" t="s">
        <v>280</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5" t="s">
        <v>113</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82" t="s">
        <v>188</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114</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115</v>
      </c>
      <c r="E146" s="96" t="s">
        <v>284</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x14ac:dyDescent="0.3">
      <c r="A147" s="5" t="s">
        <v>109</v>
      </c>
      <c r="B147" s="5" t="s">
        <v>7</v>
      </c>
      <c r="C147" s="5">
        <v>150</v>
      </c>
      <c r="D147" s="5" t="s">
        <v>116</v>
      </c>
      <c r="E147" s="96" t="s">
        <v>288</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ht="43.2" x14ac:dyDescent="0.3">
      <c r="A148" s="5" t="s">
        <v>109</v>
      </c>
      <c r="B148" s="5" t="s">
        <v>7</v>
      </c>
      <c r="C148" s="5">
        <v>150</v>
      </c>
      <c r="D148" s="5" t="s">
        <v>117</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118</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119</v>
      </c>
      <c r="E150" s="96" t="s">
        <v>287</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120</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121</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x14ac:dyDescent="0.3">
      <c r="A153" s="5" t="s">
        <v>109</v>
      </c>
      <c r="B153" s="5" t="s">
        <v>7</v>
      </c>
      <c r="C153" s="5">
        <v>150</v>
      </c>
      <c r="D153" s="5" t="s">
        <v>122</v>
      </c>
      <c r="E153" s="96" t="s">
        <v>291</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123</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124</v>
      </c>
      <c r="E155" s="100" t="s">
        <v>355</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ht="28.8" x14ac:dyDescent="0.3">
      <c r="A156" s="5" t="s">
        <v>109</v>
      </c>
      <c r="B156" s="5" t="s">
        <v>7</v>
      </c>
      <c r="C156" s="5">
        <v>150</v>
      </c>
      <c r="D156" s="5" t="s">
        <v>125</v>
      </c>
      <c r="E156" s="100" t="s">
        <v>358</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x14ac:dyDescent="0.3">
      <c r="A157" s="5" t="s">
        <v>109</v>
      </c>
      <c r="B157" s="5" t="s">
        <v>7</v>
      </c>
      <c r="C157" s="5">
        <v>150</v>
      </c>
      <c r="D157" s="5" t="s">
        <v>126</v>
      </c>
      <c r="E157" s="96" t="s">
        <v>292</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127</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128</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ht="28.8" x14ac:dyDescent="0.3">
      <c r="A160" s="5" t="s">
        <v>109</v>
      </c>
      <c r="B160" s="5" t="s">
        <v>7</v>
      </c>
      <c r="C160" s="5">
        <v>150</v>
      </c>
      <c r="D160" s="5" t="s">
        <v>129</v>
      </c>
      <c r="E160" s="100" t="s">
        <v>361</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x14ac:dyDescent="0.3">
      <c r="A161" s="5" t="s">
        <v>109</v>
      </c>
      <c r="B161" s="5" t="s">
        <v>7</v>
      </c>
      <c r="C161" s="5">
        <v>150</v>
      </c>
      <c r="D161" s="5" t="s">
        <v>130</v>
      </c>
      <c r="E161" s="96" t="s">
        <v>293</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Row],[!Unique]])&gt;0,IF(Table2[[#This Row],[!Type]] = "id", "rg:None","rg:True"),"rg:None")</f>
        <v>rg:None</v>
      </c>
    </row>
    <row r="162" spans="1:25" ht="28.8" x14ac:dyDescent="0.3">
      <c r="A162" s="82" t="s">
        <v>182</v>
      </c>
      <c r="B162" s="136" t="s">
        <v>4</v>
      </c>
      <c r="C162" s="72"/>
      <c r="D162" s="82" t="s">
        <v>182</v>
      </c>
      <c r="E162" s="141" t="s">
        <v>570</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2" t="s">
        <v>182</v>
      </c>
      <c r="B163" s="136" t="s">
        <v>6</v>
      </c>
      <c r="C163" s="72"/>
      <c r="D163" s="136" t="s">
        <v>6</v>
      </c>
      <c r="E163" s="138" t="s">
        <v>555</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rg:None</v>
      </c>
    </row>
    <row r="164" spans="1:25" x14ac:dyDescent="0.3">
      <c r="A164" s="82" t="s">
        <v>182</v>
      </c>
      <c r="B164" s="136" t="s">
        <v>7</v>
      </c>
      <c r="C164" s="72">
        <v>50</v>
      </c>
      <c r="D164" s="136" t="s">
        <v>15</v>
      </c>
      <c r="E164" s="137" t="s">
        <v>556</v>
      </c>
      <c r="F164" s="12"/>
      <c r="G164" s="157" t="s">
        <v>62</v>
      </c>
      <c r="H164" s="157" t="s">
        <v>62</v>
      </c>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rg:True</v>
      </c>
    </row>
    <row r="165" spans="1:25" ht="28.8" x14ac:dyDescent="0.3">
      <c r="A165" s="142" t="s">
        <v>182</v>
      </c>
      <c r="B165" s="142" t="s">
        <v>9</v>
      </c>
      <c r="C165" s="72"/>
      <c r="D165" s="142" t="s">
        <v>571</v>
      </c>
      <c r="E165" s="141" t="s">
        <v>572</v>
      </c>
      <c r="F165" s="12"/>
      <c r="G165" s="157" t="s">
        <v>62</v>
      </c>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108</v>
      </c>
      <c r="C166" s="72"/>
      <c r="D166" s="136" t="s">
        <v>557</v>
      </c>
      <c r="E166" s="137" t="s">
        <v>558</v>
      </c>
      <c r="F166" s="12"/>
      <c r="G166" s="157" t="s">
        <v>62</v>
      </c>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x14ac:dyDescent="0.3">
      <c r="A167" s="82" t="s">
        <v>182</v>
      </c>
      <c r="B167" s="136" t="s">
        <v>108</v>
      </c>
      <c r="C167" s="72"/>
      <c r="D167" s="136" t="s">
        <v>564</v>
      </c>
      <c r="E167" s="137" t="s">
        <v>565</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43.2" x14ac:dyDescent="0.3">
      <c r="A168" s="82" t="s">
        <v>182</v>
      </c>
      <c r="B168" s="136" t="s">
        <v>13</v>
      </c>
      <c r="C168" s="72"/>
      <c r="D168" s="136" t="s">
        <v>559</v>
      </c>
      <c r="E168" s="137" t="s">
        <v>566</v>
      </c>
      <c r="F168" s="12"/>
      <c r="G168" s="157" t="s">
        <v>62</v>
      </c>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2" t="s">
        <v>182</v>
      </c>
      <c r="B169" s="136" t="s">
        <v>108</v>
      </c>
      <c r="C169" s="72"/>
      <c r="D169" s="139" t="s">
        <v>560</v>
      </c>
      <c r="E169" s="137" t="s">
        <v>561</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2" t="s">
        <v>182</v>
      </c>
      <c r="B170" s="136" t="s">
        <v>108</v>
      </c>
      <c r="C170" s="72"/>
      <c r="D170" s="5" t="s">
        <v>141</v>
      </c>
      <c r="E170" s="137" t="s">
        <v>562</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28.8" x14ac:dyDescent="0.3">
      <c r="A171" s="82" t="s">
        <v>182</v>
      </c>
      <c r="B171" s="136" t="s">
        <v>108</v>
      </c>
      <c r="C171" s="72"/>
      <c r="D171" s="5" t="s">
        <v>142</v>
      </c>
      <c r="E171" s="137" t="s">
        <v>563</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 { 'req' : 'id' }, { 'req': 'name' }, { 'req': 'isDumpTruck' }, { 'req': 'blueBookSection' }, { 'req': 'numberOfBlocks'} ]</v>
      </c>
      <c r="Y171" s="4" t="str">
        <f>IF(LEN(Table2[[#This Row],[!Unique]])&gt;0,IF(Table2[[#This Row],[!Type]] = "id", "rg:None","rg:True"),"rg:None")</f>
        <v>rg:None</v>
      </c>
    </row>
    <row r="172" spans="1:25" ht="72" x14ac:dyDescent="0.3">
      <c r="A172" s="140" t="s">
        <v>569</v>
      </c>
      <c r="B172" s="5" t="s">
        <v>4</v>
      </c>
      <c r="D172" s="140" t="s">
        <v>569</v>
      </c>
      <c r="E172" s="144" t="s">
        <v>573</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40" t="s">
        <v>569</v>
      </c>
      <c r="B173" s="5" t="s">
        <v>6</v>
      </c>
      <c r="D173" s="5" t="s">
        <v>6</v>
      </c>
      <c r="E173" s="101" t="s">
        <v>299</v>
      </c>
      <c r="F173" s="5" t="s">
        <v>5</v>
      </c>
      <c r="G173" s="4" t="s">
        <v>62</v>
      </c>
      <c r="H173" s="158" t="s">
        <v>62</v>
      </c>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40" t="s">
        <v>569</v>
      </c>
      <c r="B174" s="136" t="s">
        <v>8</v>
      </c>
      <c r="C174" s="72"/>
      <c r="D174" s="142" t="s">
        <v>181</v>
      </c>
      <c r="E174" s="47"/>
      <c r="F174" s="143" t="s">
        <v>182</v>
      </c>
      <c r="G174" s="157" t="s">
        <v>62</v>
      </c>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x14ac:dyDescent="0.3">
      <c r="A175" s="140" t="s">
        <v>569</v>
      </c>
      <c r="B175" s="5" t="s">
        <v>8</v>
      </c>
      <c r="D175" s="139" t="s">
        <v>37</v>
      </c>
      <c r="F175" s="139" t="s">
        <v>32</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ht="57.6" x14ac:dyDescent="0.3">
      <c r="A176" s="140" t="s">
        <v>569</v>
      </c>
      <c r="B176" s="5" t="s">
        <v>7</v>
      </c>
      <c r="C176" s="5">
        <v>50</v>
      </c>
      <c r="D176" s="139" t="s">
        <v>567</v>
      </c>
      <c r="E176" s="138" t="s">
        <v>568</v>
      </c>
      <c r="F176" s="5" t="s">
        <v>5</v>
      </c>
      <c r="G176" s="158" t="s">
        <v>62</v>
      </c>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50</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 { 'req': 'equipmentType' }, { 'req': 'district' }, { 'req': 'districtEquipmentName'} ]</v>
      </c>
      <c r="Y176" s="4" t="str">
        <f>IF(LEN(Table2[[#This Row],[!Unique]])&gt;0,IF(Table2[[#This Row],[!Type]] = "id", "rg:None","rg:True"),"rg:None")</f>
        <v>rg:None</v>
      </c>
    </row>
    <row r="177" spans="1:25" x14ac:dyDescent="0.3">
      <c r="A177" s="142" t="s">
        <v>574</v>
      </c>
      <c r="B177" s="124" t="s">
        <v>4</v>
      </c>
      <c r="C177" s="72"/>
      <c r="D177" s="142" t="s">
        <v>574</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2" t="s">
        <v>574</v>
      </c>
      <c r="B178" s="124" t="s">
        <v>6</v>
      </c>
      <c r="C178" s="72"/>
      <c r="D178" s="124" t="s">
        <v>6</v>
      </c>
      <c r="E178" s="47"/>
      <c r="F178" s="12"/>
      <c r="G178" s="126" t="s">
        <v>62</v>
      </c>
      <c r="H178" s="157" t="s">
        <v>62</v>
      </c>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2" t="s">
        <v>574</v>
      </c>
      <c r="B179" s="124" t="s">
        <v>8</v>
      </c>
      <c r="C179" s="72"/>
      <c r="D179" s="142" t="s">
        <v>575</v>
      </c>
      <c r="E179" s="129" t="s">
        <v>538</v>
      </c>
      <c r="F179" s="143" t="s">
        <v>569</v>
      </c>
      <c r="G179" s="157" t="s">
        <v>62</v>
      </c>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x14ac:dyDescent="0.3">
      <c r="A180" s="142" t="s">
        <v>574</v>
      </c>
      <c r="B180" s="142" t="s">
        <v>8</v>
      </c>
      <c r="C180" s="72"/>
      <c r="D180" s="142" t="s">
        <v>173</v>
      </c>
      <c r="E180" s="47"/>
      <c r="F180" s="143" t="s">
        <v>151</v>
      </c>
      <c r="G180" s="157" t="s">
        <v>62</v>
      </c>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ht="28.8" x14ac:dyDescent="0.3">
      <c r="A181" s="142" t="s">
        <v>574</v>
      </c>
      <c r="B181" s="124" t="s">
        <v>8</v>
      </c>
      <c r="C181" s="72"/>
      <c r="D181" s="124" t="s">
        <v>454</v>
      </c>
      <c r="E181" s="123" t="s">
        <v>533</v>
      </c>
      <c r="F181" s="125"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x14ac:dyDescent="0.3">
      <c r="A182" s="142" t="s">
        <v>574</v>
      </c>
      <c r="B182" s="131" t="s">
        <v>108</v>
      </c>
      <c r="C182" s="72"/>
      <c r="D182" s="131" t="s">
        <v>550</v>
      </c>
      <c r="E182" s="132" t="s">
        <v>549</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ht="28.8" x14ac:dyDescent="0.3">
      <c r="A183" s="142" t="s">
        <v>574</v>
      </c>
      <c r="B183" s="124" t="s">
        <v>8</v>
      </c>
      <c r="C183" s="72"/>
      <c r="D183" s="124" t="s">
        <v>531</v>
      </c>
      <c r="E183" s="123" t="s">
        <v>534</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x14ac:dyDescent="0.3">
      <c r="A184" s="142" t="s">
        <v>574</v>
      </c>
      <c r="B184" s="131" t="s">
        <v>108</v>
      </c>
      <c r="C184" s="72"/>
      <c r="D184" s="131" t="s">
        <v>551</v>
      </c>
      <c r="E184" s="132" t="s">
        <v>549</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ht="28.8" x14ac:dyDescent="0.3">
      <c r="A185" s="142" t="s">
        <v>574</v>
      </c>
      <c r="B185" s="124" t="s">
        <v>8</v>
      </c>
      <c r="C185" s="72"/>
      <c r="D185" s="122" t="s">
        <v>532</v>
      </c>
      <c r="E185" s="123" t="s">
        <v>535</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142" t="s">
        <v>574</v>
      </c>
      <c r="B186" s="131" t="s">
        <v>108</v>
      </c>
      <c r="C186" s="72"/>
      <c r="D186" s="131" t="s">
        <v>551</v>
      </c>
      <c r="E186" s="132" t="s">
        <v>549</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 { 'req': 'districtEquipmentType' }, { 'req': 'localArea'} ]</v>
      </c>
      <c r="Y186" s="4" t="str">
        <f>IF(LEN(Table2[[#This Row],[!Unique]])&gt;0,IF(Table2[[#This Row],[!Type]] = "id", "rg:None","rg:True"),"rg:None")</f>
        <v>rg:None</v>
      </c>
    </row>
    <row r="187" spans="1:25" x14ac:dyDescent="0.3">
      <c r="A187" s="82" t="s">
        <v>183</v>
      </c>
      <c r="B187" s="5" t="s">
        <v>4</v>
      </c>
      <c r="D187" s="82" t="s">
        <v>183</v>
      </c>
      <c r="E187" s="76" t="s">
        <v>365</v>
      </c>
      <c r="F187" s="5" t="s">
        <v>5</v>
      </c>
      <c r="G187" s="4"/>
      <c r="H187" s="4"/>
      <c r="I187" s="4" t="str">
        <f t="shared" ref="I187:I206"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2" t="s">
        <v>183</v>
      </c>
      <c r="B188" s="5" t="s">
        <v>6</v>
      </c>
      <c r="D188" s="5" t="s">
        <v>6</v>
      </c>
      <c r="E188" s="54" t="s">
        <v>298</v>
      </c>
      <c r="F188" s="5" t="s">
        <v>5</v>
      </c>
      <c r="G188" s="4" t="s">
        <v>62</v>
      </c>
      <c r="H188" s="158" t="s">
        <v>62</v>
      </c>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2" t="s">
        <v>183</v>
      </c>
      <c r="B189" s="5" t="s">
        <v>8</v>
      </c>
      <c r="D189" s="82" t="s">
        <v>178</v>
      </c>
      <c r="F189" s="82" t="s">
        <v>180</v>
      </c>
      <c r="G189" s="158"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x14ac:dyDescent="0.3">
      <c r="A190" s="82" t="s">
        <v>183</v>
      </c>
      <c r="B190" s="120" t="s">
        <v>7</v>
      </c>
      <c r="C190" s="5">
        <v>100</v>
      </c>
      <c r="D190" s="140" t="s">
        <v>578</v>
      </c>
      <c r="E190" s="144" t="s">
        <v>577</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28.8" x14ac:dyDescent="0.3">
      <c r="A191" s="82" t="s">
        <v>183</v>
      </c>
      <c r="B191" s="5" t="s">
        <v>7</v>
      </c>
      <c r="C191" s="5">
        <v>2048</v>
      </c>
      <c r="D191" s="82" t="s">
        <v>14</v>
      </c>
      <c r="E191" s="144" t="s">
        <v>579</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'equipment' }, { 'req': 'typeName'} ]</v>
      </c>
      <c r="Y191" s="4" t="str">
        <f>IF(LEN(Table2[[#This Row],[!Unique]])&gt;0,IF(Table2[[#This Row],[!Type]] = "id", "rg:None","rg:True"),"rg:None")</f>
        <v>rg:None</v>
      </c>
    </row>
    <row r="192" spans="1:25" ht="86.4" x14ac:dyDescent="0.3">
      <c r="A192" s="5" t="s">
        <v>147</v>
      </c>
      <c r="B192" s="5" t="s">
        <v>4</v>
      </c>
      <c r="D192" s="5" t="s">
        <v>147</v>
      </c>
      <c r="E192" s="101" t="s">
        <v>300</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6</v>
      </c>
      <c r="D193" s="5" t="s">
        <v>6</v>
      </c>
      <c r="E193" s="54" t="s">
        <v>356</v>
      </c>
      <c r="F193" s="5" t="s">
        <v>5</v>
      </c>
      <c r="G193" s="4" t="s">
        <v>62</v>
      </c>
      <c r="H193" s="158" t="s">
        <v>62</v>
      </c>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5" t="s">
        <v>147</v>
      </c>
      <c r="B194" s="5" t="s">
        <v>12</v>
      </c>
      <c r="D194" s="80" t="s">
        <v>30</v>
      </c>
      <c r="E194" s="76" t="s">
        <v>419</v>
      </c>
      <c r="F194" s="5" t="s">
        <v>5</v>
      </c>
      <c r="G194" s="158" t="s">
        <v>62</v>
      </c>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61" t="s">
        <v>147</v>
      </c>
      <c r="B195" s="61" t="s">
        <v>12</v>
      </c>
      <c r="C195" s="72"/>
      <c r="D195" s="61" t="s">
        <v>31</v>
      </c>
      <c r="E195" s="60" t="s">
        <v>420</v>
      </c>
      <c r="F195" s="12"/>
      <c r="G195" s="157" t="s">
        <v>62</v>
      </c>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2" t="s">
        <v>173</v>
      </c>
      <c r="E196" s="130" t="s">
        <v>537</v>
      </c>
      <c r="F196" s="82" t="s">
        <v>151</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x14ac:dyDescent="0.3">
      <c r="A197" s="5" t="s">
        <v>147</v>
      </c>
      <c r="B197" s="5" t="s">
        <v>8</v>
      </c>
      <c r="D197" s="82" t="s">
        <v>178</v>
      </c>
      <c r="E197" s="130" t="s">
        <v>540</v>
      </c>
      <c r="F197" s="82" t="s">
        <v>180</v>
      </c>
      <c r="G197" s="158" t="s">
        <v>62</v>
      </c>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ht="28.8" x14ac:dyDescent="0.3">
      <c r="A198" s="5" t="s">
        <v>147</v>
      </c>
      <c r="B198" s="5" t="s">
        <v>108</v>
      </c>
      <c r="D198" s="82" t="s">
        <v>189</v>
      </c>
      <c r="E198" s="101" t="s">
        <v>302</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x14ac:dyDescent="0.3">
      <c r="A199" s="5" t="s">
        <v>147</v>
      </c>
      <c r="B199" s="5" t="s">
        <v>8</v>
      </c>
      <c r="D199" s="82" t="s">
        <v>148</v>
      </c>
      <c r="E199" s="130" t="s">
        <v>544</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28.8" x14ac:dyDescent="0.3">
      <c r="A200" s="5" t="s">
        <v>147</v>
      </c>
      <c r="B200" s="5" t="s">
        <v>7</v>
      </c>
      <c r="C200" s="5">
        <v>150</v>
      </c>
      <c r="D200" s="80" t="s">
        <v>400</v>
      </c>
      <c r="E200" s="76" t="s">
        <v>401</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ht="57.6" x14ac:dyDescent="0.3">
      <c r="A201" s="5" t="s">
        <v>147</v>
      </c>
      <c r="B201" s="5" t="s">
        <v>108</v>
      </c>
      <c r="D201" s="5" t="s">
        <v>138</v>
      </c>
      <c r="E201" s="101" t="s">
        <v>301</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x14ac:dyDescent="0.3">
      <c r="A202" s="5" t="s">
        <v>147</v>
      </c>
      <c r="B202" s="5" t="s">
        <v>108</v>
      </c>
      <c r="D202" s="95" t="s">
        <v>246</v>
      </c>
      <c r="E202" s="96" t="s">
        <v>247</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5" t="s">
        <v>248</v>
      </c>
      <c r="E203" s="96" t="s">
        <v>249</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28.8" x14ac:dyDescent="0.3">
      <c r="A204" s="5" t="s">
        <v>147</v>
      </c>
      <c r="B204" s="5" t="s">
        <v>108</v>
      </c>
      <c r="D204" s="95" t="s">
        <v>251</v>
      </c>
      <c r="E204" s="96" t="s">
        <v>250</v>
      </c>
      <c r="F204" s="5" t="s">
        <v>5</v>
      </c>
      <c r="G204" s="4"/>
      <c r="H204" s="4"/>
      <c r="I204" s="4" t="str">
        <f t="shared" ref="I204:I205" si="22">IF(LEN(A204) &gt; 0,"Defs","-")</f>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43.2" x14ac:dyDescent="0.3">
      <c r="A205" s="5" t="s">
        <v>147</v>
      </c>
      <c r="B205" s="69" t="s">
        <v>9</v>
      </c>
      <c r="C205" s="72"/>
      <c r="D205" s="69" t="s">
        <v>439</v>
      </c>
      <c r="E205" s="70" t="s">
        <v>440</v>
      </c>
      <c r="F205" s="12"/>
      <c r="G205" s="18"/>
      <c r="H205" s="18"/>
      <c r="I205" s="4" t="str">
        <f t="shared" si="22"/>
        <v>Defs</v>
      </c>
      <c r="J205" s="4" t="str">
        <f>IF(Table2[[#This Row],[!Type]]=J$1, J$1,"rg:None")</f>
        <v>boolean</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isSeniorityOverridden</v>
      </c>
      <c r="V205"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ht="28.8" x14ac:dyDescent="0.3">
      <c r="A206" s="5" t="s">
        <v>147</v>
      </c>
      <c r="B206" s="69" t="s">
        <v>7</v>
      </c>
      <c r="C206" s="72">
        <v>2048</v>
      </c>
      <c r="D206" s="69" t="s">
        <v>438</v>
      </c>
      <c r="E206" s="70" t="s">
        <v>441</v>
      </c>
      <c r="F206" s="12"/>
      <c r="G206" s="18"/>
      <c r="H206" s="18"/>
      <c r="I206" s="4" t="str">
        <f t="shared" si="21"/>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f>IF(LEN(Table2[[#This Row],[!Length]]) &gt; 0, Table2[[#This Row],[!Length]], "rg:None")</f>
        <v>2048</v>
      </c>
      <c r="U206" s="4" t="str">
        <f>IF(LEN(Table2[[#This Row],[!Name]]) &gt; 0, Table2[[#This Row],[!Name]], "rg:None")</f>
        <v>seniorityOverrideReason</v>
      </c>
      <c r="V206" s="4" t="str">
        <f>IF(LEN(Table2[[#This Row],[!Description]]) &gt; 0, Table2[[#This Row],[!Description]], "rg:None")</f>
        <v>A text reason for why the piece of equipments underlying data was overridden to change their seniority number.</v>
      </c>
      <c r="W206" s="4" t="str">
        <f>IF(LEN(Table2[[#This Row],[!FK]])&gt;0,Table2[[#This Row],[!FK]],"rg:None")</f>
        <v>rg:None</v>
      </c>
      <c r="X206" s="14" t="str">
        <f>IF(LEN(concatif2(A:A,Table2[[#This Row],[!Table]],G:G,"Y",D:D,",")) &gt; 0,"rg:[ { 'req' : '"&amp;concatif2(A:A,Table2[[#This Row],[!Table]],G:G,"Y",D:D,"' }, { 'req': '")&amp;"'} ]","rg:[]")</f>
        <v>rg:[ { 'req' : 'id' }, { 'req': 'startDate' }, { 'req': 'endDate' }, { 'req': 'localArea' }, { 'req': 'equipment'} ]</v>
      </c>
      <c r="Y206" s="4" t="str">
        <f>IF(LEN(Table2[[#This Row],[!Unique]])&gt;0,IF(Table2[[#This Row],[!Type]] = "id", "rg:None","rg:True"),"rg:None")</f>
        <v>rg:None</v>
      </c>
    </row>
    <row r="207" spans="1:25" x14ac:dyDescent="0.3">
      <c r="A207" s="5" t="s">
        <v>145</v>
      </c>
      <c r="B207" s="5" t="s">
        <v>4</v>
      </c>
      <c r="D207" s="5" t="s">
        <v>145</v>
      </c>
      <c r="E207" s="76" t="s">
        <v>366</v>
      </c>
      <c r="F207" s="5" t="s">
        <v>5</v>
      </c>
      <c r="G207" s="4"/>
      <c r="H207" s="4"/>
      <c r="I207" s="4" t="str">
        <f t="shared" ref="I207:I222" si="23">IF(LEN(A207) &gt; 0,"Defs","-")</f>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table</v>
      </c>
      <c r="T207" s="4" t="str">
        <f>IF(LEN(Table2[[#This Row],[!Length]]) &gt; 0, Table2[[#This Row],[!Length]], "rg:None")</f>
        <v>rg:None</v>
      </c>
      <c r="U207" s="4" t="str">
        <f>IF(LEN(Table2[[#This Row],[!Name]]) &gt; 0, Table2[[#This Row],[!Name]], "rg:None")</f>
        <v>Owner</v>
      </c>
      <c r="V207" s="4" t="str">
        <f>IF(LEN(Table2[[#This Row],[!Description]]) &gt; 0, Table2[[#This Row],[!Description]], "rg:None")</f>
        <v>The person or company to which a piece of construction equipment belongs.</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x14ac:dyDescent="0.3">
      <c r="A208" s="5" t="s">
        <v>145</v>
      </c>
      <c r="B208" s="5" t="s">
        <v>6</v>
      </c>
      <c r="D208" s="5" t="s">
        <v>6</v>
      </c>
      <c r="E208" s="54" t="s">
        <v>357</v>
      </c>
      <c r="F208" s="5" t="s">
        <v>5</v>
      </c>
      <c r="G208" s="4"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id</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id</v>
      </c>
      <c r="V208" s="4" t="str">
        <f>IF(LEN(Table2[[#This Row],[!Description]]) &gt; 0, Table2[[#This Row],[!Description]], "rg:None")</f>
        <v>A system-generated unique identifier for a Owner</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rg:None</v>
      </c>
    </row>
    <row r="209" spans="1:25" ht="43.2" x14ac:dyDescent="0.3">
      <c r="A209" s="5" t="s">
        <v>145</v>
      </c>
      <c r="B209" s="5" t="s">
        <v>7</v>
      </c>
      <c r="C209" s="5">
        <v>20</v>
      </c>
      <c r="D209" s="92" t="s">
        <v>422</v>
      </c>
      <c r="E209" s="100" t="s">
        <v>303</v>
      </c>
      <c r="F209" s="5" t="s">
        <v>5</v>
      </c>
      <c r="G209" s="63" t="s">
        <v>62</v>
      </c>
      <c r="H209" s="63" t="s">
        <v>62</v>
      </c>
      <c r="I209" s="4" t="str">
        <f t="shared" si="23"/>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v>
      </c>
      <c r="U209" s="4" t="str">
        <f>IF(LEN(Table2[[#This Row],[!Name]]) &gt; 0, Table2[[#This Row],[!Name]], "rg:None")</f>
        <v>ownerEquipmentCodePrefix</v>
      </c>
      <c r="V209"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rg:True</v>
      </c>
    </row>
    <row r="210" spans="1:25" ht="28.8" x14ac:dyDescent="0.3">
      <c r="A210" s="61" t="s">
        <v>145</v>
      </c>
      <c r="B210" s="61" t="s">
        <v>7</v>
      </c>
      <c r="C210" s="72">
        <v>150</v>
      </c>
      <c r="D210" s="61" t="s">
        <v>398</v>
      </c>
      <c r="E210" s="60" t="s">
        <v>399</v>
      </c>
      <c r="F210" s="12"/>
      <c r="G210" s="157" t="s">
        <v>62</v>
      </c>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organizationName</v>
      </c>
      <c r="V210" s="4" t="str">
        <f>IF(LEN(Table2[[#This Row],[!Description]]) &gt; 0, Table2[[#This Row],[!Description]], "rg:None")</f>
        <v>The name of the organization of the Owner. May simply be the First Name, Last Name of the Owner if the Owner is a sole proprietorship, or the name of a company.</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28.8" x14ac:dyDescent="0.3">
      <c r="A211" s="69" t="s">
        <v>145</v>
      </c>
      <c r="B211" s="69" t="s">
        <v>7</v>
      </c>
      <c r="C211" s="72">
        <v>150</v>
      </c>
      <c r="D211" s="71" t="s">
        <v>434</v>
      </c>
      <c r="E211" s="70" t="s">
        <v>435</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doingBusinessAs</v>
      </c>
      <c r="V211" s="4" t="str">
        <f>IF(LEN(Table2[[#This Row],[!Description]]) &gt; 0, Table2[[#This Row],[!Description]], "rg:None")</f>
        <v xml:space="preserve">An official (per BC Registries) alternate name for an Owner organization under which it does business. The application does not verify the name against any registry/lookup. </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28.8" x14ac:dyDescent="0.3">
      <c r="A212" s="69" t="s">
        <v>145</v>
      </c>
      <c r="B212" s="69" t="s">
        <v>7</v>
      </c>
      <c r="C212" s="72">
        <v>150</v>
      </c>
      <c r="D212" s="71" t="s">
        <v>443</v>
      </c>
      <c r="E212" s="70" t="s">
        <v>436</v>
      </c>
      <c r="F212" s="12"/>
      <c r="G212" s="18"/>
      <c r="H212" s="18"/>
      <c r="I212" s="4" t="str">
        <f>IF(LEN(A212) &gt; 0,"Defs","-")</f>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150</v>
      </c>
      <c r="U212" s="4" t="str">
        <f>IF(LEN(Table2[[#This Row],[!Name]]) &gt; 0, Table2[[#This Row],[!Name]], "rg:None")</f>
        <v>registeredCompanyNumber</v>
      </c>
      <c r="V212" s="4" t="str">
        <f>IF(LEN(Table2[[#This Row],[!Description]]) &gt; 0, Table2[[#This Row],[!Description]], "rg:None")</f>
        <v>The BC Registries number under which the business is registered.  The application does not verify the number against any registry/lookup.</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ht="43.2" x14ac:dyDescent="0.3">
      <c r="A213" s="69" t="s">
        <v>145</v>
      </c>
      <c r="B213" s="69" t="s">
        <v>9</v>
      </c>
      <c r="C213" s="72"/>
      <c r="D213" s="71" t="s">
        <v>442</v>
      </c>
      <c r="E213" s="70" t="s">
        <v>437</v>
      </c>
      <c r="F213" s="12"/>
      <c r="G213" s="157" t="s">
        <v>62</v>
      </c>
      <c r="H213" s="18"/>
      <c r="I213" s="4" t="str">
        <f>IF(LEN(A213) &gt; 0,"Defs","-")</f>
        <v>Defs</v>
      </c>
      <c r="J213" s="4" t="str">
        <f>IF(Table2[[#This Row],[!Type]]=J$1, J$1,"rg:None")</f>
        <v>boolean</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meetsResidency</v>
      </c>
      <c r="V213"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3" s="4" t="str">
        <f>IF(LEN(Table2[[#This Row],[!FK]])&gt;0,Table2[[#This Row],[!FK]],"rg:None")</f>
        <v>rg:None</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x14ac:dyDescent="0.3">
      <c r="A214" s="5" t="s">
        <v>145</v>
      </c>
      <c r="B214" s="23" t="s">
        <v>8</v>
      </c>
      <c r="C214" s="72"/>
      <c r="D214" s="23" t="s">
        <v>192</v>
      </c>
      <c r="E214" s="103" t="s">
        <v>193</v>
      </c>
      <c r="F214" s="77" t="s">
        <v>172</v>
      </c>
      <c r="G214" s="18"/>
      <c r="H214" s="18"/>
      <c r="I214" s="4" t="str">
        <f t="shared" si="23"/>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ref</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primaryContact</v>
      </c>
      <c r="V214" s="4" t="str">
        <f>IF(LEN(Table2[[#This Row],[!Description]]) &gt; 0, Table2[[#This Row],[!Description]], "rg:None")</f>
        <v>Link to the designated Primary Contact.</v>
      </c>
      <c r="W214" s="4" t="str">
        <f>IF(LEN(Table2[[#This Row],[!FK]])&gt;0,Table2[[#This Row],[!FK]],"rg:None")</f>
        <v>Contact</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x14ac:dyDescent="0.3">
      <c r="A215" s="5" t="s">
        <v>145</v>
      </c>
      <c r="B215" s="102" t="s">
        <v>8</v>
      </c>
      <c r="D215" s="102" t="s">
        <v>173</v>
      </c>
      <c r="F215" s="102" t="s">
        <v>151</v>
      </c>
      <c r="G215" s="158" t="s">
        <v>62</v>
      </c>
      <c r="H215" s="4"/>
      <c r="I215" s="4" t="str">
        <f t="shared" si="23"/>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ref</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localArea</v>
      </c>
      <c r="V215" s="4" t="str">
        <f>IF(LEN(Table2[[#This Row],[!Description]]) &gt; 0, Table2[[#This Row],[!Description]], "rg:None")</f>
        <v>rg:None</v>
      </c>
      <c r="W215" s="4" t="str">
        <f>IF(LEN(Table2[[#This Row],[!FK]])&gt;0,Table2[[#This Row],[!FK]],"rg:None")</f>
        <v>LocalArea</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ht="28.8" x14ac:dyDescent="0.3">
      <c r="A216" s="5" t="s">
        <v>145</v>
      </c>
      <c r="B216" s="102" t="s">
        <v>9</v>
      </c>
      <c r="D216" s="102" t="s">
        <v>304</v>
      </c>
      <c r="E216" s="101" t="s">
        <v>305</v>
      </c>
      <c r="F216" s="5" t="s">
        <v>5</v>
      </c>
      <c r="G216" s="4"/>
      <c r="H216" s="4"/>
      <c r="I216" s="4" t="str">
        <f t="shared" si="23"/>
        <v>Defs</v>
      </c>
      <c r="J216" s="4" t="str">
        <f>IF(Table2[[#This Row],[!Type]]=J$1, J$1,"rg:None")</f>
        <v>boolean</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isMaintenanceContractor</v>
      </c>
      <c r="V216" s="4" t="str">
        <f>IF(LEN(Table2[[#This Row],[!Description]]) &gt; 0, Table2[[#This Row],[!Description]], "rg:None")</f>
        <v>True if the owner is contracted by MOTI to handle Maintenance activities in the area - e.g. provided services in address unscheduled issues on the roads in the area.</v>
      </c>
      <c r="W216" s="4" t="str">
        <f>IF(LEN(Table2[[#This Row],[!FK]])&gt;0,Table2[[#This Row],[!FK]],"rg:None")</f>
        <v>rg:None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
      <c r="A217" s="111" t="s">
        <v>145</v>
      </c>
      <c r="B217" s="111" t="s">
        <v>7</v>
      </c>
      <c r="C217" s="72">
        <v>50</v>
      </c>
      <c r="D217" s="111" t="s">
        <v>502</v>
      </c>
      <c r="E217" s="112" t="s">
        <v>500</v>
      </c>
      <c r="F217" s="12"/>
      <c r="G217" s="18"/>
      <c r="H217" s="18"/>
      <c r="I217" s="4" t="str">
        <f>IF(LEN(A217) &gt; 0,"Defs","-")</f>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50</v>
      </c>
      <c r="U217" s="4" t="str">
        <f>IF(LEN(Table2[[#This Row],[!Name]]) &gt; 0, Table2[[#This Row],[!Name]], "rg:None")</f>
        <v>workSafeBCPolicyNumber</v>
      </c>
      <c r="V217" s="4" t="str">
        <f>IF(LEN(Table2[[#This Row],[!Description]]) &gt; 0, Table2[[#This Row],[!Description]], "rg:None")</f>
        <v>The Owner's WorkSafeBC (aka WCB) Insurance Policy Number.</v>
      </c>
      <c r="W217" s="4" t="str">
        <f>IF(LEN(Table2[[#This Row],[!FK]])&gt;0,Table2[[#This Row],[!FK]],"rg:None")</f>
        <v>rg:None</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x14ac:dyDescent="0.3">
      <c r="A218" s="5" t="s">
        <v>145</v>
      </c>
      <c r="B218" s="82" t="s">
        <v>12</v>
      </c>
      <c r="D218" s="116" t="s">
        <v>503</v>
      </c>
      <c r="E218" s="113" t="s">
        <v>501</v>
      </c>
      <c r="F218" s="5" t="s">
        <v>5</v>
      </c>
      <c r="G218" s="4"/>
      <c r="H218" s="4"/>
      <c r="I218" s="4" t="str">
        <f t="shared" si="23"/>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workSafeBCExpiryDate</v>
      </c>
      <c r="V218" s="4" t="str">
        <f>IF(LEN(Table2[[#This Row],[!Description]]) &gt; 0, Table2[[#This Row],[!Description]], "rg:None")</f>
        <v>The expiration of the owner's current WorkSafeBC (aka WCB) permit.</v>
      </c>
      <c r="W218" s="4" t="str">
        <f>IF(LEN(Table2[[#This Row],[!FK]])&gt;0,Table2[[#This Row],[!FK]],"rg:None")</f>
        <v>rg:None</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57.6" x14ac:dyDescent="0.3">
      <c r="A219" s="5" t="s">
        <v>145</v>
      </c>
      <c r="B219" s="82" t="s">
        <v>12</v>
      </c>
      <c r="D219" s="82" t="s">
        <v>174</v>
      </c>
      <c r="E219" s="101" t="s">
        <v>306</v>
      </c>
      <c r="F219" s="5" t="s">
        <v>5</v>
      </c>
      <c r="G219" s="4"/>
      <c r="H219" s="4"/>
      <c r="I219" s="4" t="str">
        <f t="shared" si="23"/>
        <v>Defs</v>
      </c>
      <c r="J219" s="4" t="str">
        <f>IF(Table2[[#This Row],[!Type]]=J$1, J$1,"rg:None")</f>
        <v>rg:None</v>
      </c>
      <c r="K219" s="4" t="str">
        <f>IF(Table2[[#This Row],[!Type]]=K$1, K$1,"rg:None")</f>
        <v>rg:None</v>
      </c>
      <c r="L219" s="4" t="str">
        <f>IF(Table2[[#This Row],[!Type]]=L$1, L$1,"rg:None")</f>
        <v>datetime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CGLEndDate</v>
      </c>
      <c r="V219"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9" s="4" t="str">
        <f>IF(LEN(Table2[[#This Row],[!FK]])&gt;0,Table2[[#This Row],[!FK]],"rg:None")</f>
        <v>rg:None</v>
      </c>
      <c r="X219" s="14" t="str">
        <f>IF(LEN(concatif2(A:A,Table2[[#This Row],[!Table]],G:G,"Y",D:D,",")) &gt; 0,"rg:[ { 'req' : '"&amp;concatif2(A:A,Table2[[#This Row],[!Table]],G:G,"Y",D:D,"' }, { 'req': '")&amp;"'} ]","rg:[]")</f>
        <v>rg:[ { 'req' : 'id' }, { 'req': 'ownerEquipmentCodePrefix' }, { 'req': 'organizationName' }, { 'req': 'meetsResidency' }, { 'req': 'localArea' }, { 'req': 'status'} ]</v>
      </c>
      <c r="Y219" s="4" t="str">
        <f>IF(LEN(Table2[[#This Row],[!Unique]])&gt;0,IF(Table2[[#This Row],[!Type]] = "id", "rg:None","rg:True"),"rg:None")</f>
        <v>rg:None</v>
      </c>
    </row>
    <row r="220" spans="1:25" ht="57.6" x14ac:dyDescent="0.3">
      <c r="A220" s="5" t="s">
        <v>145</v>
      </c>
      <c r="B220" s="5" t="s">
        <v>7</v>
      </c>
      <c r="C220" s="5">
        <v>50</v>
      </c>
      <c r="D220" s="102" t="s">
        <v>231</v>
      </c>
      <c r="E220" s="101" t="s">
        <v>307</v>
      </c>
      <c r="F220" s="5" t="s">
        <v>5</v>
      </c>
      <c r="G220" s="158" t="s">
        <v>62</v>
      </c>
      <c r="H220" s="4"/>
      <c r="I220" s="4" t="str">
        <f t="shared" si="23"/>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50</v>
      </c>
      <c r="U220" s="4" t="str">
        <f>IF(LEN(Table2[[#This Row],[!Name]]) &gt; 0, Table2[[#This Row],[!Name]], "rg:None")</f>
        <v>status</v>
      </c>
      <c r="V220"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0" s="4" t="str">
        <f>IF(LEN(Table2[[#This Row],[!FK]])&gt;0,Table2[[#This Row],[!FK]],"rg:None")</f>
        <v>rg:None</v>
      </c>
      <c r="X220" s="14" t="str">
        <f>IF(LEN(concatif2(A:A,Table2[[#This Row],[!Table]],G:G,"Y",D:D,",")) &gt; 0,"rg:[ { 'req' : '"&amp;concatif2(A:A,Table2[[#This Row],[!Table]],G:G,"Y",D:D,"' }, { 'req': '")&amp;"'} ]","rg:[]")</f>
        <v>rg:[ { 'req' : 'id' }, { 'req': 'ownerEquipmentCodePrefix' }, { 'req': 'organizationName' }, { 'req': 'meetsResidency' }, { 'req': 'localArea' }, { 'req': 'status'} ]</v>
      </c>
      <c r="Y220" s="4" t="str">
        <f>IF(LEN(Table2[[#This Row],[!Unique]])&gt;0,IF(Table2[[#This Row],[!Type]] = "id", "rg:None","rg:True"),"rg:None")</f>
        <v>rg:None</v>
      </c>
    </row>
    <row r="221" spans="1:25" ht="28.8" x14ac:dyDescent="0.3">
      <c r="A221" s="5" t="s">
        <v>145</v>
      </c>
      <c r="B221" s="5" t="s">
        <v>7</v>
      </c>
      <c r="C221" s="5">
        <v>50</v>
      </c>
      <c r="D221" s="102" t="s">
        <v>252</v>
      </c>
      <c r="E221" s="79" t="s">
        <v>427</v>
      </c>
      <c r="F221" s="5" t="s">
        <v>5</v>
      </c>
      <c r="G221" s="4"/>
      <c r="H221" s="4"/>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50</v>
      </c>
      <c r="U221" s="4" t="str">
        <f>IF(LEN(Table2[[#This Row],[!Name]]) &gt; 0, Table2[[#This Row],[!Name]], "rg:None")</f>
        <v>archiveCode</v>
      </c>
      <c r="V221" s="4" t="str">
        <f>IF(LEN(Table2[[#This Row],[!Description]]) &gt; 0, Table2[[#This Row],[!Description]], "rg:None")</f>
        <v>TO BE REVIEWED WITH THE BUSINESS - IS THIS NEEDED -A coded reason for why an owner record has been moved to Archived.</v>
      </c>
      <c r="W221" s="4" t="str">
        <f>IF(LEN(Table2[[#This Row],[!FK]])&gt;0,Table2[[#This Row],[!FK]],"rg:None")</f>
        <v>rg:None</v>
      </c>
      <c r="X221" s="14" t="str">
        <f>IF(LEN(concatif2(A:A,Table2[[#This Row],[!Table]],G:G,"Y",D:D,",")) &gt; 0,"rg:[ { 'req' : '"&amp;concatif2(A:A,Table2[[#This Row],[!Table]],G:G,"Y",D:D,"' }, { 'req': '")&amp;"'} ]","rg:[]")</f>
        <v>rg:[ { 'req' : 'id' }, { 'req': 'ownerEquipmentCodePrefix' }, { 'req': 'organizationName' }, { 'req': 'meetsResidency' }, { 'req': 'localArea' }, { 'req': 'status'} ]</v>
      </c>
      <c r="Y221" s="4" t="str">
        <f>IF(LEN(Table2[[#This Row],[!Unique]])&gt;0,IF(Table2[[#This Row],[!Type]] = "id", "rg:None","rg:True"),"rg:None")</f>
        <v>rg:None</v>
      </c>
    </row>
    <row r="222" spans="1:25" x14ac:dyDescent="0.3">
      <c r="A222" s="5" t="s">
        <v>145</v>
      </c>
      <c r="B222" s="5" t="s">
        <v>7</v>
      </c>
      <c r="C222" s="5">
        <v>2048</v>
      </c>
      <c r="D222" s="5" t="s">
        <v>140</v>
      </c>
      <c r="E222" s="101" t="s">
        <v>308</v>
      </c>
      <c r="F222" s="5" t="s">
        <v>5</v>
      </c>
      <c r="G222" s="4"/>
      <c r="H222" s="4"/>
      <c r="I222" s="4" t="str">
        <f t="shared" si="23"/>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2048</v>
      </c>
      <c r="U222" s="4" t="str">
        <f>IF(LEN(Table2[[#This Row],[!Name]]) &gt; 0, Table2[[#This Row],[!Name]], "rg:None")</f>
        <v>archiveReason</v>
      </c>
      <c r="V222" s="4" t="str">
        <f>IF(LEN(Table2[[#This Row],[!Description]]) &gt; 0, Table2[[#This Row],[!Description]], "rg:None")</f>
        <v>A text note about why the owner record has been changed to Archived.</v>
      </c>
      <c r="W222" s="4" t="str">
        <f>IF(LEN(Table2[[#This Row],[!FK]])&gt;0,Table2[[#This Row],[!FK]],"rg:None")</f>
        <v>rg:None</v>
      </c>
      <c r="X222" s="14" t="str">
        <f>IF(LEN(concatif2(A:A,Table2[[#This Row],[!Table]],G:G,"Y",D:D,",")) &gt; 0,"rg:[ { 'req' : '"&amp;concatif2(A:A,Table2[[#This Row],[!Table]],G:G,"Y",D:D,"' }, { 'req': '")&amp;"'} ]","rg:[]")</f>
        <v>rg:[ { 'req' : 'id' }, { 'req': 'ownerEquipmentCodePrefix' }, { 'req': 'organizationName' }, { 'req': 'meetsResidency' }, { 'req': 'localArea' }, { 'req': 'status'} ]</v>
      </c>
      <c r="Y222" s="4" t="str">
        <f>IF(LEN(Table2[[#This Row],[!Unique]])&gt;0,IF(Table2[[#This Row],[!Type]] = "id", "rg:None","rg:True"),"rg:None")</f>
        <v>rg:None</v>
      </c>
    </row>
    <row r="223" spans="1:25" ht="28.8" x14ac:dyDescent="0.3">
      <c r="A223" s="64" t="s">
        <v>145</v>
      </c>
      <c r="B223" s="64" t="s">
        <v>12</v>
      </c>
      <c r="C223" s="72"/>
      <c r="D223" s="64" t="s">
        <v>187</v>
      </c>
      <c r="E223" s="65" t="s">
        <v>423</v>
      </c>
      <c r="F223" s="12"/>
      <c r="G223" s="18"/>
      <c r="H223" s="18"/>
      <c r="I223" s="4" t="str">
        <f>IF(LEN(A223) &gt; 0,"Defs","-")</f>
        <v>Defs</v>
      </c>
      <c r="J223" s="4" t="str">
        <f>IF(Table2[[#This Row],[!Type]]=J$1, J$1,"rg:None")</f>
        <v>rg:None</v>
      </c>
      <c r="K223" s="4" t="str">
        <f>IF(Table2[[#This Row],[!Type]]=K$1, K$1,"rg:None")</f>
        <v>rg:None</v>
      </c>
      <c r="L223" s="4" t="str">
        <f>IF(Table2[[#This Row],[!Type]]=L$1, L$1,"rg:None")</f>
        <v>datetime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archiveDate</v>
      </c>
      <c r="V223" s="4" t="str">
        <f>IF(LEN(Table2[[#This Row],[!Description]]) &gt; 0, Table2[[#This Row],[!Description]], "rg:None")</f>
        <v>The date the Owner record was changed to Archived and removed from active use in the system.</v>
      </c>
      <c r="W223" s="4" t="str">
        <f>IF(LEN(Table2[[#This Row],[!FK]])&gt;0,Table2[[#This Row],[!FK]],"rg:None")</f>
        <v>rg:None</v>
      </c>
      <c r="X223" s="14" t="str">
        <f>IF(LEN(concatif2(A:A,Table2[[#This Row],[!Table]],G:G,"Y",D:D,",")) &gt; 0,"rg:[ { 'req' : '"&amp;concatif2(A:A,Table2[[#This Row],[!Table]],G:G,"Y",D:D,"' }, { 'req': '")&amp;"'} ]","rg:[]")</f>
        <v>rg:[ { 'req' : 'id' }, { 'req': 'ownerEquipmentCodePrefix' }, { 'req': 'organizationName' }, { 'req': 'meetsResidency' }, { 'req': 'localArea' }, { 'req': 'status'} ]</v>
      </c>
      <c r="Y223" s="4" t="str">
        <f>IF(LEN(Table2[[#This Row],[!Unique]])&gt;0,IF(Table2[[#This Row],[!Type]] = "id", "rg:None","rg:True"),"rg:None")</f>
        <v>rg:None</v>
      </c>
    </row>
    <row r="224" spans="1:25" x14ac:dyDescent="0.3">
      <c r="A224" s="21" t="s">
        <v>145</v>
      </c>
      <c r="B224" s="21" t="s">
        <v>19</v>
      </c>
      <c r="C224" s="72"/>
      <c r="D224" s="21" t="s">
        <v>176</v>
      </c>
      <c r="E224" s="47"/>
      <c r="F224" s="82" t="s">
        <v>172</v>
      </c>
      <c r="G224" s="18"/>
      <c r="H224" s="18"/>
      <c r="I224" s="4" t="str">
        <f t="shared" ref="I224:I228" si="24">IF(LEN(A224) &gt; 0,"Defs","-")</f>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contacts</v>
      </c>
      <c r="V224" s="4" t="str">
        <f>IF(LEN(Table2[[#This Row],[!Description]]) &gt; 0, Table2[[#This Row],[!Description]], "rg:None")</f>
        <v>rg:None</v>
      </c>
      <c r="W224" s="4" t="str">
        <f>IF(LEN(Table2[[#This Row],[!FK]])&gt;0,Table2[[#This Row],[!FK]],"rg:None")</f>
        <v>Contact</v>
      </c>
      <c r="X224" s="14" t="str">
        <f>IF(LEN(concatif2(A:A,Table2[[#This Row],[!Table]],G:G,"Y",D:D,",")) &gt; 0,"rg:[ { 'req' : '"&amp;concatif2(A:A,Table2[[#This Row],[!Table]],G:G,"Y",D:D,"' }, { 'req': '")&amp;"'} ]","rg:[]")</f>
        <v>rg:[ { 'req' : 'id' }, { 'req': 'ownerEquipmentCodePrefix' }, { 'req': 'organizationName' }, { 'req': 'meetsResidency' }, { 'req': 'localArea' }, { 'req': 'status'} ]</v>
      </c>
      <c r="Y224" s="4" t="str">
        <f>IF(LEN(Table2[[#This Row],[!Unique]])&gt;0,IF(Table2[[#This Row],[!Type]] = "id", "rg:None","rg:True"),"rg:None")</f>
        <v>rg:None</v>
      </c>
    </row>
    <row r="225" spans="1:25" x14ac:dyDescent="0.3">
      <c r="A225" s="21" t="s">
        <v>145</v>
      </c>
      <c r="B225" s="21" t="s">
        <v>19</v>
      </c>
      <c r="C225" s="72"/>
      <c r="D225" s="21" t="s">
        <v>164</v>
      </c>
      <c r="E225" s="47"/>
      <c r="F225" s="22" t="s">
        <v>146</v>
      </c>
      <c r="G225" s="18"/>
      <c r="H225" s="18"/>
      <c r="I225" s="4" t="str">
        <f t="shared" si="24"/>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notes</v>
      </c>
      <c r="V225" s="4" t="str">
        <f>IF(LEN(Table2[[#This Row],[!Description]]) &gt; 0, Table2[[#This Row],[!Description]], "rg:None")</f>
        <v>rg:None</v>
      </c>
      <c r="W225" s="4" t="str">
        <f>IF(LEN(Table2[[#This Row],[!FK]])&gt;0,Table2[[#This Row],[!FK]],"rg:None")</f>
        <v>Note</v>
      </c>
      <c r="X225" s="14" t="str">
        <f>IF(LEN(concatif2(A:A,Table2[[#This Row],[!Table]],G:G,"Y",D:D,",")) &gt; 0,"rg:[ { 'req' : '"&amp;concatif2(A:A,Table2[[#This Row],[!Table]],G:G,"Y",D:D,"' }, { 'req': '")&amp;"'} ]","rg:[]")</f>
        <v>rg:[ { 'req' : 'id' }, { 'req': 'ownerEquipmentCodePrefix' }, { 'req': 'organizationName' }, { 'req': 'meetsResidency' }, { 'req': 'localArea' }, { 'req': 'status'} ]</v>
      </c>
      <c r="Y225" s="4" t="str">
        <f>IF(LEN(Table2[[#This Row],[!Unique]])&gt;0,IF(Table2[[#This Row],[!Type]] = "id", "rg:None","rg:True"),"rg:None")</f>
        <v>rg:None</v>
      </c>
    </row>
    <row r="226" spans="1:25" x14ac:dyDescent="0.3">
      <c r="A226" s="21" t="s">
        <v>145</v>
      </c>
      <c r="B226" s="21" t="s">
        <v>19</v>
      </c>
      <c r="C226" s="72"/>
      <c r="D226" s="21" t="s">
        <v>175</v>
      </c>
      <c r="E226" s="47"/>
      <c r="F226" s="81" t="s">
        <v>158</v>
      </c>
      <c r="G226" s="18"/>
      <c r="H226" s="18"/>
      <c r="I226" s="4" t="str">
        <f t="shared" si="24"/>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attachments</v>
      </c>
      <c r="V226" s="4" t="str">
        <f>IF(LEN(Table2[[#This Row],[!Description]]) &gt; 0, Table2[[#This Row],[!Description]], "rg:None")</f>
        <v>rg:None</v>
      </c>
      <c r="W226" s="4" t="str">
        <f>IF(LEN(Table2[[#This Row],[!FK]])&gt;0,Table2[[#This Row],[!FK]],"rg:None")</f>
        <v>Attachment</v>
      </c>
      <c r="X226" s="14" t="str">
        <f>IF(LEN(concatif2(A:A,Table2[[#This Row],[!Table]],G:G,"Y",D:D,",")) &gt; 0,"rg:[ { 'req' : '"&amp;concatif2(A:A,Table2[[#This Row],[!Table]],G:G,"Y",D:D,"' }, { 'req': '")&amp;"'} ]","rg:[]")</f>
        <v>rg:[ { 'req' : 'id' }, { 'req': 'ownerEquipmentCodePrefix' }, { 'req': 'organizationName' }, { 'req': 'meetsResidency' }, { 'req': 'localArea' }, { 'req': 'status'} ]</v>
      </c>
      <c r="Y226" s="4" t="str">
        <f>IF(LEN(Table2[[#This Row],[!Unique]])&gt;0,IF(Table2[[#This Row],[!Type]] = "id", "rg:None","rg:True"),"rg:None")</f>
        <v>rg:None</v>
      </c>
    </row>
    <row r="227" spans="1:25" x14ac:dyDescent="0.3">
      <c r="A227" s="21" t="s">
        <v>145</v>
      </c>
      <c r="B227" s="21" t="s">
        <v>19</v>
      </c>
      <c r="C227" s="72"/>
      <c r="D227" s="21" t="s">
        <v>177</v>
      </c>
      <c r="E227" s="47"/>
      <c r="F227" s="82" t="s">
        <v>160</v>
      </c>
      <c r="G227" s="18"/>
      <c r="H227" s="18"/>
      <c r="I227" s="4" t="str">
        <f t="shared" si="24"/>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history</v>
      </c>
      <c r="V227" s="4" t="str">
        <f>IF(LEN(Table2[[#This Row],[!Description]]) &gt; 0, Table2[[#This Row],[!Description]], "rg:None")</f>
        <v>rg:None</v>
      </c>
      <c r="W227" s="4" t="str">
        <f>IF(LEN(Table2[[#This Row],[!FK]])&gt;0,Table2[[#This Row],[!FK]],"rg:None")</f>
        <v>History</v>
      </c>
      <c r="X227" s="14" t="str">
        <f>IF(LEN(concatif2(A:A,Table2[[#This Row],[!Table]],G:G,"Y",D:D,",")) &gt; 0,"rg:[ { 'req' : '"&amp;concatif2(A:A,Table2[[#This Row],[!Table]],G:G,"Y",D:D,"' }, { 'req': '")&amp;"'} ]","rg:[]")</f>
        <v>rg:[ { 'req' : 'id' }, { 'req': 'ownerEquipmentCodePrefix' }, { 'req': 'organizationName' }, { 'req': 'meetsResidency' }, { 'req': 'localArea' }, { 'req': 'status'} ]</v>
      </c>
      <c r="Y227" s="4" t="str">
        <f>IF(LEN(Table2[[#This Row],[!Unique]])&gt;0,IF(Table2[[#This Row],[!Type]] = "id", "rg:None","rg:True"),"rg:None")</f>
        <v>rg:None</v>
      </c>
    </row>
    <row r="228" spans="1:25" x14ac:dyDescent="0.3">
      <c r="A228" s="21" t="s">
        <v>145</v>
      </c>
      <c r="B228" s="21" t="s">
        <v>19</v>
      </c>
      <c r="C228" s="72"/>
      <c r="D228" s="21" t="s">
        <v>179</v>
      </c>
      <c r="E228" s="47"/>
      <c r="F228" s="82" t="s">
        <v>180</v>
      </c>
      <c r="G228" s="18"/>
      <c r="H228" s="18"/>
      <c r="I228" s="4" t="str">
        <f t="shared" si="24"/>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links</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equipmentList</v>
      </c>
      <c r="V228" s="4" t="str">
        <f>IF(LEN(Table2[[#This Row],[!Description]]) &gt; 0, Table2[[#This Row],[!Description]], "rg:None")</f>
        <v>rg:None</v>
      </c>
      <c r="W228" s="4" t="str">
        <f>IF(LEN(Table2[[#This Row],[!FK]])&gt;0,Table2[[#This Row],[!FK]],"rg:None")</f>
        <v>Equipment</v>
      </c>
      <c r="X228" s="14" t="str">
        <f>IF(LEN(concatif2(A:A,Table2[[#This Row],[!Table]],G:G,"Y",D:D,",")) &gt; 0,"rg:[ { 'req' : '"&amp;concatif2(A:A,Table2[[#This Row],[!Table]],G:G,"Y",D:D,"' }, { 'req': '")&amp;"'} ]","rg:[]")</f>
        <v>rg:[ { 'req' : 'id' }, { 'req': 'ownerEquipmentCodePrefix' }, { 'req': 'organizationName' }, { 'req': 'meetsResidency' }, { 'req': 'localArea' }, { 'req': 'status'} ]</v>
      </c>
      <c r="Y228" s="4" t="str">
        <f>IF(LEN(Table2[[#This Row],[!Unique]])&gt;0,IF(Table2[[#This Row],[!Type]] = "id", "rg:None","rg:True"),"rg:None")</f>
        <v>rg:None</v>
      </c>
    </row>
    <row r="229" spans="1:25" ht="43.2" x14ac:dyDescent="0.3">
      <c r="A229" s="153" t="s">
        <v>592</v>
      </c>
      <c r="B229" s="148" t="s">
        <v>4</v>
      </c>
      <c r="C229" s="72"/>
      <c r="D229" s="154" t="s">
        <v>592</v>
      </c>
      <c r="E229" s="149" t="s">
        <v>581</v>
      </c>
      <c r="F229" s="12"/>
      <c r="G229" s="18"/>
      <c r="H229" s="18"/>
      <c r="I229" s="4" t="str">
        <f t="shared" ref="I229:I235" si="25">IF(LEN(A229) &gt; 0,"Defs","-")</f>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table</v>
      </c>
      <c r="T229" s="4" t="str">
        <f>IF(LEN(Table2[[#This Row],[!Length]]) &gt; 0, Table2[[#This Row],[!Length]], "rg:None")</f>
        <v>rg:None</v>
      </c>
      <c r="U229" s="4" t="str">
        <f>IF(LEN(Table2[[#This Row],[!Name]]) &gt; 0, Table2[[#This Row],[!Name]], "rg:None")</f>
        <v>LookupList</v>
      </c>
      <c r="V229"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9" s="4" t="str">
        <f>IF(LEN(Table2[[#This Row],[!FK]])&gt;0,Table2[[#This Row],[!FK]],"rg:None")</f>
        <v>rg:None</v>
      </c>
      <c r="X229" s="14" t="str">
        <f>IF(LEN(concatif2(A:A,Table2[[#This Row],[!Table]],G:G,"Y",D:D,",")) &gt; 0,"rg:[ { 'req' : '"&amp;concatif2(A:A,Table2[[#This Row],[!Table]],G:G,"Y",D:D,"' }, { 'req': '")&amp;"'} ]","rg:[]")</f>
        <v>rg:[ { 'req' : 'id' }, { 'req': 'contextName' }, { 'req': 'isDefault' }, { 'req': 'codeName' }, { 'req': 'value'} ]</v>
      </c>
      <c r="Y229" s="4" t="str">
        <f>IF(LEN(Table2[[#This Row],[!Unique]])&gt;0,IF(Table2[[#This Row],[!Type]] = "id", "rg:None","rg:True"),"rg:None")</f>
        <v>rg:None</v>
      </c>
    </row>
    <row r="230" spans="1:25" x14ac:dyDescent="0.3">
      <c r="A230" s="153" t="s">
        <v>592</v>
      </c>
      <c r="B230" s="148" t="s">
        <v>6</v>
      </c>
      <c r="C230" s="72"/>
      <c r="D230" s="148" t="s">
        <v>6</v>
      </c>
      <c r="E230" s="150" t="s">
        <v>582</v>
      </c>
      <c r="F230" s="12"/>
      <c r="G230" s="151" t="s">
        <v>62</v>
      </c>
      <c r="H230" s="151" t="s">
        <v>62</v>
      </c>
      <c r="I230" s="4" t="str">
        <f t="shared" si="25"/>
        <v>Defs</v>
      </c>
      <c r="J230" s="4" t="str">
        <f>IF(Table2[[#This Row],[!Type]]=J$1, J$1,"rg:None")</f>
        <v>rg:None</v>
      </c>
      <c r="K230" s="4" t="str">
        <f>IF(Table2[[#This Row],[!Type]]=K$1, K$1,"rg:None")</f>
        <v>rg:None</v>
      </c>
      <c r="L230" s="4" t="str">
        <f>IF(Table2[[#This Row],[!Type]]=L$1, L$1,"rg:None")</f>
        <v>rg:None</v>
      </c>
      <c r="M230" s="4" t="str">
        <f>IF(Table2[[#This Row],[!Type]]=M$1, M$1,"rg:None")</f>
        <v>id</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id</v>
      </c>
      <c r="V230" s="4" t="str">
        <f>IF(LEN(Table2[[#This Row],[!Description]]) &gt; 0, Table2[[#This Row],[!Description]], "rg:None")</f>
        <v>A system-generated unique identifier for a LookupList</v>
      </c>
      <c r="W230" s="4" t="str">
        <f>IF(LEN(Table2[[#This Row],[!FK]])&gt;0,Table2[[#This Row],[!FK]],"rg:None")</f>
        <v>rg:None</v>
      </c>
      <c r="X230" s="14" t="str">
        <f>IF(LEN(concatif2(A:A,Table2[[#This Row],[!Table]],G:G,"Y",D:D,",")) &gt; 0,"rg:[ { 'req' : '"&amp;concatif2(A:A,Table2[[#This Row],[!Table]],G:G,"Y",D:D,"' }, { 'req': '")&amp;"'} ]","rg:[]")</f>
        <v>rg:[ { 'req' : 'id' }, { 'req': 'contextName' }, { 'req': 'isDefault' }, { 'req': 'codeName' }, { 'req': 'value'} ]</v>
      </c>
      <c r="Y230" s="4" t="str">
        <f>IF(LEN(Table2[[#This Row],[!Unique]])&gt;0,IF(Table2[[#This Row],[!Type]] = "id", "rg:None","rg:True"),"rg:None")</f>
        <v>rg:None</v>
      </c>
    </row>
    <row r="231" spans="1:25" ht="28.8" x14ac:dyDescent="0.3">
      <c r="A231" s="153" t="s">
        <v>592</v>
      </c>
      <c r="B231" s="148" t="s">
        <v>7</v>
      </c>
      <c r="C231" s="72">
        <v>100</v>
      </c>
      <c r="D231" s="148" t="s">
        <v>583</v>
      </c>
      <c r="E231" s="149" t="s">
        <v>584</v>
      </c>
      <c r="F231" s="12"/>
      <c r="G231" s="157" t="s">
        <v>62</v>
      </c>
      <c r="H231" s="18"/>
      <c r="I231" s="4" t="str">
        <f t="shared" si="25"/>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100</v>
      </c>
      <c r="U231" s="4" t="str">
        <f>IF(LEN(Table2[[#This Row],[!Name]]) &gt; 0, Table2[[#This Row],[!Name]], "rg:None")</f>
        <v>contextName</v>
      </c>
      <c r="V231" s="4" t="str">
        <f>IF(LEN(Table2[[#This Row],[!Description]]) &gt; 0, Table2[[#This Row],[!Description]], "rg:None")</f>
        <v>The context within the app in which this lookup list if used. Defined and referenced in the code of the application.</v>
      </c>
      <c r="W231" s="4" t="str">
        <f>IF(LEN(Table2[[#This Row],[!FK]])&gt;0,Table2[[#This Row],[!FK]],"rg:None")</f>
        <v>rg:None</v>
      </c>
      <c r="X231" s="14" t="str">
        <f>IF(LEN(concatif2(A:A,Table2[[#This Row],[!Table]],G:G,"Y",D:D,",")) &gt; 0,"rg:[ { 'req' : '"&amp;concatif2(A:A,Table2[[#This Row],[!Table]],G:G,"Y",D:D,"' }, { 'req': '")&amp;"'} ]","rg:[]")</f>
        <v>rg:[ { 'req' : 'id' }, { 'req': 'contextName' }, { 'req': 'isDefault' }, { 'req': 'codeName' }, { 'req': 'value'} ]</v>
      </c>
      <c r="Y231" s="4" t="str">
        <f>IF(LEN(Table2[[#This Row],[!Unique]])&gt;0,IF(Table2[[#This Row],[!Type]] = "id", "rg:None","rg:True"),"rg:None")</f>
        <v>rg:None</v>
      </c>
    </row>
    <row r="232" spans="1:25" x14ac:dyDescent="0.3">
      <c r="A232" s="153" t="s">
        <v>592</v>
      </c>
      <c r="B232" s="148" t="s">
        <v>9</v>
      </c>
      <c r="C232" s="72"/>
      <c r="D232" s="148" t="s">
        <v>26</v>
      </c>
      <c r="E232" s="149" t="s">
        <v>585</v>
      </c>
      <c r="F232" s="12"/>
      <c r="G232" s="157" t="s">
        <v>62</v>
      </c>
      <c r="H232" s="18"/>
      <c r="I232" s="4" t="str">
        <f t="shared" si="25"/>
        <v>Defs</v>
      </c>
      <c r="J232" s="4" t="str">
        <f>IF(Table2[[#This Row],[!Type]]=J$1, J$1,"rg:None")</f>
        <v>boolean</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isDefault</v>
      </c>
      <c r="V232" s="4" t="str">
        <f>IF(LEN(Table2[[#This Row],[!Description]]) &gt; 0, Table2[[#This Row],[!Description]], "rg:None")</f>
        <v>True of the value within the lookup list context should be the default for the lookup instance.</v>
      </c>
      <c r="W232" s="4" t="str">
        <f>IF(LEN(Table2[[#This Row],[!FK]])&gt;0,Table2[[#This Row],[!FK]],"rg:None")</f>
        <v>rg:None</v>
      </c>
      <c r="X232" s="14" t="str">
        <f>IF(LEN(concatif2(A:A,Table2[[#This Row],[!Table]],G:G,"Y",D:D,",")) &gt; 0,"rg:[ { 'req' : '"&amp;concatif2(A:A,Table2[[#This Row],[!Table]],G:G,"Y",D:D,"' }, { 'req': '")&amp;"'} ]","rg:[]")</f>
        <v>rg:[ { 'req' : 'id' }, { 'req': 'contextName' }, { 'req': 'isDefault' }, { 'req': 'codeName' }, { 'req': 'value'} ]</v>
      </c>
      <c r="Y232" s="4" t="str">
        <f>IF(LEN(Table2[[#This Row],[!Unique]])&gt;0,IF(Table2[[#This Row],[!Type]] = "id", "rg:None","rg:True"),"rg:None")</f>
        <v>rg:None</v>
      </c>
    </row>
    <row r="233" spans="1:25" x14ac:dyDescent="0.3">
      <c r="A233" s="153" t="s">
        <v>592</v>
      </c>
      <c r="B233" s="148" t="s">
        <v>13</v>
      </c>
      <c r="C233" s="72"/>
      <c r="D233" s="148" t="s">
        <v>586</v>
      </c>
      <c r="E233" s="149" t="s">
        <v>587</v>
      </c>
      <c r="F233" s="12"/>
      <c r="G233" s="18"/>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integer</v>
      </c>
      <c r="O233" s="4" t="str">
        <f>IF(Table2[[#This Row],[!Type]]=O$1, O$1,"rg:None")</f>
        <v>rg:None</v>
      </c>
      <c r="P233" s="4" t="str">
        <f>IF(Table2[[#This Row],[!Type]]=P$1, P$1,"rg:None")</f>
        <v>rg:None</v>
      </c>
      <c r="Q233" s="4" t="str">
        <f>IF(Table2[[#This Row],[!Type]]=Q$1, Q$1,"rg:None")</f>
        <v>rg:None</v>
      </c>
      <c r="R233" s="4" t="str">
        <f>IF(Table2[[#This Row],[!Type]]=R$1, R$1,"rg:None")</f>
        <v>rg:None</v>
      </c>
      <c r="S233" s="4" t="str">
        <f>IF(Table2[[#This Row],[!Type]]=S$1, S$1,"rg:None")</f>
        <v>rg:None</v>
      </c>
      <c r="T233" s="4" t="str">
        <f>IF(LEN(Table2[[#This Row],[!Length]]) &gt; 0, Table2[[#This Row],[!Length]], "rg:None")</f>
        <v>rg:None</v>
      </c>
      <c r="U233" s="4" t="str">
        <f>IF(LEN(Table2[[#This Row],[!Name]]) &gt; 0, Table2[[#This Row],[!Name]], "rg:None")</f>
        <v>displaySortOrder</v>
      </c>
      <c r="V233" s="4" t="str">
        <f>IF(LEN(Table2[[#This Row],[!Description]]) &gt; 0, Table2[[#This Row],[!Description]], "rg:None")</f>
        <v>The sort order for list of values within a list context.</v>
      </c>
      <c r="W233" s="4" t="str">
        <f>IF(LEN(Table2[[#This Row],[!FK]])&gt;0,Table2[[#This Row],[!FK]],"rg:None")</f>
        <v>rg:None</v>
      </c>
      <c r="X233" s="14" t="str">
        <f>IF(LEN(concatif2(A:A,Table2[[#This Row],[!Table]],G:G,"Y",D:D,",")) &gt; 0,"rg:[ { 'req' : '"&amp;concatif2(A:A,Table2[[#This Row],[!Table]],G:G,"Y",D:D,"' }, { 'req': '")&amp;"'} ]","rg:[]")</f>
        <v>rg:[ { 'req' : 'id' }, { 'req': 'contextName' }, { 'req': 'isDefault' }, { 'req': 'codeName' }, { 'req': 'value'} ]</v>
      </c>
      <c r="Y233" s="4" t="str">
        <f>IF(LEN(Table2[[#This Row],[!Unique]])&gt;0,IF(Table2[[#This Row],[!Type]] = "id", "rg:None","rg:True"),"rg:None")</f>
        <v>rg:None</v>
      </c>
    </row>
    <row r="234" spans="1:25" ht="28.8" x14ac:dyDescent="0.3">
      <c r="A234" s="153" t="s">
        <v>592</v>
      </c>
      <c r="B234" s="148" t="s">
        <v>7</v>
      </c>
      <c r="C234" s="72">
        <v>30</v>
      </c>
      <c r="D234" s="148" t="s">
        <v>588</v>
      </c>
      <c r="E234" s="149" t="s">
        <v>590</v>
      </c>
      <c r="F234" s="12"/>
      <c r="G234" s="157" t="s">
        <v>62</v>
      </c>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30</v>
      </c>
      <c r="U234" s="4" t="str">
        <f>IF(LEN(Table2[[#This Row],[!Name]]) &gt; 0, Table2[[#This Row],[!Name]], "rg:None")</f>
        <v>codeName</v>
      </c>
      <c r="V234" s="4" t="str">
        <f>IF(LEN(Table2[[#This Row],[!Description]]) &gt; 0, Table2[[#This Row],[!Description]], "rg:None")</f>
        <v>The a shorter lookup name to find the value. Can be used at the option of the application to present on the screen a short version of the lookup list value.</v>
      </c>
      <c r="W234" s="4" t="str">
        <f>IF(LEN(Table2[[#This Row],[!FK]])&gt;0,Table2[[#This Row],[!FK]],"rg:None")</f>
        <v>rg:None</v>
      </c>
      <c r="X234" s="14" t="str">
        <f>IF(LEN(concatif2(A:A,Table2[[#This Row],[!Table]],G:G,"Y",D:D,",")) &gt; 0,"rg:[ { 'req' : '"&amp;concatif2(A:A,Table2[[#This Row],[!Table]],G:G,"Y",D:D,"' }, { 'req': '")&amp;"'} ]","rg:[]")</f>
        <v>rg:[ { 'req' : 'id' }, { 'req': 'contextName' }, { 'req': 'isDefault' }, { 'req': 'codeName' }, { 'req': 'value'} ]</v>
      </c>
      <c r="Y234" s="4" t="str">
        <f>IF(LEN(Table2[[#This Row],[!Unique]])&gt;0,IF(Table2[[#This Row],[!Type]] = "id", "rg:None","rg:True"),"rg:None")</f>
        <v>rg:None</v>
      </c>
    </row>
    <row r="235" spans="1:25" x14ac:dyDescent="0.3">
      <c r="A235" s="153" t="s">
        <v>592</v>
      </c>
      <c r="B235" s="148" t="s">
        <v>7</v>
      </c>
      <c r="C235" s="72">
        <v>100</v>
      </c>
      <c r="D235" s="148" t="s">
        <v>24</v>
      </c>
      <c r="E235" s="149" t="s">
        <v>589</v>
      </c>
      <c r="F235" s="12"/>
      <c r="G235" s="157" t="s">
        <v>62</v>
      </c>
      <c r="H235" s="18"/>
      <c r="I235" s="4" t="str">
        <f t="shared" si="25"/>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100</v>
      </c>
      <c r="U235" s="4" t="str">
        <f>IF(LEN(Table2[[#This Row],[!Name]]) &gt; 0, Table2[[#This Row],[!Name]], "rg:None")</f>
        <v>value</v>
      </c>
      <c r="V235" s="4" t="str">
        <f>IF(LEN(Table2[[#This Row],[!Description]]) &gt; 0, Table2[[#This Row],[!Description]], "rg:None")</f>
        <v>The fully spelled out value of the lookup entry.</v>
      </c>
      <c r="W235" s="4" t="str">
        <f>IF(LEN(Table2[[#This Row],[!FK]])&gt;0,Table2[[#This Row],[!FK]],"rg:None")</f>
        <v>rg:None</v>
      </c>
      <c r="X235" s="14" t="str">
        <f>IF(LEN(concatif2(A:A,Table2[[#This Row],[!Table]],G:G,"Y",D:D,",")) &gt; 0,"rg:[ { 'req' : '"&amp;concatif2(A:A,Table2[[#This Row],[!Table]],G:G,"Y",D:D,"' }, { 'req': '")&amp;"'} ]","rg:[]")</f>
        <v>rg:[ { 'req' : 'id' }, { 'req': 'contextName' }, { 'req': 'isDefault' }, { 'req': 'codeName' }, { 'req': 'value'} ]</v>
      </c>
      <c r="Y235" s="4" t="str">
        <f>IF(LEN(Table2[[#This Row],[!Unique]])&gt;0,IF(Table2[[#This Row],[!Type]] = "id", "rg:None","rg:True"),"rg:None")</f>
        <v>rg:None</v>
      </c>
    </row>
    <row r="236" spans="1:25" ht="28.8" x14ac:dyDescent="0.3">
      <c r="A236" s="81" t="s">
        <v>172</v>
      </c>
      <c r="B236" s="5" t="s">
        <v>4</v>
      </c>
      <c r="D236" s="81" t="s">
        <v>172</v>
      </c>
      <c r="E236" s="76" t="s">
        <v>367</v>
      </c>
      <c r="F236" s="5" t="s">
        <v>5</v>
      </c>
      <c r="G236" s="4"/>
      <c r="H236" s="4"/>
      <c r="I236" s="5" t="str">
        <f t="shared" ref="I236:I251" si="26">IF(LEN(A236) &gt; 0,"Defs","-")</f>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Contact</v>
      </c>
      <c r="V236" s="4" t="str">
        <f>IF(LEN(Table2[[#This Row],[!Description]]) &gt; 0, Table2[[#This Row],[!Description]], "rg:None")</f>
        <v>A person and their related contact information linked to one or more entities in the system. For examples, there are contacts for Owners, Projects.</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172</v>
      </c>
      <c r="B237" s="3" t="s">
        <v>6</v>
      </c>
      <c r="C237" s="3"/>
      <c r="D237" s="3" t="s">
        <v>6</v>
      </c>
      <c r="E237" s="118" t="s">
        <v>309</v>
      </c>
      <c r="F237" s="3" t="s">
        <v>5</v>
      </c>
      <c r="G237" s="4" t="s">
        <v>62</v>
      </c>
      <c r="H237" s="119" t="s">
        <v>62</v>
      </c>
      <c r="I237" s="5" t="str">
        <f t="shared" si="26"/>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Contact</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172</v>
      </c>
      <c r="B238" s="3" t="s">
        <v>7</v>
      </c>
      <c r="C238" s="3">
        <v>50</v>
      </c>
      <c r="D238" s="3" t="s">
        <v>16</v>
      </c>
      <c r="E238" s="118" t="s">
        <v>162</v>
      </c>
      <c r="F238" s="3" t="s">
        <v>5</v>
      </c>
      <c r="G238" s="119"/>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50</v>
      </c>
      <c r="U238" s="4" t="str">
        <f>IF(LEN(Table2[[#This Row],[!Name]]) &gt; 0, Table2[[#This Row],[!Name]], "rg:None")</f>
        <v>givenName</v>
      </c>
      <c r="V238" s="4" t="str">
        <f>IF(LEN(Table2[[#This Row],[!Description]]) &gt; 0, Table2[[#This Row],[!Description]], "rg:None")</f>
        <v>The given 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17" t="s">
        <v>172</v>
      </c>
      <c r="B239" s="3" t="s">
        <v>7</v>
      </c>
      <c r="C239" s="3">
        <v>50</v>
      </c>
      <c r="D239" s="3" t="s">
        <v>17</v>
      </c>
      <c r="E239" s="118" t="s">
        <v>163</v>
      </c>
      <c r="F239" s="3" t="s">
        <v>5</v>
      </c>
      <c r="G239" s="119"/>
      <c r="H239" s="4"/>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50</v>
      </c>
      <c r="U239" s="4" t="str">
        <f>IF(LEN(Table2[[#This Row],[!Name]]) &gt; 0, Table2[[#This Row],[!Name]], "rg:None")</f>
        <v>surname</v>
      </c>
      <c r="V239" s="4" t="str">
        <f>IF(LEN(Table2[[#This Row],[!Description]]) &gt; 0, Table2[[#This Row],[!Description]], "rg:None")</f>
        <v>The surname of the contact.</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20" t="s">
        <v>172</v>
      </c>
      <c r="B240" s="120" t="s">
        <v>7</v>
      </c>
      <c r="C240" s="3">
        <v>150</v>
      </c>
      <c r="D240" s="120" t="s">
        <v>398</v>
      </c>
      <c r="E240" s="120" t="s">
        <v>515</v>
      </c>
      <c r="F240" s="6"/>
      <c r="G240" s="18"/>
      <c r="H240" s="18"/>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150</v>
      </c>
      <c r="U240" s="4" t="str">
        <f>IF(LEN(Table2[[#This Row],[!Name]]) &gt; 0, Table2[[#This Row],[!Name]], "rg:None")</f>
        <v>organizationName</v>
      </c>
      <c r="V240" s="4" t="str">
        <f>IF(LEN(Table2[[#This Row],[!Description]]) &gt; 0, Table2[[#This Row],[!Description]], "rg:None")</f>
        <v>The organization name of the contact.</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17" t="s">
        <v>172</v>
      </c>
      <c r="B241" s="3" t="s">
        <v>7</v>
      </c>
      <c r="C241" s="3">
        <v>100</v>
      </c>
      <c r="D241" s="3" t="s">
        <v>18</v>
      </c>
      <c r="E241" s="121" t="s">
        <v>310</v>
      </c>
      <c r="F241" s="3" t="s">
        <v>5</v>
      </c>
      <c r="G241" s="119"/>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100</v>
      </c>
      <c r="U241" s="4" t="str">
        <f>IF(LEN(Table2[[#This Row],[!Name]]) &gt; 0, Table2[[#This Row],[!Name]], "rg:None")</f>
        <v>role</v>
      </c>
      <c r="V241" s="4" t="str">
        <f>IF(LEN(Table2[[#This Row],[!Description]]) &gt; 0, Table2[[#This Row],[!Description]], "rg:None")</f>
        <v>The role of the contact. UI controlled as to whether it is free form or selected from an enumerated list - for initial implementation, the field is freeform.</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x14ac:dyDescent="0.3">
      <c r="A242" s="117" t="s">
        <v>172</v>
      </c>
      <c r="B242" s="3" t="s">
        <v>7</v>
      </c>
      <c r="C242" s="3">
        <v>150</v>
      </c>
      <c r="D242" s="3" t="s">
        <v>164</v>
      </c>
      <c r="E242" s="121" t="s">
        <v>311</v>
      </c>
      <c r="F242" s="3" t="s">
        <v>5</v>
      </c>
      <c r="G242" s="4"/>
      <c r="H242" s="4"/>
      <c r="I242" s="5" t="str">
        <f t="shared" si="2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150</v>
      </c>
      <c r="U242" s="4" t="str">
        <f>IF(LEN(Table2[[#This Row],[!Name]]) &gt; 0, Table2[[#This Row],[!Name]], "rg:None")</f>
        <v>notes</v>
      </c>
      <c r="V242" s="4" t="str">
        <f>IF(LEN(Table2[[#This Row],[!Description]]) &gt; 0, Table2[[#This Row],[!Description]], "rg:None")</f>
        <v>A note about the contact maintained by the users.</v>
      </c>
      <c r="W242" s="4" t="str">
        <f>IF(LEN(Table2[[#This Row],[!FK]])&gt;0,Table2[[#This Row],[!FK]],"rg:None")</f>
        <v>rg:None</v>
      </c>
      <c r="X242" s="14" t="str">
        <f>IF(LEN(concatif2(A:A,Table2[[#This Row],[!Table]],G:G,"Y",D:D,",")) &gt; 0,"rg:[ { 'req' : '"&amp;concatif2(A:A,Table2[[#This Row],[!Table]],G:G,"Y",D:D,"' }, { 'req': '")&amp;"'} ]","rg:[]")</f>
        <v>rg:[ { 'req' : 'id'} ]</v>
      </c>
      <c r="Y242" s="4" t="str">
        <f>IF(LEN(Table2[[#This Row],[!Unique]])&gt;0,IF(Table2[[#This Row],[!Type]] = "id", "rg:None","rg:True"),"rg:None")</f>
        <v>rg:None</v>
      </c>
    </row>
    <row r="243" spans="1:25" x14ac:dyDescent="0.3">
      <c r="A243" s="120" t="s">
        <v>172</v>
      </c>
      <c r="B243" s="120" t="s">
        <v>7</v>
      </c>
      <c r="C243" s="3">
        <v>255</v>
      </c>
      <c r="D243" s="120" t="s">
        <v>516</v>
      </c>
      <c r="E243" s="120" t="s">
        <v>517</v>
      </c>
      <c r="F243" s="6"/>
      <c r="G243" s="18"/>
      <c r="H243" s="18"/>
      <c r="I243" s="5" t="str">
        <f t="shared" si="2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255</v>
      </c>
      <c r="U243" s="4" t="str">
        <f>IF(LEN(Table2[[#This Row],[!Name]]) &gt; 0, Table2[[#This Row],[!Name]], "rg:None")</f>
        <v>emailAddress</v>
      </c>
      <c r="V243" s="4" t="str">
        <f>IF(LEN(Table2[[#This Row],[!Description]]) &gt; 0, Table2[[#This Row],[!Description]], "rg:None")</f>
        <v>The email address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7" t="s">
        <v>172</v>
      </c>
      <c r="B244" s="3" t="s">
        <v>7</v>
      </c>
      <c r="C244" s="3">
        <v>20</v>
      </c>
      <c r="D244" s="117" t="s">
        <v>518</v>
      </c>
      <c r="E244" s="121" t="s">
        <v>519</v>
      </c>
      <c r="F244" s="3" t="s">
        <v>5</v>
      </c>
      <c r="G244" s="119"/>
      <c r="H244" s="4"/>
      <c r="I244" s="5" t="str">
        <f t="shared" si="2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workPhoneNumber</v>
      </c>
      <c r="V244" s="4" t="str">
        <f>IF(LEN(Table2[[#This Row],[!Description]]) &gt; 0, Table2[[#This Row],[!Description]], "rg:None")</f>
        <v>The work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7" t="s">
        <v>172</v>
      </c>
      <c r="B245" s="3" t="s">
        <v>7</v>
      </c>
      <c r="C245" s="3">
        <v>20</v>
      </c>
      <c r="D245" s="117" t="s">
        <v>520</v>
      </c>
      <c r="E245" s="121" t="s">
        <v>521</v>
      </c>
      <c r="F245" s="3" t="s">
        <v>5</v>
      </c>
      <c r="G245" s="119"/>
      <c r="H245" s="4"/>
      <c r="I245" s="5" t="str">
        <f t="shared" si="2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v>
      </c>
      <c r="U245" s="4" t="str">
        <f>IF(LEN(Table2[[#This Row],[!Name]]) &gt; 0, Table2[[#This Row],[!Name]], "rg:None")</f>
        <v>mobilePhoneNumber</v>
      </c>
      <c r="V245" s="4" t="str">
        <f>IF(LEN(Table2[[#This Row],[!Description]]) &gt; 0, Table2[[#This Row],[!Description]], "rg:None")</f>
        <v>The mobile phone number for the contact.</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7" t="s">
        <v>172</v>
      </c>
      <c r="B246" s="117" t="s">
        <v>7</v>
      </c>
      <c r="C246" s="3">
        <v>20</v>
      </c>
      <c r="D246" s="117" t="s">
        <v>522</v>
      </c>
      <c r="E246" s="121" t="s">
        <v>523</v>
      </c>
      <c r="F246" s="3" t="s">
        <v>5</v>
      </c>
      <c r="G246" s="4"/>
      <c r="H246" s="4"/>
      <c r="I246" s="5" t="str">
        <f t="shared" si="2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20</v>
      </c>
      <c r="U246" s="4" t="str">
        <f>IF(LEN(Table2[[#This Row],[!Name]]) &gt; 0, Table2[[#This Row],[!Name]], "rg:None")</f>
        <v>faxPhoneNumber</v>
      </c>
      <c r="V246" s="4" t="str">
        <f>IF(LEN(Table2[[#This Row],[!Description]]) &gt; 0, Table2[[#This Row],[!Description]], "rg:None")</f>
        <v>The fax phone number for the contact.</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7</v>
      </c>
      <c r="C247" s="3">
        <v>80</v>
      </c>
      <c r="D247" s="117" t="s">
        <v>524</v>
      </c>
      <c r="E247" s="121" t="s">
        <v>165</v>
      </c>
      <c r="F247" s="3" t="s">
        <v>5</v>
      </c>
      <c r="G247" s="4"/>
      <c r="H247" s="4"/>
      <c r="I247" s="5" t="str">
        <f t="shared" si="2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80</v>
      </c>
      <c r="U247" s="4" t="str">
        <f>IF(LEN(Table2[[#This Row],[!Name]]) &gt; 0, Table2[[#This Row],[!Name]], "rg:None")</f>
        <v>address1</v>
      </c>
      <c r="V247" s="4" t="str">
        <f>IF(LEN(Table2[[#This Row],[!Description]]) &gt; 0, Table2[[#This Row],[!Description]], "rg:None")</f>
        <v>Address 1 line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17" t="s">
        <v>172</v>
      </c>
      <c r="B248" s="3" t="s">
        <v>7</v>
      </c>
      <c r="C248" s="3">
        <v>80</v>
      </c>
      <c r="D248" s="117" t="s">
        <v>525</v>
      </c>
      <c r="E248" s="118" t="s">
        <v>166</v>
      </c>
      <c r="F248" s="3" t="s">
        <v>5</v>
      </c>
      <c r="G248" s="4"/>
      <c r="H248" s="4"/>
      <c r="I248" s="5" t="str">
        <f t="shared" si="26"/>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80</v>
      </c>
      <c r="U248" s="4" t="str">
        <f>IF(LEN(Table2[[#This Row],[!Name]]) &gt; 0, Table2[[#This Row],[!Name]], "rg:None")</f>
        <v>address2</v>
      </c>
      <c r="V248" s="4" t="str">
        <f>IF(LEN(Table2[[#This Row],[!Description]]) &gt; 0, Table2[[#This Row],[!Description]], "rg:None")</f>
        <v>Address 2 line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17" t="s">
        <v>172</v>
      </c>
      <c r="B249" s="3" t="s">
        <v>7</v>
      </c>
      <c r="C249" s="3">
        <v>100</v>
      </c>
      <c r="D249" s="117" t="s">
        <v>21</v>
      </c>
      <c r="E249" s="118" t="s">
        <v>167</v>
      </c>
      <c r="F249" s="3" t="s">
        <v>5</v>
      </c>
      <c r="G249" s="4"/>
      <c r="H249" s="4"/>
      <c r="I249" s="5" t="str">
        <f t="shared" si="26"/>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100</v>
      </c>
      <c r="U249" s="4" t="str">
        <f>IF(LEN(Table2[[#This Row],[!Name]]) &gt; 0, Table2[[#This Row],[!Name]], "rg:None")</f>
        <v>city</v>
      </c>
      <c r="V249" s="4" t="str">
        <f>IF(LEN(Table2[[#This Row],[!Description]]) &gt; 0, Table2[[#This Row],[!Description]], "rg:None")</f>
        <v>The City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3">
      <c r="A250" s="117" t="s">
        <v>172</v>
      </c>
      <c r="B250" s="3" t="s">
        <v>7</v>
      </c>
      <c r="C250" s="3">
        <v>50</v>
      </c>
      <c r="D250" s="117" t="s">
        <v>168</v>
      </c>
      <c r="E250" s="118" t="s">
        <v>169</v>
      </c>
      <c r="F250" s="3" t="s">
        <v>5</v>
      </c>
      <c r="G250" s="4"/>
      <c r="H250" s="4"/>
      <c r="I250" s="5" t="str">
        <f t="shared" si="26"/>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50</v>
      </c>
      <c r="U250" s="4" t="str">
        <f>IF(LEN(Table2[[#This Row],[!Name]]) &gt; 0, Table2[[#This Row],[!Name]], "rg:None")</f>
        <v>province</v>
      </c>
      <c r="V250" s="4" t="str">
        <f>IF(LEN(Table2[[#This Row],[!Description]]) &gt; 0, Table2[[#This Row],[!Description]], "rg:None")</f>
        <v>The Province of the address.</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x14ac:dyDescent="0.3">
      <c r="A251" s="117" t="s">
        <v>172</v>
      </c>
      <c r="B251" s="3" t="s">
        <v>7</v>
      </c>
      <c r="C251" s="3">
        <v>15</v>
      </c>
      <c r="D251" s="117" t="s">
        <v>170</v>
      </c>
      <c r="E251" s="118" t="s">
        <v>171</v>
      </c>
      <c r="F251" s="3" t="s">
        <v>5</v>
      </c>
      <c r="G251" s="4"/>
      <c r="H251" s="4"/>
      <c r="I251" s="5" t="str">
        <f t="shared" si="26"/>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15</v>
      </c>
      <c r="U251" s="4" t="str">
        <f>IF(LEN(Table2[[#This Row],[!Name]]) &gt; 0, Table2[[#This Row],[!Name]], "rg:None")</f>
        <v>postalCode</v>
      </c>
      <c r="V251" s="4" t="str">
        <f>IF(LEN(Table2[[#This Row],[!Description]]) &gt; 0, Table2[[#This Row],[!Description]], "rg:None")</f>
        <v>The postal code of the address.</v>
      </c>
      <c r="W251" s="4" t="str">
        <f>IF(LEN(Table2[[#This Row],[!FK]])&gt;0,Table2[[#This Row],[!FK]],"rg:None")</f>
        <v>rg:None</v>
      </c>
      <c r="X251" s="14" t="str">
        <f>IF(LEN(concatif2(A:A,Table2[[#This Row],[!Table]],G:G,"Y",D:D,",")) &gt; 0,"rg:[ { 'req' : '"&amp;concatif2(A:A,Table2[[#This Row],[!Table]],G:G,"Y",D:D,"' }, { 'req': '")&amp;"'} ]","rg:[]")</f>
        <v>rg:[ { 'req' : 'id'} ]</v>
      </c>
      <c r="Y251" s="4" t="str">
        <f>IF(LEN(Table2[[#This Row],[!Unique]])&gt;0,IF(Table2[[#This Row],[!Type]] = "id", "rg:None","rg:True"),"rg:None")</f>
        <v>rg:None</v>
      </c>
    </row>
    <row r="252" spans="1:25" ht="28.8" x14ac:dyDescent="0.3">
      <c r="A252" s="81" t="s">
        <v>146</v>
      </c>
      <c r="B252" s="5" t="s">
        <v>4</v>
      </c>
      <c r="D252" s="5" t="s">
        <v>146</v>
      </c>
      <c r="E252" s="76" t="s">
        <v>368</v>
      </c>
      <c r="F252" s="5" t="s">
        <v>5</v>
      </c>
      <c r="G252" s="4"/>
      <c r="H252" s="4"/>
      <c r="I252" s="5" t="str">
        <f t="shared" ref="I252:I264" si="27">IF(LEN(A252) &gt; 0,"Defs","-")</f>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Note</v>
      </c>
      <c r="V252" s="4" t="str">
        <f>IF(LEN(Table2[[#This Row],[!Description]]) &gt; 0, Table2[[#This Row],[!Description]], "rg:None")</f>
        <v>Text entered about an entity in the application - e.g. piece of Equipment, an Owner, a Project and so on.</v>
      </c>
      <c r="W252" s="4" t="str">
        <f>IF(LEN(Table2[[#This Row],[!FK]])&gt;0,Table2[[#This Row],[!FK]],"rg:None")</f>
        <v>rg:None</v>
      </c>
      <c r="X252" s="14" t="str">
        <f>IF(LEN(concatif2(A:A,Table2[[#This Row],[!Table]],G:G,"Y",D:D,",")) &gt; 0,"rg:[ { 'req' : '"&amp;concatif2(A:A,Table2[[#This Row],[!Table]],G:G,"Y",D:D,"' }, { 'req': '")&amp;"'} ]","rg:[]")</f>
        <v>rg:[ { 'req' : 'id' }, { 'req': 'text'} ]</v>
      </c>
      <c r="Y252" s="4" t="str">
        <f>IF(LEN(Table2[[#This Row],[!Unique]])&gt;0,IF(Table2[[#This Row],[!Type]] = "id", "rg:None","rg:True"),"rg:None")</f>
        <v>rg:None</v>
      </c>
    </row>
    <row r="253" spans="1:25" x14ac:dyDescent="0.3">
      <c r="A253" s="81" t="s">
        <v>146</v>
      </c>
      <c r="B253" s="5" t="s">
        <v>6</v>
      </c>
      <c r="D253" s="5" t="s">
        <v>6</v>
      </c>
      <c r="E253" s="54" t="s">
        <v>313</v>
      </c>
      <c r="F253" s="5" t="s">
        <v>5</v>
      </c>
      <c r="G253" s="4" t="s">
        <v>62</v>
      </c>
      <c r="H253" s="158" t="s">
        <v>62</v>
      </c>
      <c r="I253" s="5" t="str">
        <f t="shared" si="2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 Note</v>
      </c>
      <c r="W253" s="4" t="str">
        <f>IF(LEN(Table2[[#This Row],[!FK]])&gt;0,Table2[[#This Row],[!FK]],"rg:None")</f>
        <v>rg:None</v>
      </c>
      <c r="X253" s="14" t="str">
        <f>IF(LEN(concatif2(A:A,Table2[[#This Row],[!Table]],G:G,"Y",D:D,",")) &gt; 0,"rg:[ { 'req' : '"&amp;concatif2(A:A,Table2[[#This Row],[!Table]],G:G,"Y",D:D,"' }, { 'req': '")&amp;"'} ]","rg:[]")</f>
        <v>rg:[ { 'req' : 'id' }, { 'req': 'text'} ]</v>
      </c>
      <c r="Y253" s="4" t="str">
        <f>IF(LEN(Table2[[#This Row],[!Unique]])&gt;0,IF(Table2[[#This Row],[!Type]] = "id", "rg:None","rg:True"),"rg:None")</f>
        <v>rg:None</v>
      </c>
    </row>
    <row r="254" spans="1:25" x14ac:dyDescent="0.3">
      <c r="A254" s="81" t="s">
        <v>146</v>
      </c>
      <c r="B254" s="5" t="s">
        <v>7</v>
      </c>
      <c r="C254" s="5">
        <v>2048</v>
      </c>
      <c r="D254" s="102" t="s">
        <v>348</v>
      </c>
      <c r="E254" s="101" t="s">
        <v>312</v>
      </c>
      <c r="F254" s="5" t="s">
        <v>5</v>
      </c>
      <c r="G254" s="41" t="s">
        <v>62</v>
      </c>
      <c r="H254" s="4"/>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text</v>
      </c>
      <c r="V254" s="4" t="str">
        <f>IF(LEN(Table2[[#This Row],[!Description]]) &gt; 0, Table2[[#This Row],[!Description]], "rg:None")</f>
        <v>Notes entered by users about instance of entities - e.g. School Buses and School Bus Owners</v>
      </c>
      <c r="W254" s="4" t="str">
        <f>IF(LEN(Table2[[#This Row],[!FK]])&gt;0,Table2[[#This Row],[!FK]],"rg:None")</f>
        <v>rg:None</v>
      </c>
      <c r="X254" s="14" t="str">
        <f>IF(LEN(concatif2(A:A,Table2[[#This Row],[!Table]],G:G,"Y",D:D,",")) &gt; 0,"rg:[ { 'req' : '"&amp;concatif2(A:A,Table2[[#This Row],[!Table]],G:G,"Y",D:D,"' }, { 'req': '")&amp;"'} ]","rg:[]")</f>
        <v>rg:[ { 'req' : 'id' }, { 'req': 'text'} ]</v>
      </c>
      <c r="Y254" s="4" t="str">
        <f>IF(LEN(Table2[[#This Row],[!Unique]])&gt;0,IF(Table2[[#This Row],[!Type]] = "id", "rg:None","rg:True"),"rg:None")</f>
        <v>rg:None</v>
      </c>
    </row>
    <row r="255" spans="1:25" ht="28.8" x14ac:dyDescent="0.3">
      <c r="A255" s="81" t="s">
        <v>146</v>
      </c>
      <c r="B255" s="5" t="s">
        <v>9</v>
      </c>
      <c r="D255" s="5" t="s">
        <v>156</v>
      </c>
      <c r="E255" s="104" t="s">
        <v>314</v>
      </c>
      <c r="F255" s="5" t="s">
        <v>5</v>
      </c>
      <c r="G255" s="4"/>
      <c r="H255" s="4"/>
      <c r="I255" s="5" t="str">
        <f t="shared" si="27"/>
        <v>Defs</v>
      </c>
      <c r="J255" s="4" t="str">
        <f>IF(Table2[[#This Row],[!Type]]=J$1, J$1,"rg:None")</f>
        <v>boolean</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4" t="str">
        <f>IF(LEN(Table2[[#This Row],[!Length]]) &gt; 0, Table2[[#This Row],[!Length]], "rg:None")</f>
        <v>rg:None</v>
      </c>
      <c r="U255" s="4" t="str">
        <f>IF(LEN(Table2[[#This Row],[!Name]]) &gt; 0, Table2[[#This Row],[!Name]], "rg:None")</f>
        <v>isNoLongerRelevant</v>
      </c>
      <c r="V255" s="4" t="str">
        <f>IF(LEN(Table2[[#This Row],[!Description]]) &gt; 0, Table2[[#This Row],[!Description]], "rg:None")</f>
        <v>A user set flag that the note is no longer relevant. Allows the note to be retained for historical reasons,  but identified to other users as no longer applicable.</v>
      </c>
      <c r="W255" s="4" t="str">
        <f>IF(LEN(Table2[[#This Row],[!FK]])&gt;0,Table2[[#This Row],[!FK]],"rg:None")</f>
        <v>rg:None</v>
      </c>
      <c r="X255" s="14" t="str">
        <f>IF(LEN(concatif2(A:A,Table2[[#This Row],[!Table]],G:G,"Y",D:D,",")) &gt; 0,"rg:[ { 'req' : '"&amp;concatif2(A:A,Table2[[#This Row],[!Table]],G:G,"Y",D:D,"' }, { 'req': '")&amp;"'} ]","rg:[]")</f>
        <v>rg:[ { 'req' : 'id' }, { 'req': 'text'} ]</v>
      </c>
      <c r="Y255" s="4" t="str">
        <f>IF(LEN(Table2[[#This Row],[!Unique]])&gt;0,IF(Table2[[#This Row],[!Type]] = "id", "rg:None","rg:True"),"rg:None")</f>
        <v>rg:None</v>
      </c>
    </row>
    <row r="256" spans="1:25" ht="28.8" x14ac:dyDescent="0.3">
      <c r="A256" s="81" t="s">
        <v>158</v>
      </c>
      <c r="B256" s="5" t="s">
        <v>4</v>
      </c>
      <c r="D256" s="81" t="s">
        <v>158</v>
      </c>
      <c r="E256" s="76" t="s">
        <v>369</v>
      </c>
      <c r="F256" s="5" t="s">
        <v>5</v>
      </c>
      <c r="G256" s="4"/>
      <c r="H256" s="4"/>
      <c r="I256" s="5" t="str">
        <f t="shared" si="2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rg:None</v>
      </c>
      <c r="S256" s="4" t="str">
        <f>IF(Table2[[#This Row],[!Type]]=S$1, S$1,"rg:None")</f>
        <v>table</v>
      </c>
      <c r="T256" s="4" t="str">
        <f>IF(LEN(Table2[[#This Row],[!Length]]) &gt; 0, Table2[[#This Row],[!Length]], "rg:None")</f>
        <v>rg:None</v>
      </c>
      <c r="U256" s="4" t="str">
        <f>IF(LEN(Table2[[#This Row],[!Name]]) &gt; 0, Table2[[#This Row],[!Name]], "rg:None")</f>
        <v>Attachment</v>
      </c>
      <c r="V256" s="4" t="str">
        <f>IF(LEN(Table2[[#This Row],[!Description]]) &gt; 0, Table2[[#This Row],[!Description]], "rg:None")</f>
        <v>Uploaded documents related to entity in the application - e.g. piece of Equipment, an Owner, a Project and so on.</v>
      </c>
      <c r="W256" s="4" t="str">
        <f>IF(LEN(Table2[[#This Row],[!FK]])&gt;0,Table2[[#This Row],[!FK]],"rg:None")</f>
        <v>rg:None</v>
      </c>
      <c r="X256" s="14" t="str">
        <f>IF(LEN(concatif2(A:A,Table2[[#This Row],[!Table]],G:G,"Y",D:D,",")) &gt; 0,"rg:[ { 'req' : '"&amp;concatif2(A:A,Table2[[#This Row],[!Table]],G:G,"Y",D:D,"' }, { 'req': '")&amp;"'} ]","rg:[]")</f>
        <v>rg:[ { 'req' : 'id' }, { 'req': 'fileName' }, { 'req': 'fileContents'} ]</v>
      </c>
      <c r="Y256" s="4" t="str">
        <f>IF(LEN(Table2[[#This Row],[!Unique]])&gt;0,IF(Table2[[#This Row],[!Type]] = "id", "rg:None","rg:True"),"rg:None")</f>
        <v>rg:None</v>
      </c>
    </row>
    <row r="257" spans="1:25" x14ac:dyDescent="0.3">
      <c r="A257" s="81" t="s">
        <v>158</v>
      </c>
      <c r="B257" s="5" t="s">
        <v>6</v>
      </c>
      <c r="D257" s="5" t="s">
        <v>6</v>
      </c>
      <c r="E257" s="54" t="s">
        <v>315</v>
      </c>
      <c r="F257" s="5" t="s">
        <v>5</v>
      </c>
      <c r="G257" s="4" t="s">
        <v>62</v>
      </c>
      <c r="H257" s="41" t="s">
        <v>62</v>
      </c>
      <c r="I257" s="5" t="str">
        <f t="shared" si="27"/>
        <v>Defs</v>
      </c>
      <c r="J257" s="4" t="str">
        <f>IF(Table2[[#This Row],[!Type]]=J$1, J$1,"rg:None")</f>
        <v>rg:None</v>
      </c>
      <c r="K257" s="4" t="str">
        <f>IF(Table2[[#This Row],[!Type]]=K$1, K$1,"rg:None")</f>
        <v>rg:None</v>
      </c>
      <c r="L257" s="4" t="str">
        <f>IF(Table2[[#This Row],[!Type]]=L$1, L$1,"rg:None")</f>
        <v>rg:None</v>
      </c>
      <c r="M257" s="4" t="str">
        <f>IF(Table2[[#This Row],[!Type]]=M$1, M$1,"rg:None")</f>
        <v>id</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rg:None</v>
      </c>
      <c r="T257" s="4" t="str">
        <f>IF(LEN(Table2[[#This Row],[!Length]]) &gt; 0, Table2[[#This Row],[!Length]], "rg:None")</f>
        <v>rg:None</v>
      </c>
      <c r="U257" s="4" t="str">
        <f>IF(LEN(Table2[[#This Row],[!Name]]) &gt; 0, Table2[[#This Row],[!Name]], "rg:None")</f>
        <v>id</v>
      </c>
      <c r="V257" s="4" t="str">
        <f>IF(LEN(Table2[[#This Row],[!Description]]) &gt; 0, Table2[[#This Row],[!Description]], "rg:None")</f>
        <v>A system-generated unique identifier for an Attachment</v>
      </c>
      <c r="W257" s="4" t="str">
        <f>IF(LEN(Table2[[#This Row],[!FK]])&gt;0,Table2[[#This Row],[!FK]],"rg:None")</f>
        <v>rg:None</v>
      </c>
      <c r="X257" s="14" t="str">
        <f>IF(LEN(concatif2(A:A,Table2[[#This Row],[!Table]],G:G,"Y",D:D,",")) &gt; 0,"rg:[ { 'req' : '"&amp;concatif2(A:A,Table2[[#This Row],[!Table]],G:G,"Y",D:D,"' }, { 'req': '")&amp;"'} ]","rg:[]")</f>
        <v>rg:[ { 'req' : 'id' }, { 'req': 'fileName' }, { 'req': 'fileContents'} ]</v>
      </c>
      <c r="Y257" s="4" t="str">
        <f>IF(LEN(Table2[[#This Row],[!Unique]])&gt;0,IF(Table2[[#This Row],[!Type]] = "id", "rg:None","rg:True"),"rg:None")</f>
        <v>rg:None</v>
      </c>
    </row>
    <row r="258" spans="1:25" x14ac:dyDescent="0.3">
      <c r="A258" s="81" t="s">
        <v>158</v>
      </c>
      <c r="B258" s="5" t="s">
        <v>7</v>
      </c>
      <c r="C258" s="5">
        <v>2048</v>
      </c>
      <c r="D258" s="5" t="s">
        <v>526</v>
      </c>
      <c r="E258" s="54" t="s">
        <v>527</v>
      </c>
      <c r="F258" s="5" t="s">
        <v>5</v>
      </c>
      <c r="G258" s="158" t="s">
        <v>62</v>
      </c>
      <c r="H258" s="41"/>
      <c r="I258" s="5" t="str">
        <f t="shared" si="27"/>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string</v>
      </c>
      <c r="S258" s="4" t="str">
        <f>IF(Table2[[#This Row],[!Type]]=S$1, S$1,"rg:None")</f>
        <v>rg:None</v>
      </c>
      <c r="T258" s="4">
        <f>IF(LEN(Table2[[#This Row],[!Length]]) &gt; 0, Table2[[#This Row],[!Length]], "rg:None")</f>
        <v>2048</v>
      </c>
      <c r="U258" s="4" t="str">
        <f>IF(LEN(Table2[[#This Row],[!Name]]) &gt; 0, Table2[[#This Row],[!Name]], "rg:None")</f>
        <v>fileName</v>
      </c>
      <c r="V258" s="4" t="str">
        <f>IF(LEN(Table2[[#This Row],[!Description]]) &gt; 0, Table2[[#This Row],[!Description]], "rg:None")</f>
        <v>Filename as passed by the user uploading the file</v>
      </c>
      <c r="W258" s="4" t="str">
        <f>IF(LEN(Table2[[#This Row],[!FK]])&gt;0,Table2[[#This Row],[!FK]],"rg:None")</f>
        <v>rg:None</v>
      </c>
      <c r="X258" s="14" t="str">
        <f>IF(LEN(concatif2(A:A,Table2[[#This Row],[!Table]],G:G,"Y",D:D,",")) &gt; 0,"rg:[ { 'req' : '"&amp;concatif2(A:A,Table2[[#This Row],[!Table]],G:G,"Y",D:D,"' }, { 'req': '")&amp;"'} ]","rg:[]")</f>
        <v>rg:[ { 'req' : 'id' }, { 'req': 'fileName' }, { 'req': 'fileContents'} ]</v>
      </c>
      <c r="Y258" s="4" t="str">
        <f>IF(LEN(Table2[[#This Row],[!Unique]])&gt;0,IF(Table2[[#This Row],[!Type]] = "id", "rg:None","rg:True"),"rg:None")</f>
        <v>rg:None</v>
      </c>
    </row>
    <row r="259" spans="1:25" x14ac:dyDescent="0.3">
      <c r="A259" s="81" t="s">
        <v>158</v>
      </c>
      <c r="B259" s="5" t="s">
        <v>159</v>
      </c>
      <c r="D259" s="5" t="s">
        <v>528</v>
      </c>
      <c r="E259" s="105" t="s">
        <v>529</v>
      </c>
      <c r="F259" s="5" t="s">
        <v>5</v>
      </c>
      <c r="G259" s="158" t="s">
        <v>62</v>
      </c>
      <c r="H259" s="41"/>
      <c r="I259" s="5" t="str">
        <f t="shared" si="27"/>
        <v>Defs</v>
      </c>
      <c r="J259" s="4" t="str">
        <f>IF(Table2[[#This Row],[!Type]]=J$1, J$1,"rg:None")</f>
        <v>rg:None</v>
      </c>
      <c r="K259" s="4" t="str">
        <f>IF(Table2[[#This Row],[!Type]]=K$1, K$1,"rg:None")</f>
        <v>binary</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rg:None</v>
      </c>
      <c r="S259" s="4" t="str">
        <f>IF(Table2[[#This Row],[!Type]]=S$1, S$1,"rg:None")</f>
        <v>rg:None</v>
      </c>
      <c r="T259" s="4" t="str">
        <f>IF(LEN(Table2[[#This Row],[!Length]]) &gt; 0, Table2[[#This Row],[!Length]], "rg:None")</f>
        <v>rg:None</v>
      </c>
      <c r="U259" s="4" t="str">
        <f>IF(LEN(Table2[[#This Row],[!Name]]) &gt; 0, Table2[[#This Row],[!Name]], "rg:None")</f>
        <v>fileContents</v>
      </c>
      <c r="V259" s="4" t="str">
        <f>IF(LEN(Table2[[#This Row],[!Description]]) &gt; 0, Table2[[#This Row],[!Description]], "rg:None")</f>
        <v>Binary contents of the file</v>
      </c>
      <c r="W259" s="4" t="str">
        <f>IF(LEN(Table2[[#This Row],[!FK]])&gt;0,Table2[[#This Row],[!FK]],"rg:None")</f>
        <v>rg:None</v>
      </c>
      <c r="X259" s="14" t="str">
        <f>IF(LEN(concatif2(A:A,Table2[[#This Row],[!Table]],G:G,"Y",D:D,",")) &gt; 0,"rg:[ { 'req' : '"&amp;concatif2(A:A,Table2[[#This Row],[!Table]],G:G,"Y",D:D,"' }, { 'req': '")&amp;"'} ]","rg:[]")</f>
        <v>rg:[ { 'req' : 'id' }, { 'req': 'fileName' }, { 'req': 'fileContents'} ]</v>
      </c>
      <c r="Y259" s="4" t="str">
        <f>IF(LEN(Table2[[#This Row],[!Unique]])&gt;0,IF(Table2[[#This Row],[!Type]] = "id", "rg:None","rg:True"),"rg:None")</f>
        <v>rg:None</v>
      </c>
    </row>
    <row r="260" spans="1:25" x14ac:dyDescent="0.3">
      <c r="A260" s="81" t="s">
        <v>158</v>
      </c>
      <c r="B260" s="5" t="s">
        <v>7</v>
      </c>
      <c r="C260" s="5">
        <v>2048</v>
      </c>
      <c r="D260" s="5" t="s">
        <v>14</v>
      </c>
      <c r="E260" s="105" t="s">
        <v>157</v>
      </c>
      <c r="F260" s="5" t="s">
        <v>5</v>
      </c>
      <c r="G260" s="4"/>
      <c r="H260" s="4"/>
      <c r="I260" s="5" t="str">
        <f t="shared" si="27"/>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string</v>
      </c>
      <c r="S260" s="4" t="str">
        <f>IF(Table2[[#This Row],[!Type]]=S$1, S$1,"rg:None")</f>
        <v>rg:None</v>
      </c>
      <c r="T260" s="4">
        <f>IF(LEN(Table2[[#This Row],[!Length]]) &gt; 0, Table2[[#This Row],[!Length]], "rg:None")</f>
        <v>2048</v>
      </c>
      <c r="U260" s="4" t="str">
        <f>IF(LEN(Table2[[#This Row],[!Name]]) &gt; 0, Table2[[#This Row],[!Name]], "rg:None")</f>
        <v>description</v>
      </c>
      <c r="V260" s="4" t="str">
        <f>IF(LEN(Table2[[#This Row],[!Description]]) &gt; 0, Table2[[#This Row],[!Description]], "rg:None")</f>
        <v>A note about the attachment,  optionally maintained by the user.</v>
      </c>
      <c r="W260" s="4" t="str">
        <f>IF(LEN(Table2[[#This Row],[!FK]])&gt;0,Table2[[#This Row],[!FK]],"rg:None")</f>
        <v>rg:None</v>
      </c>
      <c r="X260" s="14" t="str">
        <f>IF(LEN(concatif2(A:A,Table2[[#This Row],[!Table]],G:G,"Y",D:D,",")) &gt; 0,"rg:[ { 'req' : '"&amp;concatif2(A:A,Table2[[#This Row],[!Table]],G:G,"Y",D:D,"' }, { 'req': '")&amp;"'} ]","rg:[]")</f>
        <v>rg:[ { 'req' : 'id' }, { 'req': 'fileName' }, { 'req': 'fileContents'} ]</v>
      </c>
      <c r="Y260" s="4" t="str">
        <f>IF(LEN(Table2[[#This Row],[!Unique]])&gt;0,IF(Table2[[#This Row],[!Type]] = "id", "rg:None","rg:True"),"rg:None")</f>
        <v>rg:None</v>
      </c>
    </row>
    <row r="261" spans="1:25" x14ac:dyDescent="0.3">
      <c r="A261" s="72" t="s">
        <v>158</v>
      </c>
      <c r="B261" s="72" t="s">
        <v>7</v>
      </c>
      <c r="C261" s="72">
        <v>255</v>
      </c>
      <c r="D261" s="72" t="s">
        <v>20</v>
      </c>
      <c r="E261" s="47" t="s">
        <v>530</v>
      </c>
      <c r="F261" s="12"/>
      <c r="G261" s="18"/>
      <c r="H261" s="18"/>
      <c r="I261" s="4" t="str">
        <f>IF(LEN(A261) &gt; 0,"Defs","-")</f>
        <v>Defs</v>
      </c>
      <c r="J261" s="4" t="str">
        <f>IF(Table2[[#This Row],[!Type]]=J$1, J$1,"rg:None")</f>
        <v>rg:None</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string</v>
      </c>
      <c r="S261" s="4" t="str">
        <f>IF(Table2[[#This Row],[!Type]]=S$1, S$1,"rg:None")</f>
        <v>rg:None</v>
      </c>
      <c r="T261" s="4">
        <f>IF(LEN(Table2[[#This Row],[!Length]]) &gt; 0, Table2[[#This Row],[!Length]], "rg:None")</f>
        <v>255</v>
      </c>
      <c r="U261" s="4" t="str">
        <f>IF(LEN(Table2[[#This Row],[!Name]]) &gt; 0, Table2[[#This Row],[!Name]], "rg:None")</f>
        <v>type</v>
      </c>
      <c r="V261" s="4" t="str">
        <f>IF(LEN(Table2[[#This Row],[!Description]]) &gt; 0, Table2[[#This Row],[!Description]], "rg:None")</f>
        <v>Type of attachment</v>
      </c>
      <c r="W261" s="4" t="str">
        <f>IF(LEN(Table2[[#This Row],[!FK]])&gt;0,Table2[[#This Row],[!FK]],"rg:None")</f>
        <v>rg:None</v>
      </c>
      <c r="X261" s="14" t="str">
        <f>IF(LEN(concatif2(A:A,Table2[[#This Row],[!Table]],G:G,"Y",D:D,",")) &gt; 0,"rg:[ { 'req' : '"&amp;concatif2(A:A,Table2[[#This Row],[!Table]],G:G,"Y",D:D,"' }, { 'req': '")&amp;"'} ]","rg:[]")</f>
        <v>rg:[ { 'req' : 'id' }, { 'req': 'fileName' }, { 'req': 'fileContents'} ]</v>
      </c>
      <c r="Y261" s="4" t="str">
        <f>IF(LEN(Table2[[#This Row],[!Unique]])&gt;0,IF(Table2[[#This Row],[!Type]] = "id", "rg:None","rg:True"),"rg:None")</f>
        <v>rg:None</v>
      </c>
    </row>
    <row r="262" spans="1:25" ht="28.8" x14ac:dyDescent="0.3">
      <c r="A262" s="81" t="s">
        <v>160</v>
      </c>
      <c r="B262" s="5" t="s">
        <v>4</v>
      </c>
      <c r="D262" s="81" t="s">
        <v>160</v>
      </c>
      <c r="E262" s="76" t="s">
        <v>370</v>
      </c>
      <c r="F262" s="5" t="s">
        <v>5</v>
      </c>
      <c r="G262" s="4"/>
      <c r="H262" s="4"/>
      <c r="I262" s="5" t="str">
        <f t="shared" si="27"/>
        <v>Defs</v>
      </c>
      <c r="J262" s="4" t="str">
        <f>IF(Table2[[#This Row],[!Type]]=J$1, J$1,"rg:None")</f>
        <v>rg:None</v>
      </c>
      <c r="K262" s="4" t="str">
        <f>IF(Table2[[#This Row],[!Type]]=K$1, K$1,"rg:None")</f>
        <v>rg:None</v>
      </c>
      <c r="L262" s="4" t="str">
        <f>IF(Table2[[#This Row],[!Type]]=L$1, L$1,"rg:None")</f>
        <v>rg:None</v>
      </c>
      <c r="M262" s="4" t="str">
        <f>IF(Table2[[#This Row],[!Type]]=M$1, M$1,"rg:None")</f>
        <v>rg:None</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table</v>
      </c>
      <c r="T262" s="4" t="str">
        <f>IF(LEN(Table2[[#This Row],[!Length]]) &gt; 0, Table2[[#This Row],[!Length]], "rg:None")</f>
        <v>rg:None</v>
      </c>
      <c r="U262" s="4" t="str">
        <f>IF(LEN(Table2[[#This Row],[!Name]]) &gt; 0, Table2[[#This Row],[!Name]], "rg:None")</f>
        <v>History</v>
      </c>
      <c r="V262" s="4" t="str">
        <f>IF(LEN(Table2[[#This Row],[!Description]]) &gt; 0, Table2[[#This Row],[!Description]], "rg:None")</f>
        <v>A log entry created by the system based on a triggering event and related to an entity in the application - e.g. piece of Equipment, an Owner, a Project and so on.</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Row],[!Unique]])&gt;0,IF(Table2[[#This Row],[!Type]] = "id", "rg:None","rg:True"),"rg:None")</f>
        <v>rg:None</v>
      </c>
    </row>
    <row r="263" spans="1:25" x14ac:dyDescent="0.3">
      <c r="A263" s="81" t="s">
        <v>160</v>
      </c>
      <c r="B263" s="5" t="s">
        <v>6</v>
      </c>
      <c r="D263" s="5" t="s">
        <v>6</v>
      </c>
      <c r="E263" s="54" t="s">
        <v>316</v>
      </c>
      <c r="F263" s="5" t="s">
        <v>5</v>
      </c>
      <c r="G263" s="4" t="s">
        <v>62</v>
      </c>
      <c r="H263" s="158" t="s">
        <v>62</v>
      </c>
      <c r="I263" s="5" t="str">
        <f t="shared" si="27"/>
        <v>Defs</v>
      </c>
      <c r="J263" s="4" t="str">
        <f>IF(Table2[[#This Row],[!Type]]=J$1, J$1,"rg:None")</f>
        <v>rg:None</v>
      </c>
      <c r="K263" s="4" t="str">
        <f>IF(Table2[[#This Row],[!Type]]=K$1, K$1,"rg:None")</f>
        <v>rg:None</v>
      </c>
      <c r="L263" s="4" t="str">
        <f>IF(Table2[[#This Row],[!Type]]=L$1, L$1,"rg:None")</f>
        <v>rg:None</v>
      </c>
      <c r="M263" s="4" t="str">
        <f>IF(Table2[[#This Row],[!Type]]=M$1, M$1,"rg:None")</f>
        <v>id</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4" t="str">
        <f>IF(LEN(Table2[[#This Row],[!Length]]) &gt; 0, Table2[[#This Row],[!Length]], "rg:None")</f>
        <v>rg:None</v>
      </c>
      <c r="U263" s="4" t="str">
        <f>IF(LEN(Table2[[#This Row],[!Name]]) &gt; 0, Table2[[#This Row],[!Name]], "rg:None")</f>
        <v>id</v>
      </c>
      <c r="V263" s="4" t="str">
        <f>IF(LEN(Table2[[#This Row],[!Description]]) &gt; 0, Table2[[#This Row],[!Description]], "rg:None")</f>
        <v>A system-generated unique identifier for a History</v>
      </c>
      <c r="W263" s="4" t="str">
        <f>IF(LEN(Table2[[#This Row],[!FK]])&gt;0,Table2[[#This Row],[!FK]],"rg:None")</f>
        <v>rg:None</v>
      </c>
      <c r="X263" s="14" t="str">
        <f>IF(LEN(concatif2(A:A,Table2[[#This Row],[!Table]],G:G,"Y",D:D,",")) &gt; 0,"rg:[ { 'req' : '"&amp;concatif2(A:A,Table2[[#This Row],[!Table]],G:G,"Y",D:D,"' }, { 'req': '")&amp;"'} ]","rg:[]")</f>
        <v>rg:[ { 'req' : 'id' }, { 'req': 'historyText'} ]</v>
      </c>
      <c r="Y263" s="4" t="str">
        <f>IF(LEN(Table2[[#This Row],[!Unique]])&gt;0,IF(Table2[[#This Row],[!Type]] = "id", "rg:None","rg:True"),"rg:None")</f>
        <v>rg:None</v>
      </c>
    </row>
    <row r="264" spans="1:25" x14ac:dyDescent="0.3">
      <c r="A264" s="81" t="s">
        <v>160</v>
      </c>
      <c r="B264" s="81" t="s">
        <v>7</v>
      </c>
      <c r="C264" s="5">
        <v>2048</v>
      </c>
      <c r="D264" s="106" t="s">
        <v>210</v>
      </c>
      <c r="E264" s="107" t="s">
        <v>211</v>
      </c>
      <c r="G264" s="41" t="s">
        <v>62</v>
      </c>
      <c r="H264" s="41"/>
      <c r="I264" s="5" t="str">
        <f t="shared" si="27"/>
        <v>Defs</v>
      </c>
      <c r="J264" s="4" t="str">
        <f>IF(Table2[[#This Row],[!Type]]=J$1, J$1,"rg:None")</f>
        <v>rg:None</v>
      </c>
      <c r="K264" s="4" t="str">
        <f>IF(Table2[[#This Row],[!Type]]=K$1, K$1,"rg:None")</f>
        <v>rg:None</v>
      </c>
      <c r="L264" s="4" t="str">
        <f>IF(Table2[[#This Row],[!Type]]=L$1, L$1,"rg:None")</f>
        <v>rg:None</v>
      </c>
      <c r="M264" s="4" t="str">
        <f>IF(Table2[[#This Row],[!Type]]=M$1, M$1,"rg:None")</f>
        <v>rg:None</v>
      </c>
      <c r="N264" s="4" t="str">
        <f>IF(Table2[[#This Row],[!Type]]=N$1, N$1,"rg:None")</f>
        <v>rg:None</v>
      </c>
      <c r="O264" s="4" t="str">
        <f>IF(Table2[[#This Row],[!Type]]=O$1, O$1,"rg:None")</f>
        <v>rg:None</v>
      </c>
      <c r="P264" s="4" t="str">
        <f>IF(Table2[[#This Row],[!Type]]=P$1, P$1,"rg:None")</f>
        <v>rg:None</v>
      </c>
      <c r="Q264" s="4" t="str">
        <f>IF(Table2[[#This Row],[!Type]]=Q$1, Q$1,"rg:None")</f>
        <v>rg:None</v>
      </c>
      <c r="R264" s="4" t="str">
        <f>IF(Table2[[#This Row],[!Type]]=R$1, R$1,"rg:None")</f>
        <v>string</v>
      </c>
      <c r="S264" s="4" t="str">
        <f>IF(Table2[[#This Row],[!Type]]=S$1, S$1,"rg:None")</f>
        <v>rg:None</v>
      </c>
      <c r="T264" s="4">
        <f>IF(LEN(Table2[[#This Row],[!Length]]) &gt; 0, Table2[[#This Row],[!Length]], "rg:None")</f>
        <v>2048</v>
      </c>
      <c r="U264" s="4" t="str">
        <f>IF(LEN(Table2[[#This Row],[!Name]]) &gt; 0, Table2[[#This Row],[!Name]], "rg:None")</f>
        <v>historyText</v>
      </c>
      <c r="V264" s="4" t="str">
        <f>IF(LEN(Table2[[#This Row],[!Description]]) &gt; 0, Table2[[#This Row],[!Description]], "rg:None")</f>
        <v>The text of the history entry tracked against the related entity.</v>
      </c>
      <c r="W264" s="4" t="str">
        <f>IF(LEN(Table2[[#This Row],[!FK]])&gt;0,Table2[[#This Row],[!FK]],"rg:None")</f>
        <v>rg:None</v>
      </c>
      <c r="X264" s="14" t="str">
        <f>IF(LEN(concatif2(A:A,Table2[[#This Row],[!Table]],G:G,"Y",D:D,",")) &gt; 0,"rg:[ { 'req' : '"&amp;concatif2(A:A,Table2[[#This Row],[!Table]],G:G,"Y",D:D,"' }, { 'req': '")&amp;"'} ]","rg:[]")</f>
        <v>rg:[ { 'req' : 'id' }, { 'req': 'historyText'} ]</v>
      </c>
      <c r="Y264" s="4" t="str">
        <f>IF(LEN(Table2[[#This Row],[!Unique]])&gt;0,IF(Table2[[#This Row],[!Type]] = "id", "rg:None","rg:True"),"rg:None")</f>
        <v>rg:None</v>
      </c>
    </row>
    <row r="265" spans="1:25" x14ac:dyDescent="0.3">
      <c r="A265" s="81" t="s">
        <v>160</v>
      </c>
      <c r="B265" s="19" t="s">
        <v>12</v>
      </c>
      <c r="C265" s="72"/>
      <c r="D265" s="31" t="s">
        <v>209</v>
      </c>
      <c r="E265" s="51" t="s">
        <v>161</v>
      </c>
      <c r="F265" s="12"/>
      <c r="G265" s="18"/>
      <c r="H265" s="18"/>
      <c r="I265" s="4" t="str">
        <f>IF(LEN(A265) &gt; 0,"Defs","-")</f>
        <v>Defs</v>
      </c>
      <c r="J265" s="14" t="str">
        <f>IF(Table2[[#This Row],[!Type]]=J$1, J$1,"rg:None")</f>
        <v>rg:None</v>
      </c>
      <c r="K265" s="14" t="str">
        <f>IF(Table2[[#This Row],[!Type]]=K$1, K$1,"rg:None")</f>
        <v>rg:None</v>
      </c>
      <c r="L265" s="14" t="str">
        <f>IF(Table2[[#This Row],[!Type]]=L$1, L$1,"rg:None")</f>
        <v>datetime</v>
      </c>
      <c r="M265" s="14" t="str">
        <f>IF(Table2[[#This Row],[!Type]]=M$1, M$1,"rg:None")</f>
        <v>rg:None</v>
      </c>
      <c r="N265" s="14" t="str">
        <f>IF(Table2[[#This Row],[!Type]]=N$1, N$1,"rg:None")</f>
        <v>rg:None</v>
      </c>
      <c r="O265" s="14" t="str">
        <f>IF(Table2[[#This Row],[!Type]]=O$1, O$1,"rg:None")</f>
        <v>rg:None</v>
      </c>
      <c r="P265" s="4" t="str">
        <f>IF(Table2[[#This Row],[!Type]]=P$1, P$1,"rg:None")</f>
        <v>rg:None</v>
      </c>
      <c r="Q265" s="4" t="str">
        <f>IF(Table2[[#This Row],[!Type]]=Q$1, Q$1,"rg:None")</f>
        <v>rg:None</v>
      </c>
      <c r="R265" s="4" t="str">
        <f>IF(Table2[[#This Row],[!Type]]=R$1, R$1,"rg:None")</f>
        <v>rg:None</v>
      </c>
      <c r="S265" s="4" t="str">
        <f>IF(Table2[[#This Row],[!Type]]=S$1, S$1,"rg:None")</f>
        <v>rg:None</v>
      </c>
      <c r="T265" s="14" t="str">
        <f>IF(LEN(Table2[[#This Row],[!Length]]) &gt; 0, Table2[[#This Row],[!Length]], "rg:None")</f>
        <v>rg:None</v>
      </c>
      <c r="U265" s="14" t="str">
        <f>IF(LEN(Table2[[#This Row],[!Name]]) &gt; 0, Table2[[#This Row],[!Name]], "rg:None")</f>
        <v>createdDate</v>
      </c>
      <c r="V265" s="14" t="str">
        <f>IF(LEN(Table2[[#This Row],[!Description]]) &gt; 0, Table2[[#This Row],[!Description]], "rg:None")</f>
        <v>Date the record is created.</v>
      </c>
      <c r="W265" s="14" t="str">
        <f>IF(LEN(Table2[[#This Row],[!FK]])&gt;0,Table2[[#This Row],[!FK]],"rg:None")</f>
        <v>rg:None</v>
      </c>
      <c r="X265" s="14" t="str">
        <f>IF(LEN(concatif2(A:A,Table2[[#This Row],[!Table]],G:G,"Y",D:D,",")) &gt; 0,"rg:[ { 'req' : '"&amp;concatif2(A:A,Table2[[#This Row],[!Table]],G:G,"Y",D:D,"' }, { 'req': '")&amp;"'} ]","rg:[]")</f>
        <v>rg:[ { 'req' : 'id' }, { 'req': 'historyText'} ]</v>
      </c>
      <c r="Y265" s="14" t="str">
        <f>IF(LEN(Table2[[#This Row],[!Unique]])&gt;0,IF(Table2[[#This Row],[!Type]] = "id", "rg:None","rg:True"),"rg:None")</f>
        <v>rg:None</v>
      </c>
    </row>
    <row r="266" spans="1:25" ht="28.8" x14ac:dyDescent="0.3">
      <c r="A266" s="5" t="s">
        <v>22</v>
      </c>
      <c r="B266" s="5" t="s">
        <v>4</v>
      </c>
      <c r="D266" s="5" t="s">
        <v>22</v>
      </c>
      <c r="E266" s="54" t="s">
        <v>63</v>
      </c>
      <c r="F266" s="5" t="s">
        <v>5</v>
      </c>
      <c r="G266" s="4"/>
      <c r="H266" s="4"/>
      <c r="I266" s="5" t="str">
        <f t="shared" ref="I266:I308" si="28">IF(LEN(A266) &gt; 0,"Defs","-")</f>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table</v>
      </c>
      <c r="T266" s="8" t="str">
        <f>IF(LEN(Table2[[#This Row],[!Length]]) &gt; 0, Table2[[#This Row],[!Length]], "rg:None")</f>
        <v>rg:None</v>
      </c>
      <c r="U266" s="8" t="str">
        <f>IF(LEN(Table2[[#This Row],[!Name]]) &gt; 0, Table2[[#This Row],[!Name]], "rg:None")</f>
        <v>UserFavourite</v>
      </c>
      <c r="V266" s="8" t="str">
        <f>IF(LEN(Table2[[#This Row],[!Description]]) &gt; 0, Table2[[#This Row],[!Description]], "rg:None")</f>
        <v>User specific settings for a specific location in the UI. The location and saved settings are internally defined by the UI.</v>
      </c>
      <c r="W266" s="8" t="str">
        <f>IF(LEN(Table2[[#This Row],[!FK]])&gt;0,Table2[[#This Row],[!FK]],"rg:None")</f>
        <v>rg:None</v>
      </c>
      <c r="X266" s="8" t="str">
        <f>IF(LEN(concatif2(A:A,Table2[[#This Row],[!Table]],G:G,"Y",D:D,",")) &gt; 0,"rg:[ { 'req' : '"&amp;concatif2(A:A,Table2[[#This Row],[!Table]],G:G,"Y",D:D,"' }, { 'req': '")&amp;"'} ]","rg:[]")</f>
        <v>rg:[ { 'req' : 'id' }, { 'req': 'name' }, { 'req': 'value' }, { 'req': 'type' }, { 'req': 'User'} ]</v>
      </c>
      <c r="Y266" s="8" t="str">
        <f>IF(LEN(Table2[[#This Row],[!Unique]])&gt;0,IF(Table2[[#This Row],[!Type]] = "id", "rg:None","rg:True"),"rg:None")</f>
        <v>rg:None</v>
      </c>
    </row>
    <row r="267" spans="1:25" x14ac:dyDescent="0.3">
      <c r="A267" s="5" t="s">
        <v>22</v>
      </c>
      <c r="B267" s="5" t="s">
        <v>6</v>
      </c>
      <c r="D267" s="5" t="s">
        <v>6</v>
      </c>
      <c r="E267" s="54" t="s">
        <v>317</v>
      </c>
      <c r="F267" s="5" t="s">
        <v>5</v>
      </c>
      <c r="G267" s="4" t="s">
        <v>62</v>
      </c>
      <c r="H267" s="158" t="s">
        <v>62</v>
      </c>
      <c r="I267" s="5" t="str">
        <f t="shared" si="28"/>
        <v>Defs</v>
      </c>
      <c r="J267" s="8" t="str">
        <f>IF(Table2[[#This Row],[!Type]]=J$1, J$1,"rg:None")</f>
        <v>rg:None</v>
      </c>
      <c r="K267" s="8" t="str">
        <f>IF(Table2[[#This Row],[!Type]]=K$1, K$1,"rg:None")</f>
        <v>rg:None</v>
      </c>
      <c r="L267" s="8" t="str">
        <f>IF(Table2[[#This Row],[!Type]]=L$1, L$1,"rg:None")</f>
        <v>rg:None</v>
      </c>
      <c r="M267" s="8" t="str">
        <f>IF(Table2[[#This Row],[!Type]]=M$1, M$1,"rg:None")</f>
        <v>id</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rg:None</v>
      </c>
      <c r="S267" s="5" t="str">
        <f>IF(Table2[[#This Row],[!Type]]=S$1, S$1,"rg:None")</f>
        <v>rg:None</v>
      </c>
      <c r="T267" s="8" t="str">
        <f>IF(LEN(Table2[[#This Row],[!Length]]) &gt; 0, Table2[[#This Row],[!Length]], "rg:None")</f>
        <v>rg:None</v>
      </c>
      <c r="U267" s="8" t="str">
        <f>IF(LEN(Table2[[#This Row],[!Name]]) &gt; 0, Table2[[#This Row],[!Name]], "rg:None")</f>
        <v>id</v>
      </c>
      <c r="V267" s="8" t="str">
        <f>IF(LEN(Table2[[#This Row],[!Description]]) &gt; 0, Table2[[#This Row],[!Description]], "rg:None")</f>
        <v>A system-generated unique identifier for a UserFavourite</v>
      </c>
      <c r="W267" s="8" t="str">
        <f>IF(LEN(Table2[[#This Row],[!FK]])&gt;0,Table2[[#This Row],[!FK]],"rg:None")</f>
        <v>rg:None</v>
      </c>
      <c r="X267" s="8" t="str">
        <f>IF(LEN(concatif2(A:A,Table2[[#This Row],[!Table]],G:G,"Y",D:D,",")) &gt; 0,"rg:[ { 'req' : '"&amp;concatif2(A:A,Table2[[#This Row],[!Table]],G:G,"Y",D:D,"' }, { 'req': '")&amp;"'} ]","rg:[]")</f>
        <v>rg:[ { 'req' : 'id' }, { 'req': 'name' }, { 'req': 'value' }, { 'req': 'type' }, { 'req': 'User'} ]</v>
      </c>
      <c r="Y267" s="8" t="str">
        <f>IF(LEN(Table2[[#This Row],[!Unique]])&gt;0,IF(Table2[[#This Row],[!Type]] = "id", "rg:None","rg:True"),"rg:None")</f>
        <v>rg:None</v>
      </c>
    </row>
    <row r="268" spans="1:25" ht="28.8" x14ac:dyDescent="0.3">
      <c r="A268" s="5" t="s">
        <v>22</v>
      </c>
      <c r="B268" s="5" t="s">
        <v>7</v>
      </c>
      <c r="C268" s="5">
        <v>150</v>
      </c>
      <c r="D268" s="5" t="s">
        <v>15</v>
      </c>
      <c r="E268" s="54" t="s">
        <v>23</v>
      </c>
      <c r="F268" s="5" t="s">
        <v>5</v>
      </c>
      <c r="G268" s="158" t="s">
        <v>62</v>
      </c>
      <c r="H268" s="4"/>
      <c r="I268" s="5" t="str">
        <f t="shared" si="28"/>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8">
        <f>IF(LEN(Table2[[#This Row],[!Length]]) &gt; 0, Table2[[#This Row],[!Length]], "rg:None")</f>
        <v>150</v>
      </c>
      <c r="U268" s="8" t="str">
        <f>IF(LEN(Table2[[#This Row],[!Name]]) &gt; 0, Table2[[#This Row],[!Name]], "rg:None")</f>
        <v>name</v>
      </c>
      <c r="V268" s="8" t="str">
        <f>IF(LEN(Table2[[#This Row],[!Description]]) &gt; 0, Table2[[#This Row],[!Description]], "rg:None")</f>
        <v>The user-defined name for the recorded settings. Allows the user to save different groups of settings and access each one easily when needed.</v>
      </c>
      <c r="W268" s="8" t="str">
        <f>IF(LEN(Table2[[#This Row],[!FK]])&gt;0,Table2[[#This Row],[!FK]],"rg:None")</f>
        <v>rg:None</v>
      </c>
      <c r="X268" s="8" t="str">
        <f>IF(LEN(concatif2(A:A,Table2[[#This Row],[!Table]],G:G,"Y",D:D,",")) &gt; 0,"rg:[ { 'req' : '"&amp;concatif2(A:A,Table2[[#This Row],[!Table]],G:G,"Y",D:D,"' }, { 'req': '")&amp;"'} ]","rg:[]")</f>
        <v>rg:[ { 'req' : 'id' }, { 'req': 'name' }, { 'req': 'value' }, { 'req': 'type' }, { 'req': 'User'} ]</v>
      </c>
      <c r="Y268" s="8" t="str">
        <f>IF(LEN(Table2[[#This Row],[!Unique]])&gt;0,IF(Table2[[#This Row],[!Type]] = "id", "rg:None","rg:True"),"rg:None")</f>
        <v>rg:None</v>
      </c>
    </row>
    <row r="269" spans="1:25" ht="28.8" x14ac:dyDescent="0.3">
      <c r="A269" s="5" t="s">
        <v>22</v>
      </c>
      <c r="B269" s="5" t="s">
        <v>7</v>
      </c>
      <c r="C269" s="5">
        <v>2048</v>
      </c>
      <c r="D269" s="5" t="s">
        <v>24</v>
      </c>
      <c r="E269" s="54" t="s">
        <v>25</v>
      </c>
      <c r="F269" s="5" t="s">
        <v>5</v>
      </c>
      <c r="G269" s="158" t="s">
        <v>62</v>
      </c>
      <c r="H269" s="4"/>
      <c r="I269" s="5" t="str">
        <f t="shared" si="28"/>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2048</v>
      </c>
      <c r="U269" s="8" t="str">
        <f>IF(LEN(Table2[[#This Row],[!Name]]) &gt; 0, Table2[[#This Row],[!Name]], "rg:None")</f>
        <v>value</v>
      </c>
      <c r="V269" s="8" t="str">
        <f>IF(LEN(Table2[[#This Row],[!Description]]) &gt; 0, Table2[[#This Row],[!Description]], "rg:None")</f>
        <v>The settings saved by the user. In general,  a UI defined chunk of json that stores the settings in place when the user created the favourite.</v>
      </c>
      <c r="W269" s="8" t="str">
        <f>IF(LEN(Table2[[#This Row],[!FK]])&gt;0,Table2[[#This Row],[!FK]],"rg:None")</f>
        <v>rg:None</v>
      </c>
      <c r="X269" s="8" t="str">
        <f>IF(LEN(concatif2(A:A,Table2[[#This Row],[!Table]],G:G,"Y",D:D,",")) &gt; 0,"rg:[ { 'req' : '"&amp;concatif2(A:A,Table2[[#This Row],[!Table]],G:G,"Y",D:D,"' }, { 'req': '")&amp;"'} ]","rg:[]")</f>
        <v>rg:[ { 'req' : 'id' }, { 'req': 'name' }, { 'req': 'value' }, { 'req': 'type' }, { 'req': 'User'} ]</v>
      </c>
      <c r="Y269" s="8" t="str">
        <f>IF(LEN(Table2[[#This Row],[!Unique]])&gt;0,IF(Table2[[#This Row],[!Type]] = "id", "rg:None","rg:True"),"rg:None")</f>
        <v>rg:None</v>
      </c>
    </row>
    <row r="270" spans="1:25" ht="57.6" x14ac:dyDescent="0.3">
      <c r="A270" s="5" t="s">
        <v>22</v>
      </c>
      <c r="B270" s="5" t="s">
        <v>9</v>
      </c>
      <c r="D270" s="5" t="s">
        <v>26</v>
      </c>
      <c r="E270" s="54" t="s">
        <v>27</v>
      </c>
      <c r="F270" s="5" t="s">
        <v>5</v>
      </c>
      <c r="G270" s="4"/>
      <c r="H270" s="4"/>
      <c r="I270" s="5" t="str">
        <f t="shared" si="28"/>
        <v>Defs</v>
      </c>
      <c r="J270" s="8" t="str">
        <f>IF(Table2[[#This Row],[!Type]]=J$1, J$1,"rg:None")</f>
        <v>boolean</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isDefault</v>
      </c>
      <c r="V270"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70" s="8" t="str">
        <f>IF(LEN(Table2[[#This Row],[!FK]])&gt;0,Table2[[#This Row],[!FK]],"rg:None")</f>
        <v>rg:None</v>
      </c>
      <c r="X270" s="8" t="str">
        <f>IF(LEN(concatif2(A:A,Table2[[#This Row],[!Table]],G:G,"Y",D:D,",")) &gt; 0,"rg:[ { 'req' : '"&amp;concatif2(A:A,Table2[[#This Row],[!Table]],G:G,"Y",D:D,"' }, { 'req': '")&amp;"'} ]","rg:[]")</f>
        <v>rg:[ { 'req' : 'id' }, { 'req': 'name' }, { 'req': 'value' }, { 'req': 'type' }, { 'req': 'User'} ]</v>
      </c>
      <c r="Y270" s="8" t="str">
        <f>IF(LEN(Table2[[#This Row],[!Unique]])&gt;0,IF(Table2[[#This Row],[!Type]] = "id", "rg:None","rg:True"),"rg:None")</f>
        <v>rg:None</v>
      </c>
    </row>
    <row r="271" spans="1:25" x14ac:dyDescent="0.3">
      <c r="A271" s="5" t="s">
        <v>22</v>
      </c>
      <c r="B271" s="108" t="s">
        <v>7</v>
      </c>
      <c r="C271" s="5">
        <v>150</v>
      </c>
      <c r="D271" s="108" t="s">
        <v>20</v>
      </c>
      <c r="E271" s="52" t="s">
        <v>215</v>
      </c>
      <c r="G271" s="158" t="s">
        <v>62</v>
      </c>
      <c r="H271" s="4"/>
      <c r="I271" s="5" t="str">
        <f t="shared" si="28"/>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string</v>
      </c>
      <c r="S271" s="5" t="str">
        <f>IF(Table2[[#This Row],[!Type]]=S$1, S$1,"rg:None")</f>
        <v>rg:None</v>
      </c>
      <c r="T271" s="8">
        <f>IF(LEN(Table2[[#This Row],[!Length]]) &gt; 0, Table2[[#This Row],[!Length]], "rg:None")</f>
        <v>150</v>
      </c>
      <c r="U271" s="8" t="str">
        <f>IF(LEN(Table2[[#This Row],[!Name]]) &gt; 0, Table2[[#This Row],[!Name]], "rg:None")</f>
        <v>type</v>
      </c>
      <c r="V271" s="8" t="str">
        <f>IF(LEN(Table2[[#This Row],[!Description]]) &gt; 0, Table2[[#This Row],[!Description]], "rg:None")</f>
        <v>The type of Favourite</v>
      </c>
      <c r="W271" s="8" t="str">
        <f>IF(LEN(Table2[[#This Row],[!FK]])&gt;0,Table2[[#This Row],[!FK]],"rg:None")</f>
        <v>rg:None</v>
      </c>
      <c r="X271" s="8" t="str">
        <f>IF(LEN(concatif2(A:A,Table2[[#This Row],[!Table]],G:G,"Y",D:D,",")) &gt; 0,"rg:[ { 'req' : '"&amp;concatif2(A:A,Table2[[#This Row],[!Table]],G:G,"Y",D:D,"' }, { 'req': '")&amp;"'} ]","rg:[]")</f>
        <v>rg:[ { 'req' : 'id' }, { 'req': 'name' }, { 'req': 'value' }, { 'req': 'type' }, { 'req': 'User'} ]</v>
      </c>
      <c r="Y271" s="8" t="str">
        <f>IF(LEN(Table2[[#This Row],[!Unique]])&gt;0,IF(Table2[[#This Row],[!Type]] = "id", "rg:None","rg:True"),"rg:None")</f>
        <v>rg:None</v>
      </c>
    </row>
    <row r="272" spans="1:25" x14ac:dyDescent="0.3">
      <c r="A272" s="38" t="s">
        <v>22</v>
      </c>
      <c r="B272" s="38" t="s">
        <v>8</v>
      </c>
      <c r="C272" s="72"/>
      <c r="D272" s="38" t="s">
        <v>0</v>
      </c>
      <c r="E272" s="53" t="s">
        <v>216</v>
      </c>
      <c r="F272" s="39" t="s">
        <v>0</v>
      </c>
      <c r="G272" s="157" t="s">
        <v>62</v>
      </c>
      <c r="H272" s="18"/>
      <c r="I272" s="4" t="str">
        <f>IF(LEN(A272) &gt; 0,"Defs","-")</f>
        <v>Defs</v>
      </c>
      <c r="J272" s="14" t="str">
        <f>IF(Table2[[#This Row],[!Type]]=J$1, J$1,"rg:None")</f>
        <v>rg:None</v>
      </c>
      <c r="K272" s="14" t="str">
        <f>IF(Table2[[#This Row],[!Type]]=K$1, K$1,"rg:None")</f>
        <v>rg:None</v>
      </c>
      <c r="L272" s="14" t="str">
        <f>IF(Table2[[#This Row],[!Type]]=L$1, L$1,"rg:None")</f>
        <v>rg:None</v>
      </c>
      <c r="M272" s="14" t="str">
        <f>IF(Table2[[#This Row],[!Type]]=M$1, M$1,"rg:None")</f>
        <v>rg:None</v>
      </c>
      <c r="N272" s="14" t="str">
        <f>IF(Table2[[#This Row],[!Type]]=N$1, N$1,"rg:None")</f>
        <v>rg:None</v>
      </c>
      <c r="O272" s="14" t="str">
        <f>IF(Table2[[#This Row],[!Type]]=O$1, O$1,"rg:None")</f>
        <v>rg:None</v>
      </c>
      <c r="P272" s="4" t="str">
        <f>IF(Table2[[#This Row],[!Type]]=P$1, P$1,"rg:None")</f>
        <v>rg:None</v>
      </c>
      <c r="Q272" s="4" t="str">
        <f>IF(Table2[[#This Row],[!Type]]=Q$1, Q$1,"rg:None")</f>
        <v>ref</v>
      </c>
      <c r="R272" s="4" t="str">
        <f>IF(Table2[[#This Row],[!Type]]=R$1, R$1,"rg:None")</f>
        <v>rg:None</v>
      </c>
      <c r="S272" s="4" t="str">
        <f>IF(Table2[[#This Row],[!Type]]=S$1, S$1,"rg:None")</f>
        <v>rg:None</v>
      </c>
      <c r="T272" s="14" t="str">
        <f>IF(LEN(Table2[[#This Row],[!Length]]) &gt; 0, Table2[[#This Row],[!Length]], "rg:None")</f>
        <v>rg:None</v>
      </c>
      <c r="U272" s="14" t="str">
        <f>IF(LEN(Table2[[#This Row],[!Name]]) &gt; 0, Table2[[#This Row],[!Name]], "rg:None")</f>
        <v>User</v>
      </c>
      <c r="V272" s="14" t="str">
        <f>IF(LEN(Table2[[#This Row],[!Description]]) &gt; 0, Table2[[#This Row],[!Description]], "rg:None")</f>
        <v>The User who has this Favourite</v>
      </c>
      <c r="W272" s="14" t="str">
        <f>IF(LEN(Table2[[#This Row],[!FK]])&gt;0,Table2[[#This Row],[!FK]],"rg:None")</f>
        <v>User</v>
      </c>
      <c r="X272" s="14" t="str">
        <f>IF(LEN(concatif2(A:A,Table2[[#This Row],[!Table]],G:G,"Y",D:D,",")) &gt; 0,"rg:[ { 'req' : '"&amp;concatif2(A:A,Table2[[#This Row],[!Table]],G:G,"Y",D:D,"' }, { 'req': '")&amp;"'} ]","rg:[]")</f>
        <v>rg:[ { 'req' : 'id' }, { 'req': 'name' }, { 'req': 'value' }, { 'req': 'type' }, { 'req': 'User'} ]</v>
      </c>
      <c r="Y272" s="14" t="str">
        <f>IF(LEN(Table2[[#This Row],[!Unique]])&gt;0,IF(Table2[[#This Row],[!Type]] = "id", "rg:None","rg:True"),"rg:None")</f>
        <v>rg:None</v>
      </c>
    </row>
    <row r="273" spans="1:25" x14ac:dyDescent="0.3">
      <c r="A273" s="5" t="s">
        <v>28</v>
      </c>
      <c r="B273" s="5" t="s">
        <v>4</v>
      </c>
      <c r="D273" s="5" t="s">
        <v>28</v>
      </c>
      <c r="E273" s="76" t="s">
        <v>402</v>
      </c>
      <c r="F273" s="5" t="s">
        <v>5</v>
      </c>
      <c r="G273" s="4"/>
      <c r="H273" s="4"/>
      <c r="I273" s="5" t="str">
        <f t="shared" si="28"/>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table</v>
      </c>
      <c r="T273" s="8" t="str">
        <f>IF(LEN(Table2[[#This Row],[!Length]]) &gt; 0, Table2[[#This Row],[!Length]], "rg:None")</f>
        <v>rg:None</v>
      </c>
      <c r="U273" s="8" t="str">
        <f>IF(LEN(Table2[[#This Row],[!Name]]) &gt; 0, Table2[[#This Row],[!Name]], "rg:None")</f>
        <v>Region</v>
      </c>
      <c r="V273" s="8" t="str">
        <f>IF(LEN(Table2[[#This Row],[!Description]]) &gt; 0, Table2[[#This Row],[!Description]], "rg:None")</f>
        <v>The Ministry of Transportion and Infrastructure REGION.</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Row],[!Unique]])&gt;0,IF(Table2[[#This Row],[!Type]] = "id", "rg:None","rg:True"),"rg:None")</f>
        <v>rg:None</v>
      </c>
    </row>
    <row r="274" spans="1:25" x14ac:dyDescent="0.3">
      <c r="A274" s="5" t="s">
        <v>28</v>
      </c>
      <c r="B274" s="5" t="s">
        <v>6</v>
      </c>
      <c r="D274" s="5" t="s">
        <v>6</v>
      </c>
      <c r="E274" s="54" t="s">
        <v>318</v>
      </c>
      <c r="F274" s="5" t="s">
        <v>5</v>
      </c>
      <c r="G274" s="4" t="s">
        <v>62</v>
      </c>
      <c r="H274" s="158" t="s">
        <v>62</v>
      </c>
      <c r="I274" s="5" t="str">
        <f t="shared" si="28"/>
        <v>Defs</v>
      </c>
      <c r="J274" s="8" t="str">
        <f>IF(Table2[[#This Row],[!Type]]=J$1, J$1,"rg:None")</f>
        <v>rg:None</v>
      </c>
      <c r="K274" s="8" t="str">
        <f>IF(Table2[[#This Row],[!Type]]=K$1, K$1,"rg:None")</f>
        <v>rg:None</v>
      </c>
      <c r="L274" s="8" t="str">
        <f>IF(Table2[[#This Row],[!Type]]=L$1, L$1,"rg:None")</f>
        <v>rg:None</v>
      </c>
      <c r="M274" s="8" t="str">
        <f>IF(Table2[[#This Row],[!Type]]=M$1, M$1,"rg:None")</f>
        <v>id</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id</v>
      </c>
      <c r="V274" s="8" t="str">
        <f>IF(LEN(Table2[[#This Row],[!Description]]) &gt; 0, Table2[[#This Row],[!Description]], "rg:None")</f>
        <v>A system-generated unique identifier for a Region</v>
      </c>
      <c r="W274" s="8" t="str">
        <f>IF(LEN(Table2[[#This Row],[!FK]])&gt;0,Table2[[#This Row],[!FK]],"rg:None")</f>
        <v>rg:None</v>
      </c>
      <c r="X274" s="8" t="str">
        <f>IF(LEN(concatif2(A:A,Table2[[#This Row],[!Table]],G:G,"Y",D:D,",")) &gt; 0,"rg:[ { 'req' : '"&amp;concatif2(A:A,Table2[[#This Row],[!Table]],G:G,"Y",D:D,"' }, { 'req': '")&amp;"'} ]","rg:[]")</f>
        <v>rg:[ { 'req' : 'id' }, { 'req': 'ministryRegionID' }, { 'req': 'name' }, { 'req': 'startDate'} ]</v>
      </c>
      <c r="Y274" s="8" t="str">
        <f>IF(LEN(Table2[[#This Row],[!Unique]])&gt;0,IF(Table2[[#This Row],[!Type]] = "id", "rg:None","rg:True"),"rg:None")</f>
        <v>rg:None</v>
      </c>
    </row>
    <row r="275" spans="1:25" x14ac:dyDescent="0.3">
      <c r="A275" s="5" t="s">
        <v>28</v>
      </c>
      <c r="B275" s="5" t="s">
        <v>13</v>
      </c>
      <c r="D275" s="5" t="s">
        <v>29</v>
      </c>
      <c r="E275" s="76" t="s">
        <v>407</v>
      </c>
      <c r="F275" s="5" t="s">
        <v>5</v>
      </c>
      <c r="G275" s="41" t="s">
        <v>62</v>
      </c>
      <c r="H275" s="41" t="s">
        <v>62</v>
      </c>
      <c r="I275" s="5" t="str">
        <f t="shared" si="28"/>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integer</v>
      </c>
      <c r="O275" s="8"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rg:None</v>
      </c>
      <c r="T275" s="8" t="str">
        <f>IF(LEN(Table2[[#This Row],[!Length]]) &gt; 0, Table2[[#This Row],[!Length]], "rg:None")</f>
        <v>rg:None</v>
      </c>
      <c r="U275" s="8" t="str">
        <f>IF(LEN(Table2[[#This Row],[!Name]]) &gt; 0, Table2[[#This Row],[!Name]], "rg:None")</f>
        <v>ministryRegionID</v>
      </c>
      <c r="V275" s="8" t="str">
        <f>IF(LEN(Table2[[#This Row],[!Description]]) &gt; 0, Table2[[#This Row],[!Description]], "rg:None")</f>
        <v>A system generated unique identifier. NOT GENERATED IN THIS SYSTEM.</v>
      </c>
      <c r="W275" s="8" t="str">
        <f>IF(LEN(Table2[[#This Row],[!FK]])&gt;0,Table2[[#This Row],[!FK]],"rg:None")</f>
        <v>rg:None</v>
      </c>
      <c r="X275" s="8" t="str">
        <f>IF(LEN(concatif2(A:A,Table2[[#This Row],[!Table]],G:G,"Y",D:D,",")) &gt; 0,"rg:[ { 'req' : '"&amp;concatif2(A:A,Table2[[#This Row],[!Table]],G:G,"Y",D:D,"' }, { 'req': '")&amp;"'} ]","rg:[]")</f>
        <v>rg:[ { 'req' : 'id' }, { 'req': 'ministryRegionID' }, { 'req': 'name' }, { 'req': 'startDate'} ]</v>
      </c>
      <c r="Y275" s="8" t="str">
        <f>IF(LEN(Table2[[#This Row],[!Unique]])&gt;0,IF(Table2[[#This Row],[!Type]] = "id", "rg:None","rg:True"),"rg:None")</f>
        <v>rg:True</v>
      </c>
    </row>
    <row r="276" spans="1:25" x14ac:dyDescent="0.3">
      <c r="A276" s="61" t="s">
        <v>28</v>
      </c>
      <c r="B276" s="61" t="s">
        <v>13</v>
      </c>
      <c r="C276" s="72"/>
      <c r="D276" s="61" t="s">
        <v>403</v>
      </c>
      <c r="E276" s="60" t="s">
        <v>404</v>
      </c>
      <c r="F276" s="12"/>
      <c r="G276" s="18"/>
      <c r="H276" s="18"/>
      <c r="I276" s="4" t="str">
        <f>IF(LEN(A276) &gt; 0,"Defs","-")</f>
        <v>Defs</v>
      </c>
      <c r="J276" s="14" t="str">
        <f>IF(Table2[[#This Row],[!Type]]=J$1, J$1,"rg:None")</f>
        <v>rg:None</v>
      </c>
      <c r="K276" s="14" t="str">
        <f>IF(Table2[[#This Row],[!Type]]=K$1, K$1,"rg:None")</f>
        <v>rg:None</v>
      </c>
      <c r="L276" s="14" t="str">
        <f>IF(Table2[[#This Row],[!Type]]=L$1, L$1,"rg:None")</f>
        <v>rg:None</v>
      </c>
      <c r="M276" s="14" t="str">
        <f>IF(Table2[[#This Row],[!Type]]=M$1, M$1,"rg:None")</f>
        <v>rg:None</v>
      </c>
      <c r="N276" s="14" t="str">
        <f>IF(Table2[[#This Row],[!Type]]=N$1, N$1,"rg:None")</f>
        <v>integer</v>
      </c>
      <c r="O276" s="14" t="str">
        <f>IF(Table2[[#This Row],[!Type]]=O$1, O$1,"rg:None")</f>
        <v>rg:None</v>
      </c>
      <c r="P276" s="4" t="str">
        <f>IF(Table2[[#This Row],[!Type]]=P$1, P$1,"rg:None")</f>
        <v>rg:None</v>
      </c>
      <c r="Q276" s="4" t="str">
        <f>IF(Table2[[#This Row],[!Type]]=Q$1, Q$1,"rg:None")</f>
        <v>rg:None</v>
      </c>
      <c r="R276" s="4" t="str">
        <f>IF(Table2[[#This Row],[!Type]]=R$1, R$1,"rg:None")</f>
        <v>rg:None</v>
      </c>
      <c r="S276" s="4" t="str">
        <f>IF(Table2[[#This Row],[!Type]]=S$1, S$1,"rg:None")</f>
        <v>rg:None</v>
      </c>
      <c r="T276" s="14" t="str">
        <f>IF(LEN(Table2[[#This Row],[!Length]]) &gt; 0, Table2[[#This Row],[!Length]], "rg:None")</f>
        <v>rg:None</v>
      </c>
      <c r="U276" s="14" t="str">
        <f>IF(LEN(Table2[[#This Row],[!Name]]) &gt; 0, Table2[[#This Row],[!Name]], "rg:None")</f>
        <v>regionNumber</v>
      </c>
      <c r="V276" s="14" t="str">
        <f>IF(LEN(Table2[[#This Row],[!Description]]) &gt; 0, Table2[[#This Row],[!Description]], "rg:None")</f>
        <v>A code that uniquely defines a Region.</v>
      </c>
      <c r="W276" s="14" t="str">
        <f>IF(LEN(Table2[[#This Row],[!FK]])&gt;0,Table2[[#This Row],[!FK]],"rg:None")</f>
        <v>rg:None</v>
      </c>
      <c r="X276" s="14" t="str">
        <f>IF(LEN(concatif2(A:A,Table2[[#This Row],[!Table]],G:G,"Y",D:D,",")) &gt; 0,"rg:[ { 'req' : '"&amp;concatif2(A:A,Table2[[#This Row],[!Table]],G:G,"Y",D:D,"' }, { 'req': '")&amp;"'} ]","rg:[]")</f>
        <v>rg:[ { 'req' : 'id' }, { 'req': 'ministryRegionID' }, { 'req': 'name' }, { 'req': 'startDate'} ]</v>
      </c>
      <c r="Y276" s="14" t="str">
        <f>IF(LEN(Table2[[#This Row],[!Unique]])&gt;0,IF(Table2[[#This Row],[!Type]] = "id", "rg:None","rg:True"),"rg:None")</f>
        <v>rg:None</v>
      </c>
    </row>
    <row r="277" spans="1:25" x14ac:dyDescent="0.3">
      <c r="A277" s="5" t="s">
        <v>28</v>
      </c>
      <c r="B277" s="5" t="s">
        <v>7</v>
      </c>
      <c r="C277" s="5">
        <v>150</v>
      </c>
      <c r="D277" s="5" t="s">
        <v>15</v>
      </c>
      <c r="E277" s="76" t="s">
        <v>405</v>
      </c>
      <c r="F277" s="5" t="s">
        <v>5</v>
      </c>
      <c r="G277" s="41" t="s">
        <v>62</v>
      </c>
      <c r="H277" s="41"/>
      <c r="I277" s="5" t="str">
        <f t="shared" si="28"/>
        <v>Defs</v>
      </c>
      <c r="J277" s="8" t="str">
        <f>IF(Table2[[#This Row],[!Type]]=J$1, J$1,"rg:None")</f>
        <v>rg:None</v>
      </c>
      <c r="K277" s="8" t="str">
        <f>IF(Table2[[#This Row],[!Type]]=K$1, K$1,"rg:None")</f>
        <v>rg:None</v>
      </c>
      <c r="L277" s="8" t="str">
        <f>IF(Table2[[#This Row],[!Type]]=L$1, L$1,"rg:None")</f>
        <v>rg:None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string</v>
      </c>
      <c r="S277" s="5" t="str">
        <f>IF(Table2[[#This Row],[!Type]]=S$1, S$1,"rg:None")</f>
        <v>rg:None</v>
      </c>
      <c r="T277" s="8">
        <f>IF(LEN(Table2[[#This Row],[!Length]]) &gt; 0, Table2[[#This Row],[!Length]], "rg:None")</f>
        <v>150</v>
      </c>
      <c r="U277" s="8" t="str">
        <f>IF(LEN(Table2[[#This Row],[!Name]]) &gt; 0, Table2[[#This Row],[!Name]], "rg:None")</f>
        <v>name</v>
      </c>
      <c r="V277" s="8" t="str">
        <f>IF(LEN(Table2[[#This Row],[!Description]]) &gt; 0, Table2[[#This Row],[!Description]], "rg:None")</f>
        <v>The name of a Minsitry Region.</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Row],[!Unique]])&gt;0,IF(Table2[[#This Row],[!Type]] = "id", "rg:None","rg:True"),"rg:None")</f>
        <v>rg:None</v>
      </c>
    </row>
    <row r="278" spans="1:25" ht="28.8" x14ac:dyDescent="0.3">
      <c r="A278" s="5" t="s">
        <v>28</v>
      </c>
      <c r="B278" s="5" t="s">
        <v>12</v>
      </c>
      <c r="D278" s="5" t="s">
        <v>30</v>
      </c>
      <c r="E278" s="76" t="s">
        <v>411</v>
      </c>
      <c r="F278" s="5" t="s">
        <v>5</v>
      </c>
      <c r="G278" s="63" t="s">
        <v>62</v>
      </c>
      <c r="H278" s="4"/>
      <c r="I278" s="5" t="str">
        <f t="shared" si="28"/>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startDate</v>
      </c>
      <c r="V278" s="8" t="str">
        <f>IF(LEN(Table2[[#This Row],[!Description]]) &gt; 0, Table2[[#This Row],[!Description]], "rg:None")</f>
        <v>The DATE the business information came into effect. - NOT CURRENTLY ENFORCED IN THIS SYSTEM</v>
      </c>
      <c r="W278" s="8" t="str">
        <f>IF(LEN(Table2[[#This Row],[!FK]])&gt;0,Table2[[#This Row],[!FK]],"rg:None")</f>
        <v>rg:None</v>
      </c>
      <c r="X278" s="8" t="str">
        <f>IF(LEN(concatif2(A:A,Table2[[#This Row],[!Table]],G:G,"Y",D:D,",")) &gt; 0,"rg:[ { 'req' : '"&amp;concatif2(A:A,Table2[[#This Row],[!Table]],G:G,"Y",D:D,"' }, { 'req': '")&amp;"'} ]","rg:[]")</f>
        <v>rg:[ { 'req' : 'id' }, { 'req': 'ministryRegionID' }, { 'req': 'name' }, { 'req': 'startDate'} ]</v>
      </c>
      <c r="Y278" s="8" t="str">
        <f>IF(LEN(Table2[[#This Row],[!Unique]])&gt;0,IF(Table2[[#This Row],[!Type]] = "id", "rg:None","rg:True"),"rg:None")</f>
        <v>rg:None</v>
      </c>
    </row>
    <row r="279" spans="1:25" ht="28.8" x14ac:dyDescent="0.3">
      <c r="A279" s="5" t="s">
        <v>28</v>
      </c>
      <c r="B279" s="5" t="s">
        <v>12</v>
      </c>
      <c r="D279" s="5" t="s">
        <v>31</v>
      </c>
      <c r="E279" s="76" t="s">
        <v>412</v>
      </c>
      <c r="F279" s="5" t="s">
        <v>5</v>
      </c>
      <c r="G279" s="4"/>
      <c r="H279" s="4"/>
      <c r="I279" s="5" t="str">
        <f t="shared" si="28"/>
        <v>Defs</v>
      </c>
      <c r="J279" s="8" t="str">
        <f>IF(Table2[[#This Row],[!Type]]=J$1, J$1,"rg:None")</f>
        <v>rg:None</v>
      </c>
      <c r="K279" s="8" t="str">
        <f>IF(Table2[[#This Row],[!Type]]=K$1, K$1,"rg:None")</f>
        <v>rg:None</v>
      </c>
      <c r="L279" s="8" t="str">
        <f>IF(Table2[[#This Row],[!Type]]=L$1, L$1,"rg:None")</f>
        <v>datetime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endDate</v>
      </c>
      <c r="V279" s="8" t="str">
        <f>IF(LEN(Table2[[#This Row],[!Description]]) &gt; 0, Table2[[#This Row],[!Description]], "rg:None")</f>
        <v>The DATE the business information ceased to be in effect. - NOT CURRENTLY ENFORCED IN THIS SYSTEM</v>
      </c>
      <c r="W279" s="8" t="str">
        <f>IF(LEN(Table2[[#This Row],[!FK]])&gt;0,Table2[[#This Row],[!FK]],"rg:None")</f>
        <v>rg:None</v>
      </c>
      <c r="X279" s="8" t="str">
        <f>IF(LEN(concatif2(A:A,Table2[[#This Row],[!Table]],G:G,"Y",D:D,",")) &gt; 0,"rg:[ { 'req' : '"&amp;concatif2(A:A,Table2[[#This Row],[!Table]],G:G,"Y",D:D,"' }, { 'req': '")&amp;"'} ]","rg:[]")</f>
        <v>rg:[ { 'req' : 'id' }, { 'req': 'ministryRegionID' }, { 'req': 'name' }, { 'req': 'startDate'} ]</v>
      </c>
      <c r="Y279" s="8" t="str">
        <f>IF(LEN(Table2[[#This Row],[!Unique]])&gt;0,IF(Table2[[#This Row],[!Type]] = "id", "rg:None","rg:True"),"rg:None")</f>
        <v>rg:None</v>
      </c>
    </row>
    <row r="280" spans="1:25" x14ac:dyDescent="0.3">
      <c r="A280" s="5" t="s">
        <v>32</v>
      </c>
      <c r="B280" s="5" t="s">
        <v>4</v>
      </c>
      <c r="D280" s="5" t="s">
        <v>32</v>
      </c>
      <c r="E280" s="76" t="s">
        <v>406</v>
      </c>
      <c r="F280" s="5" t="s">
        <v>5</v>
      </c>
      <c r="G280" s="4"/>
      <c r="H280" s="4"/>
      <c r="I280" s="5" t="str">
        <f t="shared" si="28"/>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table</v>
      </c>
      <c r="T280" s="8" t="str">
        <f>IF(LEN(Table2[[#This Row],[!Length]]) &gt; 0, Table2[[#This Row],[!Length]], "rg:None")</f>
        <v>rg:None</v>
      </c>
      <c r="U280" s="8" t="str">
        <f>IF(LEN(Table2[[#This Row],[!Name]]) &gt; 0, Table2[[#This Row],[!Name]], "rg:None")</f>
        <v>District</v>
      </c>
      <c r="V280" s="8" t="str">
        <f>IF(LEN(Table2[[#This Row],[!Description]]) &gt; 0, Table2[[#This Row],[!Description]], "rg:None")</f>
        <v>The Ministry of Transportion and Infrastructure DISTRICT</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Row],[!Unique]])&gt;0,IF(Table2[[#This Row],[!Type]] = "id", "rg:None","rg:True"),"rg:None")</f>
        <v>rg:None</v>
      </c>
    </row>
    <row r="281" spans="1:25" x14ac:dyDescent="0.3">
      <c r="A281" s="5" t="s">
        <v>32</v>
      </c>
      <c r="B281" s="5" t="s">
        <v>6</v>
      </c>
      <c r="D281" s="5" t="s">
        <v>6</v>
      </c>
      <c r="E281" s="54" t="s">
        <v>319</v>
      </c>
      <c r="F281" s="5" t="s">
        <v>5</v>
      </c>
      <c r="G281" s="4" t="s">
        <v>62</v>
      </c>
      <c r="H281" s="158" t="s">
        <v>62</v>
      </c>
      <c r="I281" s="5" t="str">
        <f t="shared" si="28"/>
        <v>Defs</v>
      </c>
      <c r="J281" s="8" t="str">
        <f>IF(Table2[[#This Row],[!Type]]=J$1, J$1,"rg:None")</f>
        <v>rg:None</v>
      </c>
      <c r="K281" s="8" t="str">
        <f>IF(Table2[[#This Row],[!Type]]=K$1, K$1,"rg:None")</f>
        <v>rg:None</v>
      </c>
      <c r="L281" s="8" t="str">
        <f>IF(Table2[[#This Row],[!Type]]=L$1, L$1,"rg:None")</f>
        <v>rg:None</v>
      </c>
      <c r="M281" s="8" t="str">
        <f>IF(Table2[[#This Row],[!Type]]=M$1, M$1,"rg:None")</f>
        <v>id</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id</v>
      </c>
      <c r="V281" s="8" t="str">
        <f>IF(LEN(Table2[[#This Row],[!Description]]) &gt; 0, Table2[[#This Row],[!Description]], "rg:None")</f>
        <v>A system-generated unique identifier for a District</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Row],[!Unique]])&gt;0,IF(Table2[[#This Row],[!Type]] = "id", "rg:None","rg:True"),"rg:None")</f>
        <v>rg:None</v>
      </c>
    </row>
    <row r="282" spans="1:25" x14ac:dyDescent="0.3">
      <c r="A282" s="5" t="s">
        <v>32</v>
      </c>
      <c r="B282" s="5" t="s">
        <v>13</v>
      </c>
      <c r="D282" s="5" t="s">
        <v>33</v>
      </c>
      <c r="E282" s="76" t="s">
        <v>407</v>
      </c>
      <c r="F282" s="5" t="s">
        <v>5</v>
      </c>
      <c r="G282" s="41" t="s">
        <v>62</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integer</v>
      </c>
      <c r="O282" s="8"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8" t="str">
        <f>IF(LEN(Table2[[#This Row],[!Length]]) &gt; 0, Table2[[#This Row],[!Length]], "rg:None")</f>
        <v>rg:None</v>
      </c>
      <c r="U282" s="8" t="str">
        <f>IF(LEN(Table2[[#This Row],[!Name]]) &gt; 0, Table2[[#This Row],[!Name]], "rg:None")</f>
        <v>ministryDistrictID</v>
      </c>
      <c r="V282" s="8" t="str">
        <f>IF(LEN(Table2[[#This Row],[!Description]]) &gt; 0, Table2[[#This Row],[!Description]], "rg:None")</f>
        <v>A system generated unique identifier. NOT GENERATED IN THIS SYSTEM.</v>
      </c>
      <c r="W282" s="8" t="str">
        <f>IF(LEN(Table2[[#This Row],[!FK]])&gt;0,Table2[[#This Row],[!FK]],"rg:None")</f>
        <v>rg:None</v>
      </c>
      <c r="X282" s="8" t="str">
        <f>IF(LEN(concatif2(A:A,Table2[[#This Row],[!Table]],G:G,"Y",D:D,",")) &gt; 0,"rg:[ { 'req' : '"&amp;concatif2(A:A,Table2[[#This Row],[!Table]],G:G,"Y",D:D,"' }, { 'req': '")&amp;"'} ]","rg:[]")</f>
        <v>rg:[ { 'req' : 'id' }, { 'req': 'ministryDistrictID' }, { 'req': 'name' }, { 'req': 'region' }, { 'req': 'startDate'} ]</v>
      </c>
      <c r="Y282" s="8" t="str">
        <f>IF(LEN(Table2[[#This Row],[!Unique]])&gt;0,IF(Table2[[#This Row],[!Type]] = "id", "rg:None","rg:True"),"rg:None")</f>
        <v>rg:None</v>
      </c>
    </row>
    <row r="283" spans="1:25" x14ac:dyDescent="0.3">
      <c r="A283" s="5" t="s">
        <v>32</v>
      </c>
      <c r="B283" s="5" t="s">
        <v>7</v>
      </c>
      <c r="C283" s="5">
        <v>150</v>
      </c>
      <c r="D283" s="5" t="s">
        <v>15</v>
      </c>
      <c r="E283" s="76" t="s">
        <v>408</v>
      </c>
      <c r="F283" s="5" t="s">
        <v>5</v>
      </c>
      <c r="G283" s="41" t="s">
        <v>62</v>
      </c>
      <c r="H283" s="41"/>
      <c r="I283" s="5" t="str">
        <f t="shared" si="28"/>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Name of a Ministry District.</v>
      </c>
      <c r="W283" s="8" t="str">
        <f>IF(LEN(Table2[[#This Row],[!FK]])&gt;0,Table2[[#This Row],[!FK]],"rg:None")</f>
        <v>rg:None</v>
      </c>
      <c r="X283" s="8" t="str">
        <f>IF(LEN(concatif2(A:A,Table2[[#This Row],[!Table]],G:G,"Y",D:D,",")) &gt; 0,"rg:[ { 'req' : '"&amp;concatif2(A:A,Table2[[#This Row],[!Table]],G:G,"Y",D:D,"' }, { 'req': '")&amp;"'} ]","rg:[]")</f>
        <v>rg:[ { 'req' : 'id' }, { 'req': 'ministryDistrictID' }, { 'req': 'name' }, { 'req': 'region' }, { 'req': 'startDate'} ]</v>
      </c>
      <c r="Y283" s="8" t="str">
        <f>IF(LEN(Table2[[#This Row],[!Unique]])&gt;0,IF(Table2[[#This Row],[!Type]] = "id", "rg:None","rg:True"),"rg:None")</f>
        <v>rg:None</v>
      </c>
    </row>
    <row r="284" spans="1:25" x14ac:dyDescent="0.3">
      <c r="A284" s="61" t="s">
        <v>32</v>
      </c>
      <c r="B284" s="61" t="s">
        <v>13</v>
      </c>
      <c r="C284" s="72"/>
      <c r="D284" s="61" t="s">
        <v>409</v>
      </c>
      <c r="E284" s="47" t="s">
        <v>410</v>
      </c>
      <c r="F284" s="12"/>
      <c r="G284" s="18"/>
      <c r="H284" s="18"/>
      <c r="I284" s="4" t="str">
        <f>IF(LEN(A284) &gt; 0,"Defs","-")</f>
        <v>Defs</v>
      </c>
      <c r="J284" s="14" t="str">
        <f>IF(Table2[[#This Row],[!Type]]=J$1, J$1,"rg:None")</f>
        <v>rg:None</v>
      </c>
      <c r="K284" s="14" t="str">
        <f>IF(Table2[[#This Row],[!Type]]=K$1, K$1,"rg:None")</f>
        <v>rg:None</v>
      </c>
      <c r="L284" s="14" t="str">
        <f>IF(Table2[[#This Row],[!Type]]=L$1, L$1,"rg:None")</f>
        <v>rg:None</v>
      </c>
      <c r="M284" s="14" t="str">
        <f>IF(Table2[[#This Row],[!Type]]=M$1, M$1,"rg:None")</f>
        <v>rg:None</v>
      </c>
      <c r="N284" s="14" t="str">
        <f>IF(Table2[[#This Row],[!Type]]=N$1, N$1,"rg:None")</f>
        <v>integer</v>
      </c>
      <c r="O284" s="14" t="str">
        <f>IF(Table2[[#This Row],[!Type]]=O$1, O$1,"rg:None")</f>
        <v>rg:None</v>
      </c>
      <c r="P284" s="4" t="str">
        <f>IF(Table2[[#This Row],[!Type]]=P$1, P$1,"rg:None")</f>
        <v>rg:None</v>
      </c>
      <c r="Q284" s="4" t="str">
        <f>IF(Table2[[#This Row],[!Type]]=Q$1, Q$1,"rg:None")</f>
        <v>rg:None</v>
      </c>
      <c r="R284" s="4" t="str">
        <f>IF(Table2[[#This Row],[!Type]]=R$1, R$1,"rg:None")</f>
        <v>rg:None</v>
      </c>
      <c r="S284" s="4" t="str">
        <f>IF(Table2[[#This Row],[!Type]]=S$1, S$1,"rg:None")</f>
        <v>rg:None</v>
      </c>
      <c r="T284" s="14" t="str">
        <f>IF(LEN(Table2[[#This Row],[!Length]]) &gt; 0, Table2[[#This Row],[!Length]], "rg:None")</f>
        <v>rg:None</v>
      </c>
      <c r="U284" s="14" t="str">
        <f>IF(LEN(Table2[[#This Row],[!Name]]) &gt; 0, Table2[[#This Row],[!Name]], "rg:None")</f>
        <v>districtNumber</v>
      </c>
      <c r="V284" s="14" t="str">
        <f>IF(LEN(Table2[[#This Row],[!Description]]) &gt; 0, Table2[[#This Row],[!Description]], "rg:None")</f>
        <v>A number that uniquely defines a Ministry District.</v>
      </c>
      <c r="W284" s="14" t="str">
        <f>IF(LEN(Table2[[#This Row],[!FK]])&gt;0,Table2[[#This Row],[!FK]],"rg:None")</f>
        <v>rg:None</v>
      </c>
      <c r="X284" s="14" t="str">
        <f>IF(LEN(concatif2(A:A,Table2[[#This Row],[!Table]],G:G,"Y",D:D,",")) &gt; 0,"rg:[ { 'req' : '"&amp;concatif2(A:A,Table2[[#This Row],[!Table]],G:G,"Y",D:D,"' }, { 'req': '")&amp;"'} ]","rg:[]")</f>
        <v>rg:[ { 'req' : 'id' }, { 'req': 'ministryDistrictID' }, { 'req': 'name' }, { 'req': 'region' }, { 'req': 'startDate'} ]</v>
      </c>
      <c r="Y284" s="14" t="str">
        <f>IF(LEN(Table2[[#This Row],[!Unique]])&gt;0,IF(Table2[[#This Row],[!Type]] = "id", "rg:None","rg:True"),"rg:None")</f>
        <v>rg:None</v>
      </c>
    </row>
    <row r="285" spans="1:25" x14ac:dyDescent="0.3">
      <c r="A285" s="5" t="s">
        <v>32</v>
      </c>
      <c r="B285" s="5" t="s">
        <v>8</v>
      </c>
      <c r="D285" s="5" t="s">
        <v>34</v>
      </c>
      <c r="E285" s="54" t="s">
        <v>35</v>
      </c>
      <c r="F285" s="5" t="s">
        <v>28</v>
      </c>
      <c r="G285" s="63" t="s">
        <v>62</v>
      </c>
      <c r="H285" s="4"/>
      <c r="I285" s="5" t="str">
        <f t="shared" si="28"/>
        <v>Defs</v>
      </c>
      <c r="J285" s="8" t="str">
        <f>IF(Table2[[#This Row],[!Type]]=J$1, J$1,"rg:None")</f>
        <v>rg:None</v>
      </c>
      <c r="K285" s="8" t="str">
        <f>IF(Table2[[#This Row],[!Type]]=K$1, K$1,"rg:None")</f>
        <v>rg:None</v>
      </c>
      <c r="L285" s="8" t="str">
        <f>IF(Table2[[#This Row],[!Type]]=L$1, L$1,"rg:None")</f>
        <v>rg:None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ref</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region</v>
      </c>
      <c r="V285" s="8" t="str">
        <f>IF(LEN(Table2[[#This Row],[!Description]]) &gt; 0, Table2[[#This Row],[!Description]], "rg:None")</f>
        <v>The region in which the District is found.</v>
      </c>
      <c r="W285" s="8" t="str">
        <f>IF(LEN(Table2[[#This Row],[!FK]])&gt;0,Table2[[#This Row],[!FK]],"rg:None")</f>
        <v>Region</v>
      </c>
      <c r="X285" s="8" t="str">
        <f>IF(LEN(concatif2(A:A,Table2[[#This Row],[!Table]],G:G,"Y",D:D,",")) &gt; 0,"rg:[ { 'req' : '"&amp;concatif2(A:A,Table2[[#This Row],[!Table]],G:G,"Y",D:D,"' }, { 'req': '")&amp;"'} ]","rg:[]")</f>
        <v>rg:[ { 'req' : 'id' }, { 'req': 'ministryDistrictID' }, { 'req': 'name' }, { 'req': 'region' }, { 'req': 'startDate'} ]</v>
      </c>
      <c r="Y285" s="8" t="str">
        <f>IF(LEN(Table2[[#This Row],[!Unique]])&gt;0,IF(Table2[[#This Row],[!Type]] = "id", "rg:None","rg:True"),"rg:None")</f>
        <v>rg:None</v>
      </c>
    </row>
    <row r="286" spans="1:25" ht="28.8" x14ac:dyDescent="0.3">
      <c r="A286" s="5" t="s">
        <v>32</v>
      </c>
      <c r="B286" s="5" t="s">
        <v>12</v>
      </c>
      <c r="D286" s="5" t="s">
        <v>30</v>
      </c>
      <c r="E286" s="76" t="s">
        <v>411</v>
      </c>
      <c r="F286" s="5" t="s">
        <v>5</v>
      </c>
      <c r="G286" s="63" t="s">
        <v>62</v>
      </c>
      <c r="H286" s="4"/>
      <c r="I286" s="5" t="str">
        <f t="shared" si="28"/>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startDate</v>
      </c>
      <c r="V286" s="8" t="str">
        <f>IF(LEN(Table2[[#This Row],[!Description]]) &gt; 0, Table2[[#This Row],[!Description]], "rg:None")</f>
        <v>The DATE the business information came into effect. - NOT CURRENTLY ENFORCED IN THIS SYSTEM</v>
      </c>
      <c r="W286" s="8" t="str">
        <f>IF(LEN(Table2[[#This Row],[!FK]])&gt;0,Table2[[#This Row],[!FK]],"rg:None")</f>
        <v>rg:None</v>
      </c>
      <c r="X286" s="8" t="str">
        <f>IF(LEN(concatif2(A:A,Table2[[#This Row],[!Table]],G:G,"Y",D:D,",")) &gt; 0,"rg:[ { 'req' : '"&amp;concatif2(A:A,Table2[[#This Row],[!Table]],G:G,"Y",D:D,"' }, { 'req': '")&amp;"'} ]","rg:[]")</f>
        <v>rg:[ { 'req' : 'id' }, { 'req': 'ministryDistrictID' }, { 'req': 'name' }, { 'req': 'region' }, { 'req': 'startDate'} ]</v>
      </c>
      <c r="Y286" s="8" t="str">
        <f>IF(LEN(Table2[[#This Row],[!Unique]])&gt;0,IF(Table2[[#This Row],[!Type]] = "id", "rg:None","rg:True"),"rg:None")</f>
        <v>rg:None</v>
      </c>
    </row>
    <row r="287" spans="1:25" ht="28.8" x14ac:dyDescent="0.3">
      <c r="A287" s="5" t="s">
        <v>32</v>
      </c>
      <c r="B287" s="5" t="s">
        <v>12</v>
      </c>
      <c r="D287" s="5" t="s">
        <v>31</v>
      </c>
      <c r="E287" s="76" t="s">
        <v>412</v>
      </c>
      <c r="F287" s="5" t="s">
        <v>5</v>
      </c>
      <c r="G287" s="4"/>
      <c r="H287" s="4"/>
      <c r="I287" s="5" t="str">
        <f t="shared" si="28"/>
        <v>Defs</v>
      </c>
      <c r="J287" s="8" t="str">
        <f>IF(Table2[[#This Row],[!Type]]=J$1, J$1,"rg:None")</f>
        <v>rg:None</v>
      </c>
      <c r="K287" s="8" t="str">
        <f>IF(Table2[[#This Row],[!Type]]=K$1, K$1,"rg:None")</f>
        <v>rg:None</v>
      </c>
      <c r="L287" s="8" t="str">
        <f>IF(Table2[[#This Row],[!Type]]=L$1, L$1,"rg:None")</f>
        <v>datetime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endDate</v>
      </c>
      <c r="V287" s="8" t="str">
        <f>IF(LEN(Table2[[#This Row],[!Description]]) &gt; 0, Table2[[#This Row],[!Description]], "rg:None")</f>
        <v>The DATE the business information ceased to be in effect. - NOT CURRENTLY ENFORCED IN THIS SYSTEM</v>
      </c>
      <c r="W287" s="8" t="str">
        <f>IF(LEN(Table2[[#This Row],[!FK]])&gt;0,Table2[[#This Row],[!FK]],"rg:None")</f>
        <v>rg:None</v>
      </c>
      <c r="X287" s="8" t="str">
        <f>IF(LEN(concatif2(A:A,Table2[[#This Row],[!Table]],G:G,"Y",D:D,",")) &gt; 0,"rg:[ { 'req' : '"&amp;concatif2(A:A,Table2[[#This Row],[!Table]],G:G,"Y",D:D,"' }, { 'req': '")&amp;"'} ]","rg:[]")</f>
        <v>rg:[ { 'req' : 'id' }, { 'req': 'ministryDistrictID' }, { 'req': 'name' }, { 'req': 'region' }, { 'req': 'startDate'} ]</v>
      </c>
      <c r="Y287" s="8" t="str">
        <f>IF(LEN(Table2[[#This Row],[!Unique]])&gt;0,IF(Table2[[#This Row],[!Type]] = "id", "rg:None","rg:True"),"rg:None")</f>
        <v>rg:None</v>
      </c>
    </row>
    <row r="288" spans="1:25" x14ac:dyDescent="0.3">
      <c r="A288" s="5" t="s">
        <v>10</v>
      </c>
      <c r="B288" s="5" t="s">
        <v>4</v>
      </c>
      <c r="D288" s="5" t="s">
        <v>10</v>
      </c>
      <c r="E288" s="54" t="s">
        <v>416</v>
      </c>
      <c r="F288" s="5" t="s">
        <v>5</v>
      </c>
      <c r="G288" s="4"/>
      <c r="H288" s="4"/>
      <c r="I288" s="5" t="str">
        <f t="shared" si="28"/>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table</v>
      </c>
      <c r="T288" s="8" t="str">
        <f>IF(LEN(Table2[[#This Row],[!Length]]) &gt; 0, Table2[[#This Row],[!Length]], "rg:None")</f>
        <v>rg:None</v>
      </c>
      <c r="U288" s="8" t="str">
        <f>IF(LEN(Table2[[#This Row],[!Name]]) &gt; 0, Table2[[#This Row],[!Name]], "rg:None")</f>
        <v>ServiceArea</v>
      </c>
      <c r="V288" s="8" t="str">
        <f>IF(LEN(Table2[[#This Row],[!Description]]) &gt; 0, Table2[[#This Row],[!Description]], "rg:None")</f>
        <v>The Ministry of Transportation and Infrastructure SERVICE AREA.</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Row],[!Unique]])&gt;0,IF(Table2[[#This Row],[!Type]] = "id", "rg:None","rg:True"),"rg:None")</f>
        <v>rg:None</v>
      </c>
    </row>
    <row r="289" spans="1:25" x14ac:dyDescent="0.3">
      <c r="A289" s="5" t="s">
        <v>10</v>
      </c>
      <c r="B289" s="5" t="s">
        <v>6</v>
      </c>
      <c r="D289" s="5" t="s">
        <v>6</v>
      </c>
      <c r="E289" s="54" t="s">
        <v>320</v>
      </c>
      <c r="F289" s="5" t="s">
        <v>5</v>
      </c>
      <c r="G289" s="4" t="s">
        <v>62</v>
      </c>
      <c r="H289" s="41" t="s">
        <v>62</v>
      </c>
      <c r="I289" s="5" t="str">
        <f t="shared" si="28"/>
        <v>Defs</v>
      </c>
      <c r="J289" s="8" t="str">
        <f>IF(Table2[[#This Row],[!Type]]=J$1, J$1,"rg:None")</f>
        <v>rg:None</v>
      </c>
      <c r="K289" s="8" t="str">
        <f>IF(Table2[[#This Row],[!Type]]=K$1, K$1,"rg:None")</f>
        <v>rg:None</v>
      </c>
      <c r="L289" s="8" t="str">
        <f>IF(Table2[[#This Row],[!Type]]=L$1, L$1,"rg:None")</f>
        <v>rg:None</v>
      </c>
      <c r="M289" s="8" t="str">
        <f>IF(Table2[[#This Row],[!Type]]=M$1, M$1,"rg:None")</f>
        <v>id</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id</v>
      </c>
      <c r="V289" s="8" t="str">
        <f>IF(LEN(Table2[[#This Row],[!Description]]) &gt; 0, Table2[[#This Row],[!Description]], "rg:None")</f>
        <v>A system-generated unique identifier for a ServiceArea</v>
      </c>
      <c r="W289" s="8" t="str">
        <f>IF(LEN(Table2[[#This Row],[!FK]])&gt;0,Table2[[#This Row],[!FK]],"rg:None")</f>
        <v>rg:None</v>
      </c>
      <c r="X289" s="8" t="str">
        <f>IF(LEN(concatif2(A:A,Table2[[#This Row],[!Table]],G:G,"Y",D:D,",")) &gt; 0,"rg:[ { 'req' : '"&amp;concatif2(A:A,Table2[[#This Row],[!Table]],G:G,"Y",D:D,"' }, { 'req': '")&amp;"'} ]","rg:[]")</f>
        <v>rg:[ { 'req' : 'id' }, { 'req': 'ministryServiceAreaID' }, { 'req': 'name' }, { 'req': 'district' }, { 'req': 'startDate'} ]</v>
      </c>
      <c r="Y289" s="8" t="str">
        <f>IF(LEN(Table2[[#This Row],[!Unique]])&gt;0,IF(Table2[[#This Row],[!Type]] = "id", "rg:None","rg:True"),"rg:None")</f>
        <v>rg:None</v>
      </c>
    </row>
    <row r="290" spans="1:25" x14ac:dyDescent="0.3">
      <c r="A290" s="5" t="s">
        <v>10</v>
      </c>
      <c r="B290" s="5" t="s">
        <v>13</v>
      </c>
      <c r="D290" s="5" t="s">
        <v>36</v>
      </c>
      <c r="E290" s="76" t="s">
        <v>407</v>
      </c>
      <c r="F290" s="5" t="s">
        <v>5</v>
      </c>
      <c r="G290" s="41" t="s">
        <v>62</v>
      </c>
      <c r="H290" s="41"/>
      <c r="I290" s="5" t="str">
        <f t="shared" si="28"/>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integer</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ministryServiceAreaID</v>
      </c>
      <c r="V290" s="8" t="str">
        <f>IF(LEN(Table2[[#This Row],[!Description]]) &gt; 0, Table2[[#This Row],[!Description]], "rg:None")</f>
        <v>A system generated unique identifier. NOT GENERATED IN THIS SYSTEM.</v>
      </c>
      <c r="W290" s="8" t="str">
        <f>IF(LEN(Table2[[#This Row],[!FK]])&gt;0,Table2[[#This Row],[!FK]],"rg:None")</f>
        <v>rg:None</v>
      </c>
      <c r="X290" s="8" t="str">
        <f>IF(LEN(concatif2(A:A,Table2[[#This Row],[!Table]],G:G,"Y",D:D,",")) &gt; 0,"rg:[ { 'req' : '"&amp;concatif2(A:A,Table2[[#This Row],[!Table]],G:G,"Y",D:D,"' }, { 'req': '")&amp;"'} ]","rg:[]")</f>
        <v>rg:[ { 'req' : 'id' }, { 'req': 'ministryServiceAreaID' }, { 'req': 'name' }, { 'req': 'district' }, { 'req': 'startDate'} ]</v>
      </c>
      <c r="Y290" s="8" t="str">
        <f>IF(LEN(Table2[[#This Row],[!Unique]])&gt;0,IF(Table2[[#This Row],[!Type]] = "id", "rg:None","rg:True"),"rg:None")</f>
        <v>rg:None</v>
      </c>
    </row>
    <row r="291" spans="1:25" x14ac:dyDescent="0.3">
      <c r="A291" s="61" t="s">
        <v>10</v>
      </c>
      <c r="B291" s="61" t="s">
        <v>13</v>
      </c>
      <c r="C291" s="72"/>
      <c r="D291" s="61" t="s">
        <v>414</v>
      </c>
      <c r="E291" s="47" t="s">
        <v>415</v>
      </c>
      <c r="F291" s="12"/>
      <c r="G291" s="18"/>
      <c r="H291" s="18"/>
      <c r="I291" s="4" t="str">
        <f>IF(LEN(A291) &gt; 0,"Defs","-")</f>
        <v>Defs</v>
      </c>
      <c r="J291" s="14" t="str">
        <f>IF(Table2[[#This Row],[!Type]]=J$1, J$1,"rg:None")</f>
        <v>rg:None</v>
      </c>
      <c r="K291" s="14" t="str">
        <f>IF(Table2[[#This Row],[!Type]]=K$1, K$1,"rg:None")</f>
        <v>rg:None</v>
      </c>
      <c r="L291" s="14" t="str">
        <f>IF(Table2[[#This Row],[!Type]]=L$1, L$1,"rg:None")</f>
        <v>rg:None</v>
      </c>
      <c r="M291" s="14" t="str">
        <f>IF(Table2[[#This Row],[!Type]]=M$1, M$1,"rg:None")</f>
        <v>rg:None</v>
      </c>
      <c r="N291" s="14" t="str">
        <f>IF(Table2[[#This Row],[!Type]]=N$1, N$1,"rg:None")</f>
        <v>integer</v>
      </c>
      <c r="O291" s="14" t="str">
        <f>IF(Table2[[#This Row],[!Type]]=O$1, O$1,"rg:None")</f>
        <v>rg:None</v>
      </c>
      <c r="P291" s="4" t="str">
        <f>IF(Table2[[#This Row],[!Type]]=P$1, P$1,"rg:None")</f>
        <v>rg:None</v>
      </c>
      <c r="Q291" s="4" t="str">
        <f>IF(Table2[[#This Row],[!Type]]=Q$1, Q$1,"rg:None")</f>
        <v>rg:None</v>
      </c>
      <c r="R291" s="4" t="str">
        <f>IF(Table2[[#This Row],[!Type]]=R$1, R$1,"rg:None")</f>
        <v>rg:None</v>
      </c>
      <c r="S291" s="4" t="str">
        <f>IF(Table2[[#This Row],[!Type]]=S$1, S$1,"rg:None")</f>
        <v>rg:None</v>
      </c>
      <c r="T291" s="14" t="str">
        <f>IF(LEN(Table2[[#This Row],[!Length]]) &gt; 0, Table2[[#This Row],[!Length]], "rg:None")</f>
        <v>rg:None</v>
      </c>
      <c r="U291" s="14" t="str">
        <f>IF(LEN(Table2[[#This Row],[!Name]]) &gt; 0, Table2[[#This Row],[!Name]], "rg:None")</f>
        <v>areaNumber</v>
      </c>
      <c r="V291" s="14" t="str">
        <f>IF(LEN(Table2[[#This Row],[!Description]]) &gt; 0, Table2[[#This Row],[!Description]], "rg:None")</f>
        <v>A number that uniquely defines a Ministry Service Area.</v>
      </c>
      <c r="W291" s="14" t="str">
        <f>IF(LEN(Table2[[#This Row],[!FK]])&gt;0,Table2[[#This Row],[!FK]],"rg:None")</f>
        <v>rg:None</v>
      </c>
      <c r="X291" s="14" t="str">
        <f>IF(LEN(concatif2(A:A,Table2[[#This Row],[!Table]],G:G,"Y",D:D,",")) &gt; 0,"rg:[ { 'req' : '"&amp;concatif2(A:A,Table2[[#This Row],[!Table]],G:G,"Y",D:D,"' }, { 'req': '")&amp;"'} ]","rg:[]")</f>
        <v>rg:[ { 'req' : 'id' }, { 'req': 'ministryServiceAreaID' }, { 'req': 'name' }, { 'req': 'district' }, { 'req': 'startDate'} ]</v>
      </c>
      <c r="Y291" s="14" t="str">
        <f>IF(LEN(Table2[[#This Row],[!Unique]])&gt;0,IF(Table2[[#This Row],[!Type]] = "id", "rg:None","rg:True"),"rg:None")</f>
        <v>rg:None</v>
      </c>
    </row>
    <row r="292" spans="1:25" x14ac:dyDescent="0.3">
      <c r="A292" s="5" t="s">
        <v>10</v>
      </c>
      <c r="B292" s="5" t="s">
        <v>7</v>
      </c>
      <c r="C292" s="5">
        <v>150</v>
      </c>
      <c r="D292" s="5" t="s">
        <v>15</v>
      </c>
      <c r="E292" s="76" t="s">
        <v>413</v>
      </c>
      <c r="F292" s="5" t="s">
        <v>5</v>
      </c>
      <c r="G292" s="41" t="s">
        <v>62</v>
      </c>
      <c r="H292" s="41"/>
      <c r="I292" s="5" t="str">
        <f t="shared" si="28"/>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string</v>
      </c>
      <c r="S292" s="5" t="str">
        <f>IF(Table2[[#This Row],[!Type]]=S$1, S$1,"rg:None")</f>
        <v>rg:None</v>
      </c>
      <c r="T292" s="8">
        <f>IF(LEN(Table2[[#This Row],[!Length]]) &gt; 0, Table2[[#This Row],[!Length]], "rg:None")</f>
        <v>150</v>
      </c>
      <c r="U292" s="8" t="str">
        <f>IF(LEN(Table2[[#This Row],[!Name]]) &gt; 0, Table2[[#This Row],[!Name]], "rg:None")</f>
        <v>name</v>
      </c>
      <c r="V292" s="8" t="str">
        <f>IF(LEN(Table2[[#This Row],[!Description]]) &gt; 0, Table2[[#This Row],[!Description]], "rg:None")</f>
        <v>The Name of a Ministry Service Area.</v>
      </c>
      <c r="W292" s="8" t="str">
        <f>IF(LEN(Table2[[#This Row],[!FK]])&gt;0,Table2[[#This Row],[!FK]],"rg:None")</f>
        <v>rg:None</v>
      </c>
      <c r="X292" s="8" t="str">
        <f>IF(LEN(concatif2(A:A,Table2[[#This Row],[!Table]],G:G,"Y",D:D,",")) &gt; 0,"rg:[ { 'req' : '"&amp;concatif2(A:A,Table2[[#This Row],[!Table]],G:G,"Y",D:D,"' }, { 'req': '")&amp;"'} ]","rg:[]")</f>
        <v>rg:[ { 'req' : 'id' }, { 'req': 'ministryServiceAreaID' }, { 'req': 'name' }, { 'req': 'district' }, { 'req': 'startDate'} ]</v>
      </c>
      <c r="Y292" s="8" t="str">
        <f>IF(LEN(Table2[[#This Row],[!Unique]])&gt;0,IF(Table2[[#This Row],[!Type]] = "id", "rg:None","rg:True"),"rg:None")</f>
        <v>rg:None</v>
      </c>
    </row>
    <row r="293" spans="1:25" x14ac:dyDescent="0.3">
      <c r="A293" s="5" t="s">
        <v>10</v>
      </c>
      <c r="B293" s="5" t="s">
        <v>8</v>
      </c>
      <c r="D293" s="5" t="s">
        <v>37</v>
      </c>
      <c r="E293" s="54" t="s">
        <v>38</v>
      </c>
      <c r="F293" s="5" t="s">
        <v>32</v>
      </c>
      <c r="G293" s="63" t="s">
        <v>62</v>
      </c>
      <c r="H293" s="4"/>
      <c r="I293" s="5" t="str">
        <f t="shared" si="28"/>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ref</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district</v>
      </c>
      <c r="V293" s="8" t="str">
        <f>IF(LEN(Table2[[#This Row],[!Description]]) &gt; 0, Table2[[#This Row],[!Description]], "rg:None")</f>
        <v>The district in which the Service Area is found.</v>
      </c>
      <c r="W293" s="8" t="str">
        <f>IF(LEN(Table2[[#This Row],[!FK]])&gt;0,Table2[[#This Row],[!FK]],"rg:None")</f>
        <v>District</v>
      </c>
      <c r="X293" s="8" t="str">
        <f>IF(LEN(concatif2(A:A,Table2[[#This Row],[!Table]],G:G,"Y",D:D,",")) &gt; 0,"rg:[ { 'req' : '"&amp;concatif2(A:A,Table2[[#This Row],[!Table]],G:G,"Y",D:D,"' }, { 'req': '")&amp;"'} ]","rg:[]")</f>
        <v>rg:[ { 'req' : 'id' }, { 'req': 'ministryServiceAreaID' }, { 'req': 'name' }, { 'req': 'district' }, { 'req': 'startDate'} ]</v>
      </c>
      <c r="Y293" s="8" t="str">
        <f>IF(LEN(Table2[[#This Row],[!Unique]])&gt;0,IF(Table2[[#This Row],[!Type]] = "id", "rg:None","rg:True"),"rg:None")</f>
        <v>rg:None</v>
      </c>
    </row>
    <row r="294" spans="1:25" ht="28.8" x14ac:dyDescent="0.3">
      <c r="A294" s="5" t="s">
        <v>10</v>
      </c>
      <c r="B294" s="5" t="s">
        <v>12</v>
      </c>
      <c r="D294" s="5" t="s">
        <v>30</v>
      </c>
      <c r="E294" s="76" t="s">
        <v>411</v>
      </c>
      <c r="F294" s="5" t="s">
        <v>5</v>
      </c>
      <c r="G294" s="63" t="s">
        <v>62</v>
      </c>
      <c r="H294" s="4"/>
      <c r="I294" s="5" t="str">
        <f t="shared" si="28"/>
        <v>Defs</v>
      </c>
      <c r="J294" s="8" t="str">
        <f>IF(Table2[[#This Row],[!Type]]=J$1, J$1,"rg:None")</f>
        <v>rg:None</v>
      </c>
      <c r="K294" s="8" t="str">
        <f>IF(Table2[[#This Row],[!Type]]=K$1, K$1,"rg:None")</f>
        <v>rg:None</v>
      </c>
      <c r="L294" s="8" t="str">
        <f>IF(Table2[[#This Row],[!Type]]=L$1, L$1,"rg:None")</f>
        <v>datetime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startDate</v>
      </c>
      <c r="V294" s="8" t="str">
        <f>IF(LEN(Table2[[#This Row],[!Description]]) &gt; 0, Table2[[#This Row],[!Description]], "rg:None")</f>
        <v>The DATE the business information came into effect. - NOT CURRENTLY ENFORCED IN THIS SYSTEM</v>
      </c>
      <c r="W294" s="8" t="str">
        <f>IF(LEN(Table2[[#This Row],[!FK]])&gt;0,Table2[[#This Row],[!FK]],"rg:None")</f>
        <v>rg:None</v>
      </c>
      <c r="X294" s="8" t="str">
        <f>IF(LEN(concatif2(A:A,Table2[[#This Row],[!Table]],G:G,"Y",D:D,",")) &gt; 0,"rg:[ { 'req' : '"&amp;concatif2(A:A,Table2[[#This Row],[!Table]],G:G,"Y",D:D,"' }, { 'req': '")&amp;"'} ]","rg:[]")</f>
        <v>rg:[ { 'req' : 'id' }, { 'req': 'ministryServiceAreaID' }, { 'req': 'name' }, { 'req': 'district' }, { 'req': 'startDate'} ]</v>
      </c>
      <c r="Y294" s="8" t="str">
        <f>IF(LEN(Table2[[#This Row],[!Unique]])&gt;0,IF(Table2[[#This Row],[!Type]] = "id", "rg:None","rg:True"),"rg:None")</f>
        <v>rg:None</v>
      </c>
    </row>
    <row r="295" spans="1:25" ht="28.8" x14ac:dyDescent="0.3">
      <c r="A295" s="5" t="s">
        <v>10</v>
      </c>
      <c r="B295" s="5" t="s">
        <v>12</v>
      </c>
      <c r="D295" s="5" t="s">
        <v>31</v>
      </c>
      <c r="E295" s="76" t="s">
        <v>412</v>
      </c>
      <c r="F295" s="5" t="s">
        <v>5</v>
      </c>
      <c r="G295" s="4"/>
      <c r="H295" s="4"/>
      <c r="I295" s="5" t="str">
        <f t="shared" si="28"/>
        <v>Defs</v>
      </c>
      <c r="J295" s="8" t="str">
        <f>IF(Table2[[#This Row],[!Type]]=J$1, J$1,"rg:None")</f>
        <v>rg:None</v>
      </c>
      <c r="K295" s="8" t="str">
        <f>IF(Table2[[#This Row],[!Type]]=K$1, K$1,"rg:None")</f>
        <v>rg:None</v>
      </c>
      <c r="L295" s="8" t="str">
        <f>IF(Table2[[#This Row],[!Type]]=L$1, L$1,"rg:None")</f>
        <v>datetime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endDate</v>
      </c>
      <c r="V295" s="8" t="str">
        <f>IF(LEN(Table2[[#This Row],[!Description]]) &gt; 0, Table2[[#This Row],[!Description]], "rg:None")</f>
        <v>The DATE the business information ceased to be in effect. - NOT CURRENTLY ENFORCED IN THIS SYSTEM</v>
      </c>
      <c r="W295" s="8" t="str">
        <f>IF(LEN(Table2[[#This Row],[!FK]])&gt;0,Table2[[#This Row],[!FK]],"rg:None")</f>
        <v>rg:None</v>
      </c>
      <c r="X295" s="8" t="str">
        <f>IF(LEN(concatif2(A:A,Table2[[#This Row],[!Table]],G:G,"Y",D:D,",")) &gt; 0,"rg:[ { 'req' : '"&amp;concatif2(A:A,Table2[[#This Row],[!Table]],G:G,"Y",D:D,"' }, { 'req': '")&amp;"'} ]","rg:[]")</f>
        <v>rg:[ { 'req' : 'id' }, { 'req': 'ministryServiceAreaID' }, { 'req': 'name' }, { 'req': 'district' }, { 'req': 'startDate'} ]</v>
      </c>
      <c r="Y295" s="8" t="str">
        <f>IF(LEN(Table2[[#This Row],[!Unique]])&gt;0,IF(Table2[[#This Row],[!Type]] = "id", "rg:None","rg:True"),"rg:None")</f>
        <v>rg:None</v>
      </c>
    </row>
    <row r="296" spans="1:25" x14ac:dyDescent="0.3">
      <c r="A296" s="109" t="s">
        <v>151</v>
      </c>
      <c r="B296" s="5" t="s">
        <v>4</v>
      </c>
      <c r="D296" s="109" t="s">
        <v>151</v>
      </c>
      <c r="E296" s="76" t="s">
        <v>371</v>
      </c>
      <c r="F296" s="5" t="s">
        <v>5</v>
      </c>
      <c r="G296" s="4"/>
      <c r="H296" s="4"/>
      <c r="I296" s="5" t="str">
        <f>IF(LEN(A296) &gt; 0,"Defs","-")</f>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8" t="str">
        <f>IF(LEN(Table2[[#This Row],[!Length]]) &gt; 0, Table2[[#This Row],[!Length]], "rg:None")</f>
        <v>rg:None</v>
      </c>
      <c r="U296" s="8" t="str">
        <f>IF(LEN(Table2[[#This Row],[!Name]]) &gt; 0, Table2[[#This Row],[!Name]], "rg:None")</f>
        <v>LocalArea</v>
      </c>
      <c r="V296" s="8" t="str">
        <f>IF(LEN(Table2[[#This Row],[!Description]]) &gt; 0, Table2[[#This Row],[!Description]], "rg:None")</f>
        <v>A HETS-application defined area that is within a Service Area.</v>
      </c>
      <c r="W296" s="8" t="str">
        <f>IF(LEN(Table2[[#This Row],[!FK]])&gt;0,Table2[[#This Row],[!FK]],"rg:None")</f>
        <v>rg:None</v>
      </c>
      <c r="X296" s="8" t="str">
        <f>IF(LEN(concatif2(A:A,Table2[[#This Row],[!Table]],G:G,"Y",D:D,",")) &gt; 0,"rg:[ { 'req' : '"&amp;concatif2(A:A,Table2[[#This Row],[!Table]],G:G,"Y",D:D,"' }, { 'req': '")&amp;"'} ]","rg:[]")</f>
        <v>rg:[ { 'req' : 'id' }, { 'req': 'localAreaNumber' }, { 'req': 'name' }, { 'req': 'serviceArea' }, { 'req': 'startDate'} ]</v>
      </c>
      <c r="Y296" s="8" t="str">
        <f>IF(LEN(Table2[[#This Row],[!Unique]])&gt;0,IF(Table2[[#This Row],[!Type]] = "id", "rg:None","rg:True"),"rg:None")</f>
        <v>rg:None</v>
      </c>
    </row>
    <row r="297" spans="1:25" x14ac:dyDescent="0.3">
      <c r="A297" s="109" t="s">
        <v>151</v>
      </c>
      <c r="B297" s="5" t="s">
        <v>6</v>
      </c>
      <c r="D297" s="5" t="s">
        <v>6</v>
      </c>
      <c r="E297" s="54" t="s">
        <v>349</v>
      </c>
      <c r="F297" s="5" t="s">
        <v>5</v>
      </c>
      <c r="G297" s="4" t="s">
        <v>62</v>
      </c>
      <c r="H297" s="158" t="s">
        <v>62</v>
      </c>
      <c r="I297" s="5" t="str">
        <f>IF(LEN(A297) &gt; 0,"Defs","-")</f>
        <v>Defs</v>
      </c>
      <c r="J297" s="8" t="str">
        <f>IF(Table2[[#This Row],[!Type]]=J$1, J$1,"rg:None")</f>
        <v>rg:None</v>
      </c>
      <c r="K297" s="8" t="str">
        <f>IF(Table2[[#This Row],[!Type]]=K$1, K$1,"rg:None")</f>
        <v>rg:None</v>
      </c>
      <c r="L297" s="8" t="str">
        <f>IF(Table2[[#This Row],[!Type]]=L$1, L$1,"rg:None")</f>
        <v>rg:None</v>
      </c>
      <c r="M297" s="8" t="str">
        <f>IF(Table2[[#This Row],[!Type]]=M$1, M$1,"rg:None")</f>
        <v>id</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id</v>
      </c>
      <c r="V297" s="8" t="str">
        <f>IF(LEN(Table2[[#This Row],[!Description]]) &gt; 0, Table2[[#This Row],[!Description]], "rg:None")</f>
        <v>A system-generated unique identifier for a LocalArea</v>
      </c>
      <c r="W297" s="8" t="str">
        <f>IF(LEN(Table2[[#This Row],[!FK]])&gt;0,Table2[[#This Row],[!FK]],"rg:None")</f>
        <v>rg:None</v>
      </c>
      <c r="X297" s="8" t="str">
        <f>IF(LEN(concatif2(A:A,Table2[[#This Row],[!Table]],G:G,"Y",D:D,",")) &gt; 0,"rg:[ { 'req' : '"&amp;concatif2(A:A,Table2[[#This Row],[!Table]],G:G,"Y",D:D,"' }, { 'req': '")&amp;"'} ]","rg:[]")</f>
        <v>rg:[ { 'req' : 'id' }, { 'req': 'localAreaNumber' }, { 'req': 'name' }, { 'req': 'serviceArea' }, { 'req': 'startDate'} ]</v>
      </c>
      <c r="Y297" s="8" t="str">
        <f>IF(LEN(Table2[[#This Row],[!Unique]])&gt;0,IF(Table2[[#This Row],[!Type]] = "id", "rg:None","rg:True"),"rg:None")</f>
        <v>rg:None</v>
      </c>
    </row>
    <row r="298" spans="1:25" x14ac:dyDescent="0.3">
      <c r="A298" s="61" t="s">
        <v>151</v>
      </c>
      <c r="B298" s="61" t="s">
        <v>13</v>
      </c>
      <c r="C298" s="72"/>
      <c r="D298" s="61" t="s">
        <v>418</v>
      </c>
      <c r="E298" s="60" t="s">
        <v>417</v>
      </c>
      <c r="F298" s="12"/>
      <c r="G298" s="157" t="s">
        <v>62</v>
      </c>
      <c r="H298" s="18"/>
      <c r="I298" s="4" t="str">
        <f>IF(LEN(A298) &gt; 0,"Defs","-")</f>
        <v>Defs</v>
      </c>
      <c r="J298" s="14" t="str">
        <f>IF(Table2[[#This Row],[!Type]]=J$1, J$1,"rg:None")</f>
        <v>rg:None</v>
      </c>
      <c r="K298" s="14" t="str">
        <f>IF(Table2[[#This Row],[!Type]]=K$1, K$1,"rg:None")</f>
        <v>rg:None</v>
      </c>
      <c r="L298" s="14" t="str">
        <f>IF(Table2[[#This Row],[!Type]]=L$1, L$1,"rg:None")</f>
        <v>rg:None</v>
      </c>
      <c r="M298" s="14" t="str">
        <f>IF(Table2[[#This Row],[!Type]]=M$1, M$1,"rg:None")</f>
        <v>rg:None</v>
      </c>
      <c r="N298" s="14" t="str">
        <f>IF(Table2[[#This Row],[!Type]]=N$1, N$1,"rg:None")</f>
        <v>integer</v>
      </c>
      <c r="O298" s="14" t="str">
        <f>IF(Table2[[#This Row],[!Type]]=O$1, O$1,"rg:None")</f>
        <v>rg:None</v>
      </c>
      <c r="P298" s="4" t="str">
        <f>IF(Table2[[#This Row],[!Type]]=P$1, P$1,"rg:None")</f>
        <v>rg:None</v>
      </c>
      <c r="Q298" s="4" t="str">
        <f>IF(Table2[[#This Row],[!Type]]=Q$1, Q$1,"rg:None")</f>
        <v>rg:None</v>
      </c>
      <c r="R298" s="4" t="str">
        <f>IF(Table2[[#This Row],[!Type]]=R$1, R$1,"rg:None")</f>
        <v>rg:None</v>
      </c>
      <c r="S298" s="4" t="str">
        <f>IF(Table2[[#This Row],[!Type]]=S$1, S$1,"rg:None")</f>
        <v>rg:None</v>
      </c>
      <c r="T298" s="14" t="str">
        <f>IF(LEN(Table2[[#This Row],[!Length]]) &gt; 0, Table2[[#This Row],[!Length]], "rg:None")</f>
        <v>rg:None</v>
      </c>
      <c r="U298" s="14" t="str">
        <f>IF(LEN(Table2[[#This Row],[!Name]]) &gt; 0, Table2[[#This Row],[!Name]], "rg:None")</f>
        <v>localAreaNumber</v>
      </c>
      <c r="V298" s="14" t="str">
        <f>IF(LEN(Table2[[#This Row],[!Description]]) &gt; 0, Table2[[#This Row],[!Description]], "rg:None")</f>
        <v>A system-generated, visible to the user number for the Local Area</v>
      </c>
      <c r="W298" s="14" t="str">
        <f>IF(LEN(Table2[[#This Row],[!FK]])&gt;0,Table2[[#This Row],[!FK]],"rg:None")</f>
        <v>rg:None</v>
      </c>
      <c r="X298" s="14" t="str">
        <f>IF(LEN(concatif2(A:A,Table2[[#This Row],[!Table]],G:G,"Y",D:D,",")) &gt; 0,"rg:[ { 'req' : '"&amp;concatif2(A:A,Table2[[#This Row],[!Table]],G:G,"Y",D:D,"' }, { 'req': '")&amp;"'} ]","rg:[]")</f>
        <v>rg:[ { 'req' : 'id' }, { 'req': 'localAreaNumber' }, { 'req': 'name' }, { 'req': 'serviceArea' }, { 'req': 'startDate'} ]</v>
      </c>
      <c r="Y298" s="14" t="str">
        <f>IF(LEN(Table2[[#This Row],[!Unique]])&gt;0,IF(Table2[[#This Row],[!Type]] = "id", "rg:None","rg:True"),"rg:None")</f>
        <v>rg:None</v>
      </c>
    </row>
    <row r="299" spans="1:25" x14ac:dyDescent="0.3">
      <c r="A299" s="109" t="s">
        <v>151</v>
      </c>
      <c r="B299" s="5" t="s">
        <v>7</v>
      </c>
      <c r="C299" s="5">
        <v>150</v>
      </c>
      <c r="D299" s="5" t="s">
        <v>15</v>
      </c>
      <c r="E299" s="110" t="s">
        <v>152</v>
      </c>
      <c r="F299" s="5" t="s">
        <v>5</v>
      </c>
      <c r="G299" s="158" t="s">
        <v>62</v>
      </c>
      <c r="H299" s="158" t="s">
        <v>62</v>
      </c>
      <c r="I299" s="5" t="str">
        <f>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150</v>
      </c>
      <c r="U299" s="8" t="str">
        <f>IF(LEN(Table2[[#This Row],[!Name]]) &gt; 0, Table2[[#This Row],[!Name]], "rg:None")</f>
        <v>name</v>
      </c>
      <c r="V299" s="8" t="str">
        <f>IF(LEN(Table2[[#This Row],[!Description]]) &gt; 0, Table2[[#This Row],[!Description]], "rg:None")</f>
        <v>The full name of the Local Area</v>
      </c>
      <c r="W299" s="8" t="str">
        <f>IF(LEN(Table2[[#This Row],[!FK]])&gt;0,Table2[[#This Row],[!FK]],"rg:None")</f>
        <v>rg:None</v>
      </c>
      <c r="X299" s="8" t="str">
        <f>IF(LEN(concatif2(A:A,Table2[[#This Row],[!Table]],G:G,"Y",D:D,",")) &gt; 0,"rg:[ { 'req' : '"&amp;concatif2(A:A,Table2[[#This Row],[!Table]],G:G,"Y",D:D,"' }, { 'req': '")&amp;"'} ]","rg:[]")</f>
        <v>rg:[ { 'req' : 'id' }, { 'req': 'localAreaNumber' }, { 'req': 'name' }, { 'req': 'serviceArea' }, { 'req': 'startDate'} ]</v>
      </c>
      <c r="Y299" s="8" t="str">
        <f>IF(LEN(Table2[[#This Row],[!Unique]])&gt;0,IF(Table2[[#This Row],[!Type]] = "id", "rg:None","rg:True"),"rg:None")</f>
        <v>rg:True</v>
      </c>
    </row>
    <row r="300" spans="1:25" x14ac:dyDescent="0.3">
      <c r="A300" s="109" t="s">
        <v>151</v>
      </c>
      <c r="B300" s="5" t="s">
        <v>8</v>
      </c>
      <c r="D300" s="109" t="s">
        <v>153</v>
      </c>
      <c r="E300" s="110" t="s">
        <v>154</v>
      </c>
      <c r="F300" s="109" t="s">
        <v>10</v>
      </c>
      <c r="G300" s="158" t="s">
        <v>62</v>
      </c>
      <c r="H300" s="4"/>
      <c r="I300" s="5" t="str">
        <f>IF(LEN(A300) &gt; 0,"Defs","-")</f>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ref</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serviceArea</v>
      </c>
      <c r="V300" s="8" t="str">
        <f>IF(LEN(Table2[[#This Row],[!Description]]) &gt; 0, Table2[[#This Row],[!Description]], "rg:None")</f>
        <v>The Service Area in which the Local Area is found.</v>
      </c>
      <c r="W300" s="8" t="str">
        <f>IF(LEN(Table2[[#This Row],[!FK]])&gt;0,Table2[[#This Row],[!FK]],"rg:None")</f>
        <v>ServiceArea</v>
      </c>
      <c r="X300" s="8" t="str">
        <f>IF(LEN(concatif2(A:A,Table2[[#This Row],[!Table]],G:G,"Y",D:D,",")) &gt; 0,"rg:[ { 'req' : '"&amp;concatif2(A:A,Table2[[#This Row],[!Table]],G:G,"Y",D:D,"' }, { 'req': '")&amp;"'} ]","rg:[]")</f>
        <v>rg:[ { 'req' : 'id' }, { 'req': 'localAreaNumber' }, { 'req': 'name' }, { 'req': 'serviceArea' }, { 'req': 'startDate'} ]</v>
      </c>
      <c r="Y300" s="8" t="str">
        <f>IF(LEN(Table2[[#This Row],[!Unique]])&gt;0,IF(Table2[[#This Row],[!Type]] = "id", "rg:None","rg:True"),"rg:None")</f>
        <v>rg:None</v>
      </c>
    </row>
    <row r="301" spans="1:25" ht="28.8" x14ac:dyDescent="0.3">
      <c r="A301" s="61" t="s">
        <v>151</v>
      </c>
      <c r="B301" s="5" t="s">
        <v>12</v>
      </c>
      <c r="D301" s="5" t="s">
        <v>30</v>
      </c>
      <c r="E301" s="76" t="s">
        <v>411</v>
      </c>
      <c r="F301" s="5" t="s">
        <v>5</v>
      </c>
      <c r="G301" s="63" t="s">
        <v>62</v>
      </c>
      <c r="H301" s="4"/>
      <c r="I301" s="5" t="str">
        <f t="shared" ref="I301:I302" si="29">IF(LEN(A301) &gt; 0,"Defs","-")</f>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startDate</v>
      </c>
      <c r="V301" s="8" t="str">
        <f>IF(LEN(Table2[[#This Row],[!Description]]) &gt; 0, Table2[[#This Row],[!Description]], "rg:None")</f>
        <v>The DATE the business information came into effect. - NOT CURRENTLY ENFORCED IN THIS SYSTEM</v>
      </c>
      <c r="W301" s="8" t="str">
        <f>IF(LEN(Table2[[#This Row],[!FK]])&gt;0,Table2[[#This Row],[!FK]],"rg:None")</f>
        <v>rg:None</v>
      </c>
      <c r="X301" s="8" t="str">
        <f>IF(LEN(concatif2(A:A,Table2[[#This Row],[!Table]],G:G,"Y",D:D,",")) &gt; 0,"rg:[ { 'req' : '"&amp;concatif2(A:A,Table2[[#This Row],[!Table]],G:G,"Y",D:D,"' }, { 'req': '")&amp;"'} ]","rg:[]")</f>
        <v>rg:[ { 'req' : 'id' }, { 'req': 'localAreaNumber' }, { 'req': 'name' }, { 'req': 'serviceArea' }, { 'req': 'startDate'} ]</v>
      </c>
      <c r="Y301" s="8" t="str">
        <f>IF(LEN(Table2[[#This Row],[!Unique]])&gt;0,IF(Table2[[#This Row],[!Type]] = "id", "rg:None","rg:True"),"rg:None")</f>
        <v>rg:None</v>
      </c>
    </row>
    <row r="302" spans="1:25" ht="28.8" x14ac:dyDescent="0.3">
      <c r="A302" s="61" t="s">
        <v>151</v>
      </c>
      <c r="B302" s="5" t="s">
        <v>12</v>
      </c>
      <c r="D302" s="5" t="s">
        <v>31</v>
      </c>
      <c r="E302" s="76" t="s">
        <v>412</v>
      </c>
      <c r="F302" s="5" t="s">
        <v>5</v>
      </c>
      <c r="G302" s="4"/>
      <c r="H302" s="4"/>
      <c r="I302" s="5" t="str">
        <f t="shared" si="29"/>
        <v>Defs</v>
      </c>
      <c r="J302" s="8" t="str">
        <f>IF(Table2[[#This Row],[!Type]]=J$1, J$1,"rg:None")</f>
        <v>rg:None</v>
      </c>
      <c r="K302" s="8" t="str">
        <f>IF(Table2[[#This Row],[!Type]]=K$1, K$1,"rg:None")</f>
        <v>rg:None</v>
      </c>
      <c r="L302" s="8" t="str">
        <f>IF(Table2[[#This Row],[!Type]]=L$1, L$1,"rg:None")</f>
        <v>datetime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endDate</v>
      </c>
      <c r="V302" s="8" t="str">
        <f>IF(LEN(Table2[[#This Row],[!Description]]) &gt; 0, Table2[[#This Row],[!Description]], "rg:None")</f>
        <v>The DATE the business information ceased to be in effect. - NOT CURRENTLY ENFORCED IN THIS SYSTEM</v>
      </c>
      <c r="W302" s="8" t="str">
        <f>IF(LEN(Table2[[#This Row],[!FK]])&gt;0,Table2[[#This Row],[!FK]],"rg:None")</f>
        <v>rg:None</v>
      </c>
      <c r="X302" s="8" t="str">
        <f>IF(LEN(concatif2(A:A,Table2[[#This Row],[!Table]],G:G,"Y",D:D,",")) &gt; 0,"rg:[ { 'req' : '"&amp;concatif2(A:A,Table2[[#This Row],[!Table]],G:G,"Y",D:D,"' }, { 'req': '")&amp;"'} ]","rg:[]")</f>
        <v>rg:[ { 'req' : 'id' }, { 'req': 'localAreaNumber' }, { 'req': 'name' }, { 'req': 'serviceArea' }, { 'req': 'startDate'} ]</v>
      </c>
      <c r="Y302" s="8" t="str">
        <f>IF(LEN(Table2[[#This Row],[!Unique]])&gt;0,IF(Table2[[#This Row],[!Type]] = "id", "rg:None","rg:True"),"rg:None")</f>
        <v>rg:None</v>
      </c>
    </row>
    <row r="303" spans="1:25" x14ac:dyDescent="0.3">
      <c r="A303" s="5" t="s">
        <v>11</v>
      </c>
      <c r="B303" s="5" t="s">
        <v>4</v>
      </c>
      <c r="D303" s="5" t="s">
        <v>11</v>
      </c>
      <c r="E303" s="54" t="s">
        <v>64</v>
      </c>
      <c r="F303" s="5" t="s">
        <v>5</v>
      </c>
      <c r="G303" s="4"/>
      <c r="H303" s="4"/>
      <c r="I303" s="5" t="str">
        <f t="shared" si="28"/>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table</v>
      </c>
      <c r="T303" s="8" t="str">
        <f>IF(LEN(Table2[[#This Row],[!Length]]) &gt; 0, Table2[[#This Row],[!Length]], "rg:None")</f>
        <v>rg:None</v>
      </c>
      <c r="U303" s="8" t="str">
        <f>IF(LEN(Table2[[#This Row],[!Name]]) &gt; 0, Table2[[#This Row],[!Name]], "rg:None")</f>
        <v>City</v>
      </c>
      <c r="V303" s="8" t="str">
        <f>IF(LEN(Table2[[#This Row],[!Description]]) &gt; 0, Table2[[#This Row],[!Description]], "rg:None")</f>
        <v>A list of cities in BC. Authoritative source to be determined.</v>
      </c>
      <c r="W303" s="8" t="str">
        <f>IF(LEN(Table2[[#This Row],[!FK]])&gt;0,Table2[[#This Row],[!FK]],"rg:None")</f>
        <v>rg:None</v>
      </c>
      <c r="X303" s="8" t="str">
        <f>IF(LEN(concatif2(A:A,Table2[[#This Row],[!Table]],G:G,"Y",D:D,",")) &gt; 0,"rg:[ { 'req' : '"&amp;concatif2(A:A,Table2[[#This Row],[!Table]],G:G,"Y",D:D,"' }, { 'req': '")&amp;"'} ]","rg:[]")</f>
        <v>rg:[ { 'req' : 'id' }, { 'req': 'name'} ]</v>
      </c>
      <c r="Y303" s="8" t="str">
        <f>IF(LEN(Table2[[#This Row],[!Unique]])&gt;0,IF(Table2[[#This Row],[!Type]] = "id", "rg:None","rg:True"),"rg:None")</f>
        <v>rg:None</v>
      </c>
    </row>
    <row r="304" spans="1:25" x14ac:dyDescent="0.3">
      <c r="A304" s="5" t="s">
        <v>11</v>
      </c>
      <c r="B304" s="5" t="s">
        <v>6</v>
      </c>
      <c r="D304" s="5" t="s">
        <v>6</v>
      </c>
      <c r="E304" s="54" t="s">
        <v>321</v>
      </c>
      <c r="F304" s="5" t="s">
        <v>5</v>
      </c>
      <c r="G304" s="4" t="s">
        <v>62</v>
      </c>
      <c r="H304" s="158" t="s">
        <v>62</v>
      </c>
      <c r="I304" s="5" t="str">
        <f t="shared" si="28"/>
        <v>Defs</v>
      </c>
      <c r="J304" s="8" t="str">
        <f>IF(Table2[[#This Row],[!Type]]=J$1, J$1,"rg:None")</f>
        <v>rg:None</v>
      </c>
      <c r="K304" s="8" t="str">
        <f>IF(Table2[[#This Row],[!Type]]=K$1, K$1,"rg:None")</f>
        <v>rg:None</v>
      </c>
      <c r="L304" s="8" t="str">
        <f>IF(Table2[[#This Row],[!Type]]=L$1, L$1,"rg:None")</f>
        <v>rg:None</v>
      </c>
      <c r="M304" s="8" t="str">
        <f>IF(Table2[[#This Row],[!Type]]=M$1, M$1,"rg:None")</f>
        <v>id</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id</v>
      </c>
      <c r="V304" s="8" t="str">
        <f>IF(LEN(Table2[[#This Row],[!Description]]) &gt; 0, Table2[[#This Row],[!Description]], "rg:None")</f>
        <v>A system-generated unique identifier for a City</v>
      </c>
      <c r="W304" s="8" t="str">
        <f>IF(LEN(Table2[[#This Row],[!FK]])&gt;0,Table2[[#This Row],[!FK]],"rg:None")</f>
        <v>rg:None</v>
      </c>
      <c r="X304" s="8" t="str">
        <f>IF(LEN(concatif2(A:A,Table2[[#This Row],[!Table]],G:G,"Y",D:D,",")) &gt; 0,"rg:[ { 'req' : '"&amp;concatif2(A:A,Table2[[#This Row],[!Table]],G:G,"Y",D:D,"' }, { 'req': '")&amp;"'} ]","rg:[]")</f>
        <v>rg:[ { 'req' : 'id' }, { 'req': 'name'} ]</v>
      </c>
      <c r="Y304" s="8" t="str">
        <f>IF(LEN(Table2[[#This Row],[!Unique]])&gt;0,IF(Table2[[#This Row],[!Type]] = "id", "rg:None","rg:True"),"rg:None")</f>
        <v>rg:None</v>
      </c>
    </row>
    <row r="305" spans="1:25" x14ac:dyDescent="0.3">
      <c r="A305" s="5" t="s">
        <v>11</v>
      </c>
      <c r="B305" s="5" t="s">
        <v>7</v>
      </c>
      <c r="C305" s="5">
        <v>150</v>
      </c>
      <c r="D305" s="5" t="s">
        <v>15</v>
      </c>
      <c r="E305" s="54" t="s">
        <v>39</v>
      </c>
      <c r="F305" s="5" t="s">
        <v>5</v>
      </c>
      <c r="G305" s="158" t="s">
        <v>62</v>
      </c>
      <c r="H305" s="4"/>
      <c r="I305" s="5" t="str">
        <f t="shared" si="28"/>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150</v>
      </c>
      <c r="U305" s="8" t="str">
        <f>IF(LEN(Table2[[#This Row],[!Name]]) &gt; 0, Table2[[#This Row],[!Name]], "rg:None")</f>
        <v>name</v>
      </c>
      <c r="V305" s="8" t="str">
        <f>IF(LEN(Table2[[#This Row],[!Description]]) &gt; 0, Table2[[#This Row],[!Description]], "rg:None")</f>
        <v>The name of the City</v>
      </c>
      <c r="W305" s="8" t="str">
        <f>IF(LEN(Table2[[#This Row],[!FK]])&gt;0,Table2[[#This Row],[!FK]],"rg:None")</f>
        <v>rg:None</v>
      </c>
      <c r="X305" s="8" t="str">
        <f>IF(LEN(concatif2(A:A,Table2[[#This Row],[!Table]],G:G,"Y",D:D,",")) &gt; 0,"rg:[ { 'req' : '"&amp;concatif2(A:A,Table2[[#This Row],[!Table]],G:G,"Y",D:D,"' }, { 'req': '")&amp;"'} ]","rg:[]")</f>
        <v>rg:[ { 'req' : 'id' }, { 'req': 'name'} ]</v>
      </c>
      <c r="Y305" s="8" t="str">
        <f>IF(LEN(Table2[[#This Row],[!Unique]])&gt;0,IF(Table2[[#This Row],[!Type]] = "id", "rg:None","rg:True"),"rg:None")</f>
        <v>rg:None</v>
      </c>
    </row>
    <row r="306" spans="1:25" x14ac:dyDescent="0.3">
      <c r="A306" s="5" t="s">
        <v>0</v>
      </c>
      <c r="B306" s="5" t="s">
        <v>4</v>
      </c>
      <c r="D306" s="5" t="s">
        <v>0</v>
      </c>
      <c r="E306" s="76" t="s">
        <v>372</v>
      </c>
      <c r="F306" s="5" t="s">
        <v>5</v>
      </c>
      <c r="G306" s="4"/>
      <c r="H306" s="4"/>
      <c r="I306" s="5" t="str">
        <f t="shared" si="28"/>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table</v>
      </c>
      <c r="T306" s="8" t="str">
        <f>IF(LEN(Table2[[#This Row],[!Length]]) &gt; 0, Table2[[#This Row],[!Length]], "rg:None")</f>
        <v>rg:None</v>
      </c>
      <c r="U306" s="8" t="str">
        <f>IF(LEN(Table2[[#This Row],[!Name]]) &gt; 0, Table2[[#This Row],[!Name]], "rg:None")</f>
        <v>User</v>
      </c>
      <c r="V306" s="8" t="str">
        <f>IF(LEN(Table2[[#This Row],[!Description]]) &gt; 0, Table2[[#This Row],[!Description]], "rg:None")</f>
        <v>An identified user in the HETS Application that has a defined authorization level.</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3">
      <c r="A307" s="5" t="s">
        <v>0</v>
      </c>
      <c r="B307" s="5" t="s">
        <v>6</v>
      </c>
      <c r="D307" s="5" t="s">
        <v>6</v>
      </c>
      <c r="E307" s="54" t="s">
        <v>322</v>
      </c>
      <c r="F307" s="5" t="s">
        <v>5</v>
      </c>
      <c r="G307" s="4" t="s">
        <v>62</v>
      </c>
      <c r="H307" s="158" t="s">
        <v>62</v>
      </c>
      <c r="I307" s="5" t="str">
        <f t="shared" si="28"/>
        <v>Defs</v>
      </c>
      <c r="J307" s="8" t="str">
        <f>IF(Table2[[#This Row],[!Type]]=J$1, J$1,"rg:None")</f>
        <v>rg:None</v>
      </c>
      <c r="K307" s="8" t="str">
        <f>IF(Table2[[#This Row],[!Type]]=K$1, K$1,"rg:None")</f>
        <v>rg:None</v>
      </c>
      <c r="L307" s="8" t="str">
        <f>IF(Table2[[#This Row],[!Type]]=L$1, L$1,"rg:None")</f>
        <v>rg:None</v>
      </c>
      <c r="M307" s="8" t="str">
        <f>IF(Table2[[#This Row],[!Type]]=M$1, M$1,"rg:None")</f>
        <v>id</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id</v>
      </c>
      <c r="V307" s="8" t="str">
        <f>IF(LEN(Table2[[#This Row],[!Description]]) &gt; 0, Table2[[#This Row],[!Description]], "rg:None")</f>
        <v>A system-generated unique identifier for a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3">
      <c r="A308" s="5" t="s">
        <v>0</v>
      </c>
      <c r="B308" s="5" t="s">
        <v>7</v>
      </c>
      <c r="C308" s="5">
        <v>50</v>
      </c>
      <c r="D308" s="5" t="s">
        <v>16</v>
      </c>
      <c r="E308" s="54" t="s">
        <v>323</v>
      </c>
      <c r="F308" s="5" t="s">
        <v>5</v>
      </c>
      <c r="G308" s="41" t="s">
        <v>62</v>
      </c>
      <c r="H308" s="41"/>
      <c r="I308" s="5" t="str">
        <f t="shared" si="28"/>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50</v>
      </c>
      <c r="U308" s="8" t="str">
        <f>IF(LEN(Table2[[#This Row],[!Name]]) &gt; 0, Table2[[#This Row],[!Name]], "rg:None")</f>
        <v>givenName</v>
      </c>
      <c r="V308" s="8" t="str">
        <f>IF(LEN(Table2[[#This Row],[!Description]]) &gt; 0, Table2[[#This Row],[!Description]], "rg:None")</f>
        <v>Given name of the user.</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Row],[!Unique]])&gt;0,IF(Table2[[#This Row],[!Type]] = "id", "rg:None","rg:True"),"rg:None")</f>
        <v>rg:None</v>
      </c>
    </row>
    <row r="309" spans="1:25" x14ac:dyDescent="0.3">
      <c r="A309" s="5" t="s">
        <v>0</v>
      </c>
      <c r="B309" s="5" t="s">
        <v>7</v>
      </c>
      <c r="C309" s="5">
        <v>50</v>
      </c>
      <c r="D309" s="5" t="s">
        <v>17</v>
      </c>
      <c r="E309" s="54" t="s">
        <v>324</v>
      </c>
      <c r="F309" s="5" t="s">
        <v>5</v>
      </c>
      <c r="G309" s="41" t="s">
        <v>62</v>
      </c>
      <c r="H309" s="41"/>
      <c r="I309" s="5" t="str">
        <f t="shared" ref="I309:I347" si="30">IF(LEN(A309) &gt; 0,"Defs","-")</f>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50</v>
      </c>
      <c r="U309" s="8" t="str">
        <f>IF(LEN(Table2[[#This Row],[!Name]]) &gt; 0, Table2[[#This Row],[!Name]], "rg:None")</f>
        <v>surname</v>
      </c>
      <c r="V309" s="8" t="str">
        <f>IF(LEN(Table2[[#This Row],[!Description]]) &gt; 0, Table2[[#This Row],[!Description]], "rg:None")</f>
        <v>Surname of the user.</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Row],[!Unique]])&gt;0,IF(Table2[[#This Row],[!Type]] = "id", "rg:None","rg:True"),"rg:None")</f>
        <v>rg:None</v>
      </c>
    </row>
    <row r="310" spans="1:25" x14ac:dyDescent="0.3">
      <c r="A310" s="5" t="s">
        <v>0</v>
      </c>
      <c r="B310" s="5" t="s">
        <v>7</v>
      </c>
      <c r="C310" s="5">
        <v>10</v>
      </c>
      <c r="D310" s="5" t="s">
        <v>42</v>
      </c>
      <c r="E310" s="54" t="s">
        <v>325</v>
      </c>
      <c r="F310" s="5" t="s">
        <v>5</v>
      </c>
      <c r="G310" s="4"/>
      <c r="H310" s="4"/>
      <c r="I310" s="5" t="str">
        <f t="shared" si="30"/>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10</v>
      </c>
      <c r="U310" s="8" t="str">
        <f>IF(LEN(Table2[[#This Row],[!Name]]) &gt; 0, Table2[[#This Row],[!Name]], "rg:None")</f>
        <v>initials</v>
      </c>
      <c r="V310" s="8" t="str">
        <f>IF(LEN(Table2[[#This Row],[!Description]]) &gt; 0, Table2[[#This Row],[!Description]], "rg:None")</f>
        <v>Initials of the user, to be presented where screen space is at a premium.</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Row],[!Unique]])&gt;0,IF(Table2[[#This Row],[!Type]] = "id", "rg:None","rg:True"),"rg:None")</f>
        <v>rg:None</v>
      </c>
    </row>
    <row r="311" spans="1:25" x14ac:dyDescent="0.3">
      <c r="A311" s="5" t="s">
        <v>0</v>
      </c>
      <c r="B311" s="5" t="s">
        <v>7</v>
      </c>
      <c r="C311" s="5">
        <v>255</v>
      </c>
      <c r="D311" s="5" t="s">
        <v>43</v>
      </c>
      <c r="E311" s="54" t="s">
        <v>326</v>
      </c>
      <c r="F311" s="5" t="s">
        <v>5</v>
      </c>
      <c r="G311" s="4"/>
      <c r="H311" s="4"/>
      <c r="I311" s="5" t="str">
        <f t="shared" si="30"/>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255</v>
      </c>
      <c r="U311" s="8" t="str">
        <f>IF(LEN(Table2[[#This Row],[!Name]]) &gt; 0, Table2[[#This Row],[!Name]], "rg:None")</f>
        <v>email</v>
      </c>
      <c r="V311" s="8" t="str">
        <f>IF(LEN(Table2[[#This Row],[!Description]]) &gt; 0, Table2[[#This Row],[!Description]], "rg:None")</f>
        <v>The email address of the user in the system.</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Row],[!Unique]])&gt;0,IF(Table2[[#This Row],[!Type]] = "id", "rg:None","rg:True"),"rg:None")</f>
        <v>rg:None</v>
      </c>
    </row>
    <row r="312" spans="1:25" ht="28.8" x14ac:dyDescent="0.3">
      <c r="A312" s="5" t="s">
        <v>0</v>
      </c>
      <c r="B312" s="5" t="s">
        <v>9</v>
      </c>
      <c r="D312" s="5" t="s">
        <v>41</v>
      </c>
      <c r="E312" s="54" t="s">
        <v>327</v>
      </c>
      <c r="F312" s="5" t="s">
        <v>5</v>
      </c>
      <c r="G312" s="4" t="s">
        <v>62</v>
      </c>
      <c r="H312" s="4"/>
      <c r="I312" s="5" t="str">
        <f t="shared" si="30"/>
        <v>Defs</v>
      </c>
      <c r="J312" s="8" t="str">
        <f>IF(Table2[[#This Row],[!Type]]=J$1, J$1,"rg:None")</f>
        <v>boolean</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active</v>
      </c>
      <c r="V312" s="8" t="str">
        <f>IF(LEN(Table2[[#This Row],[!Description]]) &gt; 0, Table2[[#This Row],[!Description]], "rg:None")</f>
        <v>A flag indicating the User is active in the system. Set false to remove access to the system for the user.</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Row],[!Unique]])&gt;0,IF(Table2[[#This Row],[!Type]] = "id", "rg:None","rg:True"),"rg:None")</f>
        <v>rg:None</v>
      </c>
    </row>
    <row r="313" spans="1:25" x14ac:dyDescent="0.3">
      <c r="A313" s="5" t="s">
        <v>0</v>
      </c>
      <c r="B313" s="5" t="s">
        <v>7</v>
      </c>
      <c r="C313" s="5">
        <v>255</v>
      </c>
      <c r="D313" s="5" t="s">
        <v>44</v>
      </c>
      <c r="E313" s="54" t="s">
        <v>45</v>
      </c>
      <c r="F313" s="5" t="s">
        <v>5</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smUserId</v>
      </c>
      <c r="V313" s="8" t="str">
        <f>IF(LEN(Table2[[#This Row],[!Description]]) &gt; 0, Table2[[#This Row],[!Description]], "rg:None")</f>
        <v>Security Manager User ID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ht="57.6" x14ac:dyDescent="0.3">
      <c r="A314" s="5" t="s">
        <v>0</v>
      </c>
      <c r="B314" s="5" t="s">
        <v>7</v>
      </c>
      <c r="C314" s="5">
        <v>255</v>
      </c>
      <c r="D314" s="5" t="s">
        <v>46</v>
      </c>
      <c r="E314" s="54" t="s">
        <v>328</v>
      </c>
      <c r="F314" s="5" t="s">
        <v>5</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255</v>
      </c>
      <c r="U314" s="8" t="str">
        <f>IF(LEN(Table2[[#This Row],[!Name]]) &gt; 0, Table2[[#This Row],[!Name]], "rg:None")</f>
        <v>guid</v>
      </c>
      <c r="V314"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7</v>
      </c>
      <c r="C315" s="5">
        <v>255</v>
      </c>
      <c r="D315" s="5" t="s">
        <v>47</v>
      </c>
      <c r="E315" s="54" t="s">
        <v>329</v>
      </c>
      <c r="F315" s="5" t="s">
        <v>5</v>
      </c>
      <c r="G315" s="4"/>
      <c r="H315" s="4"/>
      <c r="I315" s="5" t="str">
        <f t="shared" si="30"/>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string</v>
      </c>
      <c r="S315" s="5" t="str">
        <f>IF(Table2[[#This Row],[!Type]]=S$1, S$1,"rg:None")</f>
        <v>rg:None</v>
      </c>
      <c r="T315" s="8">
        <f>IF(LEN(Table2[[#This Row],[!Length]]) &gt; 0, Table2[[#This Row],[!Length]], "rg:None")</f>
        <v>255</v>
      </c>
      <c r="U315" s="8" t="str">
        <f>IF(LEN(Table2[[#This Row],[!Name]]) &gt; 0, Table2[[#This Row],[!Name]], "rg:None")</f>
        <v>smAuthorizationDirectory</v>
      </c>
      <c r="V315" s="8" t="str">
        <f>IF(LEN(Table2[[#This Row],[!Description]]) &gt; 0, Table2[[#This Row],[!Description]], "rg:None")</f>
        <v>The user directory service used by Siteminder to authenticate the user - usually IDIR or BCeID.</v>
      </c>
      <c r="W315" s="8" t="str">
        <f>IF(LEN(Table2[[#This Row],[!FK]])&gt;0,Table2[[#This Row],[!FK]],"rg:None")</f>
        <v>rg:None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5" t="s">
        <v>0</v>
      </c>
      <c r="B316" s="5" t="s">
        <v>19</v>
      </c>
      <c r="D316" s="5" t="s">
        <v>48</v>
      </c>
      <c r="F316" s="5" t="s">
        <v>50</v>
      </c>
      <c r="G316" s="4"/>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links</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userRoles</v>
      </c>
      <c r="V316" s="8" t="str">
        <f>IF(LEN(Table2[[#This Row],[!Description]]) &gt; 0, Table2[[#This Row],[!Description]], "rg:None")</f>
        <v>rg:None</v>
      </c>
      <c r="W316" s="8" t="str">
        <f>IF(LEN(Table2[[#This Row],[!FK]])&gt;0,Table2[[#This Row],[!FK]],"rg:None")</f>
        <v>UserRole</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5" t="s">
        <v>0</v>
      </c>
      <c r="B317" s="5" t="s">
        <v>19</v>
      </c>
      <c r="D317" s="5" t="s">
        <v>49</v>
      </c>
      <c r="F317" s="5" t="s">
        <v>59</v>
      </c>
      <c r="G317" s="4"/>
      <c r="H317" s="4"/>
      <c r="I317" s="5" t="str">
        <f t="shared" si="30"/>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links</v>
      </c>
      <c r="Q317" s="5" t="str">
        <f>IF(Table2[[#This Row],[!Type]]=Q$1, Q$1,"rg:None")</f>
        <v>rg:None</v>
      </c>
      <c r="R317" s="5" t="str">
        <f>IF(Table2[[#This Row],[!Type]]=R$1, R$1,"rg:None")</f>
        <v>rg:None</v>
      </c>
      <c r="S317" s="5" t="str">
        <f>IF(Table2[[#This Row],[!Type]]=S$1, S$1,"rg:None")</f>
        <v>rg:None</v>
      </c>
      <c r="T317" s="8" t="str">
        <f>IF(LEN(Table2[[#This Row],[!Length]]) &gt; 0, Table2[[#This Row],[!Length]], "rg:None")</f>
        <v>rg:None</v>
      </c>
      <c r="U317" s="8" t="str">
        <f>IF(LEN(Table2[[#This Row],[!Name]]) &gt; 0, Table2[[#This Row],[!Name]], "rg:None")</f>
        <v>groupMemberships</v>
      </c>
      <c r="V317" s="8" t="str">
        <f>IF(LEN(Table2[[#This Row],[!Description]]) &gt; 0, Table2[[#This Row],[!Description]], "rg:None")</f>
        <v>rg:None</v>
      </c>
      <c r="W317" s="8" t="str">
        <f>IF(LEN(Table2[[#This Row],[!FK]])&gt;0,Table2[[#This Row],[!FK]],"rg:None")</f>
        <v>GroupMembership</v>
      </c>
      <c r="X317" s="8" t="str">
        <f>IF(LEN(concatif2(A:A,Table2[[#This Row],[!Table]],G:G,"Y",D:D,",")) &gt; 0,"rg:[ { 'req' : '"&amp;concatif2(A:A,Table2[[#This Row],[!Table]],G:G,"Y",D:D,"' }, { 'req': '")&amp;"'} ]","rg:[]")</f>
        <v>rg:[ { 'req' : 'id' }, { 'req': 'givenName' }, { 'req': 'surname' }, { 'req': 'active'} ]</v>
      </c>
      <c r="Y317" s="8" t="str">
        <f>IF(LEN(Table2[[#This Row],[!Unique]])&gt;0,IF(Table2[[#This Row],[!Type]] = "id", "rg:None","rg:True"),"rg:None")</f>
        <v>rg:None</v>
      </c>
    </row>
    <row r="318" spans="1:25" x14ac:dyDescent="0.3">
      <c r="A318" s="67" t="s">
        <v>0</v>
      </c>
      <c r="B318" s="67" t="s">
        <v>8</v>
      </c>
      <c r="C318" s="72"/>
      <c r="D318" s="67" t="s">
        <v>32</v>
      </c>
      <c r="E318" s="47" t="s">
        <v>433</v>
      </c>
      <c r="F318" s="68" t="s">
        <v>32</v>
      </c>
      <c r="G318" s="18"/>
      <c r="H318" s="18"/>
      <c r="I318" s="4" t="str">
        <f>IF(LEN(A318) &gt; 0,"Defs","-")</f>
        <v>Defs</v>
      </c>
      <c r="J318" s="14" t="str">
        <f>IF(Table2[[#This Row],[!Type]]=J$1, J$1,"rg:None")</f>
        <v>rg:None</v>
      </c>
      <c r="K318" s="14" t="str">
        <f>IF(Table2[[#This Row],[!Type]]=K$1, K$1,"rg:None")</f>
        <v>rg:None</v>
      </c>
      <c r="L318" s="14" t="str">
        <f>IF(Table2[[#This Row],[!Type]]=L$1, L$1,"rg:None")</f>
        <v>rg:None</v>
      </c>
      <c r="M318" s="14" t="str">
        <f>IF(Table2[[#This Row],[!Type]]=M$1, M$1,"rg:None")</f>
        <v>rg:None</v>
      </c>
      <c r="N318" s="14" t="str">
        <f>IF(Table2[[#This Row],[!Type]]=N$1, N$1,"rg:None")</f>
        <v>rg:None</v>
      </c>
      <c r="O318" s="14" t="str">
        <f>IF(Table2[[#This Row],[!Type]]=O$1, O$1,"rg:None")</f>
        <v>rg:None</v>
      </c>
      <c r="P318" s="4" t="str">
        <f>IF(Table2[[#This Row],[!Type]]=P$1, P$1,"rg:None")</f>
        <v>rg:None</v>
      </c>
      <c r="Q318" s="4" t="str">
        <f>IF(Table2[[#This Row],[!Type]]=Q$1, Q$1,"rg:None")</f>
        <v>ref</v>
      </c>
      <c r="R318" s="4" t="str">
        <f>IF(Table2[[#This Row],[!Type]]=R$1, R$1,"rg:None")</f>
        <v>rg:None</v>
      </c>
      <c r="S318" s="4" t="str">
        <f>IF(Table2[[#This Row],[!Type]]=S$1, S$1,"rg:None")</f>
        <v>rg:None</v>
      </c>
      <c r="T318" s="14" t="str">
        <f>IF(LEN(Table2[[#This Row],[!Length]]) &gt; 0, Table2[[#This Row],[!Length]], "rg:None")</f>
        <v>rg:None</v>
      </c>
      <c r="U318" s="14" t="str">
        <f>IF(LEN(Table2[[#This Row],[!Name]]) &gt; 0, Table2[[#This Row],[!Name]], "rg:None")</f>
        <v>District</v>
      </c>
      <c r="V318" s="14" t="str">
        <f>IF(LEN(Table2[[#This Row],[!Description]]) &gt; 0, Table2[[#This Row],[!Description]], "rg:None")</f>
        <v>The District that the User belongs to</v>
      </c>
      <c r="W318" s="14" t="str">
        <f>IF(LEN(Table2[[#This Row],[!FK]])&gt;0,Table2[[#This Row],[!FK]],"rg:None")</f>
        <v>District</v>
      </c>
      <c r="X318" s="14" t="str">
        <f>IF(LEN(concatif2(A:A,Table2[[#This Row],[!Table]],G:G,"Y",D:D,",")) &gt; 0,"rg:[ { 'req' : '"&amp;concatif2(A:A,Table2[[#This Row],[!Table]],G:G,"Y",D:D,"' }, { 'req': '")&amp;"'} ]","rg:[]")</f>
        <v>rg:[ { 'req' : 'id' }, { 'req': 'givenName' }, { 'req': 'surname' }, { 'req': 'active'} ]</v>
      </c>
      <c r="Y318" s="14" t="str">
        <f>IF(LEN(Table2[[#This Row],[!Unique]])&gt;0,IF(Table2[[#This Row],[!Type]] = "id", "rg:None","rg:True"),"rg:None")</f>
        <v>rg:None</v>
      </c>
    </row>
    <row r="319" spans="1:25" ht="28.8" x14ac:dyDescent="0.3">
      <c r="A319" s="5" t="s">
        <v>50</v>
      </c>
      <c r="B319" s="5" t="s">
        <v>4</v>
      </c>
      <c r="D319" s="5" t="s">
        <v>50</v>
      </c>
      <c r="E319" s="54" t="s">
        <v>330</v>
      </c>
      <c r="F319" s="5" t="s">
        <v>5</v>
      </c>
      <c r="G319" s="4"/>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table</v>
      </c>
      <c r="T319" s="8" t="str">
        <f>IF(LEN(Table2[[#This Row],[!Length]]) &gt; 0, Table2[[#This Row],[!Length]], "rg:None")</f>
        <v>rg:None</v>
      </c>
      <c r="U319" s="8" t="str">
        <f>IF(LEN(Table2[[#This Row],[!Name]]) &gt; 0, Table2[[#This Row],[!Name]], "rg:None")</f>
        <v>UserRole</v>
      </c>
      <c r="V319"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Row],[!Unique]])&gt;0,IF(Table2[[#This Row],[!Type]] = "id", "rg:None","rg:True"),"rg:None")</f>
        <v>rg:None</v>
      </c>
    </row>
    <row r="320" spans="1:25" x14ac:dyDescent="0.3">
      <c r="A320" s="5" t="s">
        <v>50</v>
      </c>
      <c r="B320" s="5" t="s">
        <v>6</v>
      </c>
      <c r="D320" s="5" t="s">
        <v>6</v>
      </c>
      <c r="E320" s="54" t="s">
        <v>331</v>
      </c>
      <c r="F320" s="5" t="s">
        <v>5</v>
      </c>
      <c r="G320" s="4" t="s">
        <v>62</v>
      </c>
      <c r="H320" s="4"/>
      <c r="I320" s="5" t="str">
        <f t="shared" si="30"/>
        <v>Defs</v>
      </c>
      <c r="J320" s="8" t="str">
        <f>IF(Table2[[#This Row],[!Type]]=J$1, J$1,"rg:None")</f>
        <v>rg:None</v>
      </c>
      <c r="K320" s="8" t="str">
        <f>IF(Table2[[#This Row],[!Type]]=K$1, K$1,"rg:None")</f>
        <v>rg:None</v>
      </c>
      <c r="L320" s="8" t="str">
        <f>IF(Table2[[#This Row],[!Type]]=L$1, L$1,"rg:None")</f>
        <v>rg:None</v>
      </c>
      <c r="M320" s="8" t="str">
        <f>IF(Table2[[#This Row],[!Type]]=M$1, M$1,"rg:None")</f>
        <v>id</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id</v>
      </c>
      <c r="V320" s="8" t="str">
        <f>IF(LEN(Table2[[#This Row],[!Description]]) &gt; 0, Table2[[#This Row],[!Description]], "rg:None")</f>
        <v>A system-generated unique identifier for a UserRole</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Row],[!Unique]])&gt;0,IF(Table2[[#This Row],[!Type]] = "id", "rg:None","rg:True"),"rg:None")</f>
        <v>rg:None</v>
      </c>
    </row>
    <row r="321" spans="1:25" x14ac:dyDescent="0.3">
      <c r="A321" s="5" t="s">
        <v>50</v>
      </c>
      <c r="B321" s="5" t="s">
        <v>12</v>
      </c>
      <c r="D321" s="5" t="s">
        <v>51</v>
      </c>
      <c r="E321" s="54" t="s">
        <v>332</v>
      </c>
      <c r="F321" s="5" t="s">
        <v>5</v>
      </c>
      <c r="G321" s="4" t="s">
        <v>62</v>
      </c>
      <c r="H321" s="4"/>
      <c r="I321" s="5" t="str">
        <f t="shared" si="30"/>
        <v>Defs</v>
      </c>
      <c r="J321" s="8" t="str">
        <f>IF(Table2[[#This Row],[!Type]]=J$1, J$1,"rg:None")</f>
        <v>rg:None</v>
      </c>
      <c r="K321" s="8" t="str">
        <f>IF(Table2[[#This Row],[!Type]]=K$1, K$1,"rg:None")</f>
        <v>rg:None</v>
      </c>
      <c r="L321" s="8" t="str">
        <f>IF(Table2[[#This Row],[!Type]]=L$1, L$1,"rg:None")</f>
        <v>datetime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effectiveDate</v>
      </c>
      <c r="V321" s="8" t="str">
        <f>IF(LEN(Table2[[#This Row],[!Description]]) &gt; 0, Table2[[#This Row],[!Description]], "rg:None")</f>
        <v>The date on which the user was given the related role.</v>
      </c>
      <c r="W321" s="8" t="str">
        <f>IF(LEN(Table2[[#This Row],[!FK]])&gt;0,Table2[[#This Row],[!FK]],"rg:None")</f>
        <v>rg:None</v>
      </c>
      <c r="X321" s="8" t="str">
        <f>IF(LEN(concatif2(A:A,Table2[[#This Row],[!Table]],G:G,"Y",D:D,",")) &gt; 0,"rg:[ { 'req' : '"&amp;concatif2(A:A,Table2[[#This Row],[!Table]],G:G,"Y",D:D,"' }, { 'req': '")&amp;"'} ]","rg:[]")</f>
        <v>rg:[ { 'req' : 'id' }, { 'req': 'effectiveDate'} ]</v>
      </c>
      <c r="Y321" s="8" t="str">
        <f>IF(LEN(Table2[[#This Row],[!Unique]])&gt;0,IF(Table2[[#This Row],[!Type]] = "id", "rg:None","rg:True"),"rg:None")</f>
        <v>rg:None</v>
      </c>
    </row>
    <row r="322" spans="1:25" x14ac:dyDescent="0.3">
      <c r="A322" s="5" t="s">
        <v>50</v>
      </c>
      <c r="B322" s="5" t="s">
        <v>12</v>
      </c>
      <c r="D322" s="5" t="s">
        <v>52</v>
      </c>
      <c r="E322" s="54" t="s">
        <v>333</v>
      </c>
      <c r="F322" s="5" t="s">
        <v>5</v>
      </c>
      <c r="G322" s="4"/>
      <c r="H322" s="4"/>
      <c r="I322" s="5" t="str">
        <f t="shared" si="30"/>
        <v>Defs</v>
      </c>
      <c r="J322" s="8" t="str">
        <f>IF(Table2[[#This Row],[!Type]]=J$1, J$1,"rg:None")</f>
        <v>rg:None</v>
      </c>
      <c r="K322" s="8" t="str">
        <f>IF(Table2[[#This Row],[!Type]]=K$1, K$1,"rg:None")</f>
        <v>rg:None</v>
      </c>
      <c r="L322" s="8" t="str">
        <f>IF(Table2[[#This Row],[!Type]]=L$1, L$1,"rg:None")</f>
        <v>datetime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expiryDate</v>
      </c>
      <c r="V322" s="8" t="str">
        <f>IF(LEN(Table2[[#This Row],[!Description]]) &gt; 0, Table2[[#This Row],[!Description]], "rg:None")</f>
        <v>The date on which a role previously assigned to a user was removed from that user.</v>
      </c>
      <c r="W322" s="8" t="str">
        <f>IF(LEN(Table2[[#This Row],[!FK]])&gt;0,Table2[[#This Row],[!FK]],"rg:None")</f>
        <v>rg:None</v>
      </c>
      <c r="X322" s="8" t="str">
        <f>IF(LEN(concatif2(A:A,Table2[[#This Row],[!Table]],G:G,"Y",D:D,",")) &gt; 0,"rg:[ { 'req' : '"&amp;concatif2(A:A,Table2[[#This Row],[!Table]],G:G,"Y",D:D,"' }, { 'req': '")&amp;"'} ]","rg:[]")</f>
        <v>rg:[ { 'req' : 'id' }, { 'req': 'effectiveDate'} ]</v>
      </c>
      <c r="Y322" s="8" t="str">
        <f>IF(LEN(Table2[[#This Row],[!Unique]])&gt;0,IF(Table2[[#This Row],[!Type]] = "id", "rg:None","rg:True"),"rg:None")</f>
        <v>rg:None</v>
      </c>
    </row>
    <row r="323" spans="1:25" x14ac:dyDescent="0.3">
      <c r="A323" s="5" t="s">
        <v>50</v>
      </c>
      <c r="B323" s="5" t="s">
        <v>8</v>
      </c>
      <c r="D323" s="5" t="s">
        <v>18</v>
      </c>
      <c r="E323" s="130" t="s">
        <v>545</v>
      </c>
      <c r="F323" s="5" t="s">
        <v>53</v>
      </c>
      <c r="G323" s="4"/>
      <c r="H323" s="4"/>
      <c r="I323" s="5" t="str">
        <f t="shared" si="30"/>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ref</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role</v>
      </c>
      <c r="V323" s="8" t="str">
        <f>IF(LEN(Table2[[#This Row],[!Description]]) &gt; 0, Table2[[#This Row],[!Description]], "rg:None")</f>
        <v>A foreign key reference to the system-generated unique identifier for a Role</v>
      </c>
      <c r="W323" s="8" t="str">
        <f>IF(LEN(Table2[[#This Row],[!FK]])&gt;0,Table2[[#This Row],[!FK]],"rg:None")</f>
        <v>Role</v>
      </c>
      <c r="X323" s="8" t="str">
        <f>IF(LEN(concatif2(A:A,Table2[[#This Row],[!Table]],G:G,"Y",D:D,",")) &gt; 0,"rg:[ { 'req' : '"&amp;concatif2(A:A,Table2[[#This Row],[!Table]],G:G,"Y",D:D,"' }, { 'req': '")&amp;"'} ]","rg:[]")</f>
        <v>rg:[ { 'req' : 'id' }, { 'req': 'effectiveDate'} ]</v>
      </c>
      <c r="Y323" s="8" t="str">
        <f>IF(LEN(Table2[[#This Row],[!Unique]])&gt;0,IF(Table2[[#This Row],[!Type]] = "id", "rg:None","rg:True"),"rg:None")</f>
        <v>rg:None</v>
      </c>
    </row>
    <row r="324" spans="1:25" ht="43.2" x14ac:dyDescent="0.3">
      <c r="A324" s="5" t="s">
        <v>53</v>
      </c>
      <c r="B324" s="5" t="s">
        <v>4</v>
      </c>
      <c r="D324" s="5" t="s">
        <v>53</v>
      </c>
      <c r="E324" s="76" t="s">
        <v>373</v>
      </c>
      <c r="F324" s="5" t="s">
        <v>5</v>
      </c>
      <c r="G324" s="4"/>
      <c r="H324" s="4"/>
      <c r="I324" s="5" t="str">
        <f t="shared" si="30"/>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table</v>
      </c>
      <c r="T324" s="8" t="str">
        <f>IF(LEN(Table2[[#This Row],[!Length]]) &gt; 0, Table2[[#This Row],[!Length]], "rg:None")</f>
        <v>rg:None</v>
      </c>
      <c r="U324" s="8" t="str">
        <f>IF(LEN(Table2[[#This Row],[!Name]]) &gt; 0, Table2[[#This Row],[!Name]], "rg:None")</f>
        <v>Role</v>
      </c>
      <c r="V324"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Row],[!Unique]])&gt;0,IF(Table2[[#This Row],[!Type]] = "id", "rg:None","rg:True"),"rg:None")</f>
        <v>rg:None</v>
      </c>
    </row>
    <row r="325" spans="1:25" x14ac:dyDescent="0.3">
      <c r="A325" s="5" t="s">
        <v>53</v>
      </c>
      <c r="B325" s="5" t="s">
        <v>6</v>
      </c>
      <c r="D325" s="5" t="s">
        <v>6</v>
      </c>
      <c r="E325" s="54" t="s">
        <v>334</v>
      </c>
      <c r="F325" s="5" t="s">
        <v>5</v>
      </c>
      <c r="G325" s="4" t="s">
        <v>62</v>
      </c>
      <c r="H325" s="158" t="s">
        <v>62</v>
      </c>
      <c r="I325" s="5" t="str">
        <f t="shared" si="30"/>
        <v>Defs</v>
      </c>
      <c r="J325" s="8" t="str">
        <f>IF(Table2[[#This Row],[!Type]]=J$1, J$1,"rg:None")</f>
        <v>rg:None</v>
      </c>
      <c r="K325" s="8" t="str">
        <f>IF(Table2[[#This Row],[!Type]]=K$1, K$1,"rg:None")</f>
        <v>rg:None</v>
      </c>
      <c r="L325" s="8" t="str">
        <f>IF(Table2[[#This Row],[!Type]]=L$1, L$1,"rg:None")</f>
        <v>rg:None</v>
      </c>
      <c r="M325" s="8" t="str">
        <f>IF(Table2[[#This Row],[!Type]]=M$1, M$1,"rg:None")</f>
        <v>id</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rg:None</v>
      </c>
      <c r="T325" s="8" t="str">
        <f>IF(LEN(Table2[[#This Row],[!Length]]) &gt; 0, Table2[[#This Row],[!Length]], "rg:None")</f>
        <v>rg:None</v>
      </c>
      <c r="U325" s="8" t="str">
        <f>IF(LEN(Table2[[#This Row],[!Name]]) &gt; 0, Table2[[#This Row],[!Name]], "rg:None")</f>
        <v>id</v>
      </c>
      <c r="V325" s="8" t="str">
        <f>IF(LEN(Table2[[#This Row],[!Description]]) &gt; 0, Table2[[#This Row],[!Description]], "rg:None")</f>
        <v>A system-generated unique identifier for a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Row],[!Unique]])&gt;0,IF(Table2[[#This Row],[!Type]] = "id", "rg:None","rg:True"),"rg:None")</f>
        <v>rg:None</v>
      </c>
    </row>
    <row r="326" spans="1:25" x14ac:dyDescent="0.3">
      <c r="A326" s="5" t="s">
        <v>53</v>
      </c>
      <c r="B326" s="5" t="s">
        <v>7</v>
      </c>
      <c r="C326" s="5">
        <v>255</v>
      </c>
      <c r="D326" s="5" t="s">
        <v>15</v>
      </c>
      <c r="E326" s="54" t="s">
        <v>335</v>
      </c>
      <c r="F326" s="5" t="s">
        <v>5</v>
      </c>
      <c r="G326" s="4" t="s">
        <v>62</v>
      </c>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255</v>
      </c>
      <c r="U326" s="8" t="str">
        <f>IF(LEN(Table2[[#This Row],[!Name]]) &gt; 0, Table2[[#This Row],[!Name]], "rg:None")</f>
        <v>name</v>
      </c>
      <c r="V326" s="8" t="str">
        <f>IF(LEN(Table2[[#This Row],[!Description]]) &gt; 0, Table2[[#This Row],[!Description]], "rg:None")</f>
        <v>The name of the Role, as established by the user creating the role.</v>
      </c>
      <c r="W326" s="8" t="str">
        <f>IF(LEN(Table2[[#This Row],[!FK]])&gt;0,Table2[[#This Row],[!FK]],"rg:None")</f>
        <v>rg:None</v>
      </c>
      <c r="X326" s="8" t="str">
        <f>IF(LEN(concatif2(A:A,Table2[[#This Row],[!Table]],G:G,"Y",D:D,",")) &gt; 0,"rg:[ { 'req' : '"&amp;concatif2(A:A,Table2[[#This Row],[!Table]],G:G,"Y",D:D,"' }, { 'req': '")&amp;"'} ]","rg:[]")</f>
        <v>rg:[ { 'req' : 'id' }, { 'req': 'name' }, { 'req': 'description'} ]</v>
      </c>
      <c r="Y326" s="8" t="str">
        <f>IF(LEN(Table2[[#This Row],[!Unique]])&gt;0,IF(Table2[[#This Row],[!Type]] = "id", "rg:None","rg:True"),"rg:None")</f>
        <v>rg:None</v>
      </c>
    </row>
    <row r="327" spans="1:25" x14ac:dyDescent="0.3">
      <c r="A327" s="5" t="s">
        <v>53</v>
      </c>
      <c r="B327" s="5" t="s">
        <v>7</v>
      </c>
      <c r="C327" s="5">
        <v>2048</v>
      </c>
      <c r="D327" s="5" t="s">
        <v>14</v>
      </c>
      <c r="E327" s="54" t="s">
        <v>336</v>
      </c>
      <c r="F327" s="5" t="s">
        <v>5</v>
      </c>
      <c r="G327" s="4" t="s">
        <v>62</v>
      </c>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string</v>
      </c>
      <c r="S327" s="5" t="str">
        <f>IF(Table2[[#This Row],[!Type]]=S$1, S$1,"rg:None")</f>
        <v>rg:None</v>
      </c>
      <c r="T327" s="8">
        <f>IF(LEN(Table2[[#This Row],[!Length]]) &gt; 0, Table2[[#This Row],[!Length]], "rg:None")</f>
        <v>2048</v>
      </c>
      <c r="U327" s="8" t="str">
        <f>IF(LEN(Table2[[#This Row],[!Name]]) &gt; 0, Table2[[#This Row],[!Name]], "rg:None")</f>
        <v>description</v>
      </c>
      <c r="V327" s="8" t="str">
        <f>IF(LEN(Table2[[#This Row],[!Description]]) &gt; 0, Table2[[#This Row],[!Description]], "rg:None")</f>
        <v>A description of the role as set by the user creating/updating the role.</v>
      </c>
      <c r="W327" s="8" t="str">
        <f>IF(LEN(Table2[[#This Row],[!FK]])&gt;0,Table2[[#This Row],[!FK]],"rg:None")</f>
        <v>rg:None</v>
      </c>
      <c r="X327" s="8" t="str">
        <f>IF(LEN(concatif2(A:A,Table2[[#This Row],[!Table]],G:G,"Y",D:D,",")) &gt; 0,"rg:[ { 'req' : '"&amp;concatif2(A:A,Table2[[#This Row],[!Table]],G:G,"Y",D:D,"' }, { 'req': '")&amp;"'} ]","rg:[]")</f>
        <v>rg:[ { 'req' : 'id' }, { 'req': 'name' }, { 'req': 'description'} ]</v>
      </c>
      <c r="Y327" s="8" t="str">
        <f>IF(LEN(Table2[[#This Row],[!Unique]])&gt;0,IF(Table2[[#This Row],[!Type]] = "id", "rg:None","rg:True"),"rg:None")</f>
        <v>rg:None</v>
      </c>
    </row>
    <row r="328" spans="1:25" x14ac:dyDescent="0.3">
      <c r="A328" s="5" t="s">
        <v>53</v>
      </c>
      <c r="B328" s="5" t="s">
        <v>19</v>
      </c>
      <c r="D328" s="5" t="s">
        <v>54</v>
      </c>
      <c r="F328" s="5" t="s">
        <v>55</v>
      </c>
      <c r="G328" s="4"/>
      <c r="H328" s="4"/>
      <c r="I328" s="5" t="str">
        <f t="shared" si="30"/>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links</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rolePermissions</v>
      </c>
      <c r="V328" s="8" t="str">
        <f>IF(LEN(Table2[[#This Row],[!Description]]) &gt; 0, Table2[[#This Row],[!Description]], "rg:None")</f>
        <v>rg:None</v>
      </c>
      <c r="W328" s="8" t="str">
        <f>IF(LEN(Table2[[#This Row],[!FK]])&gt;0,Table2[[#This Row],[!FK]],"rg:None")</f>
        <v>RolePermission</v>
      </c>
      <c r="X328" s="8" t="str">
        <f>IF(LEN(concatif2(A:A,Table2[[#This Row],[!Table]],G:G,"Y",D:D,",")) &gt; 0,"rg:[ { 'req' : '"&amp;concatif2(A:A,Table2[[#This Row],[!Table]],G:G,"Y",D:D,"' }, { 'req': '")&amp;"'} ]","rg:[]")</f>
        <v>rg:[ { 'req' : 'id' }, { 'req': 'name' }, { 'req': 'description'} ]</v>
      </c>
      <c r="Y328" s="8" t="str">
        <f>IF(LEN(Table2[[#This Row],[!Unique]])&gt;0,IF(Table2[[#This Row],[!Type]] = "id", "rg:None","rg:True"),"rg:None")</f>
        <v>rg:None</v>
      </c>
    </row>
    <row r="329" spans="1:25" x14ac:dyDescent="0.3">
      <c r="A329" s="5" t="s">
        <v>53</v>
      </c>
      <c r="B329" s="5" t="s">
        <v>19</v>
      </c>
      <c r="D329" s="5" t="s">
        <v>48</v>
      </c>
      <c r="F329" s="5" t="s">
        <v>50</v>
      </c>
      <c r="G329" s="4"/>
      <c r="H329" s="4"/>
      <c r="I329" s="5" t="str">
        <f t="shared" si="30"/>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links</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userRoles</v>
      </c>
      <c r="V329" s="8" t="str">
        <f>IF(LEN(Table2[[#This Row],[!Description]]) &gt; 0, Table2[[#This Row],[!Description]], "rg:None")</f>
        <v>rg:None</v>
      </c>
      <c r="W329" s="8" t="str">
        <f>IF(LEN(Table2[[#This Row],[!FK]])&gt;0,Table2[[#This Row],[!FK]],"rg:None")</f>
        <v>UserRole</v>
      </c>
      <c r="X329" s="8" t="str">
        <f>IF(LEN(concatif2(A:A,Table2[[#This Row],[!Table]],G:G,"Y",D:D,",")) &gt; 0,"rg:[ { 'req' : '"&amp;concatif2(A:A,Table2[[#This Row],[!Table]],G:G,"Y",D:D,"' }, { 'req': '")&amp;"'} ]","rg:[]")</f>
        <v>rg:[ { 'req' : 'id' }, { 'req': 'name' }, { 'req': 'description'} ]</v>
      </c>
      <c r="Y329" s="8" t="str">
        <f>IF(LEN(Table2[[#This Row],[!Unique]])&gt;0,IF(Table2[[#This Row],[!Type]] = "id", "rg:None","rg:True"),"rg:None")</f>
        <v>rg:None</v>
      </c>
    </row>
    <row r="330" spans="1:25" ht="28.8" x14ac:dyDescent="0.3">
      <c r="A330" s="5" t="s">
        <v>55</v>
      </c>
      <c r="B330" s="5" t="s">
        <v>4</v>
      </c>
      <c r="D330" s="5" t="s">
        <v>55</v>
      </c>
      <c r="E330" s="76" t="s">
        <v>374</v>
      </c>
      <c r="F330" s="5" t="s">
        <v>5</v>
      </c>
      <c r="G330" s="4"/>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8" t="str">
        <f>IF(LEN(Table2[[#This Row],[!Length]]) &gt; 0, Table2[[#This Row],[!Length]], "rg:None")</f>
        <v>rg:None</v>
      </c>
      <c r="U330" s="8" t="str">
        <f>IF(LEN(Table2[[#This Row],[!Name]]) &gt; 0, Table2[[#This Row],[!Name]], "rg:None")</f>
        <v>RolePermission</v>
      </c>
      <c r="V330" s="8" t="str">
        <f>IF(LEN(Table2[[#This Row],[!Description]]) &gt; 0, Table2[[#This Row],[!Description]], "rg:None")</f>
        <v>A permission that is part of a Role - a component of the authorization provided by the Role to the user to which the Role is assigned.</v>
      </c>
      <c r="W330" s="8" t="str">
        <f>IF(LEN(Table2[[#This Row],[!FK]])&gt;0,Table2[[#This Row],[!FK]],"rg:None")</f>
        <v>rg:None</v>
      </c>
      <c r="X330" s="8" t="str">
        <f>IF(LEN(concatif2(A:A,Table2[[#This Row],[!Table]],G:G,"Y",D:D,",")) &gt; 0,"rg:[ { 'req' : '"&amp;concatif2(A:A,Table2[[#This Row],[!Table]],G:G,"Y",D:D,"' }, { 'req': '")&amp;"'} ]","rg:[]")</f>
        <v>rg:[ { 'req' : 'id' }, { 'req': 'role' }, { 'req': 'permission'} ]</v>
      </c>
      <c r="Y330" s="8" t="str">
        <f>IF(LEN(Table2[[#This Row],[!Unique]])&gt;0,IF(Table2[[#This Row],[!Type]] = "id", "rg:None","rg:True"),"rg:None")</f>
        <v>rg:None</v>
      </c>
    </row>
    <row r="331" spans="1:25" x14ac:dyDescent="0.3">
      <c r="A331" s="5" t="s">
        <v>55</v>
      </c>
      <c r="B331" s="5" t="s">
        <v>6</v>
      </c>
      <c r="D331" s="5" t="s">
        <v>6</v>
      </c>
      <c r="E331" s="54" t="s">
        <v>337</v>
      </c>
      <c r="F331" s="5" t="s">
        <v>5</v>
      </c>
      <c r="G331" s="4" t="s">
        <v>62</v>
      </c>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id</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id</v>
      </c>
      <c r="V331" s="8" t="str">
        <f>IF(LEN(Table2[[#This Row],[!Description]]) &gt; 0, Table2[[#This Row],[!Description]], "rg:None")</f>
        <v>A system-generated unique identifier for a RolePermission</v>
      </c>
      <c r="W331" s="8" t="str">
        <f>IF(LEN(Table2[[#This Row],[!FK]])&gt;0,Table2[[#This Row],[!FK]],"rg:None")</f>
        <v>rg:None</v>
      </c>
      <c r="X331" s="8" t="str">
        <f>IF(LEN(concatif2(A:A,Table2[[#This Row],[!Table]],G:G,"Y",D:D,",")) &gt; 0,"rg:[ { 'req' : '"&amp;concatif2(A:A,Table2[[#This Row],[!Table]],G:G,"Y",D:D,"' }, { 'req': '")&amp;"'} ]","rg:[]")</f>
        <v>rg:[ { 'req' : 'id' }, { 'req': 'role' }, { 'req': 'permission'} ]</v>
      </c>
      <c r="Y331" s="8" t="str">
        <f>IF(LEN(Table2[[#This Row],[!Unique]])&gt;0,IF(Table2[[#This Row],[!Type]] = "id", "rg:None","rg:True"),"rg:None")</f>
        <v>rg:None</v>
      </c>
    </row>
    <row r="332" spans="1:25" x14ac:dyDescent="0.3">
      <c r="A332" s="5" t="s">
        <v>55</v>
      </c>
      <c r="B332" s="5" t="s">
        <v>8</v>
      </c>
      <c r="D332" s="5" t="s">
        <v>18</v>
      </c>
      <c r="F332" s="5" t="s">
        <v>53</v>
      </c>
      <c r="G332" s="158" t="s">
        <v>62</v>
      </c>
      <c r="H332" s="4"/>
      <c r="I332" s="5" t="str">
        <f t="shared" si="30"/>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ref</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role</v>
      </c>
      <c r="V332" s="8" t="str">
        <f>IF(LEN(Table2[[#This Row],[!Description]]) &gt; 0, Table2[[#This Row],[!Description]], "rg:None")</f>
        <v>rg:None</v>
      </c>
      <c r="W332" s="8" t="str">
        <f>IF(LEN(Table2[[#This Row],[!FK]])&gt;0,Table2[[#This Row],[!FK]],"rg:None")</f>
        <v>Role</v>
      </c>
      <c r="X332" s="8" t="str">
        <f>IF(LEN(concatif2(A:A,Table2[[#This Row],[!Table]],G:G,"Y",D:D,",")) &gt; 0,"rg:[ { 'req' : '"&amp;concatif2(A:A,Table2[[#This Row],[!Table]],G:G,"Y",D:D,"' }, { 'req': '")&amp;"'} ]","rg:[]")</f>
        <v>rg:[ { 'req' : 'id' }, { 'req': 'role' }, { 'req': 'permission'} ]</v>
      </c>
      <c r="Y332" s="8" t="str">
        <f>IF(LEN(Table2[[#This Row],[!Unique]])&gt;0,IF(Table2[[#This Row],[!Type]] = "id", "rg:None","rg:True"),"rg:None")</f>
        <v>rg:None</v>
      </c>
    </row>
    <row r="333" spans="1:25" x14ac:dyDescent="0.3">
      <c r="A333" s="5" t="s">
        <v>55</v>
      </c>
      <c r="B333" s="5" t="s">
        <v>8</v>
      </c>
      <c r="D333" s="5" t="s">
        <v>56</v>
      </c>
      <c r="E333" s="130" t="s">
        <v>546</v>
      </c>
      <c r="F333" s="5" t="s">
        <v>57</v>
      </c>
      <c r="G333" s="158" t="s">
        <v>62</v>
      </c>
      <c r="H333" s="4"/>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ref</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permission</v>
      </c>
      <c r="V333" s="8" t="str">
        <f>IF(LEN(Table2[[#This Row],[!Description]]) &gt; 0, Table2[[#This Row],[!Description]], "rg:None")</f>
        <v>A foreign key reference to the system-generated unique identifier for a Permission</v>
      </c>
      <c r="W333" s="8" t="str">
        <f>IF(LEN(Table2[[#This Row],[!FK]])&gt;0,Table2[[#This Row],[!FK]],"rg:None")</f>
        <v>Permission</v>
      </c>
      <c r="X333" s="8" t="str">
        <f>IF(LEN(concatif2(A:A,Table2[[#This Row],[!Table]],G:G,"Y",D:D,",")) &gt; 0,"rg:[ { 'req' : '"&amp;concatif2(A:A,Table2[[#This Row],[!Table]],G:G,"Y",D:D,"' }, { 'req': '")&amp;"'} ]","rg:[]")</f>
        <v>rg:[ { 'req' : 'id' }, { 'req': 'role' }, { 'req': 'permission'} ]</v>
      </c>
      <c r="Y333" s="8" t="str">
        <f>IF(LEN(Table2[[#This Row],[!Unique]])&gt;0,IF(Table2[[#This Row],[!Type]] = "id", "rg:None","rg:True"),"rg:None")</f>
        <v>rg:None</v>
      </c>
    </row>
    <row r="334" spans="1:25" ht="72" x14ac:dyDescent="0.3">
      <c r="A334" s="5" t="s">
        <v>57</v>
      </c>
      <c r="B334" s="5" t="s">
        <v>4</v>
      </c>
      <c r="D334" s="5" t="s">
        <v>57</v>
      </c>
      <c r="E334" s="76" t="s">
        <v>375</v>
      </c>
      <c r="F334" s="5" t="s">
        <v>5</v>
      </c>
      <c r="G334" s="4"/>
      <c r="H334" s="4"/>
      <c r="I334" s="5" t="str">
        <f t="shared" si="30"/>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rg:None</v>
      </c>
      <c r="S334" s="5" t="str">
        <f>IF(Table2[[#This Row],[!Type]]=S$1, S$1,"rg:None")</f>
        <v>table</v>
      </c>
      <c r="T334" s="8" t="str">
        <f>IF(LEN(Table2[[#This Row],[!Length]]) &gt; 0, Table2[[#This Row],[!Length]], "rg:None")</f>
        <v>rg:None</v>
      </c>
      <c r="U334" s="8" t="str">
        <f>IF(LEN(Table2[[#This Row],[!Name]]) &gt; 0, Table2[[#This Row],[!Name]], "rg:None")</f>
        <v>Permission</v>
      </c>
      <c r="V334"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4" s="8" t="str">
        <f>IF(LEN(Table2[[#This Row],[!FK]])&gt;0,Table2[[#This Row],[!FK]],"rg:None")</f>
        <v>rg:None</v>
      </c>
      <c r="X334" s="8" t="str">
        <f>IF(LEN(concatif2(A:A,Table2[[#This Row],[!Table]],G:G,"Y",D:D,",")) &gt; 0,"rg:[ { 'req' : '"&amp;concatif2(A:A,Table2[[#This Row],[!Table]],G:G,"Y",D:D,"' }, { 'req': '")&amp;"'} ]","rg:[]")</f>
        <v>rg:[ { 'req' : 'id' }, { 'req': 'code' }, { 'req': 'name'} ]</v>
      </c>
      <c r="Y334" s="8" t="str">
        <f>IF(LEN(Table2[[#This Row],[!Unique]])&gt;0,IF(Table2[[#This Row],[!Type]] = "id", "rg:None","rg:True"),"rg:None")</f>
        <v>rg:None</v>
      </c>
    </row>
    <row r="335" spans="1:25" x14ac:dyDescent="0.3">
      <c r="A335" s="5" t="s">
        <v>57</v>
      </c>
      <c r="B335" s="5" t="s">
        <v>6</v>
      </c>
      <c r="D335" s="5" t="s">
        <v>6</v>
      </c>
      <c r="E335" s="54" t="s">
        <v>338</v>
      </c>
      <c r="F335" s="5" t="s">
        <v>5</v>
      </c>
      <c r="G335" s="4" t="s">
        <v>62</v>
      </c>
      <c r="H335" s="158" t="s">
        <v>62</v>
      </c>
      <c r="I335" s="5" t="str">
        <f t="shared" si="30"/>
        <v>Defs</v>
      </c>
      <c r="J335" s="8" t="str">
        <f>IF(Table2[[#This Row],[!Type]]=J$1, J$1,"rg:None")</f>
        <v>rg:None</v>
      </c>
      <c r="K335" s="8" t="str">
        <f>IF(Table2[[#This Row],[!Type]]=K$1, K$1,"rg:None")</f>
        <v>rg:None</v>
      </c>
      <c r="L335" s="8" t="str">
        <f>IF(Table2[[#This Row],[!Type]]=L$1, L$1,"rg:None")</f>
        <v>rg:None</v>
      </c>
      <c r="M335" s="8" t="str">
        <f>IF(Table2[[#This Row],[!Type]]=M$1, M$1,"rg:None")</f>
        <v>id</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rg:None</v>
      </c>
      <c r="S335" s="5" t="str">
        <f>IF(Table2[[#This Row],[!Type]]=S$1, S$1,"rg:None")</f>
        <v>rg:None</v>
      </c>
      <c r="T335" s="8" t="str">
        <f>IF(LEN(Table2[[#This Row],[!Length]]) &gt; 0, Table2[[#This Row],[!Length]], "rg:None")</f>
        <v>rg:None</v>
      </c>
      <c r="U335" s="8" t="str">
        <f>IF(LEN(Table2[[#This Row],[!Name]]) &gt; 0, Table2[[#This Row],[!Name]], "rg:None")</f>
        <v>id</v>
      </c>
      <c r="V335" s="8" t="str">
        <f>IF(LEN(Table2[[#This Row],[!Description]]) &gt; 0, Table2[[#This Row],[!Description]], "rg:None")</f>
        <v>A system-generated unique identifier for a Permission</v>
      </c>
      <c r="W335" s="8" t="str">
        <f>IF(LEN(Table2[[#This Row],[!FK]])&gt;0,Table2[[#This Row],[!FK]],"rg:None")</f>
        <v>rg:None</v>
      </c>
      <c r="X335" s="8" t="str">
        <f>IF(LEN(concatif2(A:A,Table2[[#This Row],[!Table]],G:G,"Y",D:D,",")) &gt; 0,"rg:[ { 'req' : '"&amp;concatif2(A:A,Table2[[#This Row],[!Table]],G:G,"Y",D:D,"' }, { 'req': '")&amp;"'} ]","rg:[]")</f>
        <v>rg:[ { 'req' : 'id' }, { 'req': 'code' }, { 'req': 'name'} ]</v>
      </c>
      <c r="Y335" s="8" t="str">
        <f>IF(LEN(Table2[[#This Row],[!Unique]])&gt;0,IF(Table2[[#This Row],[!Type]] = "id", "rg:None","rg:True"),"rg:None")</f>
        <v>rg:None</v>
      </c>
    </row>
    <row r="336" spans="1:25" x14ac:dyDescent="0.3">
      <c r="A336" s="5" t="s">
        <v>57</v>
      </c>
      <c r="B336" s="5" t="s">
        <v>7</v>
      </c>
      <c r="C336" s="5">
        <v>50</v>
      </c>
      <c r="D336" s="5" t="s">
        <v>58</v>
      </c>
      <c r="E336" s="54" t="s">
        <v>339</v>
      </c>
      <c r="F336" s="5" t="s">
        <v>5</v>
      </c>
      <c r="G336" s="4" t="s">
        <v>62</v>
      </c>
      <c r="H336" s="158" t="s">
        <v>62</v>
      </c>
      <c r="I336" s="5" t="str">
        <f t="shared" si="30"/>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50</v>
      </c>
      <c r="U336" s="8" t="str">
        <f>IF(LEN(Table2[[#This Row],[!Name]]) &gt; 0, Table2[[#This Row],[!Name]], "rg:None")</f>
        <v>code</v>
      </c>
      <c r="V336" s="8" t="str">
        <f>IF(LEN(Table2[[#This Row],[!Description]]) &gt; 0, Table2[[#This Row],[!Description]], "rg:None")</f>
        <v>The name of the permission referenced in the software of the application.</v>
      </c>
      <c r="W336" s="8" t="str">
        <f>IF(LEN(Table2[[#This Row],[!FK]])&gt;0,Table2[[#This Row],[!FK]],"rg:None")</f>
        <v>rg:None</v>
      </c>
      <c r="X336" s="8" t="str">
        <f>IF(LEN(concatif2(A:A,Table2[[#This Row],[!Table]],G:G,"Y",D:D,",")) &gt; 0,"rg:[ { 'req' : '"&amp;concatif2(A:A,Table2[[#This Row],[!Table]],G:G,"Y",D:D,"' }, { 'req': '")&amp;"'} ]","rg:[]")</f>
        <v>rg:[ { 'req' : 'id' }, { 'req': 'code' }, { 'req': 'name'} ]</v>
      </c>
      <c r="Y336" s="8" t="str">
        <f>IF(LEN(Table2[[#This Row],[!Unique]])&gt;0,IF(Table2[[#This Row],[!Type]] = "id", "rg:None","rg:True"),"rg:None")</f>
        <v>rg:True</v>
      </c>
    </row>
    <row r="337" spans="1:25" ht="28.8" x14ac:dyDescent="0.3">
      <c r="A337" s="5" t="s">
        <v>57</v>
      </c>
      <c r="B337" s="5" t="s">
        <v>7</v>
      </c>
      <c r="C337" s="5">
        <v>150</v>
      </c>
      <c r="D337" s="5" t="s">
        <v>15</v>
      </c>
      <c r="E337" s="54" t="s">
        <v>340</v>
      </c>
      <c r="F337" s="5" t="s">
        <v>5</v>
      </c>
      <c r="G337" s="4" t="s">
        <v>62</v>
      </c>
      <c r="H337" s="158" t="s">
        <v>62</v>
      </c>
      <c r="I337" s="5" t="str">
        <f t="shared" si="30"/>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150</v>
      </c>
      <c r="U337" s="8" t="str">
        <f>IF(LEN(Table2[[#This Row],[!Name]]) &gt; 0, Table2[[#This Row],[!Name]], "rg:None")</f>
        <v>name</v>
      </c>
      <c r="V337" s="8" t="str">
        <f>IF(LEN(Table2[[#This Row],[!Description]]) &gt; 0, Table2[[#This Row],[!Description]], "rg:None")</f>
        <v>The 'user friendly' name of the permission exposed to the user selecting the permissions to be included in a Role.</v>
      </c>
      <c r="W337" s="8" t="str">
        <f>IF(LEN(Table2[[#This Row],[!FK]])&gt;0,Table2[[#This Row],[!FK]],"rg:None")</f>
        <v>rg:None</v>
      </c>
      <c r="X337" s="8" t="str">
        <f>IF(LEN(concatif2(A:A,Table2[[#This Row],[!Table]],G:G,"Y",D:D,",")) &gt; 0,"rg:[ { 'req' : '"&amp;concatif2(A:A,Table2[[#This Row],[!Table]],G:G,"Y",D:D,"' }, { 'req': '")&amp;"'} ]","rg:[]")</f>
        <v>rg:[ { 'req' : 'id' }, { 'req': 'code' }, { 'req': 'name'} ]</v>
      </c>
      <c r="Y337" s="8" t="str">
        <f>IF(LEN(Table2[[#This Row],[!Unique]])&gt;0,IF(Table2[[#This Row],[!Type]] = "id", "rg:None","rg:True"),"rg:None")</f>
        <v>rg:True</v>
      </c>
    </row>
    <row r="338" spans="1:25" ht="28.8" x14ac:dyDescent="0.3">
      <c r="A338" s="5" t="s">
        <v>57</v>
      </c>
      <c r="B338" s="5" t="s">
        <v>7</v>
      </c>
      <c r="C338" s="5">
        <v>2048</v>
      </c>
      <c r="D338" s="5" t="s">
        <v>14</v>
      </c>
      <c r="E338" s="54" t="s">
        <v>341</v>
      </c>
      <c r="F338" s="5" t="s">
        <v>5</v>
      </c>
      <c r="G338" s="4"/>
      <c r="H338" s="4"/>
      <c r="I338" s="5" t="str">
        <f t="shared" si="30"/>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string</v>
      </c>
      <c r="S338" s="5" t="str">
        <f>IF(Table2[[#This Row],[!Type]]=S$1, S$1,"rg:None")</f>
        <v>rg:None</v>
      </c>
      <c r="T338" s="8">
        <f>IF(LEN(Table2[[#This Row],[!Length]]) &gt; 0, Table2[[#This Row],[!Length]], "rg:None")</f>
        <v>2048</v>
      </c>
      <c r="U338" s="8" t="str">
        <f>IF(LEN(Table2[[#This Row],[!Name]]) &gt; 0, Table2[[#This Row],[!Name]], "rg:None")</f>
        <v>description</v>
      </c>
      <c r="V338" s="8" t="str">
        <f>IF(LEN(Table2[[#This Row],[!Description]]) &gt; 0, Table2[[#This Row],[!Description]], "rg:None")</f>
        <v>A description of the purpose of the permission and exposed to the user selecting the permissions to be included in a Role.</v>
      </c>
      <c r="W338" s="8" t="str">
        <f>IF(LEN(Table2[[#This Row],[!FK]])&gt;0,Table2[[#This Row],[!FK]],"rg:None")</f>
        <v>rg:None</v>
      </c>
      <c r="X338" s="8" t="str">
        <f>IF(LEN(concatif2(A:A,Table2[[#This Row],[!Table]],G:G,"Y",D:D,",")) &gt; 0,"rg:[ { 'req' : '"&amp;concatif2(A:A,Table2[[#This Row],[!Table]],G:G,"Y",D:D,"' }, { 'req': '")&amp;"'} ]","rg:[]")</f>
        <v>rg:[ { 'req' : 'id' }, { 'req': 'code' }, { 'req': 'name'} ]</v>
      </c>
      <c r="Y338" s="8" t="str">
        <f>IF(LEN(Table2[[#This Row],[!Unique]])&gt;0,IF(Table2[[#This Row],[!Type]] = "id", "rg:None","rg:True"),"rg:None")</f>
        <v>rg:None</v>
      </c>
    </row>
    <row r="339" spans="1:25" x14ac:dyDescent="0.3">
      <c r="A339" s="5" t="s">
        <v>59</v>
      </c>
      <c r="B339" s="5" t="s">
        <v>4</v>
      </c>
      <c r="D339" s="5" t="s">
        <v>59</v>
      </c>
      <c r="E339" s="54" t="s">
        <v>342</v>
      </c>
      <c r="F339" s="5" t="s">
        <v>5</v>
      </c>
      <c r="G339" s="4"/>
      <c r="H339" s="4"/>
      <c r="I339" s="5" t="str">
        <f t="shared" si="30"/>
        <v>Defs</v>
      </c>
      <c r="J339" s="8" t="str">
        <f>IF(Table2[[#This Row],[!Type]]=J$1, J$1,"rg:None")</f>
        <v>rg:None</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table</v>
      </c>
      <c r="T339" s="8" t="str">
        <f>IF(LEN(Table2[[#This Row],[!Length]]) &gt; 0, Table2[[#This Row],[!Length]], "rg:None")</f>
        <v>rg:None</v>
      </c>
      <c r="U339" s="8" t="str">
        <f>IF(LEN(Table2[[#This Row],[!Name]]) &gt; 0, Table2[[#This Row],[!Name]], "rg:None")</f>
        <v>GroupMembership</v>
      </c>
      <c r="V339" s="8" t="str">
        <f>IF(LEN(Table2[[#This Row],[!Description]]) &gt; 0, Table2[[#This Row],[!Description]], "rg:None")</f>
        <v>The users associated with a given group that has been defined in the application.</v>
      </c>
      <c r="W339" s="8" t="str">
        <f>IF(LEN(Table2[[#This Row],[!FK]])&gt;0,Table2[[#This Row],[!FK]],"rg:None")</f>
        <v>rg:None</v>
      </c>
      <c r="X339" s="8" t="str">
        <f>IF(LEN(concatif2(A:A,Table2[[#This Row],[!Table]],G:G,"Y",D:D,",")) &gt; 0,"rg:[ { 'req' : '"&amp;concatif2(A:A,Table2[[#This Row],[!Table]],G:G,"Y",D:D,"' }, { 'req': '")&amp;"'} ]","rg:[]")</f>
        <v>rg:[ { 'req' : 'id' }, { 'req': 'active' }, { 'req': 'group' }, { 'req': 'user'} ]</v>
      </c>
      <c r="Y339" s="8" t="str">
        <f>IF(LEN(Table2[[#This Row],[!Unique]])&gt;0,IF(Table2[[#This Row],[!Type]] = "id", "rg:None","rg:True"),"rg:None")</f>
        <v>rg:None</v>
      </c>
    </row>
    <row r="340" spans="1:25" x14ac:dyDescent="0.3">
      <c r="A340" s="5" t="s">
        <v>59</v>
      </c>
      <c r="B340" s="5" t="s">
        <v>6</v>
      </c>
      <c r="D340" s="5" t="s">
        <v>6</v>
      </c>
      <c r="E340" s="54" t="s">
        <v>343</v>
      </c>
      <c r="F340" s="5" t="s">
        <v>5</v>
      </c>
      <c r="G340" s="4" t="s">
        <v>62</v>
      </c>
      <c r="H340" s="158" t="s">
        <v>62</v>
      </c>
      <c r="I340" s="5" t="str">
        <f t="shared" si="30"/>
        <v>Defs</v>
      </c>
      <c r="J340" s="8" t="str">
        <f>IF(Table2[[#This Row],[!Type]]=J$1, J$1,"rg:None")</f>
        <v>rg:None</v>
      </c>
      <c r="K340" s="8" t="str">
        <f>IF(Table2[[#This Row],[!Type]]=K$1, K$1,"rg:None")</f>
        <v>rg:None</v>
      </c>
      <c r="L340" s="8" t="str">
        <f>IF(Table2[[#This Row],[!Type]]=L$1, L$1,"rg:None")</f>
        <v>rg:None</v>
      </c>
      <c r="M340" s="8" t="str">
        <f>IF(Table2[[#This Row],[!Type]]=M$1, M$1,"rg:None")</f>
        <v>id</v>
      </c>
      <c r="N340" s="8" t="str">
        <f>IF(Table2[[#This Row],[!Type]]=N$1, N$1,"rg:None")</f>
        <v>rg:None</v>
      </c>
      <c r="O340" s="8" t="str">
        <f>IF(Table2[[#This Row],[!Type]]=O$1, O$1,"rg:None")</f>
        <v>rg:None</v>
      </c>
      <c r="P340" s="5" t="str">
        <f>IF(Table2[[#This Row],[!Type]]=P$1, P$1,"rg:None")</f>
        <v>rg:None</v>
      </c>
      <c r="Q340" s="5" t="str">
        <f>IF(Table2[[#This Row],[!Type]]=Q$1, Q$1,"rg:None")</f>
        <v>rg:None</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id</v>
      </c>
      <c r="V340" s="8" t="str">
        <f>IF(LEN(Table2[[#This Row],[!Description]]) &gt; 0, Table2[[#This Row],[!Description]], "rg:None")</f>
        <v>A system-generated unique identifier for a GroupMembership</v>
      </c>
      <c r="W340" s="8" t="str">
        <f>IF(LEN(Table2[[#This Row],[!FK]])&gt;0,Table2[[#This Row],[!FK]],"rg:None")</f>
        <v>rg:None</v>
      </c>
      <c r="X340" s="8" t="str">
        <f>IF(LEN(concatif2(A:A,Table2[[#This Row],[!Table]],G:G,"Y",D:D,",")) &gt; 0,"rg:[ { 'req' : '"&amp;concatif2(A:A,Table2[[#This Row],[!Table]],G:G,"Y",D:D,"' }, { 'req': '")&amp;"'} ]","rg:[]")</f>
        <v>rg:[ { 'req' : 'id' }, { 'req': 'active' }, { 'req': 'group' }, { 'req': 'user'} ]</v>
      </c>
      <c r="Y340" s="8" t="str">
        <f>IF(LEN(Table2[[#This Row],[!Unique]])&gt;0,IF(Table2[[#This Row],[!Type]] = "id", "rg:None","rg:True"),"rg:None")</f>
        <v>rg:None</v>
      </c>
    </row>
    <row r="341" spans="1:25" ht="28.8" x14ac:dyDescent="0.3">
      <c r="A341" s="5" t="s">
        <v>59</v>
      </c>
      <c r="B341" s="5" t="s">
        <v>9</v>
      </c>
      <c r="D341" s="5" t="s">
        <v>41</v>
      </c>
      <c r="E341" s="54" t="s">
        <v>344</v>
      </c>
      <c r="F341" s="5" t="s">
        <v>5</v>
      </c>
      <c r="G341" s="4" t="s">
        <v>62</v>
      </c>
      <c r="H341" s="4"/>
      <c r="I341" s="5" t="str">
        <f t="shared" si="30"/>
        <v>Defs</v>
      </c>
      <c r="J341" s="8" t="str">
        <f>IF(Table2[[#This Row],[!Type]]=J$1, J$1,"rg:None")</f>
        <v>boolean</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rg:None</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active</v>
      </c>
      <c r="V341" s="8" t="str">
        <f>IF(LEN(Table2[[#This Row],[!Description]]) &gt; 0, Table2[[#This Row],[!Description]], "rg:None")</f>
        <v>A flag indicating the User is active in the group. Set false to remove the user from the designated group.</v>
      </c>
      <c r="W341" s="8" t="str">
        <f>IF(LEN(Table2[[#This Row],[!FK]])&gt;0,Table2[[#This Row],[!FK]],"rg:None")</f>
        <v>rg:None</v>
      </c>
      <c r="X341" s="8" t="str">
        <f>IF(LEN(concatif2(A:A,Table2[[#This Row],[!Table]],G:G,"Y",D:D,",")) &gt; 0,"rg:[ { 'req' : '"&amp;concatif2(A:A,Table2[[#This Row],[!Table]],G:G,"Y",D:D,"' }, { 'req': '")&amp;"'} ]","rg:[]")</f>
        <v>rg:[ { 'req' : 'id' }, { 'req': 'active' }, { 'req': 'group' }, { 'req': 'user'} ]</v>
      </c>
      <c r="Y341" s="8" t="str">
        <f>IF(LEN(Table2[[#This Row],[!Unique]])&gt;0,IF(Table2[[#This Row],[!Type]] = "id", "rg:None","rg:True"),"rg:None")</f>
        <v>rg:None</v>
      </c>
    </row>
    <row r="342" spans="1:25" x14ac:dyDescent="0.3">
      <c r="A342" s="5" t="s">
        <v>59</v>
      </c>
      <c r="B342" s="5" t="s">
        <v>8</v>
      </c>
      <c r="D342" s="5" t="s">
        <v>60</v>
      </c>
      <c r="E342" s="130" t="s">
        <v>547</v>
      </c>
      <c r="F342" s="5" t="s">
        <v>61</v>
      </c>
      <c r="G342" s="158" t="s">
        <v>62</v>
      </c>
      <c r="H342" s="4"/>
      <c r="I342" s="5" t="str">
        <f t="shared" si="30"/>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ref</v>
      </c>
      <c r="R342" s="5" t="str">
        <f>IF(Table2[[#This Row],[!Type]]=R$1, R$1,"rg:None")</f>
        <v>rg:None</v>
      </c>
      <c r="S342" s="5" t="str">
        <f>IF(Table2[[#This Row],[!Type]]=S$1, S$1,"rg:None")</f>
        <v>rg:None</v>
      </c>
      <c r="T342" s="8" t="str">
        <f>IF(LEN(Table2[[#This Row],[!Length]]) &gt; 0, Table2[[#This Row],[!Length]], "rg:None")</f>
        <v>rg:None</v>
      </c>
      <c r="U342" s="8" t="str">
        <f>IF(LEN(Table2[[#This Row],[!Name]]) &gt; 0, Table2[[#This Row],[!Name]], "rg:None")</f>
        <v>group</v>
      </c>
      <c r="V342" s="8" t="str">
        <f>IF(LEN(Table2[[#This Row],[!Description]]) &gt; 0, Table2[[#This Row],[!Description]], "rg:None")</f>
        <v>A foreign key reference to the system-generated unique identifier for a Group</v>
      </c>
      <c r="W342" s="8" t="str">
        <f>IF(LEN(Table2[[#This Row],[!FK]])&gt;0,Table2[[#This Row],[!FK]],"rg:None")</f>
        <v>Group</v>
      </c>
      <c r="X342" s="8" t="str">
        <f>IF(LEN(concatif2(A:A,Table2[[#This Row],[!Table]],G:G,"Y",D:D,",")) &gt; 0,"rg:[ { 'req' : '"&amp;concatif2(A:A,Table2[[#This Row],[!Table]],G:G,"Y",D:D,"' }, { 'req': '")&amp;"'} ]","rg:[]")</f>
        <v>rg:[ { 'req' : 'id' }, { 'req': 'active' }, { 'req': 'group' }, { 'req': 'user'} ]</v>
      </c>
      <c r="Y342" s="8" t="str">
        <f>IF(LEN(Table2[[#This Row],[!Unique]])&gt;0,IF(Table2[[#This Row],[!Type]] = "id", "rg:None","rg:True"),"rg:None")</f>
        <v>rg:None</v>
      </c>
    </row>
    <row r="343" spans="1:25" x14ac:dyDescent="0.3">
      <c r="A343" s="5" t="s">
        <v>59</v>
      </c>
      <c r="B343" s="5" t="s">
        <v>8</v>
      </c>
      <c r="D343" s="5" t="s">
        <v>40</v>
      </c>
      <c r="E343" s="130" t="s">
        <v>548</v>
      </c>
      <c r="F343" s="5" t="s">
        <v>0</v>
      </c>
      <c r="G343" s="158" t="s">
        <v>62</v>
      </c>
      <c r="H343" s="4"/>
      <c r="I343" s="5" t="str">
        <f t="shared" si="30"/>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ref</v>
      </c>
      <c r="R343" s="5" t="str">
        <f>IF(Table2[[#This Row],[!Type]]=R$1, R$1,"rg:None")</f>
        <v>rg:None</v>
      </c>
      <c r="S343" s="5" t="str">
        <f>IF(Table2[[#This Row],[!Type]]=S$1, S$1,"rg:None")</f>
        <v>rg:None</v>
      </c>
      <c r="T343" s="8" t="str">
        <f>IF(LEN(Table2[[#This Row],[!Length]]) &gt; 0, Table2[[#This Row],[!Length]], "rg:None")</f>
        <v>rg:None</v>
      </c>
      <c r="U343" s="8" t="str">
        <f>IF(LEN(Table2[[#This Row],[!Name]]) &gt; 0, Table2[[#This Row],[!Name]], "rg:None")</f>
        <v>user</v>
      </c>
      <c r="V343" s="8" t="str">
        <f>IF(LEN(Table2[[#This Row],[!Description]]) &gt; 0, Table2[[#This Row],[!Description]], "rg:None")</f>
        <v>A foreign key reference to the system-generated unique identifier for a User</v>
      </c>
      <c r="W343" s="8" t="str">
        <f>IF(LEN(Table2[[#This Row],[!FK]])&gt;0,Table2[[#This Row],[!FK]],"rg:None")</f>
        <v>User</v>
      </c>
      <c r="X343" s="8" t="str">
        <f>IF(LEN(concatif2(A:A,Table2[[#This Row],[!Table]],G:G,"Y",D:D,",")) &gt; 0,"rg:[ { 'req' : '"&amp;concatif2(A:A,Table2[[#This Row],[!Table]],G:G,"Y",D:D,"' }, { 'req': '")&amp;"'} ]","rg:[]")</f>
        <v>rg:[ { 'req' : 'id' }, { 'req': 'active' }, { 'req': 'group' }, { 'req': 'user'} ]</v>
      </c>
      <c r="Y343" s="8" t="str">
        <f>IF(LEN(Table2[[#This Row],[!Unique]])&gt;0,IF(Table2[[#This Row],[!Type]] = "id", "rg:None","rg:True"),"rg:None")</f>
        <v>rg:None</v>
      </c>
    </row>
    <row r="344" spans="1:25" ht="43.2" x14ac:dyDescent="0.3">
      <c r="A344" s="5" t="s">
        <v>61</v>
      </c>
      <c r="B344" s="5" t="s">
        <v>4</v>
      </c>
      <c r="D344" s="5" t="s">
        <v>61</v>
      </c>
      <c r="E344" s="76" t="s">
        <v>376</v>
      </c>
      <c r="F344" s="5" t="s">
        <v>5</v>
      </c>
      <c r="G344" s="4"/>
      <c r="H344" s="4"/>
      <c r="I344" s="5" t="str">
        <f t="shared" si="30"/>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rg:None</v>
      </c>
      <c r="S344" s="5" t="str">
        <f>IF(Table2[[#This Row],[!Type]]=S$1, S$1,"rg:None")</f>
        <v>table</v>
      </c>
      <c r="T344" s="8" t="str">
        <f>IF(LEN(Table2[[#This Row],[!Length]]) &gt; 0, Table2[[#This Row],[!Length]], "rg:None")</f>
        <v>rg:None</v>
      </c>
      <c r="U344" s="8" t="str">
        <f>IF(LEN(Table2[[#This Row],[!Name]]) &gt; 0, Table2[[#This Row],[!Name]], "rg:None")</f>
        <v>Group</v>
      </c>
      <c r="V344"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Row],[!Unique]])&gt;0,IF(Table2[[#This Row],[!Type]] = "id", "rg:None","rg:True"),"rg:None")</f>
        <v>rg:None</v>
      </c>
    </row>
    <row r="345" spans="1:25" x14ac:dyDescent="0.3">
      <c r="A345" s="5" t="s">
        <v>61</v>
      </c>
      <c r="B345" s="5" t="s">
        <v>6</v>
      </c>
      <c r="D345" s="5" t="s">
        <v>6</v>
      </c>
      <c r="E345" s="54" t="s">
        <v>345</v>
      </c>
      <c r="F345" s="5" t="s">
        <v>5</v>
      </c>
      <c r="G345" s="4" t="s">
        <v>62</v>
      </c>
      <c r="H345" s="158" t="s">
        <v>62</v>
      </c>
      <c r="I345" s="5" t="str">
        <f t="shared" si="30"/>
        <v>Defs</v>
      </c>
      <c r="J345" s="8" t="str">
        <f>IF(Table2[[#This Row],[!Type]]=J$1, J$1,"rg:None")</f>
        <v>rg:None</v>
      </c>
      <c r="K345" s="8" t="str">
        <f>IF(Table2[[#This Row],[!Type]]=K$1, K$1,"rg:None")</f>
        <v>rg:None</v>
      </c>
      <c r="L345" s="8" t="str">
        <f>IF(Table2[[#This Row],[!Type]]=L$1, L$1,"rg:None")</f>
        <v>rg:None</v>
      </c>
      <c r="M345" s="8" t="str">
        <f>IF(Table2[[#This Row],[!Type]]=M$1, M$1,"rg:None")</f>
        <v>id</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rg:None</v>
      </c>
      <c r="S345" s="5" t="str">
        <f>IF(Table2[[#This Row],[!Type]]=S$1, S$1,"rg:None")</f>
        <v>rg:None</v>
      </c>
      <c r="T345" s="8" t="str">
        <f>IF(LEN(Table2[[#This Row],[!Length]]) &gt; 0, Table2[[#This Row],[!Length]], "rg:None")</f>
        <v>rg:None</v>
      </c>
      <c r="U345" s="8" t="str">
        <f>IF(LEN(Table2[[#This Row],[!Name]]) &gt; 0, Table2[[#This Row],[!Name]], "rg:None")</f>
        <v>id</v>
      </c>
      <c r="V345" s="8" t="str">
        <f>IF(LEN(Table2[[#This Row],[!Description]]) &gt; 0, Table2[[#This Row],[!Description]], "rg:None")</f>
        <v>A system-generated unique identifier for a Group</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Row],[!Unique]])&gt;0,IF(Table2[[#This Row],[!Type]] = "id", "rg:None","rg:True"),"rg:None")</f>
        <v>rg:None</v>
      </c>
    </row>
    <row r="346" spans="1:25" x14ac:dyDescent="0.3">
      <c r="A346" s="5" t="s">
        <v>61</v>
      </c>
      <c r="B346" s="5" t="s">
        <v>7</v>
      </c>
      <c r="C346" s="5">
        <v>150</v>
      </c>
      <c r="D346" s="5" t="s">
        <v>15</v>
      </c>
      <c r="E346" s="54" t="s">
        <v>346</v>
      </c>
      <c r="F346" s="5" t="s">
        <v>5</v>
      </c>
      <c r="G346" s="4" t="s">
        <v>62</v>
      </c>
      <c r="H346" s="158" t="s">
        <v>62</v>
      </c>
      <c r="I346" s="5" t="str">
        <f t="shared" si="30"/>
        <v>Defs</v>
      </c>
      <c r="J346" s="8" t="str">
        <f>IF(Table2[[#This Row],[!Type]]=J$1, J$1,"rg:None")</f>
        <v>rg:None</v>
      </c>
      <c r="K346" s="8" t="str">
        <f>IF(Table2[[#This Row],[!Type]]=K$1, K$1,"rg:None")</f>
        <v>rg:None</v>
      </c>
      <c r="L346" s="8" t="str">
        <f>IF(Table2[[#This Row],[!Type]]=L$1, L$1,"rg:None")</f>
        <v>rg:None</v>
      </c>
      <c r="M346" s="8" t="str">
        <f>IF(Table2[[#This Row],[!Type]]=M$1, M$1,"rg:None")</f>
        <v>rg:None</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string</v>
      </c>
      <c r="S346" s="5" t="str">
        <f>IF(Table2[[#This Row],[!Type]]=S$1, S$1,"rg:None")</f>
        <v>rg:None</v>
      </c>
      <c r="T346" s="8">
        <f>IF(LEN(Table2[[#This Row],[!Length]]) &gt; 0, Table2[[#This Row],[!Length]], "rg:None")</f>
        <v>150</v>
      </c>
      <c r="U346" s="8" t="str">
        <f>IF(LEN(Table2[[#This Row],[!Name]]) &gt; 0, Table2[[#This Row],[!Name]], "rg:None")</f>
        <v>name</v>
      </c>
      <c r="V346" s="8" t="str">
        <f>IF(LEN(Table2[[#This Row],[!Description]]) &gt; 0, Table2[[#This Row],[!Description]], "rg:None")</f>
        <v>The name of the group, as refenced in the code.</v>
      </c>
      <c r="W346" s="8" t="str">
        <f>IF(LEN(Table2[[#This Row],[!FK]])&gt;0,Table2[[#This Row],[!FK]],"rg:None")</f>
        <v>rg:None</v>
      </c>
      <c r="X346" s="8" t="str">
        <f>IF(LEN(concatif2(A:A,Table2[[#This Row],[!Table]],G:G,"Y",D:D,",")) &gt; 0,"rg:[ { 'req' : '"&amp;concatif2(A:A,Table2[[#This Row],[!Table]],G:G,"Y",D:D,"' }, { 'req': '")&amp;"'} ]","rg:[]")</f>
        <v>rg:[ { 'req' : 'id' }, { 'req': 'name' }, { 'req': 'description'} ]</v>
      </c>
      <c r="Y346" s="8" t="str">
        <f>IF(LEN(Table2[[#This Row],[!Unique]])&gt;0,IF(Table2[[#This Row],[!Type]] = "id", "rg:None","rg:True"),"rg:None")</f>
        <v>rg:True</v>
      </c>
    </row>
    <row r="347" spans="1:25" ht="28.8" x14ac:dyDescent="0.3">
      <c r="A347" s="5" t="s">
        <v>61</v>
      </c>
      <c r="B347" s="5" t="s">
        <v>7</v>
      </c>
      <c r="C347" s="5">
        <v>2048</v>
      </c>
      <c r="D347" s="5" t="s">
        <v>14</v>
      </c>
      <c r="E347" s="54" t="s">
        <v>347</v>
      </c>
      <c r="F347" s="5" t="s">
        <v>5</v>
      </c>
      <c r="G347" s="4" t="s">
        <v>62</v>
      </c>
      <c r="H347" s="4"/>
      <c r="I347" s="5" t="str">
        <f t="shared" si="30"/>
        <v>Defs</v>
      </c>
      <c r="J347" s="8" t="str">
        <f>IF(Table2[[#This Row],[!Type]]=J$1, J$1,"rg:None")</f>
        <v>rg:None</v>
      </c>
      <c r="K347" s="8" t="str">
        <f>IF(Table2[[#This Row],[!Type]]=K$1, K$1,"rg:None")</f>
        <v>rg:None</v>
      </c>
      <c r="L347" s="8" t="str">
        <f>IF(Table2[[#This Row],[!Type]]=L$1, L$1,"rg:None")</f>
        <v>rg:None</v>
      </c>
      <c r="M347" s="8" t="str">
        <f>IF(Table2[[#This Row],[!Type]]=M$1, M$1,"rg:None")</f>
        <v>rg:None</v>
      </c>
      <c r="N347" s="8" t="str">
        <f>IF(Table2[[#This Row],[!Type]]=N$1, N$1,"rg:None")</f>
        <v>rg:None</v>
      </c>
      <c r="O347" s="8" t="str">
        <f>IF(Table2[[#This Row],[!Type]]=O$1, O$1,"rg:None")</f>
        <v>rg:None</v>
      </c>
      <c r="P347" s="5" t="str">
        <f>IF(Table2[[#This Row],[!Type]]=P$1, P$1,"rg:None")</f>
        <v>rg:None</v>
      </c>
      <c r="Q347" s="5" t="str">
        <f>IF(Table2[[#This Row],[!Type]]=Q$1, Q$1,"rg:None")</f>
        <v>rg:None</v>
      </c>
      <c r="R347" s="5" t="str">
        <f>IF(Table2[[#This Row],[!Type]]=R$1, R$1,"rg:None")</f>
        <v>string</v>
      </c>
      <c r="S347" s="5" t="str">
        <f>IF(Table2[[#This Row],[!Type]]=S$1, S$1,"rg:None")</f>
        <v>rg:None</v>
      </c>
      <c r="T347" s="8">
        <f>IF(LEN(Table2[[#This Row],[!Length]]) &gt; 0, Table2[[#This Row],[!Length]], "rg:None")</f>
        <v>2048</v>
      </c>
      <c r="U347" s="8" t="str">
        <f>IF(LEN(Table2[[#This Row],[!Name]]) &gt; 0, Table2[[#This Row],[!Name]], "rg:None")</f>
        <v>description</v>
      </c>
      <c r="V347" s="8" t="str">
        <f>IF(LEN(Table2[[#This Row],[!Description]]) &gt; 0, Table2[[#This Row],[!Description]], "rg:None")</f>
        <v>A description of the group that is presented to the user when they are setting a user into a group.</v>
      </c>
      <c r="W347" s="8" t="str">
        <f>IF(LEN(Table2[[#This Row],[!FK]])&gt;0,Table2[[#This Row],[!FK]],"rg:None")</f>
        <v>rg:None</v>
      </c>
      <c r="X347" s="8" t="str">
        <f>IF(LEN(concatif2(A:A,Table2[[#This Row],[!Table]],G:G,"Y",D:D,",")) &gt; 0,"rg:[ { 'req' : '"&amp;concatif2(A:A,Table2[[#This Row],[!Table]],G:G,"Y",D:D,"' }, { 'req': '")&amp;"'} ]","rg:[]")</f>
        <v>rg:[ { 'req' : 'id' }, { 'req': 'name' }, { 'req': 'description'} ]</v>
      </c>
      <c r="Y347" s="8" t="str">
        <f>IF(LEN(Table2[[#This Row],[!Unique]])&gt;0,IF(Table2[[#This Row],[!Type]] = "id", "rg:None","rg:True"),"rg:None")</f>
        <v>rg:None</v>
      </c>
    </row>
    <row r="348" spans="1:25" x14ac:dyDescent="0.3">
      <c r="A348" s="160" t="s">
        <v>460</v>
      </c>
      <c r="B348" s="160"/>
      <c r="C348" s="160"/>
      <c r="D348" s="160"/>
      <c r="E348" s="161"/>
      <c r="F348" s="161"/>
      <c r="G348" s="160"/>
      <c r="H348" s="160"/>
      <c r="I348" s="8"/>
      <c r="J348" s="8"/>
      <c r="K348" s="8"/>
      <c r="L348" s="8"/>
      <c r="M348" s="8"/>
      <c r="N348" s="8"/>
      <c r="O348" s="8"/>
      <c r="P348" s="8"/>
      <c r="Q348" s="8"/>
      <c r="R348" s="8"/>
      <c r="S348" s="8"/>
      <c r="T348" s="8"/>
      <c r="U348" s="8"/>
      <c r="V348" s="8"/>
      <c r="W348" s="8"/>
      <c r="Y348" s="8">
        <f>SUBTOTAL(103,Table2[Unique])</f>
        <v>346</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35" activePane="bottomLeft" state="frozen"/>
      <selection pane="bottomLeft" activeCell="B60" sqref="B60"/>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594</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596</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595</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207</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207</v>
      </c>
      <c r="C5" s="56" t="s">
        <v>182</v>
      </c>
      <c r="D5" s="44" t="s">
        <v>182</v>
      </c>
      <c r="E5" s="44" t="s">
        <v>595</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580</v>
      </c>
      <c r="C6" s="145" t="s">
        <v>569</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580</v>
      </c>
      <c r="C7" s="145" t="s">
        <v>569</v>
      </c>
      <c r="D7" s="146" t="s">
        <v>569</v>
      </c>
      <c r="E7" s="146" t="s">
        <v>595</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595</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593</v>
      </c>
      <c r="C10" s="142" t="s">
        <v>574</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593</v>
      </c>
      <c r="C11" s="142" t="s">
        <v>574</v>
      </c>
      <c r="D11" s="142" t="s">
        <v>574</v>
      </c>
      <c r="E11" s="142" t="s">
        <v>595</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205</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205</v>
      </c>
      <c r="C13" s="43" t="s">
        <v>145</v>
      </c>
      <c r="D13" s="44" t="s">
        <v>145</v>
      </c>
      <c r="E13" s="44" t="s">
        <v>595</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206</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206</v>
      </c>
      <c r="C15" s="43" t="s">
        <v>136</v>
      </c>
      <c r="D15" s="44" t="s">
        <v>136</v>
      </c>
      <c r="E15" s="44" t="s">
        <v>595</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591</v>
      </c>
      <c r="C16" s="155" t="s">
        <v>592</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591</v>
      </c>
      <c r="C17" s="155" t="s">
        <v>592</v>
      </c>
      <c r="D17" s="155" t="s">
        <v>592</v>
      </c>
      <c r="E17" s="152" t="s">
        <v>595</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5"/>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rg:None</v>
      </c>
    </row>
    <row r="19" spans="1:22" x14ac:dyDescent="0.3">
      <c r="A19" s="42" t="s">
        <v>77</v>
      </c>
      <c r="B19" s="42" t="s">
        <v>95</v>
      </c>
      <c r="C19" s="43" t="s">
        <v>61</v>
      </c>
      <c r="D19" s="44" t="s">
        <v>61</v>
      </c>
      <c r="E19" s="44" t="s">
        <v>595</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15"/>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rg:None</v>
      </c>
    </row>
    <row r="21" spans="1:22" x14ac:dyDescent="0.3">
      <c r="A21" s="32" t="s">
        <v>77</v>
      </c>
      <c r="B21" s="32" t="s">
        <v>96</v>
      </c>
      <c r="C21" s="33" t="s">
        <v>57</v>
      </c>
      <c r="D21" s="34" t="s">
        <v>57</v>
      </c>
      <c r="E21" s="34" t="s">
        <v>595</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461</v>
      </c>
      <c r="E22" s="87"/>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rg:None</v>
      </c>
    </row>
    <row r="23" spans="1:22" x14ac:dyDescent="0.3">
      <c r="A23" s="32" t="s">
        <v>77</v>
      </c>
      <c r="B23" s="32" t="s">
        <v>97</v>
      </c>
      <c r="C23" s="33" t="s">
        <v>53</v>
      </c>
      <c r="D23" s="86" t="s">
        <v>53</v>
      </c>
      <c r="E23" s="86" t="s">
        <v>595</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15"/>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rg:None</v>
      </c>
    </row>
    <row r="25" spans="1:22" x14ac:dyDescent="0.3">
      <c r="A25" s="7" t="s">
        <v>75</v>
      </c>
      <c r="B25" s="10" t="s">
        <v>98</v>
      </c>
      <c r="C25" s="3" t="s">
        <v>0</v>
      </c>
      <c r="D25" s="15" t="s">
        <v>107</v>
      </c>
      <c r="E25" s="15"/>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rg:None</v>
      </c>
    </row>
    <row r="26" spans="1:22" x14ac:dyDescent="0.3">
      <c r="A26" s="32" t="s">
        <v>77</v>
      </c>
      <c r="B26" s="32" t="s">
        <v>98</v>
      </c>
      <c r="C26" s="33" t="s">
        <v>0</v>
      </c>
      <c r="D26" s="34" t="s">
        <v>0</v>
      </c>
      <c r="E26" s="15" t="s">
        <v>595</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595</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595</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595</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595</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595</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595</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208</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208</v>
      </c>
      <c r="C38" s="43" t="s">
        <v>151</v>
      </c>
      <c r="D38" s="44" t="s">
        <v>151</v>
      </c>
      <c r="E38" s="44" t="s">
        <v>595</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595</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213</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213</v>
      </c>
      <c r="C42" s="37" t="s">
        <v>109</v>
      </c>
      <c r="D42" s="36" t="s">
        <v>109</v>
      </c>
      <c r="E42" s="45" t="s">
        <v>595</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595</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35" t="s">
        <v>214</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35" t="s">
        <v>214</v>
      </c>
      <c r="C46" s="37" t="s">
        <v>158</v>
      </c>
      <c r="D46" s="36" t="s">
        <v>158</v>
      </c>
      <c r="E46" s="45" t="s">
        <v>595</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504</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504</v>
      </c>
      <c r="C48" t="s">
        <v>59</v>
      </c>
      <c r="D48" s="36" t="s">
        <v>59</v>
      </c>
      <c r="E48" s="44" t="s">
        <v>595</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514</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514</v>
      </c>
      <c r="C50" t="s">
        <v>160</v>
      </c>
      <c r="D50" s="36" t="s">
        <v>160</v>
      </c>
      <c r="E50" s="44" t="s">
        <v>595</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505</v>
      </c>
      <c r="C51" t="s">
        <v>199</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505</v>
      </c>
      <c r="C52" t="s">
        <v>199</v>
      </c>
      <c r="D52" s="36" t="s">
        <v>199</v>
      </c>
      <c r="E52" s="44" t="s">
        <v>595</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506</v>
      </c>
      <c r="C53" t="s">
        <v>476</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506</v>
      </c>
      <c r="C54" t="s">
        <v>476</v>
      </c>
      <c r="D54" s="36" t="s">
        <v>476</v>
      </c>
      <c r="E54" s="45" t="s">
        <v>595</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507</v>
      </c>
      <c r="C55" t="s">
        <v>463</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507</v>
      </c>
      <c r="C56" t="s">
        <v>463</v>
      </c>
      <c r="D56" s="36" t="s">
        <v>463</v>
      </c>
      <c r="E56" s="45" t="s">
        <v>595</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508</v>
      </c>
      <c r="C57" t="s">
        <v>428</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508</v>
      </c>
      <c r="C58" t="s">
        <v>428</v>
      </c>
      <c r="D58" s="36" t="s">
        <v>428</v>
      </c>
      <c r="E58" s="45" t="s">
        <v>595</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509</v>
      </c>
      <c r="C59" t="s">
        <v>446</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509</v>
      </c>
      <c r="C60" t="s">
        <v>446</v>
      </c>
      <c r="D60" s="36" t="s">
        <v>446</v>
      </c>
      <c r="E60" s="44" t="s">
        <v>595</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510</v>
      </c>
      <c r="C61" t="s">
        <v>429</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510</v>
      </c>
      <c r="C62" t="s">
        <v>429</v>
      </c>
      <c r="D62" s="36" t="s">
        <v>429</v>
      </c>
      <c r="E62" s="44" t="s">
        <v>595</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595</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511</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511</v>
      </c>
      <c r="C66" t="s">
        <v>147</v>
      </c>
      <c r="D66" s="36" t="s">
        <v>147</v>
      </c>
      <c r="E66" s="45" t="s">
        <v>595</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512</v>
      </c>
      <c r="C67" t="s">
        <v>202</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512</v>
      </c>
      <c r="C68" t="s">
        <v>202</v>
      </c>
      <c r="D68" s="36" t="s">
        <v>202</v>
      </c>
      <c r="E68" s="45" t="s">
        <v>595</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513</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513</v>
      </c>
      <c r="C70" t="s">
        <v>22</v>
      </c>
      <c r="D70" s="36" t="s">
        <v>22</v>
      </c>
      <c r="E70" s="45" t="s">
        <v>595</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5"/>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rg:None</v>
      </c>
    </row>
    <row r="72" spans="1:22" x14ac:dyDescent="0.3">
      <c r="A72" s="35" t="s">
        <v>77</v>
      </c>
      <c r="B72" s="35" t="s">
        <v>99</v>
      </c>
      <c r="C72" t="s">
        <v>50</v>
      </c>
      <c r="D72" s="36" t="s">
        <v>50</v>
      </c>
      <c r="E72" s="44" t="s">
        <v>595</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2017-03-22T21:26:43Z</dcterms:modified>
</cp:coreProperties>
</file>