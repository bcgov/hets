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defs.csv!$A$1:$Y$298</definedName>
    <definedName name="_xlnm._FilterDatabase" localSheetId="1" hidden="1">paths.csv!$A$1:$F$46</definedName>
  </definedNames>
  <calcPr calcId="171027"/>
</workbook>
</file>

<file path=xl/calcChain.xml><?xml version="1.0" encoding="utf-8"?>
<calcChain xmlns="http://schemas.openxmlformats.org/spreadsheetml/2006/main">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27" i="27"/>
  <c r="X176"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243" i="27"/>
  <c r="X82" i="27"/>
  <c r="X6" i="27"/>
  <c r="X250" i="27"/>
  <c r="X236" i="27"/>
  <c r="X31" i="27"/>
  <c r="X254" i="27"/>
  <c r="X228" i="27"/>
  <c r="X67" i="27"/>
  <c r="X253" i="27"/>
  <c r="X167" i="27"/>
  <c r="X68"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V286" i="27"/>
  <c r="I286" i="27"/>
  <c r="J286" i="27"/>
  <c r="K286" i="27"/>
  <c r="L286" i="27"/>
  <c r="M286" i="27"/>
  <c r="N286" i="27"/>
  <c r="O286" i="27"/>
  <c r="P286" i="27"/>
  <c r="Q286" i="27"/>
  <c r="R286" i="27"/>
  <c r="S286" i="27"/>
  <c r="T286" i="27"/>
  <c r="U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X2" i="27"/>
  <c r="X224" i="27"/>
  <c r="X173" i="27"/>
  <c r="X143" i="27"/>
  <c r="X291" i="27"/>
  <c r="X33" i="27"/>
  <c r="X98" i="27"/>
  <c r="X162" i="27"/>
  <c r="X227" i="27"/>
  <c r="X258" i="27"/>
  <c r="X75" i="27"/>
  <c r="X135" i="27"/>
  <c r="X63" i="27"/>
  <c r="X178" i="27"/>
  <c r="X293" i="27"/>
  <c r="X65" i="27"/>
  <c r="X179" i="27"/>
  <c r="X210" i="27"/>
  <c r="X120" i="27"/>
  <c r="X77" i="27"/>
  <c r="X83" i="27"/>
  <c r="X278" i="27"/>
  <c r="X288" i="27"/>
  <c r="X180" i="27"/>
  <c r="X71" i="27"/>
  <c r="X37" i="27"/>
  <c r="X87" i="27"/>
  <c r="X150" i="27"/>
  <c r="X245" i="27"/>
  <c r="X270" i="27"/>
  <c r="X91" i="27"/>
  <c r="X9" i="27"/>
  <c r="X151" i="27"/>
  <c r="X235" i="27"/>
  <c r="X93" i="27"/>
  <c r="X206" i="27"/>
  <c r="X295" i="27"/>
  <c r="X128" i="27"/>
  <c r="X105" i="27"/>
  <c r="X22" i="27"/>
  <c r="X269" i="27"/>
  <c r="X276" i="27"/>
  <c r="X142" i="27"/>
  <c r="X62" i="27"/>
  <c r="X172" i="27"/>
  <c r="X211" i="27"/>
  <c r="X156" i="27"/>
  <c r="X193" i="27"/>
  <c r="X78" i="27"/>
  <c r="X138" i="27"/>
  <c r="X192" i="27"/>
  <c r="X273" i="27"/>
  <c r="X29" i="27"/>
  <c r="X95" i="27"/>
  <c r="X5" i="27"/>
  <c r="X132" i="27"/>
  <c r="X282" i="27"/>
  <c r="X49" i="27"/>
  <c r="X157" i="27"/>
  <c r="X287" i="27"/>
  <c r="X52" i="27"/>
  <c r="X129" i="27"/>
  <c r="X239" i="27"/>
  <c r="X181" i="27"/>
  <c r="X182" i="27"/>
  <c r="X174" i="27"/>
  <c r="X94" i="27"/>
  <c r="X285" i="27"/>
  <c r="X8" i="27"/>
  <c r="X280" i="27"/>
  <c r="X21" i="27"/>
  <c r="X290" i="27"/>
  <c r="X20" i="27"/>
  <c r="X100" i="27"/>
  <c r="X133" i="27"/>
  <c r="X177" i="27"/>
  <c r="X42" i="27"/>
  <c r="X283" i="27"/>
  <c r="X274" i="27"/>
  <c r="X255" i="27"/>
  <c r="X231" i="27"/>
  <c r="X53" i="27"/>
  <c r="X197" i="27"/>
  <c r="X46" i="27"/>
  <c r="X114" i="27"/>
  <c r="X284" i="27"/>
  <c r="X12" i="27"/>
  <c r="X88" i="27"/>
  <c r="X4" i="27"/>
  <c r="X85" i="27"/>
  <c r="X199" i="27"/>
  <c r="X272" i="27"/>
  <c r="X86" i="27"/>
  <c r="X201" i="27"/>
  <c r="X275" i="27"/>
  <c r="X148" i="27"/>
  <c r="X198" i="27"/>
  <c r="X164" i="27"/>
  <c r="X166" i="27"/>
  <c r="X154" i="27"/>
  <c r="X229" i="27"/>
  <c r="X115" i="27"/>
  <c r="X50" i="27"/>
  <c r="X102" i="27"/>
  <c r="X294" i="27"/>
  <c r="X16" i="27"/>
  <c r="X107" i="27"/>
  <c r="X40" i="27"/>
  <c r="X183" i="27"/>
  <c r="X251" i="27"/>
  <c r="X125" i="27"/>
  <c r="X271" i="27"/>
  <c r="X44" i="27"/>
  <c r="X45" i="27"/>
  <c r="X170" i="27"/>
  <c r="X113" i="27"/>
  <c r="X121" i="27"/>
  <c r="X214" i="27"/>
  <c r="X168" i="27"/>
  <c r="X99" i="27"/>
  <c r="X297" i="27"/>
  <c r="X30" i="27"/>
  <c r="X279" i="27"/>
  <c r="X97" i="27"/>
  <c r="X90" i="27"/>
  <c r="X155" i="27"/>
  <c r="X208" i="27"/>
  <c r="X222" i="27"/>
  <c r="X43" i="27"/>
  <c r="X111" i="27"/>
  <c r="X48" i="27"/>
  <c r="X259" i="27"/>
  <c r="X73" i="27"/>
  <c r="X171" i="27"/>
  <c r="X262" i="27"/>
  <c r="X76" i="27"/>
  <c r="X277" i="27"/>
  <c r="X289" i="27"/>
  <c r="X263" i="27"/>
  <c r="X266" i="27"/>
  <c r="X286" i="27"/>
  <c r="X126" i="27"/>
  <c r="X56" i="27"/>
  <c r="X141" i="27"/>
  <c r="X112" i="27"/>
  <c r="X160" i="27"/>
  <c r="X247" i="27"/>
  <c r="X175" i="27"/>
  <c r="X249" i="27"/>
  <c r="X13" i="27"/>
  <c r="X149" i="27"/>
  <c r="X84" i="27"/>
  <c r="X264" i="27"/>
  <c r="X131" i="27"/>
  <c r="X57" i="27"/>
  <c r="X261" i="27"/>
  <c r="X226" i="27"/>
  <c r="X7" i="27"/>
  <c r="X61" i="27"/>
  <c r="X130" i="27"/>
  <c r="X184" i="27"/>
  <c r="X238" i="27"/>
  <c r="X38" i="27"/>
  <c r="X103" i="27"/>
  <c r="X24" i="27"/>
  <c r="X116" i="27"/>
  <c r="X257" i="27"/>
  <c r="X25" i="27"/>
  <c r="X117" i="27"/>
  <c r="X260" i="27"/>
  <c r="X39" i="27"/>
  <c r="X186" i="27"/>
  <c r="X220" i="27"/>
  <c r="X202" i="27"/>
  <c r="X203" i="27"/>
  <c r="X233" i="27"/>
  <c r="X296" i="27"/>
  <c r="X11" i="27"/>
  <c r="X64" i="27"/>
  <c r="X118" i="27"/>
  <c r="X188" i="27"/>
  <c r="X256" i="27"/>
  <c r="X55" i="27"/>
  <c r="X123" i="27"/>
  <c r="X92" i="27"/>
  <c r="X205" i="27"/>
  <c r="X292" i="27"/>
  <c r="X152" i="27"/>
  <c r="X241" i="27"/>
  <c r="X66" i="27"/>
  <c r="X207" i="27"/>
  <c r="X209" i="27"/>
  <c r="X58" i="27"/>
  <c r="X217" i="27"/>
  <c r="X17" i="27"/>
  <c r="X18" i="27"/>
  <c r="X81" i="27"/>
  <c r="X159" i="27"/>
  <c r="X15" i="27"/>
  <c r="X106" i="27"/>
  <c r="X165" i="27"/>
  <c r="X265" i="27"/>
  <c r="X281" i="27"/>
  <c r="X59" i="27"/>
  <c r="X127" i="27"/>
  <c r="X72" i="27"/>
  <c r="X189" i="27"/>
  <c r="X230" i="27"/>
  <c r="X101" i="27"/>
  <c r="X190" i="27"/>
  <c r="X237" i="27"/>
  <c r="X104" i="27"/>
  <c r="X137" i="27"/>
  <c r="X32" i="27"/>
  <c r="X212" i="27"/>
  <c r="X213" i="27"/>
  <c r="X19" i="27"/>
  <c r="X158" i="27"/>
  <c r="X47" i="27"/>
  <c r="X140" i="27"/>
  <c r="X195" i="27"/>
  <c r="X242" i="27"/>
  <c r="X216" i="27"/>
  <c r="X3" i="27"/>
  <c r="X215" i="27"/>
  <c r="X144" i="27"/>
  <c r="X196" i="27"/>
  <c r="X187" i="27"/>
  <c r="X108" i="27"/>
  <c r="X109" i="27"/>
  <c r="X60" i="27"/>
  <c r="X191" i="27"/>
  <c r="X23" i="27"/>
  <c r="X70" i="27"/>
  <c r="X146" i="27"/>
  <c r="X200" i="27"/>
  <c r="X298" i="27"/>
  <c r="X51" i="27"/>
  <c r="X119" i="27"/>
  <c r="X35" i="27"/>
  <c r="X145" i="27"/>
  <c r="X223" i="27"/>
  <c r="X36" i="27"/>
  <c r="X147" i="27"/>
  <c r="X225" i="27"/>
  <c r="X89" i="27"/>
  <c r="X218" i="27"/>
  <c r="X267" i="27"/>
  <c r="X232" i="27"/>
  <c r="X234" i="27"/>
  <c r="X28" i="27"/>
  <c r="X34" i="27"/>
  <c r="X26" i="27"/>
  <c r="X74" i="27"/>
  <c r="X134" i="27"/>
  <c r="X204" i="27"/>
  <c r="X248" i="27"/>
  <c r="X79" i="27"/>
  <c r="X139" i="27"/>
  <c r="X124" i="27"/>
  <c r="X268" i="27"/>
  <c r="X41" i="27"/>
  <c r="X185" i="27"/>
  <c r="X252" i="27"/>
  <c r="X96" i="27"/>
  <c r="X14" i="27"/>
  <c r="X246" i="27"/>
  <c r="X219" i="27"/>
  <c r="X221" i="27"/>
  <c r="X110" i="27"/>
  <c r="X240" i="27"/>
  <c r="X161" i="27"/>
  <c r="X163" i="27"/>
  <c r="X169" i="27"/>
  <c r="X244" i="27"/>
  <c r="X54" i="27"/>
  <c r="X122" i="27"/>
  <c r="X80" i="27"/>
  <c r="X10" i="27"/>
  <c r="X136" i="27"/>
  <c r="X69" i="27"/>
  <c r="X19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<sst xmlns="http://schemas.openxmlformats.org/spreadsheetml/2006/main" count="1689" uniqueCount="492">
  <si>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</si>
  <si>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</si>
  <si>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</si>
  <si>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</si>
  <si>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</si>
  <si>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</si>
  <si>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</si>
  <si>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</si>
  <si>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</si>
  <si>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</si>
  <si>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</si>
  <si>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</si>
  <si>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</si>
  <si>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</si>
  <si>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</si>
  <si>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</si>
  <si>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</si>
  <si>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</si>
  <si>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</si>
  <si>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</si>
  <si>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</si>
  <si>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</si>
  <si>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</si>
  <si>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</si>
  <si>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</si>
  <si>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</si>
  <si>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</si>
  <si>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</si>
  <si>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</si>
  <si>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</si>
  <si>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</si>
  <si>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</si>
  <si>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</si>
  <si>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</si>
  <si>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</si>
  <si>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</si>
  <si>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</si>
  <si>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</si>
  <si>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</si>
  <si>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</si>
  <si>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</si>
  <si>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</si>
  <si>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</si>
  <si>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</si>
  <si>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</si>
  <si>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</si>
  <si>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</si>
  <si>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</si>
  <si>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</si>
  <si>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</si>
  <si>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</si>
  <si>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</si>
  <si>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</si>
  <si>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</si>
  <si>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</si>
  <si>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</si>
  <si>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</si>
  <si>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</si>
  <si>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</si>
  <si>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</si>
  <si>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</si>
  <si>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</si>
  <si>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</si>
  <si>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</si>
  <si>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</si>
  <si>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</si>
  <si>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</si>
  <si>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</si>
  <si>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</si>
  <si>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</si>
  <si>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</si>
  <si>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</si>
  <si>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</si>
  <si>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</si>
  <si>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</si>
  <si>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</si>
  <si>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</si>
  <si>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</si>
  <si>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</si>
  <si>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</si>
  <si>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</si>
  <si>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</si>
  <si>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</si>
  <si>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</si>
  <si>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</si>
  <si>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</si>
  <si>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</si>
  <si>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</si>
  <si>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</si>
  <si>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</si>
  <si>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</si>
  <si>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</si>
  <si>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</si>
  <si>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</si>
  <si>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</si>
  <si>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</si>
  <si>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</si>
  <si>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</si>
  <si>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</si>
  <si>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</si>
  <si>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</si>
  <si>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</si>
  <si>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</si>
  <si>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</si>
  <si>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</si>
  <si>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</si>
  <si>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</si>
  <si>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</si>
  <si>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</si>
  <si>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</si>
  <si>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</si>
  <si>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</si>
  <si>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</si>
  <si>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</si>
  <si>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</si>
  <si>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</si>
  <si>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</si>
  <si>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</si>
  <si>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</si>
  <si>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</si>
  <si>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</si>
  <si>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</si>
  <si>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</si>
  <si>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</si>
  <si>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</si>
  <si>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</si>
  <si>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</si>
  <si>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</si>
  <si>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</si>
  <si>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</si>
  <si>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</si>
  <si>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</si>
  <si>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</si>
  <si>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</si>
  <si>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</si>
  <si>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</si>
  <si>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</si>
  <si>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</si>
  <si>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</si>
  <si>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</si>
  <si>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</si>
  <si>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</si>
  <si>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</si>
  <si>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</si>
  <si>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</si>
  <si>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</si>
  <si>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</si>
  <si>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</si>
  <si>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</si>
  <si>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</si>
  <si>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</si>
  <si>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</si>
  <si>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</si>
  <si>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</si>
  <si>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</si>
  <si>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</si>
  <si>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</si>
  <si>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</si>
  <si>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</si>
  <si>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</si>
  <si>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</si>
  <si>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</si>
  <si>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</si>
  <si>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</si>
  <si>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</si>
  <si>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</si>
  <si>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</si>
  <si>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</si>
  <si>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</si>
  <si>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</si>
  <si>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</si>
  <si>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</si>
  <si>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</si>
  <si>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</si>
  <si>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</si>
  <si>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</si>
  <si>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</si>
  <si>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</si>
  <si>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</si>
  <si>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</si>
  <si>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</si>
  <si>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</si>
  <si>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</si>
  <si>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</si>
  <si>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</si>
  <si>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</si>
  <si>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</si>
  <si>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</si>
  <si>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</si>
  <si>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</si>
  <si>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</si>
  <si>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</si>
  <si>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</si>
  <si>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</si>
  <si>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</si>
  <si>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</si>
  <si>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</si>
  <si>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</si>
  <si>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</si>
  <si>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</si>
  <si>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</si>
  <si>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</si>
  <si>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</si>
  <si>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</si>
  <si>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</si>
  <si>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</si>
  <si>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</si>
  <si>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</si>
  <si>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</si>
  <si>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</si>
  <si>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</si>
  <si>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</si>
  <si>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</si>
  <si>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</si>
  <si>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</si>
  <si>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</si>
  <si>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</si>
  <si>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</si>
  <si>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</si>
  <si>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</si>
  <si>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</si>
  <si>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</si>
  <si>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</si>
  <si>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blocks</t>
  </si>
  <si>
    <t>request</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</si>
  <si>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</si>
  <si>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</si>
  <si>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</si>
  <si>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</si>
  <si>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</si>
  <si>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</si>
  <si>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</si>
  <si>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</si>
  <si>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</si>
  <si>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</si>
  <si>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</si>
  <si>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</si>
  <si>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</si>
  <si>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</si>
  <si>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</si>
  <si>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</si>
  <si>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</si>
  <si>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</si>
  <si>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</si>
  <si>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</si>
  <si>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</si>
  <si>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</si>
  <si>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</si>
  <si>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</si>
  <si>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</si>
  <si>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</si>
  <si>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</si>
  <si>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TO BE VERIFIED - The Provincial charge code for the equipment hiring related to this project. This will be the same across multiple service areas that provide equipment for the same Project.</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</si>
  <si>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</si>
  <si>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</si>
  <si>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</si>
  <si>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</si>
  <si>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</si>
  <si>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</si>
  <si>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</si>
  <si>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</si>
  <si>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</si>
  <si>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</si>
  <si>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</si>
  <si>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</si>
  <si>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</si>
  <si>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</si>
  <si>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</si>
  <si>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</si>
  <si>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</si>
  <si>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</si>
  <si>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</si>
  <si>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</si>
  <si>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</si>
  <si>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</si>
  <si>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</si>
  <si>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</si>
  <si>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</si>
  <si>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</si>
  <si>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</si>
  <si>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</si>
  <si>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</si>
  <si>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</si>
  <si>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</si>
  <si>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</si>
  <si>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</si>
  <si>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</si>
  <si>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</si>
  <si>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</si>
  <si>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</si>
  <si>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</si>
  <si>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</si>
  <si>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</si>
  <si>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</si>
  <si>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</si>
  <si>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</si>
  <si>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</si>
  <si>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</si>
  <si>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</si>
  <si>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</si>
  <si>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</si>
  <si>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</si>
  <si>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</si>
  <si>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</si>
  <si>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</si>
  <si>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</si>
  <si>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</si>
  <si>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</si>
  <si>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</si>
  <si>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</si>
  <si>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</si>
  <si>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</si>
  <si>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</si>
  <si>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</si>
  <si>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</si>
  <si>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</si>
  <si>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</si>
  <si>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</si>
  <si>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</si>
  <si>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</si>
  <si>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</si>
  <si>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</si>
  <si>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</si>
  <si>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</si>
  <si>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</si>
  <si>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</si>
  <si>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</si>
  <si>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</si>
  <si>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</si>
  <si>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</si>
  <si>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</si>
  <si>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</si>
  <si>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</si>
  <si>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</si>
  <si>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</si>
  <si>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</si>
  <si>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</si>
  <si>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</si>
  <si>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</si>
  <si>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</si>
  <si>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</si>
  <si>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</si>
  <si>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</si>
  <si>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</si>
  <si>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</si>
  <si>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</si>
  <si>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</si>
  <si>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</si>
  <si>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</si>
  <si>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</si>
  <si>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</si>
  <si>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</si>
  <si>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</si>
  <si>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</si>
  <si>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</si>
  <si>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</si>
  <si>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</si>
  <si>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</si>
  <si>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</si>
  <si>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</si>
  <si>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</si>
  <si>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</si>
  <si>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</si>
  <si>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</si>
  <si>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</si>
  <si>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</si>
  <si>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</si>
  <si>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</si>
  <si>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</si>
  <si>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</si>
  <si>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</si>
  <si>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</si>
  <si>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</si>
  <si>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</si>
  <si>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</si>
  <si>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</si>
  <si>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</si>
  <si>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</si>
  <si>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</si>
  <si>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</si>
  <si>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</si>
  <si>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</si>
  <si>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</si>
  <si>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</si>
  <si>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</si>
  <si>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</si>
  <si>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</si>
  <si>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</si>
  <si>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</si>
  <si>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</si>
  <si>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</si>
  <si>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</si>
  <si>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</si>
  <si>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</si>
  <si>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</si>
  <si>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</si>
  <si>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</si>
  <si>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</si>
  <si>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</si>
  <si>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</si>
  <si>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</si>
  <si>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</si>
  <si>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</si>
  <si>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</si>
  <si>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</si>
  <si>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</si>
  <si>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</si>
  <si>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</si>
  <si>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</si>
  <si>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</si>
  <si>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</si>
  <si>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</si>
  <si>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</si>
  <si>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</si>
  <si>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</si>
  <si>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</si>
  <si>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</si>
  <si>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</si>
  <si>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</si>
  <si>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</si>
  <si>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</si>
  <si>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</si>
  <si>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</si>
  <si>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</si>
  <si>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</si>
  <si>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</si>
  <si>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</si>
  <si>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</si>
  <si>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</si>
  <si>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</si>
  <si>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</si>
  <si>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</si>
  <si>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</si>
  <si>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</si>
  <si>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</si>
  <si>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</si>
  <si>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</si>
  <si>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</si>
  <si>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</si>
  <si>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</si>
  <si>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</si>
  <si>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</si>
  <si>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</si>
  <si>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</si>
  <si>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</si>
  <si>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</si>
  <si>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</si>
  <si>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RequestRotationList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</si>
  <si>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</si>
  <si>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</si>
  <si>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</si>
  <si>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</si>
  <si>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</si>
  <si>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</si>
  <si>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</si>
  <si>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</si>
  <si>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</si>
  <si>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</si>
  <si>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</si>
  <si>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</si>
  <si>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</si>
  <si>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</si>
  <si>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</si>
  <si>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</si>
  <si>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</si>
  <si>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</si>
  <si>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</si>
  <si>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</si>
  <si>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</si>
  <si>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</si>
  <si>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</si>
  <si>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</si>
  <si>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</si>
  <si>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</si>
  <si>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</si>
  <si>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</si>
  <si>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</si>
  <si>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</si>
  <si>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</si>
  <si>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</si>
  <si>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</si>
  <si>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</si>
  <si>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</si>
  <si>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</si>
  <si>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</si>
  <si>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</si>
  <si>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</si>
  <si>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</si>
  <si>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</si>
  <si>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</si>
  <si>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CHECK WITH BUSINESS - IS THIS NEEDED -A coded reason for why an owner record has been moved to Archived.</t>
  </si>
  <si>
    <t>requestRotationList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</si>
</sst>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7" fillId="0" borderId="0"/>
  </cellStyleXfs>
  <cellXfs count="97">
    <xf numFmtId="0" fontId="0" fillId="0" borderId="0" xfId="0"/>
    <xf numFmtId="0" fontId="31" fillId="0" borderId="0" xfId="719" applyFont="1" applyAlignment="1">
      <alignment vertical="top"/>
    </xf>
    <xf numFmtId="0" fontId="31" fillId="0" borderId="0" xfId="719" applyFont="1" applyAlignment="1">
      <alignment vertical="top" wrapText="1"/>
    </xf>
    <xf numFmtId="0" fontId="27" fillId="0" borderId="0" xfId="719"/>
    <xf numFmtId="0" fontId="27" fillId="0" borderId="0" xfId="719" applyNumberFormat="1" applyAlignment="1">
      <alignment vertical="top"/>
    </xf>
    <xf numFmtId="0" fontId="27" fillId="0" borderId="0" xfId="719" applyAlignment="1">
      <alignment vertical="top"/>
    </xf>
    <xf numFmtId="0" fontId="27" fillId="0" borderId="0" xfId="719" applyAlignment="1">
      <alignment vertical="top" wrapText="1"/>
    </xf>
    <xf numFmtId="0" fontId="30" fillId="0" borderId="0" xfId="0" applyFont="1"/>
    <xf numFmtId="0" fontId="26" fillId="0" borderId="0" xfId="719" applyFont="1"/>
    <xf numFmtId="0" fontId="0" fillId="0" borderId="0" xfId="0" applyAlignment="1">
      <alignment vertical="top"/>
    </xf>
    <xf numFmtId="0" fontId="31" fillId="0" borderId="0" xfId="0" applyFont="1" applyAlignment="1">
      <alignment vertical="top"/>
    </xf>
    <xf numFmtId="0" fontId="25" fillId="0" borderId="0" xfId="719" applyFont="1"/>
    <xf numFmtId="0" fontId="25" fillId="0" borderId="0" xfId="719" applyFont="1" applyAlignment="1">
      <alignment vertical="top"/>
    </xf>
    <xf numFmtId="0" fontId="27" fillId="0" borderId="0" xfId="719" applyFill="1" applyAlignment="1">
      <alignment vertical="top" wrapText="1"/>
    </xf>
    <xf numFmtId="0" fontId="27" fillId="0" borderId="0" xfId="719" applyNumberFormat="1" applyFill="1"/>
    <xf numFmtId="0" fontId="0" fillId="0" borderId="0" xfId="0" applyNumberFormat="1" applyAlignment="1">
      <alignment vertical="top"/>
    </xf>
    <xf numFmtId="0" fontId="24" fillId="0" borderId="0" xfId="719" applyFont="1"/>
    <xf numFmtId="0" fontId="24" fillId="0" borderId="0" xfId="719" applyFont="1" applyFill="1"/>
    <xf numFmtId="0" fontId="23" fillId="0" borderId="0" xfId="719" applyFont="1"/>
    <xf numFmtId="0" fontId="27" fillId="0" borderId="0" xfId="719" applyFill="1"/>
    <xf numFmtId="0" fontId="27" fillId="0" borderId="0" xfId="719" applyNumberFormat="1" applyFill="1" applyAlignment="1">
      <alignment vertical="top"/>
    </xf>
    <xf numFmtId="0" fontId="22" fillId="0" borderId="0" xfId="719" applyFont="1" applyFill="1" applyAlignment="1">
      <alignment vertical="top"/>
    </xf>
    <xf numFmtId="0" fontId="22" fillId="0" borderId="0" xfId="719" applyFont="1"/>
    <xf numFmtId="0" fontId="21" fillId="0" borderId="0" xfId="719" applyFont="1"/>
    <xf numFmtId="0" fontId="21" fillId="0" borderId="0" xfId="719" applyFont="1" applyFill="1" applyAlignment="1">
      <alignment vertical="top"/>
    </xf>
    <xf numFmtId="0" fontId="21" fillId="0" borderId="0" xfId="719" applyFont="1" applyFill="1" applyAlignment="1">
      <alignment vertical="top" wrapText="1"/>
    </xf>
    <xf numFmtId="0" fontId="20" fillId="0" borderId="0" xfId="719" applyFont="1" applyFill="1" applyAlignment="1">
      <alignment vertical="top"/>
    </xf>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NumberFormat="1" applyFont="1" applyFill="1" applyAlignment="1">
      <alignment vertical="top"/>
    </xf>
    <xf numFmtId="0" fontId="19" fillId="0" borderId="0" xfId="719" applyFont="1"/>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Font="1"/>
    <xf numFmtId="0" fontId="17" fillId="0" borderId="0" xfId="719" applyFont="1" applyFill="1" applyAlignment="1">
      <alignment vertical="top"/>
    </xf>
    <xf numFmtId="0" fontId="17" fillId="0" borderId="0" xfId="719" applyFont="1" applyAlignment="1">
      <alignment vertical="top"/>
    </xf>
    <xf numFmtId="0" fontId="17" fillId="0" borderId="0" xfId="719" applyFont="1" applyFill="1"/>
    <xf numFmtId="0" fontId="17" fillId="0" borderId="0" xfId="719" applyFont="1"/>
    <xf numFmtId="0" fontId="16" fillId="0" borderId="0" xfId="719" applyFont="1" applyFill="1" applyAlignment="1">
      <alignment vertical="top"/>
    </xf>
    <xf numFmtId="0" fontId="14" fillId="0" borderId="0" xfId="719" applyFont="1"/>
    <xf numFmtId="0" fontId="31" fillId="0" borderId="0" xfId="0" applyFont="1"/>
    <xf numFmtId="0" fontId="13" fillId="0" borderId="0" xfId="719" applyFont="1" applyAlignment="1">
      <alignment vertical="top"/>
    </xf>
    <xf numFmtId="0" fontId="13" fillId="0" borderId="0" xfId="719" applyFont="1" applyFill="1"/>
    <xf numFmtId="0" fontId="13" fillId="0" borderId="0" xfId="719" applyNumberFormat="1" applyFont="1" applyAlignment="1">
      <alignment vertical="top"/>
    </xf>
    <xf numFmtId="0" fontId="12" fillId="0" borderId="0" xfId="719" applyFont="1"/>
    <xf numFmtId="0" fontId="11" fillId="0" borderId="0" xfId="719" applyFont="1" applyAlignment="1">
      <alignment vertical="top"/>
    </xf>
    <xf numFmtId="0" fontId="11" fillId="0" borderId="0" xfId="719" applyNumberFormat="1" applyFont="1" applyAlignment="1">
      <alignment vertical="top"/>
    </xf>
    <xf numFmtId="0" fontId="11" fillId="0" borderId="0" xfId="719" applyFont="1" applyFill="1"/>
    <xf numFmtId="0" fontId="10" fillId="0" borderId="0" xfId="719" applyFont="1"/>
    <xf numFmtId="0" fontId="0" fillId="0" borderId="0" xfId="0" applyNumberFormat="1"/>
    <xf numFmtId="0" fontId="10" fillId="0" borderId="0" xfId="719" applyFont="1" applyFill="1" applyAlignment="1">
      <alignment vertical="top"/>
    </xf>
    <xf numFmtId="0" fontId="10" fillId="0" borderId="0" xfId="719" applyFont="1" applyFill="1" applyAlignment="1">
      <alignment vertical="top" wrapText="1"/>
    </xf>
    <xf numFmtId="0" fontId="9" fillId="0" borderId="0" xfId="719" applyFont="1"/>
    <xf numFmtId="0" fontId="9" fillId="0" borderId="0" xfId="719" applyFont="1" applyFill="1" applyAlignment="1">
      <alignment vertical="top"/>
    </xf>
    <xf numFmtId="0" fontId="8" fillId="0" borderId="0" xfId="719" applyFont="1"/>
    <xf numFmtId="0" fontId="7" fillId="0" borderId="0" xfId="719" applyFont="1"/>
    <xf numFmtId="0" fontId="7" fillId="0" borderId="0" xfId="719" applyNumberFormat="1" applyFont="1" applyAlignment="1">
      <alignment vertical="top"/>
    </xf>
    <xf numFmtId="0" fontId="5" fillId="0" borderId="0" xfId="719" applyFont="1" applyAlignment="1">
      <alignment vertical="top"/>
    </xf>
    <xf numFmtId="0" fontId="5" fillId="0" borderId="0" xfId="719" applyFont="1" applyFill="1"/>
    <xf numFmtId="0" fontId="5" fillId="0" borderId="0" xfId="719" applyNumberFormat="1" applyFont="1" applyAlignment="1">
      <alignment vertical="top"/>
    </xf>
    <xf numFmtId="0" fontId="5" fillId="0" borderId="0" xfId="719" applyFont="1"/>
    <xf numFmtId="49" fontId="31" fillId="0" borderId="0" xfId="719" applyNumberFormat="1" applyFont="1" applyAlignment="1">
      <alignment vertical="top" wrapText="1"/>
    </xf>
    <xf numFmtId="49" fontId="9" fillId="0" borderId="0" xfId="719" applyNumberFormat="1" applyFont="1" applyAlignment="1">
      <alignment wrapText="1"/>
    </xf>
    <xf numFmtId="49" fontId="27" fillId="0" borderId="0" xfId="719" applyNumberFormat="1" applyAlignment="1">
      <alignment wrapText="1"/>
    </xf>
    <xf numFmtId="49" fontId="27" fillId="0" borderId="0" xfId="719" applyNumberFormat="1" applyFill="1" applyAlignment="1">
      <alignment vertical="top" wrapText="1"/>
    </xf>
    <xf numFmtId="49" fontId="9" fillId="0" borderId="0" xfId="719" applyNumberFormat="1" applyFont="1" applyFill="1" applyAlignment="1">
      <alignment vertical="top" wrapText="1"/>
    </xf>
    <xf numFmtId="49" fontId="8" fillId="0" borderId="0" xfId="719" applyNumberFormat="1" applyFont="1" applyFill="1" applyAlignment="1">
      <alignment vertical="top" wrapText="1"/>
    </xf>
    <xf numFmtId="49" fontId="6" fillId="0" borderId="0" xfId="719" applyNumberFormat="1" applyFont="1" applyFill="1" applyAlignment="1">
      <alignment vertical="top" wrapText="1"/>
    </xf>
    <xf numFmtId="49" fontId="9" fillId="0" borderId="0" xfId="719" applyNumberFormat="1" applyFont="1" applyAlignment="1">
      <alignment horizontal="fill" wrapText="1"/>
    </xf>
    <xf numFmtId="49" fontId="8" fillId="0" borderId="0" xfId="719" applyNumberFormat="1" applyFont="1" applyAlignment="1">
      <alignment wrapText="1"/>
    </xf>
    <xf numFmtId="49" fontId="7" fillId="0" borderId="0" xfId="719" applyNumberFormat="1" applyFont="1" applyAlignment="1">
      <alignment wrapText="1"/>
    </xf>
    <xf numFmtId="49" fontId="5" fillId="0" borderId="0" xfId="719" applyNumberFormat="1" applyFont="1" applyAlignment="1">
      <alignment wrapText="1"/>
    </xf>
    <xf numFmtId="49" fontId="21" fillId="0" borderId="0" xfId="719" applyNumberFormat="1" applyFont="1" applyAlignment="1">
      <alignment wrapText="1"/>
    </xf>
    <xf numFmtId="49" fontId="19" fillId="0" borderId="0" xfId="719" applyNumberFormat="1" applyFont="1" applyAlignment="1">
      <alignment wrapText="1"/>
    </xf>
    <xf numFmtId="49" fontId="22" fillId="0" borderId="0" xfId="719" applyNumberFormat="1" applyFont="1" applyAlignment="1">
      <alignment wrapText="1"/>
    </xf>
    <xf numFmtId="49" fontId="15" fillId="0" borderId="0" xfId="719" applyNumberFormat="1" applyFont="1" applyAlignment="1">
      <alignment wrapText="1"/>
    </xf>
    <xf numFmtId="49" fontId="14" fillId="0" borderId="0" xfId="719" applyNumberFormat="1" applyFont="1" applyAlignment="1">
      <alignment horizontal="fill" wrapText="1"/>
    </xf>
    <xf numFmtId="49" fontId="22" fillId="0" borderId="0" xfId="719" applyNumberFormat="1" applyFont="1" applyFill="1" applyAlignment="1">
      <alignment vertical="top" wrapText="1"/>
    </xf>
    <xf numFmtId="49" fontId="23" fillId="0" borderId="0" xfId="719" applyNumberFormat="1" applyFont="1" applyAlignment="1">
      <alignment wrapText="1"/>
    </xf>
    <xf numFmtId="49" fontId="10" fillId="0" borderId="0" xfId="719" applyNumberFormat="1" applyFont="1" applyAlignment="1">
      <alignment vertical="top" wrapText="1"/>
    </xf>
    <xf numFmtId="49" fontId="10" fillId="0" borderId="0" xfId="719" applyNumberFormat="1" applyFont="1" applyFill="1" applyAlignment="1">
      <alignment vertical="top" wrapText="1"/>
    </xf>
    <xf numFmtId="49" fontId="27" fillId="0" borderId="0" xfId="719" applyNumberFormat="1" applyAlignment="1">
      <alignment vertical="top" wrapText="1"/>
    </xf>
    <xf numFmtId="0" fontId="4" fillId="0" borderId="0" xfId="719" applyFont="1"/>
    <xf numFmtId="0" fontId="4" fillId="0" borderId="0" xfId="719" applyFont="1" applyFill="1"/>
    <xf numFmtId="0" fontId="3" fillId="0" borderId="0" xfId="719" applyFont="1" applyAlignment="1">
      <alignment vertical="top"/>
    </xf>
    <xf numFmtId="0" fontId="3" fillId="0" borderId="0" xfId="719" applyFont="1" applyFill="1"/>
    <xf numFmtId="0" fontId="3" fillId="0" borderId="0" xfId="719" applyNumberFormat="1" applyFont="1" applyAlignment="1">
      <alignment vertical="top"/>
    </xf>
    <xf numFmtId="49" fontId="2" fillId="0" borderId="0" xfId="719" applyNumberFormat="1" applyFont="1" applyAlignment="1">
      <alignment wrapText="1"/>
    </xf>
    <xf numFmtId="49" fontId="2" fillId="0" borderId="0" xfId="719" applyNumberFormat="1" applyFont="1" applyFill="1" applyAlignment="1">
      <alignment vertical="top" wrapText="1"/>
    </xf>
    <xf numFmtId="0" fontId="2" fillId="0" borderId="0" xfId="719" applyFont="1" applyFill="1" applyAlignment="1">
      <alignment vertical="top"/>
    </xf>
    <xf numFmtId="0" fontId="2" fillId="0" borderId="0" xfId="719" applyFont="1" applyFill="1" applyAlignment="1">
      <alignment vertical="top" wrapText="1"/>
    </xf>
    <xf numFmtId="0" fontId="2" fillId="0" borderId="0" xfId="719" applyFont="1"/>
    <xf numFmtId="0" fontId="2" fillId="0" borderId="0" xfId="719" applyNumberFormat="1" applyFont="1" applyAlignment="1">
      <alignment vertical="top"/>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719" applyFont="1"/>
    <xf numFmtId="49" fontId="1" fillId="0" borderId="0" xfId="719" applyNumberFormat="1" applyFont="1" applyAlignment="1">
      <alignment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8" totalsRowShown="0" headerRowDxfId="46" dataDxfId="45">
  <autoFilter ref="A1:Y29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8"/>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1"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1" t="s">
        <v>90</v>
      </c>
      <c r="F1" s="2" t="s">
        <v>95</v>
      </c>
      <c r="G1" s="1" t="s">
        <v>69</v>
      </c>
      <c r="H1" s="1" t="s">
        <v>406</v>
      </c>
      <c r="I1" s="7" t="s">
        <v>67</v>
      </c>
      <c r="J1" s="40" t="s">
        <v>9</v>
      </c>
      <c r="K1" s="40"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407</v>
      </c>
    </row>
    <row r="2" spans="1:25" ht="28.8" x14ac:dyDescent="0.3">
      <c r="A2" s="3" t="s">
        <v>138</v>
      </c>
      <c r="B2" s="3" t="s">
        <v>4</v>
      </c>
      <c r="C2" s="3"/>
      <c r="D2" s="3" t="s">
        <v>138</v>
      </c>
      <c r="E2" s="87" t="s">
        <v>438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3" t="s">
        <v>254</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30" t="s">
        <v>163</v>
      </c>
      <c r="E4" s="87" t="s">
        <v>439</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2" t="s">
        <v>251</v>
      </c>
      <c r="E5" s="62" t="s">
        <v>252</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9" t="s">
        <v>138</v>
      </c>
      <c r="B6" s="89" t="s">
        <v>7</v>
      </c>
      <c r="C6" s="19">
        <v>100</v>
      </c>
      <c r="D6" s="89" t="s">
        <v>15</v>
      </c>
      <c r="E6" s="88" t="s">
        <v>440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1" t="s">
        <v>454</v>
      </c>
      <c r="E7" s="87" t="s">
        <v>455</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7" t="s">
        <v>19</v>
      </c>
      <c r="C8" s="19"/>
      <c r="D8" s="27" t="s">
        <v>216</v>
      </c>
      <c r="E8" s="64"/>
      <c r="F8" s="28" t="s">
        <v>215</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requests</v>
      </c>
      <c r="V8" s="4" t="str">
        <f>IF(LEN(Table2[[#This Row],[!Description]]) &gt; 0, Table2[[#This Row],[!Description]], "rg:None")</f>
        <v>rg:None</v>
      </c>
      <c r="W8" s="4" t="str">
        <f>IF(LEN(Table2[[#This Row],[!FK]])&gt;0,Table2[[#This Row],[!FK]],"rg:None")</f>
        <v>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7" t="s">
        <v>8</v>
      </c>
      <c r="C9" s="19"/>
      <c r="D9" s="27" t="s">
        <v>217</v>
      </c>
      <c r="E9" s="65" t="s">
        <v>250</v>
      </c>
      <c r="F9" s="28"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7" t="s">
        <v>19</v>
      </c>
      <c r="C10" s="19"/>
      <c r="D10" s="27" t="s">
        <v>197</v>
      </c>
      <c r="E10" s="64"/>
      <c r="F10" s="28"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4"/>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4"/>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4"/>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26" t="s">
        <v>215</v>
      </c>
      <c r="B14" s="3" t="s">
        <v>4</v>
      </c>
      <c r="C14" s="3"/>
      <c r="D14" s="26" t="s">
        <v>215</v>
      </c>
      <c r="E14" s="88" t="s">
        <v>419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215</v>
      </c>
      <c r="B15" s="27" t="s">
        <v>6</v>
      </c>
      <c r="C15" s="19"/>
      <c r="D15" s="27" t="s">
        <v>6</v>
      </c>
      <c r="E15" s="63" t="s">
        <v>253</v>
      </c>
      <c r="F15" s="13"/>
      <c r="G15" s="29" t="s">
        <v>64</v>
      </c>
      <c r="H15" s="29"/>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26" t="s">
        <v>215</v>
      </c>
      <c r="B16" s="27" t="s">
        <v>8</v>
      </c>
      <c r="C16" s="19"/>
      <c r="D16" s="27" t="s">
        <v>159</v>
      </c>
      <c r="E16" s="64"/>
      <c r="F16" s="28"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26" t="s">
        <v>215</v>
      </c>
      <c r="B17" s="31" t="s">
        <v>8</v>
      </c>
      <c r="C17" s="19"/>
      <c r="D17" s="31" t="s">
        <v>193</v>
      </c>
      <c r="E17" s="64"/>
      <c r="F17" s="32"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26" t="s">
        <v>215</v>
      </c>
      <c r="B18" s="31" t="s">
        <v>8</v>
      </c>
      <c r="C18" s="19"/>
      <c r="D18" s="23" t="s">
        <v>202</v>
      </c>
      <c r="E18" s="63"/>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26" t="s">
        <v>215</v>
      </c>
      <c r="B19" s="31" t="s">
        <v>13</v>
      </c>
      <c r="C19" s="19"/>
      <c r="D19" s="31" t="s">
        <v>219</v>
      </c>
      <c r="E19" s="88" t="s">
        <v>444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215</v>
      </c>
      <c r="B20" s="31" t="s">
        <v>13</v>
      </c>
      <c r="C20" s="19"/>
      <c r="D20" s="31" t="s">
        <v>220</v>
      </c>
      <c r="E20" s="66" t="s">
        <v>300</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215</v>
      </c>
      <c r="B21" s="31" t="s">
        <v>12</v>
      </c>
      <c r="C21" s="19"/>
      <c r="D21" s="31" t="s">
        <v>221</v>
      </c>
      <c r="E21" s="66" t="s">
        <v>299</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26" t="s">
        <v>215</v>
      </c>
      <c r="B22" s="31" t="s">
        <v>12</v>
      </c>
      <c r="C22" s="19"/>
      <c r="D22" s="31" t="s">
        <v>222</v>
      </c>
      <c r="E22" s="66" t="s">
        <v>298</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26" t="s">
        <v>215</v>
      </c>
      <c r="B23" s="89" t="s">
        <v>8</v>
      </c>
      <c r="C23" s="19"/>
      <c r="D23" s="89" t="s">
        <v>445</v>
      </c>
      <c r="E23" s="88" t="s">
        <v>446</v>
      </c>
      <c r="F23" s="90"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26" t="s">
        <v>215</v>
      </c>
      <c r="B24" s="24" t="s">
        <v>19</v>
      </c>
      <c r="C24" s="19"/>
      <c r="D24" s="24" t="s">
        <v>176</v>
      </c>
      <c r="E24" s="64"/>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215</v>
      </c>
      <c r="B25" s="24" t="s">
        <v>19</v>
      </c>
      <c r="C25" s="19"/>
      <c r="D25" s="24" t="s">
        <v>196</v>
      </c>
      <c r="E25" s="64"/>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215</v>
      </c>
      <c r="B26" s="24" t="s">
        <v>19</v>
      </c>
      <c r="C26" s="19"/>
      <c r="D26" s="24" t="s">
        <v>198</v>
      </c>
      <c r="E26" s="64"/>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3" t="s">
        <v>215</v>
      </c>
      <c r="B27" s="93" t="s">
        <v>19</v>
      </c>
      <c r="C27" s="19"/>
      <c r="D27" s="93" t="s">
        <v>491</v>
      </c>
      <c r="E27" s="64"/>
      <c r="F27" s="89" t="s">
        <v>447</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requestRotationList</v>
      </c>
      <c r="V27" s="4" t="str">
        <f>IF(LEN(Table2[[#This Row],[!Description]]) &gt; 0, Table2[[#This Row],[!Description]], "rg:None")</f>
        <v>rg:None</v>
      </c>
      <c r="W27" s="4" t="str">
        <f>IF(LEN(Table2[[#This Row],[!FK]])&gt;0,Table2[[#This Row],[!FK]],"rg:None")</f>
        <v>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89" t="s">
        <v>447</v>
      </c>
      <c r="B28" s="31" t="s">
        <v>4</v>
      </c>
      <c r="C28" s="19"/>
      <c r="D28" s="89" t="s">
        <v>447</v>
      </c>
      <c r="E28" s="88" t="s">
        <v>448</v>
      </c>
      <c r="F28" s="32"/>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89" t="s">
        <v>447</v>
      </c>
      <c r="B29" s="27" t="s">
        <v>6</v>
      </c>
      <c r="C29" s="19"/>
      <c r="D29" s="27" t="s">
        <v>6</v>
      </c>
      <c r="E29" s="87" t="s">
        <v>449</v>
      </c>
      <c r="F29" s="13"/>
      <c r="G29" s="29" t="s">
        <v>64</v>
      </c>
      <c r="H29" s="29"/>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89" t="s">
        <v>447</v>
      </c>
      <c r="B30" s="31" t="s">
        <v>8</v>
      </c>
      <c r="C30" s="19"/>
      <c r="D30" s="31" t="s">
        <v>224</v>
      </c>
      <c r="E30" s="64"/>
      <c r="F30" s="32" t="s">
        <v>215</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request</v>
      </c>
      <c r="V30" s="4" t="str">
        <f>IF(LEN(Table2[[#This Row],[!Description]]) &gt; 0, Table2[[#This Row],[!Description]], "rg:None")</f>
        <v>rg:None</v>
      </c>
      <c r="W30" s="4" t="str">
        <f>IF(LEN(Table2[[#This Row],[!FK]])&gt;0,Table2[[#This Row],[!FK]],"rg:None")</f>
        <v>Request</v>
      </c>
      <c r="X30" s="15" t="str">
        <f>IF(LEN(concatif2(A:A,Table2[[#This Row],[!Table]],G:G,"Y",D:D,",")) &gt; 0,"rg:[ { 'req' : '"&amp;concatif2(A:A,Table2[[#This Row],[!Table]],G:G,"Y",D:D,"' }, { 'req': '")&amp;"'} ]","rg:[]")</f>
        <v>rg:[ { 'req' : 'id'} ]</v>
      </c>
      <c r="Y30" s="4" t="str">
        <f>IF(LEN(Table2[[#This Row],[!Unique]])&gt;0,"rg:True","rg:None")</f>
        <v>rg:None</v>
      </c>
    </row>
    <row r="31" spans="1:25" ht="28.8" x14ac:dyDescent="0.3">
      <c r="A31" s="89" t="s">
        <v>447</v>
      </c>
      <c r="B31" s="89" t="s">
        <v>13</v>
      </c>
      <c r="C31" s="19"/>
      <c r="D31" s="93" t="s">
        <v>485</v>
      </c>
      <c r="E31" s="94" t="s">
        <v>486</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89" t="s">
        <v>447</v>
      </c>
      <c r="B32" s="31" t="s">
        <v>8</v>
      </c>
      <c r="C32" s="19"/>
      <c r="D32" s="31" t="s">
        <v>199</v>
      </c>
      <c r="E32" s="64"/>
      <c r="F32" s="32"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89" t="s">
        <v>447</v>
      </c>
      <c r="B33" s="31" t="s">
        <v>8</v>
      </c>
      <c r="C33" s="19"/>
      <c r="D33" s="31" t="s">
        <v>228</v>
      </c>
      <c r="E33" s="88" t="s">
        <v>450</v>
      </c>
      <c r="F33" s="31" t="s">
        <v>227</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89" t="s">
        <v>447</v>
      </c>
      <c r="B34" s="31" t="s">
        <v>9</v>
      </c>
      <c r="C34" s="19"/>
      <c r="D34" s="31" t="s">
        <v>226</v>
      </c>
      <c r="E34" s="88" t="s">
        <v>451</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89" t="s">
        <v>447</v>
      </c>
      <c r="B35" s="34" t="s">
        <v>9</v>
      </c>
      <c r="C35" s="19"/>
      <c r="D35" s="53" t="s">
        <v>255</v>
      </c>
      <c r="E35" s="65" t="s">
        <v>257</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89" t="s">
        <v>447</v>
      </c>
      <c r="B36" s="31" t="s">
        <v>12</v>
      </c>
      <c r="C36" s="19"/>
      <c r="D36" s="53" t="s">
        <v>256</v>
      </c>
      <c r="E36" s="67" t="s">
        <v>408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89" t="s">
        <v>447</v>
      </c>
      <c r="B37" s="53" t="s">
        <v>7</v>
      </c>
      <c r="C37" s="19"/>
      <c r="D37" s="53" t="s">
        <v>258</v>
      </c>
      <c r="E37" s="68" t="s">
        <v>259</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89" t="s">
        <v>447</v>
      </c>
      <c r="B38" s="31" t="s">
        <v>7</v>
      </c>
      <c r="C38" s="19">
        <v>2048</v>
      </c>
      <c r="D38" s="31" t="s">
        <v>225</v>
      </c>
      <c r="E38" s="65" t="s">
        <v>260</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89" t="s">
        <v>447</v>
      </c>
      <c r="B39" s="31" t="s">
        <v>7</v>
      </c>
      <c r="C39" s="19">
        <v>2048</v>
      </c>
      <c r="D39" s="31" t="s">
        <v>165</v>
      </c>
      <c r="E39" s="65" t="s">
        <v>261</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1" t="s">
        <v>227</v>
      </c>
      <c r="B40" s="31" t="s">
        <v>4</v>
      </c>
      <c r="C40" s="19"/>
      <c r="D40" s="31" t="s">
        <v>227</v>
      </c>
      <c r="E40" s="88" t="s">
        <v>452</v>
      </c>
      <c r="F40" s="32"/>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227</v>
      </c>
      <c r="B41" s="27" t="s">
        <v>6</v>
      </c>
      <c r="C41" s="19"/>
      <c r="D41" s="27" t="s">
        <v>6</v>
      </c>
      <c r="E41" s="63" t="s">
        <v>339</v>
      </c>
      <c r="F41" s="13"/>
      <c r="G41" s="29" t="s">
        <v>64</v>
      </c>
      <c r="H41" s="29"/>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227</v>
      </c>
      <c r="B42" s="31" t="s">
        <v>8</v>
      </c>
      <c r="C42" s="19"/>
      <c r="D42" s="31" t="s">
        <v>199</v>
      </c>
      <c r="E42" s="64"/>
      <c r="F42" s="32"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1" t="s">
        <v>227</v>
      </c>
      <c r="B43" s="27" t="s">
        <v>8</v>
      </c>
      <c r="C43" s="19"/>
      <c r="D43" s="27" t="s">
        <v>159</v>
      </c>
      <c r="E43" s="64"/>
      <c r="F43" s="28"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1" t="s">
        <v>227</v>
      </c>
      <c r="B44" s="31" t="s">
        <v>19</v>
      </c>
      <c r="C44" s="19"/>
      <c r="D44" s="31" t="s">
        <v>229</v>
      </c>
      <c r="E44" s="64"/>
      <c r="F44" s="32" t="s">
        <v>230</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2" t="s">
        <v>230</v>
      </c>
      <c r="B45" s="31" t="s">
        <v>4</v>
      </c>
      <c r="C45" s="19"/>
      <c r="D45" s="32" t="s">
        <v>230</v>
      </c>
      <c r="E45" s="88" t="s">
        <v>420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230</v>
      </c>
      <c r="B46" s="27" t="s">
        <v>6</v>
      </c>
      <c r="C46" s="19"/>
      <c r="D46" s="27" t="s">
        <v>6</v>
      </c>
      <c r="E46" s="63" t="s">
        <v>338</v>
      </c>
      <c r="F46" s="13"/>
      <c r="G46" s="29" t="s">
        <v>64</v>
      </c>
      <c r="H46" s="29"/>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230</v>
      </c>
      <c r="B47" s="31" t="s">
        <v>8</v>
      </c>
      <c r="C47" s="19"/>
      <c r="D47" s="31" t="s">
        <v>228</v>
      </c>
      <c r="E47" s="64"/>
      <c r="F47" s="32" t="s">
        <v>227</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2" t="s">
        <v>230</v>
      </c>
      <c r="B48" s="33" t="s">
        <v>12</v>
      </c>
      <c r="C48" s="3"/>
      <c r="D48" s="33" t="s">
        <v>231</v>
      </c>
      <c r="E48" s="65" t="s">
        <v>264</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230</v>
      </c>
      <c r="B49" s="33" t="s">
        <v>12</v>
      </c>
      <c r="C49" s="3"/>
      <c r="D49" s="33" t="s">
        <v>232</v>
      </c>
      <c r="E49" s="67" t="s">
        <v>409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3" t="s">
        <v>230</v>
      </c>
      <c r="B50" s="53" t="s">
        <v>7</v>
      </c>
      <c r="C50" s="19">
        <v>20</v>
      </c>
      <c r="D50" s="53" t="s">
        <v>262</v>
      </c>
      <c r="E50" s="65" t="s">
        <v>263</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230</v>
      </c>
      <c r="B51" s="3" t="s">
        <v>110</v>
      </c>
      <c r="C51" s="3"/>
      <c r="D51" s="3" t="s">
        <v>149</v>
      </c>
      <c r="E51" s="65" t="s">
        <v>265</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230</v>
      </c>
      <c r="B52" s="3" t="s">
        <v>110</v>
      </c>
      <c r="C52" s="3"/>
      <c r="D52" s="3" t="s">
        <v>150</v>
      </c>
      <c r="E52" s="65" t="s">
        <v>266</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2" t="s">
        <v>230</v>
      </c>
      <c r="B53" s="3" t="s">
        <v>110</v>
      </c>
      <c r="C53" s="3"/>
      <c r="D53" s="3" t="s">
        <v>151</v>
      </c>
      <c r="E53" s="65" t="s">
        <v>266</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2" t="s">
        <v>230</v>
      </c>
      <c r="B54" s="3" t="s">
        <v>110</v>
      </c>
      <c r="C54" s="3"/>
      <c r="D54" s="3" t="s">
        <v>152</v>
      </c>
      <c r="E54" s="65" t="s">
        <v>266</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2" t="s">
        <v>230</v>
      </c>
      <c r="B55" s="3" t="s">
        <v>110</v>
      </c>
      <c r="C55" s="3"/>
      <c r="D55" s="3" t="s">
        <v>153</v>
      </c>
      <c r="E55" s="65" t="s">
        <v>266</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230</v>
      </c>
      <c r="B56" s="3" t="s">
        <v>110</v>
      </c>
      <c r="C56" s="3"/>
      <c r="D56" s="3" t="s">
        <v>154</v>
      </c>
      <c r="E56" s="65" t="s">
        <v>266</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7" t="s">
        <v>421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3" t="s">
        <v>337</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3"/>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3"/>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3"/>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1" t="s">
        <v>267</v>
      </c>
      <c r="E62" s="87" t="s">
        <v>456</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5" t="s">
        <v>268</v>
      </c>
      <c r="E63" s="62" t="s">
        <v>269</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2" t="s">
        <v>270</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2" t="s">
        <v>271</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4" t="s">
        <v>12</v>
      </c>
      <c r="C66" s="3"/>
      <c r="D66" s="44" t="s">
        <v>243</v>
      </c>
      <c r="E66" s="62" t="s">
        <v>272</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9" t="s">
        <v>201</v>
      </c>
      <c r="B67" s="89" t="s">
        <v>9</v>
      </c>
      <c r="C67" s="19"/>
      <c r="D67" s="89" t="s">
        <v>441</v>
      </c>
      <c r="E67" s="88" t="s">
        <v>453</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9" t="s">
        <v>201</v>
      </c>
      <c r="B68" s="89" t="s">
        <v>7</v>
      </c>
      <c r="C68" s="19">
        <v>2048</v>
      </c>
      <c r="D68" s="89" t="s">
        <v>442</v>
      </c>
      <c r="E68" s="88" t="s">
        <v>443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2" t="s">
        <v>273</v>
      </c>
      <c r="E69" s="62" t="s">
        <v>274</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2" t="s">
        <v>275</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2" t="s">
        <v>276</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2" t="s">
        <v>277</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62" t="s">
        <v>278</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62" t="s">
        <v>280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 IS THIS NEEDED?</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62" t="s">
        <v>280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 IS THIS NEEDED?</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62" t="s">
        <v>280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 IS THIS NEEDED?</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2" t="s">
        <v>281</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2" t="s">
        <v>282</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62" t="s">
        <v>283</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4" t="s">
        <v>110</v>
      </c>
      <c r="C80" s="3"/>
      <c r="D80" s="23" t="s">
        <v>212</v>
      </c>
      <c r="E80" s="69" t="s">
        <v>284</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4" t="s">
        <v>110</v>
      </c>
      <c r="C81" s="3"/>
      <c r="D81" s="91" t="s">
        <v>140</v>
      </c>
      <c r="E81" s="69" t="s">
        <v>285</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9" t="s">
        <v>201</v>
      </c>
      <c r="B82" s="89" t="s">
        <v>12</v>
      </c>
      <c r="C82" s="19"/>
      <c r="D82" s="89" t="s">
        <v>459</v>
      </c>
      <c r="E82" s="88" t="s">
        <v>460</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1" t="s">
        <v>457</v>
      </c>
      <c r="E83" s="62" t="s">
        <v>279</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4" t="s">
        <v>286</v>
      </c>
      <c r="E84" s="69" t="s">
        <v>287</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4" t="s">
        <v>288</v>
      </c>
      <c r="E85" s="69" t="s">
        <v>289</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4" t="s">
        <v>291</v>
      </c>
      <c r="E86" s="69" t="s">
        <v>290</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4" t="s">
        <v>292</v>
      </c>
      <c r="E87" s="96" t="s">
        <v>489</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9" t="s">
        <v>293</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9" t="s">
        <v>294</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4" t="s">
        <v>8</v>
      </c>
      <c r="C90" s="3"/>
      <c r="D90" s="54" t="s">
        <v>295</v>
      </c>
      <c r="E90" s="69" t="s">
        <v>296</v>
      </c>
      <c r="F90" s="60"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4"/>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4"/>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4"/>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4"/>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4"/>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87" t="s">
        <v>458</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3" t="s">
        <v>336</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4" t="s">
        <v>9</v>
      </c>
      <c r="C98" s="3"/>
      <c r="D98" s="54" t="s">
        <v>297</v>
      </c>
      <c r="E98" s="69" t="s">
        <v>307</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4" t="s">
        <v>9</v>
      </c>
      <c r="C99" s="3"/>
      <c r="D99" s="54" t="s">
        <v>301</v>
      </c>
      <c r="E99" s="69" t="s">
        <v>306</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4" t="s">
        <v>9</v>
      </c>
      <c r="C100" s="3"/>
      <c r="D100" s="54" t="s">
        <v>308</v>
      </c>
      <c r="E100" s="69" t="s">
        <v>309</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4" t="s">
        <v>9</v>
      </c>
      <c r="C101" s="3"/>
      <c r="D101" s="54" t="s">
        <v>302</v>
      </c>
      <c r="E101" s="69" t="s">
        <v>303</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4" t="s">
        <v>9</v>
      </c>
      <c r="C102" s="3"/>
      <c r="D102" s="54" t="s">
        <v>304</v>
      </c>
      <c r="E102" s="69" t="s">
        <v>305</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4" t="s">
        <v>9</v>
      </c>
      <c r="C103" s="3"/>
      <c r="D103" s="54" t="s">
        <v>310</v>
      </c>
      <c r="E103" s="69" t="s">
        <v>311</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4" t="s">
        <v>9</v>
      </c>
      <c r="C104" s="3"/>
      <c r="D104" s="54" t="s">
        <v>312</v>
      </c>
      <c r="E104" s="69" t="s">
        <v>313</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4" t="s">
        <v>9</v>
      </c>
      <c r="C105" s="3"/>
      <c r="D105" s="54" t="s">
        <v>314</v>
      </c>
      <c r="E105" s="69" t="s">
        <v>315</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4" t="s">
        <v>9</v>
      </c>
      <c r="C106" s="54"/>
      <c r="D106" s="54" t="s">
        <v>316</v>
      </c>
      <c r="E106" s="69" t="s">
        <v>317</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9" t="s">
        <v>318</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9" t="s">
        <v>319</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9" t="s">
        <v>320</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9" t="s">
        <v>321</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9" t="s">
        <v>322</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9" t="s">
        <v>323</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9" t="s">
        <v>324</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9" t="s">
        <v>328</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9" t="s">
        <v>325</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9" t="s">
        <v>326</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9" t="s">
        <v>327</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9" t="s">
        <v>329</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9" t="s">
        <v>330</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9" t="s">
        <v>331</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1" t="s">
        <v>410</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1" t="s">
        <v>411</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1" t="s">
        <v>415</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9" t="s">
        <v>332</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1" t="s">
        <v>416</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1" t="s">
        <v>417</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1" t="s">
        <v>418</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9" t="s">
        <v>333</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70" t="s">
        <v>341</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70" t="s">
        <v>342</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3"/>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70" t="s">
        <v>343</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1" t="s">
        <v>344</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70" t="s">
        <v>345</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CHECK WITH BUSINESS - IS THIS NEEDED</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63" t="s">
        <v>345</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CHECK WITH BUSINESS - IS THIS NEEDED</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63" t="s">
        <v>345</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CHECK WITH BUSINESS - IS THIS NEEDED</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63" t="s">
        <v>345</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CHECK WITH BUSINESS - IS THIS NEEDED</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63" t="s">
        <v>345</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CHECK WITH BUSINESS - IS THIS NEEDED</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5" t="s">
        <v>13</v>
      </c>
      <c r="C139" s="3"/>
      <c r="D139" s="95" t="s">
        <v>223</v>
      </c>
      <c r="E139" s="70" t="s">
        <v>346</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7" t="s">
        <v>422</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3" t="s">
        <v>340</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3"/>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2"/>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70" t="s">
        <v>334</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REMOVED - likely not needed. Will talk to business.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70" t="s">
        <v>335</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7" t="s">
        <v>423</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3" t="s">
        <v>412</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70" t="s">
        <v>347</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CHECK WITH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70" t="s">
        <v>348</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70" t="s">
        <v>349</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3" t="s">
        <v>413</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1" t="s">
        <v>32</v>
      </c>
      <c r="E152" s="87" t="s">
        <v>483</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9" t="s">
        <v>157</v>
      </c>
      <c r="B153" s="89" t="s">
        <v>12</v>
      </c>
      <c r="C153" s="19"/>
      <c r="D153" s="89" t="s">
        <v>33</v>
      </c>
      <c r="E153" s="88" t="s">
        <v>484</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3"/>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3"/>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70" t="s">
        <v>352</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3"/>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1" t="s">
        <v>464</v>
      </c>
      <c r="E158" s="87" t="s">
        <v>465</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70" t="s">
        <v>350</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1" t="s">
        <v>461</v>
      </c>
      <c r="E160" s="70" t="s">
        <v>351</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4" t="s">
        <v>286</v>
      </c>
      <c r="E161" s="69" t="s">
        <v>287</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4" t="s">
        <v>288</v>
      </c>
      <c r="E162" s="69" t="s">
        <v>289</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4" t="s">
        <v>291</v>
      </c>
      <c r="E163" s="69" t="s">
        <v>290</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7" t="s">
        <v>424</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3" t="s">
        <v>414</v>
      </c>
      <c r="F165" s="3" t="s">
        <v>5</v>
      </c>
      <c r="G165" s="4" t="s">
        <v>64</v>
      </c>
      <c r="H165" s="92"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rg:True</v>
      </c>
    </row>
    <row r="166" spans="1:25" ht="43.2" x14ac:dyDescent="0.3">
      <c r="A166" s="3" t="s">
        <v>155</v>
      </c>
      <c r="B166" s="3" t="s">
        <v>7</v>
      </c>
      <c r="C166" s="3">
        <v>20</v>
      </c>
      <c r="D166" s="95" t="s">
        <v>487</v>
      </c>
      <c r="E166" s="71" t="s">
        <v>353</v>
      </c>
      <c r="F166" s="3" t="s">
        <v>5</v>
      </c>
      <c r="G166" s="92" t="s">
        <v>64</v>
      </c>
      <c r="H166" s="92"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9" t="s">
        <v>155</v>
      </c>
      <c r="B167" s="89" t="s">
        <v>7</v>
      </c>
      <c r="C167" s="19">
        <v>150</v>
      </c>
      <c r="D167" s="89" t="s">
        <v>462</v>
      </c>
      <c r="E167" s="88" t="s">
        <v>463</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7" t="s">
        <v>8</v>
      </c>
      <c r="C168" s="19"/>
      <c r="D168" s="27" t="s">
        <v>217</v>
      </c>
      <c r="E168" s="73" t="s">
        <v>218</v>
      </c>
      <c r="F168" s="30"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5" t="s">
        <v>8</v>
      </c>
      <c r="C169" s="3"/>
      <c r="D169" s="55" t="s">
        <v>193</v>
      </c>
      <c r="E169" s="63"/>
      <c r="F169" s="55"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5" t="s">
        <v>9</v>
      </c>
      <c r="C170" s="3"/>
      <c r="D170" s="55" t="s">
        <v>354</v>
      </c>
      <c r="E170" s="70" t="s">
        <v>355</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70" t="s">
        <v>356</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70" t="s">
        <v>357</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5" t="s">
        <v>268</v>
      </c>
      <c r="E173" s="70" t="s">
        <v>358</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5" t="s">
        <v>292</v>
      </c>
      <c r="E174" s="96" t="s">
        <v>490</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CHECK WITH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70" t="s">
        <v>359</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3" t="s">
        <v>155</v>
      </c>
      <c r="B176" s="93" t="s">
        <v>12</v>
      </c>
      <c r="C176" s="19"/>
      <c r="D176" s="93" t="s">
        <v>210</v>
      </c>
      <c r="E176" s="94" t="s">
        <v>488</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4"/>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4"/>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4"/>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4"/>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4"/>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7" t="s">
        <v>425</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3" t="s">
        <v>360</v>
      </c>
      <c r="F183" s="3" t="s">
        <v>5</v>
      </c>
      <c r="G183" s="4" t="s">
        <v>64</v>
      </c>
      <c r="H183" s="56" t="s">
        <v>64</v>
      </c>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rg:True</v>
      </c>
    </row>
    <row r="184" spans="1:25" x14ac:dyDescent="0.3">
      <c r="A184" s="22" t="s">
        <v>186</v>
      </c>
      <c r="B184" s="3" t="s">
        <v>7</v>
      </c>
      <c r="C184" s="3">
        <v>50</v>
      </c>
      <c r="D184" s="3" t="s">
        <v>16</v>
      </c>
      <c r="E184" s="63" t="s">
        <v>174</v>
      </c>
      <c r="F184" s="3" t="s">
        <v>5</v>
      </c>
      <c r="G184" s="56" t="s">
        <v>64</v>
      </c>
      <c r="H184" s="56"/>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3" t="s">
        <v>175</v>
      </c>
      <c r="F185" s="3" t="s">
        <v>5</v>
      </c>
      <c r="G185" s="56" t="s">
        <v>64</v>
      </c>
      <c r="H185" s="56"/>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3" t="s">
        <v>361</v>
      </c>
      <c r="F186" s="3" t="s">
        <v>5</v>
      </c>
      <c r="G186" s="56" t="s">
        <v>64</v>
      </c>
      <c r="H186" s="56"/>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3" t="s">
        <v>362</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3"/>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3"/>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7" t="s">
        <v>426</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3" t="s">
        <v>363</v>
      </c>
      <c r="F191" s="3" t="s">
        <v>5</v>
      </c>
      <c r="G191" s="4" t="s">
        <v>64</v>
      </c>
      <c r="H191" s="56" t="s">
        <v>64</v>
      </c>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rg:True</v>
      </c>
    </row>
    <row r="192" spans="1:25" ht="28.8" x14ac:dyDescent="0.3">
      <c r="A192" s="22" t="s">
        <v>187</v>
      </c>
      <c r="B192" s="3" t="s">
        <v>7</v>
      </c>
      <c r="C192" s="3">
        <v>100</v>
      </c>
      <c r="D192" s="3" t="s">
        <v>20</v>
      </c>
      <c r="E192" s="63" t="s">
        <v>364</v>
      </c>
      <c r="F192" s="3" t="s">
        <v>5</v>
      </c>
      <c r="G192" s="56" t="s">
        <v>64</v>
      </c>
      <c r="H192" s="56"/>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3" t="s">
        <v>178</v>
      </c>
      <c r="F193" s="3" t="s">
        <v>5</v>
      </c>
      <c r="G193" s="56" t="s">
        <v>64</v>
      </c>
      <c r="H193" s="56"/>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7" t="s">
        <v>427</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3" t="s">
        <v>365</v>
      </c>
      <c r="F195" s="3" t="s">
        <v>5</v>
      </c>
      <c r="G195" s="4" t="s">
        <v>64</v>
      </c>
      <c r="H195" s="56" t="s">
        <v>64</v>
      </c>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rg:True</v>
      </c>
    </row>
    <row r="196" spans="1:25" ht="28.8" x14ac:dyDescent="0.3">
      <c r="A196" s="22" t="s">
        <v>188</v>
      </c>
      <c r="B196" s="3" t="s">
        <v>7</v>
      </c>
      <c r="C196" s="3">
        <v>100</v>
      </c>
      <c r="D196" s="3" t="s">
        <v>20</v>
      </c>
      <c r="E196" s="63" t="s">
        <v>366</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3"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3"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3"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3"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3"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7" t="s">
        <v>428</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3" t="s">
        <v>368</v>
      </c>
      <c r="F203" s="3" t="s">
        <v>5</v>
      </c>
      <c r="G203" s="4" t="s">
        <v>64</v>
      </c>
      <c r="H203" s="56" t="s">
        <v>64</v>
      </c>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rg:True</v>
      </c>
    </row>
    <row r="204" spans="1:25" x14ac:dyDescent="0.3">
      <c r="A204" s="22" t="s">
        <v>156</v>
      </c>
      <c r="B204" s="3" t="s">
        <v>7</v>
      </c>
      <c r="C204" s="3">
        <v>2048</v>
      </c>
      <c r="D204" s="55" t="s">
        <v>403</v>
      </c>
      <c r="E204" s="70" t="s">
        <v>367</v>
      </c>
      <c r="F204" s="3" t="s">
        <v>5</v>
      </c>
      <c r="G204" s="56"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5" t="s">
        <v>369</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7" t="s">
        <v>429</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3" t="s">
        <v>370</v>
      </c>
      <c r="F207" s="3" t="s">
        <v>5</v>
      </c>
      <c r="G207" s="4" t="s">
        <v>64</v>
      </c>
      <c r="H207" s="56" t="s">
        <v>64</v>
      </c>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rg:True</v>
      </c>
    </row>
    <row r="208" spans="1:25" x14ac:dyDescent="0.3">
      <c r="A208" s="22" t="s">
        <v>170</v>
      </c>
      <c r="B208" s="3" t="s">
        <v>7</v>
      </c>
      <c r="C208" s="3">
        <v>2048</v>
      </c>
      <c r="D208" s="3" t="s">
        <v>239</v>
      </c>
      <c r="E208" s="63" t="s">
        <v>240</v>
      </c>
      <c r="F208" s="3" t="s">
        <v>5</v>
      </c>
      <c r="G208" s="56" t="s">
        <v>64</v>
      </c>
      <c r="H208" s="56"/>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4" t="s">
        <v>168</v>
      </c>
      <c r="F209" s="3" t="s">
        <v>5</v>
      </c>
      <c r="G209" s="56" t="s">
        <v>64</v>
      </c>
      <c r="H209" s="56"/>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4"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7" t="s">
        <v>430</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3" t="s">
        <v>371</v>
      </c>
      <c r="F212" s="3" t="s">
        <v>5</v>
      </c>
      <c r="G212" s="4" t="s">
        <v>64</v>
      </c>
      <c r="H212" s="56" t="s">
        <v>64</v>
      </c>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rg:True</v>
      </c>
    </row>
    <row r="213" spans="1:25" x14ac:dyDescent="0.3">
      <c r="A213" s="22" t="s">
        <v>172</v>
      </c>
      <c r="B213" s="22" t="s">
        <v>7</v>
      </c>
      <c r="C213" s="3">
        <v>2048</v>
      </c>
      <c r="D213" s="39" t="s">
        <v>241</v>
      </c>
      <c r="E213" s="76" t="s">
        <v>242</v>
      </c>
      <c r="F213" s="3"/>
      <c r="G213" s="56" t="s">
        <v>64</v>
      </c>
      <c r="H213" s="56"/>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8" t="s">
        <v>238</v>
      </c>
      <c r="E214" s="77"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1" t="s">
        <v>22</v>
      </c>
      <c r="E215" s="87" t="s">
        <v>432</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3" t="s">
        <v>405</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3"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3"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3" t="s">
        <v>372</v>
      </c>
      <c r="F219" s="3" t="s">
        <v>5</v>
      </c>
      <c r="G219" s="4" t="s">
        <v>64</v>
      </c>
      <c r="H219" s="56" t="s">
        <v>64</v>
      </c>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rg:True</v>
      </c>
    </row>
    <row r="220" spans="1:25" ht="28.8" x14ac:dyDescent="0.3">
      <c r="A220" s="3" t="s">
        <v>24</v>
      </c>
      <c r="B220" s="3" t="s">
        <v>7</v>
      </c>
      <c r="C220" s="3">
        <v>150</v>
      </c>
      <c r="D220" s="3" t="s">
        <v>15</v>
      </c>
      <c r="E220" s="63"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3"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3"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8" t="s">
        <v>7</v>
      </c>
      <c r="C223" s="3">
        <v>150</v>
      </c>
      <c r="D223" s="48" t="s">
        <v>20</v>
      </c>
      <c r="E223" s="79" t="s">
        <v>248</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50" t="s">
        <v>24</v>
      </c>
      <c r="B224" s="50" t="s">
        <v>8</v>
      </c>
      <c r="C224" s="19"/>
      <c r="D224" s="50" t="s">
        <v>0</v>
      </c>
      <c r="E224" s="80" t="s">
        <v>249</v>
      </c>
      <c r="F224" s="51" t="s">
        <v>0</v>
      </c>
      <c r="G224" s="20"/>
      <c r="H224" s="20"/>
      <c r="I224" s="4" t="str">
        <f>IF(LEN(A224) &gt; 0,"Defs","-")</f>
        <v>Defs</v>
      </c>
      <c r="J224" s="15" t="str">
        <f>IF(Table2[[#This Row],[!Type]]=J$1, J$1,"rg:None")</f>
        <v>rg:None</v>
      </c>
      <c r="K224" s="49"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7" t="s">
        <v>466</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3" t="s">
        <v>373</v>
      </c>
      <c r="F226" s="3" t="s">
        <v>5</v>
      </c>
      <c r="G226" s="4" t="s">
        <v>64</v>
      </c>
      <c r="H226" s="56" t="s">
        <v>64</v>
      </c>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rg:True</v>
      </c>
    </row>
    <row r="227" spans="1:25" x14ac:dyDescent="0.3">
      <c r="A227" s="3" t="s">
        <v>30</v>
      </c>
      <c r="B227" s="3" t="s">
        <v>13</v>
      </c>
      <c r="C227" s="3"/>
      <c r="D227" s="3" t="s">
        <v>31</v>
      </c>
      <c r="E227" s="87" t="s">
        <v>471</v>
      </c>
      <c r="F227" s="3" t="s">
        <v>5</v>
      </c>
      <c r="G227" s="56" t="s">
        <v>64</v>
      </c>
      <c r="H227" s="56"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9" t="s">
        <v>30</v>
      </c>
      <c r="B228" s="89" t="s">
        <v>13</v>
      </c>
      <c r="C228" s="19"/>
      <c r="D228" s="89" t="s">
        <v>467</v>
      </c>
      <c r="E228" s="88" t="s">
        <v>468</v>
      </c>
      <c r="F228" s="13"/>
      <c r="G228" s="20"/>
      <c r="H228" s="20"/>
      <c r="I228" s="4" t="str">
        <f>IF(LEN(A228) &gt; 0,"Defs","-")</f>
        <v>Defs</v>
      </c>
      <c r="J228" s="15" t="str">
        <f>IF(Table2[[#This Row],[!Type]]=J$1, J$1,"rg:None")</f>
        <v>rg:None</v>
      </c>
      <c r="K228" s="49"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7" t="s">
        <v>469</v>
      </c>
      <c r="F229" s="3" t="s">
        <v>5</v>
      </c>
      <c r="G229" s="56" t="s">
        <v>64</v>
      </c>
      <c r="H229" s="56"/>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7" t="s">
        <v>475</v>
      </c>
      <c r="F230" s="3" t="s">
        <v>5</v>
      </c>
      <c r="G230" s="92"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7" t="s">
        <v>476</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7" t="s">
        <v>470</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3" t="s">
        <v>374</v>
      </c>
      <c r="F233" s="3" t="s">
        <v>5</v>
      </c>
      <c r="G233" s="4" t="s">
        <v>64</v>
      </c>
      <c r="H233" s="56" t="s">
        <v>64</v>
      </c>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rg:True</v>
      </c>
    </row>
    <row r="234" spans="1:25" x14ac:dyDescent="0.3">
      <c r="A234" s="3" t="s">
        <v>34</v>
      </c>
      <c r="B234" s="3" t="s">
        <v>13</v>
      </c>
      <c r="C234" s="3"/>
      <c r="D234" s="3" t="s">
        <v>35</v>
      </c>
      <c r="E234" s="87" t="s">
        <v>471</v>
      </c>
      <c r="F234" s="3" t="s">
        <v>5</v>
      </c>
      <c r="G234" s="56" t="s">
        <v>64</v>
      </c>
      <c r="H234" s="56"/>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7" t="s">
        <v>472</v>
      </c>
      <c r="F235" s="3" t="s">
        <v>5</v>
      </c>
      <c r="G235" s="56" t="s">
        <v>64</v>
      </c>
      <c r="H235" s="56"/>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9" t="s">
        <v>34</v>
      </c>
      <c r="B236" s="89" t="s">
        <v>13</v>
      </c>
      <c r="C236" s="19"/>
      <c r="D236" s="89" t="s">
        <v>473</v>
      </c>
      <c r="E236" s="64" t="s">
        <v>474</v>
      </c>
      <c r="F236" s="13"/>
      <c r="G236" s="20"/>
      <c r="H236" s="20"/>
      <c r="I236" s="4" t="str">
        <f>IF(LEN(A236) &gt; 0,"Defs","-")</f>
        <v>Defs</v>
      </c>
      <c r="J236" s="15" t="str">
        <f>IF(Table2[[#This Row],[!Type]]=J$1, J$1,"rg:None")</f>
        <v>rg:None</v>
      </c>
      <c r="K236" s="49"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3" t="s">
        <v>37</v>
      </c>
      <c r="F237" s="3" t="s">
        <v>30</v>
      </c>
      <c r="G237" s="92"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7" t="s">
        <v>475</v>
      </c>
      <c r="F238" s="3" t="s">
        <v>5</v>
      </c>
      <c r="G238" s="92"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7" t="s">
        <v>476</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3" t="s">
        <v>480</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3" t="s">
        <v>375</v>
      </c>
      <c r="F241" s="3" t="s">
        <v>5</v>
      </c>
      <c r="G241" s="4" t="s">
        <v>64</v>
      </c>
      <c r="H241" s="56"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7" t="s">
        <v>471</v>
      </c>
      <c r="F242" s="3" t="s">
        <v>5</v>
      </c>
      <c r="G242" s="56" t="s">
        <v>64</v>
      </c>
      <c r="H242" s="56"/>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9" t="s">
        <v>10</v>
      </c>
      <c r="B243" s="89" t="s">
        <v>13</v>
      </c>
      <c r="C243" s="19"/>
      <c r="D243" s="89" t="s">
        <v>478</v>
      </c>
      <c r="E243" s="64" t="s">
        <v>479</v>
      </c>
      <c r="F243" s="13"/>
      <c r="G243" s="20"/>
      <c r="H243" s="20"/>
      <c r="I243" s="4" t="str">
        <f>IF(LEN(A243) &gt; 0,"Defs","-")</f>
        <v>Defs</v>
      </c>
      <c r="J243" s="15" t="str">
        <f>IF(Table2[[#This Row],[!Type]]=J$1, J$1,"rg:None")</f>
        <v>rg:None</v>
      </c>
      <c r="K243" s="49"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7" t="s">
        <v>477</v>
      </c>
      <c r="F244" s="3" t="s">
        <v>5</v>
      </c>
      <c r="G244" s="56" t="s">
        <v>64</v>
      </c>
      <c r="H244" s="56"/>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3" t="s">
        <v>40</v>
      </c>
      <c r="F245" s="3" t="s">
        <v>34</v>
      </c>
      <c r="G245" s="92"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7" t="s">
        <v>475</v>
      </c>
      <c r="F246" s="3" t="s">
        <v>5</v>
      </c>
      <c r="G246" s="92"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7" t="s">
        <v>476</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7" t="s">
        <v>431</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3" t="s">
        <v>404</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9" t="s">
        <v>161</v>
      </c>
      <c r="B250" s="89" t="s">
        <v>13</v>
      </c>
      <c r="C250" s="19"/>
      <c r="D250" s="89" t="s">
        <v>482</v>
      </c>
      <c r="E250" s="88" t="s">
        <v>481</v>
      </c>
      <c r="F250" s="13"/>
      <c r="G250" s="20"/>
      <c r="H250" s="20"/>
      <c r="I250" s="4" t="str">
        <f>IF(LEN(A250) &gt; 0,"Defs","-")</f>
        <v>Defs</v>
      </c>
      <c r="J250" s="15" t="str">
        <f>IF(Table2[[#This Row],[!Type]]=J$1, J$1,"rg:None")</f>
        <v>rg:None</v>
      </c>
      <c r="K250" s="49"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8"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8"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9" t="s">
        <v>161</v>
      </c>
      <c r="B253" s="3" t="s">
        <v>12</v>
      </c>
      <c r="C253" s="3"/>
      <c r="D253" s="3" t="s">
        <v>32</v>
      </c>
      <c r="E253" s="87" t="s">
        <v>475</v>
      </c>
      <c r="F253" s="3" t="s">
        <v>5</v>
      </c>
      <c r="G253" s="92"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9" t="s">
        <v>161</v>
      </c>
      <c r="B254" s="3" t="s">
        <v>12</v>
      </c>
      <c r="C254" s="3"/>
      <c r="D254" s="3" t="s">
        <v>33</v>
      </c>
      <c r="E254" s="87" t="s">
        <v>476</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3"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3" t="s">
        <v>376</v>
      </c>
      <c r="F256" s="3" t="s">
        <v>5</v>
      </c>
      <c r="G256" s="4" t="s">
        <v>64</v>
      </c>
      <c r="H256" s="56" t="s">
        <v>64</v>
      </c>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rg:True</v>
      </c>
    </row>
    <row r="257" spans="1:25" x14ac:dyDescent="0.3">
      <c r="A257" s="3" t="s">
        <v>11</v>
      </c>
      <c r="B257" s="3" t="s">
        <v>7</v>
      </c>
      <c r="C257" s="3">
        <v>150</v>
      </c>
      <c r="D257" s="3" t="s">
        <v>15</v>
      </c>
      <c r="E257" s="63"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7" t="s">
        <v>433</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3" t="s">
        <v>377</v>
      </c>
      <c r="F259" s="3" t="s">
        <v>5</v>
      </c>
      <c r="G259" s="4" t="s">
        <v>64</v>
      </c>
      <c r="H259" s="56" t="s">
        <v>64</v>
      </c>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rg:True</v>
      </c>
    </row>
    <row r="260" spans="1:25" x14ac:dyDescent="0.3">
      <c r="A260" s="3" t="s">
        <v>0</v>
      </c>
      <c r="B260" s="3" t="s">
        <v>7</v>
      </c>
      <c r="C260" s="3">
        <v>50</v>
      </c>
      <c r="D260" s="3" t="s">
        <v>16</v>
      </c>
      <c r="E260" s="63" t="s">
        <v>378</v>
      </c>
      <c r="F260" s="3" t="s">
        <v>5</v>
      </c>
      <c r="G260" s="56" t="s">
        <v>64</v>
      </c>
      <c r="H260" s="56"/>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3" t="s">
        <v>379</v>
      </c>
      <c r="F261" s="3" t="s">
        <v>5</v>
      </c>
      <c r="G261" s="56" t="s">
        <v>64</v>
      </c>
      <c r="H261" s="56"/>
      <c r="I261" s="5" t="str">
        <f t="shared" ref="I261:I298"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3" t="s">
        <v>380</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3" t="s">
        <v>381</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3" t="s">
        <v>382</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3"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3" t="s">
        <v>383</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3" t="s">
        <v>384</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3"/>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3"/>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ht="28.8" x14ac:dyDescent="0.3">
      <c r="A270" s="3" t="s">
        <v>52</v>
      </c>
      <c r="B270" s="3" t="s">
        <v>4</v>
      </c>
      <c r="C270" s="3"/>
      <c r="D270" s="3" t="s">
        <v>52</v>
      </c>
      <c r="E270" s="63" t="s">
        <v>385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9" t="str">
        <f>IF(LEN(Table2[[#This Row],[!Length]]) &gt; 0, Table2[[#This Row],[!Length]], "rg:None")</f>
        <v>rg:None</v>
      </c>
      <c r="U270" s="9" t="str">
        <f>IF(LEN(Table2[[#This Row],[!Name]]) &gt; 0, Table2[[#This Row],[!Name]], "rg:None")</f>
        <v>UserRole</v>
      </c>
      <c r="V27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0" s="9" t="str">
        <f>IF(LEN(Table2[[#This Row],[!FK]])&gt;0,Table2[[#This Row],[!FK]],"rg:None")</f>
        <v>rg:None</v>
      </c>
      <c r="X270" s="9" t="str">
        <f>IF(LEN(concatif2(A:A,Table2[[#This Row],[!Table]],G:G,"Y",D:D,",")) &gt; 0,"rg:[ { 'req' : '"&amp;concatif2(A:A,Table2[[#This Row],[!Table]],G:G,"Y",D:D,"' }, { 'req': '")&amp;"'} ]","rg:[]")</f>
        <v>rg:[ { 'req' : 'id' }, { 'req': 'effectiveDate'} ]</v>
      </c>
      <c r="Y270" s="9" t="str">
        <f>IF(LEN(Table2[[#This Row],[!Unique]])&gt;0,"rg:True","rg:None")</f>
        <v>rg:None</v>
      </c>
    </row>
    <row r="271" spans="1:25" x14ac:dyDescent="0.3">
      <c r="A271" s="3" t="s">
        <v>52</v>
      </c>
      <c r="B271" s="3" t="s">
        <v>6</v>
      </c>
      <c r="C271" s="3"/>
      <c r="D271" s="3" t="s">
        <v>6</v>
      </c>
      <c r="E271" s="63" t="s">
        <v>386</v>
      </c>
      <c r="F271" s="3" t="s">
        <v>5</v>
      </c>
      <c r="G271" s="4" t="s">
        <v>64</v>
      </c>
      <c r="H271" s="4"/>
      <c r="I271" s="5" t="str">
        <f t="shared" si="18"/>
        <v>Defs</v>
      </c>
      <c r="J271" t="str">
        <f>IF(Table2[[#This Row],[!Type]]=J$1, J$1,"rg:None")</f>
        <v>rg:None</v>
      </c>
      <c r="K271" t="str">
        <f>IF(Table2[[#This Row],[!Type]]=K$1, K$1,"rg:None")</f>
        <v>rg:None</v>
      </c>
      <c r="L271" t="str">
        <f>IF(Table2[[#This Row],[!Type]]=L$1, L$1,"rg:None")</f>
        <v>rg:None</v>
      </c>
      <c r="M271" t="str">
        <f>IF(Table2[[#This Row],[!Type]]=M$1, M$1,"rg:None")</f>
        <v>id</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9" t="str">
        <f>IF(LEN(Table2[[#This Row],[!Length]]) &gt; 0, Table2[[#This Row],[!Length]], "rg:None")</f>
        <v>rg:None</v>
      </c>
      <c r="U271" s="9" t="str">
        <f>IF(LEN(Table2[[#This Row],[!Name]]) &gt; 0, Table2[[#This Row],[!Name]], "rg:None")</f>
        <v>id</v>
      </c>
      <c r="V271" s="9" t="str">
        <f>IF(LEN(Table2[[#This Row],[!Description]]) &gt; 0, Table2[[#This Row],[!Description]], "rg:None")</f>
        <v>A system-generated unique identifier for a UserRole</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12</v>
      </c>
      <c r="C272" s="3"/>
      <c r="D272" s="3" t="s">
        <v>53</v>
      </c>
      <c r="E272" s="63" t="s">
        <v>387</v>
      </c>
      <c r="F272" s="3" t="s">
        <v>5</v>
      </c>
      <c r="G272" s="4" t="s">
        <v>64</v>
      </c>
      <c r="H272" s="4"/>
      <c r="I272" s="5" t="str">
        <f t="shared" si="18"/>
        <v>Defs</v>
      </c>
      <c r="J272" t="str">
        <f>IF(Table2[[#This Row],[!Type]]=J$1, J$1,"rg:None")</f>
        <v>rg:None</v>
      </c>
      <c r="K272" t="str">
        <f>IF(Table2[[#This Row],[!Type]]=K$1, K$1,"rg:None")</f>
        <v>rg:None</v>
      </c>
      <c r="L272" t="str">
        <f>IF(Table2[[#This Row],[!Type]]=L$1, L$1,"rg:None")</f>
        <v>datetime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effectiveDate</v>
      </c>
      <c r="V272" s="9" t="str">
        <f>IF(LEN(Table2[[#This Row],[!Description]]) &gt; 0, Table2[[#This Row],[!Description]], "rg:None")</f>
        <v>The date on which the user was given the related 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54</v>
      </c>
      <c r="E273" s="63" t="s">
        <v>388</v>
      </c>
      <c r="F273" s="3" t="s">
        <v>5</v>
      </c>
      <c r="G273" s="4"/>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expiryDate</v>
      </c>
      <c r="V273" s="9" t="str">
        <f>IF(LEN(Table2[[#This Row],[!Description]]) &gt; 0, Table2[[#This Row],[!Description]], "rg:None")</f>
        <v>The date on which a role previously assigned to a user was removed from that user.</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8</v>
      </c>
      <c r="C274" s="3"/>
      <c r="D274" s="3" t="s">
        <v>18</v>
      </c>
      <c r="E274" s="63"/>
      <c r="F274" s="3" t="s">
        <v>55</v>
      </c>
      <c r="G274" s="4"/>
      <c r="H274" s="4"/>
      <c r="I274" s="5" t="str">
        <f t="shared" si="18"/>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ref</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role</v>
      </c>
      <c r="V274" s="9" t="str">
        <f>IF(LEN(Table2[[#This Row],[!Description]]) &gt; 0, Table2[[#This Row],[!Description]], "rg:None")</f>
        <v>rg:None</v>
      </c>
      <c r="W274" s="9" t="str">
        <f>IF(LEN(Table2[[#This Row],[!FK]])&gt;0,Table2[[#This Row],[!FK]],"rg:None")</f>
        <v>Role</v>
      </c>
      <c r="X274" s="9" t="str">
        <f>IF(LEN(concatif2(A:A,Table2[[#This Row],[!Table]],G:G,"Y",D:D,",")) &gt; 0,"rg:[ { 'req' : '"&amp;concatif2(A:A,Table2[[#This Row],[!Table]],G:G,"Y",D:D,"' }, { 'req': '")&amp;"'} ]","rg:[]")</f>
        <v>rg:[ { 'req' : 'id' }, { 'req': 'effectiveDate'} ]</v>
      </c>
      <c r="Y274" s="9" t="str">
        <f>IF(LEN(Table2[[#This Row],[!Unique]])&gt;0,"rg:True","rg:None")</f>
        <v>rg:None</v>
      </c>
    </row>
    <row r="275" spans="1:25" ht="43.2" x14ac:dyDescent="0.3">
      <c r="A275" s="3" t="s">
        <v>55</v>
      </c>
      <c r="B275" s="3" t="s">
        <v>4</v>
      </c>
      <c r="C275" s="3"/>
      <c r="D275" s="3" t="s">
        <v>55</v>
      </c>
      <c r="E275" s="87" t="s">
        <v>434</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Role</v>
      </c>
      <c r="V275"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5" s="9" t="str">
        <f>IF(LEN(Table2[[#This Row],[!FK]])&gt;0,Table2[[#This Row],[!FK]],"rg:None")</f>
        <v>rg:None</v>
      </c>
      <c r="X275" s="9" t="str">
        <f>IF(LEN(concatif2(A:A,Table2[[#This Row],[!Table]],G:G,"Y",D:D,",")) &gt; 0,"rg:[ { 'req' : '"&amp;concatif2(A:A,Table2[[#This Row],[!Table]],G:G,"Y",D:D,"' }, { 'req': '")&amp;"'} ]","rg:[]")</f>
        <v>rg:[ { 'req' : 'id' }, { 'req': 'name' }, { 'req': 'description'} ]</v>
      </c>
      <c r="Y275" s="9" t="str">
        <f>IF(LEN(Table2[[#This Row],[!Unique]])&gt;0,"rg:True","rg:None")</f>
        <v>rg:None</v>
      </c>
    </row>
    <row r="276" spans="1:25" x14ac:dyDescent="0.3">
      <c r="A276" s="3" t="s">
        <v>55</v>
      </c>
      <c r="B276" s="3" t="s">
        <v>6</v>
      </c>
      <c r="C276" s="3"/>
      <c r="D276" s="3" t="s">
        <v>6</v>
      </c>
      <c r="E276" s="63" t="s">
        <v>389</v>
      </c>
      <c r="F276" s="3" t="s">
        <v>5</v>
      </c>
      <c r="G276" s="4" t="s">
        <v>64</v>
      </c>
      <c r="H276" s="4"/>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Role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7</v>
      </c>
      <c r="C277" s="3">
        <v>255</v>
      </c>
      <c r="D277" s="3" t="s">
        <v>15</v>
      </c>
      <c r="E277" s="63" t="s">
        <v>390</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9">
        <f>IF(LEN(Table2[[#This Row],[!Length]]) &gt; 0, Table2[[#This Row],[!Length]], "rg:None")</f>
        <v>255</v>
      </c>
      <c r="U277" s="9" t="str">
        <f>IF(LEN(Table2[[#This Row],[!Name]]) &gt; 0, Table2[[#This Row],[!Name]], "rg:None")</f>
        <v>name</v>
      </c>
      <c r="V277" s="9" t="str">
        <f>IF(LEN(Table2[[#This Row],[!Description]]) &gt; 0, Table2[[#This Row],[!Description]], "rg:None")</f>
        <v>The name of the Role, as established by the user creating the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2048</v>
      </c>
      <c r="D278" s="3" t="s">
        <v>14</v>
      </c>
      <c r="E278" s="63" t="s">
        <v>391</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2048</v>
      </c>
      <c r="U278" s="9" t="str">
        <f>IF(LEN(Table2[[#This Row],[!Name]]) &gt; 0, Table2[[#This Row],[!Name]], "rg:None")</f>
        <v>description</v>
      </c>
      <c r="V278" s="9" t="str">
        <f>IF(LEN(Table2[[#This Row],[!Description]]) &gt; 0, Table2[[#This Row],[!Description]], "rg:None")</f>
        <v>A description of the role as set by the user creating/updating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19</v>
      </c>
      <c r="C279" s="3"/>
      <c r="D279" s="3" t="s">
        <v>56</v>
      </c>
      <c r="E279" s="63"/>
      <c r="F279" s="3" t="s">
        <v>57</v>
      </c>
      <c r="G279" s="4"/>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links</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rolePermissions</v>
      </c>
      <c r="V279" s="9" t="str">
        <f>IF(LEN(Table2[[#This Row],[!Description]]) &gt; 0, Table2[[#This Row],[!Description]], "rg:None")</f>
        <v>rg:None</v>
      </c>
      <c r="W279" s="9" t="str">
        <f>IF(LEN(Table2[[#This Row],[!FK]])&gt;0,Table2[[#This Row],[!FK]],"rg:None")</f>
        <v>RolePermission</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50</v>
      </c>
      <c r="E280" s="63"/>
      <c r="F280" s="3" t="s">
        <v>52</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userRoles</v>
      </c>
      <c r="V280" s="9" t="str">
        <f>IF(LEN(Table2[[#This Row],[!Description]]) &gt; 0, Table2[[#This Row],[!Description]], "rg:None")</f>
        <v>rg:None</v>
      </c>
      <c r="W280" s="9" t="str">
        <f>IF(LEN(Table2[[#This Row],[!FK]])&gt;0,Table2[[#This Row],[!FK]],"rg:None")</f>
        <v>UserRole</v>
      </c>
      <c r="X280" s="9" t="str">
        <f>IF(LEN(concatif2(A:A,Table2[[#This Row],[!Table]],G:G,"Y",D:D,",")) &gt; 0,"rg:[ { 'req' : '"&amp;concatif2(A:A,Table2[[#This Row],[!Table]],G:G,"Y",D:D,"' }, { 'req': '")&amp;"'} ]","rg:[]")</f>
        <v>rg:[ { 'req' : 'id' }, { 'req': 'name' }, { 'req': 'description'} ]</v>
      </c>
      <c r="Y280" s="9" t="str">
        <f>IF(LEN(Table2[[#This Row],[!Unique]])&gt;0,"rg:True","rg:None")</f>
        <v>rg:None</v>
      </c>
    </row>
    <row r="281" spans="1:25" ht="28.8" x14ac:dyDescent="0.3">
      <c r="A281" s="3" t="s">
        <v>57</v>
      </c>
      <c r="B281" s="3" t="s">
        <v>4</v>
      </c>
      <c r="C281" s="3"/>
      <c r="D281" s="3" t="s">
        <v>57</v>
      </c>
      <c r="E281" s="87" t="s">
        <v>435</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RolePermission</v>
      </c>
      <c r="V281" s="9" t="str">
        <f>IF(LEN(Table2[[#This Row],[!Description]]) &gt; 0, Table2[[#This Row],[!Description]], "rg:None")</f>
        <v>A permission that is part of a Role - a component of the authorization provided by the Role to the user to which the Role is assigned.</v>
      </c>
      <c r="W281" s="9" t="str">
        <f>IF(LEN(Table2[[#This Row],[!FK]])&gt;0,Table2[[#This Row],[!FK]],"rg:None")</f>
        <v>rg:None</v>
      </c>
      <c r="X281" s="9" t="str">
        <f>IF(LEN(concatif2(A:A,Table2[[#This Row],[!Table]],G:G,"Y",D:D,",")) &gt; 0,"rg:[ { 'req' : '"&amp;concatif2(A:A,Table2[[#This Row],[!Table]],G:G,"Y",D:D,"' }, { 'req': '")&amp;"'} ]","rg:[]")</f>
        <v>rg:[ { 'req' : 'id'} ]</v>
      </c>
      <c r="Y281" s="9" t="str">
        <f>IF(LEN(Table2[[#This Row],[!Unique]])&gt;0,"rg:True","rg:None")</f>
        <v>rg:None</v>
      </c>
    </row>
    <row r="282" spans="1:25" x14ac:dyDescent="0.3">
      <c r="A282" s="3" t="s">
        <v>57</v>
      </c>
      <c r="B282" s="3" t="s">
        <v>6</v>
      </c>
      <c r="C282" s="3"/>
      <c r="D282" s="3" t="s">
        <v>6</v>
      </c>
      <c r="E282" s="63" t="s">
        <v>392</v>
      </c>
      <c r="F282" s="3" t="s">
        <v>5</v>
      </c>
      <c r="G282" s="4" t="s">
        <v>64</v>
      </c>
      <c r="H282" s="4"/>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RolePermission</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8</v>
      </c>
      <c r="C283" s="3"/>
      <c r="D283" s="3" t="s">
        <v>18</v>
      </c>
      <c r="E283" s="63"/>
      <c r="F283" s="3" t="s">
        <v>55</v>
      </c>
      <c r="G283" s="4"/>
      <c r="H283" s="4"/>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role</v>
      </c>
      <c r="V283" s="9" t="str">
        <f>IF(LEN(Table2[[#This Row],[!Description]]) &gt; 0, Table2[[#This Row],[!Description]], "rg:None")</f>
        <v>rg:None</v>
      </c>
      <c r="W283" s="9" t="str">
        <f>IF(LEN(Table2[[#This Row],[!FK]])&gt;0,Table2[[#This Row],[!FK]],"rg:None")</f>
        <v>Role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58</v>
      </c>
      <c r="E284" s="63"/>
      <c r="F284" s="3" t="s">
        <v>59</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permission</v>
      </c>
      <c r="V284" s="9" t="str">
        <f>IF(LEN(Table2[[#This Row],[!Description]]) &gt; 0, Table2[[#This Row],[!Description]], "rg:None")</f>
        <v>rg:None</v>
      </c>
      <c r="W284" s="9" t="str">
        <f>IF(LEN(Table2[[#This Row],[!FK]])&gt;0,Table2[[#This Row],[!FK]],"rg:None")</f>
        <v>Permission</v>
      </c>
      <c r="X284" s="9" t="str">
        <f>IF(LEN(concatif2(A:A,Table2[[#This Row],[!Table]],G:G,"Y",D:D,",")) &gt; 0,"rg:[ { 'req' : '"&amp;concatif2(A:A,Table2[[#This Row],[!Table]],G:G,"Y",D:D,"' }, { 'req': '")&amp;"'} ]","rg:[]")</f>
        <v>rg:[ { 'req' : 'id'} ]</v>
      </c>
      <c r="Y284" s="9" t="str">
        <f>IF(LEN(Table2[[#This Row],[!Unique]])&gt;0,"rg:True","rg:None")</f>
        <v>rg:None</v>
      </c>
    </row>
    <row r="285" spans="1:25" ht="72" x14ac:dyDescent="0.3">
      <c r="A285" s="3" t="s">
        <v>59</v>
      </c>
      <c r="B285" s="3" t="s">
        <v>4</v>
      </c>
      <c r="C285" s="3"/>
      <c r="D285" s="3" t="s">
        <v>59</v>
      </c>
      <c r="E285" s="87" t="s">
        <v>436</v>
      </c>
      <c r="F285" s="3" t="s">
        <v>5</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table</v>
      </c>
      <c r="T285" s="9" t="str">
        <f>IF(LEN(Table2[[#This Row],[!Length]]) &gt; 0, Table2[[#This Row],[!Length]], "rg:None")</f>
        <v>rg:None</v>
      </c>
      <c r="U285" s="9" t="str">
        <f>IF(LEN(Table2[[#This Row],[!Name]]) &gt; 0, Table2[[#This Row],[!Name]], "rg:None")</f>
        <v>Permission</v>
      </c>
      <c r="V285"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5" s="9" t="str">
        <f>IF(LEN(Table2[[#This Row],[!FK]])&gt;0,Table2[[#This Row],[!FK]],"rg:None")</f>
        <v>rg:None</v>
      </c>
      <c r="X285" s="9" t="str">
        <f>IF(LEN(concatif2(A:A,Table2[[#This Row],[!Table]],G:G,"Y",D:D,",")) &gt; 0,"rg:[ { 'req' : '"&amp;concatif2(A:A,Table2[[#This Row],[!Table]],G:G,"Y",D:D,"' }, { 'req': '")&amp;"'} ]","rg:[]")</f>
        <v>rg:[ { 'req' : 'id' }, { 'req': 'code' }, { 'req': 'name' }, { 'req': 'description'} ]</v>
      </c>
      <c r="Y285" s="9" t="str">
        <f>IF(LEN(Table2[[#This Row],[!Unique]])&gt;0,"rg:True","rg:None")</f>
        <v>rg:None</v>
      </c>
    </row>
    <row r="286" spans="1:25" x14ac:dyDescent="0.3">
      <c r="A286" s="3" t="s">
        <v>59</v>
      </c>
      <c r="B286" s="3" t="s">
        <v>6</v>
      </c>
      <c r="C286" s="3"/>
      <c r="D286" s="3" t="s">
        <v>6</v>
      </c>
      <c r="E286" s="63" t="s">
        <v>393</v>
      </c>
      <c r="F286" s="3" t="s">
        <v>5</v>
      </c>
      <c r="G286" s="4" t="s">
        <v>64</v>
      </c>
      <c r="H286" s="4"/>
      <c r="I286" s="5" t="str">
        <f t="shared" si="18"/>
        <v>Defs</v>
      </c>
      <c r="J286" t="str">
        <f>IF(Table2[[#This Row],[!Type]]=J$1, J$1,"rg:None")</f>
        <v>rg:None</v>
      </c>
      <c r="K286" t="str">
        <f>IF(Table2[[#This Row],[!Type]]=K$1, K$1,"rg:None")</f>
        <v>rg:None</v>
      </c>
      <c r="L286" t="str">
        <f>IF(Table2[[#This Row],[!Type]]=L$1, L$1,"rg:None")</f>
        <v>rg:None</v>
      </c>
      <c r="M286" t="str">
        <f>IF(Table2[[#This Row],[!Type]]=M$1, M$1,"rg:None")</f>
        <v>id</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id</v>
      </c>
      <c r="V286" s="9" t="str">
        <f>IF(LEN(Table2[[#This Row],[!Description]]) &gt; 0, Table2[[#This Row],[!Description]], "rg:None")</f>
        <v>A system-generated unique identifier for a Permission</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7</v>
      </c>
      <c r="C287" s="3">
        <v>50</v>
      </c>
      <c r="D287" s="3" t="s">
        <v>60</v>
      </c>
      <c r="E287" s="63" t="s">
        <v>394</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string</v>
      </c>
      <c r="S287" s="5" t="str">
        <f>IF(Table2[[#This Row],[!Type]]=S$1, S$1,"rg:None")</f>
        <v>rg:None</v>
      </c>
      <c r="T287" s="9">
        <f>IF(LEN(Table2[[#This Row],[!Length]]) &gt; 0, Table2[[#This Row],[!Length]], "rg:None")</f>
        <v>50</v>
      </c>
      <c r="U287" s="9" t="str">
        <f>IF(LEN(Table2[[#This Row],[!Name]]) &gt; 0, Table2[[#This Row],[!Name]], "rg:None")</f>
        <v>code</v>
      </c>
      <c r="V287" s="9" t="str">
        <f>IF(LEN(Table2[[#This Row],[!Description]]) &gt; 0, Table2[[#This Row],[!Description]], "rg:None")</f>
        <v>The name of the permission referenced in the software of the application.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ht="28.8" x14ac:dyDescent="0.3">
      <c r="A288" s="3" t="s">
        <v>59</v>
      </c>
      <c r="B288" s="3" t="s">
        <v>7</v>
      </c>
      <c r="C288" s="3">
        <v>150</v>
      </c>
      <c r="D288" s="3" t="s">
        <v>15</v>
      </c>
      <c r="E288" s="63" t="s">
        <v>395</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150</v>
      </c>
      <c r="U288" s="9" t="str">
        <f>IF(LEN(Table2[[#This Row],[!Name]]) &gt; 0, Table2[[#This Row],[!Name]], "rg:None")</f>
        <v>name</v>
      </c>
      <c r="V288" s="9" t="str">
        <f>IF(LEN(Table2[[#This Row],[!Description]]) &gt; 0, Table2[[#This Row],[!Description]], "rg:None")</f>
        <v>The 'user friendly' name of the permission exposed to the user selecting the permissions to be included in a Role.</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2048</v>
      </c>
      <c r="D289" s="3" t="s">
        <v>14</v>
      </c>
      <c r="E289" s="63" t="s">
        <v>396</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2048</v>
      </c>
      <c r="U289" s="9" t="str">
        <f>IF(LEN(Table2[[#This Row],[!Name]]) &gt; 0, Table2[[#This Row],[!Name]], "rg:None")</f>
        <v>description</v>
      </c>
      <c r="V289" s="9" t="str">
        <f>IF(LEN(Table2[[#This Row],[!Description]]) &gt; 0, Table2[[#This Row],[!Description]], "rg:None")</f>
        <v>A description of the purpose of the permission and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x14ac:dyDescent="0.3">
      <c r="A290" s="3" t="s">
        <v>61</v>
      </c>
      <c r="B290" s="3" t="s">
        <v>4</v>
      </c>
      <c r="C290" s="3"/>
      <c r="D290" s="3" t="s">
        <v>61</v>
      </c>
      <c r="E290" s="63" t="s">
        <v>397</v>
      </c>
      <c r="F290" s="3" t="s">
        <v>5</v>
      </c>
      <c r="G290" s="4"/>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9" t="str">
        <f>IF(LEN(Table2[[#This Row],[!Length]]) &gt; 0, Table2[[#This Row],[!Length]], "rg:None")</f>
        <v>rg:None</v>
      </c>
      <c r="U290" s="9" t="str">
        <f>IF(LEN(Table2[[#This Row],[!Name]]) &gt; 0, Table2[[#This Row],[!Name]], "rg:None")</f>
        <v>GroupMembership</v>
      </c>
      <c r="V290" s="9" t="str">
        <f>IF(LEN(Table2[[#This Row],[!Description]]) &gt; 0, Table2[[#This Row],[!Description]], "rg:None")</f>
        <v>The users associated with a given group that has been defined in the application.</v>
      </c>
      <c r="W290" s="9" t="str">
        <f>IF(LEN(Table2[[#This Row],[!FK]])&gt;0,Table2[[#This Row],[!FK]],"rg:None")</f>
        <v>rg:None</v>
      </c>
      <c r="X290" s="9" t="str">
        <f>IF(LEN(concatif2(A:A,Table2[[#This Row],[!Table]],G:G,"Y",D:D,",")) &gt; 0,"rg:[ { 'req' : '"&amp;concatif2(A:A,Table2[[#This Row],[!Table]],G:G,"Y",D:D,"' }, { 'req': '")&amp;"'} ]","rg:[]")</f>
        <v>rg:[ { 'req' : 'id' }, { 'req': 'active'} ]</v>
      </c>
      <c r="Y290" s="9" t="str">
        <f>IF(LEN(Table2[[#This Row],[!Unique]])&gt;0,"rg:True","rg:None")</f>
        <v>rg:None</v>
      </c>
    </row>
    <row r="291" spans="1:25" x14ac:dyDescent="0.3">
      <c r="A291" s="3" t="s">
        <v>61</v>
      </c>
      <c r="B291" s="3" t="s">
        <v>6</v>
      </c>
      <c r="C291" s="3"/>
      <c r="D291" s="3" t="s">
        <v>6</v>
      </c>
      <c r="E291" s="63" t="s">
        <v>398</v>
      </c>
      <c r="F291" s="3" t="s">
        <v>5</v>
      </c>
      <c r="G291" s="4" t="s">
        <v>64</v>
      </c>
      <c r="H291" s="4"/>
      <c r="I291" s="5" t="str">
        <f t="shared" si="18"/>
        <v>Defs</v>
      </c>
      <c r="J291" t="str">
        <f>IF(Table2[[#This Row],[!Type]]=J$1, J$1,"rg:None")</f>
        <v>rg:None</v>
      </c>
      <c r="K291" t="str">
        <f>IF(Table2[[#This Row],[!Type]]=K$1, K$1,"rg:None")</f>
        <v>rg:None</v>
      </c>
      <c r="L291" t="str">
        <f>IF(Table2[[#This Row],[!Type]]=L$1, L$1,"rg:None")</f>
        <v>rg:None</v>
      </c>
      <c r="M291" t="str">
        <f>IF(Table2[[#This Row],[!Type]]=M$1, M$1,"rg:None")</f>
        <v>id</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9" t="str">
        <f>IF(LEN(Table2[[#This Row],[!Length]]) &gt; 0, Table2[[#This Row],[!Length]], "rg:None")</f>
        <v>rg:None</v>
      </c>
      <c r="U291" s="9" t="str">
        <f>IF(LEN(Table2[[#This Row],[!Name]]) &gt; 0, Table2[[#This Row],[!Name]], "rg:None")</f>
        <v>id</v>
      </c>
      <c r="V291" s="9" t="str">
        <f>IF(LEN(Table2[[#This Row],[!Description]]) &gt; 0, Table2[[#This Row],[!Description]], "rg:None")</f>
        <v>A system-generated unique identifier for a GroupMembership</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ht="28.8" x14ac:dyDescent="0.3">
      <c r="A292" s="3" t="s">
        <v>61</v>
      </c>
      <c r="B292" s="3" t="s">
        <v>9</v>
      </c>
      <c r="C292" s="3"/>
      <c r="D292" s="3" t="s">
        <v>43</v>
      </c>
      <c r="E292" s="63" t="s">
        <v>399</v>
      </c>
      <c r="F292" s="3" t="s">
        <v>5</v>
      </c>
      <c r="G292" s="4" t="s">
        <v>64</v>
      </c>
      <c r="H292" s="4"/>
      <c r="I292" s="5" t="str">
        <f t="shared" si="18"/>
        <v>Defs</v>
      </c>
      <c r="J292" t="str">
        <f>IF(Table2[[#This Row],[!Type]]=J$1, J$1,"rg:None")</f>
        <v>boolean</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active</v>
      </c>
      <c r="V292" s="9" t="str">
        <f>IF(LEN(Table2[[#This Row],[!Description]]) &gt; 0, Table2[[#This Row],[!Description]], "rg:None")</f>
        <v>A flag indicating the User is active in the group. Set false to remove the user from the designated group.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x14ac:dyDescent="0.3">
      <c r="A293" s="3" t="s">
        <v>61</v>
      </c>
      <c r="B293" s="3" t="s">
        <v>8</v>
      </c>
      <c r="C293" s="3"/>
      <c r="D293" s="3" t="s">
        <v>62</v>
      </c>
      <c r="E293" s="63"/>
      <c r="F293" s="3" t="s">
        <v>63</v>
      </c>
      <c r="G293" s="4"/>
      <c r="H293" s="4"/>
      <c r="I293" s="5" t="str">
        <f t="shared" si="18"/>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group</v>
      </c>
      <c r="V293" s="9" t="str">
        <f>IF(LEN(Table2[[#This Row],[!Description]]) &gt; 0, Table2[[#This Row],[!Description]], "rg:None")</f>
        <v>rg:None</v>
      </c>
      <c r="W293" s="9" t="str">
        <f>IF(LEN(Table2[[#This Row],[!FK]])&gt;0,Table2[[#This Row],[!FK]],"rg:None")</f>
        <v>Group</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42</v>
      </c>
      <c r="E294" s="63"/>
      <c r="F294" s="3" t="s">
        <v>0</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user</v>
      </c>
      <c r="V294" s="9" t="str">
        <f>IF(LEN(Table2[[#This Row],[!Description]]) &gt; 0, Table2[[#This Row],[!Description]], "rg:None")</f>
        <v>rg:None</v>
      </c>
      <c r="W294" s="9" t="str">
        <f>IF(LEN(Table2[[#This Row],[!FK]])&gt;0,Table2[[#This Row],[!FK]],"rg:None")</f>
        <v>User</v>
      </c>
      <c r="X294" s="9" t="str">
        <f>IF(LEN(concatif2(A:A,Table2[[#This Row],[!Table]],G:G,"Y",D:D,",")) &gt; 0,"rg:[ { 'req' : '"&amp;concatif2(A:A,Table2[[#This Row],[!Table]],G:G,"Y",D:D,"' }, { 'req': '")&amp;"'} ]","rg:[]")</f>
        <v>rg:[ { 'req' : 'id' }, { 'req': 'active'} ]</v>
      </c>
      <c r="Y294" s="9" t="str">
        <f>IF(LEN(Table2[[#This Row],[!Unique]])&gt;0,"rg:True","rg:None")</f>
        <v>rg:None</v>
      </c>
    </row>
    <row r="295" spans="1:25" ht="43.2" x14ac:dyDescent="0.3">
      <c r="A295" s="3" t="s">
        <v>63</v>
      </c>
      <c r="B295" s="3" t="s">
        <v>4</v>
      </c>
      <c r="C295" s="3"/>
      <c r="D295" s="3" t="s">
        <v>63</v>
      </c>
      <c r="E295" s="87" t="s">
        <v>437</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Group</v>
      </c>
      <c r="V295"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5" s="9" t="str">
        <f>IF(LEN(Table2[[#This Row],[!FK]])&gt;0,Table2[[#This Row],[!FK]],"rg:None")</f>
        <v>rg:None</v>
      </c>
      <c r="X295" s="9" t="str">
        <f>IF(LEN(concatif2(A:A,Table2[[#This Row],[!Table]],G:G,"Y",D:D,",")) &gt; 0,"rg:[ { 'req' : '"&amp;concatif2(A:A,Table2[[#This Row],[!Table]],G:G,"Y",D:D,"' }, { 'req': '")&amp;"'} ]","rg:[]")</f>
        <v>rg:[ { 'req' : 'id' }, { 'req': 'name' }, { 'req': 'description'} ]</v>
      </c>
      <c r="Y295" s="9" t="str">
        <f>IF(LEN(Table2[[#This Row],[!Unique]])&gt;0,"rg:True","rg:None")</f>
        <v>rg:None</v>
      </c>
    </row>
    <row r="296" spans="1:25" x14ac:dyDescent="0.3">
      <c r="A296" s="3" t="s">
        <v>63</v>
      </c>
      <c r="B296" s="3" t="s">
        <v>6</v>
      </c>
      <c r="C296" s="3"/>
      <c r="D296" s="3" t="s">
        <v>6</v>
      </c>
      <c r="E296" s="63" t="s">
        <v>400</v>
      </c>
      <c r="F296" s="3" t="s">
        <v>5</v>
      </c>
      <c r="G296" s="4" t="s">
        <v>64</v>
      </c>
      <c r="H296" s="4"/>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Group</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7</v>
      </c>
      <c r="C297" s="3">
        <v>150</v>
      </c>
      <c r="D297" s="3" t="s">
        <v>15</v>
      </c>
      <c r="E297" s="63" t="s">
        <v>401</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150</v>
      </c>
      <c r="U297" s="9" t="str">
        <f>IF(LEN(Table2[[#This Row],[!Name]]) &gt; 0, Table2[[#This Row],[!Name]], "rg:None")</f>
        <v>name</v>
      </c>
      <c r="V297" s="9" t="str">
        <f>IF(LEN(Table2[[#This Row],[!Description]]) &gt; 0, Table2[[#This Row],[!Description]], "rg:None")</f>
        <v>The name of the group, as refenced in the code.</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ht="28.8" x14ac:dyDescent="0.3">
      <c r="A298" s="3" t="s">
        <v>63</v>
      </c>
      <c r="B298" s="3" t="s">
        <v>7</v>
      </c>
      <c r="C298" s="3">
        <v>2048</v>
      </c>
      <c r="D298" s="3" t="s">
        <v>14</v>
      </c>
      <c r="E298" s="63" t="s">
        <v>402</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2048</v>
      </c>
      <c r="U298" s="9" t="str">
        <f>IF(LEN(Table2[[#This Row],[!Name]]) &gt; 0, Table2[[#This Row],[!Name]], "rg:None")</f>
        <v>description</v>
      </c>
      <c r="V298" s="9" t="str">
        <f>IF(LEN(Table2[[#This Row],[!Description]]) &gt; 0, Table2[[#This Row],[!Description]], "rg:None")</f>
        <v>A description of the group that is presented to the user when they are setting a user into a group.</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5" t="s">
        <v>199</v>
      </c>
      <c r="C2" s="23" t="s">
        <v>201</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79</v>
      </c>
      <c r="B3" s="57" t="s">
        <v>199</v>
      </c>
      <c r="C3" s="58" t="s">
        <v>201</v>
      </c>
      <c r="D3" s="59"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77</v>
      </c>
      <c r="B4" s="35" t="s">
        <v>235</v>
      </c>
      <c r="C4" s="82" t="s">
        <v>203</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79</v>
      </c>
      <c r="B5" s="57" t="s">
        <v>235</v>
      </c>
      <c r="C5" s="83" t="s">
        <v>203</v>
      </c>
      <c r="D5" s="59"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4" t="s">
        <v>77</v>
      </c>
      <c r="B6" s="84" t="s">
        <v>213</v>
      </c>
      <c r="C6" s="85" t="s">
        <v>204</v>
      </c>
      <c r="D6" s="8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4" t="s">
        <v>79</v>
      </c>
      <c r="B7" s="84" t="s">
        <v>213</v>
      </c>
      <c r="C7" s="85" t="s">
        <v>204</v>
      </c>
      <c r="D7" s="86"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77</v>
      </c>
      <c r="B8" s="37" t="s">
        <v>237</v>
      </c>
      <c r="C8" s="23" t="s">
        <v>206</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79</v>
      </c>
      <c r="B9" s="57" t="s">
        <v>237</v>
      </c>
      <c r="C9" s="58" t="s">
        <v>206</v>
      </c>
      <c r="D9" s="59"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5" t="s">
        <v>233</v>
      </c>
      <c r="C10" s="3" t="s">
        <v>155</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79</v>
      </c>
      <c r="B11" s="57" t="s">
        <v>233</v>
      </c>
      <c r="C11" s="58" t="s">
        <v>155</v>
      </c>
      <c r="D11" s="59"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5" t="s">
        <v>234</v>
      </c>
      <c r="C12" s="3" t="s">
        <v>138</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79</v>
      </c>
      <c r="B13" s="57" t="s">
        <v>234</v>
      </c>
      <c r="C13" s="58" t="s">
        <v>138</v>
      </c>
      <c r="D13" s="59"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79</v>
      </c>
      <c r="B15" s="57" t="s">
        <v>97</v>
      </c>
      <c r="C15" s="58" t="s">
        <v>63</v>
      </c>
      <c r="D15" s="59"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79</v>
      </c>
      <c r="B17" s="41" t="s">
        <v>98</v>
      </c>
      <c r="C17" s="42" t="s">
        <v>59</v>
      </c>
      <c r="D17" s="43"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79</v>
      </c>
      <c r="B19" s="41" t="s">
        <v>99</v>
      </c>
      <c r="C19" s="42" t="s">
        <v>55</v>
      </c>
      <c r="D19" s="43"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79</v>
      </c>
      <c r="B22" s="41" t="s">
        <v>100</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79</v>
      </c>
      <c r="B26" s="57" t="s">
        <v>102</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79</v>
      </c>
      <c r="B28" s="57" t="s">
        <v>103</v>
      </c>
      <c r="C28" s="58" t="s">
        <v>34</v>
      </c>
      <c r="D28" s="59"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79</v>
      </c>
      <c r="B30" s="57" t="s">
        <v>104</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79</v>
      </c>
      <c r="B32" s="57" t="s">
        <v>105</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77</v>
      </c>
      <c r="B33" s="35" t="s">
        <v>236</v>
      </c>
      <c r="C33" s="36" t="s">
        <v>161</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79</v>
      </c>
      <c r="B34" s="57" t="s">
        <v>236</v>
      </c>
      <c r="C34" s="58" t="s">
        <v>161</v>
      </c>
      <c r="D34" s="59"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77</v>
      </c>
      <c r="B35" s="45" t="s">
        <v>197</v>
      </c>
      <c r="C35" s="19" t="s">
        <v>186</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79</v>
      </c>
      <c r="B36" s="45" t="s">
        <v>197</v>
      </c>
      <c r="C36" s="19" t="s">
        <v>186</v>
      </c>
      <c r="D36" s="46"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77</v>
      </c>
      <c r="B37" s="45" t="s">
        <v>244</v>
      </c>
      <c r="C37" s="47" t="s">
        <v>111</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79</v>
      </c>
      <c r="B38" s="45" t="s">
        <v>244</v>
      </c>
      <c r="C38" s="47" t="s">
        <v>111</v>
      </c>
      <c r="D38" s="46"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77</v>
      </c>
      <c r="B39" s="45" t="s">
        <v>176</v>
      </c>
      <c r="C39" s="47" t="s">
        <v>156</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79</v>
      </c>
      <c r="B40" s="45" t="s">
        <v>176</v>
      </c>
      <c r="C40" s="47" t="s">
        <v>156</v>
      </c>
      <c r="D40" s="46"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77</v>
      </c>
      <c r="B41" s="45" t="s">
        <v>245</v>
      </c>
      <c r="C41" s="47" t="s">
        <v>170</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79</v>
      </c>
      <c r="B42" s="45" t="s">
        <v>245</v>
      </c>
      <c r="C42" s="47" t="s">
        <v>170</v>
      </c>
      <c r="D42" s="46"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77</v>
      </c>
      <c r="B43" s="45" t="s">
        <v>246</v>
      </c>
      <c r="C43" s="47" t="s">
        <v>187</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79</v>
      </c>
      <c r="B44" s="45" t="s">
        <v>246</v>
      </c>
      <c r="C44" s="47" t="s">
        <v>187</v>
      </c>
      <c r="D44" s="46"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77</v>
      </c>
      <c r="B45" s="45" t="s">
        <v>247</v>
      </c>
      <c r="C45" s="47" t="s">
        <v>188</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79</v>
      </c>
      <c r="B46" s="45" t="s">
        <v>247</v>
      </c>
      <c r="C46" s="47" t="s">
        <v>188</v>
      </c>
      <c r="D46" s="46"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2017-02-14T16:32:47Z</dcterms:modified>
</cp:coreProperties>
</file>